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di\Desktop\DA INTERN\"/>
    </mc:Choice>
  </mc:AlternateContent>
  <xr:revisionPtr revIDLastSave="0" documentId="13_ncr:1_{F5AD3D8D-A546-42EC-84F7-0B8B5A593A45}" xr6:coauthVersionLast="47" xr6:coauthVersionMax="47" xr10:uidLastSave="{00000000-0000-0000-0000-000000000000}"/>
  <bookViews>
    <workbookView xWindow="-120" yWindow="-120" windowWidth="29040" windowHeight="15720" tabRatio="888" activeTab="2" xr2:uid="{00000000-000D-0000-FFFF-FFFF00000000}"/>
  </bookViews>
  <sheets>
    <sheet name="Appointment" sheetId="1" r:id="rId1"/>
    <sheet name="Department" sheetId="4" r:id="rId2"/>
    <sheet name="Doctor" sheetId="5" r:id="rId3"/>
    <sheet name="Patients" sheetId="8" r:id="rId4"/>
    <sheet name="MedicalRecord" sheetId="6" r:id="rId5"/>
    <sheet name="MedicineInfo" sheetId="15" r:id="rId6"/>
    <sheet name="Staff" sheetId="7" r:id="rId7"/>
    <sheet name="Bed" sheetId="2" r:id="rId8"/>
    <sheet name="BedRecords" sheetId="3" r:id="rId9"/>
    <sheet name="Room" sheetId="9" r:id="rId10"/>
    <sheet name="Ward" sheetId="12" r:id="rId11"/>
    <sheet name="RoomRecords" sheetId="10" r:id="rId12"/>
    <sheet name="InternalRecord" sheetId="14" r:id="rId13"/>
    <sheet name="Sheet1" sheetId="16" r:id="rId14"/>
  </sheets>
  <definedNames>
    <definedName name="Appoinment_Table">Table2[]</definedName>
    <definedName name="Appointments">Table2[]</definedName>
    <definedName name="Bed_Record_Table">Table4[]</definedName>
    <definedName name="Bed_Table">Bed!$A$6</definedName>
    <definedName name="Department_Table">Table5[#All]</definedName>
    <definedName name="Doctor_Table">Table6[#All]</definedName>
    <definedName name="ExternalData_1" localSheetId="0" hidden="1">Appointment!$A$1:$K$1001</definedName>
    <definedName name="ExternalData_1" localSheetId="7" hidden="1">Bed!$A$1:$B$501</definedName>
    <definedName name="ExternalData_1" localSheetId="8" hidden="1">BedRecords!$A$1:$H$1001</definedName>
    <definedName name="ExternalData_1" localSheetId="1" hidden="1">Department!$A$1:$B$32</definedName>
    <definedName name="ExternalData_1" localSheetId="2" hidden="1">Doctor!$A$1:$E$219</definedName>
    <definedName name="ExternalData_1" localSheetId="4" hidden="1">MedicalRecord!$A$1:$H$3001</definedName>
    <definedName name="ExternalData_1" localSheetId="3" hidden="1">Patients!$A$1:$F$1501</definedName>
    <definedName name="ExternalData_1" localSheetId="9" hidden="1">Room!$A$1:$C$392</definedName>
    <definedName name="ExternalData_1" localSheetId="11" hidden="1">RoomRecords!$A$1:$H$1001</definedName>
    <definedName name="ExternalData_1" localSheetId="6" hidden="1">Staff!$A$1:$E$501</definedName>
    <definedName name="ExternalData_1" localSheetId="10" hidden="1">Ward!$A$1:$C$64</definedName>
    <definedName name="Medical_Record_Table">Table8[#All]</definedName>
    <definedName name="MedicineInfo">MedicineInfo!$F$26</definedName>
    <definedName name="Patient_Table">Table7[]</definedName>
    <definedName name="Room_Info">Table10[#All]</definedName>
    <definedName name="Room_Records">Table12[#All]</definedName>
    <definedName name="Staff_Info_Table">Table9[#All]</definedName>
    <definedName name="Ward_Info">Table11[#All]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2" i="6"/>
  <c r="H13" i="6" a="1"/>
  <c r="H13" i="6" s="1"/>
  <c r="I13" i="6" s="1"/>
  <c r="H2994" i="6" a="1"/>
  <c r="H2994" i="6" s="1"/>
  <c r="I2994" i="6" s="1"/>
  <c r="H6" i="6" a="1"/>
  <c r="H6" i="6" s="1"/>
  <c r="I6" i="6" s="1"/>
  <c r="H7" i="6" a="1"/>
  <c r="H7" i="6" s="1"/>
  <c r="I7" i="6" s="1"/>
  <c r="H8" i="6" a="1"/>
  <c r="H8" i="6" s="1"/>
  <c r="I8" i="6" s="1"/>
  <c r="H9" i="6" a="1"/>
  <c r="H9" i="6" s="1"/>
  <c r="I9" i="6" s="1"/>
  <c r="H10" i="6" a="1"/>
  <c r="H10" i="6" s="1"/>
  <c r="I10" i="6" s="1"/>
  <c r="H11" i="6" a="1"/>
  <c r="H11" i="6" s="1"/>
  <c r="I11" i="6" s="1"/>
  <c r="H12" i="6" a="1"/>
  <c r="H12" i="6" s="1"/>
  <c r="I12" i="6" s="1"/>
  <c r="H14" i="6" a="1"/>
  <c r="H14" i="6" s="1"/>
  <c r="I14" i="6" s="1"/>
  <c r="H15" i="6" a="1"/>
  <c r="H15" i="6" s="1"/>
  <c r="I15" i="6" s="1"/>
  <c r="H16" i="6" a="1"/>
  <c r="H16" i="6" s="1"/>
  <c r="I16" i="6" s="1"/>
  <c r="H17" i="6" a="1"/>
  <c r="H17" i="6" s="1"/>
  <c r="I17" i="6" s="1"/>
  <c r="H18" i="6" a="1"/>
  <c r="H18" i="6" s="1"/>
  <c r="I18" i="6" s="1"/>
  <c r="H19" i="6" a="1"/>
  <c r="H19" i="6" s="1"/>
  <c r="I19" i="6" s="1"/>
  <c r="H20" i="6" a="1"/>
  <c r="H20" i="6" s="1"/>
  <c r="I20" i="6" s="1"/>
  <c r="H21" i="6" a="1"/>
  <c r="H21" i="6" s="1"/>
  <c r="I21" i="6" s="1"/>
  <c r="H22" i="6" a="1"/>
  <c r="H22" i="6" s="1"/>
  <c r="I22" i="6" s="1"/>
  <c r="H23" i="6" a="1"/>
  <c r="H23" i="6" s="1"/>
  <c r="I23" i="6" s="1"/>
  <c r="H24" i="6" a="1"/>
  <c r="H24" i="6" s="1"/>
  <c r="I24" i="6" s="1"/>
  <c r="H25" i="6" a="1"/>
  <c r="H25" i="6" s="1"/>
  <c r="I25" i="6" s="1"/>
  <c r="H26" i="6" a="1"/>
  <c r="H26" i="6" s="1"/>
  <c r="I26" i="6" s="1"/>
  <c r="H27" i="6" a="1"/>
  <c r="H27" i="6" s="1"/>
  <c r="I27" i="6" s="1"/>
  <c r="H28" i="6" a="1"/>
  <c r="H28" i="6" s="1"/>
  <c r="I28" i="6" s="1"/>
  <c r="H29" i="6" a="1"/>
  <c r="H29" i="6" s="1"/>
  <c r="I29" i="6" s="1"/>
  <c r="H30" i="6" a="1"/>
  <c r="H30" i="6" s="1"/>
  <c r="I30" i="6" s="1"/>
  <c r="H31" i="6" a="1"/>
  <c r="H31" i="6" s="1"/>
  <c r="I31" i="6" s="1"/>
  <c r="H32" i="6" a="1"/>
  <c r="H32" i="6" s="1"/>
  <c r="I32" i="6" s="1"/>
  <c r="H33" i="6" a="1"/>
  <c r="H33" i="6" s="1"/>
  <c r="I33" i="6" s="1"/>
  <c r="H34" i="6" a="1"/>
  <c r="H34" i="6" s="1"/>
  <c r="I34" i="6" s="1"/>
  <c r="H35" i="6" a="1"/>
  <c r="H35" i="6" s="1"/>
  <c r="I35" i="6" s="1"/>
  <c r="H36" i="6" a="1"/>
  <c r="H36" i="6" s="1"/>
  <c r="I36" i="6" s="1"/>
  <c r="H37" i="6" a="1"/>
  <c r="H37" i="6" s="1"/>
  <c r="I37" i="6" s="1"/>
  <c r="H38" i="6" a="1"/>
  <c r="H38" i="6" s="1"/>
  <c r="I38" i="6" s="1"/>
  <c r="H39" i="6" a="1"/>
  <c r="H39" i="6" s="1"/>
  <c r="I39" i="6" s="1"/>
  <c r="H40" i="6" a="1"/>
  <c r="H40" i="6" s="1"/>
  <c r="I40" i="6" s="1"/>
  <c r="H41" i="6" a="1"/>
  <c r="H41" i="6" s="1"/>
  <c r="I41" i="6" s="1"/>
  <c r="H42" i="6" a="1"/>
  <c r="H42" i="6" s="1"/>
  <c r="I42" i="6" s="1"/>
  <c r="H43" i="6" a="1"/>
  <c r="H43" i="6" s="1"/>
  <c r="I43" i="6" s="1"/>
  <c r="H44" i="6" a="1"/>
  <c r="H44" i="6" s="1"/>
  <c r="I44" i="6" s="1"/>
  <c r="H45" i="6" a="1"/>
  <c r="H45" i="6" s="1"/>
  <c r="I45" i="6" s="1"/>
  <c r="H46" i="6" a="1"/>
  <c r="H46" i="6" s="1"/>
  <c r="I46" i="6" s="1"/>
  <c r="H47" i="6" a="1"/>
  <c r="H47" i="6" s="1"/>
  <c r="I47" i="6" s="1"/>
  <c r="H48" i="6" a="1"/>
  <c r="H48" i="6" s="1"/>
  <c r="I48" i="6" s="1"/>
  <c r="H49" i="6" a="1"/>
  <c r="H49" i="6" s="1"/>
  <c r="I49" i="6" s="1"/>
  <c r="H50" i="6" a="1"/>
  <c r="H50" i="6" s="1"/>
  <c r="I50" i="6" s="1"/>
  <c r="H51" i="6" a="1"/>
  <c r="H51" i="6" s="1"/>
  <c r="I51" i="6" s="1"/>
  <c r="H52" i="6" a="1"/>
  <c r="H52" i="6" s="1"/>
  <c r="I52" i="6" s="1"/>
  <c r="H53" i="6" a="1"/>
  <c r="H53" i="6" s="1"/>
  <c r="I53" i="6" s="1"/>
  <c r="H54" i="6" a="1"/>
  <c r="H54" i="6" s="1"/>
  <c r="I54" i="6" s="1"/>
  <c r="H55" i="6" a="1"/>
  <c r="H55" i="6" s="1"/>
  <c r="I55" i="6" s="1"/>
  <c r="H56" i="6" a="1"/>
  <c r="H56" i="6" s="1"/>
  <c r="I56" i="6" s="1"/>
  <c r="H57" i="6" a="1"/>
  <c r="H57" i="6" s="1"/>
  <c r="I57" i="6" s="1"/>
  <c r="H58" i="6" a="1"/>
  <c r="H58" i="6" s="1"/>
  <c r="I58" i="6" s="1"/>
  <c r="H59" i="6" a="1"/>
  <c r="H59" i="6" s="1"/>
  <c r="I59" i="6" s="1"/>
  <c r="H60" i="6" a="1"/>
  <c r="H60" i="6" s="1"/>
  <c r="I60" i="6" s="1"/>
  <c r="H61" i="6" a="1"/>
  <c r="H61" i="6" s="1"/>
  <c r="I61" i="6" s="1"/>
  <c r="H62" i="6" a="1"/>
  <c r="H62" i="6" s="1"/>
  <c r="I62" i="6" s="1"/>
  <c r="H63" i="6" a="1"/>
  <c r="H63" i="6" s="1"/>
  <c r="I63" i="6" s="1"/>
  <c r="H64" i="6" a="1"/>
  <c r="H64" i="6" s="1"/>
  <c r="I64" i="6" s="1"/>
  <c r="H65" i="6" a="1"/>
  <c r="H65" i="6" s="1"/>
  <c r="I65" i="6" s="1"/>
  <c r="H66" i="6" a="1"/>
  <c r="H66" i="6" s="1"/>
  <c r="I66" i="6" s="1"/>
  <c r="H67" i="6" a="1"/>
  <c r="H67" i="6" s="1"/>
  <c r="I67" i="6" s="1"/>
  <c r="H68" i="6" a="1"/>
  <c r="H68" i="6" s="1"/>
  <c r="I68" i="6" s="1"/>
  <c r="H69" i="6" a="1"/>
  <c r="H69" i="6" s="1"/>
  <c r="I69" i="6" s="1"/>
  <c r="H70" i="6" a="1"/>
  <c r="H70" i="6" s="1"/>
  <c r="I70" i="6" s="1"/>
  <c r="H71" i="6" a="1"/>
  <c r="H71" i="6" s="1"/>
  <c r="I71" i="6" s="1"/>
  <c r="H72" i="6" a="1"/>
  <c r="H72" i="6" s="1"/>
  <c r="I72" i="6" s="1"/>
  <c r="H73" i="6" a="1"/>
  <c r="H73" i="6" s="1"/>
  <c r="I73" i="6" s="1"/>
  <c r="H74" i="6" a="1"/>
  <c r="H74" i="6" s="1"/>
  <c r="I74" i="6" s="1"/>
  <c r="H75" i="6" a="1"/>
  <c r="H75" i="6" s="1"/>
  <c r="I75" i="6" s="1"/>
  <c r="H76" i="6" a="1"/>
  <c r="H76" i="6" s="1"/>
  <c r="I76" i="6" s="1"/>
  <c r="H77" i="6" a="1"/>
  <c r="H77" i="6" s="1"/>
  <c r="I77" i="6" s="1"/>
  <c r="H78" i="6" a="1"/>
  <c r="H78" i="6" s="1"/>
  <c r="I78" i="6" s="1"/>
  <c r="H79" i="6" a="1"/>
  <c r="H79" i="6" s="1"/>
  <c r="I79" i="6" s="1"/>
  <c r="H80" i="6" a="1"/>
  <c r="H80" i="6" s="1"/>
  <c r="I80" i="6" s="1"/>
  <c r="H81" i="6" a="1"/>
  <c r="H81" i="6" s="1"/>
  <c r="I81" i="6" s="1"/>
  <c r="H82" i="6" a="1"/>
  <c r="H82" i="6" s="1"/>
  <c r="I82" i="6" s="1"/>
  <c r="H83" i="6" a="1"/>
  <c r="H83" i="6" s="1"/>
  <c r="I83" i="6" s="1"/>
  <c r="H84" i="6" a="1"/>
  <c r="H84" i="6" s="1"/>
  <c r="I84" i="6" s="1"/>
  <c r="H85" i="6" a="1"/>
  <c r="H85" i="6" s="1"/>
  <c r="I85" i="6" s="1"/>
  <c r="H86" i="6" a="1"/>
  <c r="H86" i="6" s="1"/>
  <c r="I86" i="6" s="1"/>
  <c r="H87" i="6" a="1"/>
  <c r="H87" i="6" s="1"/>
  <c r="I87" i="6" s="1"/>
  <c r="H88" i="6" a="1"/>
  <c r="H88" i="6" s="1"/>
  <c r="I88" i="6" s="1"/>
  <c r="H89" i="6" a="1"/>
  <c r="H89" i="6" s="1"/>
  <c r="I89" i="6" s="1"/>
  <c r="H90" i="6" a="1"/>
  <c r="H90" i="6" s="1"/>
  <c r="I90" i="6" s="1"/>
  <c r="H91" i="6" a="1"/>
  <c r="H91" i="6" s="1"/>
  <c r="I91" i="6" s="1"/>
  <c r="H92" i="6" a="1"/>
  <c r="H92" i="6" s="1"/>
  <c r="I92" i="6" s="1"/>
  <c r="H93" i="6" a="1"/>
  <c r="H93" i="6" s="1"/>
  <c r="I93" i="6" s="1"/>
  <c r="H94" i="6" a="1"/>
  <c r="H94" i="6" s="1"/>
  <c r="I94" i="6" s="1"/>
  <c r="H95" i="6" a="1"/>
  <c r="H95" i="6" s="1"/>
  <c r="I95" i="6" s="1"/>
  <c r="H96" i="6" a="1"/>
  <c r="H96" i="6" s="1"/>
  <c r="I96" i="6" s="1"/>
  <c r="H97" i="6" a="1"/>
  <c r="H97" i="6" s="1"/>
  <c r="I97" i="6" s="1"/>
  <c r="H98" i="6" a="1"/>
  <c r="H98" i="6" s="1"/>
  <c r="I98" i="6" s="1"/>
  <c r="H99" i="6" a="1"/>
  <c r="H99" i="6" s="1"/>
  <c r="I99" i="6" s="1"/>
  <c r="H100" i="6" a="1"/>
  <c r="H100" i="6" s="1"/>
  <c r="I100" i="6" s="1"/>
  <c r="H101" i="6" a="1"/>
  <c r="H101" i="6" s="1"/>
  <c r="I101" i="6" s="1"/>
  <c r="H102" i="6" a="1"/>
  <c r="H102" i="6" s="1"/>
  <c r="I102" i="6" s="1"/>
  <c r="H103" i="6" a="1"/>
  <c r="H103" i="6" s="1"/>
  <c r="I103" i="6" s="1"/>
  <c r="H104" i="6" a="1"/>
  <c r="H104" i="6" s="1"/>
  <c r="I104" i="6" s="1"/>
  <c r="H105" i="6" a="1"/>
  <c r="H105" i="6" s="1"/>
  <c r="I105" i="6" s="1"/>
  <c r="H106" i="6" a="1"/>
  <c r="H106" i="6" s="1"/>
  <c r="I106" i="6" s="1"/>
  <c r="H107" i="6" a="1"/>
  <c r="H107" i="6" s="1"/>
  <c r="I107" i="6" s="1"/>
  <c r="H108" i="6" a="1"/>
  <c r="H108" i="6" s="1"/>
  <c r="I108" i="6" s="1"/>
  <c r="H109" i="6" a="1"/>
  <c r="H109" i="6" s="1"/>
  <c r="I109" i="6" s="1"/>
  <c r="H110" i="6" a="1"/>
  <c r="H110" i="6" s="1"/>
  <c r="I110" i="6" s="1"/>
  <c r="H111" i="6" a="1"/>
  <c r="H111" i="6" s="1"/>
  <c r="I111" i="6" s="1"/>
  <c r="H112" i="6" a="1"/>
  <c r="H112" i="6" s="1"/>
  <c r="I112" i="6" s="1"/>
  <c r="H113" i="6" a="1"/>
  <c r="H113" i="6" s="1"/>
  <c r="I113" i="6" s="1"/>
  <c r="H114" i="6" a="1"/>
  <c r="H114" i="6" s="1"/>
  <c r="I114" i="6" s="1"/>
  <c r="H115" i="6" a="1"/>
  <c r="H115" i="6" s="1"/>
  <c r="I115" i="6" s="1"/>
  <c r="H116" i="6" a="1"/>
  <c r="H116" i="6" s="1"/>
  <c r="I116" i="6" s="1"/>
  <c r="H117" i="6" a="1"/>
  <c r="H117" i="6" s="1"/>
  <c r="I117" i="6" s="1"/>
  <c r="H118" i="6" a="1"/>
  <c r="H118" i="6" s="1"/>
  <c r="I118" i="6" s="1"/>
  <c r="H119" i="6" a="1"/>
  <c r="H119" i="6" s="1"/>
  <c r="I119" i="6" s="1"/>
  <c r="H120" i="6" a="1"/>
  <c r="H120" i="6" s="1"/>
  <c r="I120" i="6" s="1"/>
  <c r="H121" i="6" a="1"/>
  <c r="H121" i="6" s="1"/>
  <c r="I121" i="6" s="1"/>
  <c r="H122" i="6" a="1"/>
  <c r="H122" i="6" s="1"/>
  <c r="I122" i="6" s="1"/>
  <c r="H123" i="6" a="1"/>
  <c r="H123" i="6" s="1"/>
  <c r="I123" i="6" s="1"/>
  <c r="H124" i="6" a="1"/>
  <c r="H124" i="6" s="1"/>
  <c r="I124" i="6" s="1"/>
  <c r="H125" i="6" a="1"/>
  <c r="H125" i="6" s="1"/>
  <c r="I125" i="6" s="1"/>
  <c r="H126" i="6" a="1"/>
  <c r="H126" i="6" s="1"/>
  <c r="I126" i="6" s="1"/>
  <c r="H127" i="6" a="1"/>
  <c r="H127" i="6" s="1"/>
  <c r="I127" i="6" s="1"/>
  <c r="H128" i="6" a="1"/>
  <c r="H128" i="6" s="1"/>
  <c r="I128" i="6" s="1"/>
  <c r="H129" i="6" a="1"/>
  <c r="H129" i="6" s="1"/>
  <c r="I129" i="6" s="1"/>
  <c r="H130" i="6" a="1"/>
  <c r="H130" i="6" s="1"/>
  <c r="I130" i="6" s="1"/>
  <c r="H131" i="6" a="1"/>
  <c r="H131" i="6" s="1"/>
  <c r="I131" i="6" s="1"/>
  <c r="H132" i="6" a="1"/>
  <c r="H132" i="6" s="1"/>
  <c r="I132" i="6" s="1"/>
  <c r="H133" i="6" a="1"/>
  <c r="H133" i="6" s="1"/>
  <c r="I133" i="6" s="1"/>
  <c r="H134" i="6" a="1"/>
  <c r="H134" i="6" s="1"/>
  <c r="I134" i="6" s="1"/>
  <c r="H135" i="6" a="1"/>
  <c r="H135" i="6" s="1"/>
  <c r="I135" i="6" s="1"/>
  <c r="H136" i="6" a="1"/>
  <c r="H136" i="6" s="1"/>
  <c r="I136" i="6" s="1"/>
  <c r="H137" i="6" a="1"/>
  <c r="H137" i="6" s="1"/>
  <c r="I137" i="6" s="1"/>
  <c r="H138" i="6" a="1"/>
  <c r="H138" i="6" s="1"/>
  <c r="I138" i="6" s="1"/>
  <c r="H139" i="6" a="1"/>
  <c r="H139" i="6" s="1"/>
  <c r="I139" i="6" s="1"/>
  <c r="H140" i="6" a="1"/>
  <c r="H140" i="6" s="1"/>
  <c r="I140" i="6" s="1"/>
  <c r="H141" i="6" a="1"/>
  <c r="H141" i="6" s="1"/>
  <c r="I141" i="6" s="1"/>
  <c r="H142" i="6" a="1"/>
  <c r="H142" i="6" s="1"/>
  <c r="I142" i="6" s="1"/>
  <c r="H143" i="6" a="1"/>
  <c r="H143" i="6" s="1"/>
  <c r="I143" i="6" s="1"/>
  <c r="H144" i="6" a="1"/>
  <c r="H144" i="6" s="1"/>
  <c r="I144" i="6" s="1"/>
  <c r="H145" i="6" a="1"/>
  <c r="H145" i="6" s="1"/>
  <c r="I145" i="6" s="1"/>
  <c r="H146" i="6" a="1"/>
  <c r="H146" i="6" s="1"/>
  <c r="I146" i="6" s="1"/>
  <c r="H147" i="6" a="1"/>
  <c r="H147" i="6" s="1"/>
  <c r="I147" i="6" s="1"/>
  <c r="H148" i="6" a="1"/>
  <c r="H148" i="6" s="1"/>
  <c r="I148" i="6" s="1"/>
  <c r="H149" i="6" a="1"/>
  <c r="H149" i="6" s="1"/>
  <c r="I149" i="6" s="1"/>
  <c r="H150" i="6" a="1"/>
  <c r="H150" i="6" s="1"/>
  <c r="I150" i="6" s="1"/>
  <c r="H151" i="6" a="1"/>
  <c r="H151" i="6" s="1"/>
  <c r="I151" i="6" s="1"/>
  <c r="H152" i="6" a="1"/>
  <c r="H152" i="6" s="1"/>
  <c r="I152" i="6" s="1"/>
  <c r="H153" i="6" a="1"/>
  <c r="H153" i="6" s="1"/>
  <c r="I153" i="6" s="1"/>
  <c r="H154" i="6" a="1"/>
  <c r="H154" i="6" s="1"/>
  <c r="I154" i="6" s="1"/>
  <c r="H155" i="6" a="1"/>
  <c r="H155" i="6" s="1"/>
  <c r="I155" i="6" s="1"/>
  <c r="H156" i="6" a="1"/>
  <c r="H156" i="6" s="1"/>
  <c r="I156" i="6" s="1"/>
  <c r="H157" i="6" a="1"/>
  <c r="H157" i="6" s="1"/>
  <c r="I157" i="6" s="1"/>
  <c r="H158" i="6" a="1"/>
  <c r="H158" i="6" s="1"/>
  <c r="I158" i="6" s="1"/>
  <c r="H159" i="6" a="1"/>
  <c r="H159" i="6" s="1"/>
  <c r="I159" i="6" s="1"/>
  <c r="H160" i="6" a="1"/>
  <c r="H160" i="6" s="1"/>
  <c r="I160" i="6" s="1"/>
  <c r="H161" i="6" a="1"/>
  <c r="H161" i="6" s="1"/>
  <c r="I161" i="6" s="1"/>
  <c r="H162" i="6" a="1"/>
  <c r="H162" i="6" s="1"/>
  <c r="I162" i="6" s="1"/>
  <c r="H163" i="6" a="1"/>
  <c r="H163" i="6" s="1"/>
  <c r="I163" i="6" s="1"/>
  <c r="H164" i="6" a="1"/>
  <c r="H164" i="6" s="1"/>
  <c r="I164" i="6" s="1"/>
  <c r="H165" i="6" a="1"/>
  <c r="H165" i="6" s="1"/>
  <c r="I165" i="6" s="1"/>
  <c r="H166" i="6" a="1"/>
  <c r="H166" i="6" s="1"/>
  <c r="I166" i="6" s="1"/>
  <c r="H167" i="6" a="1"/>
  <c r="H167" i="6" s="1"/>
  <c r="I167" i="6" s="1"/>
  <c r="H168" i="6" a="1"/>
  <c r="H168" i="6" s="1"/>
  <c r="I168" i="6" s="1"/>
  <c r="H169" i="6" a="1"/>
  <c r="H169" i="6" s="1"/>
  <c r="I169" i="6" s="1"/>
  <c r="H170" i="6" a="1"/>
  <c r="H170" i="6" s="1"/>
  <c r="I170" i="6" s="1"/>
  <c r="H171" i="6" a="1"/>
  <c r="H171" i="6" s="1"/>
  <c r="I171" i="6" s="1"/>
  <c r="H172" i="6" a="1"/>
  <c r="H172" i="6" s="1"/>
  <c r="I172" i="6" s="1"/>
  <c r="H173" i="6" a="1"/>
  <c r="H173" i="6" s="1"/>
  <c r="I173" i="6" s="1"/>
  <c r="H174" i="6" a="1"/>
  <c r="H174" i="6" s="1"/>
  <c r="I174" i="6" s="1"/>
  <c r="H175" i="6" a="1"/>
  <c r="H175" i="6" s="1"/>
  <c r="I175" i="6" s="1"/>
  <c r="H176" i="6" a="1"/>
  <c r="H176" i="6" s="1"/>
  <c r="I176" i="6" s="1"/>
  <c r="H177" i="6" a="1"/>
  <c r="H177" i="6" s="1"/>
  <c r="I177" i="6" s="1"/>
  <c r="H178" i="6" a="1"/>
  <c r="H178" i="6" s="1"/>
  <c r="I178" i="6" s="1"/>
  <c r="H179" i="6" a="1"/>
  <c r="H179" i="6" s="1"/>
  <c r="I179" i="6" s="1"/>
  <c r="H180" i="6" a="1"/>
  <c r="H180" i="6" s="1"/>
  <c r="I180" i="6" s="1"/>
  <c r="H181" i="6" a="1"/>
  <c r="H181" i="6" s="1"/>
  <c r="I181" i="6" s="1"/>
  <c r="H182" i="6" a="1"/>
  <c r="H182" i="6" s="1"/>
  <c r="I182" i="6" s="1"/>
  <c r="H183" i="6" a="1"/>
  <c r="H183" i="6" s="1"/>
  <c r="I183" i="6" s="1"/>
  <c r="H184" i="6" a="1"/>
  <c r="H184" i="6" s="1"/>
  <c r="I184" i="6" s="1"/>
  <c r="H185" i="6" a="1"/>
  <c r="H185" i="6" s="1"/>
  <c r="I185" i="6" s="1"/>
  <c r="H186" i="6" a="1"/>
  <c r="H186" i="6" s="1"/>
  <c r="I186" i="6" s="1"/>
  <c r="H187" i="6" a="1"/>
  <c r="H187" i="6" s="1"/>
  <c r="I187" i="6" s="1"/>
  <c r="H188" i="6" a="1"/>
  <c r="H188" i="6" s="1"/>
  <c r="I188" i="6" s="1"/>
  <c r="H189" i="6" a="1"/>
  <c r="H189" i="6" s="1"/>
  <c r="I189" i="6" s="1"/>
  <c r="H190" i="6" a="1"/>
  <c r="H190" i="6" s="1"/>
  <c r="I190" i="6" s="1"/>
  <c r="H191" i="6" a="1"/>
  <c r="H191" i="6" s="1"/>
  <c r="I191" i="6" s="1"/>
  <c r="H192" i="6" a="1"/>
  <c r="H192" i="6" s="1"/>
  <c r="I192" i="6" s="1"/>
  <c r="H193" i="6" a="1"/>
  <c r="H193" i="6" s="1"/>
  <c r="I193" i="6" s="1"/>
  <c r="H194" i="6" a="1"/>
  <c r="H194" i="6" s="1"/>
  <c r="I194" i="6" s="1"/>
  <c r="H195" i="6" a="1"/>
  <c r="H195" i="6" s="1"/>
  <c r="I195" i="6" s="1"/>
  <c r="H196" i="6" a="1"/>
  <c r="H196" i="6" s="1"/>
  <c r="I196" i="6" s="1"/>
  <c r="H197" i="6" a="1"/>
  <c r="H197" i="6" s="1"/>
  <c r="I197" i="6" s="1"/>
  <c r="H198" i="6" a="1"/>
  <c r="H198" i="6" s="1"/>
  <c r="I198" i="6" s="1"/>
  <c r="H199" i="6" a="1"/>
  <c r="H199" i="6" s="1"/>
  <c r="I199" i="6" s="1"/>
  <c r="H200" i="6" a="1"/>
  <c r="H200" i="6" s="1"/>
  <c r="I200" i="6" s="1"/>
  <c r="H201" i="6" a="1"/>
  <c r="H201" i="6" s="1"/>
  <c r="I201" i="6" s="1"/>
  <c r="H202" i="6" a="1"/>
  <c r="H202" i="6" s="1"/>
  <c r="I202" i="6" s="1"/>
  <c r="H203" i="6" a="1"/>
  <c r="H203" i="6" s="1"/>
  <c r="I203" i="6" s="1"/>
  <c r="H204" i="6" a="1"/>
  <c r="H204" i="6" s="1"/>
  <c r="I204" i="6" s="1"/>
  <c r="H205" i="6" a="1"/>
  <c r="H205" i="6" s="1"/>
  <c r="I205" i="6" s="1"/>
  <c r="H206" i="6" a="1"/>
  <c r="H206" i="6" s="1"/>
  <c r="I206" i="6" s="1"/>
  <c r="H207" i="6" a="1"/>
  <c r="H207" i="6" s="1"/>
  <c r="I207" i="6" s="1"/>
  <c r="H208" i="6" a="1"/>
  <c r="H208" i="6" s="1"/>
  <c r="I208" i="6" s="1"/>
  <c r="H209" i="6" a="1"/>
  <c r="H209" i="6" s="1"/>
  <c r="I209" i="6" s="1"/>
  <c r="H210" i="6" a="1"/>
  <c r="H210" i="6" s="1"/>
  <c r="I210" i="6" s="1"/>
  <c r="H211" i="6" a="1"/>
  <c r="H211" i="6" s="1"/>
  <c r="I211" i="6" s="1"/>
  <c r="H212" i="6" a="1"/>
  <c r="H212" i="6" s="1"/>
  <c r="I212" i="6" s="1"/>
  <c r="H213" i="6" a="1"/>
  <c r="H213" i="6" s="1"/>
  <c r="I213" i="6" s="1"/>
  <c r="H214" i="6" a="1"/>
  <c r="H214" i="6" s="1"/>
  <c r="I214" i="6" s="1"/>
  <c r="H215" i="6" a="1"/>
  <c r="H215" i="6" s="1"/>
  <c r="I215" i="6" s="1"/>
  <c r="H216" i="6" a="1"/>
  <c r="H216" i="6" s="1"/>
  <c r="I216" i="6" s="1"/>
  <c r="H217" i="6" a="1"/>
  <c r="H217" i="6" s="1"/>
  <c r="I217" i="6" s="1"/>
  <c r="H218" i="6" a="1"/>
  <c r="H218" i="6" s="1"/>
  <c r="I218" i="6" s="1"/>
  <c r="H219" i="6" a="1"/>
  <c r="H219" i="6" s="1"/>
  <c r="I219" i="6" s="1"/>
  <c r="H220" i="6" a="1"/>
  <c r="H220" i="6" s="1"/>
  <c r="I220" i="6" s="1"/>
  <c r="H221" i="6" a="1"/>
  <c r="H221" i="6" s="1"/>
  <c r="I221" i="6" s="1"/>
  <c r="H222" i="6" a="1"/>
  <c r="H222" i="6" s="1"/>
  <c r="I222" i="6" s="1"/>
  <c r="H223" i="6" a="1"/>
  <c r="H223" i="6" s="1"/>
  <c r="I223" i="6" s="1"/>
  <c r="H224" i="6" a="1"/>
  <c r="H224" i="6" s="1"/>
  <c r="I224" i="6" s="1"/>
  <c r="H225" i="6" a="1"/>
  <c r="H225" i="6" s="1"/>
  <c r="I225" i="6" s="1"/>
  <c r="H226" i="6" a="1"/>
  <c r="H226" i="6" s="1"/>
  <c r="I226" i="6" s="1"/>
  <c r="H227" i="6" a="1"/>
  <c r="H227" i="6" s="1"/>
  <c r="I227" i="6" s="1"/>
  <c r="H228" i="6" a="1"/>
  <c r="H228" i="6" s="1"/>
  <c r="I228" i="6" s="1"/>
  <c r="H229" i="6" a="1"/>
  <c r="H229" i="6" s="1"/>
  <c r="I229" i="6" s="1"/>
  <c r="H230" i="6" a="1"/>
  <c r="H230" i="6" s="1"/>
  <c r="I230" i="6" s="1"/>
  <c r="H231" i="6" a="1"/>
  <c r="H231" i="6" s="1"/>
  <c r="I231" i="6" s="1"/>
  <c r="H232" i="6" a="1"/>
  <c r="H232" i="6" s="1"/>
  <c r="I232" i="6" s="1"/>
  <c r="H233" i="6" a="1"/>
  <c r="H233" i="6" s="1"/>
  <c r="I233" i="6" s="1"/>
  <c r="H234" i="6" a="1"/>
  <c r="H234" i="6" s="1"/>
  <c r="I234" i="6" s="1"/>
  <c r="H235" i="6" a="1"/>
  <c r="H235" i="6" s="1"/>
  <c r="I235" i="6" s="1"/>
  <c r="H236" i="6" a="1"/>
  <c r="H236" i="6" s="1"/>
  <c r="I236" i="6" s="1"/>
  <c r="H237" i="6" a="1"/>
  <c r="H237" i="6" s="1"/>
  <c r="I237" i="6" s="1"/>
  <c r="H238" i="6" a="1"/>
  <c r="H238" i="6" s="1"/>
  <c r="I238" i="6" s="1"/>
  <c r="H239" i="6" a="1"/>
  <c r="H239" i="6" s="1"/>
  <c r="I239" i="6" s="1"/>
  <c r="H240" i="6" a="1"/>
  <c r="H240" i="6" s="1"/>
  <c r="I240" i="6" s="1"/>
  <c r="H241" i="6" a="1"/>
  <c r="H241" i="6" s="1"/>
  <c r="I241" i="6" s="1"/>
  <c r="H242" i="6" a="1"/>
  <c r="H242" i="6" s="1"/>
  <c r="I242" i="6" s="1"/>
  <c r="H243" i="6" a="1"/>
  <c r="H243" i="6" s="1"/>
  <c r="I243" i="6" s="1"/>
  <c r="H244" i="6" a="1"/>
  <c r="H244" i="6" s="1"/>
  <c r="I244" i="6" s="1"/>
  <c r="H245" i="6" a="1"/>
  <c r="H245" i="6" s="1"/>
  <c r="I245" i="6" s="1"/>
  <c r="H246" i="6" a="1"/>
  <c r="H246" i="6" s="1"/>
  <c r="I246" i="6" s="1"/>
  <c r="H247" i="6" a="1"/>
  <c r="H247" i="6" s="1"/>
  <c r="I247" i="6" s="1"/>
  <c r="H248" i="6" a="1"/>
  <c r="H248" i="6" s="1"/>
  <c r="I248" i="6" s="1"/>
  <c r="H249" i="6" a="1"/>
  <c r="H249" i="6" s="1"/>
  <c r="I249" i="6" s="1"/>
  <c r="H250" i="6" a="1"/>
  <c r="H250" i="6" s="1"/>
  <c r="I250" i="6" s="1"/>
  <c r="H251" i="6" a="1"/>
  <c r="H251" i="6" s="1"/>
  <c r="I251" i="6" s="1"/>
  <c r="H252" i="6" a="1"/>
  <c r="H252" i="6" s="1"/>
  <c r="I252" i="6" s="1"/>
  <c r="H253" i="6" a="1"/>
  <c r="H253" i="6" s="1"/>
  <c r="I253" i="6" s="1"/>
  <c r="H254" i="6" a="1"/>
  <c r="H254" i="6" s="1"/>
  <c r="I254" i="6" s="1"/>
  <c r="H255" i="6" a="1"/>
  <c r="H255" i="6" s="1"/>
  <c r="I255" i="6" s="1"/>
  <c r="H256" i="6" a="1"/>
  <c r="H256" i="6" s="1"/>
  <c r="I256" i="6" s="1"/>
  <c r="H257" i="6" a="1"/>
  <c r="H257" i="6" s="1"/>
  <c r="I257" i="6" s="1"/>
  <c r="H258" i="6" a="1"/>
  <c r="H258" i="6" s="1"/>
  <c r="I258" i="6" s="1"/>
  <c r="H259" i="6" a="1"/>
  <c r="H259" i="6" s="1"/>
  <c r="I259" i="6" s="1"/>
  <c r="H260" i="6" a="1"/>
  <c r="H260" i="6" s="1"/>
  <c r="I260" i="6" s="1"/>
  <c r="H261" i="6" a="1"/>
  <c r="H261" i="6" s="1"/>
  <c r="I261" i="6" s="1"/>
  <c r="H262" i="6" a="1"/>
  <c r="H262" i="6" s="1"/>
  <c r="I262" i="6" s="1"/>
  <c r="H263" i="6" a="1"/>
  <c r="H263" i="6" s="1"/>
  <c r="I263" i="6" s="1"/>
  <c r="H264" i="6" a="1"/>
  <c r="H264" i="6" s="1"/>
  <c r="I264" i="6" s="1"/>
  <c r="H265" i="6" a="1"/>
  <c r="H265" i="6" s="1"/>
  <c r="I265" i="6" s="1"/>
  <c r="H266" i="6" a="1"/>
  <c r="H266" i="6" s="1"/>
  <c r="I266" i="6" s="1"/>
  <c r="H267" i="6" a="1"/>
  <c r="H267" i="6" s="1"/>
  <c r="I267" i="6" s="1"/>
  <c r="H268" i="6" a="1"/>
  <c r="H268" i="6" s="1"/>
  <c r="I268" i="6" s="1"/>
  <c r="H269" i="6" a="1"/>
  <c r="H269" i="6" s="1"/>
  <c r="I269" i="6" s="1"/>
  <c r="H270" i="6" a="1"/>
  <c r="H270" i="6" s="1"/>
  <c r="I270" i="6" s="1"/>
  <c r="H271" i="6" a="1"/>
  <c r="H271" i="6" s="1"/>
  <c r="I271" i="6" s="1"/>
  <c r="H272" i="6" a="1"/>
  <c r="H272" i="6" s="1"/>
  <c r="I272" i="6" s="1"/>
  <c r="H273" i="6" a="1"/>
  <c r="H273" i="6" s="1"/>
  <c r="I273" i="6" s="1"/>
  <c r="H274" i="6" a="1"/>
  <c r="H274" i="6" s="1"/>
  <c r="I274" i="6" s="1"/>
  <c r="H275" i="6" a="1"/>
  <c r="H275" i="6" s="1"/>
  <c r="I275" i="6" s="1"/>
  <c r="H276" i="6" a="1"/>
  <c r="H276" i="6" s="1"/>
  <c r="I276" i="6" s="1"/>
  <c r="H277" i="6" a="1"/>
  <c r="H277" i="6" s="1"/>
  <c r="I277" i="6" s="1"/>
  <c r="H278" i="6" a="1"/>
  <c r="H278" i="6" s="1"/>
  <c r="I278" i="6" s="1"/>
  <c r="H279" i="6" a="1"/>
  <c r="H279" i="6" s="1"/>
  <c r="I279" i="6" s="1"/>
  <c r="H280" i="6" a="1"/>
  <c r="H280" i="6" s="1"/>
  <c r="I280" i="6" s="1"/>
  <c r="H281" i="6" a="1"/>
  <c r="H281" i="6" s="1"/>
  <c r="I281" i="6" s="1"/>
  <c r="H282" i="6" a="1"/>
  <c r="H282" i="6" s="1"/>
  <c r="I282" i="6" s="1"/>
  <c r="H283" i="6" a="1"/>
  <c r="H283" i="6" s="1"/>
  <c r="I283" i="6" s="1"/>
  <c r="H284" i="6" a="1"/>
  <c r="H284" i="6" s="1"/>
  <c r="I284" i="6" s="1"/>
  <c r="H285" i="6" a="1"/>
  <c r="H285" i="6" s="1"/>
  <c r="I285" i="6" s="1"/>
  <c r="H286" i="6" a="1"/>
  <c r="H286" i="6" s="1"/>
  <c r="I286" i="6" s="1"/>
  <c r="H287" i="6" a="1"/>
  <c r="H287" i="6" s="1"/>
  <c r="I287" i="6" s="1"/>
  <c r="H288" i="6" a="1"/>
  <c r="H288" i="6" s="1"/>
  <c r="I288" i="6" s="1"/>
  <c r="H289" i="6" a="1"/>
  <c r="H289" i="6" s="1"/>
  <c r="I289" i="6" s="1"/>
  <c r="H290" i="6" a="1"/>
  <c r="H290" i="6" s="1"/>
  <c r="I290" i="6" s="1"/>
  <c r="H291" i="6" a="1"/>
  <c r="H291" i="6" s="1"/>
  <c r="I291" i="6" s="1"/>
  <c r="H292" i="6" a="1"/>
  <c r="H292" i="6" s="1"/>
  <c r="I292" i="6" s="1"/>
  <c r="H293" i="6" a="1"/>
  <c r="H293" i="6" s="1"/>
  <c r="I293" i="6" s="1"/>
  <c r="H294" i="6" a="1"/>
  <c r="H294" i="6" s="1"/>
  <c r="I294" i="6" s="1"/>
  <c r="H295" i="6" a="1"/>
  <c r="H295" i="6" s="1"/>
  <c r="I295" i="6" s="1"/>
  <c r="H296" i="6" a="1"/>
  <c r="H296" i="6" s="1"/>
  <c r="I296" i="6" s="1"/>
  <c r="H297" i="6" a="1"/>
  <c r="H297" i="6" s="1"/>
  <c r="I297" i="6" s="1"/>
  <c r="H298" i="6" a="1"/>
  <c r="H298" i="6" s="1"/>
  <c r="I298" i="6" s="1"/>
  <c r="H299" i="6" a="1"/>
  <c r="H299" i="6" s="1"/>
  <c r="I299" i="6" s="1"/>
  <c r="H300" i="6" a="1"/>
  <c r="H300" i="6" s="1"/>
  <c r="I300" i="6" s="1"/>
  <c r="H301" i="6" a="1"/>
  <c r="H301" i="6" s="1"/>
  <c r="I301" i="6" s="1"/>
  <c r="H302" i="6" a="1"/>
  <c r="H302" i="6" s="1"/>
  <c r="I302" i="6" s="1"/>
  <c r="H303" i="6" a="1"/>
  <c r="H303" i="6" s="1"/>
  <c r="I303" i="6" s="1"/>
  <c r="H304" i="6" a="1"/>
  <c r="H304" i="6" s="1"/>
  <c r="I304" i="6" s="1"/>
  <c r="H305" i="6" a="1"/>
  <c r="H305" i="6" s="1"/>
  <c r="I305" i="6" s="1"/>
  <c r="H306" i="6" a="1"/>
  <c r="H306" i="6" s="1"/>
  <c r="I306" i="6" s="1"/>
  <c r="H307" i="6" a="1"/>
  <c r="H307" i="6" s="1"/>
  <c r="I307" i="6" s="1"/>
  <c r="H308" i="6" a="1"/>
  <c r="H308" i="6" s="1"/>
  <c r="I308" i="6" s="1"/>
  <c r="H309" i="6" a="1"/>
  <c r="H309" i="6" s="1"/>
  <c r="I309" i="6" s="1"/>
  <c r="H310" i="6" a="1"/>
  <c r="H310" i="6" s="1"/>
  <c r="I310" i="6" s="1"/>
  <c r="H311" i="6" a="1"/>
  <c r="H311" i="6" s="1"/>
  <c r="I311" i="6" s="1"/>
  <c r="H312" i="6" a="1"/>
  <c r="H312" i="6" s="1"/>
  <c r="I312" i="6" s="1"/>
  <c r="H313" i="6" a="1"/>
  <c r="H313" i="6" s="1"/>
  <c r="I313" i="6" s="1"/>
  <c r="H314" i="6" a="1"/>
  <c r="H314" i="6" s="1"/>
  <c r="I314" i="6" s="1"/>
  <c r="H315" i="6" a="1"/>
  <c r="H315" i="6" s="1"/>
  <c r="I315" i="6" s="1"/>
  <c r="H316" i="6" a="1"/>
  <c r="H316" i="6" s="1"/>
  <c r="I316" i="6" s="1"/>
  <c r="H317" i="6" a="1"/>
  <c r="H317" i="6" s="1"/>
  <c r="I317" i="6" s="1"/>
  <c r="H318" i="6" a="1"/>
  <c r="H318" i="6" s="1"/>
  <c r="I318" i="6" s="1"/>
  <c r="H319" i="6" a="1"/>
  <c r="H319" i="6" s="1"/>
  <c r="I319" i="6" s="1"/>
  <c r="H320" i="6" a="1"/>
  <c r="H320" i="6" s="1"/>
  <c r="I320" i="6" s="1"/>
  <c r="H321" i="6" a="1"/>
  <c r="H321" i="6" s="1"/>
  <c r="I321" i="6" s="1"/>
  <c r="H322" i="6" a="1"/>
  <c r="H322" i="6" s="1"/>
  <c r="I322" i="6" s="1"/>
  <c r="H323" i="6" a="1"/>
  <c r="H323" i="6" s="1"/>
  <c r="I323" i="6" s="1"/>
  <c r="H324" i="6" a="1"/>
  <c r="H324" i="6" s="1"/>
  <c r="I324" i="6" s="1"/>
  <c r="H325" i="6" a="1"/>
  <c r="H325" i="6" s="1"/>
  <c r="I325" i="6" s="1"/>
  <c r="H326" i="6" a="1"/>
  <c r="H326" i="6" s="1"/>
  <c r="I326" i="6" s="1"/>
  <c r="H327" i="6" a="1"/>
  <c r="H327" i="6" s="1"/>
  <c r="I327" i="6" s="1"/>
  <c r="H328" i="6" a="1"/>
  <c r="H328" i="6" s="1"/>
  <c r="I328" i="6" s="1"/>
  <c r="H329" i="6" a="1"/>
  <c r="H329" i="6" s="1"/>
  <c r="I329" i="6" s="1"/>
  <c r="H330" i="6" a="1"/>
  <c r="H330" i="6" s="1"/>
  <c r="I330" i="6" s="1"/>
  <c r="H331" i="6" a="1"/>
  <c r="H331" i="6" s="1"/>
  <c r="I331" i="6" s="1"/>
  <c r="H332" i="6" a="1"/>
  <c r="H332" i="6" s="1"/>
  <c r="I332" i="6" s="1"/>
  <c r="H333" i="6" a="1"/>
  <c r="H333" i="6" s="1"/>
  <c r="I333" i="6" s="1"/>
  <c r="H334" i="6" a="1"/>
  <c r="H334" i="6" s="1"/>
  <c r="I334" i="6" s="1"/>
  <c r="H335" i="6" a="1"/>
  <c r="H335" i="6" s="1"/>
  <c r="I335" i="6" s="1"/>
  <c r="H336" i="6" a="1"/>
  <c r="H336" i="6" s="1"/>
  <c r="I336" i="6" s="1"/>
  <c r="H337" i="6" a="1"/>
  <c r="H337" i="6" s="1"/>
  <c r="I337" i="6" s="1"/>
  <c r="H338" i="6" a="1"/>
  <c r="H338" i="6" s="1"/>
  <c r="I338" i="6" s="1"/>
  <c r="H339" i="6" a="1"/>
  <c r="H339" i="6" s="1"/>
  <c r="I339" i="6" s="1"/>
  <c r="H340" i="6" a="1"/>
  <c r="H340" i="6" s="1"/>
  <c r="I340" i="6" s="1"/>
  <c r="H341" i="6" a="1"/>
  <c r="H341" i="6" s="1"/>
  <c r="I341" i="6" s="1"/>
  <c r="H342" i="6" a="1"/>
  <c r="H342" i="6" s="1"/>
  <c r="I342" i="6" s="1"/>
  <c r="H343" i="6" a="1"/>
  <c r="H343" i="6" s="1"/>
  <c r="I343" i="6" s="1"/>
  <c r="H344" i="6" a="1"/>
  <c r="H344" i="6" s="1"/>
  <c r="I344" i="6" s="1"/>
  <c r="H345" i="6" a="1"/>
  <c r="H345" i="6" s="1"/>
  <c r="I345" i="6" s="1"/>
  <c r="H346" i="6" a="1"/>
  <c r="H346" i="6" s="1"/>
  <c r="I346" i="6" s="1"/>
  <c r="H347" i="6" a="1"/>
  <c r="H347" i="6" s="1"/>
  <c r="I347" i="6" s="1"/>
  <c r="H348" i="6" a="1"/>
  <c r="H348" i="6" s="1"/>
  <c r="I348" i="6" s="1"/>
  <c r="H349" i="6" a="1"/>
  <c r="H349" i="6" s="1"/>
  <c r="I349" i="6" s="1"/>
  <c r="H350" i="6" a="1"/>
  <c r="H350" i="6" s="1"/>
  <c r="I350" i="6" s="1"/>
  <c r="H351" i="6" a="1"/>
  <c r="H351" i="6" s="1"/>
  <c r="I351" i="6" s="1"/>
  <c r="H352" i="6" a="1"/>
  <c r="H352" i="6" s="1"/>
  <c r="I352" i="6" s="1"/>
  <c r="H353" i="6" a="1"/>
  <c r="H353" i="6" s="1"/>
  <c r="I353" i="6" s="1"/>
  <c r="H354" i="6" a="1"/>
  <c r="H354" i="6" s="1"/>
  <c r="I354" i="6" s="1"/>
  <c r="H355" i="6" a="1"/>
  <c r="H355" i="6" s="1"/>
  <c r="I355" i="6" s="1"/>
  <c r="H356" i="6" a="1"/>
  <c r="H356" i="6" s="1"/>
  <c r="I356" i="6" s="1"/>
  <c r="H357" i="6" a="1"/>
  <c r="H357" i="6" s="1"/>
  <c r="I357" i="6" s="1"/>
  <c r="H358" i="6" a="1"/>
  <c r="H358" i="6" s="1"/>
  <c r="I358" i="6" s="1"/>
  <c r="H359" i="6" a="1"/>
  <c r="H359" i="6" s="1"/>
  <c r="I359" i="6" s="1"/>
  <c r="H360" i="6" a="1"/>
  <c r="H360" i="6" s="1"/>
  <c r="I360" i="6" s="1"/>
  <c r="H361" i="6" a="1"/>
  <c r="H361" i="6" s="1"/>
  <c r="I361" i="6" s="1"/>
  <c r="H362" i="6" a="1"/>
  <c r="H362" i="6" s="1"/>
  <c r="I362" i="6" s="1"/>
  <c r="H363" i="6" a="1"/>
  <c r="H363" i="6" s="1"/>
  <c r="I363" i="6" s="1"/>
  <c r="H364" i="6" a="1"/>
  <c r="H364" i="6" s="1"/>
  <c r="I364" i="6" s="1"/>
  <c r="H365" i="6" a="1"/>
  <c r="H365" i="6" s="1"/>
  <c r="I365" i="6" s="1"/>
  <c r="H366" i="6" a="1"/>
  <c r="H366" i="6" s="1"/>
  <c r="I366" i="6" s="1"/>
  <c r="H367" i="6" a="1"/>
  <c r="H367" i="6" s="1"/>
  <c r="I367" i="6" s="1"/>
  <c r="H368" i="6" a="1"/>
  <c r="H368" i="6" s="1"/>
  <c r="I368" i="6" s="1"/>
  <c r="H369" i="6" a="1"/>
  <c r="H369" i="6" s="1"/>
  <c r="I369" i="6" s="1"/>
  <c r="H370" i="6" a="1"/>
  <c r="H370" i="6" s="1"/>
  <c r="I370" i="6" s="1"/>
  <c r="H371" i="6" a="1"/>
  <c r="H371" i="6" s="1"/>
  <c r="I371" i="6" s="1"/>
  <c r="H372" i="6" a="1"/>
  <c r="H372" i="6" s="1"/>
  <c r="I372" i="6" s="1"/>
  <c r="H373" i="6" a="1"/>
  <c r="H373" i="6" s="1"/>
  <c r="I373" i="6" s="1"/>
  <c r="H374" i="6" a="1"/>
  <c r="H374" i="6" s="1"/>
  <c r="I374" i="6" s="1"/>
  <c r="H375" i="6" a="1"/>
  <c r="H375" i="6" s="1"/>
  <c r="I375" i="6" s="1"/>
  <c r="H376" i="6" a="1"/>
  <c r="H376" i="6" s="1"/>
  <c r="I376" i="6" s="1"/>
  <c r="H377" i="6" a="1"/>
  <c r="H377" i="6" s="1"/>
  <c r="I377" i="6" s="1"/>
  <c r="H378" i="6" a="1"/>
  <c r="H378" i="6" s="1"/>
  <c r="I378" i="6" s="1"/>
  <c r="H379" i="6" a="1"/>
  <c r="H379" i="6" s="1"/>
  <c r="I379" i="6" s="1"/>
  <c r="H380" i="6" a="1"/>
  <c r="H380" i="6" s="1"/>
  <c r="I380" i="6" s="1"/>
  <c r="H381" i="6" a="1"/>
  <c r="H381" i="6" s="1"/>
  <c r="I381" i="6" s="1"/>
  <c r="H382" i="6" a="1"/>
  <c r="H382" i="6" s="1"/>
  <c r="I382" i="6" s="1"/>
  <c r="H383" i="6" a="1"/>
  <c r="H383" i="6" s="1"/>
  <c r="I383" i="6" s="1"/>
  <c r="H384" i="6" a="1"/>
  <c r="H384" i="6" s="1"/>
  <c r="I384" i="6" s="1"/>
  <c r="H385" i="6" a="1"/>
  <c r="H385" i="6" s="1"/>
  <c r="I385" i="6" s="1"/>
  <c r="H386" i="6" a="1"/>
  <c r="H386" i="6" s="1"/>
  <c r="I386" i="6" s="1"/>
  <c r="H387" i="6" a="1"/>
  <c r="H387" i="6" s="1"/>
  <c r="I387" i="6" s="1"/>
  <c r="H388" i="6" a="1"/>
  <c r="H388" i="6" s="1"/>
  <c r="I388" i="6" s="1"/>
  <c r="H389" i="6" a="1"/>
  <c r="H389" i="6" s="1"/>
  <c r="I389" i="6" s="1"/>
  <c r="H390" i="6" a="1"/>
  <c r="H390" i="6" s="1"/>
  <c r="I390" i="6" s="1"/>
  <c r="H391" i="6" a="1"/>
  <c r="H391" i="6" s="1"/>
  <c r="I391" i="6" s="1"/>
  <c r="H392" i="6" a="1"/>
  <c r="H392" i="6" s="1"/>
  <c r="I392" i="6" s="1"/>
  <c r="H393" i="6" a="1"/>
  <c r="H393" i="6" s="1"/>
  <c r="I393" i="6" s="1"/>
  <c r="H394" i="6" a="1"/>
  <c r="H394" i="6" s="1"/>
  <c r="I394" i="6" s="1"/>
  <c r="H395" i="6" a="1"/>
  <c r="H395" i="6" s="1"/>
  <c r="I395" i="6" s="1"/>
  <c r="H396" i="6" a="1"/>
  <c r="H396" i="6" s="1"/>
  <c r="I396" i="6" s="1"/>
  <c r="H397" i="6" a="1"/>
  <c r="H397" i="6" s="1"/>
  <c r="I397" i="6" s="1"/>
  <c r="H398" i="6" a="1"/>
  <c r="H398" i="6" s="1"/>
  <c r="I398" i="6" s="1"/>
  <c r="H399" i="6" a="1"/>
  <c r="H399" i="6" s="1"/>
  <c r="I399" i="6" s="1"/>
  <c r="H400" i="6" a="1"/>
  <c r="H400" i="6" s="1"/>
  <c r="I400" i="6" s="1"/>
  <c r="H401" i="6" a="1"/>
  <c r="H401" i="6" s="1"/>
  <c r="I401" i="6" s="1"/>
  <c r="H402" i="6" a="1"/>
  <c r="H402" i="6" s="1"/>
  <c r="I402" i="6" s="1"/>
  <c r="H403" i="6" a="1"/>
  <c r="H403" i="6" s="1"/>
  <c r="I403" i="6" s="1"/>
  <c r="H404" i="6" a="1"/>
  <c r="H404" i="6" s="1"/>
  <c r="I404" i="6" s="1"/>
  <c r="H405" i="6" a="1"/>
  <c r="H405" i="6" s="1"/>
  <c r="I405" i="6" s="1"/>
  <c r="H406" i="6" a="1"/>
  <c r="H406" i="6" s="1"/>
  <c r="I406" i="6" s="1"/>
  <c r="H407" i="6" a="1"/>
  <c r="H407" i="6" s="1"/>
  <c r="I407" i="6" s="1"/>
  <c r="H408" i="6" a="1"/>
  <c r="H408" i="6" s="1"/>
  <c r="I408" i="6" s="1"/>
  <c r="H409" i="6" a="1"/>
  <c r="H409" i="6" s="1"/>
  <c r="I409" i="6" s="1"/>
  <c r="H410" i="6" a="1"/>
  <c r="H410" i="6" s="1"/>
  <c r="I410" i="6" s="1"/>
  <c r="H411" i="6" a="1"/>
  <c r="H411" i="6" s="1"/>
  <c r="I411" i="6" s="1"/>
  <c r="H412" i="6" a="1"/>
  <c r="H412" i="6" s="1"/>
  <c r="I412" i="6" s="1"/>
  <c r="H413" i="6" a="1"/>
  <c r="H413" i="6" s="1"/>
  <c r="I413" i="6" s="1"/>
  <c r="H414" i="6" a="1"/>
  <c r="H414" i="6" s="1"/>
  <c r="I414" i="6" s="1"/>
  <c r="H415" i="6" a="1"/>
  <c r="H415" i="6" s="1"/>
  <c r="I415" i="6" s="1"/>
  <c r="H416" i="6" a="1"/>
  <c r="H416" i="6" s="1"/>
  <c r="I416" i="6" s="1"/>
  <c r="H417" i="6" a="1"/>
  <c r="H417" i="6" s="1"/>
  <c r="I417" i="6" s="1"/>
  <c r="H418" i="6" a="1"/>
  <c r="H418" i="6" s="1"/>
  <c r="I418" i="6" s="1"/>
  <c r="H419" i="6" a="1"/>
  <c r="H419" i="6" s="1"/>
  <c r="I419" i="6" s="1"/>
  <c r="H420" i="6" a="1"/>
  <c r="H420" i="6" s="1"/>
  <c r="I420" i="6" s="1"/>
  <c r="H421" i="6" a="1"/>
  <c r="H421" i="6" s="1"/>
  <c r="I421" i="6" s="1"/>
  <c r="H422" i="6" a="1"/>
  <c r="H422" i="6" s="1"/>
  <c r="I422" i="6" s="1"/>
  <c r="H423" i="6" a="1"/>
  <c r="H423" i="6" s="1"/>
  <c r="I423" i="6" s="1"/>
  <c r="H424" i="6" a="1"/>
  <c r="H424" i="6" s="1"/>
  <c r="I424" i="6" s="1"/>
  <c r="H425" i="6" a="1"/>
  <c r="H425" i="6" s="1"/>
  <c r="I425" i="6" s="1"/>
  <c r="H426" i="6" a="1"/>
  <c r="H426" i="6" s="1"/>
  <c r="I426" i="6" s="1"/>
  <c r="H427" i="6" a="1"/>
  <c r="H427" i="6" s="1"/>
  <c r="I427" i="6" s="1"/>
  <c r="H428" i="6" a="1"/>
  <c r="H428" i="6" s="1"/>
  <c r="I428" i="6" s="1"/>
  <c r="H429" i="6" a="1"/>
  <c r="H429" i="6" s="1"/>
  <c r="I429" i="6" s="1"/>
  <c r="H430" i="6" a="1"/>
  <c r="H430" i="6" s="1"/>
  <c r="I430" i="6" s="1"/>
  <c r="H431" i="6" a="1"/>
  <c r="H431" i="6" s="1"/>
  <c r="I431" i="6" s="1"/>
  <c r="H432" i="6" a="1"/>
  <c r="H432" i="6" s="1"/>
  <c r="I432" i="6" s="1"/>
  <c r="H433" i="6" a="1"/>
  <c r="H433" i="6" s="1"/>
  <c r="I433" i="6" s="1"/>
  <c r="H434" i="6" a="1"/>
  <c r="H434" i="6" s="1"/>
  <c r="I434" i="6" s="1"/>
  <c r="H435" i="6" a="1"/>
  <c r="H435" i="6" s="1"/>
  <c r="I435" i="6" s="1"/>
  <c r="H436" i="6" a="1"/>
  <c r="H436" i="6" s="1"/>
  <c r="I436" i="6" s="1"/>
  <c r="H437" i="6" a="1"/>
  <c r="H437" i="6" s="1"/>
  <c r="I437" i="6" s="1"/>
  <c r="H438" i="6" a="1"/>
  <c r="H438" i="6" s="1"/>
  <c r="I438" i="6" s="1"/>
  <c r="H439" i="6" a="1"/>
  <c r="H439" i="6" s="1"/>
  <c r="I439" i="6" s="1"/>
  <c r="H440" i="6" a="1"/>
  <c r="H440" i="6" s="1"/>
  <c r="I440" i="6" s="1"/>
  <c r="H441" i="6" a="1"/>
  <c r="H441" i="6" s="1"/>
  <c r="I441" i="6" s="1"/>
  <c r="H442" i="6" a="1"/>
  <c r="H442" i="6" s="1"/>
  <c r="I442" i="6" s="1"/>
  <c r="H443" i="6" a="1"/>
  <c r="H443" i="6" s="1"/>
  <c r="I443" i="6" s="1"/>
  <c r="H444" i="6" a="1"/>
  <c r="H444" i="6" s="1"/>
  <c r="I444" i="6" s="1"/>
  <c r="H445" i="6" a="1"/>
  <c r="H445" i="6" s="1"/>
  <c r="I445" i="6" s="1"/>
  <c r="H446" i="6" a="1"/>
  <c r="H446" i="6" s="1"/>
  <c r="I446" i="6" s="1"/>
  <c r="H447" i="6" a="1"/>
  <c r="H447" i="6" s="1"/>
  <c r="I447" i="6" s="1"/>
  <c r="H448" i="6" a="1"/>
  <c r="H448" i="6" s="1"/>
  <c r="I448" i="6" s="1"/>
  <c r="H449" i="6" a="1"/>
  <c r="H449" i="6" s="1"/>
  <c r="I449" i="6" s="1"/>
  <c r="H450" i="6" a="1"/>
  <c r="H450" i="6" s="1"/>
  <c r="I450" i="6" s="1"/>
  <c r="H451" i="6" a="1"/>
  <c r="H451" i="6" s="1"/>
  <c r="I451" i="6" s="1"/>
  <c r="H452" i="6" a="1"/>
  <c r="H452" i="6" s="1"/>
  <c r="I452" i="6" s="1"/>
  <c r="H453" i="6" a="1"/>
  <c r="H453" i="6" s="1"/>
  <c r="I453" i="6" s="1"/>
  <c r="H454" i="6" a="1"/>
  <c r="H454" i="6" s="1"/>
  <c r="I454" i="6" s="1"/>
  <c r="H455" i="6" a="1"/>
  <c r="H455" i="6" s="1"/>
  <c r="I455" i="6" s="1"/>
  <c r="H456" i="6" a="1"/>
  <c r="H456" i="6" s="1"/>
  <c r="I456" i="6" s="1"/>
  <c r="H457" i="6" a="1"/>
  <c r="H457" i="6" s="1"/>
  <c r="I457" i="6" s="1"/>
  <c r="H458" i="6" a="1"/>
  <c r="H458" i="6" s="1"/>
  <c r="I458" i="6" s="1"/>
  <c r="H459" i="6" a="1"/>
  <c r="H459" i="6" s="1"/>
  <c r="I459" i="6" s="1"/>
  <c r="H460" i="6" a="1"/>
  <c r="H460" i="6" s="1"/>
  <c r="I460" i="6" s="1"/>
  <c r="H461" i="6" a="1"/>
  <c r="H461" i="6" s="1"/>
  <c r="I461" i="6" s="1"/>
  <c r="H462" i="6" a="1"/>
  <c r="H462" i="6" s="1"/>
  <c r="I462" i="6" s="1"/>
  <c r="H463" i="6" a="1"/>
  <c r="H463" i="6" s="1"/>
  <c r="I463" i="6" s="1"/>
  <c r="H464" i="6" a="1"/>
  <c r="H464" i="6" s="1"/>
  <c r="I464" i="6" s="1"/>
  <c r="H465" i="6" a="1"/>
  <c r="H465" i="6" s="1"/>
  <c r="I465" i="6" s="1"/>
  <c r="H466" i="6" a="1"/>
  <c r="H466" i="6" s="1"/>
  <c r="I466" i="6" s="1"/>
  <c r="H467" i="6" a="1"/>
  <c r="H467" i="6" s="1"/>
  <c r="I467" i="6" s="1"/>
  <c r="H468" i="6" a="1"/>
  <c r="H468" i="6" s="1"/>
  <c r="I468" i="6" s="1"/>
  <c r="H469" i="6" a="1"/>
  <c r="H469" i="6" s="1"/>
  <c r="I469" i="6" s="1"/>
  <c r="H470" i="6" a="1"/>
  <c r="H470" i="6" s="1"/>
  <c r="I470" i="6" s="1"/>
  <c r="H471" i="6" a="1"/>
  <c r="H471" i="6" s="1"/>
  <c r="I471" i="6" s="1"/>
  <c r="H472" i="6" a="1"/>
  <c r="H472" i="6" s="1"/>
  <c r="I472" i="6" s="1"/>
  <c r="H473" i="6" a="1"/>
  <c r="H473" i="6" s="1"/>
  <c r="I473" i="6" s="1"/>
  <c r="H474" i="6" a="1"/>
  <c r="H474" i="6" s="1"/>
  <c r="I474" i="6" s="1"/>
  <c r="H475" i="6" a="1"/>
  <c r="H475" i="6" s="1"/>
  <c r="I475" i="6" s="1"/>
  <c r="H476" i="6" a="1"/>
  <c r="H476" i="6" s="1"/>
  <c r="I476" i="6" s="1"/>
  <c r="H477" i="6" a="1"/>
  <c r="H477" i="6" s="1"/>
  <c r="I477" i="6" s="1"/>
  <c r="H478" i="6" a="1"/>
  <c r="H478" i="6" s="1"/>
  <c r="I478" i="6" s="1"/>
  <c r="H479" i="6" a="1"/>
  <c r="H479" i="6" s="1"/>
  <c r="I479" i="6" s="1"/>
  <c r="H480" i="6" a="1"/>
  <c r="H480" i="6" s="1"/>
  <c r="I480" i="6" s="1"/>
  <c r="H481" i="6" a="1"/>
  <c r="H481" i="6" s="1"/>
  <c r="I481" i="6" s="1"/>
  <c r="H482" i="6" a="1"/>
  <c r="H482" i="6" s="1"/>
  <c r="I482" i="6" s="1"/>
  <c r="H483" i="6" a="1"/>
  <c r="H483" i="6" s="1"/>
  <c r="I483" i="6" s="1"/>
  <c r="H484" i="6" a="1"/>
  <c r="H484" i="6" s="1"/>
  <c r="I484" i="6" s="1"/>
  <c r="H485" i="6" a="1"/>
  <c r="H485" i="6" s="1"/>
  <c r="I485" i="6" s="1"/>
  <c r="H486" i="6" a="1"/>
  <c r="H486" i="6" s="1"/>
  <c r="I486" i="6" s="1"/>
  <c r="H487" i="6" a="1"/>
  <c r="H487" i="6" s="1"/>
  <c r="I487" i="6" s="1"/>
  <c r="H488" i="6" a="1"/>
  <c r="H488" i="6" s="1"/>
  <c r="I488" i="6" s="1"/>
  <c r="H489" i="6" a="1"/>
  <c r="H489" i="6" s="1"/>
  <c r="I489" i="6" s="1"/>
  <c r="H490" i="6" a="1"/>
  <c r="H490" i="6" s="1"/>
  <c r="I490" i="6" s="1"/>
  <c r="H491" i="6" a="1"/>
  <c r="H491" i="6" s="1"/>
  <c r="I491" i="6" s="1"/>
  <c r="H492" i="6" a="1"/>
  <c r="H492" i="6" s="1"/>
  <c r="I492" i="6" s="1"/>
  <c r="H493" i="6" a="1"/>
  <c r="H493" i="6" s="1"/>
  <c r="I493" i="6" s="1"/>
  <c r="H494" i="6" a="1"/>
  <c r="H494" i="6" s="1"/>
  <c r="I494" i="6" s="1"/>
  <c r="H495" i="6" a="1"/>
  <c r="H495" i="6" s="1"/>
  <c r="I495" i="6" s="1"/>
  <c r="H496" i="6" a="1"/>
  <c r="H496" i="6" s="1"/>
  <c r="I496" i="6" s="1"/>
  <c r="H497" i="6" a="1"/>
  <c r="H497" i="6" s="1"/>
  <c r="I497" i="6" s="1"/>
  <c r="H498" i="6" a="1"/>
  <c r="H498" i="6" s="1"/>
  <c r="I498" i="6" s="1"/>
  <c r="H499" i="6" a="1"/>
  <c r="H499" i="6" s="1"/>
  <c r="I499" i="6" s="1"/>
  <c r="H500" i="6" a="1"/>
  <c r="H500" i="6" s="1"/>
  <c r="I500" i="6" s="1"/>
  <c r="H501" i="6" a="1"/>
  <c r="H501" i="6" s="1"/>
  <c r="I501" i="6" s="1"/>
  <c r="H502" i="6" a="1"/>
  <c r="H502" i="6" s="1"/>
  <c r="I502" i="6" s="1"/>
  <c r="H503" i="6" a="1"/>
  <c r="H503" i="6" s="1"/>
  <c r="I503" i="6" s="1"/>
  <c r="H504" i="6" a="1"/>
  <c r="H504" i="6" s="1"/>
  <c r="I504" i="6" s="1"/>
  <c r="H505" i="6" a="1"/>
  <c r="H505" i="6" s="1"/>
  <c r="I505" i="6" s="1"/>
  <c r="H506" i="6" a="1"/>
  <c r="H506" i="6" s="1"/>
  <c r="I506" i="6" s="1"/>
  <c r="H507" i="6" a="1"/>
  <c r="H507" i="6" s="1"/>
  <c r="I507" i="6" s="1"/>
  <c r="H508" i="6" a="1"/>
  <c r="H508" i="6" s="1"/>
  <c r="I508" i="6" s="1"/>
  <c r="H509" i="6" a="1"/>
  <c r="H509" i="6" s="1"/>
  <c r="I509" i="6" s="1"/>
  <c r="H510" i="6" a="1"/>
  <c r="H510" i="6" s="1"/>
  <c r="I510" i="6" s="1"/>
  <c r="H511" i="6" a="1"/>
  <c r="H511" i="6" s="1"/>
  <c r="I511" i="6" s="1"/>
  <c r="H512" i="6" a="1"/>
  <c r="H512" i="6" s="1"/>
  <c r="I512" i="6" s="1"/>
  <c r="H513" i="6" a="1"/>
  <c r="H513" i="6" s="1"/>
  <c r="I513" i="6" s="1"/>
  <c r="H514" i="6" a="1"/>
  <c r="H514" i="6" s="1"/>
  <c r="I514" i="6" s="1"/>
  <c r="H515" i="6" a="1"/>
  <c r="H515" i="6" s="1"/>
  <c r="I515" i="6" s="1"/>
  <c r="H516" i="6" a="1"/>
  <c r="H516" i="6" s="1"/>
  <c r="I516" i="6" s="1"/>
  <c r="H517" i="6" a="1"/>
  <c r="H517" i="6" s="1"/>
  <c r="I517" i="6" s="1"/>
  <c r="H518" i="6" a="1"/>
  <c r="H518" i="6" s="1"/>
  <c r="I518" i="6" s="1"/>
  <c r="H519" i="6" a="1"/>
  <c r="H519" i="6" s="1"/>
  <c r="I519" i="6" s="1"/>
  <c r="H520" i="6" a="1"/>
  <c r="H520" i="6" s="1"/>
  <c r="I520" i="6" s="1"/>
  <c r="H521" i="6" a="1"/>
  <c r="H521" i="6" s="1"/>
  <c r="I521" i="6" s="1"/>
  <c r="H522" i="6" a="1"/>
  <c r="H522" i="6" s="1"/>
  <c r="I522" i="6" s="1"/>
  <c r="H523" i="6" a="1"/>
  <c r="H523" i="6" s="1"/>
  <c r="I523" i="6" s="1"/>
  <c r="H524" i="6" a="1"/>
  <c r="H524" i="6" s="1"/>
  <c r="I524" i="6" s="1"/>
  <c r="H525" i="6" a="1"/>
  <c r="H525" i="6" s="1"/>
  <c r="I525" i="6" s="1"/>
  <c r="H526" i="6" a="1"/>
  <c r="H526" i="6" s="1"/>
  <c r="I526" i="6" s="1"/>
  <c r="H527" i="6" a="1"/>
  <c r="H527" i="6" s="1"/>
  <c r="I527" i="6" s="1"/>
  <c r="H528" i="6" a="1"/>
  <c r="H528" i="6" s="1"/>
  <c r="I528" i="6" s="1"/>
  <c r="H529" i="6" a="1"/>
  <c r="H529" i="6" s="1"/>
  <c r="I529" i="6" s="1"/>
  <c r="H530" i="6" a="1"/>
  <c r="H530" i="6" s="1"/>
  <c r="I530" i="6" s="1"/>
  <c r="H531" i="6" a="1"/>
  <c r="H531" i="6" s="1"/>
  <c r="I531" i="6" s="1"/>
  <c r="H532" i="6" a="1"/>
  <c r="H532" i="6" s="1"/>
  <c r="I532" i="6" s="1"/>
  <c r="H533" i="6" a="1"/>
  <c r="H533" i="6" s="1"/>
  <c r="I533" i="6" s="1"/>
  <c r="H534" i="6" a="1"/>
  <c r="H534" i="6" s="1"/>
  <c r="I534" i="6" s="1"/>
  <c r="H535" i="6" a="1"/>
  <c r="H535" i="6" s="1"/>
  <c r="I535" i="6" s="1"/>
  <c r="H536" i="6" a="1"/>
  <c r="H536" i="6" s="1"/>
  <c r="I536" i="6" s="1"/>
  <c r="H537" i="6" a="1"/>
  <c r="H537" i="6" s="1"/>
  <c r="I537" i="6" s="1"/>
  <c r="H538" i="6" a="1"/>
  <c r="H538" i="6" s="1"/>
  <c r="I538" i="6" s="1"/>
  <c r="H539" i="6" a="1"/>
  <c r="H539" i="6" s="1"/>
  <c r="I539" i="6" s="1"/>
  <c r="H540" i="6" a="1"/>
  <c r="H540" i="6" s="1"/>
  <c r="I540" i="6" s="1"/>
  <c r="H541" i="6" a="1"/>
  <c r="H541" i="6" s="1"/>
  <c r="I541" i="6" s="1"/>
  <c r="H542" i="6" a="1"/>
  <c r="H542" i="6" s="1"/>
  <c r="I542" i="6" s="1"/>
  <c r="H543" i="6" a="1"/>
  <c r="H543" i="6" s="1"/>
  <c r="I543" i="6" s="1"/>
  <c r="H544" i="6" a="1"/>
  <c r="H544" i="6" s="1"/>
  <c r="I544" i="6" s="1"/>
  <c r="H545" i="6" a="1"/>
  <c r="H545" i="6" s="1"/>
  <c r="I545" i="6" s="1"/>
  <c r="H546" i="6" a="1"/>
  <c r="H546" i="6" s="1"/>
  <c r="I546" i="6" s="1"/>
  <c r="H547" i="6" a="1"/>
  <c r="H547" i="6" s="1"/>
  <c r="I547" i="6" s="1"/>
  <c r="H548" i="6" a="1"/>
  <c r="H548" i="6" s="1"/>
  <c r="I548" i="6" s="1"/>
  <c r="H549" i="6" a="1"/>
  <c r="H549" i="6" s="1"/>
  <c r="I549" i="6" s="1"/>
  <c r="H550" i="6" a="1"/>
  <c r="H550" i="6" s="1"/>
  <c r="I550" i="6" s="1"/>
  <c r="H551" i="6" a="1"/>
  <c r="H551" i="6" s="1"/>
  <c r="I551" i="6" s="1"/>
  <c r="H552" i="6" a="1"/>
  <c r="H552" i="6" s="1"/>
  <c r="I552" i="6" s="1"/>
  <c r="H553" i="6" a="1"/>
  <c r="H553" i="6" s="1"/>
  <c r="I553" i="6" s="1"/>
  <c r="H554" i="6" a="1"/>
  <c r="H554" i="6" s="1"/>
  <c r="I554" i="6" s="1"/>
  <c r="H555" i="6" a="1"/>
  <c r="H555" i="6" s="1"/>
  <c r="I555" i="6" s="1"/>
  <c r="H556" i="6" a="1"/>
  <c r="H556" i="6" s="1"/>
  <c r="I556" i="6" s="1"/>
  <c r="H557" i="6" a="1"/>
  <c r="H557" i="6" s="1"/>
  <c r="I557" i="6" s="1"/>
  <c r="H558" i="6" a="1"/>
  <c r="H558" i="6" s="1"/>
  <c r="I558" i="6" s="1"/>
  <c r="H559" i="6" a="1"/>
  <c r="H559" i="6" s="1"/>
  <c r="I559" i="6" s="1"/>
  <c r="H560" i="6" a="1"/>
  <c r="H560" i="6" s="1"/>
  <c r="I560" i="6" s="1"/>
  <c r="H561" i="6" a="1"/>
  <c r="H561" i="6" s="1"/>
  <c r="I561" i="6" s="1"/>
  <c r="H562" i="6" a="1"/>
  <c r="H562" i="6" s="1"/>
  <c r="I562" i="6" s="1"/>
  <c r="H563" i="6" a="1"/>
  <c r="H563" i="6" s="1"/>
  <c r="I563" i="6" s="1"/>
  <c r="H564" i="6" a="1"/>
  <c r="H564" i="6" s="1"/>
  <c r="I564" i="6" s="1"/>
  <c r="H565" i="6" a="1"/>
  <c r="H565" i="6" s="1"/>
  <c r="I565" i="6" s="1"/>
  <c r="H566" i="6" a="1"/>
  <c r="H566" i="6" s="1"/>
  <c r="I566" i="6" s="1"/>
  <c r="H567" i="6" a="1"/>
  <c r="H567" i="6" s="1"/>
  <c r="I567" i="6" s="1"/>
  <c r="H568" i="6" a="1"/>
  <c r="H568" i="6" s="1"/>
  <c r="I568" i="6" s="1"/>
  <c r="H569" i="6" a="1"/>
  <c r="H569" i="6" s="1"/>
  <c r="I569" i="6" s="1"/>
  <c r="H570" i="6" a="1"/>
  <c r="H570" i="6" s="1"/>
  <c r="I570" i="6" s="1"/>
  <c r="H571" i="6" a="1"/>
  <c r="H571" i="6" s="1"/>
  <c r="I571" i="6" s="1"/>
  <c r="H572" i="6" a="1"/>
  <c r="H572" i="6" s="1"/>
  <c r="I572" i="6" s="1"/>
  <c r="H573" i="6" a="1"/>
  <c r="H573" i="6" s="1"/>
  <c r="I573" i="6" s="1"/>
  <c r="H574" i="6" a="1"/>
  <c r="H574" i="6" s="1"/>
  <c r="I574" i="6" s="1"/>
  <c r="H575" i="6" a="1"/>
  <c r="H575" i="6" s="1"/>
  <c r="I575" i="6" s="1"/>
  <c r="H576" i="6" a="1"/>
  <c r="H576" i="6" s="1"/>
  <c r="I576" i="6" s="1"/>
  <c r="H577" i="6" a="1"/>
  <c r="H577" i="6" s="1"/>
  <c r="I577" i="6" s="1"/>
  <c r="H578" i="6" a="1"/>
  <c r="H578" i="6" s="1"/>
  <c r="I578" i="6" s="1"/>
  <c r="H579" i="6" a="1"/>
  <c r="H579" i="6" s="1"/>
  <c r="I579" i="6" s="1"/>
  <c r="H580" i="6" a="1"/>
  <c r="H580" i="6" s="1"/>
  <c r="I580" i="6" s="1"/>
  <c r="H581" i="6" a="1"/>
  <c r="H581" i="6" s="1"/>
  <c r="I581" i="6" s="1"/>
  <c r="H582" i="6" a="1"/>
  <c r="H582" i="6" s="1"/>
  <c r="I582" i="6" s="1"/>
  <c r="H583" i="6" a="1"/>
  <c r="H583" i="6" s="1"/>
  <c r="I583" i="6" s="1"/>
  <c r="H584" i="6" a="1"/>
  <c r="H584" i="6" s="1"/>
  <c r="I584" i="6" s="1"/>
  <c r="H585" i="6" a="1"/>
  <c r="H585" i="6" s="1"/>
  <c r="I585" i="6" s="1"/>
  <c r="H586" i="6" a="1"/>
  <c r="H586" i="6" s="1"/>
  <c r="I586" i="6" s="1"/>
  <c r="H587" i="6" a="1"/>
  <c r="H587" i="6" s="1"/>
  <c r="I587" i="6" s="1"/>
  <c r="H588" i="6" a="1"/>
  <c r="H588" i="6" s="1"/>
  <c r="I588" i="6" s="1"/>
  <c r="H589" i="6" a="1"/>
  <c r="H589" i="6" s="1"/>
  <c r="I589" i="6" s="1"/>
  <c r="H590" i="6" a="1"/>
  <c r="H590" i="6" s="1"/>
  <c r="I590" i="6" s="1"/>
  <c r="H591" i="6" a="1"/>
  <c r="H591" i="6" s="1"/>
  <c r="I591" i="6" s="1"/>
  <c r="H592" i="6" a="1"/>
  <c r="H592" i="6" s="1"/>
  <c r="I592" i="6" s="1"/>
  <c r="H593" i="6" a="1"/>
  <c r="H593" i="6" s="1"/>
  <c r="I593" i="6" s="1"/>
  <c r="H594" i="6" a="1"/>
  <c r="H594" i="6" s="1"/>
  <c r="I594" i="6" s="1"/>
  <c r="H595" i="6" a="1"/>
  <c r="H595" i="6" s="1"/>
  <c r="I595" i="6" s="1"/>
  <c r="H596" i="6" a="1"/>
  <c r="H596" i="6" s="1"/>
  <c r="I596" i="6" s="1"/>
  <c r="H597" i="6" a="1"/>
  <c r="H597" i="6" s="1"/>
  <c r="I597" i="6" s="1"/>
  <c r="H598" i="6" a="1"/>
  <c r="H598" i="6" s="1"/>
  <c r="I598" i="6" s="1"/>
  <c r="H599" i="6" a="1"/>
  <c r="H599" i="6" s="1"/>
  <c r="I599" i="6" s="1"/>
  <c r="H600" i="6" a="1"/>
  <c r="H600" i="6" s="1"/>
  <c r="I600" i="6" s="1"/>
  <c r="H601" i="6" a="1"/>
  <c r="H601" i="6" s="1"/>
  <c r="I601" i="6" s="1"/>
  <c r="H602" i="6" a="1"/>
  <c r="H602" i="6" s="1"/>
  <c r="I602" i="6" s="1"/>
  <c r="H603" i="6" a="1"/>
  <c r="H603" i="6" s="1"/>
  <c r="I603" i="6" s="1"/>
  <c r="H604" i="6" a="1"/>
  <c r="H604" i="6" s="1"/>
  <c r="I604" i="6" s="1"/>
  <c r="H605" i="6" a="1"/>
  <c r="H605" i="6" s="1"/>
  <c r="I605" i="6" s="1"/>
  <c r="H606" i="6" a="1"/>
  <c r="H606" i="6" s="1"/>
  <c r="I606" i="6" s="1"/>
  <c r="H607" i="6" a="1"/>
  <c r="H607" i="6" s="1"/>
  <c r="I607" i="6" s="1"/>
  <c r="H608" i="6" a="1"/>
  <c r="H608" i="6" s="1"/>
  <c r="I608" i="6" s="1"/>
  <c r="H609" i="6" a="1"/>
  <c r="H609" i="6" s="1"/>
  <c r="I609" i="6" s="1"/>
  <c r="H610" i="6" a="1"/>
  <c r="H610" i="6" s="1"/>
  <c r="I610" i="6" s="1"/>
  <c r="H611" i="6" a="1"/>
  <c r="H611" i="6" s="1"/>
  <c r="I611" i="6" s="1"/>
  <c r="H612" i="6" a="1"/>
  <c r="H612" i="6" s="1"/>
  <c r="I612" i="6" s="1"/>
  <c r="H613" i="6" a="1"/>
  <c r="H613" i="6" s="1"/>
  <c r="I613" i="6" s="1"/>
  <c r="H614" i="6" a="1"/>
  <c r="H614" i="6" s="1"/>
  <c r="I614" i="6" s="1"/>
  <c r="H615" i="6" a="1"/>
  <c r="H615" i="6" s="1"/>
  <c r="I615" i="6" s="1"/>
  <c r="H616" i="6" a="1"/>
  <c r="H616" i="6" s="1"/>
  <c r="I616" i="6" s="1"/>
  <c r="H617" i="6" a="1"/>
  <c r="H617" i="6" s="1"/>
  <c r="I617" i="6" s="1"/>
  <c r="H618" i="6" a="1"/>
  <c r="H618" i="6" s="1"/>
  <c r="I618" i="6" s="1"/>
  <c r="H619" i="6" a="1"/>
  <c r="H619" i="6" s="1"/>
  <c r="I619" i="6" s="1"/>
  <c r="H620" i="6" a="1"/>
  <c r="H620" i="6" s="1"/>
  <c r="I620" i="6" s="1"/>
  <c r="H621" i="6" a="1"/>
  <c r="H621" i="6" s="1"/>
  <c r="I621" i="6" s="1"/>
  <c r="H622" i="6" a="1"/>
  <c r="H622" i="6" s="1"/>
  <c r="I622" i="6" s="1"/>
  <c r="H623" i="6" a="1"/>
  <c r="H623" i="6" s="1"/>
  <c r="I623" i="6" s="1"/>
  <c r="H624" i="6" a="1"/>
  <c r="H624" i="6" s="1"/>
  <c r="I624" i="6" s="1"/>
  <c r="H625" i="6" a="1"/>
  <c r="H625" i="6" s="1"/>
  <c r="I625" i="6" s="1"/>
  <c r="H626" i="6" a="1"/>
  <c r="H626" i="6" s="1"/>
  <c r="I626" i="6" s="1"/>
  <c r="H627" i="6" a="1"/>
  <c r="H627" i="6" s="1"/>
  <c r="I627" i="6" s="1"/>
  <c r="H628" i="6" a="1"/>
  <c r="H628" i="6" s="1"/>
  <c r="I628" i="6" s="1"/>
  <c r="H629" i="6" a="1"/>
  <c r="H629" i="6" s="1"/>
  <c r="I629" i="6" s="1"/>
  <c r="H630" i="6" a="1"/>
  <c r="H630" i="6" s="1"/>
  <c r="I630" i="6" s="1"/>
  <c r="H631" i="6" a="1"/>
  <c r="H631" i="6" s="1"/>
  <c r="I631" i="6" s="1"/>
  <c r="H632" i="6" a="1"/>
  <c r="H632" i="6" s="1"/>
  <c r="I632" i="6" s="1"/>
  <c r="H633" i="6" a="1"/>
  <c r="H633" i="6" s="1"/>
  <c r="I633" i="6" s="1"/>
  <c r="H634" i="6" a="1"/>
  <c r="H634" i="6" s="1"/>
  <c r="I634" i="6" s="1"/>
  <c r="H635" i="6" a="1"/>
  <c r="H635" i="6" s="1"/>
  <c r="I635" i="6" s="1"/>
  <c r="H636" i="6" a="1"/>
  <c r="H636" i="6" s="1"/>
  <c r="I636" i="6" s="1"/>
  <c r="H637" i="6" a="1"/>
  <c r="H637" i="6" s="1"/>
  <c r="I637" i="6" s="1"/>
  <c r="H638" i="6" a="1"/>
  <c r="H638" i="6" s="1"/>
  <c r="I638" i="6" s="1"/>
  <c r="H639" i="6" a="1"/>
  <c r="H639" i="6" s="1"/>
  <c r="I639" i="6" s="1"/>
  <c r="H640" i="6" a="1"/>
  <c r="H640" i="6" s="1"/>
  <c r="I640" i="6" s="1"/>
  <c r="H641" i="6" a="1"/>
  <c r="H641" i="6" s="1"/>
  <c r="I641" i="6" s="1"/>
  <c r="H642" i="6" a="1"/>
  <c r="H642" i="6" s="1"/>
  <c r="I642" i="6" s="1"/>
  <c r="H643" i="6" a="1"/>
  <c r="H643" i="6" s="1"/>
  <c r="I643" i="6" s="1"/>
  <c r="H644" i="6" a="1"/>
  <c r="H644" i="6" s="1"/>
  <c r="I644" i="6" s="1"/>
  <c r="H645" i="6" a="1"/>
  <c r="H645" i="6" s="1"/>
  <c r="I645" i="6" s="1"/>
  <c r="H646" i="6" a="1"/>
  <c r="H646" i="6" s="1"/>
  <c r="I646" i="6" s="1"/>
  <c r="H647" i="6" a="1"/>
  <c r="H647" i="6" s="1"/>
  <c r="I647" i="6" s="1"/>
  <c r="H648" i="6" a="1"/>
  <c r="H648" i="6" s="1"/>
  <c r="I648" i="6" s="1"/>
  <c r="H649" i="6" a="1"/>
  <c r="H649" i="6" s="1"/>
  <c r="I649" i="6" s="1"/>
  <c r="H650" i="6" a="1"/>
  <c r="H650" i="6" s="1"/>
  <c r="I650" i="6" s="1"/>
  <c r="H651" i="6" a="1"/>
  <c r="H651" i="6" s="1"/>
  <c r="I651" i="6" s="1"/>
  <c r="H652" i="6" a="1"/>
  <c r="H652" i="6" s="1"/>
  <c r="I652" i="6" s="1"/>
  <c r="H653" i="6" a="1"/>
  <c r="H653" i="6" s="1"/>
  <c r="I653" i="6" s="1"/>
  <c r="H654" i="6" a="1"/>
  <c r="H654" i="6" s="1"/>
  <c r="I654" i="6" s="1"/>
  <c r="H655" i="6" a="1"/>
  <c r="H655" i="6" s="1"/>
  <c r="I655" i="6" s="1"/>
  <c r="H656" i="6" a="1"/>
  <c r="H656" i="6" s="1"/>
  <c r="I656" i="6" s="1"/>
  <c r="H657" i="6" a="1"/>
  <c r="H657" i="6" s="1"/>
  <c r="I657" i="6" s="1"/>
  <c r="H658" i="6" a="1"/>
  <c r="H658" i="6" s="1"/>
  <c r="I658" i="6" s="1"/>
  <c r="H659" i="6" a="1"/>
  <c r="H659" i="6" s="1"/>
  <c r="I659" i="6" s="1"/>
  <c r="H660" i="6" a="1"/>
  <c r="H660" i="6" s="1"/>
  <c r="I660" i="6" s="1"/>
  <c r="H661" i="6" a="1"/>
  <c r="H661" i="6" s="1"/>
  <c r="I661" i="6" s="1"/>
  <c r="H662" i="6" a="1"/>
  <c r="H662" i="6" s="1"/>
  <c r="I662" i="6" s="1"/>
  <c r="H663" i="6" a="1"/>
  <c r="H663" i="6" s="1"/>
  <c r="I663" i="6" s="1"/>
  <c r="H664" i="6" a="1"/>
  <c r="H664" i="6" s="1"/>
  <c r="I664" i="6" s="1"/>
  <c r="H665" i="6" a="1"/>
  <c r="H665" i="6" s="1"/>
  <c r="I665" i="6" s="1"/>
  <c r="H666" i="6" a="1"/>
  <c r="H666" i="6" s="1"/>
  <c r="I666" i="6" s="1"/>
  <c r="H667" i="6" a="1"/>
  <c r="H667" i="6" s="1"/>
  <c r="I667" i="6" s="1"/>
  <c r="H668" i="6" a="1"/>
  <c r="H668" i="6" s="1"/>
  <c r="I668" i="6" s="1"/>
  <c r="H669" i="6" a="1"/>
  <c r="H669" i="6" s="1"/>
  <c r="I669" i="6" s="1"/>
  <c r="H670" i="6" a="1"/>
  <c r="H670" i="6" s="1"/>
  <c r="I670" i="6" s="1"/>
  <c r="H671" i="6" a="1"/>
  <c r="H671" i="6" s="1"/>
  <c r="I671" i="6" s="1"/>
  <c r="H672" i="6" a="1"/>
  <c r="H672" i="6" s="1"/>
  <c r="I672" i="6" s="1"/>
  <c r="H673" i="6" a="1"/>
  <c r="H673" i="6" s="1"/>
  <c r="I673" i="6" s="1"/>
  <c r="H674" i="6" a="1"/>
  <c r="H674" i="6" s="1"/>
  <c r="I674" i="6" s="1"/>
  <c r="H675" i="6" a="1"/>
  <c r="H675" i="6" s="1"/>
  <c r="I675" i="6" s="1"/>
  <c r="H676" i="6" a="1"/>
  <c r="H676" i="6" s="1"/>
  <c r="I676" i="6" s="1"/>
  <c r="H677" i="6" a="1"/>
  <c r="H677" i="6" s="1"/>
  <c r="I677" i="6" s="1"/>
  <c r="H678" i="6" a="1"/>
  <c r="H678" i="6" s="1"/>
  <c r="I678" i="6" s="1"/>
  <c r="H679" i="6" a="1"/>
  <c r="H679" i="6" s="1"/>
  <c r="I679" i="6" s="1"/>
  <c r="H680" i="6" a="1"/>
  <c r="H680" i="6" s="1"/>
  <c r="I680" i="6" s="1"/>
  <c r="H681" i="6" a="1"/>
  <c r="H681" i="6" s="1"/>
  <c r="I681" i="6" s="1"/>
  <c r="H682" i="6" a="1"/>
  <c r="H682" i="6" s="1"/>
  <c r="I682" i="6" s="1"/>
  <c r="H683" i="6" a="1"/>
  <c r="H683" i="6" s="1"/>
  <c r="I683" i="6" s="1"/>
  <c r="H684" i="6" a="1"/>
  <c r="H684" i="6" s="1"/>
  <c r="I684" i="6" s="1"/>
  <c r="H685" i="6" a="1"/>
  <c r="H685" i="6" s="1"/>
  <c r="I685" i="6" s="1"/>
  <c r="H686" i="6" a="1"/>
  <c r="H686" i="6" s="1"/>
  <c r="I686" i="6" s="1"/>
  <c r="H687" i="6" a="1"/>
  <c r="H687" i="6" s="1"/>
  <c r="I687" i="6" s="1"/>
  <c r="H688" i="6" a="1"/>
  <c r="H688" i="6" s="1"/>
  <c r="I688" i="6" s="1"/>
  <c r="H689" i="6" a="1"/>
  <c r="H689" i="6" s="1"/>
  <c r="I689" i="6" s="1"/>
  <c r="H690" i="6" a="1"/>
  <c r="H690" i="6" s="1"/>
  <c r="I690" i="6" s="1"/>
  <c r="H691" i="6" a="1"/>
  <c r="H691" i="6" s="1"/>
  <c r="I691" i="6" s="1"/>
  <c r="H692" i="6" a="1"/>
  <c r="H692" i="6" s="1"/>
  <c r="I692" i="6" s="1"/>
  <c r="H693" i="6" a="1"/>
  <c r="H693" i="6" s="1"/>
  <c r="I693" i="6" s="1"/>
  <c r="H694" i="6" a="1"/>
  <c r="H694" i="6" s="1"/>
  <c r="I694" i="6" s="1"/>
  <c r="H695" i="6" a="1"/>
  <c r="H695" i="6" s="1"/>
  <c r="I695" i="6" s="1"/>
  <c r="H696" i="6" a="1"/>
  <c r="H696" i="6" s="1"/>
  <c r="I696" i="6" s="1"/>
  <c r="H697" i="6" a="1"/>
  <c r="H697" i="6" s="1"/>
  <c r="I697" i="6" s="1"/>
  <c r="H698" i="6" a="1"/>
  <c r="H698" i="6" s="1"/>
  <c r="I698" i="6" s="1"/>
  <c r="H699" i="6" a="1"/>
  <c r="H699" i="6" s="1"/>
  <c r="I699" i="6" s="1"/>
  <c r="H700" i="6" a="1"/>
  <c r="H700" i="6" s="1"/>
  <c r="I700" i="6" s="1"/>
  <c r="H701" i="6" a="1"/>
  <c r="H701" i="6" s="1"/>
  <c r="I701" i="6" s="1"/>
  <c r="H702" i="6" a="1"/>
  <c r="H702" i="6" s="1"/>
  <c r="I702" i="6" s="1"/>
  <c r="H703" i="6" a="1"/>
  <c r="H703" i="6" s="1"/>
  <c r="I703" i="6" s="1"/>
  <c r="H704" i="6" a="1"/>
  <c r="H704" i="6" s="1"/>
  <c r="I704" i="6" s="1"/>
  <c r="H705" i="6" a="1"/>
  <c r="H705" i="6" s="1"/>
  <c r="I705" i="6" s="1"/>
  <c r="H706" i="6" a="1"/>
  <c r="H706" i="6" s="1"/>
  <c r="I706" i="6" s="1"/>
  <c r="H707" i="6" a="1"/>
  <c r="H707" i="6" s="1"/>
  <c r="I707" i="6" s="1"/>
  <c r="H708" i="6" a="1"/>
  <c r="H708" i="6" s="1"/>
  <c r="I708" i="6" s="1"/>
  <c r="H709" i="6" a="1"/>
  <c r="H709" i="6" s="1"/>
  <c r="I709" i="6" s="1"/>
  <c r="H710" i="6" a="1"/>
  <c r="H710" i="6" s="1"/>
  <c r="I710" i="6" s="1"/>
  <c r="H711" i="6" a="1"/>
  <c r="H711" i="6" s="1"/>
  <c r="I711" i="6" s="1"/>
  <c r="H712" i="6" a="1"/>
  <c r="H712" i="6" s="1"/>
  <c r="I712" i="6" s="1"/>
  <c r="H713" i="6" a="1"/>
  <c r="H713" i="6" s="1"/>
  <c r="I713" i="6" s="1"/>
  <c r="H714" i="6" a="1"/>
  <c r="H714" i="6" s="1"/>
  <c r="I714" i="6" s="1"/>
  <c r="H715" i="6" a="1"/>
  <c r="H715" i="6" s="1"/>
  <c r="I715" i="6" s="1"/>
  <c r="H716" i="6" a="1"/>
  <c r="H716" i="6" s="1"/>
  <c r="I716" i="6" s="1"/>
  <c r="H717" i="6" a="1"/>
  <c r="H717" i="6" s="1"/>
  <c r="I717" i="6" s="1"/>
  <c r="H718" i="6" a="1"/>
  <c r="H718" i="6" s="1"/>
  <c r="I718" i="6" s="1"/>
  <c r="H719" i="6" a="1"/>
  <c r="H719" i="6" s="1"/>
  <c r="I719" i="6" s="1"/>
  <c r="H720" i="6" a="1"/>
  <c r="H720" i="6" s="1"/>
  <c r="I720" i="6" s="1"/>
  <c r="H721" i="6" a="1"/>
  <c r="H721" i="6" s="1"/>
  <c r="I721" i="6" s="1"/>
  <c r="H722" i="6" a="1"/>
  <c r="H722" i="6" s="1"/>
  <c r="I722" i="6" s="1"/>
  <c r="H723" i="6" a="1"/>
  <c r="H723" i="6" s="1"/>
  <c r="I723" i="6" s="1"/>
  <c r="H724" i="6" a="1"/>
  <c r="H724" i="6" s="1"/>
  <c r="I724" i="6" s="1"/>
  <c r="H725" i="6" a="1"/>
  <c r="H725" i="6" s="1"/>
  <c r="I725" i="6" s="1"/>
  <c r="H726" i="6" a="1"/>
  <c r="H726" i="6" s="1"/>
  <c r="I726" i="6" s="1"/>
  <c r="H727" i="6" a="1"/>
  <c r="H727" i="6" s="1"/>
  <c r="I727" i="6" s="1"/>
  <c r="H728" i="6" a="1"/>
  <c r="H728" i="6" s="1"/>
  <c r="I728" i="6" s="1"/>
  <c r="H729" i="6" a="1"/>
  <c r="H729" i="6" s="1"/>
  <c r="I729" i="6" s="1"/>
  <c r="H730" i="6" a="1"/>
  <c r="H730" i="6" s="1"/>
  <c r="I730" i="6" s="1"/>
  <c r="H731" i="6" a="1"/>
  <c r="H731" i="6" s="1"/>
  <c r="I731" i="6" s="1"/>
  <c r="H732" i="6" a="1"/>
  <c r="H732" i="6" s="1"/>
  <c r="I732" i="6" s="1"/>
  <c r="H733" i="6" a="1"/>
  <c r="H733" i="6" s="1"/>
  <c r="I733" i="6" s="1"/>
  <c r="H734" i="6" a="1"/>
  <c r="H734" i="6" s="1"/>
  <c r="I734" i="6" s="1"/>
  <c r="H735" i="6" a="1"/>
  <c r="H735" i="6" s="1"/>
  <c r="I735" i="6" s="1"/>
  <c r="H736" i="6" a="1"/>
  <c r="H736" i="6" s="1"/>
  <c r="I736" i="6" s="1"/>
  <c r="H737" i="6" a="1"/>
  <c r="H737" i="6" s="1"/>
  <c r="I737" i="6" s="1"/>
  <c r="H738" i="6" a="1"/>
  <c r="H738" i="6" s="1"/>
  <c r="I738" i="6" s="1"/>
  <c r="H739" i="6" a="1"/>
  <c r="H739" i="6" s="1"/>
  <c r="I739" i="6" s="1"/>
  <c r="H740" i="6" a="1"/>
  <c r="H740" i="6" s="1"/>
  <c r="I740" i="6" s="1"/>
  <c r="H741" i="6" a="1"/>
  <c r="H741" i="6" s="1"/>
  <c r="I741" i="6" s="1"/>
  <c r="H742" i="6" a="1"/>
  <c r="H742" i="6" s="1"/>
  <c r="I742" i="6" s="1"/>
  <c r="H743" i="6" a="1"/>
  <c r="H743" i="6" s="1"/>
  <c r="I743" i="6" s="1"/>
  <c r="H744" i="6" a="1"/>
  <c r="H744" i="6" s="1"/>
  <c r="I744" i="6" s="1"/>
  <c r="H745" i="6" a="1"/>
  <c r="H745" i="6" s="1"/>
  <c r="I745" i="6" s="1"/>
  <c r="H746" i="6" a="1"/>
  <c r="H746" i="6" s="1"/>
  <c r="I746" i="6" s="1"/>
  <c r="H747" i="6" a="1"/>
  <c r="H747" i="6" s="1"/>
  <c r="I747" i="6" s="1"/>
  <c r="H748" i="6" a="1"/>
  <c r="H748" i="6" s="1"/>
  <c r="I748" i="6" s="1"/>
  <c r="H749" i="6" a="1"/>
  <c r="H749" i="6" s="1"/>
  <c r="I749" i="6" s="1"/>
  <c r="H750" i="6" a="1"/>
  <c r="H750" i="6" s="1"/>
  <c r="I750" i="6" s="1"/>
  <c r="H751" i="6" a="1"/>
  <c r="H751" i="6" s="1"/>
  <c r="I751" i="6" s="1"/>
  <c r="H752" i="6" a="1"/>
  <c r="H752" i="6" s="1"/>
  <c r="I752" i="6" s="1"/>
  <c r="H753" i="6" a="1"/>
  <c r="H753" i="6" s="1"/>
  <c r="I753" i="6" s="1"/>
  <c r="H754" i="6" a="1"/>
  <c r="H754" i="6" s="1"/>
  <c r="I754" i="6" s="1"/>
  <c r="H755" i="6" a="1"/>
  <c r="H755" i="6" s="1"/>
  <c r="I755" i="6" s="1"/>
  <c r="H756" i="6" a="1"/>
  <c r="H756" i="6" s="1"/>
  <c r="I756" i="6" s="1"/>
  <c r="H757" i="6" a="1"/>
  <c r="H757" i="6" s="1"/>
  <c r="I757" i="6" s="1"/>
  <c r="H758" i="6" a="1"/>
  <c r="H758" i="6" s="1"/>
  <c r="I758" i="6" s="1"/>
  <c r="H759" i="6" a="1"/>
  <c r="H759" i="6" s="1"/>
  <c r="I759" i="6" s="1"/>
  <c r="H760" i="6" a="1"/>
  <c r="H760" i="6" s="1"/>
  <c r="I760" i="6" s="1"/>
  <c r="H761" i="6" a="1"/>
  <c r="H761" i="6" s="1"/>
  <c r="I761" i="6" s="1"/>
  <c r="H762" i="6" a="1"/>
  <c r="H762" i="6" s="1"/>
  <c r="I762" i="6" s="1"/>
  <c r="H763" i="6" a="1"/>
  <c r="H763" i="6" s="1"/>
  <c r="I763" i="6" s="1"/>
  <c r="H764" i="6" a="1"/>
  <c r="H764" i="6" s="1"/>
  <c r="I764" i="6" s="1"/>
  <c r="H765" i="6" a="1"/>
  <c r="H765" i="6" s="1"/>
  <c r="I765" i="6" s="1"/>
  <c r="H766" i="6" a="1"/>
  <c r="H766" i="6" s="1"/>
  <c r="I766" i="6" s="1"/>
  <c r="H767" i="6" a="1"/>
  <c r="H767" i="6" s="1"/>
  <c r="I767" i="6" s="1"/>
  <c r="H768" i="6" a="1"/>
  <c r="H768" i="6" s="1"/>
  <c r="I768" i="6" s="1"/>
  <c r="H769" i="6" a="1"/>
  <c r="H769" i="6" s="1"/>
  <c r="I769" i="6" s="1"/>
  <c r="H770" i="6" a="1"/>
  <c r="H770" i="6" s="1"/>
  <c r="I770" i="6" s="1"/>
  <c r="H771" i="6" a="1"/>
  <c r="H771" i="6" s="1"/>
  <c r="I771" i="6" s="1"/>
  <c r="H772" i="6" a="1"/>
  <c r="H772" i="6" s="1"/>
  <c r="I772" i="6" s="1"/>
  <c r="H773" i="6" a="1"/>
  <c r="H773" i="6" s="1"/>
  <c r="I773" i="6" s="1"/>
  <c r="H774" i="6" a="1"/>
  <c r="H774" i="6" s="1"/>
  <c r="I774" i="6" s="1"/>
  <c r="H775" i="6" a="1"/>
  <c r="H775" i="6" s="1"/>
  <c r="I775" i="6" s="1"/>
  <c r="H776" i="6" a="1"/>
  <c r="H776" i="6" s="1"/>
  <c r="I776" i="6" s="1"/>
  <c r="H777" i="6" a="1"/>
  <c r="H777" i="6" s="1"/>
  <c r="I777" i="6" s="1"/>
  <c r="H778" i="6" a="1"/>
  <c r="H778" i="6" s="1"/>
  <c r="I778" i="6" s="1"/>
  <c r="H779" i="6" a="1"/>
  <c r="H779" i="6" s="1"/>
  <c r="I779" i="6" s="1"/>
  <c r="H780" i="6" a="1"/>
  <c r="H780" i="6" s="1"/>
  <c r="I780" i="6" s="1"/>
  <c r="H781" i="6" a="1"/>
  <c r="H781" i="6" s="1"/>
  <c r="I781" i="6" s="1"/>
  <c r="H782" i="6" a="1"/>
  <c r="H782" i="6" s="1"/>
  <c r="I782" i="6" s="1"/>
  <c r="H783" i="6" a="1"/>
  <c r="H783" i="6" s="1"/>
  <c r="I783" i="6" s="1"/>
  <c r="H784" i="6" a="1"/>
  <c r="H784" i="6" s="1"/>
  <c r="I784" i="6" s="1"/>
  <c r="H785" i="6" a="1"/>
  <c r="H785" i="6" s="1"/>
  <c r="I785" i="6" s="1"/>
  <c r="H786" i="6" a="1"/>
  <c r="H786" i="6" s="1"/>
  <c r="I786" i="6" s="1"/>
  <c r="H787" i="6" a="1"/>
  <c r="H787" i="6" s="1"/>
  <c r="I787" i="6" s="1"/>
  <c r="H788" i="6" a="1"/>
  <c r="H788" i="6" s="1"/>
  <c r="I788" i="6" s="1"/>
  <c r="H789" i="6" a="1"/>
  <c r="H789" i="6" s="1"/>
  <c r="I789" i="6" s="1"/>
  <c r="H790" i="6" a="1"/>
  <c r="H790" i="6" s="1"/>
  <c r="I790" i="6" s="1"/>
  <c r="H791" i="6" a="1"/>
  <c r="H791" i="6" s="1"/>
  <c r="I791" i="6" s="1"/>
  <c r="H792" i="6" a="1"/>
  <c r="H792" i="6" s="1"/>
  <c r="I792" i="6" s="1"/>
  <c r="H793" i="6" a="1"/>
  <c r="H793" i="6" s="1"/>
  <c r="I793" i="6" s="1"/>
  <c r="H794" i="6" a="1"/>
  <c r="H794" i="6" s="1"/>
  <c r="I794" i="6" s="1"/>
  <c r="H795" i="6" a="1"/>
  <c r="H795" i="6" s="1"/>
  <c r="I795" i="6" s="1"/>
  <c r="H796" i="6" a="1"/>
  <c r="H796" i="6" s="1"/>
  <c r="I796" i="6" s="1"/>
  <c r="H797" i="6" a="1"/>
  <c r="H797" i="6" s="1"/>
  <c r="I797" i="6" s="1"/>
  <c r="H798" i="6" a="1"/>
  <c r="H798" i="6" s="1"/>
  <c r="I798" i="6" s="1"/>
  <c r="H799" i="6" a="1"/>
  <c r="H799" i="6" s="1"/>
  <c r="I799" i="6" s="1"/>
  <c r="H800" i="6" a="1"/>
  <c r="H800" i="6" s="1"/>
  <c r="I800" i="6" s="1"/>
  <c r="H801" i="6" a="1"/>
  <c r="H801" i="6" s="1"/>
  <c r="I801" i="6" s="1"/>
  <c r="H802" i="6" a="1"/>
  <c r="H802" i="6" s="1"/>
  <c r="I802" i="6" s="1"/>
  <c r="H803" i="6" a="1"/>
  <c r="H803" i="6" s="1"/>
  <c r="I803" i="6" s="1"/>
  <c r="H804" i="6" a="1"/>
  <c r="H804" i="6" s="1"/>
  <c r="I804" i="6" s="1"/>
  <c r="H805" i="6" a="1"/>
  <c r="H805" i="6" s="1"/>
  <c r="I805" i="6" s="1"/>
  <c r="H806" i="6" a="1"/>
  <c r="H806" i="6" s="1"/>
  <c r="I806" i="6" s="1"/>
  <c r="H807" i="6" a="1"/>
  <c r="H807" i="6" s="1"/>
  <c r="I807" i="6" s="1"/>
  <c r="H808" i="6" a="1"/>
  <c r="H808" i="6" s="1"/>
  <c r="I808" i="6" s="1"/>
  <c r="H809" i="6" a="1"/>
  <c r="H809" i="6" s="1"/>
  <c r="I809" i="6" s="1"/>
  <c r="H810" i="6" a="1"/>
  <c r="H810" i="6" s="1"/>
  <c r="I810" i="6" s="1"/>
  <c r="H811" i="6" a="1"/>
  <c r="H811" i="6" s="1"/>
  <c r="I811" i="6" s="1"/>
  <c r="H812" i="6" a="1"/>
  <c r="H812" i="6" s="1"/>
  <c r="I812" i="6" s="1"/>
  <c r="H813" i="6" a="1"/>
  <c r="H813" i="6" s="1"/>
  <c r="I813" i="6" s="1"/>
  <c r="H814" i="6" a="1"/>
  <c r="H814" i="6" s="1"/>
  <c r="I814" i="6" s="1"/>
  <c r="H815" i="6" a="1"/>
  <c r="H815" i="6" s="1"/>
  <c r="I815" i="6" s="1"/>
  <c r="H816" i="6" a="1"/>
  <c r="H816" i="6" s="1"/>
  <c r="I816" i="6" s="1"/>
  <c r="H817" i="6" a="1"/>
  <c r="H817" i="6" s="1"/>
  <c r="I817" i="6" s="1"/>
  <c r="H818" i="6" a="1"/>
  <c r="H818" i="6" s="1"/>
  <c r="I818" i="6" s="1"/>
  <c r="H819" i="6" a="1"/>
  <c r="H819" i="6" s="1"/>
  <c r="I819" i="6" s="1"/>
  <c r="H820" i="6" a="1"/>
  <c r="H820" i="6" s="1"/>
  <c r="I820" i="6" s="1"/>
  <c r="H821" i="6" a="1"/>
  <c r="H821" i="6" s="1"/>
  <c r="I821" i="6" s="1"/>
  <c r="H822" i="6" a="1"/>
  <c r="H822" i="6" s="1"/>
  <c r="I822" i="6" s="1"/>
  <c r="H823" i="6" a="1"/>
  <c r="H823" i="6" s="1"/>
  <c r="I823" i="6" s="1"/>
  <c r="H824" i="6" a="1"/>
  <c r="H824" i="6" s="1"/>
  <c r="I824" i="6" s="1"/>
  <c r="H825" i="6" a="1"/>
  <c r="H825" i="6" s="1"/>
  <c r="I825" i="6" s="1"/>
  <c r="H826" i="6" a="1"/>
  <c r="H826" i="6" s="1"/>
  <c r="I826" i="6" s="1"/>
  <c r="H827" i="6" a="1"/>
  <c r="H827" i="6" s="1"/>
  <c r="I827" i="6" s="1"/>
  <c r="H828" i="6" a="1"/>
  <c r="H828" i="6" s="1"/>
  <c r="I828" i="6" s="1"/>
  <c r="H829" i="6" a="1"/>
  <c r="H829" i="6" s="1"/>
  <c r="I829" i="6" s="1"/>
  <c r="H830" i="6" a="1"/>
  <c r="H830" i="6" s="1"/>
  <c r="I830" i="6" s="1"/>
  <c r="H831" i="6" a="1"/>
  <c r="H831" i="6" s="1"/>
  <c r="I831" i="6" s="1"/>
  <c r="H832" i="6" a="1"/>
  <c r="H832" i="6" s="1"/>
  <c r="I832" i="6" s="1"/>
  <c r="H833" i="6" a="1"/>
  <c r="H833" i="6" s="1"/>
  <c r="I833" i="6" s="1"/>
  <c r="H834" i="6" a="1"/>
  <c r="H834" i="6" s="1"/>
  <c r="I834" i="6" s="1"/>
  <c r="H835" i="6" a="1"/>
  <c r="H835" i="6" s="1"/>
  <c r="I835" i="6" s="1"/>
  <c r="H836" i="6" a="1"/>
  <c r="H836" i="6" s="1"/>
  <c r="I836" i="6" s="1"/>
  <c r="H837" i="6" a="1"/>
  <c r="H837" i="6" s="1"/>
  <c r="I837" i="6" s="1"/>
  <c r="H838" i="6" a="1"/>
  <c r="H838" i="6" s="1"/>
  <c r="I838" i="6" s="1"/>
  <c r="H839" i="6" a="1"/>
  <c r="H839" i="6" s="1"/>
  <c r="I839" i="6" s="1"/>
  <c r="H840" i="6" a="1"/>
  <c r="H840" i="6" s="1"/>
  <c r="I840" i="6" s="1"/>
  <c r="H841" i="6" a="1"/>
  <c r="H841" i="6" s="1"/>
  <c r="I841" i="6" s="1"/>
  <c r="H842" i="6" a="1"/>
  <c r="H842" i="6" s="1"/>
  <c r="I842" i="6" s="1"/>
  <c r="H843" i="6" a="1"/>
  <c r="H843" i="6" s="1"/>
  <c r="I843" i="6" s="1"/>
  <c r="H844" i="6" a="1"/>
  <c r="H844" i="6" s="1"/>
  <c r="I844" i="6" s="1"/>
  <c r="H845" i="6" a="1"/>
  <c r="H845" i="6" s="1"/>
  <c r="I845" i="6" s="1"/>
  <c r="H846" i="6" a="1"/>
  <c r="H846" i="6" s="1"/>
  <c r="I846" i="6" s="1"/>
  <c r="H847" i="6" a="1"/>
  <c r="H847" i="6" s="1"/>
  <c r="I847" i="6" s="1"/>
  <c r="H848" i="6" a="1"/>
  <c r="H848" i="6" s="1"/>
  <c r="I848" i="6" s="1"/>
  <c r="H849" i="6" a="1"/>
  <c r="H849" i="6" s="1"/>
  <c r="I849" i="6" s="1"/>
  <c r="H850" i="6" a="1"/>
  <c r="H850" i="6" s="1"/>
  <c r="I850" i="6" s="1"/>
  <c r="H851" i="6" a="1"/>
  <c r="H851" i="6" s="1"/>
  <c r="I851" i="6" s="1"/>
  <c r="H852" i="6" a="1"/>
  <c r="H852" i="6" s="1"/>
  <c r="I852" i="6" s="1"/>
  <c r="H853" i="6" a="1"/>
  <c r="H853" i="6" s="1"/>
  <c r="I853" i="6" s="1"/>
  <c r="H854" i="6" a="1"/>
  <c r="H854" i="6" s="1"/>
  <c r="I854" i="6" s="1"/>
  <c r="H855" i="6" a="1"/>
  <c r="H855" i="6" s="1"/>
  <c r="I855" i="6" s="1"/>
  <c r="H856" i="6" a="1"/>
  <c r="H856" i="6" s="1"/>
  <c r="I856" i="6" s="1"/>
  <c r="H857" i="6" a="1"/>
  <c r="H857" i="6" s="1"/>
  <c r="I857" i="6" s="1"/>
  <c r="H858" i="6" a="1"/>
  <c r="H858" i="6" s="1"/>
  <c r="I858" i="6" s="1"/>
  <c r="H859" i="6" a="1"/>
  <c r="H859" i="6" s="1"/>
  <c r="I859" i="6" s="1"/>
  <c r="H860" i="6" a="1"/>
  <c r="H860" i="6" s="1"/>
  <c r="I860" i="6" s="1"/>
  <c r="H861" i="6" a="1"/>
  <c r="H861" i="6" s="1"/>
  <c r="I861" i="6" s="1"/>
  <c r="H862" i="6" a="1"/>
  <c r="H862" i="6" s="1"/>
  <c r="I862" i="6" s="1"/>
  <c r="H863" i="6" a="1"/>
  <c r="H863" i="6" s="1"/>
  <c r="I863" i="6" s="1"/>
  <c r="H864" i="6" a="1"/>
  <c r="H864" i="6" s="1"/>
  <c r="I864" i="6" s="1"/>
  <c r="H865" i="6" a="1"/>
  <c r="H865" i="6" s="1"/>
  <c r="I865" i="6" s="1"/>
  <c r="H866" i="6" a="1"/>
  <c r="H866" i="6" s="1"/>
  <c r="I866" i="6" s="1"/>
  <c r="H867" i="6" a="1"/>
  <c r="H867" i="6" s="1"/>
  <c r="I867" i="6" s="1"/>
  <c r="H868" i="6" a="1"/>
  <c r="H868" i="6" s="1"/>
  <c r="I868" i="6" s="1"/>
  <c r="H869" i="6" a="1"/>
  <c r="H869" i="6" s="1"/>
  <c r="I869" i="6" s="1"/>
  <c r="H870" i="6" a="1"/>
  <c r="H870" i="6" s="1"/>
  <c r="I870" i="6" s="1"/>
  <c r="H871" i="6" a="1"/>
  <c r="H871" i="6" s="1"/>
  <c r="I871" i="6" s="1"/>
  <c r="H872" i="6" a="1"/>
  <c r="H872" i="6" s="1"/>
  <c r="I872" i="6" s="1"/>
  <c r="H873" i="6" a="1"/>
  <c r="H873" i="6" s="1"/>
  <c r="I873" i="6" s="1"/>
  <c r="H874" i="6" a="1"/>
  <c r="H874" i="6" s="1"/>
  <c r="I874" i="6" s="1"/>
  <c r="H875" i="6" a="1"/>
  <c r="H875" i="6" s="1"/>
  <c r="I875" i="6" s="1"/>
  <c r="H876" i="6" a="1"/>
  <c r="H876" i="6" s="1"/>
  <c r="I876" i="6" s="1"/>
  <c r="H877" i="6" a="1"/>
  <c r="H877" i="6" s="1"/>
  <c r="I877" i="6" s="1"/>
  <c r="H878" i="6" a="1"/>
  <c r="H878" i="6" s="1"/>
  <c r="I878" i="6" s="1"/>
  <c r="H879" i="6" a="1"/>
  <c r="H879" i="6" s="1"/>
  <c r="I879" i="6" s="1"/>
  <c r="H880" i="6" a="1"/>
  <c r="H880" i="6" s="1"/>
  <c r="I880" i="6" s="1"/>
  <c r="H881" i="6" a="1"/>
  <c r="H881" i="6" s="1"/>
  <c r="I881" i="6" s="1"/>
  <c r="H882" i="6" a="1"/>
  <c r="H882" i="6" s="1"/>
  <c r="I882" i="6" s="1"/>
  <c r="H883" i="6" a="1"/>
  <c r="H883" i="6" s="1"/>
  <c r="I883" i="6" s="1"/>
  <c r="H884" i="6" a="1"/>
  <c r="H884" i="6" s="1"/>
  <c r="I884" i="6" s="1"/>
  <c r="H885" i="6" a="1"/>
  <c r="H885" i="6" s="1"/>
  <c r="I885" i="6" s="1"/>
  <c r="H886" i="6" a="1"/>
  <c r="H886" i="6" s="1"/>
  <c r="I886" i="6" s="1"/>
  <c r="H887" i="6" a="1"/>
  <c r="H887" i="6" s="1"/>
  <c r="I887" i="6" s="1"/>
  <c r="H888" i="6" a="1"/>
  <c r="H888" i="6" s="1"/>
  <c r="I888" i="6" s="1"/>
  <c r="H889" i="6" a="1"/>
  <c r="H889" i="6" s="1"/>
  <c r="I889" i="6" s="1"/>
  <c r="H890" i="6" a="1"/>
  <c r="H890" i="6" s="1"/>
  <c r="I890" i="6" s="1"/>
  <c r="H891" i="6" a="1"/>
  <c r="H891" i="6" s="1"/>
  <c r="I891" i="6" s="1"/>
  <c r="H892" i="6" a="1"/>
  <c r="H892" i="6" s="1"/>
  <c r="I892" i="6" s="1"/>
  <c r="H893" i="6" a="1"/>
  <c r="H893" i="6" s="1"/>
  <c r="I893" i="6" s="1"/>
  <c r="H894" i="6" a="1"/>
  <c r="H894" i="6" s="1"/>
  <c r="I894" i="6" s="1"/>
  <c r="H895" i="6" a="1"/>
  <c r="H895" i="6" s="1"/>
  <c r="I895" i="6" s="1"/>
  <c r="H896" i="6" a="1"/>
  <c r="H896" i="6" s="1"/>
  <c r="I896" i="6" s="1"/>
  <c r="H897" i="6" a="1"/>
  <c r="H897" i="6" s="1"/>
  <c r="I897" i="6" s="1"/>
  <c r="H898" i="6" a="1"/>
  <c r="H898" i="6" s="1"/>
  <c r="I898" i="6" s="1"/>
  <c r="H899" i="6" a="1"/>
  <c r="H899" i="6" s="1"/>
  <c r="I899" i="6" s="1"/>
  <c r="H900" i="6" a="1"/>
  <c r="H900" i="6" s="1"/>
  <c r="I900" i="6" s="1"/>
  <c r="H901" i="6" a="1"/>
  <c r="H901" i="6" s="1"/>
  <c r="I901" i="6" s="1"/>
  <c r="H902" i="6" a="1"/>
  <c r="H902" i="6" s="1"/>
  <c r="I902" i="6" s="1"/>
  <c r="H903" i="6" a="1"/>
  <c r="H903" i="6" s="1"/>
  <c r="I903" i="6" s="1"/>
  <c r="H904" i="6" a="1"/>
  <c r="H904" i="6" s="1"/>
  <c r="I904" i="6" s="1"/>
  <c r="H905" i="6" a="1"/>
  <c r="H905" i="6" s="1"/>
  <c r="I905" i="6" s="1"/>
  <c r="H906" i="6" a="1"/>
  <c r="H906" i="6" s="1"/>
  <c r="I906" i="6" s="1"/>
  <c r="H907" i="6" a="1"/>
  <c r="H907" i="6" s="1"/>
  <c r="I907" i="6" s="1"/>
  <c r="H908" i="6" a="1"/>
  <c r="H908" i="6" s="1"/>
  <c r="I908" i="6" s="1"/>
  <c r="H909" i="6" a="1"/>
  <c r="H909" i="6" s="1"/>
  <c r="I909" i="6" s="1"/>
  <c r="H910" i="6" a="1"/>
  <c r="H910" i="6" s="1"/>
  <c r="I910" i="6" s="1"/>
  <c r="H911" i="6" a="1"/>
  <c r="H911" i="6" s="1"/>
  <c r="I911" i="6" s="1"/>
  <c r="H912" i="6" a="1"/>
  <c r="H912" i="6" s="1"/>
  <c r="I912" i="6" s="1"/>
  <c r="H913" i="6" a="1"/>
  <c r="H913" i="6" s="1"/>
  <c r="I913" i="6" s="1"/>
  <c r="H914" i="6" a="1"/>
  <c r="H914" i="6" s="1"/>
  <c r="I914" i="6" s="1"/>
  <c r="H915" i="6" a="1"/>
  <c r="H915" i="6" s="1"/>
  <c r="I915" i="6" s="1"/>
  <c r="H916" i="6" a="1"/>
  <c r="H916" i="6" s="1"/>
  <c r="I916" i="6" s="1"/>
  <c r="H917" i="6" a="1"/>
  <c r="H917" i="6" s="1"/>
  <c r="I917" i="6" s="1"/>
  <c r="H918" i="6" a="1"/>
  <c r="H918" i="6" s="1"/>
  <c r="I918" i="6" s="1"/>
  <c r="H919" i="6" a="1"/>
  <c r="H919" i="6" s="1"/>
  <c r="I919" i="6" s="1"/>
  <c r="H920" i="6" a="1"/>
  <c r="H920" i="6" s="1"/>
  <c r="I920" i="6" s="1"/>
  <c r="H921" i="6" a="1"/>
  <c r="H921" i="6" s="1"/>
  <c r="I921" i="6" s="1"/>
  <c r="H922" i="6" a="1"/>
  <c r="H922" i="6" s="1"/>
  <c r="I922" i="6" s="1"/>
  <c r="H923" i="6" a="1"/>
  <c r="H923" i="6" s="1"/>
  <c r="I923" i="6" s="1"/>
  <c r="H924" i="6" a="1"/>
  <c r="H924" i="6" s="1"/>
  <c r="I924" i="6" s="1"/>
  <c r="H925" i="6" a="1"/>
  <c r="H925" i="6" s="1"/>
  <c r="I925" i="6" s="1"/>
  <c r="H926" i="6" a="1"/>
  <c r="H926" i="6" s="1"/>
  <c r="I926" i="6" s="1"/>
  <c r="H927" i="6" a="1"/>
  <c r="H927" i="6" s="1"/>
  <c r="I927" i="6" s="1"/>
  <c r="H928" i="6" a="1"/>
  <c r="H928" i="6" s="1"/>
  <c r="I928" i="6" s="1"/>
  <c r="H929" i="6" a="1"/>
  <c r="H929" i="6" s="1"/>
  <c r="I929" i="6" s="1"/>
  <c r="H930" i="6" a="1"/>
  <c r="H930" i="6" s="1"/>
  <c r="I930" i="6" s="1"/>
  <c r="H931" i="6" a="1"/>
  <c r="H931" i="6" s="1"/>
  <c r="I931" i="6" s="1"/>
  <c r="H932" i="6" a="1"/>
  <c r="H932" i="6" s="1"/>
  <c r="I932" i="6" s="1"/>
  <c r="H933" i="6" a="1"/>
  <c r="H933" i="6" s="1"/>
  <c r="I933" i="6" s="1"/>
  <c r="H934" i="6" a="1"/>
  <c r="H934" i="6" s="1"/>
  <c r="I934" i="6" s="1"/>
  <c r="H935" i="6" a="1"/>
  <c r="H935" i="6" s="1"/>
  <c r="I935" i="6" s="1"/>
  <c r="H936" i="6" a="1"/>
  <c r="H936" i="6" s="1"/>
  <c r="I936" i="6" s="1"/>
  <c r="H937" i="6" a="1"/>
  <c r="H937" i="6" s="1"/>
  <c r="I937" i="6" s="1"/>
  <c r="H938" i="6" a="1"/>
  <c r="H938" i="6" s="1"/>
  <c r="I938" i="6" s="1"/>
  <c r="H939" i="6" a="1"/>
  <c r="H939" i="6" s="1"/>
  <c r="I939" i="6" s="1"/>
  <c r="H940" i="6" a="1"/>
  <c r="H940" i="6" s="1"/>
  <c r="I940" i="6" s="1"/>
  <c r="H941" i="6" a="1"/>
  <c r="H941" i="6" s="1"/>
  <c r="I941" i="6" s="1"/>
  <c r="H942" i="6" a="1"/>
  <c r="H942" i="6" s="1"/>
  <c r="I942" i="6" s="1"/>
  <c r="H943" i="6" a="1"/>
  <c r="H943" i="6" s="1"/>
  <c r="I943" i="6" s="1"/>
  <c r="H944" i="6" a="1"/>
  <c r="H944" i="6" s="1"/>
  <c r="I944" i="6" s="1"/>
  <c r="H945" i="6" a="1"/>
  <c r="H945" i="6" s="1"/>
  <c r="I945" i="6" s="1"/>
  <c r="H946" i="6" a="1"/>
  <c r="H946" i="6" s="1"/>
  <c r="I946" i="6" s="1"/>
  <c r="H947" i="6" a="1"/>
  <c r="H947" i="6" s="1"/>
  <c r="I947" i="6" s="1"/>
  <c r="H948" i="6" a="1"/>
  <c r="H948" i="6" s="1"/>
  <c r="I948" i="6" s="1"/>
  <c r="H949" i="6" a="1"/>
  <c r="H949" i="6" s="1"/>
  <c r="I949" i="6" s="1"/>
  <c r="H950" i="6" a="1"/>
  <c r="H950" i="6" s="1"/>
  <c r="I950" i="6" s="1"/>
  <c r="H951" i="6" a="1"/>
  <c r="H951" i="6" s="1"/>
  <c r="I951" i="6" s="1"/>
  <c r="H952" i="6" a="1"/>
  <c r="H952" i="6" s="1"/>
  <c r="I952" i="6" s="1"/>
  <c r="H953" i="6" a="1"/>
  <c r="H953" i="6" s="1"/>
  <c r="I953" i="6" s="1"/>
  <c r="H954" i="6" a="1"/>
  <c r="H954" i="6" s="1"/>
  <c r="I954" i="6" s="1"/>
  <c r="H955" i="6" a="1"/>
  <c r="H955" i="6" s="1"/>
  <c r="I955" i="6" s="1"/>
  <c r="H956" i="6" a="1"/>
  <c r="H956" i="6" s="1"/>
  <c r="I956" i="6" s="1"/>
  <c r="H957" i="6" a="1"/>
  <c r="H957" i="6" s="1"/>
  <c r="I957" i="6" s="1"/>
  <c r="H958" i="6" a="1"/>
  <c r="H958" i="6" s="1"/>
  <c r="I958" i="6" s="1"/>
  <c r="H959" i="6" a="1"/>
  <c r="H959" i="6" s="1"/>
  <c r="I959" i="6" s="1"/>
  <c r="H960" i="6" a="1"/>
  <c r="H960" i="6" s="1"/>
  <c r="I960" i="6" s="1"/>
  <c r="H961" i="6" a="1"/>
  <c r="H961" i="6" s="1"/>
  <c r="I961" i="6" s="1"/>
  <c r="H962" i="6" a="1"/>
  <c r="H962" i="6" s="1"/>
  <c r="I962" i="6" s="1"/>
  <c r="H963" i="6" a="1"/>
  <c r="H963" i="6" s="1"/>
  <c r="I963" i="6" s="1"/>
  <c r="H964" i="6" a="1"/>
  <c r="H964" i="6" s="1"/>
  <c r="I964" i="6" s="1"/>
  <c r="H965" i="6" a="1"/>
  <c r="H965" i="6" s="1"/>
  <c r="I965" i="6" s="1"/>
  <c r="H966" i="6" a="1"/>
  <c r="H966" i="6" s="1"/>
  <c r="I966" i="6" s="1"/>
  <c r="H967" i="6" a="1"/>
  <c r="H967" i="6" s="1"/>
  <c r="I967" i="6" s="1"/>
  <c r="H968" i="6" a="1"/>
  <c r="H968" i="6" s="1"/>
  <c r="I968" i="6" s="1"/>
  <c r="H969" i="6" a="1"/>
  <c r="H969" i="6" s="1"/>
  <c r="I969" i="6" s="1"/>
  <c r="H970" i="6" a="1"/>
  <c r="H970" i="6" s="1"/>
  <c r="I970" i="6" s="1"/>
  <c r="H971" i="6" a="1"/>
  <c r="H971" i="6" s="1"/>
  <c r="I971" i="6" s="1"/>
  <c r="H972" i="6" a="1"/>
  <c r="H972" i="6" s="1"/>
  <c r="I972" i="6" s="1"/>
  <c r="H973" i="6" a="1"/>
  <c r="H973" i="6" s="1"/>
  <c r="I973" i="6" s="1"/>
  <c r="H974" i="6" a="1"/>
  <c r="H974" i="6" s="1"/>
  <c r="I974" i="6" s="1"/>
  <c r="H975" i="6" a="1"/>
  <c r="H975" i="6" s="1"/>
  <c r="I975" i="6" s="1"/>
  <c r="H976" i="6" a="1"/>
  <c r="H976" i="6" s="1"/>
  <c r="I976" i="6" s="1"/>
  <c r="H977" i="6" a="1"/>
  <c r="H977" i="6" s="1"/>
  <c r="I977" i="6" s="1"/>
  <c r="H978" i="6" a="1"/>
  <c r="H978" i="6" s="1"/>
  <c r="I978" i="6" s="1"/>
  <c r="H979" i="6" a="1"/>
  <c r="H979" i="6" s="1"/>
  <c r="I979" i="6" s="1"/>
  <c r="H980" i="6" a="1"/>
  <c r="H980" i="6" s="1"/>
  <c r="I980" i="6" s="1"/>
  <c r="H981" i="6" a="1"/>
  <c r="H981" i="6" s="1"/>
  <c r="I981" i="6" s="1"/>
  <c r="H982" i="6" a="1"/>
  <c r="H982" i="6" s="1"/>
  <c r="I982" i="6" s="1"/>
  <c r="H983" i="6" a="1"/>
  <c r="H983" i="6" s="1"/>
  <c r="I983" i="6" s="1"/>
  <c r="H984" i="6" a="1"/>
  <c r="H984" i="6" s="1"/>
  <c r="I984" i="6" s="1"/>
  <c r="H985" i="6" a="1"/>
  <c r="H985" i="6" s="1"/>
  <c r="I985" i="6" s="1"/>
  <c r="H986" i="6" a="1"/>
  <c r="H986" i="6" s="1"/>
  <c r="I986" i="6" s="1"/>
  <c r="H987" i="6" a="1"/>
  <c r="H987" i="6" s="1"/>
  <c r="I987" i="6" s="1"/>
  <c r="H988" i="6" a="1"/>
  <c r="H988" i="6" s="1"/>
  <c r="I988" i="6" s="1"/>
  <c r="H989" i="6" a="1"/>
  <c r="H989" i="6" s="1"/>
  <c r="I989" i="6" s="1"/>
  <c r="H990" i="6" a="1"/>
  <c r="H990" i="6" s="1"/>
  <c r="I990" i="6" s="1"/>
  <c r="H991" i="6" a="1"/>
  <c r="H991" i="6" s="1"/>
  <c r="I991" i="6" s="1"/>
  <c r="H992" i="6" a="1"/>
  <c r="H992" i="6" s="1"/>
  <c r="I992" i="6" s="1"/>
  <c r="H993" i="6" a="1"/>
  <c r="H993" i="6" s="1"/>
  <c r="I993" i="6" s="1"/>
  <c r="H994" i="6" a="1"/>
  <c r="H994" i="6" s="1"/>
  <c r="I994" i="6" s="1"/>
  <c r="H995" i="6" a="1"/>
  <c r="H995" i="6" s="1"/>
  <c r="I995" i="6" s="1"/>
  <c r="H996" i="6" a="1"/>
  <c r="H996" i="6" s="1"/>
  <c r="I996" i="6" s="1"/>
  <c r="H997" i="6" a="1"/>
  <c r="H997" i="6" s="1"/>
  <c r="I997" i="6" s="1"/>
  <c r="H998" i="6" a="1"/>
  <c r="H998" i="6" s="1"/>
  <c r="I998" i="6" s="1"/>
  <c r="H999" i="6" a="1"/>
  <c r="H999" i="6" s="1"/>
  <c r="I999" i="6" s="1"/>
  <c r="H1000" i="6" a="1"/>
  <c r="H1000" i="6" s="1"/>
  <c r="I1000" i="6" s="1"/>
  <c r="H1001" i="6" a="1"/>
  <c r="H1001" i="6" s="1"/>
  <c r="I1001" i="6" s="1"/>
  <c r="H1002" i="6" a="1"/>
  <c r="H1002" i="6" s="1"/>
  <c r="I1002" i="6" s="1"/>
  <c r="H1003" i="6" a="1"/>
  <c r="H1003" i="6" s="1"/>
  <c r="I1003" i="6" s="1"/>
  <c r="H1004" i="6" a="1"/>
  <c r="H1004" i="6" s="1"/>
  <c r="I1004" i="6" s="1"/>
  <c r="H1005" i="6" a="1"/>
  <c r="H1005" i="6" s="1"/>
  <c r="I1005" i="6" s="1"/>
  <c r="H1006" i="6" a="1"/>
  <c r="H1006" i="6" s="1"/>
  <c r="I1006" i="6" s="1"/>
  <c r="H1007" i="6" a="1"/>
  <c r="H1007" i="6" s="1"/>
  <c r="I1007" i="6" s="1"/>
  <c r="H1008" i="6" a="1"/>
  <c r="H1008" i="6" s="1"/>
  <c r="I1008" i="6" s="1"/>
  <c r="H1009" i="6" a="1"/>
  <c r="H1009" i="6" s="1"/>
  <c r="I1009" i="6" s="1"/>
  <c r="H1010" i="6" a="1"/>
  <c r="H1010" i="6" s="1"/>
  <c r="I1010" i="6" s="1"/>
  <c r="H1011" i="6" a="1"/>
  <c r="H1011" i="6" s="1"/>
  <c r="I1011" i="6" s="1"/>
  <c r="H1012" i="6" a="1"/>
  <c r="H1012" i="6" s="1"/>
  <c r="I1012" i="6" s="1"/>
  <c r="H1013" i="6" a="1"/>
  <c r="H1013" i="6" s="1"/>
  <c r="I1013" i="6" s="1"/>
  <c r="H1014" i="6" a="1"/>
  <c r="H1014" i="6" s="1"/>
  <c r="I1014" i="6" s="1"/>
  <c r="H1015" i="6" a="1"/>
  <c r="H1015" i="6" s="1"/>
  <c r="I1015" i="6" s="1"/>
  <c r="H1016" i="6" a="1"/>
  <c r="H1016" i="6" s="1"/>
  <c r="I1016" i="6" s="1"/>
  <c r="H1017" i="6" a="1"/>
  <c r="H1017" i="6" s="1"/>
  <c r="I1017" i="6" s="1"/>
  <c r="H1018" i="6" a="1"/>
  <c r="H1018" i="6" s="1"/>
  <c r="I1018" i="6" s="1"/>
  <c r="H1019" i="6" a="1"/>
  <c r="H1019" i="6" s="1"/>
  <c r="I1019" i="6" s="1"/>
  <c r="H1020" i="6" a="1"/>
  <c r="H1020" i="6" s="1"/>
  <c r="I1020" i="6" s="1"/>
  <c r="H1021" i="6" a="1"/>
  <c r="H1021" i="6" s="1"/>
  <c r="I1021" i="6" s="1"/>
  <c r="H1022" i="6" a="1"/>
  <c r="H1022" i="6" s="1"/>
  <c r="I1022" i="6" s="1"/>
  <c r="H1023" i="6" a="1"/>
  <c r="H1023" i="6" s="1"/>
  <c r="I1023" i="6" s="1"/>
  <c r="H1024" i="6" a="1"/>
  <c r="H1024" i="6" s="1"/>
  <c r="I1024" i="6" s="1"/>
  <c r="H1025" i="6" a="1"/>
  <c r="H1025" i="6" s="1"/>
  <c r="I1025" i="6" s="1"/>
  <c r="H1026" i="6" a="1"/>
  <c r="H1026" i="6" s="1"/>
  <c r="I1026" i="6" s="1"/>
  <c r="H1027" i="6" a="1"/>
  <c r="H1027" i="6" s="1"/>
  <c r="I1027" i="6" s="1"/>
  <c r="H1028" i="6" a="1"/>
  <c r="H1028" i="6" s="1"/>
  <c r="I1028" i="6" s="1"/>
  <c r="H1029" i="6" a="1"/>
  <c r="H1029" i="6" s="1"/>
  <c r="I1029" i="6" s="1"/>
  <c r="H1030" i="6" a="1"/>
  <c r="H1030" i="6" s="1"/>
  <c r="I1030" i="6" s="1"/>
  <c r="H1031" i="6" a="1"/>
  <c r="H1031" i="6" s="1"/>
  <c r="I1031" i="6" s="1"/>
  <c r="H1032" i="6" a="1"/>
  <c r="H1032" i="6" s="1"/>
  <c r="I1032" i="6" s="1"/>
  <c r="H1033" i="6" a="1"/>
  <c r="H1033" i="6" s="1"/>
  <c r="I1033" i="6" s="1"/>
  <c r="H1034" i="6" a="1"/>
  <c r="H1034" i="6" s="1"/>
  <c r="I1034" i="6" s="1"/>
  <c r="H1035" i="6" a="1"/>
  <c r="H1035" i="6" s="1"/>
  <c r="I1035" i="6" s="1"/>
  <c r="H1036" i="6" a="1"/>
  <c r="H1036" i="6" s="1"/>
  <c r="I1036" i="6" s="1"/>
  <c r="H1037" i="6" a="1"/>
  <c r="H1037" i="6" s="1"/>
  <c r="I1037" i="6" s="1"/>
  <c r="H1038" i="6" a="1"/>
  <c r="H1038" i="6" s="1"/>
  <c r="I1038" i="6" s="1"/>
  <c r="H1039" i="6" a="1"/>
  <c r="H1039" i="6" s="1"/>
  <c r="I1039" i="6" s="1"/>
  <c r="H1040" i="6" a="1"/>
  <c r="H1040" i="6" s="1"/>
  <c r="I1040" i="6" s="1"/>
  <c r="H1041" i="6" a="1"/>
  <c r="H1041" i="6" s="1"/>
  <c r="I1041" i="6" s="1"/>
  <c r="H1042" i="6" a="1"/>
  <c r="H1042" i="6" s="1"/>
  <c r="I1042" i="6" s="1"/>
  <c r="H1043" i="6" a="1"/>
  <c r="H1043" i="6" s="1"/>
  <c r="I1043" i="6" s="1"/>
  <c r="H1044" i="6" a="1"/>
  <c r="H1044" i="6" s="1"/>
  <c r="I1044" i="6" s="1"/>
  <c r="H1045" i="6" a="1"/>
  <c r="H1045" i="6" s="1"/>
  <c r="I1045" i="6" s="1"/>
  <c r="H1046" i="6" a="1"/>
  <c r="H1046" i="6" s="1"/>
  <c r="I1046" i="6" s="1"/>
  <c r="H1047" i="6" a="1"/>
  <c r="H1047" i="6" s="1"/>
  <c r="I1047" i="6" s="1"/>
  <c r="H1048" i="6" a="1"/>
  <c r="H1048" i="6" s="1"/>
  <c r="I1048" i="6" s="1"/>
  <c r="H1049" i="6" a="1"/>
  <c r="H1049" i="6" s="1"/>
  <c r="I1049" i="6" s="1"/>
  <c r="H1050" i="6" a="1"/>
  <c r="H1050" i="6" s="1"/>
  <c r="I1050" i="6" s="1"/>
  <c r="H1051" i="6" a="1"/>
  <c r="H1051" i="6" s="1"/>
  <c r="I1051" i="6" s="1"/>
  <c r="H1052" i="6" a="1"/>
  <c r="H1052" i="6" s="1"/>
  <c r="I1052" i="6" s="1"/>
  <c r="H1053" i="6" a="1"/>
  <c r="H1053" i="6" s="1"/>
  <c r="I1053" i="6" s="1"/>
  <c r="H1054" i="6" a="1"/>
  <c r="H1054" i="6" s="1"/>
  <c r="I1054" i="6" s="1"/>
  <c r="H1055" i="6" a="1"/>
  <c r="H1055" i="6" s="1"/>
  <c r="I1055" i="6" s="1"/>
  <c r="H1056" i="6" a="1"/>
  <c r="H1056" i="6" s="1"/>
  <c r="I1056" i="6" s="1"/>
  <c r="H1057" i="6" a="1"/>
  <c r="H1057" i="6" s="1"/>
  <c r="I1057" i="6" s="1"/>
  <c r="H1058" i="6" a="1"/>
  <c r="H1058" i="6" s="1"/>
  <c r="I1058" i="6" s="1"/>
  <c r="H1059" i="6" a="1"/>
  <c r="H1059" i="6" s="1"/>
  <c r="I1059" i="6" s="1"/>
  <c r="H1060" i="6" a="1"/>
  <c r="H1060" i="6" s="1"/>
  <c r="I1060" i="6" s="1"/>
  <c r="H1061" i="6" a="1"/>
  <c r="H1061" i="6" s="1"/>
  <c r="I1061" i="6" s="1"/>
  <c r="H1062" i="6" a="1"/>
  <c r="H1062" i="6" s="1"/>
  <c r="I1062" i="6" s="1"/>
  <c r="H1063" i="6" a="1"/>
  <c r="H1063" i="6" s="1"/>
  <c r="I1063" i="6" s="1"/>
  <c r="H1064" i="6" a="1"/>
  <c r="H1064" i="6" s="1"/>
  <c r="I1064" i="6" s="1"/>
  <c r="H1065" i="6" a="1"/>
  <c r="H1065" i="6" s="1"/>
  <c r="I1065" i="6" s="1"/>
  <c r="H1066" i="6" a="1"/>
  <c r="H1066" i="6" s="1"/>
  <c r="I1066" i="6" s="1"/>
  <c r="H1067" i="6" a="1"/>
  <c r="H1067" i="6" s="1"/>
  <c r="I1067" i="6" s="1"/>
  <c r="H1068" i="6" a="1"/>
  <c r="H1068" i="6" s="1"/>
  <c r="I1068" i="6" s="1"/>
  <c r="H1069" i="6" a="1"/>
  <c r="H1069" i="6" s="1"/>
  <c r="I1069" i="6" s="1"/>
  <c r="H1070" i="6" a="1"/>
  <c r="H1070" i="6" s="1"/>
  <c r="I1070" i="6" s="1"/>
  <c r="H1071" i="6" a="1"/>
  <c r="H1071" i="6" s="1"/>
  <c r="I1071" i="6" s="1"/>
  <c r="H1072" i="6" a="1"/>
  <c r="H1072" i="6" s="1"/>
  <c r="I1072" i="6" s="1"/>
  <c r="H1073" i="6" a="1"/>
  <c r="H1073" i="6" s="1"/>
  <c r="I1073" i="6" s="1"/>
  <c r="H1074" i="6" a="1"/>
  <c r="H1074" i="6" s="1"/>
  <c r="I1074" i="6" s="1"/>
  <c r="H1075" i="6" a="1"/>
  <c r="H1075" i="6" s="1"/>
  <c r="I1075" i="6" s="1"/>
  <c r="H1076" i="6" a="1"/>
  <c r="H1076" i="6" s="1"/>
  <c r="I1076" i="6" s="1"/>
  <c r="H1077" i="6" a="1"/>
  <c r="H1077" i="6" s="1"/>
  <c r="I1077" i="6" s="1"/>
  <c r="H1078" i="6" a="1"/>
  <c r="H1078" i="6" s="1"/>
  <c r="I1078" i="6" s="1"/>
  <c r="H1079" i="6" a="1"/>
  <c r="H1079" i="6" s="1"/>
  <c r="I1079" i="6" s="1"/>
  <c r="H1080" i="6" a="1"/>
  <c r="H1080" i="6" s="1"/>
  <c r="I1080" i="6" s="1"/>
  <c r="H1081" i="6" a="1"/>
  <c r="H1081" i="6" s="1"/>
  <c r="I1081" i="6" s="1"/>
  <c r="H1082" i="6" a="1"/>
  <c r="H1082" i="6" s="1"/>
  <c r="I1082" i="6" s="1"/>
  <c r="H1083" i="6" a="1"/>
  <c r="H1083" i="6" s="1"/>
  <c r="I1083" i="6" s="1"/>
  <c r="H1084" i="6" a="1"/>
  <c r="H1084" i="6" s="1"/>
  <c r="I1084" i="6" s="1"/>
  <c r="H1085" i="6" a="1"/>
  <c r="H1085" i="6" s="1"/>
  <c r="I1085" i="6" s="1"/>
  <c r="H1086" i="6" a="1"/>
  <c r="H1086" i="6" s="1"/>
  <c r="I1086" i="6" s="1"/>
  <c r="H1087" i="6" a="1"/>
  <c r="H1087" i="6" s="1"/>
  <c r="I1087" i="6" s="1"/>
  <c r="H1088" i="6" a="1"/>
  <c r="H1088" i="6" s="1"/>
  <c r="I1088" i="6" s="1"/>
  <c r="H1089" i="6" a="1"/>
  <c r="H1089" i="6" s="1"/>
  <c r="I1089" i="6" s="1"/>
  <c r="H1090" i="6" a="1"/>
  <c r="H1090" i="6" s="1"/>
  <c r="I1090" i="6" s="1"/>
  <c r="H1091" i="6" a="1"/>
  <c r="H1091" i="6" s="1"/>
  <c r="I1091" i="6" s="1"/>
  <c r="H1092" i="6" a="1"/>
  <c r="H1092" i="6" s="1"/>
  <c r="I1092" i="6" s="1"/>
  <c r="H1093" i="6" a="1"/>
  <c r="H1093" i="6" s="1"/>
  <c r="I1093" i="6" s="1"/>
  <c r="H1094" i="6" a="1"/>
  <c r="H1094" i="6" s="1"/>
  <c r="I1094" i="6" s="1"/>
  <c r="H1095" i="6" a="1"/>
  <c r="H1095" i="6" s="1"/>
  <c r="I1095" i="6" s="1"/>
  <c r="H1096" i="6" a="1"/>
  <c r="H1096" i="6" s="1"/>
  <c r="I1096" i="6" s="1"/>
  <c r="H1097" i="6" a="1"/>
  <c r="H1097" i="6" s="1"/>
  <c r="I1097" i="6" s="1"/>
  <c r="H1098" i="6" a="1"/>
  <c r="H1098" i="6" s="1"/>
  <c r="I1098" i="6" s="1"/>
  <c r="H1099" i="6" a="1"/>
  <c r="H1099" i="6" s="1"/>
  <c r="I1099" i="6" s="1"/>
  <c r="H1100" i="6" a="1"/>
  <c r="H1100" i="6" s="1"/>
  <c r="I1100" i="6" s="1"/>
  <c r="H1101" i="6" a="1"/>
  <c r="H1101" i="6" s="1"/>
  <c r="I1101" i="6" s="1"/>
  <c r="H1102" i="6" a="1"/>
  <c r="H1102" i="6" s="1"/>
  <c r="I1102" i="6" s="1"/>
  <c r="H1103" i="6" a="1"/>
  <c r="H1103" i="6" s="1"/>
  <c r="I1103" i="6" s="1"/>
  <c r="H1104" i="6" a="1"/>
  <c r="H1104" i="6" s="1"/>
  <c r="I1104" i="6" s="1"/>
  <c r="H1105" i="6" a="1"/>
  <c r="H1105" i="6" s="1"/>
  <c r="I1105" i="6" s="1"/>
  <c r="H1106" i="6" a="1"/>
  <c r="H1106" i="6" s="1"/>
  <c r="I1106" i="6" s="1"/>
  <c r="H1107" i="6" a="1"/>
  <c r="H1107" i="6" s="1"/>
  <c r="I1107" i="6" s="1"/>
  <c r="H1108" i="6" a="1"/>
  <c r="H1108" i="6" s="1"/>
  <c r="I1108" i="6" s="1"/>
  <c r="H1109" i="6" a="1"/>
  <c r="H1109" i="6" s="1"/>
  <c r="I1109" i="6" s="1"/>
  <c r="H1110" i="6" a="1"/>
  <c r="H1110" i="6" s="1"/>
  <c r="I1110" i="6" s="1"/>
  <c r="H1111" i="6" a="1"/>
  <c r="H1111" i="6" s="1"/>
  <c r="I1111" i="6" s="1"/>
  <c r="H1112" i="6" a="1"/>
  <c r="H1112" i="6" s="1"/>
  <c r="I1112" i="6" s="1"/>
  <c r="H1113" i="6" a="1"/>
  <c r="H1113" i="6" s="1"/>
  <c r="I1113" i="6" s="1"/>
  <c r="H1114" i="6" a="1"/>
  <c r="H1114" i="6" s="1"/>
  <c r="I1114" i="6" s="1"/>
  <c r="H1115" i="6" a="1"/>
  <c r="H1115" i="6" s="1"/>
  <c r="I1115" i="6" s="1"/>
  <c r="H1116" i="6" a="1"/>
  <c r="H1116" i="6" s="1"/>
  <c r="I1116" i="6" s="1"/>
  <c r="H1117" i="6" a="1"/>
  <c r="H1117" i="6" s="1"/>
  <c r="I1117" i="6" s="1"/>
  <c r="H1118" i="6" a="1"/>
  <c r="H1118" i="6" s="1"/>
  <c r="I1118" i="6" s="1"/>
  <c r="H1119" i="6" a="1"/>
  <c r="H1119" i="6" s="1"/>
  <c r="I1119" i="6" s="1"/>
  <c r="H1120" i="6" a="1"/>
  <c r="H1120" i="6" s="1"/>
  <c r="I1120" i="6" s="1"/>
  <c r="H1121" i="6" a="1"/>
  <c r="H1121" i="6" s="1"/>
  <c r="I1121" i="6" s="1"/>
  <c r="H1122" i="6" a="1"/>
  <c r="H1122" i="6" s="1"/>
  <c r="I1122" i="6" s="1"/>
  <c r="H1123" i="6" a="1"/>
  <c r="H1123" i="6" s="1"/>
  <c r="I1123" i="6" s="1"/>
  <c r="H1124" i="6" a="1"/>
  <c r="H1124" i="6" s="1"/>
  <c r="I1124" i="6" s="1"/>
  <c r="H1125" i="6" a="1"/>
  <c r="H1125" i="6" s="1"/>
  <c r="I1125" i="6" s="1"/>
  <c r="H1126" i="6" a="1"/>
  <c r="H1126" i="6" s="1"/>
  <c r="I1126" i="6" s="1"/>
  <c r="H1127" i="6" a="1"/>
  <c r="H1127" i="6" s="1"/>
  <c r="I1127" i="6" s="1"/>
  <c r="H1128" i="6" a="1"/>
  <c r="H1128" i="6" s="1"/>
  <c r="I1128" i="6" s="1"/>
  <c r="H1129" i="6" a="1"/>
  <c r="H1129" i="6" s="1"/>
  <c r="I1129" i="6" s="1"/>
  <c r="H1130" i="6" a="1"/>
  <c r="H1130" i="6" s="1"/>
  <c r="I1130" i="6" s="1"/>
  <c r="H1131" i="6" a="1"/>
  <c r="H1131" i="6" s="1"/>
  <c r="I1131" i="6" s="1"/>
  <c r="H1132" i="6" a="1"/>
  <c r="H1132" i="6" s="1"/>
  <c r="I1132" i="6" s="1"/>
  <c r="H1133" i="6" a="1"/>
  <c r="H1133" i="6" s="1"/>
  <c r="I1133" i="6" s="1"/>
  <c r="H1134" i="6" a="1"/>
  <c r="H1134" i="6" s="1"/>
  <c r="I1134" i="6" s="1"/>
  <c r="H1135" i="6" a="1"/>
  <c r="H1135" i="6" s="1"/>
  <c r="I1135" i="6" s="1"/>
  <c r="H1136" i="6" a="1"/>
  <c r="H1136" i="6" s="1"/>
  <c r="I1136" i="6" s="1"/>
  <c r="H1137" i="6" a="1"/>
  <c r="H1137" i="6" s="1"/>
  <c r="I1137" i="6" s="1"/>
  <c r="H1138" i="6" a="1"/>
  <c r="H1138" i="6" s="1"/>
  <c r="I1138" i="6" s="1"/>
  <c r="H1139" i="6" a="1"/>
  <c r="H1139" i="6" s="1"/>
  <c r="I1139" i="6" s="1"/>
  <c r="H1140" i="6" a="1"/>
  <c r="H1140" i="6" s="1"/>
  <c r="I1140" i="6" s="1"/>
  <c r="H1141" i="6" a="1"/>
  <c r="H1141" i="6" s="1"/>
  <c r="I1141" i="6" s="1"/>
  <c r="H1142" i="6" a="1"/>
  <c r="H1142" i="6" s="1"/>
  <c r="I1142" i="6" s="1"/>
  <c r="H1143" i="6" a="1"/>
  <c r="H1143" i="6" s="1"/>
  <c r="I1143" i="6" s="1"/>
  <c r="H1144" i="6" a="1"/>
  <c r="H1144" i="6" s="1"/>
  <c r="I1144" i="6" s="1"/>
  <c r="H1145" i="6" a="1"/>
  <c r="H1145" i="6" s="1"/>
  <c r="I1145" i="6" s="1"/>
  <c r="H1146" i="6" a="1"/>
  <c r="H1146" i="6" s="1"/>
  <c r="I1146" i="6" s="1"/>
  <c r="H1147" i="6" a="1"/>
  <c r="H1147" i="6" s="1"/>
  <c r="I1147" i="6" s="1"/>
  <c r="H1148" i="6" a="1"/>
  <c r="H1148" i="6" s="1"/>
  <c r="I1148" i="6" s="1"/>
  <c r="H1149" i="6" a="1"/>
  <c r="H1149" i="6" s="1"/>
  <c r="I1149" i="6" s="1"/>
  <c r="H1150" i="6" a="1"/>
  <c r="H1150" i="6" s="1"/>
  <c r="I1150" i="6" s="1"/>
  <c r="H1151" i="6" a="1"/>
  <c r="H1151" i="6" s="1"/>
  <c r="I1151" i="6" s="1"/>
  <c r="H1152" i="6" a="1"/>
  <c r="H1152" i="6" s="1"/>
  <c r="I1152" i="6" s="1"/>
  <c r="H1153" i="6" a="1"/>
  <c r="H1153" i="6" s="1"/>
  <c r="I1153" i="6" s="1"/>
  <c r="H1154" i="6" a="1"/>
  <c r="H1154" i="6" s="1"/>
  <c r="I1154" i="6" s="1"/>
  <c r="H1155" i="6" a="1"/>
  <c r="H1155" i="6" s="1"/>
  <c r="I1155" i="6" s="1"/>
  <c r="H1156" i="6" a="1"/>
  <c r="H1156" i="6" s="1"/>
  <c r="I1156" i="6" s="1"/>
  <c r="H1157" i="6" a="1"/>
  <c r="H1157" i="6" s="1"/>
  <c r="I1157" i="6" s="1"/>
  <c r="H1158" i="6" a="1"/>
  <c r="H1158" i="6" s="1"/>
  <c r="I1158" i="6" s="1"/>
  <c r="H1159" i="6" a="1"/>
  <c r="H1159" i="6" s="1"/>
  <c r="I1159" i="6" s="1"/>
  <c r="H1160" i="6" a="1"/>
  <c r="H1160" i="6" s="1"/>
  <c r="I1160" i="6" s="1"/>
  <c r="H1161" i="6" a="1"/>
  <c r="H1161" i="6" s="1"/>
  <c r="I1161" i="6" s="1"/>
  <c r="H1162" i="6" a="1"/>
  <c r="H1162" i="6" s="1"/>
  <c r="I1162" i="6" s="1"/>
  <c r="H1163" i="6" a="1"/>
  <c r="H1163" i="6" s="1"/>
  <c r="I1163" i="6" s="1"/>
  <c r="H1164" i="6" a="1"/>
  <c r="H1164" i="6" s="1"/>
  <c r="I1164" i="6" s="1"/>
  <c r="H1165" i="6" a="1"/>
  <c r="H1165" i="6" s="1"/>
  <c r="I1165" i="6" s="1"/>
  <c r="H1166" i="6" a="1"/>
  <c r="H1166" i="6" s="1"/>
  <c r="I1166" i="6" s="1"/>
  <c r="H1167" i="6" a="1"/>
  <c r="H1167" i="6" s="1"/>
  <c r="I1167" i="6" s="1"/>
  <c r="H1168" i="6" a="1"/>
  <c r="H1168" i="6" s="1"/>
  <c r="I1168" i="6" s="1"/>
  <c r="H1169" i="6" a="1"/>
  <c r="H1169" i="6" s="1"/>
  <c r="I1169" i="6" s="1"/>
  <c r="H1170" i="6" a="1"/>
  <c r="H1170" i="6" s="1"/>
  <c r="I1170" i="6" s="1"/>
  <c r="H1171" i="6" a="1"/>
  <c r="H1171" i="6" s="1"/>
  <c r="I1171" i="6" s="1"/>
  <c r="H1172" i="6" a="1"/>
  <c r="H1172" i="6" s="1"/>
  <c r="I1172" i="6" s="1"/>
  <c r="H1173" i="6" a="1"/>
  <c r="H1173" i="6" s="1"/>
  <c r="I1173" i="6" s="1"/>
  <c r="H1174" i="6" a="1"/>
  <c r="H1174" i="6" s="1"/>
  <c r="I1174" i="6" s="1"/>
  <c r="H1175" i="6" a="1"/>
  <c r="H1175" i="6" s="1"/>
  <c r="I1175" i="6" s="1"/>
  <c r="H1176" i="6" a="1"/>
  <c r="H1176" i="6" s="1"/>
  <c r="I1176" i="6" s="1"/>
  <c r="H1177" i="6" a="1"/>
  <c r="H1177" i="6" s="1"/>
  <c r="I1177" i="6" s="1"/>
  <c r="H1178" i="6" a="1"/>
  <c r="H1178" i="6" s="1"/>
  <c r="I1178" i="6" s="1"/>
  <c r="H1179" i="6" a="1"/>
  <c r="H1179" i="6" s="1"/>
  <c r="I1179" i="6" s="1"/>
  <c r="H1180" i="6" a="1"/>
  <c r="H1180" i="6" s="1"/>
  <c r="I1180" i="6" s="1"/>
  <c r="H1181" i="6" a="1"/>
  <c r="H1181" i="6" s="1"/>
  <c r="I1181" i="6" s="1"/>
  <c r="H1182" i="6" a="1"/>
  <c r="H1182" i="6" s="1"/>
  <c r="I1182" i="6" s="1"/>
  <c r="H1183" i="6" a="1"/>
  <c r="H1183" i="6" s="1"/>
  <c r="I1183" i="6" s="1"/>
  <c r="H1184" i="6" a="1"/>
  <c r="H1184" i="6" s="1"/>
  <c r="I1184" i="6" s="1"/>
  <c r="H1185" i="6" a="1"/>
  <c r="H1185" i="6" s="1"/>
  <c r="I1185" i="6" s="1"/>
  <c r="H1186" i="6" a="1"/>
  <c r="H1186" i="6" s="1"/>
  <c r="I1186" i="6" s="1"/>
  <c r="H1187" i="6" a="1"/>
  <c r="H1187" i="6" s="1"/>
  <c r="I1187" i="6" s="1"/>
  <c r="H1188" i="6" a="1"/>
  <c r="H1188" i="6" s="1"/>
  <c r="I1188" i="6" s="1"/>
  <c r="H1189" i="6" a="1"/>
  <c r="H1189" i="6" s="1"/>
  <c r="I1189" i="6" s="1"/>
  <c r="H1190" i="6" a="1"/>
  <c r="H1190" i="6" s="1"/>
  <c r="I1190" i="6" s="1"/>
  <c r="H1191" i="6" a="1"/>
  <c r="H1191" i="6" s="1"/>
  <c r="I1191" i="6" s="1"/>
  <c r="H1192" i="6" a="1"/>
  <c r="H1192" i="6" s="1"/>
  <c r="I1192" i="6" s="1"/>
  <c r="H1193" i="6" a="1"/>
  <c r="H1193" i="6" s="1"/>
  <c r="I1193" i="6" s="1"/>
  <c r="H1194" i="6" a="1"/>
  <c r="H1194" i="6" s="1"/>
  <c r="I1194" i="6" s="1"/>
  <c r="H1195" i="6" a="1"/>
  <c r="H1195" i="6" s="1"/>
  <c r="I1195" i="6" s="1"/>
  <c r="H1196" i="6" a="1"/>
  <c r="H1196" i="6" s="1"/>
  <c r="I1196" i="6" s="1"/>
  <c r="H1197" i="6" a="1"/>
  <c r="H1197" i="6" s="1"/>
  <c r="I1197" i="6" s="1"/>
  <c r="H1198" i="6" a="1"/>
  <c r="H1198" i="6" s="1"/>
  <c r="I1198" i="6" s="1"/>
  <c r="H1199" i="6" a="1"/>
  <c r="H1199" i="6" s="1"/>
  <c r="I1199" i="6" s="1"/>
  <c r="H1200" i="6" a="1"/>
  <c r="H1200" i="6" s="1"/>
  <c r="I1200" i="6" s="1"/>
  <c r="H1201" i="6" a="1"/>
  <c r="H1201" i="6" s="1"/>
  <c r="I1201" i="6" s="1"/>
  <c r="H1202" i="6" a="1"/>
  <c r="H1202" i="6" s="1"/>
  <c r="I1202" i="6" s="1"/>
  <c r="H1203" i="6" a="1"/>
  <c r="H1203" i="6" s="1"/>
  <c r="I1203" i="6" s="1"/>
  <c r="H1204" i="6" a="1"/>
  <c r="H1204" i="6" s="1"/>
  <c r="I1204" i="6" s="1"/>
  <c r="H1205" i="6" a="1"/>
  <c r="H1205" i="6" s="1"/>
  <c r="I1205" i="6" s="1"/>
  <c r="H1206" i="6" a="1"/>
  <c r="H1206" i="6" s="1"/>
  <c r="I1206" i="6" s="1"/>
  <c r="H1207" i="6" a="1"/>
  <c r="H1207" i="6" s="1"/>
  <c r="I1207" i="6" s="1"/>
  <c r="H1208" i="6" a="1"/>
  <c r="H1208" i="6" s="1"/>
  <c r="I1208" i="6" s="1"/>
  <c r="H1209" i="6" a="1"/>
  <c r="H1209" i="6" s="1"/>
  <c r="I1209" i="6" s="1"/>
  <c r="H1210" i="6" a="1"/>
  <c r="H1210" i="6" s="1"/>
  <c r="I1210" i="6" s="1"/>
  <c r="H1211" i="6" a="1"/>
  <c r="H1211" i="6" s="1"/>
  <c r="I1211" i="6" s="1"/>
  <c r="H1212" i="6" a="1"/>
  <c r="H1212" i="6" s="1"/>
  <c r="I1212" i="6" s="1"/>
  <c r="H1213" i="6" a="1"/>
  <c r="H1213" i="6" s="1"/>
  <c r="I1213" i="6" s="1"/>
  <c r="H1214" i="6" a="1"/>
  <c r="H1214" i="6" s="1"/>
  <c r="I1214" i="6" s="1"/>
  <c r="H1215" i="6" a="1"/>
  <c r="H1215" i="6" s="1"/>
  <c r="I1215" i="6" s="1"/>
  <c r="H1216" i="6" a="1"/>
  <c r="H1216" i="6" s="1"/>
  <c r="I1216" i="6" s="1"/>
  <c r="H1217" i="6" a="1"/>
  <c r="H1217" i="6" s="1"/>
  <c r="I1217" i="6" s="1"/>
  <c r="H1218" i="6" a="1"/>
  <c r="H1218" i="6" s="1"/>
  <c r="I1218" i="6" s="1"/>
  <c r="H1219" i="6" a="1"/>
  <c r="H1219" i="6" s="1"/>
  <c r="I1219" i="6" s="1"/>
  <c r="H1220" i="6" a="1"/>
  <c r="H1220" i="6" s="1"/>
  <c r="I1220" i="6" s="1"/>
  <c r="H1221" i="6" a="1"/>
  <c r="H1221" i="6" s="1"/>
  <c r="I1221" i="6" s="1"/>
  <c r="H1222" i="6" a="1"/>
  <c r="H1222" i="6" s="1"/>
  <c r="I1222" i="6" s="1"/>
  <c r="H1223" i="6" a="1"/>
  <c r="H1223" i="6" s="1"/>
  <c r="I1223" i="6" s="1"/>
  <c r="H1224" i="6" a="1"/>
  <c r="H1224" i="6" s="1"/>
  <c r="I1224" i="6" s="1"/>
  <c r="H1225" i="6" a="1"/>
  <c r="H1225" i="6" s="1"/>
  <c r="I1225" i="6" s="1"/>
  <c r="H1226" i="6" a="1"/>
  <c r="H1226" i="6" s="1"/>
  <c r="I1226" i="6" s="1"/>
  <c r="H1227" i="6" a="1"/>
  <c r="H1227" i="6" s="1"/>
  <c r="I1227" i="6" s="1"/>
  <c r="H1228" i="6" a="1"/>
  <c r="H1228" i="6" s="1"/>
  <c r="I1228" i="6" s="1"/>
  <c r="H1229" i="6" a="1"/>
  <c r="H1229" i="6" s="1"/>
  <c r="I1229" i="6" s="1"/>
  <c r="H1230" i="6" a="1"/>
  <c r="H1230" i="6" s="1"/>
  <c r="I1230" i="6" s="1"/>
  <c r="H1231" i="6" a="1"/>
  <c r="H1231" i="6" s="1"/>
  <c r="I1231" i="6" s="1"/>
  <c r="H1232" i="6" a="1"/>
  <c r="H1232" i="6" s="1"/>
  <c r="I1232" i="6" s="1"/>
  <c r="H1233" i="6" a="1"/>
  <c r="H1233" i="6" s="1"/>
  <c r="I1233" i="6" s="1"/>
  <c r="H1234" i="6" a="1"/>
  <c r="H1234" i="6" s="1"/>
  <c r="I1234" i="6" s="1"/>
  <c r="H1235" i="6" a="1"/>
  <c r="H1235" i="6" s="1"/>
  <c r="I1235" i="6" s="1"/>
  <c r="H1236" i="6" a="1"/>
  <c r="H1236" i="6" s="1"/>
  <c r="I1236" i="6" s="1"/>
  <c r="H1237" i="6" a="1"/>
  <c r="H1237" i="6" s="1"/>
  <c r="I1237" i="6" s="1"/>
  <c r="H1238" i="6" a="1"/>
  <c r="H1238" i="6" s="1"/>
  <c r="I1238" i="6" s="1"/>
  <c r="H1239" i="6" a="1"/>
  <c r="H1239" i="6" s="1"/>
  <c r="I1239" i="6" s="1"/>
  <c r="H1240" i="6" a="1"/>
  <c r="H1240" i="6" s="1"/>
  <c r="I1240" i="6" s="1"/>
  <c r="H1241" i="6" a="1"/>
  <c r="H1241" i="6" s="1"/>
  <c r="I1241" i="6" s="1"/>
  <c r="H1242" i="6" a="1"/>
  <c r="H1242" i="6" s="1"/>
  <c r="I1242" i="6" s="1"/>
  <c r="H1243" i="6" a="1"/>
  <c r="H1243" i="6" s="1"/>
  <c r="I1243" i="6" s="1"/>
  <c r="H1244" i="6" a="1"/>
  <c r="H1244" i="6" s="1"/>
  <c r="I1244" i="6" s="1"/>
  <c r="H1245" i="6" a="1"/>
  <c r="H1245" i="6" s="1"/>
  <c r="I1245" i="6" s="1"/>
  <c r="H1246" i="6" a="1"/>
  <c r="H1246" i="6" s="1"/>
  <c r="I1246" i="6" s="1"/>
  <c r="H1247" i="6" a="1"/>
  <c r="H1247" i="6" s="1"/>
  <c r="I1247" i="6" s="1"/>
  <c r="H1248" i="6" a="1"/>
  <c r="H1248" i="6" s="1"/>
  <c r="I1248" i="6" s="1"/>
  <c r="H1249" i="6" a="1"/>
  <c r="H1249" i="6" s="1"/>
  <c r="I1249" i="6" s="1"/>
  <c r="H1250" i="6" a="1"/>
  <c r="H1250" i="6" s="1"/>
  <c r="I1250" i="6" s="1"/>
  <c r="H1251" i="6" a="1"/>
  <c r="H1251" i="6" s="1"/>
  <c r="I1251" i="6" s="1"/>
  <c r="H1252" i="6" a="1"/>
  <c r="H1252" i="6" s="1"/>
  <c r="I1252" i="6" s="1"/>
  <c r="H1253" i="6" a="1"/>
  <c r="H1253" i="6" s="1"/>
  <c r="I1253" i="6" s="1"/>
  <c r="H1254" i="6" a="1"/>
  <c r="H1254" i="6" s="1"/>
  <c r="I1254" i="6" s="1"/>
  <c r="H1255" i="6" a="1"/>
  <c r="H1255" i="6" s="1"/>
  <c r="I1255" i="6" s="1"/>
  <c r="H1256" i="6" a="1"/>
  <c r="H1256" i="6" s="1"/>
  <c r="I1256" i="6" s="1"/>
  <c r="H1257" i="6" a="1"/>
  <c r="H1257" i="6" s="1"/>
  <c r="I1257" i="6" s="1"/>
  <c r="H1258" i="6" a="1"/>
  <c r="H1258" i="6" s="1"/>
  <c r="I1258" i="6" s="1"/>
  <c r="H1259" i="6" a="1"/>
  <c r="H1259" i="6" s="1"/>
  <c r="I1259" i="6" s="1"/>
  <c r="H1260" i="6" a="1"/>
  <c r="H1260" i="6" s="1"/>
  <c r="I1260" i="6" s="1"/>
  <c r="H1261" i="6" a="1"/>
  <c r="H1261" i="6" s="1"/>
  <c r="I1261" i="6" s="1"/>
  <c r="H1262" i="6" a="1"/>
  <c r="H1262" i="6" s="1"/>
  <c r="I1262" i="6" s="1"/>
  <c r="H1263" i="6" a="1"/>
  <c r="H1263" i="6" s="1"/>
  <c r="I1263" i="6" s="1"/>
  <c r="H1264" i="6" a="1"/>
  <c r="H1264" i="6" s="1"/>
  <c r="I1264" i="6" s="1"/>
  <c r="H1265" i="6" a="1"/>
  <c r="H1265" i="6" s="1"/>
  <c r="I1265" i="6" s="1"/>
  <c r="H1266" i="6" a="1"/>
  <c r="H1266" i="6" s="1"/>
  <c r="I1266" i="6" s="1"/>
  <c r="H1267" i="6" a="1"/>
  <c r="H1267" i="6" s="1"/>
  <c r="I1267" i="6" s="1"/>
  <c r="H1268" i="6" a="1"/>
  <c r="H1268" i="6" s="1"/>
  <c r="I1268" i="6" s="1"/>
  <c r="H1269" i="6" a="1"/>
  <c r="H1269" i="6" s="1"/>
  <c r="I1269" i="6" s="1"/>
  <c r="H1270" i="6" a="1"/>
  <c r="H1270" i="6" s="1"/>
  <c r="I1270" i="6" s="1"/>
  <c r="H1271" i="6" a="1"/>
  <c r="H1271" i="6" s="1"/>
  <c r="I1271" i="6" s="1"/>
  <c r="H1272" i="6" a="1"/>
  <c r="H1272" i="6" s="1"/>
  <c r="I1272" i="6" s="1"/>
  <c r="H1273" i="6" a="1"/>
  <c r="H1273" i="6" s="1"/>
  <c r="I1273" i="6" s="1"/>
  <c r="H1274" i="6" a="1"/>
  <c r="H1274" i="6" s="1"/>
  <c r="I1274" i="6" s="1"/>
  <c r="H1275" i="6" a="1"/>
  <c r="H1275" i="6" s="1"/>
  <c r="I1275" i="6" s="1"/>
  <c r="H1276" i="6" a="1"/>
  <c r="H1276" i="6" s="1"/>
  <c r="I1276" i="6" s="1"/>
  <c r="H1277" i="6" a="1"/>
  <c r="H1277" i="6" s="1"/>
  <c r="I1277" i="6" s="1"/>
  <c r="H1278" i="6" a="1"/>
  <c r="H1278" i="6" s="1"/>
  <c r="I1278" i="6" s="1"/>
  <c r="H1279" i="6" a="1"/>
  <c r="H1279" i="6" s="1"/>
  <c r="I1279" i="6" s="1"/>
  <c r="H1280" i="6" a="1"/>
  <c r="H1280" i="6" s="1"/>
  <c r="I1280" i="6" s="1"/>
  <c r="H1281" i="6" a="1"/>
  <c r="H1281" i="6" s="1"/>
  <c r="I1281" i="6" s="1"/>
  <c r="H1282" i="6" a="1"/>
  <c r="H1282" i="6" s="1"/>
  <c r="I1282" i="6" s="1"/>
  <c r="H1283" i="6" a="1"/>
  <c r="H1283" i="6" s="1"/>
  <c r="I1283" i="6" s="1"/>
  <c r="H1284" i="6" a="1"/>
  <c r="H1284" i="6" s="1"/>
  <c r="I1284" i="6" s="1"/>
  <c r="H1285" i="6" a="1"/>
  <c r="H1285" i="6" s="1"/>
  <c r="I1285" i="6" s="1"/>
  <c r="H1286" i="6" a="1"/>
  <c r="H1286" i="6" s="1"/>
  <c r="I1286" i="6" s="1"/>
  <c r="H1287" i="6" a="1"/>
  <c r="H1287" i="6" s="1"/>
  <c r="I1287" i="6" s="1"/>
  <c r="H1288" i="6" a="1"/>
  <c r="H1288" i="6" s="1"/>
  <c r="I1288" i="6" s="1"/>
  <c r="H1289" i="6" a="1"/>
  <c r="H1289" i="6" s="1"/>
  <c r="I1289" i="6" s="1"/>
  <c r="H1290" i="6" a="1"/>
  <c r="H1290" i="6" s="1"/>
  <c r="I1290" i="6" s="1"/>
  <c r="H1291" i="6" a="1"/>
  <c r="H1291" i="6" s="1"/>
  <c r="I1291" i="6" s="1"/>
  <c r="H1292" i="6" a="1"/>
  <c r="H1292" i="6" s="1"/>
  <c r="I1292" i="6" s="1"/>
  <c r="H1293" i="6" a="1"/>
  <c r="H1293" i="6" s="1"/>
  <c r="I1293" i="6" s="1"/>
  <c r="H1294" i="6" a="1"/>
  <c r="H1294" i="6" s="1"/>
  <c r="I1294" i="6" s="1"/>
  <c r="H1295" i="6" a="1"/>
  <c r="H1295" i="6" s="1"/>
  <c r="I1295" i="6" s="1"/>
  <c r="H1296" i="6" a="1"/>
  <c r="H1296" i="6" s="1"/>
  <c r="I1296" i="6" s="1"/>
  <c r="H1297" i="6" a="1"/>
  <c r="H1297" i="6" s="1"/>
  <c r="I1297" i="6" s="1"/>
  <c r="H1298" i="6" a="1"/>
  <c r="H1298" i="6" s="1"/>
  <c r="I1298" i="6" s="1"/>
  <c r="H1299" i="6" a="1"/>
  <c r="H1299" i="6" s="1"/>
  <c r="I1299" i="6" s="1"/>
  <c r="H1300" i="6" a="1"/>
  <c r="H1300" i="6" s="1"/>
  <c r="I1300" i="6" s="1"/>
  <c r="H1301" i="6" a="1"/>
  <c r="H1301" i="6" s="1"/>
  <c r="I1301" i="6" s="1"/>
  <c r="H1302" i="6" a="1"/>
  <c r="H1302" i="6" s="1"/>
  <c r="I1302" i="6" s="1"/>
  <c r="H1303" i="6" a="1"/>
  <c r="H1303" i="6" s="1"/>
  <c r="I1303" i="6" s="1"/>
  <c r="H1304" i="6" a="1"/>
  <c r="H1304" i="6" s="1"/>
  <c r="I1304" i="6" s="1"/>
  <c r="H1305" i="6" a="1"/>
  <c r="H1305" i="6" s="1"/>
  <c r="I1305" i="6" s="1"/>
  <c r="H1306" i="6" a="1"/>
  <c r="H1306" i="6" s="1"/>
  <c r="I1306" i="6" s="1"/>
  <c r="H1307" i="6" a="1"/>
  <c r="H1307" i="6" s="1"/>
  <c r="I1307" i="6" s="1"/>
  <c r="H1308" i="6" a="1"/>
  <c r="H1308" i="6" s="1"/>
  <c r="I1308" i="6" s="1"/>
  <c r="H1309" i="6" a="1"/>
  <c r="H1309" i="6" s="1"/>
  <c r="I1309" i="6" s="1"/>
  <c r="H1310" i="6" a="1"/>
  <c r="H1310" i="6" s="1"/>
  <c r="I1310" i="6" s="1"/>
  <c r="H1311" i="6" a="1"/>
  <c r="H1311" i="6" s="1"/>
  <c r="I1311" i="6" s="1"/>
  <c r="H1312" i="6" a="1"/>
  <c r="H1312" i="6" s="1"/>
  <c r="I1312" i="6" s="1"/>
  <c r="H1313" i="6" a="1"/>
  <c r="H1313" i="6" s="1"/>
  <c r="I1313" i="6" s="1"/>
  <c r="H1314" i="6" a="1"/>
  <c r="H1314" i="6" s="1"/>
  <c r="I1314" i="6" s="1"/>
  <c r="H1315" i="6" a="1"/>
  <c r="H1315" i="6" s="1"/>
  <c r="I1315" i="6" s="1"/>
  <c r="H1316" i="6" a="1"/>
  <c r="H1316" i="6" s="1"/>
  <c r="I1316" i="6" s="1"/>
  <c r="H1317" i="6" a="1"/>
  <c r="H1317" i="6" s="1"/>
  <c r="I1317" i="6" s="1"/>
  <c r="H1318" i="6" a="1"/>
  <c r="H1318" i="6" s="1"/>
  <c r="I1318" i="6" s="1"/>
  <c r="H1319" i="6" a="1"/>
  <c r="H1319" i="6" s="1"/>
  <c r="I1319" i="6" s="1"/>
  <c r="H1320" i="6" a="1"/>
  <c r="H1320" i="6" s="1"/>
  <c r="I1320" i="6" s="1"/>
  <c r="H1321" i="6" a="1"/>
  <c r="H1321" i="6" s="1"/>
  <c r="I1321" i="6" s="1"/>
  <c r="H1322" i="6" a="1"/>
  <c r="H1322" i="6" s="1"/>
  <c r="I1322" i="6" s="1"/>
  <c r="H1323" i="6" a="1"/>
  <c r="H1323" i="6" s="1"/>
  <c r="I1323" i="6" s="1"/>
  <c r="H1324" i="6" a="1"/>
  <c r="H1324" i="6" s="1"/>
  <c r="I1324" i="6" s="1"/>
  <c r="H1325" i="6" a="1"/>
  <c r="H1325" i="6" s="1"/>
  <c r="I1325" i="6" s="1"/>
  <c r="H1326" i="6" a="1"/>
  <c r="H1326" i="6" s="1"/>
  <c r="I1326" i="6" s="1"/>
  <c r="H1327" i="6" a="1"/>
  <c r="H1327" i="6" s="1"/>
  <c r="I1327" i="6" s="1"/>
  <c r="H1328" i="6" a="1"/>
  <c r="H1328" i="6" s="1"/>
  <c r="I1328" i="6" s="1"/>
  <c r="H1329" i="6" a="1"/>
  <c r="H1329" i="6" s="1"/>
  <c r="I1329" i="6" s="1"/>
  <c r="H1330" i="6" a="1"/>
  <c r="H1330" i="6" s="1"/>
  <c r="I1330" i="6" s="1"/>
  <c r="H1331" i="6" a="1"/>
  <c r="H1331" i="6" s="1"/>
  <c r="I1331" i="6" s="1"/>
  <c r="H1332" i="6" a="1"/>
  <c r="H1332" i="6" s="1"/>
  <c r="I1332" i="6" s="1"/>
  <c r="H1333" i="6" a="1"/>
  <c r="H1333" i="6" s="1"/>
  <c r="I1333" i="6" s="1"/>
  <c r="H1334" i="6" a="1"/>
  <c r="H1334" i="6" s="1"/>
  <c r="I1334" i="6" s="1"/>
  <c r="H1335" i="6" a="1"/>
  <c r="H1335" i="6" s="1"/>
  <c r="I1335" i="6" s="1"/>
  <c r="H1336" i="6" a="1"/>
  <c r="H1336" i="6" s="1"/>
  <c r="I1336" i="6" s="1"/>
  <c r="H1337" i="6" a="1"/>
  <c r="H1337" i="6" s="1"/>
  <c r="I1337" i="6" s="1"/>
  <c r="H1338" i="6" a="1"/>
  <c r="H1338" i="6" s="1"/>
  <c r="I1338" i="6" s="1"/>
  <c r="H1339" i="6" a="1"/>
  <c r="H1339" i="6" s="1"/>
  <c r="I1339" i="6" s="1"/>
  <c r="H1340" i="6" a="1"/>
  <c r="H1340" i="6" s="1"/>
  <c r="I1340" i="6" s="1"/>
  <c r="H1341" i="6" a="1"/>
  <c r="H1341" i="6" s="1"/>
  <c r="I1341" i="6" s="1"/>
  <c r="H1342" i="6" a="1"/>
  <c r="H1342" i="6" s="1"/>
  <c r="I1342" i="6" s="1"/>
  <c r="H1343" i="6" a="1"/>
  <c r="H1343" i="6" s="1"/>
  <c r="I1343" i="6" s="1"/>
  <c r="H1344" i="6" a="1"/>
  <c r="H1344" i="6" s="1"/>
  <c r="I1344" i="6" s="1"/>
  <c r="H1345" i="6" a="1"/>
  <c r="H1345" i="6" s="1"/>
  <c r="I1345" i="6" s="1"/>
  <c r="H1346" i="6" a="1"/>
  <c r="H1346" i="6" s="1"/>
  <c r="I1346" i="6" s="1"/>
  <c r="H1347" i="6" a="1"/>
  <c r="H1347" i="6" s="1"/>
  <c r="I1347" i="6" s="1"/>
  <c r="H1348" i="6" a="1"/>
  <c r="H1348" i="6" s="1"/>
  <c r="I1348" i="6" s="1"/>
  <c r="H1349" i="6" a="1"/>
  <c r="H1349" i="6" s="1"/>
  <c r="I1349" i="6" s="1"/>
  <c r="H1350" i="6" a="1"/>
  <c r="H1350" i="6" s="1"/>
  <c r="I1350" i="6" s="1"/>
  <c r="H1351" i="6" a="1"/>
  <c r="H1351" i="6" s="1"/>
  <c r="I1351" i="6" s="1"/>
  <c r="H1352" i="6" a="1"/>
  <c r="H1352" i="6" s="1"/>
  <c r="I1352" i="6" s="1"/>
  <c r="H1353" i="6" a="1"/>
  <c r="H1353" i="6" s="1"/>
  <c r="I1353" i="6" s="1"/>
  <c r="H1354" i="6" a="1"/>
  <c r="H1354" i="6" s="1"/>
  <c r="I1354" i="6" s="1"/>
  <c r="H1355" i="6" a="1"/>
  <c r="H1355" i="6" s="1"/>
  <c r="I1355" i="6" s="1"/>
  <c r="H1356" i="6" a="1"/>
  <c r="H1356" i="6" s="1"/>
  <c r="I1356" i="6" s="1"/>
  <c r="H1357" i="6" a="1"/>
  <c r="H1357" i="6" s="1"/>
  <c r="I1357" i="6" s="1"/>
  <c r="H1358" i="6" a="1"/>
  <c r="H1358" i="6" s="1"/>
  <c r="I1358" i="6" s="1"/>
  <c r="H1359" i="6" a="1"/>
  <c r="H1359" i="6" s="1"/>
  <c r="I1359" i="6" s="1"/>
  <c r="H1360" i="6" a="1"/>
  <c r="H1360" i="6" s="1"/>
  <c r="I1360" i="6" s="1"/>
  <c r="H1361" i="6" a="1"/>
  <c r="H1361" i="6" s="1"/>
  <c r="I1361" i="6" s="1"/>
  <c r="H1362" i="6" a="1"/>
  <c r="H1362" i="6" s="1"/>
  <c r="I1362" i="6" s="1"/>
  <c r="H1363" i="6" a="1"/>
  <c r="H1363" i="6" s="1"/>
  <c r="I1363" i="6" s="1"/>
  <c r="H1364" i="6" a="1"/>
  <c r="H1364" i="6" s="1"/>
  <c r="I1364" i="6" s="1"/>
  <c r="H1365" i="6" a="1"/>
  <c r="H1365" i="6" s="1"/>
  <c r="I1365" i="6" s="1"/>
  <c r="H1366" i="6" a="1"/>
  <c r="H1366" i="6" s="1"/>
  <c r="I1366" i="6" s="1"/>
  <c r="H1367" i="6" a="1"/>
  <c r="H1367" i="6" s="1"/>
  <c r="I1367" i="6" s="1"/>
  <c r="H1368" i="6" a="1"/>
  <c r="H1368" i="6" s="1"/>
  <c r="I1368" i="6" s="1"/>
  <c r="H1369" i="6" a="1"/>
  <c r="H1369" i="6" s="1"/>
  <c r="I1369" i="6" s="1"/>
  <c r="H1370" i="6" a="1"/>
  <c r="H1370" i="6" s="1"/>
  <c r="I1370" i="6" s="1"/>
  <c r="H1371" i="6" a="1"/>
  <c r="H1371" i="6" s="1"/>
  <c r="I1371" i="6" s="1"/>
  <c r="H1372" i="6" a="1"/>
  <c r="H1372" i="6" s="1"/>
  <c r="I1372" i="6" s="1"/>
  <c r="H1373" i="6" a="1"/>
  <c r="H1373" i="6" s="1"/>
  <c r="I1373" i="6" s="1"/>
  <c r="H1374" i="6" a="1"/>
  <c r="H1374" i="6" s="1"/>
  <c r="I1374" i="6" s="1"/>
  <c r="H1375" i="6" a="1"/>
  <c r="H1375" i="6" s="1"/>
  <c r="I1375" i="6" s="1"/>
  <c r="H1376" i="6" a="1"/>
  <c r="H1376" i="6" s="1"/>
  <c r="I1376" i="6" s="1"/>
  <c r="H1377" i="6" a="1"/>
  <c r="H1377" i="6" s="1"/>
  <c r="I1377" i="6" s="1"/>
  <c r="H1378" i="6" a="1"/>
  <c r="H1378" i="6" s="1"/>
  <c r="I1378" i="6" s="1"/>
  <c r="H1379" i="6" a="1"/>
  <c r="H1379" i="6" s="1"/>
  <c r="I1379" i="6" s="1"/>
  <c r="H1380" i="6" a="1"/>
  <c r="H1380" i="6" s="1"/>
  <c r="I1380" i="6" s="1"/>
  <c r="H1381" i="6" a="1"/>
  <c r="H1381" i="6" s="1"/>
  <c r="I1381" i="6" s="1"/>
  <c r="H1382" i="6" a="1"/>
  <c r="H1382" i="6" s="1"/>
  <c r="I1382" i="6" s="1"/>
  <c r="H1383" i="6" a="1"/>
  <c r="H1383" i="6" s="1"/>
  <c r="I1383" i="6" s="1"/>
  <c r="H1384" i="6" a="1"/>
  <c r="H1384" i="6" s="1"/>
  <c r="I1384" i="6" s="1"/>
  <c r="H1385" i="6" a="1"/>
  <c r="H1385" i="6" s="1"/>
  <c r="I1385" i="6" s="1"/>
  <c r="H1386" i="6" a="1"/>
  <c r="H1386" i="6" s="1"/>
  <c r="I1386" i="6" s="1"/>
  <c r="H1387" i="6" a="1"/>
  <c r="H1387" i="6" s="1"/>
  <c r="I1387" i="6" s="1"/>
  <c r="H1388" i="6" a="1"/>
  <c r="H1388" i="6" s="1"/>
  <c r="I1388" i="6" s="1"/>
  <c r="H1389" i="6" a="1"/>
  <c r="H1389" i="6" s="1"/>
  <c r="I1389" i="6" s="1"/>
  <c r="H1390" i="6" a="1"/>
  <c r="H1390" i="6" s="1"/>
  <c r="I1390" i="6" s="1"/>
  <c r="H1391" i="6" a="1"/>
  <c r="H1391" i="6" s="1"/>
  <c r="I1391" i="6" s="1"/>
  <c r="H1392" i="6" a="1"/>
  <c r="H1392" i="6" s="1"/>
  <c r="I1392" i="6" s="1"/>
  <c r="H1393" i="6" a="1"/>
  <c r="H1393" i="6" s="1"/>
  <c r="I1393" i="6" s="1"/>
  <c r="H1394" i="6" a="1"/>
  <c r="H1394" i="6" s="1"/>
  <c r="I1394" i="6" s="1"/>
  <c r="H1395" i="6" a="1"/>
  <c r="H1395" i="6" s="1"/>
  <c r="I1395" i="6" s="1"/>
  <c r="H1396" i="6" a="1"/>
  <c r="H1396" i="6" s="1"/>
  <c r="I1396" i="6" s="1"/>
  <c r="H1397" i="6" a="1"/>
  <c r="H1397" i="6" s="1"/>
  <c r="I1397" i="6" s="1"/>
  <c r="H1398" i="6" a="1"/>
  <c r="H1398" i="6" s="1"/>
  <c r="I1398" i="6" s="1"/>
  <c r="H1399" i="6" a="1"/>
  <c r="H1399" i="6" s="1"/>
  <c r="I1399" i="6" s="1"/>
  <c r="H1400" i="6" a="1"/>
  <c r="H1400" i="6" s="1"/>
  <c r="I1400" i="6" s="1"/>
  <c r="H1401" i="6" a="1"/>
  <c r="H1401" i="6" s="1"/>
  <c r="I1401" i="6" s="1"/>
  <c r="H1402" i="6" a="1"/>
  <c r="H1402" i="6" s="1"/>
  <c r="I1402" i="6" s="1"/>
  <c r="H1403" i="6" a="1"/>
  <c r="H1403" i="6" s="1"/>
  <c r="I1403" i="6" s="1"/>
  <c r="H1404" i="6" a="1"/>
  <c r="H1404" i="6" s="1"/>
  <c r="I1404" i="6" s="1"/>
  <c r="H1405" i="6" a="1"/>
  <c r="H1405" i="6" s="1"/>
  <c r="I1405" i="6" s="1"/>
  <c r="H1406" i="6" a="1"/>
  <c r="H1406" i="6" s="1"/>
  <c r="I1406" i="6" s="1"/>
  <c r="H1407" i="6" a="1"/>
  <c r="H1407" i="6" s="1"/>
  <c r="I1407" i="6" s="1"/>
  <c r="H1408" i="6" a="1"/>
  <c r="H1408" i="6" s="1"/>
  <c r="I1408" i="6" s="1"/>
  <c r="H1409" i="6" a="1"/>
  <c r="H1409" i="6" s="1"/>
  <c r="I1409" i="6" s="1"/>
  <c r="H1410" i="6" a="1"/>
  <c r="H1410" i="6" s="1"/>
  <c r="I1410" i="6" s="1"/>
  <c r="H1411" i="6" a="1"/>
  <c r="H1411" i="6" s="1"/>
  <c r="I1411" i="6" s="1"/>
  <c r="H1412" i="6" a="1"/>
  <c r="H1412" i="6" s="1"/>
  <c r="I1412" i="6" s="1"/>
  <c r="H1413" i="6" a="1"/>
  <c r="H1413" i="6" s="1"/>
  <c r="I1413" i="6" s="1"/>
  <c r="H1414" i="6" a="1"/>
  <c r="H1414" i="6" s="1"/>
  <c r="I1414" i="6" s="1"/>
  <c r="H1415" i="6" a="1"/>
  <c r="H1415" i="6" s="1"/>
  <c r="I1415" i="6" s="1"/>
  <c r="H1416" i="6" a="1"/>
  <c r="H1416" i="6" s="1"/>
  <c r="I1416" i="6" s="1"/>
  <c r="H1417" i="6" a="1"/>
  <c r="H1417" i="6" s="1"/>
  <c r="I1417" i="6" s="1"/>
  <c r="H1418" i="6" a="1"/>
  <c r="H1418" i="6" s="1"/>
  <c r="I1418" i="6" s="1"/>
  <c r="H1419" i="6" a="1"/>
  <c r="H1419" i="6" s="1"/>
  <c r="I1419" i="6" s="1"/>
  <c r="H1420" i="6" a="1"/>
  <c r="H1420" i="6" s="1"/>
  <c r="I1420" i="6" s="1"/>
  <c r="H1421" i="6" a="1"/>
  <c r="H1421" i="6" s="1"/>
  <c r="I1421" i="6" s="1"/>
  <c r="H1422" i="6" a="1"/>
  <c r="H1422" i="6" s="1"/>
  <c r="I1422" i="6" s="1"/>
  <c r="H1423" i="6" a="1"/>
  <c r="H1423" i="6" s="1"/>
  <c r="I1423" i="6" s="1"/>
  <c r="H1424" i="6" a="1"/>
  <c r="H1424" i="6" s="1"/>
  <c r="I1424" i="6" s="1"/>
  <c r="H1425" i="6" a="1"/>
  <c r="H1425" i="6" s="1"/>
  <c r="I1425" i="6" s="1"/>
  <c r="H1426" i="6" a="1"/>
  <c r="H1426" i="6" s="1"/>
  <c r="I1426" i="6" s="1"/>
  <c r="H1427" i="6" a="1"/>
  <c r="H1427" i="6" s="1"/>
  <c r="I1427" i="6" s="1"/>
  <c r="H1428" i="6" a="1"/>
  <c r="H1428" i="6" s="1"/>
  <c r="I1428" i="6" s="1"/>
  <c r="H1429" i="6" a="1"/>
  <c r="H1429" i="6" s="1"/>
  <c r="I1429" i="6" s="1"/>
  <c r="H1430" i="6" a="1"/>
  <c r="H1430" i="6" s="1"/>
  <c r="I1430" i="6" s="1"/>
  <c r="H1431" i="6" a="1"/>
  <c r="H1431" i="6" s="1"/>
  <c r="I1431" i="6" s="1"/>
  <c r="H1432" i="6" a="1"/>
  <c r="H1432" i="6" s="1"/>
  <c r="I1432" i="6" s="1"/>
  <c r="H1433" i="6" a="1"/>
  <c r="H1433" i="6" s="1"/>
  <c r="I1433" i="6" s="1"/>
  <c r="H1434" i="6" a="1"/>
  <c r="H1434" i="6" s="1"/>
  <c r="I1434" i="6" s="1"/>
  <c r="H1435" i="6" a="1"/>
  <c r="H1435" i="6" s="1"/>
  <c r="I1435" i="6" s="1"/>
  <c r="H1436" i="6" a="1"/>
  <c r="H1436" i="6" s="1"/>
  <c r="I1436" i="6" s="1"/>
  <c r="H1437" i="6" a="1"/>
  <c r="H1437" i="6" s="1"/>
  <c r="I1437" i="6" s="1"/>
  <c r="H1438" i="6" a="1"/>
  <c r="H1438" i="6" s="1"/>
  <c r="I1438" i="6" s="1"/>
  <c r="H1439" i="6" a="1"/>
  <c r="H1439" i="6" s="1"/>
  <c r="I1439" i="6" s="1"/>
  <c r="H1440" i="6" a="1"/>
  <c r="H1440" i="6" s="1"/>
  <c r="I1440" i="6" s="1"/>
  <c r="H1441" i="6" a="1"/>
  <c r="H1441" i="6" s="1"/>
  <c r="I1441" i="6" s="1"/>
  <c r="H1442" i="6" a="1"/>
  <c r="H1442" i="6" s="1"/>
  <c r="I1442" i="6" s="1"/>
  <c r="H1443" i="6" a="1"/>
  <c r="H1443" i="6" s="1"/>
  <c r="I1443" i="6" s="1"/>
  <c r="H1444" i="6" a="1"/>
  <c r="H1444" i="6" s="1"/>
  <c r="I1444" i="6" s="1"/>
  <c r="H1445" i="6" a="1"/>
  <c r="H1445" i="6" s="1"/>
  <c r="I1445" i="6" s="1"/>
  <c r="H1446" i="6" a="1"/>
  <c r="H1446" i="6" s="1"/>
  <c r="I1446" i="6" s="1"/>
  <c r="H1447" i="6" a="1"/>
  <c r="H1447" i="6" s="1"/>
  <c r="I1447" i="6" s="1"/>
  <c r="H1448" i="6" a="1"/>
  <c r="H1448" i="6" s="1"/>
  <c r="I1448" i="6" s="1"/>
  <c r="H1449" i="6" a="1"/>
  <c r="H1449" i="6" s="1"/>
  <c r="I1449" i="6" s="1"/>
  <c r="H1450" i="6" a="1"/>
  <c r="H1450" i="6" s="1"/>
  <c r="I1450" i="6" s="1"/>
  <c r="H1451" i="6" a="1"/>
  <c r="H1451" i="6" s="1"/>
  <c r="I1451" i="6" s="1"/>
  <c r="H1452" i="6" a="1"/>
  <c r="H1452" i="6" s="1"/>
  <c r="I1452" i="6" s="1"/>
  <c r="H1453" i="6" a="1"/>
  <c r="H1453" i="6" s="1"/>
  <c r="I1453" i="6" s="1"/>
  <c r="H1454" i="6" a="1"/>
  <c r="H1454" i="6" s="1"/>
  <c r="I1454" i="6" s="1"/>
  <c r="H1455" i="6" a="1"/>
  <c r="H1455" i="6" s="1"/>
  <c r="I1455" i="6" s="1"/>
  <c r="H1456" i="6" a="1"/>
  <c r="H1456" i="6" s="1"/>
  <c r="I1456" i="6" s="1"/>
  <c r="H1457" i="6" a="1"/>
  <c r="H1457" i="6" s="1"/>
  <c r="I1457" i="6" s="1"/>
  <c r="H1458" i="6" a="1"/>
  <c r="H1458" i="6" s="1"/>
  <c r="I1458" i="6" s="1"/>
  <c r="H1459" i="6" a="1"/>
  <c r="H1459" i="6" s="1"/>
  <c r="I1459" i="6" s="1"/>
  <c r="H1460" i="6" a="1"/>
  <c r="H1460" i="6" s="1"/>
  <c r="I1460" i="6" s="1"/>
  <c r="H1461" i="6" a="1"/>
  <c r="H1461" i="6" s="1"/>
  <c r="I1461" i="6" s="1"/>
  <c r="H1462" i="6" a="1"/>
  <c r="H1462" i="6" s="1"/>
  <c r="I1462" i="6" s="1"/>
  <c r="H1463" i="6" a="1"/>
  <c r="H1463" i="6" s="1"/>
  <c r="I1463" i="6" s="1"/>
  <c r="H1464" i="6" a="1"/>
  <c r="H1464" i="6" s="1"/>
  <c r="I1464" i="6" s="1"/>
  <c r="H1465" i="6" a="1"/>
  <c r="H1465" i="6" s="1"/>
  <c r="I1465" i="6" s="1"/>
  <c r="H1466" i="6" a="1"/>
  <c r="H1466" i="6" s="1"/>
  <c r="I1466" i="6" s="1"/>
  <c r="H1467" i="6" a="1"/>
  <c r="H1467" i="6" s="1"/>
  <c r="I1467" i="6" s="1"/>
  <c r="H1468" i="6" a="1"/>
  <c r="H1468" i="6" s="1"/>
  <c r="I1468" i="6" s="1"/>
  <c r="H1469" i="6" a="1"/>
  <c r="H1469" i="6" s="1"/>
  <c r="I1469" i="6" s="1"/>
  <c r="H1470" i="6" a="1"/>
  <c r="H1470" i="6" s="1"/>
  <c r="I1470" i="6" s="1"/>
  <c r="H1471" i="6" a="1"/>
  <c r="H1471" i="6" s="1"/>
  <c r="I1471" i="6" s="1"/>
  <c r="H1472" i="6" a="1"/>
  <c r="H1472" i="6" s="1"/>
  <c r="I1472" i="6" s="1"/>
  <c r="H1473" i="6" a="1"/>
  <c r="H1473" i="6" s="1"/>
  <c r="I1473" i="6" s="1"/>
  <c r="H1474" i="6" a="1"/>
  <c r="H1474" i="6" s="1"/>
  <c r="I1474" i="6" s="1"/>
  <c r="H1475" i="6" a="1"/>
  <c r="H1475" i="6" s="1"/>
  <c r="I1475" i="6" s="1"/>
  <c r="H1476" i="6" a="1"/>
  <c r="H1476" i="6" s="1"/>
  <c r="I1476" i="6" s="1"/>
  <c r="H1477" i="6" a="1"/>
  <c r="H1477" i="6" s="1"/>
  <c r="I1477" i="6" s="1"/>
  <c r="H1478" i="6" a="1"/>
  <c r="H1478" i="6" s="1"/>
  <c r="I1478" i="6" s="1"/>
  <c r="H1479" i="6" a="1"/>
  <c r="H1479" i="6" s="1"/>
  <c r="I1479" i="6" s="1"/>
  <c r="H1480" i="6" a="1"/>
  <c r="H1480" i="6" s="1"/>
  <c r="I1480" i="6" s="1"/>
  <c r="H1481" i="6" a="1"/>
  <c r="H1481" i="6" s="1"/>
  <c r="I1481" i="6" s="1"/>
  <c r="H1482" i="6" a="1"/>
  <c r="H1482" i="6" s="1"/>
  <c r="I1482" i="6" s="1"/>
  <c r="H1483" i="6" a="1"/>
  <c r="H1483" i="6" s="1"/>
  <c r="I1483" i="6" s="1"/>
  <c r="H1484" i="6" a="1"/>
  <c r="H1484" i="6" s="1"/>
  <c r="I1484" i="6" s="1"/>
  <c r="H1485" i="6" a="1"/>
  <c r="H1485" i="6" s="1"/>
  <c r="I1485" i="6" s="1"/>
  <c r="H1486" i="6" a="1"/>
  <c r="H1486" i="6" s="1"/>
  <c r="I1486" i="6" s="1"/>
  <c r="H1487" i="6" a="1"/>
  <c r="H1487" i="6" s="1"/>
  <c r="I1487" i="6" s="1"/>
  <c r="H1488" i="6" a="1"/>
  <c r="H1488" i="6" s="1"/>
  <c r="I1488" i="6" s="1"/>
  <c r="H1489" i="6" a="1"/>
  <c r="H1489" i="6" s="1"/>
  <c r="I1489" i="6" s="1"/>
  <c r="H1490" i="6" a="1"/>
  <c r="H1490" i="6" s="1"/>
  <c r="I1490" i="6" s="1"/>
  <c r="H1491" i="6" a="1"/>
  <c r="H1491" i="6" s="1"/>
  <c r="I1491" i="6" s="1"/>
  <c r="H1492" i="6" a="1"/>
  <c r="H1492" i="6" s="1"/>
  <c r="I1492" i="6" s="1"/>
  <c r="H1493" i="6" a="1"/>
  <c r="H1493" i="6" s="1"/>
  <c r="I1493" i="6" s="1"/>
  <c r="H1494" i="6" a="1"/>
  <c r="H1494" i="6" s="1"/>
  <c r="I1494" i="6" s="1"/>
  <c r="H1495" i="6" a="1"/>
  <c r="H1495" i="6" s="1"/>
  <c r="I1495" i="6" s="1"/>
  <c r="H1496" i="6" a="1"/>
  <c r="H1496" i="6" s="1"/>
  <c r="I1496" i="6" s="1"/>
  <c r="H1497" i="6" a="1"/>
  <c r="H1497" i="6" s="1"/>
  <c r="I1497" i="6" s="1"/>
  <c r="H1498" i="6" a="1"/>
  <c r="H1498" i="6" s="1"/>
  <c r="I1498" i="6" s="1"/>
  <c r="H1499" i="6" a="1"/>
  <c r="H1499" i="6" s="1"/>
  <c r="I1499" i="6" s="1"/>
  <c r="H1500" i="6" a="1"/>
  <c r="H1500" i="6" s="1"/>
  <c r="I1500" i="6" s="1"/>
  <c r="H1501" i="6" a="1"/>
  <c r="H1501" i="6" s="1"/>
  <c r="I1501" i="6" s="1"/>
  <c r="H1502" i="6" a="1"/>
  <c r="H1502" i="6" s="1"/>
  <c r="I1502" i="6" s="1"/>
  <c r="H1503" i="6" a="1"/>
  <c r="H1503" i="6" s="1"/>
  <c r="I1503" i="6" s="1"/>
  <c r="H1504" i="6" a="1"/>
  <c r="H1504" i="6" s="1"/>
  <c r="I1504" i="6" s="1"/>
  <c r="H1505" i="6" a="1"/>
  <c r="H1505" i="6" s="1"/>
  <c r="I1505" i="6" s="1"/>
  <c r="H1506" i="6" a="1"/>
  <c r="H1506" i="6" s="1"/>
  <c r="I1506" i="6" s="1"/>
  <c r="H1507" i="6" a="1"/>
  <c r="H1507" i="6" s="1"/>
  <c r="I1507" i="6" s="1"/>
  <c r="H1508" i="6" a="1"/>
  <c r="H1508" i="6" s="1"/>
  <c r="I1508" i="6" s="1"/>
  <c r="H1509" i="6" a="1"/>
  <c r="H1509" i="6" s="1"/>
  <c r="I1509" i="6" s="1"/>
  <c r="H1510" i="6" a="1"/>
  <c r="H1510" i="6" s="1"/>
  <c r="I1510" i="6" s="1"/>
  <c r="H1511" i="6" a="1"/>
  <c r="H1511" i="6" s="1"/>
  <c r="I1511" i="6" s="1"/>
  <c r="H1512" i="6" a="1"/>
  <c r="H1512" i="6" s="1"/>
  <c r="I1512" i="6" s="1"/>
  <c r="H1513" i="6" a="1"/>
  <c r="H1513" i="6" s="1"/>
  <c r="I1513" i="6" s="1"/>
  <c r="H1514" i="6" a="1"/>
  <c r="H1514" i="6" s="1"/>
  <c r="I1514" i="6" s="1"/>
  <c r="H1515" i="6" a="1"/>
  <c r="H1515" i="6" s="1"/>
  <c r="I1515" i="6" s="1"/>
  <c r="H1516" i="6" a="1"/>
  <c r="H1516" i="6" s="1"/>
  <c r="I1516" i="6" s="1"/>
  <c r="H1517" i="6" a="1"/>
  <c r="H1517" i="6" s="1"/>
  <c r="I1517" i="6" s="1"/>
  <c r="H1518" i="6" a="1"/>
  <c r="H1518" i="6" s="1"/>
  <c r="I1518" i="6" s="1"/>
  <c r="H1519" i="6" a="1"/>
  <c r="H1519" i="6" s="1"/>
  <c r="I1519" i="6" s="1"/>
  <c r="H1520" i="6" a="1"/>
  <c r="H1520" i="6" s="1"/>
  <c r="I1520" i="6" s="1"/>
  <c r="H1521" i="6" a="1"/>
  <c r="H1521" i="6" s="1"/>
  <c r="I1521" i="6" s="1"/>
  <c r="H1522" i="6" a="1"/>
  <c r="H1522" i="6" s="1"/>
  <c r="I1522" i="6" s="1"/>
  <c r="H1523" i="6" a="1"/>
  <c r="H1523" i="6" s="1"/>
  <c r="I1523" i="6" s="1"/>
  <c r="H1524" i="6" a="1"/>
  <c r="H1524" i="6" s="1"/>
  <c r="I1524" i="6" s="1"/>
  <c r="H1525" i="6" a="1"/>
  <c r="H1525" i="6" s="1"/>
  <c r="I1525" i="6" s="1"/>
  <c r="H1526" i="6" a="1"/>
  <c r="H1526" i="6" s="1"/>
  <c r="I1526" i="6" s="1"/>
  <c r="H1527" i="6" a="1"/>
  <c r="H1527" i="6" s="1"/>
  <c r="I1527" i="6" s="1"/>
  <c r="H1528" i="6" a="1"/>
  <c r="H1528" i="6" s="1"/>
  <c r="I1528" i="6" s="1"/>
  <c r="H1529" i="6" a="1"/>
  <c r="H1529" i="6" s="1"/>
  <c r="I1529" i="6" s="1"/>
  <c r="H1530" i="6" a="1"/>
  <c r="H1530" i="6" s="1"/>
  <c r="I1530" i="6" s="1"/>
  <c r="H1531" i="6" a="1"/>
  <c r="H1531" i="6" s="1"/>
  <c r="I1531" i="6" s="1"/>
  <c r="H1532" i="6" a="1"/>
  <c r="H1532" i="6" s="1"/>
  <c r="I1532" i="6" s="1"/>
  <c r="H1533" i="6" a="1"/>
  <c r="H1533" i="6" s="1"/>
  <c r="I1533" i="6" s="1"/>
  <c r="H1534" i="6" a="1"/>
  <c r="H1534" i="6" s="1"/>
  <c r="I1534" i="6" s="1"/>
  <c r="H1535" i="6" a="1"/>
  <c r="H1535" i="6" s="1"/>
  <c r="I1535" i="6" s="1"/>
  <c r="H1536" i="6" a="1"/>
  <c r="H1536" i="6" s="1"/>
  <c r="I1536" i="6" s="1"/>
  <c r="H1537" i="6" a="1"/>
  <c r="H1537" i="6" s="1"/>
  <c r="I1537" i="6" s="1"/>
  <c r="H1538" i="6" a="1"/>
  <c r="H1538" i="6" s="1"/>
  <c r="I1538" i="6" s="1"/>
  <c r="H1539" i="6" a="1"/>
  <c r="H1539" i="6" s="1"/>
  <c r="I1539" i="6" s="1"/>
  <c r="H1540" i="6" a="1"/>
  <c r="H1540" i="6" s="1"/>
  <c r="I1540" i="6" s="1"/>
  <c r="H1541" i="6" a="1"/>
  <c r="H1541" i="6" s="1"/>
  <c r="I1541" i="6" s="1"/>
  <c r="H1542" i="6" a="1"/>
  <c r="H1542" i="6" s="1"/>
  <c r="I1542" i="6" s="1"/>
  <c r="H1543" i="6" a="1"/>
  <c r="H1543" i="6" s="1"/>
  <c r="I1543" i="6" s="1"/>
  <c r="H1544" i="6" a="1"/>
  <c r="H1544" i="6" s="1"/>
  <c r="I1544" i="6" s="1"/>
  <c r="H1545" i="6" a="1"/>
  <c r="H1545" i="6" s="1"/>
  <c r="I1545" i="6" s="1"/>
  <c r="H1546" i="6" a="1"/>
  <c r="H1546" i="6" s="1"/>
  <c r="I1546" i="6" s="1"/>
  <c r="H1547" i="6" a="1"/>
  <c r="H1547" i="6" s="1"/>
  <c r="I1547" i="6" s="1"/>
  <c r="H1548" i="6" a="1"/>
  <c r="H1548" i="6" s="1"/>
  <c r="I1548" i="6" s="1"/>
  <c r="H1549" i="6" a="1"/>
  <c r="H1549" i="6" s="1"/>
  <c r="I1549" i="6" s="1"/>
  <c r="H1550" i="6" a="1"/>
  <c r="H1550" i="6" s="1"/>
  <c r="I1550" i="6" s="1"/>
  <c r="H1551" i="6" a="1"/>
  <c r="H1551" i="6" s="1"/>
  <c r="I1551" i="6" s="1"/>
  <c r="H1552" i="6" a="1"/>
  <c r="H1552" i="6" s="1"/>
  <c r="I1552" i="6" s="1"/>
  <c r="H1553" i="6" a="1"/>
  <c r="H1553" i="6" s="1"/>
  <c r="I1553" i="6" s="1"/>
  <c r="H1554" i="6" a="1"/>
  <c r="H1554" i="6" s="1"/>
  <c r="I1554" i="6" s="1"/>
  <c r="H1555" i="6" a="1"/>
  <c r="H1555" i="6" s="1"/>
  <c r="I1555" i="6" s="1"/>
  <c r="H1556" i="6" a="1"/>
  <c r="H1556" i="6" s="1"/>
  <c r="I1556" i="6" s="1"/>
  <c r="H1557" i="6" a="1"/>
  <c r="H1557" i="6" s="1"/>
  <c r="I1557" i="6" s="1"/>
  <c r="H1558" i="6" a="1"/>
  <c r="H1558" i="6" s="1"/>
  <c r="I1558" i="6" s="1"/>
  <c r="H1559" i="6" a="1"/>
  <c r="H1559" i="6" s="1"/>
  <c r="I1559" i="6" s="1"/>
  <c r="H1560" i="6" a="1"/>
  <c r="H1560" i="6" s="1"/>
  <c r="I1560" i="6" s="1"/>
  <c r="H1561" i="6" a="1"/>
  <c r="H1561" i="6" s="1"/>
  <c r="I1561" i="6" s="1"/>
  <c r="H1562" i="6" a="1"/>
  <c r="H1562" i="6" s="1"/>
  <c r="I1562" i="6" s="1"/>
  <c r="H1563" i="6" a="1"/>
  <c r="H1563" i="6" s="1"/>
  <c r="I1563" i="6" s="1"/>
  <c r="H1564" i="6" a="1"/>
  <c r="H1564" i="6" s="1"/>
  <c r="I1564" i="6" s="1"/>
  <c r="H1565" i="6" a="1"/>
  <c r="H1565" i="6" s="1"/>
  <c r="I1565" i="6" s="1"/>
  <c r="H1566" i="6" a="1"/>
  <c r="H1566" i="6" s="1"/>
  <c r="I1566" i="6" s="1"/>
  <c r="H1567" i="6" a="1"/>
  <c r="H1567" i="6" s="1"/>
  <c r="I1567" i="6" s="1"/>
  <c r="H1568" i="6" a="1"/>
  <c r="H1568" i="6" s="1"/>
  <c r="I1568" i="6" s="1"/>
  <c r="H1569" i="6" a="1"/>
  <c r="H1569" i="6" s="1"/>
  <c r="I1569" i="6" s="1"/>
  <c r="H1570" i="6" a="1"/>
  <c r="H1570" i="6" s="1"/>
  <c r="I1570" i="6" s="1"/>
  <c r="H1571" i="6" a="1"/>
  <c r="H1571" i="6" s="1"/>
  <c r="I1571" i="6" s="1"/>
  <c r="H1572" i="6" a="1"/>
  <c r="H1572" i="6" s="1"/>
  <c r="I1572" i="6" s="1"/>
  <c r="H1573" i="6" a="1"/>
  <c r="H1573" i="6" s="1"/>
  <c r="I1573" i="6" s="1"/>
  <c r="H1574" i="6" a="1"/>
  <c r="H1574" i="6" s="1"/>
  <c r="I1574" i="6" s="1"/>
  <c r="H1575" i="6" a="1"/>
  <c r="H1575" i="6" s="1"/>
  <c r="I1575" i="6" s="1"/>
  <c r="H1576" i="6" a="1"/>
  <c r="H1576" i="6" s="1"/>
  <c r="I1576" i="6" s="1"/>
  <c r="H1577" i="6" a="1"/>
  <c r="H1577" i="6" s="1"/>
  <c r="I1577" i="6" s="1"/>
  <c r="H1578" i="6" a="1"/>
  <c r="H1578" i="6" s="1"/>
  <c r="I1578" i="6" s="1"/>
  <c r="H1579" i="6" a="1"/>
  <c r="H1579" i="6" s="1"/>
  <c r="I1579" i="6" s="1"/>
  <c r="H1580" i="6" a="1"/>
  <c r="H1580" i="6" s="1"/>
  <c r="I1580" i="6" s="1"/>
  <c r="H1581" i="6" a="1"/>
  <c r="H1581" i="6" s="1"/>
  <c r="I1581" i="6" s="1"/>
  <c r="H1582" i="6" a="1"/>
  <c r="H1582" i="6" s="1"/>
  <c r="I1582" i="6" s="1"/>
  <c r="H1583" i="6" a="1"/>
  <c r="H1583" i="6" s="1"/>
  <c r="I1583" i="6" s="1"/>
  <c r="H1584" i="6" a="1"/>
  <c r="H1584" i="6" s="1"/>
  <c r="I1584" i="6" s="1"/>
  <c r="H1585" i="6" a="1"/>
  <c r="H1585" i="6" s="1"/>
  <c r="I1585" i="6" s="1"/>
  <c r="H1586" i="6" a="1"/>
  <c r="H1586" i="6" s="1"/>
  <c r="I1586" i="6" s="1"/>
  <c r="H1587" i="6" a="1"/>
  <c r="H1587" i="6" s="1"/>
  <c r="I1587" i="6" s="1"/>
  <c r="H1588" i="6" a="1"/>
  <c r="H1588" i="6" s="1"/>
  <c r="I1588" i="6" s="1"/>
  <c r="H1589" i="6" a="1"/>
  <c r="H1589" i="6" s="1"/>
  <c r="I1589" i="6" s="1"/>
  <c r="H1590" i="6" a="1"/>
  <c r="H1590" i="6" s="1"/>
  <c r="I1590" i="6" s="1"/>
  <c r="H1591" i="6" a="1"/>
  <c r="H1591" i="6" s="1"/>
  <c r="I1591" i="6" s="1"/>
  <c r="H1592" i="6" a="1"/>
  <c r="H1592" i="6" s="1"/>
  <c r="I1592" i="6" s="1"/>
  <c r="H1593" i="6" a="1"/>
  <c r="H1593" i="6" s="1"/>
  <c r="I1593" i="6" s="1"/>
  <c r="H1594" i="6" a="1"/>
  <c r="H1594" i="6" s="1"/>
  <c r="I1594" i="6" s="1"/>
  <c r="H1595" i="6" a="1"/>
  <c r="H1595" i="6" s="1"/>
  <c r="I1595" i="6" s="1"/>
  <c r="H1596" i="6" a="1"/>
  <c r="H1596" i="6" s="1"/>
  <c r="I1596" i="6" s="1"/>
  <c r="H1597" i="6" a="1"/>
  <c r="H1597" i="6" s="1"/>
  <c r="I1597" i="6" s="1"/>
  <c r="H1598" i="6" a="1"/>
  <c r="H1598" i="6" s="1"/>
  <c r="I1598" i="6" s="1"/>
  <c r="H1599" i="6" a="1"/>
  <c r="H1599" i="6" s="1"/>
  <c r="I1599" i="6" s="1"/>
  <c r="H1600" i="6" a="1"/>
  <c r="H1600" i="6" s="1"/>
  <c r="I1600" i="6" s="1"/>
  <c r="H1601" i="6" a="1"/>
  <c r="H1601" i="6" s="1"/>
  <c r="I1601" i="6" s="1"/>
  <c r="H1602" i="6" a="1"/>
  <c r="H1602" i="6" s="1"/>
  <c r="I1602" i="6" s="1"/>
  <c r="H1603" i="6" a="1"/>
  <c r="H1603" i="6" s="1"/>
  <c r="I1603" i="6" s="1"/>
  <c r="H1604" i="6" a="1"/>
  <c r="H1604" i="6" s="1"/>
  <c r="I1604" i="6" s="1"/>
  <c r="H1605" i="6" a="1"/>
  <c r="H1605" i="6" s="1"/>
  <c r="I1605" i="6" s="1"/>
  <c r="H1606" i="6" a="1"/>
  <c r="H1606" i="6" s="1"/>
  <c r="I1606" i="6" s="1"/>
  <c r="H1607" i="6" a="1"/>
  <c r="H1607" i="6" s="1"/>
  <c r="I1607" i="6" s="1"/>
  <c r="H1608" i="6" a="1"/>
  <c r="H1608" i="6" s="1"/>
  <c r="I1608" i="6" s="1"/>
  <c r="H1609" i="6" a="1"/>
  <c r="H1609" i="6" s="1"/>
  <c r="I1609" i="6" s="1"/>
  <c r="H1610" i="6" a="1"/>
  <c r="H1610" i="6" s="1"/>
  <c r="I1610" i="6" s="1"/>
  <c r="H1611" i="6" a="1"/>
  <c r="H1611" i="6" s="1"/>
  <c r="I1611" i="6" s="1"/>
  <c r="H1612" i="6" a="1"/>
  <c r="H1612" i="6" s="1"/>
  <c r="I1612" i="6" s="1"/>
  <c r="H1613" i="6" a="1"/>
  <c r="H1613" i="6" s="1"/>
  <c r="I1613" i="6" s="1"/>
  <c r="H1614" i="6" a="1"/>
  <c r="H1614" i="6" s="1"/>
  <c r="I1614" i="6" s="1"/>
  <c r="H1615" i="6" a="1"/>
  <c r="H1615" i="6" s="1"/>
  <c r="I1615" i="6" s="1"/>
  <c r="H1616" i="6" a="1"/>
  <c r="H1616" i="6" s="1"/>
  <c r="I1616" i="6" s="1"/>
  <c r="H1617" i="6" a="1"/>
  <c r="H1617" i="6" s="1"/>
  <c r="I1617" i="6" s="1"/>
  <c r="H1618" i="6" a="1"/>
  <c r="H1618" i="6" s="1"/>
  <c r="I1618" i="6" s="1"/>
  <c r="H1619" i="6" a="1"/>
  <c r="H1619" i="6" s="1"/>
  <c r="I1619" i="6" s="1"/>
  <c r="H1620" i="6" a="1"/>
  <c r="H1620" i="6" s="1"/>
  <c r="I1620" i="6" s="1"/>
  <c r="H1621" i="6" a="1"/>
  <c r="H1621" i="6" s="1"/>
  <c r="I1621" i="6" s="1"/>
  <c r="H1622" i="6" a="1"/>
  <c r="H1622" i="6" s="1"/>
  <c r="I1622" i="6" s="1"/>
  <c r="H1623" i="6" a="1"/>
  <c r="H1623" i="6" s="1"/>
  <c r="I1623" i="6" s="1"/>
  <c r="H1624" i="6" a="1"/>
  <c r="H1624" i="6" s="1"/>
  <c r="I1624" i="6" s="1"/>
  <c r="H1625" i="6" a="1"/>
  <c r="H1625" i="6" s="1"/>
  <c r="I1625" i="6" s="1"/>
  <c r="H1626" i="6" a="1"/>
  <c r="H1626" i="6" s="1"/>
  <c r="I1626" i="6" s="1"/>
  <c r="H1627" i="6" a="1"/>
  <c r="H1627" i="6" s="1"/>
  <c r="I1627" i="6" s="1"/>
  <c r="H1628" i="6" a="1"/>
  <c r="H1628" i="6" s="1"/>
  <c r="I1628" i="6" s="1"/>
  <c r="H1629" i="6" a="1"/>
  <c r="H1629" i="6" s="1"/>
  <c r="I1629" i="6" s="1"/>
  <c r="H1630" i="6" a="1"/>
  <c r="H1630" i="6" s="1"/>
  <c r="I1630" i="6" s="1"/>
  <c r="H1631" i="6" a="1"/>
  <c r="H1631" i="6" s="1"/>
  <c r="I1631" i="6" s="1"/>
  <c r="H1632" i="6" a="1"/>
  <c r="H1632" i="6" s="1"/>
  <c r="I1632" i="6" s="1"/>
  <c r="H1633" i="6" a="1"/>
  <c r="H1633" i="6" s="1"/>
  <c r="I1633" i="6" s="1"/>
  <c r="H1634" i="6" a="1"/>
  <c r="H1634" i="6" s="1"/>
  <c r="I1634" i="6" s="1"/>
  <c r="H1635" i="6" a="1"/>
  <c r="H1635" i="6" s="1"/>
  <c r="I1635" i="6" s="1"/>
  <c r="H1636" i="6" a="1"/>
  <c r="H1636" i="6" s="1"/>
  <c r="I1636" i="6" s="1"/>
  <c r="H1637" i="6" a="1"/>
  <c r="H1637" i="6" s="1"/>
  <c r="I1637" i="6" s="1"/>
  <c r="H1638" i="6" a="1"/>
  <c r="H1638" i="6" s="1"/>
  <c r="I1638" i="6" s="1"/>
  <c r="H1639" i="6" a="1"/>
  <c r="H1639" i="6" s="1"/>
  <c r="I1639" i="6" s="1"/>
  <c r="H1640" i="6" a="1"/>
  <c r="H1640" i="6" s="1"/>
  <c r="I1640" i="6" s="1"/>
  <c r="H1641" i="6" a="1"/>
  <c r="H1641" i="6" s="1"/>
  <c r="I1641" i="6" s="1"/>
  <c r="H1642" i="6" a="1"/>
  <c r="H1642" i="6" s="1"/>
  <c r="I1642" i="6" s="1"/>
  <c r="H1643" i="6" a="1"/>
  <c r="H1643" i="6" s="1"/>
  <c r="I1643" i="6" s="1"/>
  <c r="H1644" i="6" a="1"/>
  <c r="H1644" i="6" s="1"/>
  <c r="I1644" i="6" s="1"/>
  <c r="H1645" i="6" a="1"/>
  <c r="H1645" i="6" s="1"/>
  <c r="I1645" i="6" s="1"/>
  <c r="H1646" i="6" a="1"/>
  <c r="H1646" i="6" s="1"/>
  <c r="I1646" i="6" s="1"/>
  <c r="H1647" i="6" a="1"/>
  <c r="H1647" i="6" s="1"/>
  <c r="I1647" i="6" s="1"/>
  <c r="H1648" i="6" a="1"/>
  <c r="H1648" i="6" s="1"/>
  <c r="I1648" i="6" s="1"/>
  <c r="H1649" i="6" a="1"/>
  <c r="H1649" i="6" s="1"/>
  <c r="I1649" i="6" s="1"/>
  <c r="H1650" i="6" a="1"/>
  <c r="H1650" i="6" s="1"/>
  <c r="I1650" i="6" s="1"/>
  <c r="H1651" i="6" a="1"/>
  <c r="H1651" i="6" s="1"/>
  <c r="I1651" i="6" s="1"/>
  <c r="H1652" i="6" a="1"/>
  <c r="H1652" i="6" s="1"/>
  <c r="I1652" i="6" s="1"/>
  <c r="H1653" i="6" a="1"/>
  <c r="H1653" i="6" s="1"/>
  <c r="I1653" i="6" s="1"/>
  <c r="H1654" i="6" a="1"/>
  <c r="H1654" i="6" s="1"/>
  <c r="I1654" i="6" s="1"/>
  <c r="H1655" i="6" a="1"/>
  <c r="H1655" i="6" s="1"/>
  <c r="I1655" i="6" s="1"/>
  <c r="H1656" i="6" a="1"/>
  <c r="H1656" i="6" s="1"/>
  <c r="I1656" i="6" s="1"/>
  <c r="H1657" i="6" a="1"/>
  <c r="H1657" i="6" s="1"/>
  <c r="I1657" i="6" s="1"/>
  <c r="H1658" i="6" a="1"/>
  <c r="H1658" i="6" s="1"/>
  <c r="I1658" i="6" s="1"/>
  <c r="H1659" i="6" a="1"/>
  <c r="H1659" i="6" s="1"/>
  <c r="I1659" i="6" s="1"/>
  <c r="H1660" i="6" a="1"/>
  <c r="H1660" i="6" s="1"/>
  <c r="I1660" i="6" s="1"/>
  <c r="H1661" i="6" a="1"/>
  <c r="H1661" i="6" s="1"/>
  <c r="I1661" i="6" s="1"/>
  <c r="H1662" i="6" a="1"/>
  <c r="H1662" i="6" s="1"/>
  <c r="I1662" i="6" s="1"/>
  <c r="H1663" i="6" a="1"/>
  <c r="H1663" i="6" s="1"/>
  <c r="I1663" i="6" s="1"/>
  <c r="H1664" i="6" a="1"/>
  <c r="H1664" i="6" s="1"/>
  <c r="I1664" i="6" s="1"/>
  <c r="H1665" i="6" a="1"/>
  <c r="H1665" i="6" s="1"/>
  <c r="I1665" i="6" s="1"/>
  <c r="H1666" i="6" a="1"/>
  <c r="H1666" i="6" s="1"/>
  <c r="I1666" i="6" s="1"/>
  <c r="H1667" i="6" a="1"/>
  <c r="H1667" i="6" s="1"/>
  <c r="I1667" i="6" s="1"/>
  <c r="H1668" i="6" a="1"/>
  <c r="H1668" i="6" s="1"/>
  <c r="I1668" i="6" s="1"/>
  <c r="H1669" i="6" a="1"/>
  <c r="H1669" i="6" s="1"/>
  <c r="I1669" i="6" s="1"/>
  <c r="H1670" i="6" a="1"/>
  <c r="H1670" i="6" s="1"/>
  <c r="I1670" i="6" s="1"/>
  <c r="H1671" i="6" a="1"/>
  <c r="H1671" i="6" s="1"/>
  <c r="I1671" i="6" s="1"/>
  <c r="H1672" i="6" a="1"/>
  <c r="H1672" i="6" s="1"/>
  <c r="I1672" i="6" s="1"/>
  <c r="H1673" i="6" a="1"/>
  <c r="H1673" i="6" s="1"/>
  <c r="I1673" i="6" s="1"/>
  <c r="H1674" i="6" a="1"/>
  <c r="H1674" i="6" s="1"/>
  <c r="I1674" i="6" s="1"/>
  <c r="H1675" i="6" a="1"/>
  <c r="H1675" i="6" s="1"/>
  <c r="I1675" i="6" s="1"/>
  <c r="H1676" i="6" a="1"/>
  <c r="H1676" i="6" s="1"/>
  <c r="I1676" i="6" s="1"/>
  <c r="H1677" i="6" a="1"/>
  <c r="H1677" i="6" s="1"/>
  <c r="I1677" i="6" s="1"/>
  <c r="H1678" i="6" a="1"/>
  <c r="H1678" i="6" s="1"/>
  <c r="I1678" i="6" s="1"/>
  <c r="H1679" i="6" a="1"/>
  <c r="H1679" i="6" s="1"/>
  <c r="I1679" i="6" s="1"/>
  <c r="H1680" i="6" a="1"/>
  <c r="H1680" i="6" s="1"/>
  <c r="I1680" i="6" s="1"/>
  <c r="H1681" i="6" a="1"/>
  <c r="H1681" i="6" s="1"/>
  <c r="I1681" i="6" s="1"/>
  <c r="H1682" i="6" a="1"/>
  <c r="H1682" i="6" s="1"/>
  <c r="I1682" i="6" s="1"/>
  <c r="H1683" i="6" a="1"/>
  <c r="H1683" i="6" s="1"/>
  <c r="I1683" i="6" s="1"/>
  <c r="H1684" i="6" a="1"/>
  <c r="H1684" i="6" s="1"/>
  <c r="I1684" i="6" s="1"/>
  <c r="H1685" i="6" a="1"/>
  <c r="H1685" i="6" s="1"/>
  <c r="I1685" i="6" s="1"/>
  <c r="H1686" i="6" a="1"/>
  <c r="H1686" i="6" s="1"/>
  <c r="I1686" i="6" s="1"/>
  <c r="H1687" i="6" a="1"/>
  <c r="H1687" i="6" s="1"/>
  <c r="I1687" i="6" s="1"/>
  <c r="H1688" i="6" a="1"/>
  <c r="H1688" i="6" s="1"/>
  <c r="I1688" i="6" s="1"/>
  <c r="H1689" i="6" a="1"/>
  <c r="H1689" i="6" s="1"/>
  <c r="I1689" i="6" s="1"/>
  <c r="H1690" i="6" a="1"/>
  <c r="H1690" i="6" s="1"/>
  <c r="I1690" i="6" s="1"/>
  <c r="H1691" i="6" a="1"/>
  <c r="H1691" i="6" s="1"/>
  <c r="I1691" i="6" s="1"/>
  <c r="H1692" i="6" a="1"/>
  <c r="H1692" i="6" s="1"/>
  <c r="I1692" i="6" s="1"/>
  <c r="H1693" i="6" a="1"/>
  <c r="H1693" i="6" s="1"/>
  <c r="I1693" i="6" s="1"/>
  <c r="H1694" i="6" a="1"/>
  <c r="H1694" i="6" s="1"/>
  <c r="I1694" i="6" s="1"/>
  <c r="H1695" i="6" a="1"/>
  <c r="H1695" i="6" s="1"/>
  <c r="I1695" i="6" s="1"/>
  <c r="H1696" i="6" a="1"/>
  <c r="H1696" i="6" s="1"/>
  <c r="I1696" i="6" s="1"/>
  <c r="H1697" i="6" a="1"/>
  <c r="H1697" i="6" s="1"/>
  <c r="I1697" i="6" s="1"/>
  <c r="H1698" i="6" a="1"/>
  <c r="H1698" i="6" s="1"/>
  <c r="I1698" i="6" s="1"/>
  <c r="H1699" i="6" a="1"/>
  <c r="H1699" i="6" s="1"/>
  <c r="I1699" i="6" s="1"/>
  <c r="H1700" i="6" a="1"/>
  <c r="H1700" i="6" s="1"/>
  <c r="I1700" i="6" s="1"/>
  <c r="H1701" i="6" a="1"/>
  <c r="H1701" i="6" s="1"/>
  <c r="I1701" i="6" s="1"/>
  <c r="H1702" i="6" a="1"/>
  <c r="H1702" i="6" s="1"/>
  <c r="I1702" i="6" s="1"/>
  <c r="H1703" i="6" a="1"/>
  <c r="H1703" i="6" s="1"/>
  <c r="I1703" i="6" s="1"/>
  <c r="H1704" i="6" a="1"/>
  <c r="H1704" i="6" s="1"/>
  <c r="I1704" i="6" s="1"/>
  <c r="H1705" i="6" a="1"/>
  <c r="H1705" i="6" s="1"/>
  <c r="I1705" i="6" s="1"/>
  <c r="H1706" i="6" a="1"/>
  <c r="H1706" i="6" s="1"/>
  <c r="I1706" i="6" s="1"/>
  <c r="H1707" i="6" a="1"/>
  <c r="H1707" i="6" s="1"/>
  <c r="I1707" i="6" s="1"/>
  <c r="H1708" i="6" a="1"/>
  <c r="H1708" i="6" s="1"/>
  <c r="I1708" i="6" s="1"/>
  <c r="H1709" i="6" a="1"/>
  <c r="H1709" i="6" s="1"/>
  <c r="I1709" i="6" s="1"/>
  <c r="H1710" i="6" a="1"/>
  <c r="H1710" i="6" s="1"/>
  <c r="I1710" i="6" s="1"/>
  <c r="H1711" i="6" a="1"/>
  <c r="H1711" i="6" s="1"/>
  <c r="I1711" i="6" s="1"/>
  <c r="H1712" i="6" a="1"/>
  <c r="H1712" i="6" s="1"/>
  <c r="I1712" i="6" s="1"/>
  <c r="H1713" i="6" a="1"/>
  <c r="H1713" i="6" s="1"/>
  <c r="I1713" i="6" s="1"/>
  <c r="H1714" i="6" a="1"/>
  <c r="H1714" i="6" s="1"/>
  <c r="I1714" i="6" s="1"/>
  <c r="H1715" i="6" a="1"/>
  <c r="H1715" i="6" s="1"/>
  <c r="I1715" i="6" s="1"/>
  <c r="H1716" i="6" a="1"/>
  <c r="H1716" i="6" s="1"/>
  <c r="I1716" i="6" s="1"/>
  <c r="H1717" i="6" a="1"/>
  <c r="H1717" i="6" s="1"/>
  <c r="I1717" i="6" s="1"/>
  <c r="H1718" i="6" a="1"/>
  <c r="H1718" i="6" s="1"/>
  <c r="I1718" i="6" s="1"/>
  <c r="H1719" i="6" a="1"/>
  <c r="H1719" i="6" s="1"/>
  <c r="I1719" i="6" s="1"/>
  <c r="H1720" i="6" a="1"/>
  <c r="H1720" i="6" s="1"/>
  <c r="I1720" i="6" s="1"/>
  <c r="H1721" i="6" a="1"/>
  <c r="H1721" i="6" s="1"/>
  <c r="I1721" i="6" s="1"/>
  <c r="H1722" i="6" a="1"/>
  <c r="H1722" i="6" s="1"/>
  <c r="I1722" i="6" s="1"/>
  <c r="H1723" i="6" a="1"/>
  <c r="H1723" i="6" s="1"/>
  <c r="I1723" i="6" s="1"/>
  <c r="H1724" i="6" a="1"/>
  <c r="H1724" i="6" s="1"/>
  <c r="I1724" i="6" s="1"/>
  <c r="H1725" i="6" a="1"/>
  <c r="H1725" i="6" s="1"/>
  <c r="I1725" i="6" s="1"/>
  <c r="H1726" i="6" a="1"/>
  <c r="H1726" i="6" s="1"/>
  <c r="I1726" i="6" s="1"/>
  <c r="H1727" i="6" a="1"/>
  <c r="H1727" i="6" s="1"/>
  <c r="I1727" i="6" s="1"/>
  <c r="H1728" i="6" a="1"/>
  <c r="H1728" i="6" s="1"/>
  <c r="I1728" i="6" s="1"/>
  <c r="H1729" i="6" a="1"/>
  <c r="H1729" i="6" s="1"/>
  <c r="I1729" i="6" s="1"/>
  <c r="H1730" i="6" a="1"/>
  <c r="H1730" i="6" s="1"/>
  <c r="I1730" i="6" s="1"/>
  <c r="H1731" i="6" a="1"/>
  <c r="H1731" i="6" s="1"/>
  <c r="I1731" i="6" s="1"/>
  <c r="H1732" i="6" a="1"/>
  <c r="H1732" i="6" s="1"/>
  <c r="I1732" i="6" s="1"/>
  <c r="H1733" i="6" a="1"/>
  <c r="H1733" i="6" s="1"/>
  <c r="I1733" i="6" s="1"/>
  <c r="H1734" i="6" a="1"/>
  <c r="H1734" i="6" s="1"/>
  <c r="I1734" i="6" s="1"/>
  <c r="H1735" i="6" a="1"/>
  <c r="H1735" i="6" s="1"/>
  <c r="I1735" i="6" s="1"/>
  <c r="H1736" i="6" a="1"/>
  <c r="H1736" i="6" s="1"/>
  <c r="I1736" i="6" s="1"/>
  <c r="H1737" i="6" a="1"/>
  <c r="H1737" i="6" s="1"/>
  <c r="I1737" i="6" s="1"/>
  <c r="H1738" i="6" a="1"/>
  <c r="H1738" i="6" s="1"/>
  <c r="I1738" i="6" s="1"/>
  <c r="H1739" i="6" a="1"/>
  <c r="H1739" i="6" s="1"/>
  <c r="I1739" i="6" s="1"/>
  <c r="H1740" i="6" a="1"/>
  <c r="H1740" i="6" s="1"/>
  <c r="I1740" i="6" s="1"/>
  <c r="H1741" i="6" a="1"/>
  <c r="H1741" i="6" s="1"/>
  <c r="I1741" i="6" s="1"/>
  <c r="H1742" i="6" a="1"/>
  <c r="H1742" i="6" s="1"/>
  <c r="I1742" i="6" s="1"/>
  <c r="H1743" i="6" a="1"/>
  <c r="H1743" i="6" s="1"/>
  <c r="I1743" i="6" s="1"/>
  <c r="H1744" i="6" a="1"/>
  <c r="H1744" i="6" s="1"/>
  <c r="I1744" i="6" s="1"/>
  <c r="H1745" i="6" a="1"/>
  <c r="H1745" i="6" s="1"/>
  <c r="I1745" i="6" s="1"/>
  <c r="H1746" i="6" a="1"/>
  <c r="H1746" i="6" s="1"/>
  <c r="I1746" i="6" s="1"/>
  <c r="H1747" i="6" a="1"/>
  <c r="H1747" i="6" s="1"/>
  <c r="I1747" i="6" s="1"/>
  <c r="H1748" i="6" a="1"/>
  <c r="H1748" i="6" s="1"/>
  <c r="I1748" i="6" s="1"/>
  <c r="H1749" i="6" a="1"/>
  <c r="H1749" i="6" s="1"/>
  <c r="I1749" i="6" s="1"/>
  <c r="H1750" i="6" a="1"/>
  <c r="H1750" i="6" s="1"/>
  <c r="I1750" i="6" s="1"/>
  <c r="H1751" i="6" a="1"/>
  <c r="H1751" i="6" s="1"/>
  <c r="I1751" i="6" s="1"/>
  <c r="H1752" i="6" a="1"/>
  <c r="H1752" i="6" s="1"/>
  <c r="I1752" i="6" s="1"/>
  <c r="H1753" i="6" a="1"/>
  <c r="H1753" i="6" s="1"/>
  <c r="I1753" i="6" s="1"/>
  <c r="H1754" i="6" a="1"/>
  <c r="H1754" i="6" s="1"/>
  <c r="I1754" i="6" s="1"/>
  <c r="H1755" i="6" a="1"/>
  <c r="H1755" i="6" s="1"/>
  <c r="I1755" i="6" s="1"/>
  <c r="H1756" i="6" a="1"/>
  <c r="H1756" i="6" s="1"/>
  <c r="I1756" i="6" s="1"/>
  <c r="H1757" i="6" a="1"/>
  <c r="H1757" i="6" s="1"/>
  <c r="I1757" i="6" s="1"/>
  <c r="H1758" i="6" a="1"/>
  <c r="H1758" i="6" s="1"/>
  <c r="I1758" i="6" s="1"/>
  <c r="H1759" i="6" a="1"/>
  <c r="H1759" i="6" s="1"/>
  <c r="I1759" i="6" s="1"/>
  <c r="H1760" i="6" a="1"/>
  <c r="H1760" i="6" s="1"/>
  <c r="I1760" i="6" s="1"/>
  <c r="H1761" i="6" a="1"/>
  <c r="H1761" i="6" s="1"/>
  <c r="I1761" i="6" s="1"/>
  <c r="H1762" i="6" a="1"/>
  <c r="H1762" i="6" s="1"/>
  <c r="I1762" i="6" s="1"/>
  <c r="H1763" i="6" a="1"/>
  <c r="H1763" i="6" s="1"/>
  <c r="I1763" i="6" s="1"/>
  <c r="H1764" i="6" a="1"/>
  <c r="H1764" i="6" s="1"/>
  <c r="I1764" i="6" s="1"/>
  <c r="H1765" i="6" a="1"/>
  <c r="H1765" i="6" s="1"/>
  <c r="I1765" i="6" s="1"/>
  <c r="H1766" i="6" a="1"/>
  <c r="H1766" i="6" s="1"/>
  <c r="I1766" i="6" s="1"/>
  <c r="H1767" i="6" a="1"/>
  <c r="H1767" i="6" s="1"/>
  <c r="I1767" i="6" s="1"/>
  <c r="H1768" i="6" a="1"/>
  <c r="H1768" i="6" s="1"/>
  <c r="I1768" i="6" s="1"/>
  <c r="H1769" i="6" a="1"/>
  <c r="H1769" i="6" s="1"/>
  <c r="I1769" i="6" s="1"/>
  <c r="H1770" i="6" a="1"/>
  <c r="H1770" i="6" s="1"/>
  <c r="I1770" i="6" s="1"/>
  <c r="H1771" i="6" a="1"/>
  <c r="H1771" i="6" s="1"/>
  <c r="I1771" i="6" s="1"/>
  <c r="H1772" i="6" a="1"/>
  <c r="H1772" i="6" s="1"/>
  <c r="I1772" i="6" s="1"/>
  <c r="H1773" i="6" a="1"/>
  <c r="H1773" i="6" s="1"/>
  <c r="I1773" i="6" s="1"/>
  <c r="H1774" i="6" a="1"/>
  <c r="H1774" i="6" s="1"/>
  <c r="I1774" i="6" s="1"/>
  <c r="H1775" i="6" a="1"/>
  <c r="H1775" i="6" s="1"/>
  <c r="I1775" i="6" s="1"/>
  <c r="H1776" i="6" a="1"/>
  <c r="H1776" i="6" s="1"/>
  <c r="I1776" i="6" s="1"/>
  <c r="H1777" i="6" a="1"/>
  <c r="H1777" i="6" s="1"/>
  <c r="I1777" i="6" s="1"/>
  <c r="H1778" i="6" a="1"/>
  <c r="H1778" i="6" s="1"/>
  <c r="I1778" i="6" s="1"/>
  <c r="H1779" i="6" a="1"/>
  <c r="H1779" i="6" s="1"/>
  <c r="I1779" i="6" s="1"/>
  <c r="H1780" i="6" a="1"/>
  <c r="H1780" i="6" s="1"/>
  <c r="I1780" i="6" s="1"/>
  <c r="H1781" i="6" a="1"/>
  <c r="H1781" i="6" s="1"/>
  <c r="I1781" i="6" s="1"/>
  <c r="H1782" i="6" a="1"/>
  <c r="H1782" i="6" s="1"/>
  <c r="I1782" i="6" s="1"/>
  <c r="H1783" i="6" a="1"/>
  <c r="H1783" i="6" s="1"/>
  <c r="I1783" i="6" s="1"/>
  <c r="H1784" i="6" a="1"/>
  <c r="H1784" i="6" s="1"/>
  <c r="I1784" i="6" s="1"/>
  <c r="H1785" i="6" a="1"/>
  <c r="H1785" i="6" s="1"/>
  <c r="I1785" i="6" s="1"/>
  <c r="H1786" i="6" a="1"/>
  <c r="H1786" i="6" s="1"/>
  <c r="I1786" i="6" s="1"/>
  <c r="H1787" i="6" a="1"/>
  <c r="H1787" i="6" s="1"/>
  <c r="I1787" i="6" s="1"/>
  <c r="H1788" i="6" a="1"/>
  <c r="H1788" i="6" s="1"/>
  <c r="I1788" i="6" s="1"/>
  <c r="H1789" i="6" a="1"/>
  <c r="H1789" i="6" s="1"/>
  <c r="I1789" i="6" s="1"/>
  <c r="H1790" i="6" a="1"/>
  <c r="H1790" i="6" s="1"/>
  <c r="I1790" i="6" s="1"/>
  <c r="H1791" i="6" a="1"/>
  <c r="H1791" i="6" s="1"/>
  <c r="I1791" i="6" s="1"/>
  <c r="H1792" i="6" a="1"/>
  <c r="H1792" i="6" s="1"/>
  <c r="I1792" i="6" s="1"/>
  <c r="H1793" i="6" a="1"/>
  <c r="H1793" i="6" s="1"/>
  <c r="I1793" i="6" s="1"/>
  <c r="H1794" i="6" a="1"/>
  <c r="H1794" i="6" s="1"/>
  <c r="I1794" i="6" s="1"/>
  <c r="H1795" i="6" a="1"/>
  <c r="H1795" i="6" s="1"/>
  <c r="I1795" i="6" s="1"/>
  <c r="H1796" i="6" a="1"/>
  <c r="H1796" i="6" s="1"/>
  <c r="I1796" i="6" s="1"/>
  <c r="H1797" i="6" a="1"/>
  <c r="H1797" i="6" s="1"/>
  <c r="I1797" i="6" s="1"/>
  <c r="H1798" i="6" a="1"/>
  <c r="H1798" i="6" s="1"/>
  <c r="I1798" i="6" s="1"/>
  <c r="H1799" i="6" a="1"/>
  <c r="H1799" i="6" s="1"/>
  <c r="I1799" i="6" s="1"/>
  <c r="H1800" i="6" a="1"/>
  <c r="H1800" i="6" s="1"/>
  <c r="I1800" i="6" s="1"/>
  <c r="H1801" i="6" a="1"/>
  <c r="H1801" i="6" s="1"/>
  <c r="I1801" i="6" s="1"/>
  <c r="H1802" i="6" a="1"/>
  <c r="H1802" i="6" s="1"/>
  <c r="I1802" i="6" s="1"/>
  <c r="H1803" i="6" a="1"/>
  <c r="H1803" i="6" s="1"/>
  <c r="I1803" i="6" s="1"/>
  <c r="H1804" i="6" a="1"/>
  <c r="H1804" i="6" s="1"/>
  <c r="I1804" i="6" s="1"/>
  <c r="H1805" i="6" a="1"/>
  <c r="H1805" i="6" s="1"/>
  <c r="I1805" i="6" s="1"/>
  <c r="H1806" i="6" a="1"/>
  <c r="H1806" i="6" s="1"/>
  <c r="I1806" i="6" s="1"/>
  <c r="H1807" i="6" a="1"/>
  <c r="H1807" i="6" s="1"/>
  <c r="I1807" i="6" s="1"/>
  <c r="H1808" i="6" a="1"/>
  <c r="H1808" i="6" s="1"/>
  <c r="I1808" i="6" s="1"/>
  <c r="H1809" i="6" a="1"/>
  <c r="H1809" i="6" s="1"/>
  <c r="I1809" i="6" s="1"/>
  <c r="H1810" i="6" a="1"/>
  <c r="H1810" i="6" s="1"/>
  <c r="I1810" i="6" s="1"/>
  <c r="H1811" i="6" a="1"/>
  <c r="H1811" i="6" s="1"/>
  <c r="I1811" i="6" s="1"/>
  <c r="H1812" i="6" a="1"/>
  <c r="H1812" i="6" s="1"/>
  <c r="I1812" i="6" s="1"/>
  <c r="H1813" i="6" a="1"/>
  <c r="H1813" i="6" s="1"/>
  <c r="I1813" i="6" s="1"/>
  <c r="H1814" i="6" a="1"/>
  <c r="H1814" i="6" s="1"/>
  <c r="I1814" i="6" s="1"/>
  <c r="H1815" i="6" a="1"/>
  <c r="H1815" i="6" s="1"/>
  <c r="I1815" i="6" s="1"/>
  <c r="H1816" i="6" a="1"/>
  <c r="H1816" i="6" s="1"/>
  <c r="I1816" i="6" s="1"/>
  <c r="H1817" i="6" a="1"/>
  <c r="H1817" i="6" s="1"/>
  <c r="I1817" i="6" s="1"/>
  <c r="H1818" i="6" a="1"/>
  <c r="H1818" i="6" s="1"/>
  <c r="I1818" i="6" s="1"/>
  <c r="H1819" i="6" a="1"/>
  <c r="H1819" i="6" s="1"/>
  <c r="I1819" i="6" s="1"/>
  <c r="H1820" i="6" a="1"/>
  <c r="H1820" i="6" s="1"/>
  <c r="I1820" i="6" s="1"/>
  <c r="H1821" i="6" a="1"/>
  <c r="H1821" i="6" s="1"/>
  <c r="I1821" i="6" s="1"/>
  <c r="H1822" i="6" a="1"/>
  <c r="H1822" i="6" s="1"/>
  <c r="I1822" i="6" s="1"/>
  <c r="H1823" i="6" a="1"/>
  <c r="H1823" i="6" s="1"/>
  <c r="I1823" i="6" s="1"/>
  <c r="H1824" i="6" a="1"/>
  <c r="H1824" i="6" s="1"/>
  <c r="I1824" i="6" s="1"/>
  <c r="H1825" i="6" a="1"/>
  <c r="H1825" i="6" s="1"/>
  <c r="I1825" i="6" s="1"/>
  <c r="H1826" i="6" a="1"/>
  <c r="H1826" i="6" s="1"/>
  <c r="I1826" i="6" s="1"/>
  <c r="H1827" i="6" a="1"/>
  <c r="H1827" i="6" s="1"/>
  <c r="I1827" i="6" s="1"/>
  <c r="H1828" i="6" a="1"/>
  <c r="H1828" i="6" s="1"/>
  <c r="I1828" i="6" s="1"/>
  <c r="H1829" i="6" a="1"/>
  <c r="H1829" i="6" s="1"/>
  <c r="I1829" i="6" s="1"/>
  <c r="H1830" i="6" a="1"/>
  <c r="H1830" i="6" s="1"/>
  <c r="I1830" i="6" s="1"/>
  <c r="H1831" i="6" a="1"/>
  <c r="H1831" i="6" s="1"/>
  <c r="I1831" i="6" s="1"/>
  <c r="H1832" i="6" a="1"/>
  <c r="H1832" i="6" s="1"/>
  <c r="I1832" i="6" s="1"/>
  <c r="H1833" i="6" a="1"/>
  <c r="H1833" i="6" s="1"/>
  <c r="I1833" i="6" s="1"/>
  <c r="H1834" i="6" a="1"/>
  <c r="H1834" i="6" s="1"/>
  <c r="I1834" i="6" s="1"/>
  <c r="H1835" i="6" a="1"/>
  <c r="H1835" i="6" s="1"/>
  <c r="I1835" i="6" s="1"/>
  <c r="H1836" i="6" a="1"/>
  <c r="H1836" i="6" s="1"/>
  <c r="I1836" i="6" s="1"/>
  <c r="H1837" i="6" a="1"/>
  <c r="H1837" i="6" s="1"/>
  <c r="I1837" i="6" s="1"/>
  <c r="H1838" i="6" a="1"/>
  <c r="H1838" i="6" s="1"/>
  <c r="I1838" i="6" s="1"/>
  <c r="H1839" i="6" a="1"/>
  <c r="H1839" i="6" s="1"/>
  <c r="I1839" i="6" s="1"/>
  <c r="H1840" i="6" a="1"/>
  <c r="H1840" i="6" s="1"/>
  <c r="I1840" i="6" s="1"/>
  <c r="H1841" i="6" a="1"/>
  <c r="H1841" i="6" s="1"/>
  <c r="I1841" i="6" s="1"/>
  <c r="H1842" i="6" a="1"/>
  <c r="H1842" i="6" s="1"/>
  <c r="I1842" i="6" s="1"/>
  <c r="H1843" i="6" a="1"/>
  <c r="H1843" i="6" s="1"/>
  <c r="I1843" i="6" s="1"/>
  <c r="H1844" i="6" a="1"/>
  <c r="H1844" i="6" s="1"/>
  <c r="I1844" i="6" s="1"/>
  <c r="H1845" i="6" a="1"/>
  <c r="H1845" i="6" s="1"/>
  <c r="I1845" i="6" s="1"/>
  <c r="H1846" i="6" a="1"/>
  <c r="H1846" i="6" s="1"/>
  <c r="I1846" i="6" s="1"/>
  <c r="H1847" i="6" a="1"/>
  <c r="H1847" i="6" s="1"/>
  <c r="I1847" i="6" s="1"/>
  <c r="H1848" i="6" a="1"/>
  <c r="H1848" i="6" s="1"/>
  <c r="I1848" i="6" s="1"/>
  <c r="H1849" i="6" a="1"/>
  <c r="H1849" i="6" s="1"/>
  <c r="I1849" i="6" s="1"/>
  <c r="H1850" i="6" a="1"/>
  <c r="H1850" i="6" s="1"/>
  <c r="I1850" i="6" s="1"/>
  <c r="H1851" i="6" a="1"/>
  <c r="H1851" i="6" s="1"/>
  <c r="I1851" i="6" s="1"/>
  <c r="H1852" i="6" a="1"/>
  <c r="H1852" i="6" s="1"/>
  <c r="I1852" i="6" s="1"/>
  <c r="H1853" i="6" a="1"/>
  <c r="H1853" i="6" s="1"/>
  <c r="I1853" i="6" s="1"/>
  <c r="H1854" i="6" a="1"/>
  <c r="H1854" i="6" s="1"/>
  <c r="I1854" i="6" s="1"/>
  <c r="H1855" i="6" a="1"/>
  <c r="H1855" i="6" s="1"/>
  <c r="I1855" i="6" s="1"/>
  <c r="H1856" i="6" a="1"/>
  <c r="H1856" i="6" s="1"/>
  <c r="I1856" i="6" s="1"/>
  <c r="H1857" i="6" a="1"/>
  <c r="H1857" i="6" s="1"/>
  <c r="I1857" i="6" s="1"/>
  <c r="H1858" i="6" a="1"/>
  <c r="H1858" i="6" s="1"/>
  <c r="I1858" i="6" s="1"/>
  <c r="H1859" i="6" a="1"/>
  <c r="H1859" i="6" s="1"/>
  <c r="I1859" i="6" s="1"/>
  <c r="H1860" i="6" a="1"/>
  <c r="H1860" i="6" s="1"/>
  <c r="I1860" i="6" s="1"/>
  <c r="H1861" i="6" a="1"/>
  <c r="H1861" i="6" s="1"/>
  <c r="I1861" i="6" s="1"/>
  <c r="H1862" i="6" a="1"/>
  <c r="H1862" i="6" s="1"/>
  <c r="I1862" i="6" s="1"/>
  <c r="H1863" i="6" a="1"/>
  <c r="H1863" i="6" s="1"/>
  <c r="I1863" i="6" s="1"/>
  <c r="H1864" i="6" a="1"/>
  <c r="H1864" i="6" s="1"/>
  <c r="I1864" i="6" s="1"/>
  <c r="H1865" i="6" a="1"/>
  <c r="H1865" i="6" s="1"/>
  <c r="I1865" i="6" s="1"/>
  <c r="H1866" i="6" a="1"/>
  <c r="H1866" i="6" s="1"/>
  <c r="I1866" i="6" s="1"/>
  <c r="H1867" i="6" a="1"/>
  <c r="H1867" i="6" s="1"/>
  <c r="I1867" i="6" s="1"/>
  <c r="H1868" i="6" a="1"/>
  <c r="H1868" i="6" s="1"/>
  <c r="I1868" i="6" s="1"/>
  <c r="H1869" i="6" a="1"/>
  <c r="H1869" i="6" s="1"/>
  <c r="I1869" i="6" s="1"/>
  <c r="H1870" i="6" a="1"/>
  <c r="H1870" i="6" s="1"/>
  <c r="I1870" i="6" s="1"/>
  <c r="H1871" i="6" a="1"/>
  <c r="H1871" i="6" s="1"/>
  <c r="I1871" i="6" s="1"/>
  <c r="H1872" i="6" a="1"/>
  <c r="H1872" i="6" s="1"/>
  <c r="I1872" i="6" s="1"/>
  <c r="H1873" i="6" a="1"/>
  <c r="H1873" i="6" s="1"/>
  <c r="I1873" i="6" s="1"/>
  <c r="H1874" i="6" a="1"/>
  <c r="H1874" i="6" s="1"/>
  <c r="I1874" i="6" s="1"/>
  <c r="H1875" i="6" a="1"/>
  <c r="H1875" i="6" s="1"/>
  <c r="I1875" i="6" s="1"/>
  <c r="H1876" i="6" a="1"/>
  <c r="H1876" i="6" s="1"/>
  <c r="I1876" i="6" s="1"/>
  <c r="H1877" i="6" a="1"/>
  <c r="H1877" i="6" s="1"/>
  <c r="I1877" i="6" s="1"/>
  <c r="H1878" i="6" a="1"/>
  <c r="H1878" i="6" s="1"/>
  <c r="I1878" i="6" s="1"/>
  <c r="H1879" i="6" a="1"/>
  <c r="H1879" i="6" s="1"/>
  <c r="I1879" i="6" s="1"/>
  <c r="H1880" i="6" a="1"/>
  <c r="H1880" i="6" s="1"/>
  <c r="I1880" i="6" s="1"/>
  <c r="H1881" i="6" a="1"/>
  <c r="H1881" i="6" s="1"/>
  <c r="I1881" i="6" s="1"/>
  <c r="H1882" i="6" a="1"/>
  <c r="H1882" i="6" s="1"/>
  <c r="I1882" i="6" s="1"/>
  <c r="H1883" i="6" a="1"/>
  <c r="H1883" i="6" s="1"/>
  <c r="I1883" i="6" s="1"/>
  <c r="H1884" i="6" a="1"/>
  <c r="H1884" i="6" s="1"/>
  <c r="I1884" i="6" s="1"/>
  <c r="H1885" i="6" a="1"/>
  <c r="H1885" i="6" s="1"/>
  <c r="I1885" i="6" s="1"/>
  <c r="H1886" i="6" a="1"/>
  <c r="H1886" i="6" s="1"/>
  <c r="I1886" i="6" s="1"/>
  <c r="H1887" i="6" a="1"/>
  <c r="H1887" i="6" s="1"/>
  <c r="I1887" i="6" s="1"/>
  <c r="H1888" i="6" a="1"/>
  <c r="H1888" i="6" s="1"/>
  <c r="I1888" i="6" s="1"/>
  <c r="H1889" i="6" a="1"/>
  <c r="H1889" i="6" s="1"/>
  <c r="I1889" i="6" s="1"/>
  <c r="H1890" i="6" a="1"/>
  <c r="H1890" i="6" s="1"/>
  <c r="I1890" i="6" s="1"/>
  <c r="H1891" i="6" a="1"/>
  <c r="H1891" i="6" s="1"/>
  <c r="I1891" i="6" s="1"/>
  <c r="H1892" i="6" a="1"/>
  <c r="H1892" i="6" s="1"/>
  <c r="I1892" i="6" s="1"/>
  <c r="H1893" i="6" a="1"/>
  <c r="H1893" i="6" s="1"/>
  <c r="I1893" i="6" s="1"/>
  <c r="H1894" i="6" a="1"/>
  <c r="H1894" i="6" s="1"/>
  <c r="I1894" i="6" s="1"/>
  <c r="H1895" i="6" a="1"/>
  <c r="H1895" i="6" s="1"/>
  <c r="I1895" i="6" s="1"/>
  <c r="H1896" i="6" a="1"/>
  <c r="H1896" i="6" s="1"/>
  <c r="I1896" i="6" s="1"/>
  <c r="H1897" i="6" a="1"/>
  <c r="H1897" i="6" s="1"/>
  <c r="I1897" i="6" s="1"/>
  <c r="H1898" i="6" a="1"/>
  <c r="H1898" i="6" s="1"/>
  <c r="I1898" i="6" s="1"/>
  <c r="H1899" i="6" a="1"/>
  <c r="H1899" i="6" s="1"/>
  <c r="I1899" i="6" s="1"/>
  <c r="H1900" i="6" a="1"/>
  <c r="H1900" i="6" s="1"/>
  <c r="I1900" i="6" s="1"/>
  <c r="H1901" i="6" a="1"/>
  <c r="H1901" i="6" s="1"/>
  <c r="I1901" i="6" s="1"/>
  <c r="H1902" i="6" a="1"/>
  <c r="H1902" i="6" s="1"/>
  <c r="I1902" i="6" s="1"/>
  <c r="H1903" i="6" a="1"/>
  <c r="H1903" i="6" s="1"/>
  <c r="I1903" i="6" s="1"/>
  <c r="H1904" i="6" a="1"/>
  <c r="H1904" i="6" s="1"/>
  <c r="I1904" i="6" s="1"/>
  <c r="H1905" i="6" a="1"/>
  <c r="H1905" i="6" s="1"/>
  <c r="I1905" i="6" s="1"/>
  <c r="H1906" i="6" a="1"/>
  <c r="H1906" i="6" s="1"/>
  <c r="I1906" i="6" s="1"/>
  <c r="H1907" i="6" a="1"/>
  <c r="H1907" i="6" s="1"/>
  <c r="I1907" i="6" s="1"/>
  <c r="H1908" i="6" a="1"/>
  <c r="H1908" i="6" s="1"/>
  <c r="I1908" i="6" s="1"/>
  <c r="H1909" i="6" a="1"/>
  <c r="H1909" i="6" s="1"/>
  <c r="I1909" i="6" s="1"/>
  <c r="H1910" i="6" a="1"/>
  <c r="H1910" i="6" s="1"/>
  <c r="I1910" i="6" s="1"/>
  <c r="H1911" i="6" a="1"/>
  <c r="H1911" i="6" s="1"/>
  <c r="I1911" i="6" s="1"/>
  <c r="H1912" i="6" a="1"/>
  <c r="H1912" i="6" s="1"/>
  <c r="I1912" i="6" s="1"/>
  <c r="H1913" i="6" a="1"/>
  <c r="H1913" i="6" s="1"/>
  <c r="I1913" i="6" s="1"/>
  <c r="H1914" i="6" a="1"/>
  <c r="H1914" i="6" s="1"/>
  <c r="I1914" i="6" s="1"/>
  <c r="H1915" i="6" a="1"/>
  <c r="H1915" i="6" s="1"/>
  <c r="I1915" i="6" s="1"/>
  <c r="H1916" i="6" a="1"/>
  <c r="H1916" i="6" s="1"/>
  <c r="I1916" i="6" s="1"/>
  <c r="H1917" i="6" a="1"/>
  <c r="H1917" i="6" s="1"/>
  <c r="I1917" i="6" s="1"/>
  <c r="H1918" i="6" a="1"/>
  <c r="H1918" i="6" s="1"/>
  <c r="I1918" i="6" s="1"/>
  <c r="H1919" i="6" a="1"/>
  <c r="H1919" i="6" s="1"/>
  <c r="I1919" i="6" s="1"/>
  <c r="H1920" i="6" a="1"/>
  <c r="H1920" i="6" s="1"/>
  <c r="I1920" i="6" s="1"/>
  <c r="H1921" i="6" a="1"/>
  <c r="H1921" i="6" s="1"/>
  <c r="I1921" i="6" s="1"/>
  <c r="H1922" i="6" a="1"/>
  <c r="H1922" i="6" s="1"/>
  <c r="I1922" i="6" s="1"/>
  <c r="H1923" i="6" a="1"/>
  <c r="H1923" i="6" s="1"/>
  <c r="I1923" i="6" s="1"/>
  <c r="H1924" i="6" a="1"/>
  <c r="H1924" i="6" s="1"/>
  <c r="I1924" i="6" s="1"/>
  <c r="H1925" i="6" a="1"/>
  <c r="H1925" i="6" s="1"/>
  <c r="I1925" i="6" s="1"/>
  <c r="H1926" i="6" a="1"/>
  <c r="H1926" i="6" s="1"/>
  <c r="I1926" i="6" s="1"/>
  <c r="H1927" i="6" a="1"/>
  <c r="H1927" i="6" s="1"/>
  <c r="I1927" i="6" s="1"/>
  <c r="H1928" i="6" a="1"/>
  <c r="H1928" i="6" s="1"/>
  <c r="I1928" i="6" s="1"/>
  <c r="H1929" i="6" a="1"/>
  <c r="H1929" i="6" s="1"/>
  <c r="I1929" i="6" s="1"/>
  <c r="H1930" i="6" a="1"/>
  <c r="H1930" i="6" s="1"/>
  <c r="I1930" i="6" s="1"/>
  <c r="H1931" i="6" a="1"/>
  <c r="H1931" i="6" s="1"/>
  <c r="I1931" i="6" s="1"/>
  <c r="H1932" i="6" a="1"/>
  <c r="H1932" i="6" s="1"/>
  <c r="I1932" i="6" s="1"/>
  <c r="H1933" i="6" a="1"/>
  <c r="H1933" i="6" s="1"/>
  <c r="I1933" i="6" s="1"/>
  <c r="H1934" i="6" a="1"/>
  <c r="H1934" i="6" s="1"/>
  <c r="I1934" i="6" s="1"/>
  <c r="H1935" i="6" a="1"/>
  <c r="H1935" i="6" s="1"/>
  <c r="I1935" i="6" s="1"/>
  <c r="H1936" i="6" a="1"/>
  <c r="H1936" i="6" s="1"/>
  <c r="I1936" i="6" s="1"/>
  <c r="H1937" i="6" a="1"/>
  <c r="H1937" i="6" s="1"/>
  <c r="I1937" i="6" s="1"/>
  <c r="H1938" i="6" a="1"/>
  <c r="H1938" i="6" s="1"/>
  <c r="I1938" i="6" s="1"/>
  <c r="H1939" i="6" a="1"/>
  <c r="H1939" i="6" s="1"/>
  <c r="I1939" i="6" s="1"/>
  <c r="H1940" i="6" a="1"/>
  <c r="H1940" i="6" s="1"/>
  <c r="I1940" i="6" s="1"/>
  <c r="H1941" i="6" a="1"/>
  <c r="H1941" i="6" s="1"/>
  <c r="I1941" i="6" s="1"/>
  <c r="H1942" i="6" a="1"/>
  <c r="H1942" i="6" s="1"/>
  <c r="I1942" i="6" s="1"/>
  <c r="H1943" i="6" a="1"/>
  <c r="H1943" i="6" s="1"/>
  <c r="I1943" i="6" s="1"/>
  <c r="H1944" i="6" a="1"/>
  <c r="H1944" i="6" s="1"/>
  <c r="I1944" i="6" s="1"/>
  <c r="H1945" i="6" a="1"/>
  <c r="H1945" i="6" s="1"/>
  <c r="I1945" i="6" s="1"/>
  <c r="H1946" i="6" a="1"/>
  <c r="H1946" i="6" s="1"/>
  <c r="I1946" i="6" s="1"/>
  <c r="H1947" i="6" a="1"/>
  <c r="H1947" i="6" s="1"/>
  <c r="I1947" i="6" s="1"/>
  <c r="H1948" i="6" a="1"/>
  <c r="H1948" i="6" s="1"/>
  <c r="I1948" i="6" s="1"/>
  <c r="H1949" i="6" a="1"/>
  <c r="H1949" i="6" s="1"/>
  <c r="I1949" i="6" s="1"/>
  <c r="H1950" i="6" a="1"/>
  <c r="H1950" i="6" s="1"/>
  <c r="I1950" i="6" s="1"/>
  <c r="H1951" i="6" a="1"/>
  <c r="H1951" i="6" s="1"/>
  <c r="I1951" i="6" s="1"/>
  <c r="H1952" i="6" a="1"/>
  <c r="H1952" i="6" s="1"/>
  <c r="I1952" i="6" s="1"/>
  <c r="H1953" i="6" a="1"/>
  <c r="H1953" i="6" s="1"/>
  <c r="I1953" i="6" s="1"/>
  <c r="H1954" i="6" a="1"/>
  <c r="H1954" i="6" s="1"/>
  <c r="I1954" i="6" s="1"/>
  <c r="H1955" i="6" a="1"/>
  <c r="H1955" i="6" s="1"/>
  <c r="I1955" i="6" s="1"/>
  <c r="H1956" i="6" a="1"/>
  <c r="H1956" i="6" s="1"/>
  <c r="I1956" i="6" s="1"/>
  <c r="H1957" i="6" a="1"/>
  <c r="H1957" i="6" s="1"/>
  <c r="I1957" i="6" s="1"/>
  <c r="H1958" i="6" a="1"/>
  <c r="H1958" i="6" s="1"/>
  <c r="I1958" i="6" s="1"/>
  <c r="H1959" i="6" a="1"/>
  <c r="H1959" i="6" s="1"/>
  <c r="I1959" i="6" s="1"/>
  <c r="H1960" i="6" a="1"/>
  <c r="H1960" i="6" s="1"/>
  <c r="I1960" i="6" s="1"/>
  <c r="H1961" i="6" a="1"/>
  <c r="H1961" i="6" s="1"/>
  <c r="I1961" i="6" s="1"/>
  <c r="H1962" i="6" a="1"/>
  <c r="H1962" i="6" s="1"/>
  <c r="I1962" i="6" s="1"/>
  <c r="H1963" i="6" a="1"/>
  <c r="H1963" i="6" s="1"/>
  <c r="I1963" i="6" s="1"/>
  <c r="H1964" i="6" a="1"/>
  <c r="H1964" i="6" s="1"/>
  <c r="I1964" i="6" s="1"/>
  <c r="H1965" i="6" a="1"/>
  <c r="H1965" i="6" s="1"/>
  <c r="I1965" i="6" s="1"/>
  <c r="H1966" i="6" a="1"/>
  <c r="H1966" i="6" s="1"/>
  <c r="I1966" i="6" s="1"/>
  <c r="H1967" i="6" a="1"/>
  <c r="H1967" i="6" s="1"/>
  <c r="I1967" i="6" s="1"/>
  <c r="H1968" i="6" a="1"/>
  <c r="H1968" i="6" s="1"/>
  <c r="I1968" i="6" s="1"/>
  <c r="H1969" i="6" a="1"/>
  <c r="H1969" i="6" s="1"/>
  <c r="I1969" i="6" s="1"/>
  <c r="H1970" i="6" a="1"/>
  <c r="H1970" i="6" s="1"/>
  <c r="I1970" i="6" s="1"/>
  <c r="H1971" i="6" a="1"/>
  <c r="H1971" i="6" s="1"/>
  <c r="I1971" i="6" s="1"/>
  <c r="H1972" i="6" a="1"/>
  <c r="H1972" i="6" s="1"/>
  <c r="I1972" i="6" s="1"/>
  <c r="H1973" i="6" a="1"/>
  <c r="H1973" i="6" s="1"/>
  <c r="I1973" i="6" s="1"/>
  <c r="H1974" i="6" a="1"/>
  <c r="H1974" i="6" s="1"/>
  <c r="I1974" i="6" s="1"/>
  <c r="H1975" i="6" a="1"/>
  <c r="H1975" i="6" s="1"/>
  <c r="I1975" i="6" s="1"/>
  <c r="H1976" i="6" a="1"/>
  <c r="H1976" i="6" s="1"/>
  <c r="I1976" i="6" s="1"/>
  <c r="H1977" i="6" a="1"/>
  <c r="H1977" i="6" s="1"/>
  <c r="I1977" i="6" s="1"/>
  <c r="H1978" i="6" a="1"/>
  <c r="H1978" i="6" s="1"/>
  <c r="I1978" i="6" s="1"/>
  <c r="H1979" i="6" a="1"/>
  <c r="H1979" i="6" s="1"/>
  <c r="I1979" i="6" s="1"/>
  <c r="H1980" i="6" a="1"/>
  <c r="H1980" i="6" s="1"/>
  <c r="I1980" i="6" s="1"/>
  <c r="H1981" i="6" a="1"/>
  <c r="H1981" i="6" s="1"/>
  <c r="I1981" i="6" s="1"/>
  <c r="H1982" i="6" a="1"/>
  <c r="H1982" i="6" s="1"/>
  <c r="I1982" i="6" s="1"/>
  <c r="H1983" i="6" a="1"/>
  <c r="H1983" i="6" s="1"/>
  <c r="I1983" i="6" s="1"/>
  <c r="H1984" i="6" a="1"/>
  <c r="H1984" i="6" s="1"/>
  <c r="I1984" i="6" s="1"/>
  <c r="H1985" i="6" a="1"/>
  <c r="H1985" i="6" s="1"/>
  <c r="I1985" i="6" s="1"/>
  <c r="H1986" i="6" a="1"/>
  <c r="H1986" i="6" s="1"/>
  <c r="I1986" i="6" s="1"/>
  <c r="H1987" i="6" a="1"/>
  <c r="H1987" i="6" s="1"/>
  <c r="I1987" i="6" s="1"/>
  <c r="H1988" i="6" a="1"/>
  <c r="H1988" i="6" s="1"/>
  <c r="I1988" i="6" s="1"/>
  <c r="H1989" i="6" a="1"/>
  <c r="H1989" i="6" s="1"/>
  <c r="I1989" i="6" s="1"/>
  <c r="H1990" i="6" a="1"/>
  <c r="H1990" i="6" s="1"/>
  <c r="I1990" i="6" s="1"/>
  <c r="H1991" i="6" a="1"/>
  <c r="H1991" i="6" s="1"/>
  <c r="I1991" i="6" s="1"/>
  <c r="H1992" i="6" a="1"/>
  <c r="H1992" i="6" s="1"/>
  <c r="I1992" i="6" s="1"/>
  <c r="H1993" i="6" a="1"/>
  <c r="H1993" i="6" s="1"/>
  <c r="I1993" i="6" s="1"/>
  <c r="H1994" i="6" a="1"/>
  <c r="H1994" i="6" s="1"/>
  <c r="I1994" i="6" s="1"/>
  <c r="H1995" i="6" a="1"/>
  <c r="H1995" i="6" s="1"/>
  <c r="I1995" i="6" s="1"/>
  <c r="H1996" i="6" a="1"/>
  <c r="H1996" i="6" s="1"/>
  <c r="I1996" i="6" s="1"/>
  <c r="H1997" i="6" a="1"/>
  <c r="H1997" i="6" s="1"/>
  <c r="I1997" i="6" s="1"/>
  <c r="H1998" i="6" a="1"/>
  <c r="H1998" i="6" s="1"/>
  <c r="I1998" i="6" s="1"/>
  <c r="H1999" i="6" a="1"/>
  <c r="H1999" i="6" s="1"/>
  <c r="I1999" i="6" s="1"/>
  <c r="H2000" i="6" a="1"/>
  <c r="H2000" i="6" s="1"/>
  <c r="I2000" i="6" s="1"/>
  <c r="H2001" i="6" a="1"/>
  <c r="H2001" i="6" s="1"/>
  <c r="I2001" i="6" s="1"/>
  <c r="H2002" i="6" a="1"/>
  <c r="H2002" i="6" s="1"/>
  <c r="I2002" i="6" s="1"/>
  <c r="H2003" i="6" a="1"/>
  <c r="H2003" i="6" s="1"/>
  <c r="I2003" i="6" s="1"/>
  <c r="H2004" i="6" a="1"/>
  <c r="H2004" i="6" s="1"/>
  <c r="I2004" i="6" s="1"/>
  <c r="H2005" i="6" a="1"/>
  <c r="H2005" i="6" s="1"/>
  <c r="I2005" i="6" s="1"/>
  <c r="H2006" i="6" a="1"/>
  <c r="H2006" i="6" s="1"/>
  <c r="I2006" i="6" s="1"/>
  <c r="H2007" i="6" a="1"/>
  <c r="H2007" i="6" s="1"/>
  <c r="I2007" i="6" s="1"/>
  <c r="H2008" i="6" a="1"/>
  <c r="H2008" i="6" s="1"/>
  <c r="I2008" i="6" s="1"/>
  <c r="H2009" i="6" a="1"/>
  <c r="H2009" i="6" s="1"/>
  <c r="I2009" i="6" s="1"/>
  <c r="H2010" i="6" a="1"/>
  <c r="H2010" i="6" s="1"/>
  <c r="I2010" i="6" s="1"/>
  <c r="H2011" i="6" a="1"/>
  <c r="H2011" i="6" s="1"/>
  <c r="I2011" i="6" s="1"/>
  <c r="H2012" i="6" a="1"/>
  <c r="H2012" i="6" s="1"/>
  <c r="I2012" i="6" s="1"/>
  <c r="H2013" i="6" a="1"/>
  <c r="H2013" i="6" s="1"/>
  <c r="I2013" i="6" s="1"/>
  <c r="H2014" i="6" a="1"/>
  <c r="H2014" i="6" s="1"/>
  <c r="I2014" i="6" s="1"/>
  <c r="H2015" i="6" a="1"/>
  <c r="H2015" i="6" s="1"/>
  <c r="I2015" i="6" s="1"/>
  <c r="H2016" i="6" a="1"/>
  <c r="H2016" i="6" s="1"/>
  <c r="I2016" i="6" s="1"/>
  <c r="H2017" i="6" a="1"/>
  <c r="H2017" i="6" s="1"/>
  <c r="I2017" i="6" s="1"/>
  <c r="H2018" i="6" a="1"/>
  <c r="H2018" i="6" s="1"/>
  <c r="I2018" i="6" s="1"/>
  <c r="H2019" i="6" a="1"/>
  <c r="H2019" i="6" s="1"/>
  <c r="I2019" i="6" s="1"/>
  <c r="H2020" i="6" a="1"/>
  <c r="H2020" i="6" s="1"/>
  <c r="I2020" i="6" s="1"/>
  <c r="H2021" i="6" a="1"/>
  <c r="H2021" i="6" s="1"/>
  <c r="I2021" i="6" s="1"/>
  <c r="H2022" i="6" a="1"/>
  <c r="H2022" i="6" s="1"/>
  <c r="I2022" i="6" s="1"/>
  <c r="H2023" i="6" a="1"/>
  <c r="H2023" i="6" s="1"/>
  <c r="I2023" i="6" s="1"/>
  <c r="H2024" i="6" a="1"/>
  <c r="H2024" i="6" s="1"/>
  <c r="I2024" i="6" s="1"/>
  <c r="H2025" i="6" a="1"/>
  <c r="H2025" i="6" s="1"/>
  <c r="I2025" i="6" s="1"/>
  <c r="H2026" i="6" a="1"/>
  <c r="H2026" i="6" s="1"/>
  <c r="I2026" i="6" s="1"/>
  <c r="H2027" i="6" a="1"/>
  <c r="H2027" i="6" s="1"/>
  <c r="I2027" i="6" s="1"/>
  <c r="H2028" i="6" a="1"/>
  <c r="H2028" i="6" s="1"/>
  <c r="I2028" i="6" s="1"/>
  <c r="H2029" i="6" a="1"/>
  <c r="H2029" i="6" s="1"/>
  <c r="I2029" i="6" s="1"/>
  <c r="H2030" i="6" a="1"/>
  <c r="H2030" i="6" s="1"/>
  <c r="I2030" i="6" s="1"/>
  <c r="H2031" i="6" a="1"/>
  <c r="H2031" i="6" s="1"/>
  <c r="I2031" i="6" s="1"/>
  <c r="H2032" i="6" a="1"/>
  <c r="H2032" i="6" s="1"/>
  <c r="I2032" i="6" s="1"/>
  <c r="H2033" i="6" a="1"/>
  <c r="H2033" i="6" s="1"/>
  <c r="I2033" i="6" s="1"/>
  <c r="H2034" i="6" a="1"/>
  <c r="H2034" i="6" s="1"/>
  <c r="I2034" i="6" s="1"/>
  <c r="H2035" i="6" a="1"/>
  <c r="H2035" i="6" s="1"/>
  <c r="I2035" i="6" s="1"/>
  <c r="H2036" i="6" a="1"/>
  <c r="H2036" i="6" s="1"/>
  <c r="I2036" i="6" s="1"/>
  <c r="H2037" i="6" a="1"/>
  <c r="H2037" i="6" s="1"/>
  <c r="I2037" i="6" s="1"/>
  <c r="H2038" i="6" a="1"/>
  <c r="H2038" i="6" s="1"/>
  <c r="I2038" i="6" s="1"/>
  <c r="H2039" i="6" a="1"/>
  <c r="H2039" i="6" s="1"/>
  <c r="I2039" i="6" s="1"/>
  <c r="H2040" i="6" a="1"/>
  <c r="H2040" i="6" s="1"/>
  <c r="I2040" i="6" s="1"/>
  <c r="H2041" i="6" a="1"/>
  <c r="H2041" i="6" s="1"/>
  <c r="I2041" i="6" s="1"/>
  <c r="H2042" i="6" a="1"/>
  <c r="H2042" i="6" s="1"/>
  <c r="I2042" i="6" s="1"/>
  <c r="H2043" i="6" a="1"/>
  <c r="H2043" i="6" s="1"/>
  <c r="I2043" i="6" s="1"/>
  <c r="H2044" i="6" a="1"/>
  <c r="H2044" i="6" s="1"/>
  <c r="I2044" i="6" s="1"/>
  <c r="H2045" i="6" a="1"/>
  <c r="H2045" i="6" s="1"/>
  <c r="I2045" i="6" s="1"/>
  <c r="H2046" i="6" a="1"/>
  <c r="H2046" i="6" s="1"/>
  <c r="I2046" i="6" s="1"/>
  <c r="H2047" i="6" a="1"/>
  <c r="H2047" i="6" s="1"/>
  <c r="I2047" i="6" s="1"/>
  <c r="H2048" i="6" a="1"/>
  <c r="H2048" i="6" s="1"/>
  <c r="I2048" i="6" s="1"/>
  <c r="H2049" i="6" a="1"/>
  <c r="H2049" i="6" s="1"/>
  <c r="I2049" i="6" s="1"/>
  <c r="H2050" i="6" a="1"/>
  <c r="H2050" i="6" s="1"/>
  <c r="I2050" i="6" s="1"/>
  <c r="H2051" i="6" a="1"/>
  <c r="H2051" i="6" s="1"/>
  <c r="I2051" i="6" s="1"/>
  <c r="H2052" i="6" a="1"/>
  <c r="H2052" i="6" s="1"/>
  <c r="I2052" i="6" s="1"/>
  <c r="H2053" i="6" a="1"/>
  <c r="H2053" i="6" s="1"/>
  <c r="I2053" i="6" s="1"/>
  <c r="H2054" i="6" a="1"/>
  <c r="H2054" i="6" s="1"/>
  <c r="I2054" i="6" s="1"/>
  <c r="H2055" i="6" a="1"/>
  <c r="H2055" i="6" s="1"/>
  <c r="I2055" i="6" s="1"/>
  <c r="H2056" i="6" a="1"/>
  <c r="H2056" i="6" s="1"/>
  <c r="I2056" i="6" s="1"/>
  <c r="H2057" i="6" a="1"/>
  <c r="H2057" i="6" s="1"/>
  <c r="I2057" i="6" s="1"/>
  <c r="H2058" i="6" a="1"/>
  <c r="H2058" i="6" s="1"/>
  <c r="I2058" i="6" s="1"/>
  <c r="H2059" i="6" a="1"/>
  <c r="H2059" i="6" s="1"/>
  <c r="I2059" i="6" s="1"/>
  <c r="H2060" i="6" a="1"/>
  <c r="H2060" i="6" s="1"/>
  <c r="I2060" i="6" s="1"/>
  <c r="H2061" i="6" a="1"/>
  <c r="H2061" i="6" s="1"/>
  <c r="I2061" i="6" s="1"/>
  <c r="H2062" i="6" a="1"/>
  <c r="H2062" i="6" s="1"/>
  <c r="I2062" i="6" s="1"/>
  <c r="H2063" i="6" a="1"/>
  <c r="H2063" i="6" s="1"/>
  <c r="I2063" i="6" s="1"/>
  <c r="H2064" i="6" a="1"/>
  <c r="H2064" i="6" s="1"/>
  <c r="I2064" i="6" s="1"/>
  <c r="H2065" i="6" a="1"/>
  <c r="H2065" i="6" s="1"/>
  <c r="I2065" i="6" s="1"/>
  <c r="H2066" i="6" a="1"/>
  <c r="H2066" i="6" s="1"/>
  <c r="I2066" i="6" s="1"/>
  <c r="H2067" i="6" a="1"/>
  <c r="H2067" i="6" s="1"/>
  <c r="I2067" i="6" s="1"/>
  <c r="H2068" i="6" a="1"/>
  <c r="H2068" i="6" s="1"/>
  <c r="I2068" i="6" s="1"/>
  <c r="H2069" i="6" a="1"/>
  <c r="H2069" i="6" s="1"/>
  <c r="I2069" i="6" s="1"/>
  <c r="H2070" i="6" a="1"/>
  <c r="H2070" i="6" s="1"/>
  <c r="I2070" i="6" s="1"/>
  <c r="H2071" i="6" a="1"/>
  <c r="H2071" i="6" s="1"/>
  <c r="I2071" i="6" s="1"/>
  <c r="H2072" i="6" a="1"/>
  <c r="H2072" i="6" s="1"/>
  <c r="I2072" i="6" s="1"/>
  <c r="H2073" i="6" a="1"/>
  <c r="H2073" i="6" s="1"/>
  <c r="I2073" i="6" s="1"/>
  <c r="H2074" i="6" a="1"/>
  <c r="H2074" i="6" s="1"/>
  <c r="I2074" i="6" s="1"/>
  <c r="H2075" i="6" a="1"/>
  <c r="H2075" i="6" s="1"/>
  <c r="I2075" i="6" s="1"/>
  <c r="H2076" i="6" a="1"/>
  <c r="H2076" i="6" s="1"/>
  <c r="I2076" i="6" s="1"/>
  <c r="H2077" i="6" a="1"/>
  <c r="H2077" i="6" s="1"/>
  <c r="I2077" i="6" s="1"/>
  <c r="H2078" i="6" a="1"/>
  <c r="H2078" i="6" s="1"/>
  <c r="I2078" i="6" s="1"/>
  <c r="H2079" i="6" a="1"/>
  <c r="H2079" i="6" s="1"/>
  <c r="I2079" i="6" s="1"/>
  <c r="H2080" i="6" a="1"/>
  <c r="H2080" i="6" s="1"/>
  <c r="I2080" i="6" s="1"/>
  <c r="H2081" i="6" a="1"/>
  <c r="H2081" i="6" s="1"/>
  <c r="I2081" i="6" s="1"/>
  <c r="H2082" i="6" a="1"/>
  <c r="H2082" i="6" s="1"/>
  <c r="I2082" i="6" s="1"/>
  <c r="H2083" i="6" a="1"/>
  <c r="H2083" i="6" s="1"/>
  <c r="I2083" i="6" s="1"/>
  <c r="H2084" i="6" a="1"/>
  <c r="H2084" i="6" s="1"/>
  <c r="I2084" i="6" s="1"/>
  <c r="H2085" i="6" a="1"/>
  <c r="H2085" i="6" s="1"/>
  <c r="I2085" i="6" s="1"/>
  <c r="H2086" i="6" a="1"/>
  <c r="H2086" i="6" s="1"/>
  <c r="I2086" i="6" s="1"/>
  <c r="H2087" i="6" a="1"/>
  <c r="H2087" i="6" s="1"/>
  <c r="I2087" i="6" s="1"/>
  <c r="H2088" i="6" a="1"/>
  <c r="H2088" i="6" s="1"/>
  <c r="I2088" i="6" s="1"/>
  <c r="H2089" i="6" a="1"/>
  <c r="H2089" i="6" s="1"/>
  <c r="I2089" i="6" s="1"/>
  <c r="H2090" i="6" a="1"/>
  <c r="H2090" i="6" s="1"/>
  <c r="I2090" i="6" s="1"/>
  <c r="H2091" i="6" a="1"/>
  <c r="H2091" i="6" s="1"/>
  <c r="I2091" i="6" s="1"/>
  <c r="H2092" i="6" a="1"/>
  <c r="H2092" i="6" s="1"/>
  <c r="I2092" i="6" s="1"/>
  <c r="H2093" i="6" a="1"/>
  <c r="H2093" i="6" s="1"/>
  <c r="I2093" i="6" s="1"/>
  <c r="H2094" i="6" a="1"/>
  <c r="H2094" i="6" s="1"/>
  <c r="I2094" i="6" s="1"/>
  <c r="H2095" i="6" a="1"/>
  <c r="H2095" i="6" s="1"/>
  <c r="I2095" i="6" s="1"/>
  <c r="H2096" i="6" a="1"/>
  <c r="H2096" i="6" s="1"/>
  <c r="I2096" i="6" s="1"/>
  <c r="H2097" i="6" a="1"/>
  <c r="H2097" i="6" s="1"/>
  <c r="I2097" i="6" s="1"/>
  <c r="H2098" i="6" a="1"/>
  <c r="H2098" i="6" s="1"/>
  <c r="I2098" i="6" s="1"/>
  <c r="H2099" i="6" a="1"/>
  <c r="H2099" i="6" s="1"/>
  <c r="I2099" i="6" s="1"/>
  <c r="H2100" i="6" a="1"/>
  <c r="H2100" i="6" s="1"/>
  <c r="I2100" i="6" s="1"/>
  <c r="H2101" i="6" a="1"/>
  <c r="H2101" i="6" s="1"/>
  <c r="I2101" i="6" s="1"/>
  <c r="H2102" i="6" a="1"/>
  <c r="H2102" i="6" s="1"/>
  <c r="I2102" i="6" s="1"/>
  <c r="H2103" i="6" a="1"/>
  <c r="H2103" i="6" s="1"/>
  <c r="I2103" i="6" s="1"/>
  <c r="H2104" i="6" a="1"/>
  <c r="H2104" i="6" s="1"/>
  <c r="I2104" i="6" s="1"/>
  <c r="H2105" i="6" a="1"/>
  <c r="H2105" i="6" s="1"/>
  <c r="I2105" i="6" s="1"/>
  <c r="H2106" i="6" a="1"/>
  <c r="H2106" i="6" s="1"/>
  <c r="I2106" i="6" s="1"/>
  <c r="H2107" i="6" a="1"/>
  <c r="H2107" i="6" s="1"/>
  <c r="I2107" i="6" s="1"/>
  <c r="H2108" i="6" a="1"/>
  <c r="H2108" i="6" s="1"/>
  <c r="I2108" i="6" s="1"/>
  <c r="H2109" i="6" a="1"/>
  <c r="H2109" i="6" s="1"/>
  <c r="I2109" i="6" s="1"/>
  <c r="H2110" i="6" a="1"/>
  <c r="H2110" i="6" s="1"/>
  <c r="I2110" i="6" s="1"/>
  <c r="H2111" i="6" a="1"/>
  <c r="H2111" i="6" s="1"/>
  <c r="I2111" i="6" s="1"/>
  <c r="H2112" i="6" a="1"/>
  <c r="H2112" i="6" s="1"/>
  <c r="I2112" i="6" s="1"/>
  <c r="H2113" i="6" a="1"/>
  <c r="H2113" i="6" s="1"/>
  <c r="I2113" i="6" s="1"/>
  <c r="H2114" i="6" a="1"/>
  <c r="H2114" i="6" s="1"/>
  <c r="I2114" i="6" s="1"/>
  <c r="H2115" i="6" a="1"/>
  <c r="H2115" i="6" s="1"/>
  <c r="I2115" i="6" s="1"/>
  <c r="H2116" i="6" a="1"/>
  <c r="H2116" i="6" s="1"/>
  <c r="I2116" i="6" s="1"/>
  <c r="H2117" i="6" a="1"/>
  <c r="H2117" i="6" s="1"/>
  <c r="I2117" i="6" s="1"/>
  <c r="H2118" i="6" a="1"/>
  <c r="H2118" i="6" s="1"/>
  <c r="I2118" i="6" s="1"/>
  <c r="H2119" i="6" a="1"/>
  <c r="H2119" i="6" s="1"/>
  <c r="I2119" i="6" s="1"/>
  <c r="H2120" i="6" a="1"/>
  <c r="H2120" i="6" s="1"/>
  <c r="I2120" i="6" s="1"/>
  <c r="H2121" i="6" a="1"/>
  <c r="H2121" i="6" s="1"/>
  <c r="I2121" i="6" s="1"/>
  <c r="H2122" i="6" a="1"/>
  <c r="H2122" i="6" s="1"/>
  <c r="I2122" i="6" s="1"/>
  <c r="H2123" i="6" a="1"/>
  <c r="H2123" i="6" s="1"/>
  <c r="I2123" i="6" s="1"/>
  <c r="H2124" i="6" a="1"/>
  <c r="H2124" i="6" s="1"/>
  <c r="I2124" i="6" s="1"/>
  <c r="H2125" i="6" a="1"/>
  <c r="H2125" i="6" s="1"/>
  <c r="I2125" i="6" s="1"/>
  <c r="H2126" i="6" a="1"/>
  <c r="H2126" i="6" s="1"/>
  <c r="I2126" i="6" s="1"/>
  <c r="H2127" i="6" a="1"/>
  <c r="H2127" i="6" s="1"/>
  <c r="I2127" i="6" s="1"/>
  <c r="H2128" i="6" a="1"/>
  <c r="H2128" i="6" s="1"/>
  <c r="I2128" i="6" s="1"/>
  <c r="H2129" i="6" a="1"/>
  <c r="H2129" i="6" s="1"/>
  <c r="I2129" i="6" s="1"/>
  <c r="H2130" i="6" a="1"/>
  <c r="H2130" i="6" s="1"/>
  <c r="I2130" i="6" s="1"/>
  <c r="H2131" i="6" a="1"/>
  <c r="H2131" i="6" s="1"/>
  <c r="I2131" i="6" s="1"/>
  <c r="H2132" i="6" a="1"/>
  <c r="H2132" i="6" s="1"/>
  <c r="I2132" i="6" s="1"/>
  <c r="H2133" i="6" a="1"/>
  <c r="H2133" i="6" s="1"/>
  <c r="I2133" i="6" s="1"/>
  <c r="H2134" i="6" a="1"/>
  <c r="H2134" i="6" s="1"/>
  <c r="I2134" i="6" s="1"/>
  <c r="H2135" i="6" a="1"/>
  <c r="H2135" i="6" s="1"/>
  <c r="I2135" i="6" s="1"/>
  <c r="H2136" i="6" a="1"/>
  <c r="H2136" i="6" s="1"/>
  <c r="I2136" i="6" s="1"/>
  <c r="H2137" i="6" a="1"/>
  <c r="H2137" i="6" s="1"/>
  <c r="I2137" i="6" s="1"/>
  <c r="H2138" i="6" a="1"/>
  <c r="H2138" i="6" s="1"/>
  <c r="I2138" i="6" s="1"/>
  <c r="H2139" i="6" a="1"/>
  <c r="H2139" i="6" s="1"/>
  <c r="I2139" i="6" s="1"/>
  <c r="H2140" i="6" a="1"/>
  <c r="H2140" i="6" s="1"/>
  <c r="I2140" i="6" s="1"/>
  <c r="H2141" i="6" a="1"/>
  <c r="H2141" i="6" s="1"/>
  <c r="I2141" i="6" s="1"/>
  <c r="H2142" i="6" a="1"/>
  <c r="H2142" i="6" s="1"/>
  <c r="I2142" i="6" s="1"/>
  <c r="H2143" i="6" a="1"/>
  <c r="H2143" i="6" s="1"/>
  <c r="I2143" i="6" s="1"/>
  <c r="H2144" i="6" a="1"/>
  <c r="H2144" i="6" s="1"/>
  <c r="I2144" i="6" s="1"/>
  <c r="H2145" i="6" a="1"/>
  <c r="H2145" i="6" s="1"/>
  <c r="I2145" i="6" s="1"/>
  <c r="H2146" i="6" a="1"/>
  <c r="H2146" i="6" s="1"/>
  <c r="I2146" i="6" s="1"/>
  <c r="H2147" i="6" a="1"/>
  <c r="H2147" i="6" s="1"/>
  <c r="I2147" i="6" s="1"/>
  <c r="H2148" i="6" a="1"/>
  <c r="H2148" i="6" s="1"/>
  <c r="I2148" i="6" s="1"/>
  <c r="H2149" i="6" a="1"/>
  <c r="H2149" i="6" s="1"/>
  <c r="I2149" i="6" s="1"/>
  <c r="H2150" i="6" a="1"/>
  <c r="H2150" i="6" s="1"/>
  <c r="I2150" i="6" s="1"/>
  <c r="H2151" i="6" a="1"/>
  <c r="H2151" i="6" s="1"/>
  <c r="I2151" i="6" s="1"/>
  <c r="H2152" i="6" a="1"/>
  <c r="H2152" i="6" s="1"/>
  <c r="I2152" i="6" s="1"/>
  <c r="H2153" i="6" a="1"/>
  <c r="H2153" i="6" s="1"/>
  <c r="I2153" i="6" s="1"/>
  <c r="H2154" i="6" a="1"/>
  <c r="H2154" i="6" s="1"/>
  <c r="I2154" i="6" s="1"/>
  <c r="H2155" i="6" a="1"/>
  <c r="H2155" i="6" s="1"/>
  <c r="I2155" i="6" s="1"/>
  <c r="H2156" i="6" a="1"/>
  <c r="H2156" i="6" s="1"/>
  <c r="I2156" i="6" s="1"/>
  <c r="H2157" i="6" a="1"/>
  <c r="H2157" i="6" s="1"/>
  <c r="I2157" i="6" s="1"/>
  <c r="H2158" i="6" a="1"/>
  <c r="H2158" i="6" s="1"/>
  <c r="I2158" i="6" s="1"/>
  <c r="H2159" i="6" a="1"/>
  <c r="H2159" i="6" s="1"/>
  <c r="I2159" i="6" s="1"/>
  <c r="H2160" i="6" a="1"/>
  <c r="H2160" i="6" s="1"/>
  <c r="I2160" i="6" s="1"/>
  <c r="H2161" i="6" a="1"/>
  <c r="H2161" i="6" s="1"/>
  <c r="I2161" i="6" s="1"/>
  <c r="H2162" i="6" a="1"/>
  <c r="H2162" i="6" s="1"/>
  <c r="I2162" i="6" s="1"/>
  <c r="H2163" i="6" a="1"/>
  <c r="H2163" i="6" s="1"/>
  <c r="I2163" i="6" s="1"/>
  <c r="H2164" i="6" a="1"/>
  <c r="H2164" i="6" s="1"/>
  <c r="I2164" i="6" s="1"/>
  <c r="H2165" i="6" a="1"/>
  <c r="H2165" i="6" s="1"/>
  <c r="I2165" i="6" s="1"/>
  <c r="H2166" i="6" a="1"/>
  <c r="H2166" i="6" s="1"/>
  <c r="I2166" i="6" s="1"/>
  <c r="H2167" i="6" a="1"/>
  <c r="H2167" i="6" s="1"/>
  <c r="I2167" i="6" s="1"/>
  <c r="H2168" i="6" a="1"/>
  <c r="H2168" i="6" s="1"/>
  <c r="I2168" i="6" s="1"/>
  <c r="H2169" i="6" a="1"/>
  <c r="H2169" i="6" s="1"/>
  <c r="I2169" i="6" s="1"/>
  <c r="H2170" i="6" a="1"/>
  <c r="H2170" i="6" s="1"/>
  <c r="I2170" i="6" s="1"/>
  <c r="H2171" i="6" a="1"/>
  <c r="H2171" i="6" s="1"/>
  <c r="I2171" i="6" s="1"/>
  <c r="H2172" i="6" a="1"/>
  <c r="H2172" i="6" s="1"/>
  <c r="I2172" i="6" s="1"/>
  <c r="H2173" i="6" a="1"/>
  <c r="H2173" i="6" s="1"/>
  <c r="I2173" i="6" s="1"/>
  <c r="H2174" i="6" a="1"/>
  <c r="H2174" i="6" s="1"/>
  <c r="I2174" i="6" s="1"/>
  <c r="H2175" i="6" a="1"/>
  <c r="H2175" i="6" s="1"/>
  <c r="I2175" i="6" s="1"/>
  <c r="H2176" i="6" a="1"/>
  <c r="H2176" i="6" s="1"/>
  <c r="I2176" i="6" s="1"/>
  <c r="H2177" i="6" a="1"/>
  <c r="H2177" i="6" s="1"/>
  <c r="I2177" i="6" s="1"/>
  <c r="H2178" i="6" a="1"/>
  <c r="H2178" i="6" s="1"/>
  <c r="I2178" i="6" s="1"/>
  <c r="H2179" i="6" a="1"/>
  <c r="H2179" i="6" s="1"/>
  <c r="I2179" i="6" s="1"/>
  <c r="H2180" i="6" a="1"/>
  <c r="H2180" i="6" s="1"/>
  <c r="I2180" i="6" s="1"/>
  <c r="H2181" i="6" a="1"/>
  <c r="H2181" i="6" s="1"/>
  <c r="I2181" i="6" s="1"/>
  <c r="H2182" i="6" a="1"/>
  <c r="H2182" i="6" s="1"/>
  <c r="I2182" i="6" s="1"/>
  <c r="H2183" i="6" a="1"/>
  <c r="H2183" i="6" s="1"/>
  <c r="I2183" i="6" s="1"/>
  <c r="H2184" i="6" a="1"/>
  <c r="H2184" i="6" s="1"/>
  <c r="I2184" i="6" s="1"/>
  <c r="H2185" i="6" a="1"/>
  <c r="H2185" i="6" s="1"/>
  <c r="I2185" i="6" s="1"/>
  <c r="H2186" i="6" a="1"/>
  <c r="H2186" i="6" s="1"/>
  <c r="I2186" i="6" s="1"/>
  <c r="H2187" i="6" a="1"/>
  <c r="H2187" i="6" s="1"/>
  <c r="I2187" i="6" s="1"/>
  <c r="H2188" i="6" a="1"/>
  <c r="H2188" i="6" s="1"/>
  <c r="I2188" i="6" s="1"/>
  <c r="H2189" i="6" a="1"/>
  <c r="H2189" i="6" s="1"/>
  <c r="I2189" i="6" s="1"/>
  <c r="H2190" i="6" a="1"/>
  <c r="H2190" i="6" s="1"/>
  <c r="I2190" i="6" s="1"/>
  <c r="H2191" i="6" a="1"/>
  <c r="H2191" i="6" s="1"/>
  <c r="I2191" i="6" s="1"/>
  <c r="H2192" i="6" a="1"/>
  <c r="H2192" i="6" s="1"/>
  <c r="I2192" i="6" s="1"/>
  <c r="H2193" i="6" a="1"/>
  <c r="H2193" i="6" s="1"/>
  <c r="I2193" i="6" s="1"/>
  <c r="H2194" i="6" a="1"/>
  <c r="H2194" i="6" s="1"/>
  <c r="I2194" i="6" s="1"/>
  <c r="H2195" i="6" a="1"/>
  <c r="H2195" i="6" s="1"/>
  <c r="I2195" i="6" s="1"/>
  <c r="H2196" i="6" a="1"/>
  <c r="H2196" i="6" s="1"/>
  <c r="I2196" i="6" s="1"/>
  <c r="H2197" i="6" a="1"/>
  <c r="H2197" i="6" s="1"/>
  <c r="I2197" i="6" s="1"/>
  <c r="H2198" i="6" a="1"/>
  <c r="H2198" i="6" s="1"/>
  <c r="I2198" i="6" s="1"/>
  <c r="H2199" i="6" a="1"/>
  <c r="H2199" i="6" s="1"/>
  <c r="I2199" i="6" s="1"/>
  <c r="H2200" i="6" a="1"/>
  <c r="H2200" i="6" s="1"/>
  <c r="I2200" i="6" s="1"/>
  <c r="H2201" i="6" a="1"/>
  <c r="H2201" i="6" s="1"/>
  <c r="I2201" i="6" s="1"/>
  <c r="H2202" i="6" a="1"/>
  <c r="H2202" i="6" s="1"/>
  <c r="I2202" i="6" s="1"/>
  <c r="H2203" i="6" a="1"/>
  <c r="H2203" i="6" s="1"/>
  <c r="I2203" i="6" s="1"/>
  <c r="H2204" i="6" a="1"/>
  <c r="H2204" i="6" s="1"/>
  <c r="I2204" i="6" s="1"/>
  <c r="H2205" i="6" a="1"/>
  <c r="H2205" i="6" s="1"/>
  <c r="I2205" i="6" s="1"/>
  <c r="H2206" i="6" a="1"/>
  <c r="H2206" i="6" s="1"/>
  <c r="I2206" i="6" s="1"/>
  <c r="H2207" i="6" a="1"/>
  <c r="H2207" i="6" s="1"/>
  <c r="I2207" i="6" s="1"/>
  <c r="H2208" i="6" a="1"/>
  <c r="H2208" i="6" s="1"/>
  <c r="I2208" i="6" s="1"/>
  <c r="H2209" i="6" a="1"/>
  <c r="H2209" i="6" s="1"/>
  <c r="I2209" i="6" s="1"/>
  <c r="H2210" i="6" a="1"/>
  <c r="H2210" i="6" s="1"/>
  <c r="I2210" i="6" s="1"/>
  <c r="H2211" i="6" a="1"/>
  <c r="H2211" i="6" s="1"/>
  <c r="I2211" i="6" s="1"/>
  <c r="H2212" i="6" a="1"/>
  <c r="H2212" i="6" s="1"/>
  <c r="I2212" i="6" s="1"/>
  <c r="H2213" i="6" a="1"/>
  <c r="H2213" i="6" s="1"/>
  <c r="I2213" i="6" s="1"/>
  <c r="H2214" i="6" a="1"/>
  <c r="H2214" i="6" s="1"/>
  <c r="I2214" i="6" s="1"/>
  <c r="H2215" i="6" a="1"/>
  <c r="H2215" i="6" s="1"/>
  <c r="I2215" i="6" s="1"/>
  <c r="H2216" i="6" a="1"/>
  <c r="H2216" i="6" s="1"/>
  <c r="I2216" i="6" s="1"/>
  <c r="H2217" i="6" a="1"/>
  <c r="H2217" i="6" s="1"/>
  <c r="I2217" i="6" s="1"/>
  <c r="H2218" i="6" a="1"/>
  <c r="H2218" i="6" s="1"/>
  <c r="I2218" i="6" s="1"/>
  <c r="H2219" i="6" a="1"/>
  <c r="H2219" i="6" s="1"/>
  <c r="I2219" i="6" s="1"/>
  <c r="H2220" i="6" a="1"/>
  <c r="H2220" i="6" s="1"/>
  <c r="I2220" i="6" s="1"/>
  <c r="H2221" i="6" a="1"/>
  <c r="H2221" i="6" s="1"/>
  <c r="I2221" i="6" s="1"/>
  <c r="H2222" i="6" a="1"/>
  <c r="H2222" i="6" s="1"/>
  <c r="I2222" i="6" s="1"/>
  <c r="H2223" i="6" a="1"/>
  <c r="H2223" i="6" s="1"/>
  <c r="I2223" i="6" s="1"/>
  <c r="H2224" i="6" a="1"/>
  <c r="H2224" i="6" s="1"/>
  <c r="I2224" i="6" s="1"/>
  <c r="H2225" i="6" a="1"/>
  <c r="H2225" i="6" s="1"/>
  <c r="I2225" i="6" s="1"/>
  <c r="H2226" i="6" a="1"/>
  <c r="H2226" i="6" s="1"/>
  <c r="I2226" i="6" s="1"/>
  <c r="H2227" i="6" a="1"/>
  <c r="H2227" i="6" s="1"/>
  <c r="I2227" i="6" s="1"/>
  <c r="H2228" i="6" a="1"/>
  <c r="H2228" i="6" s="1"/>
  <c r="I2228" i="6" s="1"/>
  <c r="H2229" i="6" a="1"/>
  <c r="H2229" i="6" s="1"/>
  <c r="I2229" i="6" s="1"/>
  <c r="H2230" i="6" a="1"/>
  <c r="H2230" i="6" s="1"/>
  <c r="I2230" i="6" s="1"/>
  <c r="H2231" i="6" a="1"/>
  <c r="H2231" i="6" s="1"/>
  <c r="I2231" i="6" s="1"/>
  <c r="H2232" i="6" a="1"/>
  <c r="H2232" i="6" s="1"/>
  <c r="I2232" i="6" s="1"/>
  <c r="H2233" i="6" a="1"/>
  <c r="H2233" i="6" s="1"/>
  <c r="I2233" i="6" s="1"/>
  <c r="H2234" i="6" a="1"/>
  <c r="H2234" i="6" s="1"/>
  <c r="I2234" i="6" s="1"/>
  <c r="H2235" i="6" a="1"/>
  <c r="H2235" i="6" s="1"/>
  <c r="I2235" i="6" s="1"/>
  <c r="H2236" i="6" a="1"/>
  <c r="H2236" i="6" s="1"/>
  <c r="I2236" i="6" s="1"/>
  <c r="H2237" i="6" a="1"/>
  <c r="H2237" i="6" s="1"/>
  <c r="I2237" i="6" s="1"/>
  <c r="H2238" i="6" a="1"/>
  <c r="H2238" i="6" s="1"/>
  <c r="I2238" i="6" s="1"/>
  <c r="H2239" i="6" a="1"/>
  <c r="H2239" i="6" s="1"/>
  <c r="I2239" i="6" s="1"/>
  <c r="H2240" i="6" a="1"/>
  <c r="H2240" i="6" s="1"/>
  <c r="I2240" i="6" s="1"/>
  <c r="H2241" i="6" a="1"/>
  <c r="H2241" i="6" s="1"/>
  <c r="I2241" i="6" s="1"/>
  <c r="H2242" i="6" a="1"/>
  <c r="H2242" i="6" s="1"/>
  <c r="I2242" i="6" s="1"/>
  <c r="H2243" i="6" a="1"/>
  <c r="H2243" i="6" s="1"/>
  <c r="I2243" i="6" s="1"/>
  <c r="H2244" i="6" a="1"/>
  <c r="H2244" i="6" s="1"/>
  <c r="I2244" i="6" s="1"/>
  <c r="H2245" i="6" a="1"/>
  <c r="H2245" i="6" s="1"/>
  <c r="I2245" i="6" s="1"/>
  <c r="H2246" i="6" a="1"/>
  <c r="H2246" i="6" s="1"/>
  <c r="I2246" i="6" s="1"/>
  <c r="H2247" i="6" a="1"/>
  <c r="H2247" i="6" s="1"/>
  <c r="I2247" i="6" s="1"/>
  <c r="H2248" i="6" a="1"/>
  <c r="H2248" i="6" s="1"/>
  <c r="I2248" i="6" s="1"/>
  <c r="H2249" i="6" a="1"/>
  <c r="H2249" i="6" s="1"/>
  <c r="I2249" i="6" s="1"/>
  <c r="H2250" i="6" a="1"/>
  <c r="H2250" i="6" s="1"/>
  <c r="I2250" i="6" s="1"/>
  <c r="H2251" i="6" a="1"/>
  <c r="H2251" i="6" s="1"/>
  <c r="I2251" i="6" s="1"/>
  <c r="H2252" i="6" a="1"/>
  <c r="H2252" i="6" s="1"/>
  <c r="I2252" i="6" s="1"/>
  <c r="H2253" i="6" a="1"/>
  <c r="H2253" i="6" s="1"/>
  <c r="I2253" i="6" s="1"/>
  <c r="H2254" i="6" a="1"/>
  <c r="H2254" i="6" s="1"/>
  <c r="I2254" i="6" s="1"/>
  <c r="H2255" i="6" a="1"/>
  <c r="H2255" i="6" s="1"/>
  <c r="I2255" i="6" s="1"/>
  <c r="H2256" i="6" a="1"/>
  <c r="H2256" i="6" s="1"/>
  <c r="I2256" i="6" s="1"/>
  <c r="H2257" i="6" a="1"/>
  <c r="H2257" i="6" s="1"/>
  <c r="I2257" i="6" s="1"/>
  <c r="H2258" i="6" a="1"/>
  <c r="H2258" i="6" s="1"/>
  <c r="I2258" i="6" s="1"/>
  <c r="H2259" i="6" a="1"/>
  <c r="H2259" i="6" s="1"/>
  <c r="I2259" i="6" s="1"/>
  <c r="H2260" i="6" a="1"/>
  <c r="H2260" i="6" s="1"/>
  <c r="I2260" i="6" s="1"/>
  <c r="H2261" i="6" a="1"/>
  <c r="H2261" i="6" s="1"/>
  <c r="I2261" i="6" s="1"/>
  <c r="H2262" i="6" a="1"/>
  <c r="H2262" i="6" s="1"/>
  <c r="I2262" i="6" s="1"/>
  <c r="H2263" i="6" a="1"/>
  <c r="H2263" i="6" s="1"/>
  <c r="I2263" i="6" s="1"/>
  <c r="H2264" i="6" a="1"/>
  <c r="H2264" i="6" s="1"/>
  <c r="I2264" i="6" s="1"/>
  <c r="H2265" i="6" a="1"/>
  <c r="H2265" i="6" s="1"/>
  <c r="I2265" i="6" s="1"/>
  <c r="H2266" i="6" a="1"/>
  <c r="H2266" i="6" s="1"/>
  <c r="I2266" i="6" s="1"/>
  <c r="H2267" i="6" a="1"/>
  <c r="H2267" i="6" s="1"/>
  <c r="I2267" i="6" s="1"/>
  <c r="H2268" i="6" a="1"/>
  <c r="H2268" i="6" s="1"/>
  <c r="I2268" i="6" s="1"/>
  <c r="H2269" i="6" a="1"/>
  <c r="H2269" i="6" s="1"/>
  <c r="I2269" i="6" s="1"/>
  <c r="H2270" i="6" a="1"/>
  <c r="H2270" i="6" s="1"/>
  <c r="I2270" i="6" s="1"/>
  <c r="H2271" i="6" a="1"/>
  <c r="H2271" i="6" s="1"/>
  <c r="I2271" i="6" s="1"/>
  <c r="H2272" i="6" a="1"/>
  <c r="H2272" i="6" s="1"/>
  <c r="I2272" i="6" s="1"/>
  <c r="H2273" i="6" a="1"/>
  <c r="H2273" i="6" s="1"/>
  <c r="I2273" i="6" s="1"/>
  <c r="H2274" i="6" a="1"/>
  <c r="H2274" i="6" s="1"/>
  <c r="I2274" i="6" s="1"/>
  <c r="H2275" i="6" a="1"/>
  <c r="H2275" i="6" s="1"/>
  <c r="I2275" i="6" s="1"/>
  <c r="H2276" i="6" a="1"/>
  <c r="H2276" i="6" s="1"/>
  <c r="I2276" i="6" s="1"/>
  <c r="H2277" i="6" a="1"/>
  <c r="H2277" i="6" s="1"/>
  <c r="I2277" i="6" s="1"/>
  <c r="H2278" i="6" a="1"/>
  <c r="H2278" i="6" s="1"/>
  <c r="I2278" i="6" s="1"/>
  <c r="H2279" i="6" a="1"/>
  <c r="H2279" i="6" s="1"/>
  <c r="I2279" i="6" s="1"/>
  <c r="H2280" i="6" a="1"/>
  <c r="H2280" i="6" s="1"/>
  <c r="I2280" i="6" s="1"/>
  <c r="H2281" i="6" a="1"/>
  <c r="H2281" i="6" s="1"/>
  <c r="I2281" i="6" s="1"/>
  <c r="H2282" i="6" a="1"/>
  <c r="H2282" i="6" s="1"/>
  <c r="I2282" i="6" s="1"/>
  <c r="H2283" i="6" a="1"/>
  <c r="H2283" i="6" s="1"/>
  <c r="I2283" i="6" s="1"/>
  <c r="H2284" i="6" a="1"/>
  <c r="H2284" i="6" s="1"/>
  <c r="I2284" i="6" s="1"/>
  <c r="H2285" i="6" a="1"/>
  <c r="H2285" i="6" s="1"/>
  <c r="I2285" i="6" s="1"/>
  <c r="H2286" i="6" a="1"/>
  <c r="H2286" i="6" s="1"/>
  <c r="I2286" i="6" s="1"/>
  <c r="H2287" i="6" a="1"/>
  <c r="H2287" i="6" s="1"/>
  <c r="I2287" i="6" s="1"/>
  <c r="H2288" i="6" a="1"/>
  <c r="H2288" i="6" s="1"/>
  <c r="I2288" i="6" s="1"/>
  <c r="H2289" i="6" a="1"/>
  <c r="H2289" i="6" s="1"/>
  <c r="I2289" i="6" s="1"/>
  <c r="H2290" i="6" a="1"/>
  <c r="H2290" i="6" s="1"/>
  <c r="I2290" i="6" s="1"/>
  <c r="H2291" i="6" a="1"/>
  <c r="H2291" i="6" s="1"/>
  <c r="I2291" i="6" s="1"/>
  <c r="H2292" i="6" a="1"/>
  <c r="H2292" i="6" s="1"/>
  <c r="I2292" i="6" s="1"/>
  <c r="H2293" i="6" a="1"/>
  <c r="H2293" i="6" s="1"/>
  <c r="I2293" i="6" s="1"/>
  <c r="H2294" i="6" a="1"/>
  <c r="H2294" i="6" s="1"/>
  <c r="I2294" i="6" s="1"/>
  <c r="H2295" i="6" a="1"/>
  <c r="H2295" i="6" s="1"/>
  <c r="I2295" i="6" s="1"/>
  <c r="H2296" i="6" a="1"/>
  <c r="H2296" i="6" s="1"/>
  <c r="I2296" i="6" s="1"/>
  <c r="H2297" i="6" a="1"/>
  <c r="H2297" i="6" s="1"/>
  <c r="I2297" i="6" s="1"/>
  <c r="H2298" i="6" a="1"/>
  <c r="H2298" i="6" s="1"/>
  <c r="I2298" i="6" s="1"/>
  <c r="H2299" i="6" a="1"/>
  <c r="H2299" i="6" s="1"/>
  <c r="I2299" i="6" s="1"/>
  <c r="H2300" i="6" a="1"/>
  <c r="H2300" i="6" s="1"/>
  <c r="I2300" i="6" s="1"/>
  <c r="H2301" i="6" a="1"/>
  <c r="H2301" i="6" s="1"/>
  <c r="I2301" i="6" s="1"/>
  <c r="H2302" i="6" a="1"/>
  <c r="H2302" i="6" s="1"/>
  <c r="I2302" i="6" s="1"/>
  <c r="H2303" i="6" a="1"/>
  <c r="H2303" i="6" s="1"/>
  <c r="I2303" i="6" s="1"/>
  <c r="H2304" i="6" a="1"/>
  <c r="H2304" i="6" s="1"/>
  <c r="I2304" i="6" s="1"/>
  <c r="H2305" i="6" a="1"/>
  <c r="H2305" i="6" s="1"/>
  <c r="I2305" i="6" s="1"/>
  <c r="H2306" i="6" a="1"/>
  <c r="H2306" i="6" s="1"/>
  <c r="I2306" i="6" s="1"/>
  <c r="H2307" i="6" a="1"/>
  <c r="H2307" i="6" s="1"/>
  <c r="I2307" i="6" s="1"/>
  <c r="H2308" i="6" a="1"/>
  <c r="H2308" i="6" s="1"/>
  <c r="I2308" i="6" s="1"/>
  <c r="H2309" i="6" a="1"/>
  <c r="H2309" i="6" s="1"/>
  <c r="I2309" i="6" s="1"/>
  <c r="H2310" i="6" a="1"/>
  <c r="H2310" i="6" s="1"/>
  <c r="I2310" i="6" s="1"/>
  <c r="H2311" i="6" a="1"/>
  <c r="H2311" i="6" s="1"/>
  <c r="I2311" i="6" s="1"/>
  <c r="H2312" i="6" a="1"/>
  <c r="H2312" i="6" s="1"/>
  <c r="I2312" i="6" s="1"/>
  <c r="H2313" i="6" a="1"/>
  <c r="H2313" i="6" s="1"/>
  <c r="I2313" i="6" s="1"/>
  <c r="H2314" i="6" a="1"/>
  <c r="H2314" i="6" s="1"/>
  <c r="I2314" i="6" s="1"/>
  <c r="H2315" i="6" a="1"/>
  <c r="H2315" i="6" s="1"/>
  <c r="I2315" i="6" s="1"/>
  <c r="H2316" i="6" a="1"/>
  <c r="H2316" i="6" s="1"/>
  <c r="I2316" i="6" s="1"/>
  <c r="H2317" i="6" a="1"/>
  <c r="H2317" i="6" s="1"/>
  <c r="I2317" i="6" s="1"/>
  <c r="H2318" i="6" a="1"/>
  <c r="H2318" i="6" s="1"/>
  <c r="I2318" i="6" s="1"/>
  <c r="H2319" i="6" a="1"/>
  <c r="H2319" i="6" s="1"/>
  <c r="I2319" i="6" s="1"/>
  <c r="H2320" i="6" a="1"/>
  <c r="H2320" i="6" s="1"/>
  <c r="I2320" i="6" s="1"/>
  <c r="H2321" i="6" a="1"/>
  <c r="H2321" i="6" s="1"/>
  <c r="I2321" i="6" s="1"/>
  <c r="H2322" i="6" a="1"/>
  <c r="H2322" i="6" s="1"/>
  <c r="I2322" i="6" s="1"/>
  <c r="H2323" i="6" a="1"/>
  <c r="H2323" i="6" s="1"/>
  <c r="I2323" i="6" s="1"/>
  <c r="H2324" i="6" a="1"/>
  <c r="H2324" i="6" s="1"/>
  <c r="I2324" i="6" s="1"/>
  <c r="H2325" i="6" a="1"/>
  <c r="H2325" i="6" s="1"/>
  <c r="I2325" i="6" s="1"/>
  <c r="H2326" i="6" a="1"/>
  <c r="H2326" i="6" s="1"/>
  <c r="I2326" i="6" s="1"/>
  <c r="H2327" i="6" a="1"/>
  <c r="H2327" i="6" s="1"/>
  <c r="I2327" i="6" s="1"/>
  <c r="H2328" i="6" a="1"/>
  <c r="H2328" i="6" s="1"/>
  <c r="I2328" i="6" s="1"/>
  <c r="H2329" i="6" a="1"/>
  <c r="H2329" i="6" s="1"/>
  <c r="I2329" i="6" s="1"/>
  <c r="H2330" i="6" a="1"/>
  <c r="H2330" i="6" s="1"/>
  <c r="I2330" i="6" s="1"/>
  <c r="H2331" i="6" a="1"/>
  <c r="H2331" i="6" s="1"/>
  <c r="I2331" i="6" s="1"/>
  <c r="H2332" i="6" a="1"/>
  <c r="H2332" i="6" s="1"/>
  <c r="I2332" i="6" s="1"/>
  <c r="H2333" i="6" a="1"/>
  <c r="H2333" i="6" s="1"/>
  <c r="I2333" i="6" s="1"/>
  <c r="H2334" i="6" a="1"/>
  <c r="H2334" i="6" s="1"/>
  <c r="I2334" i="6" s="1"/>
  <c r="H2335" i="6" a="1"/>
  <c r="H2335" i="6" s="1"/>
  <c r="I2335" i="6" s="1"/>
  <c r="H2336" i="6" a="1"/>
  <c r="H2336" i="6" s="1"/>
  <c r="I2336" i="6" s="1"/>
  <c r="H2337" i="6" a="1"/>
  <c r="H2337" i="6" s="1"/>
  <c r="I2337" i="6" s="1"/>
  <c r="H2338" i="6" a="1"/>
  <c r="H2338" i="6" s="1"/>
  <c r="I2338" i="6" s="1"/>
  <c r="H2339" i="6" a="1"/>
  <c r="H2339" i="6" s="1"/>
  <c r="I2339" i="6" s="1"/>
  <c r="H2340" i="6" a="1"/>
  <c r="H2340" i="6" s="1"/>
  <c r="I2340" i="6" s="1"/>
  <c r="H2341" i="6" a="1"/>
  <c r="H2341" i="6" s="1"/>
  <c r="I2341" i="6" s="1"/>
  <c r="H2342" i="6" a="1"/>
  <c r="H2342" i="6" s="1"/>
  <c r="I2342" i="6" s="1"/>
  <c r="H2343" i="6" a="1"/>
  <c r="H2343" i="6" s="1"/>
  <c r="I2343" i="6" s="1"/>
  <c r="H2344" i="6" a="1"/>
  <c r="H2344" i="6" s="1"/>
  <c r="I2344" i="6" s="1"/>
  <c r="H2345" i="6" a="1"/>
  <c r="H2345" i="6" s="1"/>
  <c r="I2345" i="6" s="1"/>
  <c r="H2346" i="6" a="1"/>
  <c r="H2346" i="6" s="1"/>
  <c r="I2346" i="6" s="1"/>
  <c r="H2347" i="6" a="1"/>
  <c r="H2347" i="6" s="1"/>
  <c r="I2347" i="6" s="1"/>
  <c r="H2348" i="6" a="1"/>
  <c r="H2348" i="6" s="1"/>
  <c r="I2348" i="6" s="1"/>
  <c r="H2349" i="6" a="1"/>
  <c r="H2349" i="6" s="1"/>
  <c r="I2349" i="6" s="1"/>
  <c r="H2350" i="6" a="1"/>
  <c r="H2350" i="6" s="1"/>
  <c r="I2350" i="6" s="1"/>
  <c r="H2351" i="6" a="1"/>
  <c r="H2351" i="6" s="1"/>
  <c r="I2351" i="6" s="1"/>
  <c r="H2352" i="6" a="1"/>
  <c r="H2352" i="6" s="1"/>
  <c r="I2352" i="6" s="1"/>
  <c r="H2353" i="6" a="1"/>
  <c r="H2353" i="6" s="1"/>
  <c r="I2353" i="6" s="1"/>
  <c r="H2354" i="6" a="1"/>
  <c r="H2354" i="6" s="1"/>
  <c r="I2354" i="6" s="1"/>
  <c r="H2355" i="6" a="1"/>
  <c r="H2355" i="6" s="1"/>
  <c r="I2355" i="6" s="1"/>
  <c r="H2356" i="6" a="1"/>
  <c r="H2356" i="6" s="1"/>
  <c r="I2356" i="6" s="1"/>
  <c r="H2357" i="6" a="1"/>
  <c r="H2357" i="6" s="1"/>
  <c r="I2357" i="6" s="1"/>
  <c r="H2358" i="6" a="1"/>
  <c r="H2358" i="6" s="1"/>
  <c r="I2358" i="6" s="1"/>
  <c r="H2359" i="6" a="1"/>
  <c r="H2359" i="6" s="1"/>
  <c r="I2359" i="6" s="1"/>
  <c r="H2360" i="6" a="1"/>
  <c r="H2360" i="6" s="1"/>
  <c r="I2360" i="6" s="1"/>
  <c r="H2361" i="6" a="1"/>
  <c r="H2361" i="6" s="1"/>
  <c r="I2361" i="6" s="1"/>
  <c r="H2362" i="6" a="1"/>
  <c r="H2362" i="6" s="1"/>
  <c r="I2362" i="6" s="1"/>
  <c r="H2363" i="6" a="1"/>
  <c r="H2363" i="6" s="1"/>
  <c r="I2363" i="6" s="1"/>
  <c r="H2364" i="6" a="1"/>
  <c r="H2364" i="6" s="1"/>
  <c r="I2364" i="6" s="1"/>
  <c r="H2365" i="6" a="1"/>
  <c r="H2365" i="6" s="1"/>
  <c r="I2365" i="6" s="1"/>
  <c r="H2366" i="6" a="1"/>
  <c r="H2366" i="6" s="1"/>
  <c r="I2366" i="6" s="1"/>
  <c r="H2367" i="6" a="1"/>
  <c r="H2367" i="6" s="1"/>
  <c r="I2367" i="6" s="1"/>
  <c r="H2368" i="6" a="1"/>
  <c r="H2368" i="6" s="1"/>
  <c r="I2368" i="6" s="1"/>
  <c r="H2369" i="6" a="1"/>
  <c r="H2369" i="6" s="1"/>
  <c r="I2369" i="6" s="1"/>
  <c r="H2370" i="6" a="1"/>
  <c r="H2370" i="6" s="1"/>
  <c r="I2370" i="6" s="1"/>
  <c r="H2371" i="6" a="1"/>
  <c r="H2371" i="6" s="1"/>
  <c r="I2371" i="6" s="1"/>
  <c r="H2372" i="6" a="1"/>
  <c r="H2372" i="6" s="1"/>
  <c r="I2372" i="6" s="1"/>
  <c r="H2373" i="6" a="1"/>
  <c r="H2373" i="6" s="1"/>
  <c r="I2373" i="6" s="1"/>
  <c r="H2374" i="6" a="1"/>
  <c r="H2374" i="6" s="1"/>
  <c r="I2374" i="6" s="1"/>
  <c r="H2375" i="6" a="1"/>
  <c r="H2375" i="6" s="1"/>
  <c r="I2375" i="6" s="1"/>
  <c r="H2376" i="6" a="1"/>
  <c r="H2376" i="6" s="1"/>
  <c r="I2376" i="6" s="1"/>
  <c r="H2377" i="6" a="1"/>
  <c r="H2377" i="6" s="1"/>
  <c r="I2377" i="6" s="1"/>
  <c r="H2378" i="6" a="1"/>
  <c r="H2378" i="6" s="1"/>
  <c r="I2378" i="6" s="1"/>
  <c r="H2379" i="6" a="1"/>
  <c r="H2379" i="6" s="1"/>
  <c r="I2379" i="6" s="1"/>
  <c r="H2380" i="6" a="1"/>
  <c r="H2380" i="6" s="1"/>
  <c r="I2380" i="6" s="1"/>
  <c r="H2381" i="6" a="1"/>
  <c r="H2381" i="6" s="1"/>
  <c r="I2381" i="6" s="1"/>
  <c r="H2382" i="6" a="1"/>
  <c r="H2382" i="6" s="1"/>
  <c r="I2382" i="6" s="1"/>
  <c r="H2383" i="6" a="1"/>
  <c r="H2383" i="6" s="1"/>
  <c r="I2383" i="6" s="1"/>
  <c r="H2384" i="6" a="1"/>
  <c r="H2384" i="6" s="1"/>
  <c r="I2384" i="6" s="1"/>
  <c r="H2385" i="6" a="1"/>
  <c r="H2385" i="6" s="1"/>
  <c r="I2385" i="6" s="1"/>
  <c r="H2386" i="6" a="1"/>
  <c r="H2386" i="6" s="1"/>
  <c r="I2386" i="6" s="1"/>
  <c r="H2387" i="6" a="1"/>
  <c r="H2387" i="6" s="1"/>
  <c r="I2387" i="6" s="1"/>
  <c r="H2388" i="6" a="1"/>
  <c r="H2388" i="6" s="1"/>
  <c r="I2388" i="6" s="1"/>
  <c r="H2389" i="6" a="1"/>
  <c r="H2389" i="6" s="1"/>
  <c r="I2389" i="6" s="1"/>
  <c r="H2390" i="6" a="1"/>
  <c r="H2390" i="6" s="1"/>
  <c r="I2390" i="6" s="1"/>
  <c r="H2391" i="6" a="1"/>
  <c r="H2391" i="6" s="1"/>
  <c r="I2391" i="6" s="1"/>
  <c r="H2392" i="6" a="1"/>
  <c r="H2392" i="6" s="1"/>
  <c r="I2392" i="6" s="1"/>
  <c r="H2393" i="6" a="1"/>
  <c r="H2393" i="6" s="1"/>
  <c r="I2393" i="6" s="1"/>
  <c r="H2394" i="6" a="1"/>
  <c r="H2394" i="6" s="1"/>
  <c r="I2394" i="6" s="1"/>
  <c r="H2395" i="6" a="1"/>
  <c r="H2395" i="6" s="1"/>
  <c r="I2395" i="6" s="1"/>
  <c r="H2396" i="6" a="1"/>
  <c r="H2396" i="6" s="1"/>
  <c r="I2396" i="6" s="1"/>
  <c r="H2397" i="6" a="1"/>
  <c r="H2397" i="6" s="1"/>
  <c r="I2397" i="6" s="1"/>
  <c r="H2398" i="6" a="1"/>
  <c r="H2398" i="6" s="1"/>
  <c r="I2398" i="6" s="1"/>
  <c r="H2399" i="6" a="1"/>
  <c r="H2399" i="6" s="1"/>
  <c r="I2399" i="6" s="1"/>
  <c r="H2400" i="6" a="1"/>
  <c r="H2400" i="6" s="1"/>
  <c r="I2400" i="6" s="1"/>
  <c r="H2401" i="6" a="1"/>
  <c r="H2401" i="6" s="1"/>
  <c r="I2401" i="6" s="1"/>
  <c r="H2402" i="6" a="1"/>
  <c r="H2402" i="6" s="1"/>
  <c r="I2402" i="6" s="1"/>
  <c r="H2403" i="6" a="1"/>
  <c r="H2403" i="6" s="1"/>
  <c r="I2403" i="6" s="1"/>
  <c r="H2404" i="6" a="1"/>
  <c r="H2404" i="6" s="1"/>
  <c r="I2404" i="6" s="1"/>
  <c r="H2405" i="6" a="1"/>
  <c r="H2405" i="6" s="1"/>
  <c r="I2405" i="6" s="1"/>
  <c r="H2406" i="6" a="1"/>
  <c r="H2406" i="6" s="1"/>
  <c r="I2406" i="6" s="1"/>
  <c r="H2407" i="6" a="1"/>
  <c r="H2407" i="6" s="1"/>
  <c r="I2407" i="6" s="1"/>
  <c r="H2408" i="6" a="1"/>
  <c r="H2408" i="6" s="1"/>
  <c r="I2408" i="6" s="1"/>
  <c r="H2409" i="6" a="1"/>
  <c r="H2409" i="6" s="1"/>
  <c r="I2409" i="6" s="1"/>
  <c r="H2410" i="6" a="1"/>
  <c r="H2410" i="6" s="1"/>
  <c r="I2410" i="6" s="1"/>
  <c r="H2411" i="6" a="1"/>
  <c r="H2411" i="6" s="1"/>
  <c r="I2411" i="6" s="1"/>
  <c r="H2412" i="6" a="1"/>
  <c r="H2412" i="6" s="1"/>
  <c r="I2412" i="6" s="1"/>
  <c r="H2413" i="6" a="1"/>
  <c r="H2413" i="6" s="1"/>
  <c r="I2413" i="6" s="1"/>
  <c r="H2414" i="6" a="1"/>
  <c r="H2414" i="6" s="1"/>
  <c r="I2414" i="6" s="1"/>
  <c r="H2415" i="6" a="1"/>
  <c r="H2415" i="6" s="1"/>
  <c r="I2415" i="6" s="1"/>
  <c r="H2416" i="6" a="1"/>
  <c r="H2416" i="6" s="1"/>
  <c r="I2416" i="6" s="1"/>
  <c r="H2417" i="6" a="1"/>
  <c r="H2417" i="6" s="1"/>
  <c r="I2417" i="6" s="1"/>
  <c r="H2418" i="6" a="1"/>
  <c r="H2418" i="6" s="1"/>
  <c r="I2418" i="6" s="1"/>
  <c r="H2419" i="6" a="1"/>
  <c r="H2419" i="6" s="1"/>
  <c r="I2419" i="6" s="1"/>
  <c r="H2420" i="6" a="1"/>
  <c r="H2420" i="6" s="1"/>
  <c r="I2420" i="6" s="1"/>
  <c r="H2421" i="6" a="1"/>
  <c r="H2421" i="6" s="1"/>
  <c r="I2421" i="6" s="1"/>
  <c r="H2422" i="6" a="1"/>
  <c r="H2422" i="6" s="1"/>
  <c r="I2422" i="6" s="1"/>
  <c r="H2423" i="6" a="1"/>
  <c r="H2423" i="6" s="1"/>
  <c r="I2423" i="6" s="1"/>
  <c r="H2424" i="6" a="1"/>
  <c r="H2424" i="6" s="1"/>
  <c r="I2424" i="6" s="1"/>
  <c r="H2425" i="6" a="1"/>
  <c r="H2425" i="6" s="1"/>
  <c r="I2425" i="6" s="1"/>
  <c r="H2426" i="6" a="1"/>
  <c r="H2426" i="6" s="1"/>
  <c r="I2426" i="6" s="1"/>
  <c r="H2427" i="6" a="1"/>
  <c r="H2427" i="6" s="1"/>
  <c r="I2427" i="6" s="1"/>
  <c r="H2428" i="6" a="1"/>
  <c r="H2428" i="6" s="1"/>
  <c r="I2428" i="6" s="1"/>
  <c r="H2429" i="6" a="1"/>
  <c r="H2429" i="6" s="1"/>
  <c r="I2429" i="6" s="1"/>
  <c r="H2430" i="6" a="1"/>
  <c r="H2430" i="6" s="1"/>
  <c r="I2430" i="6" s="1"/>
  <c r="H2431" i="6" a="1"/>
  <c r="H2431" i="6" s="1"/>
  <c r="I2431" i="6" s="1"/>
  <c r="H2432" i="6" a="1"/>
  <c r="H2432" i="6" s="1"/>
  <c r="I2432" i="6" s="1"/>
  <c r="H2433" i="6" a="1"/>
  <c r="H2433" i="6" s="1"/>
  <c r="I2433" i="6" s="1"/>
  <c r="H2434" i="6" a="1"/>
  <c r="H2434" i="6" s="1"/>
  <c r="I2434" i="6" s="1"/>
  <c r="H2435" i="6" a="1"/>
  <c r="H2435" i="6" s="1"/>
  <c r="I2435" i="6" s="1"/>
  <c r="H2436" i="6" a="1"/>
  <c r="H2436" i="6" s="1"/>
  <c r="I2436" i="6" s="1"/>
  <c r="H2437" i="6" a="1"/>
  <c r="H2437" i="6" s="1"/>
  <c r="I2437" i="6" s="1"/>
  <c r="H2438" i="6" a="1"/>
  <c r="H2438" i="6" s="1"/>
  <c r="I2438" i="6" s="1"/>
  <c r="H2439" i="6" a="1"/>
  <c r="H2439" i="6" s="1"/>
  <c r="I2439" i="6" s="1"/>
  <c r="H2440" i="6" a="1"/>
  <c r="H2440" i="6" s="1"/>
  <c r="I2440" i="6" s="1"/>
  <c r="H2441" i="6" a="1"/>
  <c r="H2441" i="6" s="1"/>
  <c r="I2441" i="6" s="1"/>
  <c r="H2442" i="6" a="1"/>
  <c r="H2442" i="6" s="1"/>
  <c r="I2442" i="6" s="1"/>
  <c r="H2443" i="6" a="1"/>
  <c r="H2443" i="6" s="1"/>
  <c r="I2443" i="6" s="1"/>
  <c r="H2444" i="6" a="1"/>
  <c r="H2444" i="6" s="1"/>
  <c r="I2444" i="6" s="1"/>
  <c r="H2445" i="6" a="1"/>
  <c r="H2445" i="6" s="1"/>
  <c r="I2445" i="6" s="1"/>
  <c r="H2446" i="6" a="1"/>
  <c r="H2446" i="6" s="1"/>
  <c r="I2446" i="6" s="1"/>
  <c r="H2447" i="6" a="1"/>
  <c r="H2447" i="6" s="1"/>
  <c r="I2447" i="6" s="1"/>
  <c r="H2448" i="6" a="1"/>
  <c r="H2448" i="6" s="1"/>
  <c r="I2448" i="6" s="1"/>
  <c r="H2449" i="6" a="1"/>
  <c r="H2449" i="6" s="1"/>
  <c r="I2449" i="6" s="1"/>
  <c r="H2450" i="6" a="1"/>
  <c r="H2450" i="6" s="1"/>
  <c r="I2450" i="6" s="1"/>
  <c r="H2451" i="6" a="1"/>
  <c r="H2451" i="6" s="1"/>
  <c r="I2451" i="6" s="1"/>
  <c r="H2452" i="6" a="1"/>
  <c r="H2452" i="6" s="1"/>
  <c r="I2452" i="6" s="1"/>
  <c r="H2453" i="6" a="1"/>
  <c r="H2453" i="6" s="1"/>
  <c r="I2453" i="6" s="1"/>
  <c r="H2454" i="6" a="1"/>
  <c r="H2454" i="6" s="1"/>
  <c r="I2454" i="6" s="1"/>
  <c r="H2455" i="6" a="1"/>
  <c r="H2455" i="6" s="1"/>
  <c r="I2455" i="6" s="1"/>
  <c r="H2456" i="6" a="1"/>
  <c r="H2456" i="6" s="1"/>
  <c r="I2456" i="6" s="1"/>
  <c r="H2457" i="6" a="1"/>
  <c r="H2457" i="6" s="1"/>
  <c r="I2457" i="6" s="1"/>
  <c r="H2458" i="6" a="1"/>
  <c r="H2458" i="6" s="1"/>
  <c r="I2458" i="6" s="1"/>
  <c r="H2459" i="6" a="1"/>
  <c r="H2459" i="6" s="1"/>
  <c r="I2459" i="6" s="1"/>
  <c r="H2460" i="6" a="1"/>
  <c r="H2460" i="6" s="1"/>
  <c r="I2460" i="6" s="1"/>
  <c r="H2461" i="6" a="1"/>
  <c r="H2461" i="6" s="1"/>
  <c r="I2461" i="6" s="1"/>
  <c r="H2462" i="6" a="1"/>
  <c r="H2462" i="6" s="1"/>
  <c r="I2462" i="6" s="1"/>
  <c r="H2463" i="6" a="1"/>
  <c r="H2463" i="6" s="1"/>
  <c r="I2463" i="6" s="1"/>
  <c r="H2464" i="6" a="1"/>
  <c r="H2464" i="6" s="1"/>
  <c r="I2464" i="6" s="1"/>
  <c r="H2465" i="6" a="1"/>
  <c r="H2465" i="6" s="1"/>
  <c r="I2465" i="6" s="1"/>
  <c r="H2466" i="6" a="1"/>
  <c r="H2466" i="6" s="1"/>
  <c r="I2466" i="6" s="1"/>
  <c r="H2467" i="6" a="1"/>
  <c r="H2467" i="6" s="1"/>
  <c r="I2467" i="6" s="1"/>
  <c r="H2468" i="6" a="1"/>
  <c r="H2468" i="6" s="1"/>
  <c r="I2468" i="6" s="1"/>
  <c r="H2469" i="6" a="1"/>
  <c r="H2469" i="6" s="1"/>
  <c r="I2469" i="6" s="1"/>
  <c r="H2470" i="6" a="1"/>
  <c r="H2470" i="6" s="1"/>
  <c r="I2470" i="6" s="1"/>
  <c r="H2471" i="6" a="1"/>
  <c r="H2471" i="6" s="1"/>
  <c r="I2471" i="6" s="1"/>
  <c r="H2472" i="6" a="1"/>
  <c r="H2472" i="6" s="1"/>
  <c r="I2472" i="6" s="1"/>
  <c r="H2473" i="6" a="1"/>
  <c r="H2473" i="6" s="1"/>
  <c r="I2473" i="6" s="1"/>
  <c r="H2474" i="6" a="1"/>
  <c r="H2474" i="6" s="1"/>
  <c r="I2474" i="6" s="1"/>
  <c r="H2475" i="6" a="1"/>
  <c r="H2475" i="6" s="1"/>
  <c r="I2475" i="6" s="1"/>
  <c r="H2476" i="6" a="1"/>
  <c r="H2476" i="6" s="1"/>
  <c r="I2476" i="6" s="1"/>
  <c r="H2477" i="6" a="1"/>
  <c r="H2477" i="6" s="1"/>
  <c r="I2477" i="6" s="1"/>
  <c r="H2478" i="6" a="1"/>
  <c r="H2478" i="6" s="1"/>
  <c r="I2478" i="6" s="1"/>
  <c r="H2479" i="6" a="1"/>
  <c r="H2479" i="6" s="1"/>
  <c r="I2479" i="6" s="1"/>
  <c r="H2480" i="6" a="1"/>
  <c r="H2480" i="6" s="1"/>
  <c r="I2480" i="6" s="1"/>
  <c r="H2481" i="6" a="1"/>
  <c r="H2481" i="6" s="1"/>
  <c r="I2481" i="6" s="1"/>
  <c r="H2482" i="6" a="1"/>
  <c r="H2482" i="6" s="1"/>
  <c r="I2482" i="6" s="1"/>
  <c r="H2483" i="6" a="1"/>
  <c r="H2483" i="6" s="1"/>
  <c r="I2483" i="6" s="1"/>
  <c r="H2484" i="6" a="1"/>
  <c r="H2484" i="6" s="1"/>
  <c r="I2484" i="6" s="1"/>
  <c r="H2485" i="6" a="1"/>
  <c r="H2485" i="6" s="1"/>
  <c r="I2485" i="6" s="1"/>
  <c r="H2486" i="6" a="1"/>
  <c r="H2486" i="6" s="1"/>
  <c r="I2486" i="6" s="1"/>
  <c r="H2487" i="6" a="1"/>
  <c r="H2487" i="6" s="1"/>
  <c r="I2487" i="6" s="1"/>
  <c r="H2488" i="6" a="1"/>
  <c r="H2488" i="6" s="1"/>
  <c r="I2488" i="6" s="1"/>
  <c r="H2489" i="6" a="1"/>
  <c r="H2489" i="6" s="1"/>
  <c r="I2489" i="6" s="1"/>
  <c r="H2490" i="6" a="1"/>
  <c r="H2490" i="6" s="1"/>
  <c r="I2490" i="6" s="1"/>
  <c r="H2491" i="6" a="1"/>
  <c r="H2491" i="6" s="1"/>
  <c r="I2491" i="6" s="1"/>
  <c r="H2492" i="6" a="1"/>
  <c r="H2492" i="6" s="1"/>
  <c r="I2492" i="6" s="1"/>
  <c r="H2493" i="6" a="1"/>
  <c r="H2493" i="6" s="1"/>
  <c r="I2493" i="6" s="1"/>
  <c r="H2494" i="6" a="1"/>
  <c r="H2494" i="6" s="1"/>
  <c r="I2494" i="6" s="1"/>
  <c r="H2495" i="6" a="1"/>
  <c r="H2495" i="6" s="1"/>
  <c r="I2495" i="6" s="1"/>
  <c r="H2496" i="6" a="1"/>
  <c r="H2496" i="6" s="1"/>
  <c r="I2496" i="6" s="1"/>
  <c r="H2497" i="6" a="1"/>
  <c r="H2497" i="6" s="1"/>
  <c r="I2497" i="6" s="1"/>
  <c r="H2498" i="6" a="1"/>
  <c r="H2498" i="6" s="1"/>
  <c r="I2498" i="6" s="1"/>
  <c r="H2499" i="6" a="1"/>
  <c r="H2499" i="6" s="1"/>
  <c r="I2499" i="6" s="1"/>
  <c r="H2500" i="6" a="1"/>
  <c r="H2500" i="6" s="1"/>
  <c r="I2500" i="6" s="1"/>
  <c r="H2501" i="6" a="1"/>
  <c r="H2501" i="6" s="1"/>
  <c r="I2501" i="6" s="1"/>
  <c r="H2502" i="6" a="1"/>
  <c r="H2502" i="6" s="1"/>
  <c r="I2502" i="6" s="1"/>
  <c r="H2503" i="6" a="1"/>
  <c r="H2503" i="6" s="1"/>
  <c r="I2503" i="6" s="1"/>
  <c r="H2504" i="6" a="1"/>
  <c r="H2504" i="6" s="1"/>
  <c r="I2504" i="6" s="1"/>
  <c r="H2505" i="6" a="1"/>
  <c r="H2505" i="6" s="1"/>
  <c r="I2505" i="6" s="1"/>
  <c r="H2506" i="6" a="1"/>
  <c r="H2506" i="6" s="1"/>
  <c r="I2506" i="6" s="1"/>
  <c r="H2507" i="6" a="1"/>
  <c r="H2507" i="6" s="1"/>
  <c r="I2507" i="6" s="1"/>
  <c r="H2508" i="6" a="1"/>
  <c r="H2508" i="6" s="1"/>
  <c r="I2508" i="6" s="1"/>
  <c r="H2509" i="6" a="1"/>
  <c r="H2509" i="6" s="1"/>
  <c r="I2509" i="6" s="1"/>
  <c r="H2510" i="6" a="1"/>
  <c r="H2510" i="6" s="1"/>
  <c r="I2510" i="6" s="1"/>
  <c r="H2511" i="6" a="1"/>
  <c r="H2511" i="6" s="1"/>
  <c r="I2511" i="6" s="1"/>
  <c r="H2512" i="6" a="1"/>
  <c r="H2512" i="6" s="1"/>
  <c r="I2512" i="6" s="1"/>
  <c r="H2513" i="6" a="1"/>
  <c r="H2513" i="6" s="1"/>
  <c r="I2513" i="6" s="1"/>
  <c r="H2514" i="6" a="1"/>
  <c r="H2514" i="6" s="1"/>
  <c r="I2514" i="6" s="1"/>
  <c r="H2515" i="6" a="1"/>
  <c r="H2515" i="6" s="1"/>
  <c r="I2515" i="6" s="1"/>
  <c r="H2516" i="6" a="1"/>
  <c r="H2516" i="6" s="1"/>
  <c r="I2516" i="6" s="1"/>
  <c r="H2517" i="6" a="1"/>
  <c r="H2517" i="6" s="1"/>
  <c r="I2517" i="6" s="1"/>
  <c r="H2518" i="6" a="1"/>
  <c r="H2518" i="6" s="1"/>
  <c r="I2518" i="6" s="1"/>
  <c r="H2519" i="6" a="1"/>
  <c r="H2519" i="6" s="1"/>
  <c r="I2519" i="6" s="1"/>
  <c r="H2520" i="6" a="1"/>
  <c r="H2520" i="6" s="1"/>
  <c r="I2520" i="6" s="1"/>
  <c r="H2521" i="6" a="1"/>
  <c r="H2521" i="6" s="1"/>
  <c r="I2521" i="6" s="1"/>
  <c r="H2522" i="6" a="1"/>
  <c r="H2522" i="6" s="1"/>
  <c r="I2522" i="6" s="1"/>
  <c r="H2523" i="6" a="1"/>
  <c r="H2523" i="6" s="1"/>
  <c r="I2523" i="6" s="1"/>
  <c r="H2524" i="6" a="1"/>
  <c r="H2524" i="6" s="1"/>
  <c r="I2524" i="6" s="1"/>
  <c r="H2525" i="6" a="1"/>
  <c r="H2525" i="6" s="1"/>
  <c r="I2525" i="6" s="1"/>
  <c r="H2526" i="6" a="1"/>
  <c r="H2526" i="6" s="1"/>
  <c r="I2526" i="6" s="1"/>
  <c r="H2527" i="6" a="1"/>
  <c r="H2527" i="6" s="1"/>
  <c r="I2527" i="6" s="1"/>
  <c r="H2528" i="6" a="1"/>
  <c r="H2528" i="6" s="1"/>
  <c r="I2528" i="6" s="1"/>
  <c r="H2529" i="6" a="1"/>
  <c r="H2529" i="6" s="1"/>
  <c r="I2529" i="6" s="1"/>
  <c r="H2530" i="6" a="1"/>
  <c r="H2530" i="6" s="1"/>
  <c r="I2530" i="6" s="1"/>
  <c r="H2531" i="6" a="1"/>
  <c r="H2531" i="6" s="1"/>
  <c r="I2531" i="6" s="1"/>
  <c r="H2532" i="6" a="1"/>
  <c r="H2532" i="6" s="1"/>
  <c r="I2532" i="6" s="1"/>
  <c r="H2533" i="6" a="1"/>
  <c r="H2533" i="6" s="1"/>
  <c r="I2533" i="6" s="1"/>
  <c r="H2534" i="6" a="1"/>
  <c r="H2534" i="6" s="1"/>
  <c r="I2534" i="6" s="1"/>
  <c r="H2535" i="6" a="1"/>
  <c r="H2535" i="6" s="1"/>
  <c r="I2535" i="6" s="1"/>
  <c r="H2536" i="6" a="1"/>
  <c r="H2536" i="6" s="1"/>
  <c r="I2536" i="6" s="1"/>
  <c r="H2537" i="6" a="1"/>
  <c r="H2537" i="6" s="1"/>
  <c r="I2537" i="6" s="1"/>
  <c r="H2538" i="6" a="1"/>
  <c r="H2538" i="6" s="1"/>
  <c r="I2538" i="6" s="1"/>
  <c r="H2539" i="6" a="1"/>
  <c r="H2539" i="6" s="1"/>
  <c r="I2539" i="6" s="1"/>
  <c r="H2540" i="6" a="1"/>
  <c r="H2540" i="6" s="1"/>
  <c r="I2540" i="6" s="1"/>
  <c r="H2541" i="6" a="1"/>
  <c r="H2541" i="6" s="1"/>
  <c r="I2541" i="6" s="1"/>
  <c r="H2542" i="6" a="1"/>
  <c r="H2542" i="6" s="1"/>
  <c r="I2542" i="6" s="1"/>
  <c r="H2543" i="6" a="1"/>
  <c r="H2543" i="6" s="1"/>
  <c r="I2543" i="6" s="1"/>
  <c r="H2544" i="6" a="1"/>
  <c r="H2544" i="6" s="1"/>
  <c r="I2544" i="6" s="1"/>
  <c r="H2545" i="6" a="1"/>
  <c r="H2545" i="6" s="1"/>
  <c r="I2545" i="6" s="1"/>
  <c r="H2546" i="6" a="1"/>
  <c r="H2546" i="6" s="1"/>
  <c r="I2546" i="6" s="1"/>
  <c r="H2547" i="6" a="1"/>
  <c r="H2547" i="6" s="1"/>
  <c r="I2547" i="6" s="1"/>
  <c r="H2548" i="6" a="1"/>
  <c r="H2548" i="6" s="1"/>
  <c r="I2548" i="6" s="1"/>
  <c r="H2549" i="6" a="1"/>
  <c r="H2549" i="6" s="1"/>
  <c r="I2549" i="6" s="1"/>
  <c r="H2550" i="6" a="1"/>
  <c r="H2550" i="6" s="1"/>
  <c r="I2550" i="6" s="1"/>
  <c r="H2551" i="6" a="1"/>
  <c r="H2551" i="6" s="1"/>
  <c r="I2551" i="6" s="1"/>
  <c r="H2552" i="6" a="1"/>
  <c r="H2552" i="6" s="1"/>
  <c r="I2552" i="6" s="1"/>
  <c r="H2553" i="6" a="1"/>
  <c r="H2553" i="6" s="1"/>
  <c r="I2553" i="6" s="1"/>
  <c r="H2554" i="6" a="1"/>
  <c r="H2554" i="6" s="1"/>
  <c r="I2554" i="6" s="1"/>
  <c r="H2555" i="6" a="1"/>
  <c r="H2555" i="6" s="1"/>
  <c r="I2555" i="6" s="1"/>
  <c r="H2556" i="6" a="1"/>
  <c r="H2556" i="6" s="1"/>
  <c r="I2556" i="6" s="1"/>
  <c r="H2557" i="6" a="1"/>
  <c r="H2557" i="6" s="1"/>
  <c r="I2557" i="6" s="1"/>
  <c r="H2558" i="6" a="1"/>
  <c r="H2558" i="6" s="1"/>
  <c r="I2558" i="6" s="1"/>
  <c r="H2559" i="6" a="1"/>
  <c r="H2559" i="6" s="1"/>
  <c r="I2559" i="6" s="1"/>
  <c r="H2560" i="6" a="1"/>
  <c r="H2560" i="6" s="1"/>
  <c r="I2560" i="6" s="1"/>
  <c r="H2561" i="6" a="1"/>
  <c r="H2561" i="6" s="1"/>
  <c r="I2561" i="6" s="1"/>
  <c r="H2562" i="6" a="1"/>
  <c r="H2562" i="6" s="1"/>
  <c r="I2562" i="6" s="1"/>
  <c r="H2563" i="6" a="1"/>
  <c r="H2563" i="6" s="1"/>
  <c r="I2563" i="6" s="1"/>
  <c r="H2564" i="6" a="1"/>
  <c r="H2564" i="6" s="1"/>
  <c r="I2564" i="6" s="1"/>
  <c r="H2565" i="6" a="1"/>
  <c r="H2565" i="6" s="1"/>
  <c r="I2565" i="6" s="1"/>
  <c r="H2566" i="6" a="1"/>
  <c r="H2566" i="6" s="1"/>
  <c r="I2566" i="6" s="1"/>
  <c r="H2567" i="6" a="1"/>
  <c r="H2567" i="6" s="1"/>
  <c r="I2567" i="6" s="1"/>
  <c r="H2568" i="6" a="1"/>
  <c r="H2568" i="6" s="1"/>
  <c r="I2568" i="6" s="1"/>
  <c r="H2569" i="6" a="1"/>
  <c r="H2569" i="6" s="1"/>
  <c r="I2569" i="6" s="1"/>
  <c r="H2570" i="6" a="1"/>
  <c r="H2570" i="6" s="1"/>
  <c r="I2570" i="6" s="1"/>
  <c r="H2571" i="6" a="1"/>
  <c r="H2571" i="6" s="1"/>
  <c r="I2571" i="6" s="1"/>
  <c r="H2572" i="6" a="1"/>
  <c r="H2572" i="6" s="1"/>
  <c r="I2572" i="6" s="1"/>
  <c r="H2573" i="6" a="1"/>
  <c r="H2573" i="6" s="1"/>
  <c r="I2573" i="6" s="1"/>
  <c r="H2574" i="6" a="1"/>
  <c r="H2574" i="6" s="1"/>
  <c r="I2574" i="6" s="1"/>
  <c r="H2575" i="6" a="1"/>
  <c r="H2575" i="6" s="1"/>
  <c r="I2575" i="6" s="1"/>
  <c r="H2576" i="6" a="1"/>
  <c r="H2576" i="6" s="1"/>
  <c r="I2576" i="6" s="1"/>
  <c r="H2577" i="6" a="1"/>
  <c r="H2577" i="6" s="1"/>
  <c r="I2577" i="6" s="1"/>
  <c r="H2578" i="6" a="1"/>
  <c r="H2578" i="6" s="1"/>
  <c r="I2578" i="6" s="1"/>
  <c r="H2579" i="6" a="1"/>
  <c r="H2579" i="6" s="1"/>
  <c r="I2579" i="6" s="1"/>
  <c r="H2580" i="6" a="1"/>
  <c r="H2580" i="6" s="1"/>
  <c r="I2580" i="6" s="1"/>
  <c r="H2581" i="6" a="1"/>
  <c r="H2581" i="6" s="1"/>
  <c r="I2581" i="6" s="1"/>
  <c r="H2582" i="6" a="1"/>
  <c r="H2582" i="6" s="1"/>
  <c r="I2582" i="6" s="1"/>
  <c r="H2583" i="6" a="1"/>
  <c r="H2583" i="6" s="1"/>
  <c r="I2583" i="6" s="1"/>
  <c r="H2584" i="6" a="1"/>
  <c r="H2584" i="6" s="1"/>
  <c r="I2584" i="6" s="1"/>
  <c r="H2585" i="6" a="1"/>
  <c r="H2585" i="6" s="1"/>
  <c r="I2585" i="6" s="1"/>
  <c r="H2586" i="6" a="1"/>
  <c r="H2586" i="6" s="1"/>
  <c r="I2586" i="6" s="1"/>
  <c r="H2587" i="6" a="1"/>
  <c r="H2587" i="6" s="1"/>
  <c r="I2587" i="6" s="1"/>
  <c r="H2588" i="6" a="1"/>
  <c r="H2588" i="6" s="1"/>
  <c r="I2588" i="6" s="1"/>
  <c r="H2589" i="6" a="1"/>
  <c r="H2589" i="6" s="1"/>
  <c r="I2589" i="6" s="1"/>
  <c r="H2590" i="6" a="1"/>
  <c r="H2590" i="6" s="1"/>
  <c r="I2590" i="6" s="1"/>
  <c r="H2591" i="6" a="1"/>
  <c r="H2591" i="6" s="1"/>
  <c r="I2591" i="6" s="1"/>
  <c r="H2592" i="6" a="1"/>
  <c r="H2592" i="6" s="1"/>
  <c r="I2592" i="6" s="1"/>
  <c r="H2593" i="6" a="1"/>
  <c r="H2593" i="6" s="1"/>
  <c r="I2593" i="6" s="1"/>
  <c r="H2594" i="6" a="1"/>
  <c r="H2594" i="6" s="1"/>
  <c r="I2594" i="6" s="1"/>
  <c r="H2595" i="6" a="1"/>
  <c r="H2595" i="6" s="1"/>
  <c r="I2595" i="6" s="1"/>
  <c r="H2596" i="6" a="1"/>
  <c r="H2596" i="6" s="1"/>
  <c r="I2596" i="6" s="1"/>
  <c r="H2597" i="6" a="1"/>
  <c r="H2597" i="6" s="1"/>
  <c r="I2597" i="6" s="1"/>
  <c r="H2598" i="6" a="1"/>
  <c r="H2598" i="6" s="1"/>
  <c r="I2598" i="6" s="1"/>
  <c r="H2599" i="6" a="1"/>
  <c r="H2599" i="6" s="1"/>
  <c r="I2599" i="6" s="1"/>
  <c r="H2600" i="6" a="1"/>
  <c r="H2600" i="6" s="1"/>
  <c r="I2600" i="6" s="1"/>
  <c r="H2601" i="6" a="1"/>
  <c r="H2601" i="6" s="1"/>
  <c r="I2601" i="6" s="1"/>
  <c r="H2602" i="6" a="1"/>
  <c r="H2602" i="6" s="1"/>
  <c r="I2602" i="6" s="1"/>
  <c r="H2603" i="6" a="1"/>
  <c r="H2603" i="6" s="1"/>
  <c r="I2603" i="6" s="1"/>
  <c r="H2604" i="6" a="1"/>
  <c r="H2604" i="6" s="1"/>
  <c r="I2604" i="6" s="1"/>
  <c r="H2605" i="6" a="1"/>
  <c r="H2605" i="6" s="1"/>
  <c r="I2605" i="6" s="1"/>
  <c r="H2606" i="6" a="1"/>
  <c r="H2606" i="6" s="1"/>
  <c r="I2606" i="6" s="1"/>
  <c r="H2607" i="6" a="1"/>
  <c r="H2607" i="6" s="1"/>
  <c r="I2607" i="6" s="1"/>
  <c r="H2608" i="6" a="1"/>
  <c r="H2608" i="6" s="1"/>
  <c r="I2608" i="6" s="1"/>
  <c r="H2609" i="6" a="1"/>
  <c r="H2609" i="6" s="1"/>
  <c r="I2609" i="6" s="1"/>
  <c r="H2610" i="6" a="1"/>
  <c r="H2610" i="6" s="1"/>
  <c r="I2610" i="6" s="1"/>
  <c r="H2611" i="6" a="1"/>
  <c r="H2611" i="6" s="1"/>
  <c r="I2611" i="6" s="1"/>
  <c r="H2612" i="6" a="1"/>
  <c r="H2612" i="6" s="1"/>
  <c r="I2612" i="6" s="1"/>
  <c r="H2613" i="6" a="1"/>
  <c r="H2613" i="6" s="1"/>
  <c r="I2613" i="6" s="1"/>
  <c r="H2614" i="6" a="1"/>
  <c r="H2614" i="6" s="1"/>
  <c r="I2614" i="6" s="1"/>
  <c r="H2615" i="6" a="1"/>
  <c r="H2615" i="6" s="1"/>
  <c r="I2615" i="6" s="1"/>
  <c r="H2616" i="6" a="1"/>
  <c r="H2616" i="6" s="1"/>
  <c r="I2616" i="6" s="1"/>
  <c r="H2617" i="6" a="1"/>
  <c r="H2617" i="6" s="1"/>
  <c r="I2617" i="6" s="1"/>
  <c r="H2618" i="6" a="1"/>
  <c r="H2618" i="6" s="1"/>
  <c r="I2618" i="6" s="1"/>
  <c r="H2619" i="6" a="1"/>
  <c r="H2619" i="6" s="1"/>
  <c r="I2619" i="6" s="1"/>
  <c r="H2620" i="6" a="1"/>
  <c r="H2620" i="6" s="1"/>
  <c r="I2620" i="6" s="1"/>
  <c r="H2621" i="6" a="1"/>
  <c r="H2621" i="6" s="1"/>
  <c r="I2621" i="6" s="1"/>
  <c r="H2622" i="6" a="1"/>
  <c r="H2622" i="6" s="1"/>
  <c r="I2622" i="6" s="1"/>
  <c r="H2623" i="6" a="1"/>
  <c r="H2623" i="6" s="1"/>
  <c r="I2623" i="6" s="1"/>
  <c r="H2624" i="6" a="1"/>
  <c r="H2624" i="6" s="1"/>
  <c r="I2624" i="6" s="1"/>
  <c r="H2625" i="6" a="1"/>
  <c r="H2625" i="6" s="1"/>
  <c r="I2625" i="6" s="1"/>
  <c r="H2626" i="6" a="1"/>
  <c r="H2626" i="6" s="1"/>
  <c r="I2626" i="6" s="1"/>
  <c r="H2627" i="6" a="1"/>
  <c r="H2627" i="6" s="1"/>
  <c r="I2627" i="6" s="1"/>
  <c r="H2628" i="6" a="1"/>
  <c r="H2628" i="6" s="1"/>
  <c r="I2628" i="6" s="1"/>
  <c r="H2629" i="6" a="1"/>
  <c r="H2629" i="6" s="1"/>
  <c r="I2629" i="6" s="1"/>
  <c r="H2630" i="6" a="1"/>
  <c r="H2630" i="6" s="1"/>
  <c r="I2630" i="6" s="1"/>
  <c r="H2631" i="6" a="1"/>
  <c r="H2631" i="6" s="1"/>
  <c r="I2631" i="6" s="1"/>
  <c r="H2632" i="6" a="1"/>
  <c r="H2632" i="6" s="1"/>
  <c r="I2632" i="6" s="1"/>
  <c r="H2633" i="6" a="1"/>
  <c r="H2633" i="6" s="1"/>
  <c r="I2633" i="6" s="1"/>
  <c r="H2634" i="6" a="1"/>
  <c r="H2634" i="6" s="1"/>
  <c r="I2634" i="6" s="1"/>
  <c r="H2635" i="6" a="1"/>
  <c r="H2635" i="6" s="1"/>
  <c r="I2635" i="6" s="1"/>
  <c r="H2636" i="6" a="1"/>
  <c r="H2636" i="6" s="1"/>
  <c r="I2636" i="6" s="1"/>
  <c r="H2637" i="6" a="1"/>
  <c r="H2637" i="6" s="1"/>
  <c r="I2637" i="6" s="1"/>
  <c r="H2638" i="6" a="1"/>
  <c r="H2638" i="6" s="1"/>
  <c r="I2638" i="6" s="1"/>
  <c r="H2639" i="6" a="1"/>
  <c r="H2639" i="6" s="1"/>
  <c r="I2639" i="6" s="1"/>
  <c r="H2640" i="6" a="1"/>
  <c r="H2640" i="6" s="1"/>
  <c r="I2640" i="6" s="1"/>
  <c r="H2641" i="6" a="1"/>
  <c r="H2641" i="6" s="1"/>
  <c r="I2641" i="6" s="1"/>
  <c r="H2642" i="6" a="1"/>
  <c r="H2642" i="6" s="1"/>
  <c r="I2642" i="6" s="1"/>
  <c r="H2643" i="6" a="1"/>
  <c r="H2643" i="6" s="1"/>
  <c r="I2643" i="6" s="1"/>
  <c r="H2644" i="6" a="1"/>
  <c r="H2644" i="6" s="1"/>
  <c r="I2644" i="6" s="1"/>
  <c r="H2645" i="6" a="1"/>
  <c r="H2645" i="6" s="1"/>
  <c r="I2645" i="6" s="1"/>
  <c r="H2646" i="6" a="1"/>
  <c r="H2646" i="6" s="1"/>
  <c r="I2646" i="6" s="1"/>
  <c r="H2647" i="6" a="1"/>
  <c r="H2647" i="6" s="1"/>
  <c r="I2647" i="6" s="1"/>
  <c r="H2648" i="6" a="1"/>
  <c r="H2648" i="6" s="1"/>
  <c r="I2648" i="6" s="1"/>
  <c r="H2649" i="6" a="1"/>
  <c r="H2649" i="6" s="1"/>
  <c r="I2649" i="6" s="1"/>
  <c r="H2650" i="6" a="1"/>
  <c r="H2650" i="6" s="1"/>
  <c r="I2650" i="6" s="1"/>
  <c r="H2651" i="6" a="1"/>
  <c r="H2651" i="6" s="1"/>
  <c r="I2651" i="6" s="1"/>
  <c r="H2652" i="6" a="1"/>
  <c r="H2652" i="6" s="1"/>
  <c r="I2652" i="6" s="1"/>
  <c r="H2653" i="6" a="1"/>
  <c r="H2653" i="6" s="1"/>
  <c r="I2653" i="6" s="1"/>
  <c r="H2654" i="6" a="1"/>
  <c r="H2654" i="6" s="1"/>
  <c r="I2654" i="6" s="1"/>
  <c r="H2655" i="6" a="1"/>
  <c r="H2655" i="6" s="1"/>
  <c r="I2655" i="6" s="1"/>
  <c r="H2656" i="6" a="1"/>
  <c r="H2656" i="6" s="1"/>
  <c r="I2656" i="6" s="1"/>
  <c r="H2657" i="6" a="1"/>
  <c r="H2657" i="6" s="1"/>
  <c r="I2657" i="6" s="1"/>
  <c r="H2658" i="6" a="1"/>
  <c r="H2658" i="6" s="1"/>
  <c r="I2658" i="6" s="1"/>
  <c r="H2659" i="6" a="1"/>
  <c r="H2659" i="6" s="1"/>
  <c r="I2659" i="6" s="1"/>
  <c r="H2660" i="6" a="1"/>
  <c r="H2660" i="6" s="1"/>
  <c r="I2660" i="6" s="1"/>
  <c r="H2661" i="6" a="1"/>
  <c r="H2661" i="6" s="1"/>
  <c r="I2661" i="6" s="1"/>
  <c r="H2662" i="6" a="1"/>
  <c r="H2662" i="6" s="1"/>
  <c r="I2662" i="6" s="1"/>
  <c r="H2663" i="6" a="1"/>
  <c r="H2663" i="6" s="1"/>
  <c r="I2663" i="6" s="1"/>
  <c r="H2664" i="6" a="1"/>
  <c r="H2664" i="6" s="1"/>
  <c r="I2664" i="6" s="1"/>
  <c r="H2665" i="6" a="1"/>
  <c r="H2665" i="6" s="1"/>
  <c r="I2665" i="6" s="1"/>
  <c r="H2666" i="6" a="1"/>
  <c r="H2666" i="6" s="1"/>
  <c r="I2666" i="6" s="1"/>
  <c r="H2667" i="6" a="1"/>
  <c r="H2667" i="6" s="1"/>
  <c r="I2667" i="6" s="1"/>
  <c r="H2668" i="6" a="1"/>
  <c r="H2668" i="6" s="1"/>
  <c r="I2668" i="6" s="1"/>
  <c r="H2669" i="6" a="1"/>
  <c r="H2669" i="6" s="1"/>
  <c r="I2669" i="6" s="1"/>
  <c r="H2670" i="6" a="1"/>
  <c r="H2670" i="6" s="1"/>
  <c r="I2670" i="6" s="1"/>
  <c r="H2671" i="6" a="1"/>
  <c r="H2671" i="6" s="1"/>
  <c r="I2671" i="6" s="1"/>
  <c r="H2672" i="6" a="1"/>
  <c r="H2672" i="6" s="1"/>
  <c r="I2672" i="6" s="1"/>
  <c r="H2673" i="6" a="1"/>
  <c r="H2673" i="6" s="1"/>
  <c r="I2673" i="6" s="1"/>
  <c r="H2674" i="6" a="1"/>
  <c r="H2674" i="6" s="1"/>
  <c r="I2674" i="6" s="1"/>
  <c r="H2675" i="6" a="1"/>
  <c r="H2675" i="6" s="1"/>
  <c r="I2675" i="6" s="1"/>
  <c r="H2676" i="6" a="1"/>
  <c r="H2676" i="6" s="1"/>
  <c r="I2676" i="6" s="1"/>
  <c r="H2677" i="6" a="1"/>
  <c r="H2677" i="6" s="1"/>
  <c r="I2677" i="6" s="1"/>
  <c r="H2678" i="6" a="1"/>
  <c r="H2678" i="6" s="1"/>
  <c r="I2678" i="6" s="1"/>
  <c r="H2679" i="6" a="1"/>
  <c r="H2679" i="6" s="1"/>
  <c r="I2679" i="6" s="1"/>
  <c r="H2680" i="6" a="1"/>
  <c r="H2680" i="6" s="1"/>
  <c r="I2680" i="6" s="1"/>
  <c r="H2681" i="6" a="1"/>
  <c r="H2681" i="6" s="1"/>
  <c r="I2681" i="6" s="1"/>
  <c r="H2682" i="6" a="1"/>
  <c r="H2682" i="6" s="1"/>
  <c r="I2682" i="6" s="1"/>
  <c r="H2683" i="6" a="1"/>
  <c r="H2683" i="6" s="1"/>
  <c r="I2683" i="6" s="1"/>
  <c r="H2684" i="6" a="1"/>
  <c r="H2684" i="6" s="1"/>
  <c r="I2684" i="6" s="1"/>
  <c r="H2685" i="6" a="1"/>
  <c r="H2685" i="6" s="1"/>
  <c r="I2685" i="6" s="1"/>
  <c r="H2686" i="6" a="1"/>
  <c r="H2686" i="6" s="1"/>
  <c r="I2686" i="6" s="1"/>
  <c r="H2687" i="6" a="1"/>
  <c r="H2687" i="6" s="1"/>
  <c r="I2687" i="6" s="1"/>
  <c r="H2688" i="6" a="1"/>
  <c r="H2688" i="6" s="1"/>
  <c r="I2688" i="6" s="1"/>
  <c r="H2689" i="6" a="1"/>
  <c r="H2689" i="6" s="1"/>
  <c r="I2689" i="6" s="1"/>
  <c r="H2690" i="6" a="1"/>
  <c r="H2690" i="6" s="1"/>
  <c r="I2690" i="6" s="1"/>
  <c r="H2691" i="6" a="1"/>
  <c r="H2691" i="6" s="1"/>
  <c r="I2691" i="6" s="1"/>
  <c r="H2692" i="6" a="1"/>
  <c r="H2692" i="6" s="1"/>
  <c r="I2692" i="6" s="1"/>
  <c r="H2693" i="6" a="1"/>
  <c r="H2693" i="6" s="1"/>
  <c r="I2693" i="6" s="1"/>
  <c r="H2694" i="6" a="1"/>
  <c r="H2694" i="6" s="1"/>
  <c r="I2694" i="6" s="1"/>
  <c r="H2695" i="6" a="1"/>
  <c r="H2695" i="6" s="1"/>
  <c r="I2695" i="6" s="1"/>
  <c r="H2696" i="6" a="1"/>
  <c r="H2696" i="6" s="1"/>
  <c r="I2696" i="6" s="1"/>
  <c r="H2697" i="6" a="1"/>
  <c r="H2697" i="6" s="1"/>
  <c r="I2697" i="6" s="1"/>
  <c r="H2698" i="6" a="1"/>
  <c r="H2698" i="6" s="1"/>
  <c r="I2698" i="6" s="1"/>
  <c r="H2699" i="6" a="1"/>
  <c r="H2699" i="6" s="1"/>
  <c r="I2699" i="6" s="1"/>
  <c r="H2700" i="6" a="1"/>
  <c r="H2700" i="6" s="1"/>
  <c r="I2700" i="6" s="1"/>
  <c r="H2701" i="6" a="1"/>
  <c r="H2701" i="6" s="1"/>
  <c r="I2701" i="6" s="1"/>
  <c r="H2702" i="6" a="1"/>
  <c r="H2702" i="6" s="1"/>
  <c r="I2702" i="6" s="1"/>
  <c r="H2703" i="6" a="1"/>
  <c r="H2703" i="6" s="1"/>
  <c r="I2703" i="6" s="1"/>
  <c r="H2704" i="6" a="1"/>
  <c r="H2704" i="6" s="1"/>
  <c r="I2704" i="6" s="1"/>
  <c r="H2705" i="6" a="1"/>
  <c r="H2705" i="6" s="1"/>
  <c r="I2705" i="6" s="1"/>
  <c r="H2706" i="6" a="1"/>
  <c r="H2706" i="6" s="1"/>
  <c r="I2706" i="6" s="1"/>
  <c r="H2707" i="6" a="1"/>
  <c r="H2707" i="6" s="1"/>
  <c r="I2707" i="6" s="1"/>
  <c r="H2708" i="6" a="1"/>
  <c r="H2708" i="6" s="1"/>
  <c r="I2708" i="6" s="1"/>
  <c r="H2709" i="6" a="1"/>
  <c r="H2709" i="6" s="1"/>
  <c r="I2709" i="6" s="1"/>
  <c r="H2710" i="6" a="1"/>
  <c r="H2710" i="6" s="1"/>
  <c r="I2710" i="6" s="1"/>
  <c r="H2711" i="6" a="1"/>
  <c r="H2711" i="6" s="1"/>
  <c r="I2711" i="6" s="1"/>
  <c r="H2712" i="6" a="1"/>
  <c r="H2712" i="6" s="1"/>
  <c r="I2712" i="6" s="1"/>
  <c r="H2713" i="6" a="1"/>
  <c r="H2713" i="6" s="1"/>
  <c r="I2713" i="6" s="1"/>
  <c r="H2714" i="6" a="1"/>
  <c r="H2714" i="6" s="1"/>
  <c r="I2714" i="6" s="1"/>
  <c r="H2715" i="6" a="1"/>
  <c r="H2715" i="6" s="1"/>
  <c r="I2715" i="6" s="1"/>
  <c r="H2716" i="6" a="1"/>
  <c r="H2716" i="6" s="1"/>
  <c r="I2716" i="6" s="1"/>
  <c r="H2717" i="6" a="1"/>
  <c r="H2717" i="6" s="1"/>
  <c r="I2717" i="6" s="1"/>
  <c r="H2718" i="6" a="1"/>
  <c r="H2718" i="6" s="1"/>
  <c r="I2718" i="6" s="1"/>
  <c r="H2719" i="6" a="1"/>
  <c r="H2719" i="6" s="1"/>
  <c r="I2719" i="6" s="1"/>
  <c r="H2720" i="6" a="1"/>
  <c r="H2720" i="6" s="1"/>
  <c r="I2720" i="6" s="1"/>
  <c r="H2721" i="6" a="1"/>
  <c r="H2721" i="6" s="1"/>
  <c r="I2721" i="6" s="1"/>
  <c r="H2722" i="6" a="1"/>
  <c r="H2722" i="6" s="1"/>
  <c r="I2722" i="6" s="1"/>
  <c r="H2723" i="6" a="1"/>
  <c r="H2723" i="6" s="1"/>
  <c r="I2723" i="6" s="1"/>
  <c r="H2724" i="6" a="1"/>
  <c r="H2724" i="6" s="1"/>
  <c r="I2724" i="6" s="1"/>
  <c r="H2725" i="6" a="1"/>
  <c r="H2725" i="6" s="1"/>
  <c r="I2725" i="6" s="1"/>
  <c r="H2726" i="6" a="1"/>
  <c r="H2726" i="6" s="1"/>
  <c r="I2726" i="6" s="1"/>
  <c r="H2727" i="6" a="1"/>
  <c r="H2727" i="6" s="1"/>
  <c r="I2727" i="6" s="1"/>
  <c r="H2728" i="6" a="1"/>
  <c r="H2728" i="6" s="1"/>
  <c r="I2728" i="6" s="1"/>
  <c r="H2729" i="6" a="1"/>
  <c r="H2729" i="6" s="1"/>
  <c r="I2729" i="6" s="1"/>
  <c r="H2730" i="6" a="1"/>
  <c r="H2730" i="6" s="1"/>
  <c r="I2730" i="6" s="1"/>
  <c r="H2731" i="6" a="1"/>
  <c r="H2731" i="6" s="1"/>
  <c r="I2731" i="6" s="1"/>
  <c r="H2732" i="6" a="1"/>
  <c r="H2732" i="6" s="1"/>
  <c r="I2732" i="6" s="1"/>
  <c r="H2733" i="6" a="1"/>
  <c r="H2733" i="6" s="1"/>
  <c r="I2733" i="6" s="1"/>
  <c r="H2734" i="6" a="1"/>
  <c r="H2734" i="6" s="1"/>
  <c r="I2734" i="6" s="1"/>
  <c r="H2735" i="6" a="1"/>
  <c r="H2735" i="6" s="1"/>
  <c r="I2735" i="6" s="1"/>
  <c r="H2736" i="6" a="1"/>
  <c r="H2736" i="6" s="1"/>
  <c r="I2736" i="6" s="1"/>
  <c r="H2737" i="6" a="1"/>
  <c r="H2737" i="6" s="1"/>
  <c r="I2737" i="6" s="1"/>
  <c r="H2738" i="6" a="1"/>
  <c r="H2738" i="6" s="1"/>
  <c r="I2738" i="6" s="1"/>
  <c r="H2739" i="6" a="1"/>
  <c r="H2739" i="6" s="1"/>
  <c r="I2739" i="6" s="1"/>
  <c r="H2740" i="6" a="1"/>
  <c r="H2740" i="6" s="1"/>
  <c r="I2740" i="6" s="1"/>
  <c r="H2741" i="6" a="1"/>
  <c r="H2741" i="6" s="1"/>
  <c r="I2741" i="6" s="1"/>
  <c r="H2742" i="6" a="1"/>
  <c r="H2742" i="6" s="1"/>
  <c r="I2742" i="6" s="1"/>
  <c r="H2743" i="6" a="1"/>
  <c r="H2743" i="6" s="1"/>
  <c r="I2743" i="6" s="1"/>
  <c r="H2744" i="6" a="1"/>
  <c r="H2744" i="6" s="1"/>
  <c r="I2744" i="6" s="1"/>
  <c r="H2745" i="6" a="1"/>
  <c r="H2745" i="6" s="1"/>
  <c r="I2745" i="6" s="1"/>
  <c r="H2746" i="6" a="1"/>
  <c r="H2746" i="6" s="1"/>
  <c r="I2746" i="6" s="1"/>
  <c r="H2747" i="6" a="1"/>
  <c r="H2747" i="6" s="1"/>
  <c r="I2747" i="6" s="1"/>
  <c r="H2748" i="6" a="1"/>
  <c r="H2748" i="6" s="1"/>
  <c r="I2748" i="6" s="1"/>
  <c r="H2749" i="6" a="1"/>
  <c r="H2749" i="6" s="1"/>
  <c r="I2749" i="6" s="1"/>
  <c r="H2750" i="6" a="1"/>
  <c r="H2750" i="6" s="1"/>
  <c r="I2750" i="6" s="1"/>
  <c r="H2751" i="6" a="1"/>
  <c r="H2751" i="6" s="1"/>
  <c r="I2751" i="6" s="1"/>
  <c r="H2752" i="6" a="1"/>
  <c r="H2752" i="6" s="1"/>
  <c r="I2752" i="6" s="1"/>
  <c r="H2753" i="6" a="1"/>
  <c r="H2753" i="6" s="1"/>
  <c r="I2753" i="6" s="1"/>
  <c r="H2754" i="6" a="1"/>
  <c r="H2754" i="6" s="1"/>
  <c r="I2754" i="6" s="1"/>
  <c r="H2755" i="6" a="1"/>
  <c r="H2755" i="6" s="1"/>
  <c r="I2755" i="6" s="1"/>
  <c r="H2756" i="6" a="1"/>
  <c r="H2756" i="6" s="1"/>
  <c r="I2756" i="6" s="1"/>
  <c r="H2757" i="6" a="1"/>
  <c r="H2757" i="6" s="1"/>
  <c r="I2757" i="6" s="1"/>
  <c r="H2758" i="6" a="1"/>
  <c r="H2758" i="6" s="1"/>
  <c r="I2758" i="6" s="1"/>
  <c r="H2759" i="6" a="1"/>
  <c r="H2759" i="6" s="1"/>
  <c r="I2759" i="6" s="1"/>
  <c r="H2760" i="6" a="1"/>
  <c r="H2760" i="6" s="1"/>
  <c r="I2760" i="6" s="1"/>
  <c r="H2761" i="6" a="1"/>
  <c r="H2761" i="6" s="1"/>
  <c r="I2761" i="6" s="1"/>
  <c r="H2762" i="6" a="1"/>
  <c r="H2762" i="6" s="1"/>
  <c r="I2762" i="6" s="1"/>
  <c r="H2763" i="6" a="1"/>
  <c r="H2763" i="6" s="1"/>
  <c r="I2763" i="6" s="1"/>
  <c r="H2764" i="6" a="1"/>
  <c r="H2764" i="6" s="1"/>
  <c r="I2764" i="6" s="1"/>
  <c r="H2765" i="6" a="1"/>
  <c r="H2765" i="6" s="1"/>
  <c r="I2765" i="6" s="1"/>
  <c r="H2766" i="6" a="1"/>
  <c r="H2766" i="6" s="1"/>
  <c r="I2766" i="6" s="1"/>
  <c r="H2767" i="6" a="1"/>
  <c r="H2767" i="6" s="1"/>
  <c r="I2767" i="6" s="1"/>
  <c r="H2768" i="6" a="1"/>
  <c r="H2768" i="6" s="1"/>
  <c r="I2768" i="6" s="1"/>
  <c r="H2769" i="6" a="1"/>
  <c r="H2769" i="6" s="1"/>
  <c r="I2769" i="6" s="1"/>
  <c r="H2770" i="6" a="1"/>
  <c r="H2770" i="6" s="1"/>
  <c r="I2770" i="6" s="1"/>
  <c r="H2771" i="6" a="1"/>
  <c r="H2771" i="6" s="1"/>
  <c r="I2771" i="6" s="1"/>
  <c r="H2772" i="6" a="1"/>
  <c r="H2772" i="6" s="1"/>
  <c r="I2772" i="6" s="1"/>
  <c r="H2773" i="6" a="1"/>
  <c r="H2773" i="6" s="1"/>
  <c r="I2773" i="6" s="1"/>
  <c r="H2774" i="6" a="1"/>
  <c r="H2774" i="6" s="1"/>
  <c r="I2774" i="6" s="1"/>
  <c r="H2775" i="6" a="1"/>
  <c r="H2775" i="6" s="1"/>
  <c r="I2775" i="6" s="1"/>
  <c r="H2776" i="6" a="1"/>
  <c r="H2776" i="6" s="1"/>
  <c r="I2776" i="6" s="1"/>
  <c r="H2777" i="6" a="1"/>
  <c r="H2777" i="6" s="1"/>
  <c r="I2777" i="6" s="1"/>
  <c r="H2778" i="6" a="1"/>
  <c r="H2778" i="6" s="1"/>
  <c r="I2778" i="6" s="1"/>
  <c r="H2779" i="6" a="1"/>
  <c r="H2779" i="6" s="1"/>
  <c r="I2779" i="6" s="1"/>
  <c r="H2780" i="6" a="1"/>
  <c r="H2780" i="6" s="1"/>
  <c r="I2780" i="6" s="1"/>
  <c r="H2781" i="6" a="1"/>
  <c r="H2781" i="6" s="1"/>
  <c r="I2781" i="6" s="1"/>
  <c r="H2782" i="6" a="1"/>
  <c r="H2782" i="6" s="1"/>
  <c r="I2782" i="6" s="1"/>
  <c r="H2783" i="6" a="1"/>
  <c r="H2783" i="6" s="1"/>
  <c r="I2783" i="6" s="1"/>
  <c r="H2784" i="6" a="1"/>
  <c r="H2784" i="6" s="1"/>
  <c r="I2784" i="6" s="1"/>
  <c r="H2785" i="6" a="1"/>
  <c r="H2785" i="6" s="1"/>
  <c r="I2785" i="6" s="1"/>
  <c r="H2786" i="6" a="1"/>
  <c r="H2786" i="6" s="1"/>
  <c r="I2786" i="6" s="1"/>
  <c r="H2787" i="6" a="1"/>
  <c r="H2787" i="6" s="1"/>
  <c r="I2787" i="6" s="1"/>
  <c r="H2788" i="6" a="1"/>
  <c r="H2788" i="6" s="1"/>
  <c r="I2788" i="6" s="1"/>
  <c r="H2789" i="6" a="1"/>
  <c r="H2789" i="6" s="1"/>
  <c r="I2789" i="6" s="1"/>
  <c r="H2790" i="6" a="1"/>
  <c r="H2790" i="6" s="1"/>
  <c r="I2790" i="6" s="1"/>
  <c r="H2791" i="6" a="1"/>
  <c r="H2791" i="6" s="1"/>
  <c r="I2791" i="6" s="1"/>
  <c r="H2792" i="6" a="1"/>
  <c r="H2792" i="6" s="1"/>
  <c r="I2792" i="6" s="1"/>
  <c r="H2793" i="6" a="1"/>
  <c r="H2793" i="6" s="1"/>
  <c r="I2793" i="6" s="1"/>
  <c r="H2794" i="6" a="1"/>
  <c r="H2794" i="6" s="1"/>
  <c r="I2794" i="6" s="1"/>
  <c r="H2795" i="6" a="1"/>
  <c r="H2795" i="6" s="1"/>
  <c r="I2795" i="6" s="1"/>
  <c r="H2796" i="6" a="1"/>
  <c r="H2796" i="6" s="1"/>
  <c r="I2796" i="6" s="1"/>
  <c r="H2797" i="6" a="1"/>
  <c r="H2797" i="6" s="1"/>
  <c r="I2797" i="6" s="1"/>
  <c r="H2798" i="6" a="1"/>
  <c r="H2798" i="6" s="1"/>
  <c r="I2798" i="6" s="1"/>
  <c r="H2799" i="6" a="1"/>
  <c r="H2799" i="6" s="1"/>
  <c r="I2799" i="6" s="1"/>
  <c r="H2800" i="6" a="1"/>
  <c r="H2800" i="6" s="1"/>
  <c r="I2800" i="6" s="1"/>
  <c r="H2801" i="6" a="1"/>
  <c r="H2801" i="6" s="1"/>
  <c r="I2801" i="6" s="1"/>
  <c r="H2802" i="6" a="1"/>
  <c r="H2802" i="6" s="1"/>
  <c r="I2802" i="6" s="1"/>
  <c r="H2803" i="6" a="1"/>
  <c r="H2803" i="6" s="1"/>
  <c r="I2803" i="6" s="1"/>
  <c r="H2804" i="6" a="1"/>
  <c r="H2804" i="6" s="1"/>
  <c r="I2804" i="6" s="1"/>
  <c r="H2805" i="6" a="1"/>
  <c r="H2805" i="6" s="1"/>
  <c r="I2805" i="6" s="1"/>
  <c r="H2806" i="6" a="1"/>
  <c r="H2806" i="6" s="1"/>
  <c r="I2806" i="6" s="1"/>
  <c r="H2807" i="6" a="1"/>
  <c r="H2807" i="6" s="1"/>
  <c r="I2807" i="6" s="1"/>
  <c r="H2808" i="6" a="1"/>
  <c r="H2808" i="6" s="1"/>
  <c r="I2808" i="6" s="1"/>
  <c r="H2809" i="6" a="1"/>
  <c r="H2809" i="6" s="1"/>
  <c r="I2809" i="6" s="1"/>
  <c r="H2810" i="6" a="1"/>
  <c r="H2810" i="6" s="1"/>
  <c r="I2810" i="6" s="1"/>
  <c r="H2811" i="6" a="1"/>
  <c r="H2811" i="6" s="1"/>
  <c r="I2811" i="6" s="1"/>
  <c r="H2812" i="6" a="1"/>
  <c r="H2812" i="6" s="1"/>
  <c r="I2812" i="6" s="1"/>
  <c r="H2813" i="6" a="1"/>
  <c r="H2813" i="6" s="1"/>
  <c r="I2813" i="6" s="1"/>
  <c r="H2814" i="6" a="1"/>
  <c r="H2814" i="6" s="1"/>
  <c r="I2814" i="6" s="1"/>
  <c r="H2815" i="6" a="1"/>
  <c r="H2815" i="6" s="1"/>
  <c r="I2815" i="6" s="1"/>
  <c r="H2816" i="6" a="1"/>
  <c r="H2816" i="6" s="1"/>
  <c r="I2816" i="6" s="1"/>
  <c r="H2817" i="6" a="1"/>
  <c r="H2817" i="6" s="1"/>
  <c r="I2817" i="6" s="1"/>
  <c r="H2818" i="6" a="1"/>
  <c r="H2818" i="6" s="1"/>
  <c r="I2818" i="6" s="1"/>
  <c r="H2819" i="6" a="1"/>
  <c r="H2819" i="6" s="1"/>
  <c r="I2819" i="6" s="1"/>
  <c r="H2820" i="6" a="1"/>
  <c r="H2820" i="6" s="1"/>
  <c r="I2820" i="6" s="1"/>
  <c r="H2821" i="6" a="1"/>
  <c r="H2821" i="6" s="1"/>
  <c r="I2821" i="6" s="1"/>
  <c r="H2822" i="6" a="1"/>
  <c r="H2822" i="6" s="1"/>
  <c r="I2822" i="6" s="1"/>
  <c r="H2823" i="6" a="1"/>
  <c r="H2823" i="6" s="1"/>
  <c r="I2823" i="6" s="1"/>
  <c r="H2824" i="6" a="1"/>
  <c r="H2824" i="6" s="1"/>
  <c r="I2824" i="6" s="1"/>
  <c r="H2825" i="6" a="1"/>
  <c r="H2825" i="6" s="1"/>
  <c r="I2825" i="6" s="1"/>
  <c r="H2826" i="6" a="1"/>
  <c r="H2826" i="6" s="1"/>
  <c r="I2826" i="6" s="1"/>
  <c r="H2827" i="6" a="1"/>
  <c r="H2827" i="6" s="1"/>
  <c r="I2827" i="6" s="1"/>
  <c r="H2828" i="6" a="1"/>
  <c r="H2828" i="6" s="1"/>
  <c r="I2828" i="6" s="1"/>
  <c r="H2829" i="6" a="1"/>
  <c r="H2829" i="6" s="1"/>
  <c r="I2829" i="6" s="1"/>
  <c r="H2830" i="6" a="1"/>
  <c r="H2830" i="6" s="1"/>
  <c r="I2830" i="6" s="1"/>
  <c r="H2831" i="6" a="1"/>
  <c r="H2831" i="6" s="1"/>
  <c r="I2831" i="6" s="1"/>
  <c r="H2832" i="6" a="1"/>
  <c r="H2832" i="6" s="1"/>
  <c r="I2832" i="6" s="1"/>
  <c r="H2833" i="6" a="1"/>
  <c r="H2833" i="6" s="1"/>
  <c r="I2833" i="6" s="1"/>
  <c r="H2834" i="6" a="1"/>
  <c r="H2834" i="6" s="1"/>
  <c r="I2834" i="6" s="1"/>
  <c r="H2835" i="6" a="1"/>
  <c r="H2835" i="6" s="1"/>
  <c r="I2835" i="6" s="1"/>
  <c r="H2836" i="6" a="1"/>
  <c r="H2836" i="6" s="1"/>
  <c r="I2836" i="6" s="1"/>
  <c r="H2837" i="6" a="1"/>
  <c r="H2837" i="6" s="1"/>
  <c r="I2837" i="6" s="1"/>
  <c r="H2838" i="6" a="1"/>
  <c r="H2838" i="6" s="1"/>
  <c r="I2838" i="6" s="1"/>
  <c r="H2839" i="6" a="1"/>
  <c r="H2839" i="6" s="1"/>
  <c r="I2839" i="6" s="1"/>
  <c r="H2840" i="6" a="1"/>
  <c r="H2840" i="6" s="1"/>
  <c r="I2840" i="6" s="1"/>
  <c r="H2841" i="6" a="1"/>
  <c r="H2841" i="6" s="1"/>
  <c r="I2841" i="6" s="1"/>
  <c r="H2842" i="6" a="1"/>
  <c r="H2842" i="6" s="1"/>
  <c r="I2842" i="6" s="1"/>
  <c r="H2843" i="6" a="1"/>
  <c r="H2843" i="6" s="1"/>
  <c r="I2843" i="6" s="1"/>
  <c r="H2844" i="6" a="1"/>
  <c r="H2844" i="6" s="1"/>
  <c r="I2844" i="6" s="1"/>
  <c r="H2845" i="6" a="1"/>
  <c r="H2845" i="6" s="1"/>
  <c r="I2845" i="6" s="1"/>
  <c r="H2846" i="6" a="1"/>
  <c r="H2846" i="6" s="1"/>
  <c r="I2846" i="6" s="1"/>
  <c r="H2847" i="6" a="1"/>
  <c r="H2847" i="6" s="1"/>
  <c r="I2847" i="6" s="1"/>
  <c r="H2848" i="6" a="1"/>
  <c r="H2848" i="6" s="1"/>
  <c r="I2848" i="6" s="1"/>
  <c r="H2849" i="6" a="1"/>
  <c r="H2849" i="6" s="1"/>
  <c r="I2849" i="6" s="1"/>
  <c r="H2850" i="6" a="1"/>
  <c r="H2850" i="6" s="1"/>
  <c r="I2850" i="6" s="1"/>
  <c r="H2851" i="6" a="1"/>
  <c r="H2851" i="6" s="1"/>
  <c r="I2851" i="6" s="1"/>
  <c r="H2852" i="6" a="1"/>
  <c r="H2852" i="6" s="1"/>
  <c r="I2852" i="6" s="1"/>
  <c r="H2853" i="6" a="1"/>
  <c r="H2853" i="6" s="1"/>
  <c r="I2853" i="6" s="1"/>
  <c r="H2854" i="6" a="1"/>
  <c r="H2854" i="6" s="1"/>
  <c r="I2854" i="6" s="1"/>
  <c r="H2855" i="6" a="1"/>
  <c r="H2855" i="6" s="1"/>
  <c r="I2855" i="6" s="1"/>
  <c r="H2856" i="6" a="1"/>
  <c r="H2856" i="6" s="1"/>
  <c r="I2856" i="6" s="1"/>
  <c r="H2857" i="6" a="1"/>
  <c r="H2857" i="6" s="1"/>
  <c r="I2857" i="6" s="1"/>
  <c r="H2858" i="6" a="1"/>
  <c r="H2858" i="6" s="1"/>
  <c r="I2858" i="6" s="1"/>
  <c r="H2859" i="6" a="1"/>
  <c r="H2859" i="6" s="1"/>
  <c r="I2859" i="6" s="1"/>
  <c r="H2860" i="6" a="1"/>
  <c r="H2860" i="6" s="1"/>
  <c r="I2860" i="6" s="1"/>
  <c r="H2861" i="6" a="1"/>
  <c r="H2861" i="6" s="1"/>
  <c r="I2861" i="6" s="1"/>
  <c r="H2862" i="6" a="1"/>
  <c r="H2862" i="6" s="1"/>
  <c r="I2862" i="6" s="1"/>
  <c r="H2863" i="6" a="1"/>
  <c r="H2863" i="6" s="1"/>
  <c r="I2863" i="6" s="1"/>
  <c r="H2864" i="6" a="1"/>
  <c r="H2864" i="6" s="1"/>
  <c r="I2864" i="6" s="1"/>
  <c r="H2865" i="6" a="1"/>
  <c r="H2865" i="6" s="1"/>
  <c r="I2865" i="6" s="1"/>
  <c r="H2866" i="6" a="1"/>
  <c r="H2866" i="6" s="1"/>
  <c r="I2866" i="6" s="1"/>
  <c r="H2867" i="6" a="1"/>
  <c r="H2867" i="6" s="1"/>
  <c r="I2867" i="6" s="1"/>
  <c r="H2868" i="6" a="1"/>
  <c r="H2868" i="6" s="1"/>
  <c r="I2868" i="6" s="1"/>
  <c r="H2869" i="6" a="1"/>
  <c r="H2869" i="6" s="1"/>
  <c r="I2869" i="6" s="1"/>
  <c r="H2870" i="6" a="1"/>
  <c r="H2870" i="6" s="1"/>
  <c r="I2870" i="6" s="1"/>
  <c r="H2871" i="6" a="1"/>
  <c r="H2871" i="6" s="1"/>
  <c r="I2871" i="6" s="1"/>
  <c r="H2872" i="6" a="1"/>
  <c r="H2872" i="6" s="1"/>
  <c r="I2872" i="6" s="1"/>
  <c r="H2873" i="6" a="1"/>
  <c r="H2873" i="6" s="1"/>
  <c r="I2873" i="6" s="1"/>
  <c r="H2874" i="6" a="1"/>
  <c r="H2874" i="6" s="1"/>
  <c r="I2874" i="6" s="1"/>
  <c r="H2875" i="6" a="1"/>
  <c r="H2875" i="6" s="1"/>
  <c r="I2875" i="6" s="1"/>
  <c r="H2876" i="6" a="1"/>
  <c r="H2876" i="6" s="1"/>
  <c r="I2876" i="6" s="1"/>
  <c r="H2877" i="6" a="1"/>
  <c r="H2877" i="6" s="1"/>
  <c r="I2877" i="6" s="1"/>
  <c r="H2878" i="6" a="1"/>
  <c r="H2878" i="6" s="1"/>
  <c r="I2878" i="6" s="1"/>
  <c r="H2879" i="6" a="1"/>
  <c r="H2879" i="6" s="1"/>
  <c r="I2879" i="6" s="1"/>
  <c r="H2880" i="6" a="1"/>
  <c r="H2880" i="6" s="1"/>
  <c r="I2880" i="6" s="1"/>
  <c r="H2881" i="6" a="1"/>
  <c r="H2881" i="6" s="1"/>
  <c r="I2881" i="6" s="1"/>
  <c r="H2882" i="6" a="1"/>
  <c r="H2882" i="6" s="1"/>
  <c r="I2882" i="6" s="1"/>
  <c r="H2883" i="6" a="1"/>
  <c r="H2883" i="6" s="1"/>
  <c r="I2883" i="6" s="1"/>
  <c r="H2884" i="6" a="1"/>
  <c r="H2884" i="6" s="1"/>
  <c r="I2884" i="6" s="1"/>
  <c r="H2885" i="6" a="1"/>
  <c r="H2885" i="6" s="1"/>
  <c r="I2885" i="6" s="1"/>
  <c r="H2886" i="6" a="1"/>
  <c r="H2886" i="6" s="1"/>
  <c r="I2886" i="6" s="1"/>
  <c r="H2887" i="6" a="1"/>
  <c r="H2887" i="6" s="1"/>
  <c r="I2887" i="6" s="1"/>
  <c r="H2888" i="6" a="1"/>
  <c r="H2888" i="6" s="1"/>
  <c r="I2888" i="6" s="1"/>
  <c r="H2889" i="6" a="1"/>
  <c r="H2889" i="6" s="1"/>
  <c r="I2889" i="6" s="1"/>
  <c r="H2890" i="6" a="1"/>
  <c r="H2890" i="6" s="1"/>
  <c r="I2890" i="6" s="1"/>
  <c r="H2891" i="6" a="1"/>
  <c r="H2891" i="6" s="1"/>
  <c r="I2891" i="6" s="1"/>
  <c r="H2892" i="6" a="1"/>
  <c r="H2892" i="6" s="1"/>
  <c r="I2892" i="6" s="1"/>
  <c r="H2893" i="6" a="1"/>
  <c r="H2893" i="6" s="1"/>
  <c r="I2893" i="6" s="1"/>
  <c r="H2894" i="6" a="1"/>
  <c r="H2894" i="6" s="1"/>
  <c r="I2894" i="6" s="1"/>
  <c r="H2895" i="6" a="1"/>
  <c r="H2895" i="6" s="1"/>
  <c r="I2895" i="6" s="1"/>
  <c r="H2896" i="6" a="1"/>
  <c r="H2896" i="6" s="1"/>
  <c r="I2896" i="6" s="1"/>
  <c r="H2897" i="6" a="1"/>
  <c r="H2897" i="6" s="1"/>
  <c r="I2897" i="6" s="1"/>
  <c r="H2898" i="6" a="1"/>
  <c r="H2898" i="6" s="1"/>
  <c r="I2898" i="6" s="1"/>
  <c r="H2899" i="6" a="1"/>
  <c r="H2899" i="6" s="1"/>
  <c r="I2899" i="6" s="1"/>
  <c r="H2900" i="6" a="1"/>
  <c r="H2900" i="6" s="1"/>
  <c r="I2900" i="6" s="1"/>
  <c r="H2901" i="6" a="1"/>
  <c r="H2901" i="6" s="1"/>
  <c r="I2901" i="6" s="1"/>
  <c r="H2902" i="6" a="1"/>
  <c r="H2902" i="6" s="1"/>
  <c r="I2902" i="6" s="1"/>
  <c r="H2903" i="6" a="1"/>
  <c r="H2903" i="6" s="1"/>
  <c r="I2903" i="6" s="1"/>
  <c r="H2904" i="6" a="1"/>
  <c r="H2904" i="6" s="1"/>
  <c r="I2904" i="6" s="1"/>
  <c r="H2905" i="6" a="1"/>
  <c r="H2905" i="6" s="1"/>
  <c r="I2905" i="6" s="1"/>
  <c r="H2906" i="6" a="1"/>
  <c r="H2906" i="6" s="1"/>
  <c r="I2906" i="6" s="1"/>
  <c r="H2907" i="6" a="1"/>
  <c r="H2907" i="6" s="1"/>
  <c r="I2907" i="6" s="1"/>
  <c r="H2908" i="6" a="1"/>
  <c r="H2908" i="6" s="1"/>
  <c r="I2908" i="6" s="1"/>
  <c r="H2909" i="6" a="1"/>
  <c r="H2909" i="6" s="1"/>
  <c r="I2909" i="6" s="1"/>
  <c r="H2910" i="6" a="1"/>
  <c r="H2910" i="6" s="1"/>
  <c r="I2910" i="6" s="1"/>
  <c r="H2911" i="6" a="1"/>
  <c r="H2911" i="6" s="1"/>
  <c r="I2911" i="6" s="1"/>
  <c r="H2912" i="6" a="1"/>
  <c r="H2912" i="6" s="1"/>
  <c r="I2912" i="6" s="1"/>
  <c r="H2913" i="6" a="1"/>
  <c r="H2913" i="6" s="1"/>
  <c r="I2913" i="6" s="1"/>
  <c r="H2914" i="6" a="1"/>
  <c r="H2914" i="6" s="1"/>
  <c r="I2914" i="6" s="1"/>
  <c r="H2915" i="6" a="1"/>
  <c r="H2915" i="6" s="1"/>
  <c r="I2915" i="6" s="1"/>
  <c r="H2916" i="6" a="1"/>
  <c r="H2916" i="6" s="1"/>
  <c r="I2916" i="6" s="1"/>
  <c r="H2917" i="6" a="1"/>
  <c r="H2917" i="6" s="1"/>
  <c r="I2917" i="6" s="1"/>
  <c r="H2918" i="6" a="1"/>
  <c r="H2918" i="6" s="1"/>
  <c r="I2918" i="6" s="1"/>
  <c r="H2919" i="6" a="1"/>
  <c r="H2919" i="6" s="1"/>
  <c r="I2919" i="6" s="1"/>
  <c r="H2920" i="6" a="1"/>
  <c r="H2920" i="6" s="1"/>
  <c r="I2920" i="6" s="1"/>
  <c r="H2921" i="6" a="1"/>
  <c r="H2921" i="6" s="1"/>
  <c r="I2921" i="6" s="1"/>
  <c r="H2922" i="6" a="1"/>
  <c r="H2922" i="6" s="1"/>
  <c r="I2922" i="6" s="1"/>
  <c r="H2923" i="6" a="1"/>
  <c r="H2923" i="6" s="1"/>
  <c r="I2923" i="6" s="1"/>
  <c r="H2924" i="6" a="1"/>
  <c r="H2924" i="6" s="1"/>
  <c r="I2924" i="6" s="1"/>
  <c r="H2925" i="6" a="1"/>
  <c r="H2925" i="6" s="1"/>
  <c r="I2925" i="6" s="1"/>
  <c r="H2926" i="6" a="1"/>
  <c r="H2926" i="6" s="1"/>
  <c r="I2926" i="6" s="1"/>
  <c r="H2927" i="6" a="1"/>
  <c r="H2927" i="6" s="1"/>
  <c r="I2927" i="6" s="1"/>
  <c r="H2928" i="6" a="1"/>
  <c r="H2928" i="6" s="1"/>
  <c r="I2928" i="6" s="1"/>
  <c r="H2929" i="6" a="1"/>
  <c r="H2929" i="6" s="1"/>
  <c r="I2929" i="6" s="1"/>
  <c r="H2930" i="6" a="1"/>
  <c r="H2930" i="6" s="1"/>
  <c r="I2930" i="6" s="1"/>
  <c r="H2931" i="6" a="1"/>
  <c r="H2931" i="6" s="1"/>
  <c r="I2931" i="6" s="1"/>
  <c r="H2932" i="6" a="1"/>
  <c r="H2932" i="6" s="1"/>
  <c r="I2932" i="6" s="1"/>
  <c r="H2933" i="6" a="1"/>
  <c r="H2933" i="6" s="1"/>
  <c r="I2933" i="6" s="1"/>
  <c r="H2934" i="6" a="1"/>
  <c r="H2934" i="6" s="1"/>
  <c r="I2934" i="6" s="1"/>
  <c r="H2935" i="6" a="1"/>
  <c r="H2935" i="6" s="1"/>
  <c r="I2935" i="6" s="1"/>
  <c r="H2936" i="6" a="1"/>
  <c r="H2936" i="6" s="1"/>
  <c r="I2936" i="6" s="1"/>
  <c r="H2937" i="6" a="1"/>
  <c r="H2937" i="6" s="1"/>
  <c r="I2937" i="6" s="1"/>
  <c r="H2938" i="6" a="1"/>
  <c r="H2938" i="6" s="1"/>
  <c r="I2938" i="6" s="1"/>
  <c r="H2939" i="6" a="1"/>
  <c r="H2939" i="6" s="1"/>
  <c r="I2939" i="6" s="1"/>
  <c r="H2940" i="6" a="1"/>
  <c r="H2940" i="6" s="1"/>
  <c r="I2940" i="6" s="1"/>
  <c r="H2941" i="6" a="1"/>
  <c r="H2941" i="6" s="1"/>
  <c r="I2941" i="6" s="1"/>
  <c r="H2942" i="6" a="1"/>
  <c r="H2942" i="6" s="1"/>
  <c r="I2942" i="6" s="1"/>
  <c r="H2943" i="6" a="1"/>
  <c r="H2943" i="6" s="1"/>
  <c r="I2943" i="6" s="1"/>
  <c r="H2944" i="6" a="1"/>
  <c r="H2944" i="6" s="1"/>
  <c r="I2944" i="6" s="1"/>
  <c r="H2945" i="6" a="1"/>
  <c r="H2945" i="6" s="1"/>
  <c r="I2945" i="6" s="1"/>
  <c r="H2946" i="6" a="1"/>
  <c r="H2946" i="6" s="1"/>
  <c r="I2946" i="6" s="1"/>
  <c r="H2947" i="6" a="1"/>
  <c r="H2947" i="6" s="1"/>
  <c r="I2947" i="6" s="1"/>
  <c r="H2948" i="6" a="1"/>
  <c r="H2948" i="6" s="1"/>
  <c r="I2948" i="6" s="1"/>
  <c r="H2949" i="6" a="1"/>
  <c r="H2949" i="6" s="1"/>
  <c r="I2949" i="6" s="1"/>
  <c r="H2950" i="6" a="1"/>
  <c r="H2950" i="6" s="1"/>
  <c r="I2950" i="6" s="1"/>
  <c r="H2951" i="6" a="1"/>
  <c r="H2951" i="6" s="1"/>
  <c r="I2951" i="6" s="1"/>
  <c r="H2952" i="6" a="1"/>
  <c r="H2952" i="6" s="1"/>
  <c r="I2952" i="6" s="1"/>
  <c r="H2953" i="6" a="1"/>
  <c r="H2953" i="6" s="1"/>
  <c r="I2953" i="6" s="1"/>
  <c r="H2954" i="6" a="1"/>
  <c r="H2954" i="6" s="1"/>
  <c r="I2954" i="6" s="1"/>
  <c r="H2955" i="6" a="1"/>
  <c r="H2955" i="6" s="1"/>
  <c r="I2955" i="6" s="1"/>
  <c r="H2956" i="6" a="1"/>
  <c r="H2956" i="6" s="1"/>
  <c r="I2956" i="6" s="1"/>
  <c r="H2957" i="6" a="1"/>
  <c r="H2957" i="6" s="1"/>
  <c r="I2957" i="6" s="1"/>
  <c r="H2958" i="6" a="1"/>
  <c r="H2958" i="6" s="1"/>
  <c r="I2958" i="6" s="1"/>
  <c r="H2959" i="6" a="1"/>
  <c r="H2959" i="6" s="1"/>
  <c r="I2959" i="6" s="1"/>
  <c r="H2960" i="6" a="1"/>
  <c r="H2960" i="6" s="1"/>
  <c r="I2960" i="6" s="1"/>
  <c r="H2961" i="6" a="1"/>
  <c r="H2961" i="6" s="1"/>
  <c r="I2961" i="6" s="1"/>
  <c r="H2962" i="6" a="1"/>
  <c r="H2962" i="6" s="1"/>
  <c r="I2962" i="6" s="1"/>
  <c r="H2963" i="6" a="1"/>
  <c r="H2963" i="6" s="1"/>
  <c r="I2963" i="6" s="1"/>
  <c r="H2964" i="6" a="1"/>
  <c r="H2964" i="6" s="1"/>
  <c r="I2964" i="6" s="1"/>
  <c r="H2965" i="6" a="1"/>
  <c r="H2965" i="6" s="1"/>
  <c r="I2965" i="6" s="1"/>
  <c r="H2966" i="6" a="1"/>
  <c r="H2966" i="6" s="1"/>
  <c r="I2966" i="6" s="1"/>
  <c r="H2967" i="6" a="1"/>
  <c r="H2967" i="6" s="1"/>
  <c r="I2967" i="6" s="1"/>
  <c r="H2968" i="6" a="1"/>
  <c r="H2968" i="6" s="1"/>
  <c r="I2968" i="6" s="1"/>
  <c r="H2969" i="6" a="1"/>
  <c r="H2969" i="6" s="1"/>
  <c r="I2969" i="6" s="1"/>
  <c r="H2970" i="6" a="1"/>
  <c r="H2970" i="6" s="1"/>
  <c r="I2970" i="6" s="1"/>
  <c r="H2971" i="6" a="1"/>
  <c r="H2971" i="6" s="1"/>
  <c r="I2971" i="6" s="1"/>
  <c r="H2972" i="6" a="1"/>
  <c r="H2972" i="6" s="1"/>
  <c r="I2972" i="6" s="1"/>
  <c r="H2973" i="6" a="1"/>
  <c r="H2973" i="6" s="1"/>
  <c r="I2973" i="6" s="1"/>
  <c r="H2974" i="6" a="1"/>
  <c r="H2974" i="6" s="1"/>
  <c r="I2974" i="6" s="1"/>
  <c r="H2975" i="6" a="1"/>
  <c r="H2975" i="6" s="1"/>
  <c r="I2975" i="6" s="1"/>
  <c r="H2976" i="6" a="1"/>
  <c r="H2976" i="6" s="1"/>
  <c r="I2976" i="6" s="1"/>
  <c r="H2977" i="6" a="1"/>
  <c r="H2977" i="6" s="1"/>
  <c r="I2977" i="6" s="1"/>
  <c r="H2978" i="6" a="1"/>
  <c r="H2978" i="6" s="1"/>
  <c r="I2978" i="6" s="1"/>
  <c r="H2979" i="6" a="1"/>
  <c r="H2979" i="6" s="1"/>
  <c r="I2979" i="6" s="1"/>
  <c r="H2980" i="6" a="1"/>
  <c r="H2980" i="6" s="1"/>
  <c r="I2980" i="6" s="1"/>
  <c r="H2981" i="6" a="1"/>
  <c r="H2981" i="6" s="1"/>
  <c r="I2981" i="6" s="1"/>
  <c r="H2982" i="6" a="1"/>
  <c r="H2982" i="6" s="1"/>
  <c r="I2982" i="6" s="1"/>
  <c r="H2983" i="6" a="1"/>
  <c r="H2983" i="6" s="1"/>
  <c r="I2983" i="6" s="1"/>
  <c r="H2984" i="6" a="1"/>
  <c r="H2984" i="6" s="1"/>
  <c r="I2984" i="6" s="1"/>
  <c r="H2985" i="6" a="1"/>
  <c r="H2985" i="6" s="1"/>
  <c r="I2985" i="6" s="1"/>
  <c r="H2986" i="6" a="1"/>
  <c r="H2986" i="6" s="1"/>
  <c r="I2986" i="6" s="1"/>
  <c r="H2987" i="6" a="1"/>
  <c r="H2987" i="6" s="1"/>
  <c r="I2987" i="6" s="1"/>
  <c r="H2988" i="6" a="1"/>
  <c r="H2988" i="6" s="1"/>
  <c r="I2988" i="6" s="1"/>
  <c r="H2989" i="6" a="1"/>
  <c r="H2989" i="6" s="1"/>
  <c r="I2989" i="6" s="1"/>
  <c r="H2990" i="6" a="1"/>
  <c r="H2990" i="6" s="1"/>
  <c r="I2990" i="6" s="1"/>
  <c r="H2991" i="6" a="1"/>
  <c r="H2991" i="6" s="1"/>
  <c r="I2991" i="6" s="1"/>
  <c r="H2992" i="6" a="1"/>
  <c r="H2992" i="6" s="1"/>
  <c r="I2992" i="6" s="1"/>
  <c r="H2993" i="6" a="1"/>
  <c r="H2993" i="6" s="1"/>
  <c r="I2993" i="6" s="1"/>
  <c r="H2995" i="6" a="1"/>
  <c r="H2995" i="6" s="1"/>
  <c r="I2995" i="6" s="1"/>
  <c r="H2996" i="6" a="1"/>
  <c r="H2996" i="6" s="1"/>
  <c r="I2996" i="6" s="1"/>
  <c r="H2997" i="6" a="1"/>
  <c r="H2997" i="6" s="1"/>
  <c r="I2997" i="6" s="1"/>
  <c r="H2998" i="6" a="1"/>
  <c r="H2998" i="6" s="1"/>
  <c r="I2998" i="6" s="1"/>
  <c r="H2999" i="6" a="1"/>
  <c r="H2999" i="6" s="1"/>
  <c r="I2999" i="6" s="1"/>
  <c r="H3000" i="6" a="1"/>
  <c r="H3000" i="6" s="1"/>
  <c r="I3000" i="6" s="1"/>
  <c r="H3001" i="6" a="1"/>
  <c r="H3001" i="6" s="1"/>
  <c r="I3001" i="6" s="1"/>
  <c r="H3" i="6" a="1"/>
  <c r="H3" i="6" s="1"/>
  <c r="I3" i="6" s="1"/>
  <c r="H4" i="6" a="1"/>
  <c r="H4" i="6" s="1"/>
  <c r="I4" i="6" s="1"/>
  <c r="H5" i="6" a="1"/>
  <c r="H5" i="6" s="1"/>
  <c r="I5" i="6" s="1"/>
  <c r="H2" i="6" a="1"/>
  <c r="H2" i="6" s="1"/>
  <c r="I2" i="6" s="1"/>
  <c r="H13" i="14"/>
  <c r="I13" i="14" s="1"/>
  <c r="H12" i="14"/>
  <c r="I12" i="14" s="1"/>
  <c r="H11" i="14"/>
  <c r="I11" i="14" s="1"/>
  <c r="H10" i="14"/>
  <c r="I10" i="14" s="1"/>
  <c r="I9" i="14"/>
  <c r="H9" i="14"/>
  <c r="I8" i="14"/>
  <c r="H8" i="14"/>
  <c r="I7" i="14"/>
  <c r="H7" i="14"/>
  <c r="I6" i="14"/>
  <c r="H6" i="14"/>
  <c r="I5" i="14"/>
  <c r="H5" i="14"/>
  <c r="I4" i="14"/>
  <c r="H4" i="14"/>
  <c r="I3" i="14"/>
  <c r="H3" i="14"/>
  <c r="I2" i="14"/>
  <c r="H2" i="14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/>
  <c r="J19" i="1" a="1"/>
  <c r="J19" i="1" s="1"/>
  <c r="J20" i="1" a="1"/>
  <c r="J20" i="1" s="1"/>
  <c r="J21" i="1" a="1"/>
  <c r="J21" i="1" s="1"/>
  <c r="J22" i="1" a="1"/>
  <c r="J22" i="1" s="1"/>
  <c r="J23" i="1" a="1"/>
  <c r="J23" i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/>
  <c r="J83" i="1" a="1"/>
  <c r="J83" i="1" s="1"/>
  <c r="J84" i="1" a="1"/>
  <c r="J84" i="1" s="1"/>
  <c r="J85" i="1" a="1"/>
  <c r="J85" i="1" s="1"/>
  <c r="J86" i="1" a="1"/>
  <c r="J86" i="1" s="1"/>
  <c r="J87" i="1" a="1"/>
  <c r="J87" i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/>
  <c r="J324" i="1" a="1"/>
  <c r="J324" i="1" s="1"/>
  <c r="J325" i="1" a="1"/>
  <c r="J325" i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/>
  <c r="J345" i="1" a="1"/>
  <c r="J345" i="1"/>
  <c r="J346" i="1" a="1"/>
  <c r="J346" i="1" s="1"/>
  <c r="J347" i="1" a="1"/>
  <c r="J347" i="1" s="1"/>
  <c r="J348" i="1" a="1"/>
  <c r="J348" i="1" s="1"/>
  <c r="J349" i="1" a="1"/>
  <c r="J349" i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/>
  <c r="J364" i="1" a="1"/>
  <c r="J364" i="1" s="1"/>
  <c r="J365" i="1" a="1"/>
  <c r="J365" i="1" s="1"/>
  <c r="J366" i="1" a="1"/>
  <c r="J366" i="1" s="1"/>
  <c r="J367" i="1" a="1"/>
  <c r="J367" i="1"/>
  <c r="J368" i="1" a="1"/>
  <c r="J368" i="1"/>
  <c r="J369" i="1" a="1"/>
  <c r="J369" i="1" s="1"/>
  <c r="J370" i="1" a="1"/>
  <c r="J370" i="1" s="1"/>
  <c r="J371" i="1" a="1"/>
  <c r="J371" i="1" s="1"/>
  <c r="J372" i="1" a="1"/>
  <c r="J372" i="1"/>
  <c r="J373" i="1" a="1"/>
  <c r="J373" i="1" s="1"/>
  <c r="J374" i="1" a="1"/>
  <c r="J374" i="1" s="1"/>
  <c r="J375" i="1" a="1"/>
  <c r="J375" i="1" s="1"/>
  <c r="J376" i="1" a="1"/>
  <c r="J376" i="1"/>
  <c r="J377" i="1" a="1"/>
  <c r="J377" i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/>
  <c r="J396" i="1" a="1"/>
  <c r="J396" i="1" s="1"/>
  <c r="J397" i="1" a="1"/>
  <c r="J397" i="1" s="1"/>
  <c r="J398" i="1" a="1"/>
  <c r="J398" i="1" s="1"/>
  <c r="J399" i="1" a="1"/>
  <c r="J399" i="1" s="1"/>
  <c r="J400" i="1" a="1"/>
  <c r="J400" i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/>
  <c r="J454" i="1" a="1"/>
  <c r="J454" i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/>
  <c r="J568" i="1" a="1"/>
  <c r="J568" i="1" s="1"/>
  <c r="J569" i="1" a="1"/>
  <c r="J569" i="1" s="1"/>
  <c r="J570" i="1" a="1"/>
  <c r="J570" i="1"/>
  <c r="J571" i="1" a="1"/>
  <c r="J571" i="1" s="1"/>
  <c r="J572" i="1" a="1"/>
  <c r="J572" i="1" s="1"/>
  <c r="J573" i="1" a="1"/>
  <c r="J573" i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/>
  <c r="J687" i="1" a="1"/>
  <c r="J687" i="1" s="1"/>
  <c r="J688" i="1" a="1"/>
  <c r="J688" i="1" s="1"/>
  <c r="J689" i="1" a="1"/>
  <c r="J689" i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/>
  <c r="J708" i="1" a="1"/>
  <c r="J708" i="1" s="1"/>
  <c r="J709" i="1" a="1"/>
  <c r="J709" i="1" s="1"/>
  <c r="J710" i="1" a="1"/>
  <c r="J710" i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/>
  <c r="J993" i="1" a="1"/>
  <c r="J993" i="1" s="1"/>
  <c r="J994" i="1" a="1"/>
  <c r="J994" i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/>
  <c r="J2" i="1" a="1"/>
  <c r="J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2" i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<sst xmlns="http://schemas.openxmlformats.org/spreadsheetml/2006/main" count="21792" uniqueCount="2010">
  <si>
    <t>appoIntment_Id</t>
  </si>
  <si>
    <t>patient_Id</t>
  </si>
  <si>
    <t>doct_Id</t>
  </si>
  <si>
    <t>reason</t>
  </si>
  <si>
    <t>appointment_Date</t>
  </si>
  <si>
    <t>payment_amount</t>
  </si>
  <si>
    <t>mode_of_payment</t>
  </si>
  <si>
    <t>mode_of_appointment</t>
  </si>
  <si>
    <t>appointment_status</t>
  </si>
  <si>
    <t>Back Pain</t>
  </si>
  <si>
    <t>Insurance</t>
  </si>
  <si>
    <t>Call</t>
  </si>
  <si>
    <t>Completed</t>
  </si>
  <si>
    <t>Migraine</t>
  </si>
  <si>
    <t>Card</t>
  </si>
  <si>
    <t>In Person</t>
  </si>
  <si>
    <t>Diabetes</t>
  </si>
  <si>
    <t>Digital Wallet</t>
  </si>
  <si>
    <t>Hypertension</t>
  </si>
  <si>
    <t>Online</t>
  </si>
  <si>
    <t>Cancelled</t>
  </si>
  <si>
    <t>Headache</t>
  </si>
  <si>
    <t>Chest Pain</t>
  </si>
  <si>
    <t>Scheduled</t>
  </si>
  <si>
    <t>General Checkup</t>
  </si>
  <si>
    <t>Cash</t>
  </si>
  <si>
    <t>Asthma</t>
  </si>
  <si>
    <t>Fever</t>
  </si>
  <si>
    <t>No-Show</t>
  </si>
  <si>
    <t>bed_No</t>
  </si>
  <si>
    <t>ward_No</t>
  </si>
  <si>
    <t>admission_Id</t>
  </si>
  <si>
    <t>Staff_Id</t>
  </si>
  <si>
    <t>admission_Date</t>
  </si>
  <si>
    <t>discharge_Date</t>
  </si>
  <si>
    <t>amount</t>
  </si>
  <si>
    <t>dept_Id</t>
  </si>
  <si>
    <t>dept_Name</t>
  </si>
  <si>
    <t>Cardiology</t>
  </si>
  <si>
    <t>Neurology</t>
  </si>
  <si>
    <t>Gastroenterology</t>
  </si>
  <si>
    <t>Nephrology</t>
  </si>
  <si>
    <t>Pulmonology</t>
  </si>
  <si>
    <t>Endocrinology</t>
  </si>
  <si>
    <t>General Medicine</t>
  </si>
  <si>
    <t>Pediatrics</t>
  </si>
  <si>
    <t>Orthopedics</t>
  </si>
  <si>
    <t>Gynecology</t>
  </si>
  <si>
    <t>Dentistry</t>
  </si>
  <si>
    <t>Dermatology</t>
  </si>
  <si>
    <t>Psychiatry</t>
  </si>
  <si>
    <t>Psychology</t>
  </si>
  <si>
    <t>Urology</t>
  </si>
  <si>
    <t>ENT</t>
  </si>
  <si>
    <t>Surgery</t>
  </si>
  <si>
    <t>Radiology</t>
  </si>
  <si>
    <t>Oncology</t>
  </si>
  <si>
    <t>Anesthesiology</t>
  </si>
  <si>
    <t>Emergency Medicine</t>
  </si>
  <si>
    <t>Nutrition &amp; Dietetics</t>
  </si>
  <si>
    <t>Rehabilitation</t>
  </si>
  <si>
    <t>Hematology</t>
  </si>
  <si>
    <t>Immunology</t>
  </si>
  <si>
    <t>Audiology &amp; Speech</t>
  </si>
  <si>
    <t>Homeopathy</t>
  </si>
  <si>
    <t>Sexology</t>
  </si>
  <si>
    <t>Family Medicine</t>
  </si>
  <si>
    <t>Critical Care</t>
  </si>
  <si>
    <t>Geriatrics</t>
  </si>
  <si>
    <t>Doctor_Name</t>
  </si>
  <si>
    <t>Gender</t>
  </si>
  <si>
    <t>contact_No</t>
  </si>
  <si>
    <t>Aditya Kulkarni</t>
  </si>
  <si>
    <t>Male</t>
  </si>
  <si>
    <t>+91 9724234590</t>
  </si>
  <si>
    <t>Ananya Deshpande</t>
  </si>
  <si>
    <t>Female</t>
  </si>
  <si>
    <t>+91 9690647248</t>
  </si>
  <si>
    <t>Nikhil Bhosale</t>
  </si>
  <si>
    <t>+91 9646357075</t>
  </si>
  <si>
    <t>Siddharth Joshi</t>
  </si>
  <si>
    <t>+91 9323953542</t>
  </si>
  <si>
    <t>Rohan Deshmukh</t>
  </si>
  <si>
    <t>+91 9218724015</t>
  </si>
  <si>
    <t>Rahul Wankhede</t>
  </si>
  <si>
    <t>+91 9816064456</t>
  </si>
  <si>
    <t>Shruti Borkar</t>
  </si>
  <si>
    <t>+91 9307523998</t>
  </si>
  <si>
    <t>+91 9923079267</t>
  </si>
  <si>
    <t>Priya More</t>
  </si>
  <si>
    <t>+91 9272229987</t>
  </si>
  <si>
    <t>+91 9236463590</t>
  </si>
  <si>
    <t>Kavita Wagh</t>
  </si>
  <si>
    <t>+91 9659097422</t>
  </si>
  <si>
    <t>Omkar Pawar</t>
  </si>
  <si>
    <t>+91 9342176125</t>
  </si>
  <si>
    <t>+91 9623294303</t>
  </si>
  <si>
    <t>+91 9402149847</t>
  </si>
  <si>
    <t>+91 9849596716</t>
  </si>
  <si>
    <t>Ishita Kulkarni</t>
  </si>
  <si>
    <t>+91 9215760831</t>
  </si>
  <si>
    <t>+91 9166982985</t>
  </si>
  <si>
    <t>+91 9629944788</t>
  </si>
  <si>
    <t>+91 9874129419</t>
  </si>
  <si>
    <t>Sneha Patil</t>
  </si>
  <si>
    <t>+91 9640766595</t>
  </si>
  <si>
    <t>+91 9534640180</t>
  </si>
  <si>
    <t>+91 9522248285</t>
  </si>
  <si>
    <t>+91 9388402706</t>
  </si>
  <si>
    <t>+91 9785327259</t>
  </si>
  <si>
    <t>+91 9276780244</t>
  </si>
  <si>
    <t>+91 9361186166</t>
  </si>
  <si>
    <t>+91 9898300467</t>
  </si>
  <si>
    <t>+91 9456791304</t>
  </si>
  <si>
    <t>+91 9764497909</t>
  </si>
  <si>
    <t>+91 9909990804</t>
  </si>
  <si>
    <t>+91 9178523030</t>
  </si>
  <si>
    <t>+91 9102266294</t>
  </si>
  <si>
    <t>+91 9295194264</t>
  </si>
  <si>
    <t>+91 9224830891</t>
  </si>
  <si>
    <t>Vikram Shinde</t>
  </si>
  <si>
    <t>+91 9332777759</t>
  </si>
  <si>
    <t>Aarav Patil</t>
  </si>
  <si>
    <t>+91 9269280945</t>
  </si>
  <si>
    <t>+91 9229749944</t>
  </si>
  <si>
    <t>Pooja Shinde</t>
  </si>
  <si>
    <t>+91 9727991938</t>
  </si>
  <si>
    <t>Neha Jadhav</t>
  </si>
  <si>
    <t>+91 9697881019</t>
  </si>
  <si>
    <t>+91 9275081814</t>
  </si>
  <si>
    <t>+91 9402194516</t>
  </si>
  <si>
    <t>+91 9259296715</t>
  </si>
  <si>
    <t>+91 9724899549</t>
  </si>
  <si>
    <t>+91 9102120520</t>
  </si>
  <si>
    <t>+91 9409294866</t>
  </si>
  <si>
    <t>+91 9319587671</t>
  </si>
  <si>
    <t>+91 9836971952</t>
  </si>
  <si>
    <t>+91 9916747215</t>
  </si>
  <si>
    <t>+91 9467073691</t>
  </si>
  <si>
    <t>+91 9622603872</t>
  </si>
  <si>
    <t>+91 9400196853</t>
  </si>
  <si>
    <t>+91 9474798511</t>
  </si>
  <si>
    <t>+91 9514610798</t>
  </si>
  <si>
    <t>+91 9680452312</t>
  </si>
  <si>
    <t>+91 9126571072</t>
  </si>
  <si>
    <t>+91 9649401548</t>
  </si>
  <si>
    <t>+91 9739567288</t>
  </si>
  <si>
    <t>+91 9485068921</t>
  </si>
  <si>
    <t>+91 9953199936</t>
  </si>
  <si>
    <t>+91 9294780130</t>
  </si>
  <si>
    <t>+91 9925806975</t>
  </si>
  <si>
    <t>+91 9983730599</t>
  </si>
  <si>
    <t>+91 9250931054</t>
  </si>
  <si>
    <t>+91 9639437594</t>
  </si>
  <si>
    <t>+91 9248845560</t>
  </si>
  <si>
    <t>+91 9340991500</t>
  </si>
  <si>
    <t>+91 9702082936</t>
  </si>
  <si>
    <t>+91 9978166140</t>
  </si>
  <si>
    <t>+91 9437335888</t>
  </si>
  <si>
    <t>+91 9266366930</t>
  </si>
  <si>
    <t>+91 9759310211</t>
  </si>
  <si>
    <t>+91 9752395659</t>
  </si>
  <si>
    <t>+91 9443761794</t>
  </si>
  <si>
    <t>+91 9555358689</t>
  </si>
  <si>
    <t>+91 9238996740</t>
  </si>
  <si>
    <t>+91 9242190724</t>
  </si>
  <si>
    <t>+91 9799129345</t>
  </si>
  <si>
    <t>+91 9543429803</t>
  </si>
  <si>
    <t>+91 9717546136</t>
  </si>
  <si>
    <t>+91 9939100221</t>
  </si>
  <si>
    <t>+91 9596531484</t>
  </si>
  <si>
    <t>+91 9265012567</t>
  </si>
  <si>
    <t>+91 9239742078</t>
  </si>
  <si>
    <t>+91 9290034797</t>
  </si>
  <si>
    <t>+91 9627943937</t>
  </si>
  <si>
    <t>+91 9135518186</t>
  </si>
  <si>
    <t>+91 9852778381</t>
  </si>
  <si>
    <t>+91 9259140710</t>
  </si>
  <si>
    <t>+91 9938909930</t>
  </si>
  <si>
    <t>+91 9421579546</t>
  </si>
  <si>
    <t>+91 9148924849</t>
  </si>
  <si>
    <t>+91 9565372921</t>
  </si>
  <si>
    <t>+91 9935622891</t>
  </si>
  <si>
    <t>+91 9562993148</t>
  </si>
  <si>
    <t>+91 9885015437</t>
  </si>
  <si>
    <t>+91 9786583785</t>
  </si>
  <si>
    <t>+91 9283929276</t>
  </si>
  <si>
    <t>+91 9516809890</t>
  </si>
  <si>
    <t>+91 9312386242</t>
  </si>
  <si>
    <t>+91 9431888952</t>
  </si>
  <si>
    <t>+91 9416365984</t>
  </si>
  <si>
    <t>+91 9102653085</t>
  </si>
  <si>
    <t>+91 9642458313</t>
  </si>
  <si>
    <t>+91 9475531173</t>
  </si>
  <si>
    <t>+91 9766810654</t>
  </si>
  <si>
    <t>+91 9131951520</t>
  </si>
  <si>
    <t>+91 9376653900</t>
  </si>
  <si>
    <t>+91 9356146849</t>
  </si>
  <si>
    <t>+91 9645091026</t>
  </si>
  <si>
    <t>+91 9161171457</t>
  </si>
  <si>
    <t>+91 9834705496</t>
  </si>
  <si>
    <t>+91 9456404181</t>
  </si>
  <si>
    <t>+91 9875892903</t>
  </si>
  <si>
    <t>+91 9553489454</t>
  </si>
  <si>
    <t>+91 9316694603</t>
  </si>
  <si>
    <t>+91 9945437217</t>
  </si>
  <si>
    <t>+91 9422669999</t>
  </si>
  <si>
    <t>+91 9467332805</t>
  </si>
  <si>
    <t>+91 9610185387</t>
  </si>
  <si>
    <t>+91 9913225578</t>
  </si>
  <si>
    <t>+91 9367413452</t>
  </si>
  <si>
    <t>+91 9670232203</t>
  </si>
  <si>
    <t>+91 9196944219</t>
  </si>
  <si>
    <t>+91 9485091805</t>
  </si>
  <si>
    <t>+91 9841162072</t>
  </si>
  <si>
    <t>+91 9492652438</t>
  </si>
  <si>
    <t>+91 9476098008</t>
  </si>
  <si>
    <t>+91 9921146634</t>
  </si>
  <si>
    <t>+91 9298706027</t>
  </si>
  <si>
    <t>+91 9984125990</t>
  </si>
  <si>
    <t>+91 9507258180</t>
  </si>
  <si>
    <t>+91 9897751246</t>
  </si>
  <si>
    <t>+91 9423427822</t>
  </si>
  <si>
    <t>+91 9824630842</t>
  </si>
  <si>
    <t>+91 9649537003</t>
  </si>
  <si>
    <t>+91 9840980798</t>
  </si>
  <si>
    <t>+91 9787919393</t>
  </si>
  <si>
    <t>+91 9153814302</t>
  </si>
  <si>
    <t>+91 9104128770</t>
  </si>
  <si>
    <t>+91 9135594990</t>
  </si>
  <si>
    <t>+91 9596434912</t>
  </si>
  <si>
    <t>+91 9826306850</t>
  </si>
  <si>
    <t>+91 9819032003</t>
  </si>
  <si>
    <t>+91 9723222274</t>
  </si>
  <si>
    <t>+91 9530739875</t>
  </si>
  <si>
    <t>+91 9180284373</t>
  </si>
  <si>
    <t>+91 9572933949</t>
  </si>
  <si>
    <t>+91 9413200265</t>
  </si>
  <si>
    <t>+91 9113818334</t>
  </si>
  <si>
    <t>+91 9220740256</t>
  </si>
  <si>
    <t>+91 9373449812</t>
  </si>
  <si>
    <t>+91 9307027571</t>
  </si>
  <si>
    <t>+91 9131583792</t>
  </si>
  <si>
    <t>+91 9733393779</t>
  </si>
  <si>
    <t>+91 9902955600</t>
  </si>
  <si>
    <t>+91 9293257610</t>
  </si>
  <si>
    <t>+91 9765274276</t>
  </si>
  <si>
    <t>+91 9261361390</t>
  </si>
  <si>
    <t>+91 9104907963</t>
  </si>
  <si>
    <t>+91 9918520371</t>
  </si>
  <si>
    <t>+91 9378521763</t>
  </si>
  <si>
    <t>+91 9833911182</t>
  </si>
  <si>
    <t>+91 9655936954</t>
  </si>
  <si>
    <t>+91 9646231943</t>
  </si>
  <si>
    <t>+91 9337873993</t>
  </si>
  <si>
    <t>+91 9576216465</t>
  </si>
  <si>
    <t>+91 9693184823</t>
  </si>
  <si>
    <t>+91 9394537004</t>
  </si>
  <si>
    <t>+91 9499558648</t>
  </si>
  <si>
    <t>+91 9609708873</t>
  </si>
  <si>
    <t>+91 9660362304</t>
  </si>
  <si>
    <t>+91 9769731971</t>
  </si>
  <si>
    <t>+91 9148913728</t>
  </si>
  <si>
    <t>+91 9472675347</t>
  </si>
  <si>
    <t>+91 9312528066</t>
  </si>
  <si>
    <t>+91 9612342573</t>
  </si>
  <si>
    <t>+91 9449950365</t>
  </si>
  <si>
    <t>+91 9615522178</t>
  </si>
  <si>
    <t>+91 9421661460</t>
  </si>
  <si>
    <t>+91 9118527134</t>
  </si>
  <si>
    <t>+91 9857946776</t>
  </si>
  <si>
    <t>+91 9212585320</t>
  </si>
  <si>
    <t>+91 9654965884</t>
  </si>
  <si>
    <t>+91 9111332414</t>
  </si>
  <si>
    <t>+91 9786014400</t>
  </si>
  <si>
    <t>+91 9475133564</t>
  </si>
  <si>
    <t>+91 9956202886</t>
  </si>
  <si>
    <t>+91 9329969866</t>
  </si>
  <si>
    <t>+91 9814215209</t>
  </si>
  <si>
    <t>+91 9636192370</t>
  </si>
  <si>
    <t>+91 9211362180</t>
  </si>
  <si>
    <t>+91 9356493953</t>
  </si>
  <si>
    <t>+91 9700489443</t>
  </si>
  <si>
    <t>+91 9889979782</t>
  </si>
  <si>
    <t>+91 9127659318</t>
  </si>
  <si>
    <t>+91 9271609827</t>
  </si>
  <si>
    <t>+91 9962131178</t>
  </si>
  <si>
    <t>+91 9252809403</t>
  </si>
  <si>
    <t>+91 9272480901</t>
  </si>
  <si>
    <t>+91 9207522658</t>
  </si>
  <si>
    <t>+91 9379085541</t>
  </si>
  <si>
    <t>+91 9979723368</t>
  </si>
  <si>
    <t>+91 9258112096</t>
  </si>
  <si>
    <t>+91 9707125358</t>
  </si>
  <si>
    <t>+91 9732435070</t>
  </si>
  <si>
    <t>+91 9660086407</t>
  </si>
  <si>
    <t>+91 9589055107</t>
  </si>
  <si>
    <t>+91 9367290136</t>
  </si>
  <si>
    <t>+91 9835837424</t>
  </si>
  <si>
    <t>+91 9933983599</t>
  </si>
  <si>
    <t>+91 9455827462</t>
  </si>
  <si>
    <t>+91 9439445502</t>
  </si>
  <si>
    <t>+91 9539015175</t>
  </si>
  <si>
    <t>+91 9378862941</t>
  </si>
  <si>
    <t>+91 9890453688</t>
  </si>
  <si>
    <t>+91 9815647072</t>
  </si>
  <si>
    <t>+91 9171660457</t>
  </si>
  <si>
    <t>+91 9224771537</t>
  </si>
  <si>
    <t>record_Id</t>
  </si>
  <si>
    <t>visit_Date</t>
  </si>
  <si>
    <t>diagnosis</t>
  </si>
  <si>
    <t>treatment</t>
  </si>
  <si>
    <t>next_Visit</t>
  </si>
  <si>
    <t>Lumbar Strain</t>
  </si>
  <si>
    <t>Physical Therapy, NSAIDs</t>
  </si>
  <si>
    <t>Migraine Headache</t>
  </si>
  <si>
    <t>Triptans, Rest</t>
  </si>
  <si>
    <t>Type 2 Diabetes</t>
  </si>
  <si>
    <t>Metformin, Diet Control</t>
  </si>
  <si>
    <t>Essential Hypertension</t>
  </si>
  <si>
    <t>ACE Inhibitors, Lifestyle Changes</t>
  </si>
  <si>
    <t>Advice</t>
  </si>
  <si>
    <t>Angina Pectoris</t>
  </si>
  <si>
    <t>Nitroglycerin, Beta Blockers</t>
  </si>
  <si>
    <t>Bronchial Asthma</t>
  </si>
  <si>
    <t>Inhaled Corticosteroids</t>
  </si>
  <si>
    <t>Viral Fever</t>
  </si>
  <si>
    <t>Paracetamol, Rest</t>
  </si>
  <si>
    <t>Generalized Anxiety Disorder</t>
  </si>
  <si>
    <t>SSRIs, Cognitive Behavioral Therapy</t>
  </si>
  <si>
    <t>Cardiac Arrhythmia</t>
  </si>
  <si>
    <t>Beta Blockers, Lifestyle Modifications</t>
  </si>
  <si>
    <t>Routine Health Check</t>
  </si>
  <si>
    <t>Vaccinations, Health Education</t>
  </si>
  <si>
    <t>Major Depressive Disorder</t>
  </si>
  <si>
    <t>SSRIs, Counseling</t>
  </si>
  <si>
    <t>Geriatric Assessment</t>
  </si>
  <si>
    <t>Multidisciplinary Care Plan</t>
  </si>
  <si>
    <t>Contact Dermatitis</t>
  </si>
  <si>
    <t>Topical Steroids, Antihistamines</t>
  </si>
  <si>
    <t>Nephrolithiasis</t>
  </si>
  <si>
    <t>Pain Management, Increased Fluid Intake</t>
  </si>
  <si>
    <t>Developmental Language Disorder</t>
  </si>
  <si>
    <t>Speech Therapy, Parent Training</t>
  </si>
  <si>
    <t>Gastritis</t>
  </si>
  <si>
    <t>PPIs, Dietary Changes</t>
  </si>
  <si>
    <t>Bronchitis</t>
  </si>
  <si>
    <t>Bronchodilators, Rest</t>
  </si>
  <si>
    <t>Osteoarthritis</t>
  </si>
  <si>
    <t>Physical Therapy, Pain Management</t>
  </si>
  <si>
    <t>Mild Cognitive Impairment</t>
  </si>
  <si>
    <t>Cognitive Therapy, Memory Exercises</t>
  </si>
  <si>
    <t>Epilepsy</t>
  </si>
  <si>
    <t>Anticonvulsants, Regular Monitoring</t>
  </si>
  <si>
    <t>Otitis Media</t>
  </si>
  <si>
    <t>Antibiotics, Pain Relief</t>
  </si>
  <si>
    <t>Antenatal Checkup</t>
  </si>
  <si>
    <t>Prenatal Vitamins, Regular Monitoring</t>
  </si>
  <si>
    <t>Iron Deficiency Anemia</t>
  </si>
  <si>
    <t>Iron Supplements, Dietary Changes</t>
  </si>
  <si>
    <t>Hypothyroidism</t>
  </si>
  <si>
    <t>Levothyroxine, Regular Monitoring</t>
  </si>
  <si>
    <t>Staff_Name</t>
  </si>
  <si>
    <t>+91 9305902102</t>
  </si>
  <si>
    <t>+91 9964107254</t>
  </si>
  <si>
    <t>+91 9458638670</t>
  </si>
  <si>
    <t>+91 9374467902</t>
  </si>
  <si>
    <t>+91 9413401111</t>
  </si>
  <si>
    <t>+91 9527257879</t>
  </si>
  <si>
    <t>+91 9626828608</t>
  </si>
  <si>
    <t>+91 9103684849</t>
  </si>
  <si>
    <t>+91 9120574279</t>
  </si>
  <si>
    <t>+91 9864233661</t>
  </si>
  <si>
    <t>+91 9327077001</t>
  </si>
  <si>
    <t>+91 9860412846</t>
  </si>
  <si>
    <t>+91 9949940235</t>
  </si>
  <si>
    <t>+91 9674417235</t>
  </si>
  <si>
    <t>+91 9855244646</t>
  </si>
  <si>
    <t>+91 9540321155</t>
  </si>
  <si>
    <t>+91 9449290048</t>
  </si>
  <si>
    <t>+91 9464441008</t>
  </si>
  <si>
    <t>+91 9654303542</t>
  </si>
  <si>
    <t>+91 9221793081</t>
  </si>
  <si>
    <t>+91 9355808266</t>
  </si>
  <si>
    <t>+91 9161538044</t>
  </si>
  <si>
    <t>+91 9114991754</t>
  </si>
  <si>
    <t>+91 9418445860</t>
  </si>
  <si>
    <t>+91 9404375893</t>
  </si>
  <si>
    <t>+91 9311742722</t>
  </si>
  <si>
    <t>+91 9499497651</t>
  </si>
  <si>
    <t>+91 9425583243</t>
  </si>
  <si>
    <t>+91 9770316916</t>
  </si>
  <si>
    <t>+91 9119962708</t>
  </si>
  <si>
    <t>+91 9840089463</t>
  </si>
  <si>
    <t>+91 9511953838</t>
  </si>
  <si>
    <t>+91 9322896463</t>
  </si>
  <si>
    <t>+91 9758702744</t>
  </si>
  <si>
    <t>+91 9763253967</t>
  </si>
  <si>
    <t>+91 9913996971</t>
  </si>
  <si>
    <t>+91 9513683598</t>
  </si>
  <si>
    <t>+91 9631747974</t>
  </si>
  <si>
    <t>+91 9799965349</t>
  </si>
  <si>
    <t>+91 9799474889</t>
  </si>
  <si>
    <t>+91 9446025220</t>
  </si>
  <si>
    <t>+91 9720678512</t>
  </si>
  <si>
    <t>+91 9453398508</t>
  </si>
  <si>
    <t>+91 9118963756</t>
  </si>
  <si>
    <t>+91 9301489640</t>
  </si>
  <si>
    <t>+91 9100199880</t>
  </si>
  <si>
    <t>+91 9823007745</t>
  </si>
  <si>
    <t>+91 9726168606</t>
  </si>
  <si>
    <t>+91 9628128402</t>
  </si>
  <si>
    <t>+91 9818106953</t>
  </si>
  <si>
    <t>+91 9367280755</t>
  </si>
  <si>
    <t>+91 9227312141</t>
  </si>
  <si>
    <t>+91 9467005707</t>
  </si>
  <si>
    <t>+91 9779456831</t>
  </si>
  <si>
    <t>+91 9652766370</t>
  </si>
  <si>
    <t>+91 9834084717</t>
  </si>
  <si>
    <t>+91 9400016656</t>
  </si>
  <si>
    <t>+91 9774865039</t>
  </si>
  <si>
    <t>+91 9837358094</t>
  </si>
  <si>
    <t>+91 9202487419</t>
  </si>
  <si>
    <t>+91 9741260757</t>
  </si>
  <si>
    <t>+91 9588878819</t>
  </si>
  <si>
    <t>+91 9348242576</t>
  </si>
  <si>
    <t>+91 9292340505</t>
  </si>
  <si>
    <t>+91 9845305933</t>
  </si>
  <si>
    <t>+91 9562507476</t>
  </si>
  <si>
    <t>+91 9877396683</t>
  </si>
  <si>
    <t>+91 9552464505</t>
  </si>
  <si>
    <t>+91 9143041244</t>
  </si>
  <si>
    <t>+91 9444112625</t>
  </si>
  <si>
    <t>+91 9558115313</t>
  </si>
  <si>
    <t>+91 9612056021</t>
  </si>
  <si>
    <t>+91 9272945309</t>
  </si>
  <si>
    <t>+91 9103367899</t>
  </si>
  <si>
    <t>+91 9788263518</t>
  </si>
  <si>
    <t>+91 9220585967</t>
  </si>
  <si>
    <t>+91 9939253305</t>
  </si>
  <si>
    <t>+91 9958431477</t>
  </si>
  <si>
    <t>+91 9385016619</t>
  </si>
  <si>
    <t>+91 9428563289</t>
  </si>
  <si>
    <t>+91 9173942292</t>
  </si>
  <si>
    <t>+91 9421070169</t>
  </si>
  <si>
    <t>+91 9572082361</t>
  </si>
  <si>
    <t>+91 9263857443</t>
  </si>
  <si>
    <t>+91 9704403981</t>
  </si>
  <si>
    <t>+91 9603392362</t>
  </si>
  <si>
    <t>+91 9197534423</t>
  </si>
  <si>
    <t>+91 9774695112</t>
  </si>
  <si>
    <t>+91 9179458309</t>
  </si>
  <si>
    <t>+91 9860368444</t>
  </si>
  <si>
    <t>+91 9689400465</t>
  </si>
  <si>
    <t>+91 9444359132</t>
  </si>
  <si>
    <t>+91 9915048446</t>
  </si>
  <si>
    <t>+91 9524650490</t>
  </si>
  <si>
    <t>+91 9937581723</t>
  </si>
  <si>
    <t>+91 9929491037</t>
  </si>
  <si>
    <t>+91 9786202165</t>
  </si>
  <si>
    <t>+91 9367310421</t>
  </si>
  <si>
    <t>+91 9932307641</t>
  </si>
  <si>
    <t>+91 9917517277</t>
  </si>
  <si>
    <t>+91 9363340475</t>
  </si>
  <si>
    <t>+91 9353114248</t>
  </si>
  <si>
    <t>+91 9476129657</t>
  </si>
  <si>
    <t>+91 9146576295</t>
  </si>
  <si>
    <t>+91 9356234179</t>
  </si>
  <si>
    <t>+91 9591036530</t>
  </si>
  <si>
    <t>+91 9461514436</t>
  </si>
  <si>
    <t>+91 9532206993</t>
  </si>
  <si>
    <t>+91 9346167332</t>
  </si>
  <si>
    <t>+91 9670888023</t>
  </si>
  <si>
    <t>+91 9895131787</t>
  </si>
  <si>
    <t>+91 9338957151</t>
  </si>
  <si>
    <t>+91 9803131185</t>
  </si>
  <si>
    <t>+91 9917066653</t>
  </si>
  <si>
    <t>+91 9575815175</t>
  </si>
  <si>
    <t>+91 9743479270</t>
  </si>
  <si>
    <t>+91 9440936369</t>
  </si>
  <si>
    <t>+91 9313091880</t>
  </si>
  <si>
    <t>+91 9182709624</t>
  </si>
  <si>
    <t>+91 9373287889</t>
  </si>
  <si>
    <t>+91 9400045815</t>
  </si>
  <si>
    <t>+91 9547587524</t>
  </si>
  <si>
    <t>+91 9553758990</t>
  </si>
  <si>
    <t>+91 9562808646</t>
  </si>
  <si>
    <t>+91 9442178460</t>
  </si>
  <si>
    <t>+91 9266610420</t>
  </si>
  <si>
    <t>+91 9882915998</t>
  </si>
  <si>
    <t>+91 9521805548</t>
  </si>
  <si>
    <t>+91 9313047577</t>
  </si>
  <si>
    <t>+91 9644206407</t>
  </si>
  <si>
    <t>+91 9739306088</t>
  </si>
  <si>
    <t>+91 9182941708</t>
  </si>
  <si>
    <t>+91 9193119415</t>
  </si>
  <si>
    <t>+91 9180655952</t>
  </si>
  <si>
    <t>+91 9574228538</t>
  </si>
  <si>
    <t>+91 9122043644</t>
  </si>
  <si>
    <t>+91 9406800735</t>
  </si>
  <si>
    <t>+91 9476514467</t>
  </si>
  <si>
    <t>+91 9977431091</t>
  </si>
  <si>
    <t>+91 9590733648</t>
  </si>
  <si>
    <t>+91 9444272244</t>
  </si>
  <si>
    <t>+91 9540851568</t>
  </si>
  <si>
    <t>+91 9682463484</t>
  </si>
  <si>
    <t>+91 9523911502</t>
  </si>
  <si>
    <t>+91 9919321458</t>
  </si>
  <si>
    <t>+91 9726301684</t>
  </si>
  <si>
    <t>+91 9942821997</t>
  </si>
  <si>
    <t>+91 9564663238</t>
  </si>
  <si>
    <t>+91 9344671787</t>
  </si>
  <si>
    <t>+91 9640458748</t>
  </si>
  <si>
    <t>+91 9173329848</t>
  </si>
  <si>
    <t>+91 9259898857</t>
  </si>
  <si>
    <t>+91 9844090454</t>
  </si>
  <si>
    <t>+91 9832413106</t>
  </si>
  <si>
    <t>+91 9840261560</t>
  </si>
  <si>
    <t>+91 9559548210</t>
  </si>
  <si>
    <t>+91 9850709335</t>
  </si>
  <si>
    <t>+91 9654286030</t>
  </si>
  <si>
    <t>+91 9103691710</t>
  </si>
  <si>
    <t>+91 9761935580</t>
  </si>
  <si>
    <t>+91 9440432425</t>
  </si>
  <si>
    <t>+91 9258613922</t>
  </si>
  <si>
    <t>+91 9457945188</t>
  </si>
  <si>
    <t>+91 9545487076</t>
  </si>
  <si>
    <t>+91 9513901605</t>
  </si>
  <si>
    <t>+91 9237192660</t>
  </si>
  <si>
    <t>+91 9638055247</t>
  </si>
  <si>
    <t>+91 9374469639</t>
  </si>
  <si>
    <t>+91 9933493079</t>
  </si>
  <si>
    <t>+91 9916888218</t>
  </si>
  <si>
    <t>+91 9851406349</t>
  </si>
  <si>
    <t>+91 9325409768</t>
  </si>
  <si>
    <t>+91 9760749035</t>
  </si>
  <si>
    <t>+91 9466413282</t>
  </si>
  <si>
    <t>+91 9526150907</t>
  </si>
  <si>
    <t>+91 9445744799</t>
  </si>
  <si>
    <t>+91 9938471608</t>
  </si>
  <si>
    <t>+91 9763841158</t>
  </si>
  <si>
    <t>+91 9514634060</t>
  </si>
  <si>
    <t>+91 9668257287</t>
  </si>
  <si>
    <t>+91 9217209246</t>
  </si>
  <si>
    <t>+91 9492784586</t>
  </si>
  <si>
    <t>+91 9679436213</t>
  </si>
  <si>
    <t>+91 9672581193</t>
  </si>
  <si>
    <t>+91 9776215589</t>
  </si>
  <si>
    <t>+91 9819875437</t>
  </si>
  <si>
    <t>+91 9382247072</t>
  </si>
  <si>
    <t>+91 9497840122</t>
  </si>
  <si>
    <t>+91 9473472824</t>
  </si>
  <si>
    <t>+91 9597821893</t>
  </si>
  <si>
    <t>+91 9353617660</t>
  </si>
  <si>
    <t>+91 9188389022</t>
  </si>
  <si>
    <t>+91 9906622108</t>
  </si>
  <si>
    <t>+91 9850820770</t>
  </si>
  <si>
    <t>+91 9891246468</t>
  </si>
  <si>
    <t>+91 9883168941</t>
  </si>
  <si>
    <t>+91 9353734650</t>
  </si>
  <si>
    <t>+91 9904652769</t>
  </si>
  <si>
    <t>+91 9198686052</t>
  </si>
  <si>
    <t>+91 9893417140</t>
  </si>
  <si>
    <t>+91 9298065968</t>
  </si>
  <si>
    <t>+91 9827567314</t>
  </si>
  <si>
    <t>+91 9942842900</t>
  </si>
  <si>
    <t>+91 9267686835</t>
  </si>
  <si>
    <t>+91 9702383315</t>
  </si>
  <si>
    <t>+91 9887488914</t>
  </si>
  <si>
    <t>+91 9986338130</t>
  </si>
  <si>
    <t>+91 9880882832</t>
  </si>
  <si>
    <t>+91 9673140893</t>
  </si>
  <si>
    <t>+91 9311066627</t>
  </si>
  <si>
    <t>+91 9883477405</t>
  </si>
  <si>
    <t>+91 9644934545</t>
  </si>
  <si>
    <t>+91 9558695163</t>
  </si>
  <si>
    <t>+91 9711040511</t>
  </si>
  <si>
    <t>+91 9364113559</t>
  </si>
  <si>
    <t>+91 9655039529</t>
  </si>
  <si>
    <t>+91 9718235946</t>
  </si>
  <si>
    <t>+91 9480457223</t>
  </si>
  <si>
    <t>+91 9952592138</t>
  </si>
  <si>
    <t>+91 9118991400</t>
  </si>
  <si>
    <t>+91 9449350134</t>
  </si>
  <si>
    <t>+91 9279702247</t>
  </si>
  <si>
    <t>+91 9678581817</t>
  </si>
  <si>
    <t>+91 9965394777</t>
  </si>
  <si>
    <t>+91 9367031851</t>
  </si>
  <si>
    <t>+91 9760096469</t>
  </si>
  <si>
    <t>+91 9733851535</t>
  </si>
  <si>
    <t>+91 9951091461</t>
  </si>
  <si>
    <t>+91 9645082560</t>
  </si>
  <si>
    <t>+91 9732629488</t>
  </si>
  <si>
    <t>+91 9131184178</t>
  </si>
  <si>
    <t>+91 9674488525</t>
  </si>
  <si>
    <t>+91 9530903480</t>
  </si>
  <si>
    <t>+91 9421622024</t>
  </si>
  <si>
    <t>+91 9605939007</t>
  </si>
  <si>
    <t>+91 9343275911</t>
  </si>
  <si>
    <t>+91 9942114866</t>
  </si>
  <si>
    <t>+91 9711080126</t>
  </si>
  <si>
    <t>+91 9927222501</t>
  </si>
  <si>
    <t>+91 9134326834</t>
  </si>
  <si>
    <t>+91 9444732808</t>
  </si>
  <si>
    <t>+91 9429333832</t>
  </si>
  <si>
    <t>+91 9841480475</t>
  </si>
  <si>
    <t>+91 9389481658</t>
  </si>
  <si>
    <t>+91 9962223069</t>
  </si>
  <si>
    <t>+91 9605298188</t>
  </si>
  <si>
    <t>+91 9699179739</t>
  </si>
  <si>
    <t>+91 9138905204</t>
  </si>
  <si>
    <t>+91 9550390855</t>
  </si>
  <si>
    <t>+91 9441920173</t>
  </si>
  <si>
    <t>+91 9260096129</t>
  </si>
  <si>
    <t>+91 9669214724</t>
  </si>
  <si>
    <t>+91 9794348013</t>
  </si>
  <si>
    <t>+91 9133071531</t>
  </si>
  <si>
    <t>+91 9285508558</t>
  </si>
  <si>
    <t>+91 9533945902</t>
  </si>
  <si>
    <t>+91 9332444373</t>
  </si>
  <si>
    <t>+91 9288027678</t>
  </si>
  <si>
    <t>+91 9126270014</t>
  </si>
  <si>
    <t>+91 9719712849</t>
  </si>
  <si>
    <t>+91 9105602829</t>
  </si>
  <si>
    <t>+91 9673077980</t>
  </si>
  <si>
    <t>+91 9943777053</t>
  </si>
  <si>
    <t>+91 9709491034</t>
  </si>
  <si>
    <t>+91 9819331485</t>
  </si>
  <si>
    <t>+91 9177113502</t>
  </si>
  <si>
    <t>+91 9606528450</t>
  </si>
  <si>
    <t>+91 9668828243</t>
  </si>
  <si>
    <t>+91 9976113874</t>
  </si>
  <si>
    <t>+91 9892129398</t>
  </si>
  <si>
    <t>+91 9958157503</t>
  </si>
  <si>
    <t>+91 9344083593</t>
  </si>
  <si>
    <t>+91 9650962946</t>
  </si>
  <si>
    <t>+91 9521446426</t>
  </si>
  <si>
    <t>+91 9844353738</t>
  </si>
  <si>
    <t>+91 9411728876</t>
  </si>
  <si>
    <t>+91 9151038712</t>
  </si>
  <si>
    <t>+91 9603060544</t>
  </si>
  <si>
    <t>+91 9233852067</t>
  </si>
  <si>
    <t>+91 9608605707</t>
  </si>
  <si>
    <t>+91 9239796663</t>
  </si>
  <si>
    <t>+91 9487571954</t>
  </si>
  <si>
    <t>+91 9224342421</t>
  </si>
  <si>
    <t>+91 9661772996</t>
  </si>
  <si>
    <t>+91 9899293367</t>
  </si>
  <si>
    <t>+91 9511221026</t>
  </si>
  <si>
    <t>+91 9286292783</t>
  </si>
  <si>
    <t>+91 9339168658</t>
  </si>
  <si>
    <t>+91 9295078486</t>
  </si>
  <si>
    <t>+91 9158616897</t>
  </si>
  <si>
    <t>+91 9846110523</t>
  </si>
  <si>
    <t>+91 9214634378</t>
  </si>
  <si>
    <t>+91 9854537950</t>
  </si>
  <si>
    <t>+91 9917655578</t>
  </si>
  <si>
    <t>+91 9684982642</t>
  </si>
  <si>
    <t>+91 9585144072</t>
  </si>
  <si>
    <t>+91 9336996813</t>
  </si>
  <si>
    <t>+91 9372206376</t>
  </si>
  <si>
    <t>+91 9610767508</t>
  </si>
  <si>
    <t>+91 9582693737</t>
  </si>
  <si>
    <t>+91 9590158841</t>
  </si>
  <si>
    <t>+91 9902688927</t>
  </si>
  <si>
    <t>+91 9397132100</t>
  </si>
  <si>
    <t>+91 9469361941</t>
  </si>
  <si>
    <t>+91 9836051893</t>
  </si>
  <si>
    <t>+91 9897829244</t>
  </si>
  <si>
    <t>+91 9507060387</t>
  </si>
  <si>
    <t>+91 9116590778</t>
  </si>
  <si>
    <t>+91 9892344411</t>
  </si>
  <si>
    <t>+91 9789114888</t>
  </si>
  <si>
    <t>+91 9462108433</t>
  </si>
  <si>
    <t>+91 9990804830</t>
  </si>
  <si>
    <t>+91 9895070403</t>
  </si>
  <si>
    <t>+91 9849683011</t>
  </si>
  <si>
    <t>+91 9290245705</t>
  </si>
  <si>
    <t>+91 9307374684</t>
  </si>
  <si>
    <t>+91 9842050978</t>
  </si>
  <si>
    <t>+91 9496649629</t>
  </si>
  <si>
    <t>+91 9325911769</t>
  </si>
  <si>
    <t>+91 9100656555</t>
  </si>
  <si>
    <t>+91 9495040232</t>
  </si>
  <si>
    <t>+91 9911024995</t>
  </si>
  <si>
    <t>+91 9235665408</t>
  </si>
  <si>
    <t>+91 9355909041</t>
  </si>
  <si>
    <t>+91 9860330192</t>
  </si>
  <si>
    <t>+91 9657692752</t>
  </si>
  <si>
    <t>+91 9687385075</t>
  </si>
  <si>
    <t>+91 9305933534</t>
  </si>
  <si>
    <t>+91 9307287761</t>
  </si>
  <si>
    <t>+91 9232605380</t>
  </si>
  <si>
    <t>+91 9371127059</t>
  </si>
  <si>
    <t>+91 9675432774</t>
  </si>
  <si>
    <t>+91 9352804008</t>
  </si>
  <si>
    <t>+91 9678087693</t>
  </si>
  <si>
    <t>+91 9862549049</t>
  </si>
  <si>
    <t>+91 9215869394</t>
  </si>
  <si>
    <t>+91 9392668411</t>
  </si>
  <si>
    <t>+91 9562585134</t>
  </si>
  <si>
    <t>+91 9961977205</t>
  </si>
  <si>
    <t>+91 9701312352</t>
  </si>
  <si>
    <t>+91 9618117651</t>
  </si>
  <si>
    <t>+91 9328624069</t>
  </si>
  <si>
    <t>+91 9670192045</t>
  </si>
  <si>
    <t>+91 9620088760</t>
  </si>
  <si>
    <t>+91 9927087145</t>
  </si>
  <si>
    <t>+91 9680586182</t>
  </si>
  <si>
    <t>+91 9287930779</t>
  </si>
  <si>
    <t>+91 9362199632</t>
  </si>
  <si>
    <t>+91 9681206046</t>
  </si>
  <si>
    <t>+91 9253568003</t>
  </si>
  <si>
    <t>+91 9917326479</t>
  </si>
  <si>
    <t>+91 9434924753</t>
  </si>
  <si>
    <t>+91 9248484136</t>
  </si>
  <si>
    <t>+91 9711168427</t>
  </si>
  <si>
    <t>+91 9830339942</t>
  </si>
  <si>
    <t>+91 9334949933</t>
  </si>
  <si>
    <t>+91 9152027685</t>
  </si>
  <si>
    <t>+91 9657434085</t>
  </si>
  <si>
    <t>+91 9620657822</t>
  </si>
  <si>
    <t>+91 9892497637</t>
  </si>
  <si>
    <t>+91 9760550227</t>
  </si>
  <si>
    <t>+91 9138629805</t>
  </si>
  <si>
    <t>+91 9859304386</t>
  </si>
  <si>
    <t>+91 9961601676</t>
  </si>
  <si>
    <t>+91 9600124903</t>
  </si>
  <si>
    <t>+91 9856244597</t>
  </si>
  <si>
    <t>+91 9840866388</t>
  </si>
  <si>
    <t>+91 9968529209</t>
  </si>
  <si>
    <t>+91 9810233489</t>
  </si>
  <si>
    <t>+91 9112662525</t>
  </si>
  <si>
    <t>+91 9292677674</t>
  </si>
  <si>
    <t>+91 9146394830</t>
  </si>
  <si>
    <t>+91 9938110459</t>
  </si>
  <si>
    <t>+91 9535353240</t>
  </si>
  <si>
    <t>+91 9678815711</t>
  </si>
  <si>
    <t>+91 9847268529</t>
  </si>
  <si>
    <t>+91 9338492872</t>
  </si>
  <si>
    <t>+91 9932595309</t>
  </si>
  <si>
    <t>+91 9727458691</t>
  </si>
  <si>
    <t>+91 9225835724</t>
  </si>
  <si>
    <t>+91 9611519494</t>
  </si>
  <si>
    <t>+91 9426745602</t>
  </si>
  <si>
    <t>+91 9117794543</t>
  </si>
  <si>
    <t>+91 9527912117</t>
  </si>
  <si>
    <t>+91 9758876374</t>
  </si>
  <si>
    <t>+91 9634632829</t>
  </si>
  <si>
    <t>+91 9127168658</t>
  </si>
  <si>
    <t>+91 9658365898</t>
  </si>
  <si>
    <t>+91 9551239996</t>
  </si>
  <si>
    <t>+91 9354190587</t>
  </si>
  <si>
    <t>+91 9763885958</t>
  </si>
  <si>
    <t>+91 9373035162</t>
  </si>
  <si>
    <t>+91 9896226743</t>
  </si>
  <si>
    <t>+91 9249977094</t>
  </si>
  <si>
    <t>+91 9566826605</t>
  </si>
  <si>
    <t>+91 9393561192</t>
  </si>
  <si>
    <t>+91 9911024090</t>
  </si>
  <si>
    <t>+91 9895701175</t>
  </si>
  <si>
    <t>+91 9773433747</t>
  </si>
  <si>
    <t>+91 9794969579</t>
  </si>
  <si>
    <t>+91 9367152881</t>
  </si>
  <si>
    <t>+91 9198308077</t>
  </si>
  <si>
    <t>+91 9707831194</t>
  </si>
  <si>
    <t>+91 9288763870</t>
  </si>
  <si>
    <t>+91 9781456883</t>
  </si>
  <si>
    <t>+91 9685336768</t>
  </si>
  <si>
    <t>+91 9633347699</t>
  </si>
  <si>
    <t>+91 9518463441</t>
  </si>
  <si>
    <t>+91 9874221804</t>
  </si>
  <si>
    <t>+91 9887470527</t>
  </si>
  <si>
    <t>+91 9682564654</t>
  </si>
  <si>
    <t>+91 9470432684</t>
  </si>
  <si>
    <t>+91 9857353468</t>
  </si>
  <si>
    <t>+91 9560979120</t>
  </si>
  <si>
    <t>+91 9778052613</t>
  </si>
  <si>
    <t>+91 9558694051</t>
  </si>
  <si>
    <t>+91 9263702001</t>
  </si>
  <si>
    <t>+91 9797522143</t>
  </si>
  <si>
    <t>+91 9216130766</t>
  </si>
  <si>
    <t>+91 9314645918</t>
  </si>
  <si>
    <t>+91 9918734167</t>
  </si>
  <si>
    <t>+91 9510194027</t>
  </si>
  <si>
    <t>+91 9544764103</t>
  </si>
  <si>
    <t>+91 9441062151</t>
  </si>
  <si>
    <t>+91 9748165697</t>
  </si>
  <si>
    <t>+91 9852964806</t>
  </si>
  <si>
    <t>+91 9516365583</t>
  </si>
  <si>
    <t>+91 9595069391</t>
  </si>
  <si>
    <t>+91 9612547597</t>
  </si>
  <si>
    <t>+91 9528412259</t>
  </si>
  <si>
    <t>+91 9790228941</t>
  </si>
  <si>
    <t>+91 9249166530</t>
  </si>
  <si>
    <t>+91 9507683445</t>
  </si>
  <si>
    <t>+91 9716607587</t>
  </si>
  <si>
    <t>+91 9951946867</t>
  </si>
  <si>
    <t>+91 9899667009</t>
  </si>
  <si>
    <t>+91 9482693362</t>
  </si>
  <si>
    <t>+91 9916845715</t>
  </si>
  <si>
    <t>+91 9499932378</t>
  </si>
  <si>
    <t>+91 9720350385</t>
  </si>
  <si>
    <t>+91 9154075484</t>
  </si>
  <si>
    <t>+91 9686030175</t>
  </si>
  <si>
    <t>+91 9428373075</t>
  </si>
  <si>
    <t>+91 9483132956</t>
  </si>
  <si>
    <t>+91 9925843665</t>
  </si>
  <si>
    <t>+91 9455079480</t>
  </si>
  <si>
    <t>+91 9740917788</t>
  </si>
  <si>
    <t>+91 9383585684</t>
  </si>
  <si>
    <t>+91 9578511354</t>
  </si>
  <si>
    <t>+91 9859751221</t>
  </si>
  <si>
    <t>+91 9228009961</t>
  </si>
  <si>
    <t>+91 9426049634</t>
  </si>
  <si>
    <t>+91 9562769863</t>
  </si>
  <si>
    <t>+91 9849412629</t>
  </si>
  <si>
    <t>+91 9180591628</t>
  </si>
  <si>
    <t>+91 9441035443</t>
  </si>
  <si>
    <t>+91 9947567828</t>
  </si>
  <si>
    <t>+91 9858982619</t>
  </si>
  <si>
    <t>+91 9467283638</t>
  </si>
  <si>
    <t>+91 9630378059</t>
  </si>
  <si>
    <t>+91 9202130529</t>
  </si>
  <si>
    <t>+91 9301081326</t>
  </si>
  <si>
    <t>+91 9903760013</t>
  </si>
  <si>
    <t>+91 9255467064</t>
  </si>
  <si>
    <t>+91 9216762483</t>
  </si>
  <si>
    <t>+91 9529985827</t>
  </si>
  <si>
    <t>+91 9902798196</t>
  </si>
  <si>
    <t>+91 9507288223</t>
  </si>
  <si>
    <t>+91 9982736904</t>
  </si>
  <si>
    <t>+91 9945077311</t>
  </si>
  <si>
    <t>+91 9628713439</t>
  </si>
  <si>
    <t>+91 9355480170</t>
  </si>
  <si>
    <t>+91 9778103633</t>
  </si>
  <si>
    <t>+91 9140508347</t>
  </si>
  <si>
    <t>+91 9112180078</t>
  </si>
  <si>
    <t>+91 9644911697</t>
  </si>
  <si>
    <t>+91 9578509726</t>
  </si>
  <si>
    <t>+91 9808834785</t>
  </si>
  <si>
    <t>+91 9963813976</t>
  </si>
  <si>
    <t>+91 9850972738</t>
  </si>
  <si>
    <t>+91 9652133796</t>
  </si>
  <si>
    <t>+91 9115974767</t>
  </si>
  <si>
    <t>+91 9147121637</t>
  </si>
  <si>
    <t>+91 9358933371</t>
  </si>
  <si>
    <t>+91 9835484225</t>
  </si>
  <si>
    <t>+91 9221534916</t>
  </si>
  <si>
    <t>+91 9151505469</t>
  </si>
  <si>
    <t>+91 9116637430</t>
  </si>
  <si>
    <t>+91 9910168507</t>
  </si>
  <si>
    <t>+91 9859458972</t>
  </si>
  <si>
    <t>+91 9885674494</t>
  </si>
  <si>
    <t>+91 9617869416</t>
  </si>
  <si>
    <t>+91 9192403482</t>
  </si>
  <si>
    <t>+91 9604984637</t>
  </si>
  <si>
    <t>+91 9940751933</t>
  </si>
  <si>
    <t>+91 9351397468</t>
  </si>
  <si>
    <t>+91 9361442685</t>
  </si>
  <si>
    <t>+91 9372546284</t>
  </si>
  <si>
    <t>+91 9401359710</t>
  </si>
  <si>
    <t>+91 9639006521</t>
  </si>
  <si>
    <t>Patient_Name</t>
  </si>
  <si>
    <t>Date_Of_Birth</t>
  </si>
  <si>
    <t>City</t>
  </si>
  <si>
    <t>Pusad</t>
  </si>
  <si>
    <t>Nagpur</t>
  </si>
  <si>
    <t>Amravati</t>
  </si>
  <si>
    <t>Akola</t>
  </si>
  <si>
    <t>Yavatmal</t>
  </si>
  <si>
    <t>Wardha</t>
  </si>
  <si>
    <t>Nanded</t>
  </si>
  <si>
    <t>Chandrapur</t>
  </si>
  <si>
    <t>+91 9183981451</t>
  </si>
  <si>
    <t>+91 9837754281</t>
  </si>
  <si>
    <t>+91 9640940815</t>
  </si>
  <si>
    <t>+91 9672504022</t>
  </si>
  <si>
    <t>+91 9100244625</t>
  </si>
  <si>
    <t>+91 9621527526</t>
  </si>
  <si>
    <t>+91 9877166889</t>
  </si>
  <si>
    <t>+91 9137717473</t>
  </si>
  <si>
    <t>+91 9199968004</t>
  </si>
  <si>
    <t>+91 9441631061</t>
  </si>
  <si>
    <t>+91 9281172194</t>
  </si>
  <si>
    <t>+91 9499836932</t>
  </si>
  <si>
    <t>+91 9471836860</t>
  </si>
  <si>
    <t>+91 9623180289</t>
  </si>
  <si>
    <t>+91 9697342988</t>
  </si>
  <si>
    <t>+91 9979797842</t>
  </si>
  <si>
    <t>+91 9698587941</t>
  </si>
  <si>
    <t>+91 9363541814</t>
  </si>
  <si>
    <t>+91 9756536754</t>
  </si>
  <si>
    <t>+91 9989597159</t>
  </si>
  <si>
    <t>+91 9676356947</t>
  </si>
  <si>
    <t>+91 9702271643</t>
  </si>
  <si>
    <t>+91 9710963336</t>
  </si>
  <si>
    <t>+91 9957229111</t>
  </si>
  <si>
    <t>+91 9461700111</t>
  </si>
  <si>
    <t>+91 9628778017</t>
  </si>
  <si>
    <t>+91 9195332132</t>
  </si>
  <si>
    <t>+91 9782291893</t>
  </si>
  <si>
    <t>+91 9182378344</t>
  </si>
  <si>
    <t>+91 9653575923</t>
  </si>
  <si>
    <t>+91 9911527208</t>
  </si>
  <si>
    <t>+91 9236095523</t>
  </si>
  <si>
    <t>+91 9480939325</t>
  </si>
  <si>
    <t>+91 9403076608</t>
  </si>
  <si>
    <t>+91 9387894309</t>
  </si>
  <si>
    <t>+91 9280863480</t>
  </si>
  <si>
    <t>+91 9257467315</t>
  </si>
  <si>
    <t>+91 9915100387</t>
  </si>
  <si>
    <t>+91 9739951353</t>
  </si>
  <si>
    <t>+91 9720812293</t>
  </si>
  <si>
    <t>+91 9297311769</t>
  </si>
  <si>
    <t>+91 9269292944</t>
  </si>
  <si>
    <t>+91 9159374542</t>
  </si>
  <si>
    <t>+91 9721164049</t>
  </si>
  <si>
    <t>+91 9794939476</t>
  </si>
  <si>
    <t>+91 9350646990</t>
  </si>
  <si>
    <t>+91 9849991471</t>
  </si>
  <si>
    <t>+91 9852924289</t>
  </si>
  <si>
    <t>+91 9467726521</t>
  </si>
  <si>
    <t>+91 9157277037</t>
  </si>
  <si>
    <t>+91 9981038320</t>
  </si>
  <si>
    <t>+91 9473683637</t>
  </si>
  <si>
    <t>+91 9278417347</t>
  </si>
  <si>
    <t>+91 9963917253</t>
  </si>
  <si>
    <t>+91 9240872734</t>
  </si>
  <si>
    <t>+91 9477683042</t>
  </si>
  <si>
    <t>+91 9479051993</t>
  </si>
  <si>
    <t>+91 9107384359</t>
  </si>
  <si>
    <t>+91 9136592154</t>
  </si>
  <si>
    <t>+91 9890503244</t>
  </si>
  <si>
    <t>+91 9201755176</t>
  </si>
  <si>
    <t>+91 9999656875</t>
  </si>
  <si>
    <t>+91 9737393644</t>
  </si>
  <si>
    <t>+91 9236842862</t>
  </si>
  <si>
    <t>+91 9519930099</t>
  </si>
  <si>
    <t>+91 9511218483</t>
  </si>
  <si>
    <t>+91 9580305143</t>
  </si>
  <si>
    <t>+91 9854810471</t>
  </si>
  <si>
    <t>+91 9817410031</t>
  </si>
  <si>
    <t>+91 9474778696</t>
  </si>
  <si>
    <t>+91 9824439540</t>
  </si>
  <si>
    <t>+91 9253426756</t>
  </si>
  <si>
    <t>+91 9951217534</t>
  </si>
  <si>
    <t>+91 9630205640</t>
  </si>
  <si>
    <t>+91 9798461038</t>
  </si>
  <si>
    <t>+91 9328095009</t>
  </si>
  <si>
    <t>+91 9126446529</t>
  </si>
  <si>
    <t>+91 9556312498</t>
  </si>
  <si>
    <t>+91 9511118702</t>
  </si>
  <si>
    <t>+91 9320117464</t>
  </si>
  <si>
    <t>+91 9230983853</t>
  </si>
  <si>
    <t>+91 9241228720</t>
  </si>
  <si>
    <t>+91 9590646124</t>
  </si>
  <si>
    <t>+91 9605511172</t>
  </si>
  <si>
    <t>+91 9547440193</t>
  </si>
  <si>
    <t>+91 9531428791</t>
  </si>
  <si>
    <t>+91 9135825517</t>
  </si>
  <si>
    <t>+91 9538557513</t>
  </si>
  <si>
    <t>+91 9699130383</t>
  </si>
  <si>
    <t>+91 9192727997</t>
  </si>
  <si>
    <t>+91 9880745761</t>
  </si>
  <si>
    <t>+91 9368626444</t>
  </si>
  <si>
    <t>+91 9187111517</t>
  </si>
  <si>
    <t>+91 9828173804</t>
  </si>
  <si>
    <t>+91 9103268813</t>
  </si>
  <si>
    <t>+91 9969128426</t>
  </si>
  <si>
    <t>+91 9443566411</t>
  </si>
  <si>
    <t>+91 9472634370</t>
  </si>
  <si>
    <t>+91 9295391513</t>
  </si>
  <si>
    <t>+91 9982031958</t>
  </si>
  <si>
    <t>+91 9136600619</t>
  </si>
  <si>
    <t>+91 9301379841</t>
  </si>
  <si>
    <t>+91 9737843833</t>
  </si>
  <si>
    <t>+91 9689815944</t>
  </si>
  <si>
    <t>+91 9918056826</t>
  </si>
  <si>
    <t>+91 9155186147</t>
  </si>
  <si>
    <t>+91 9763967701</t>
  </si>
  <si>
    <t>+91 9269760845</t>
  </si>
  <si>
    <t>+91 9951845142</t>
  </si>
  <si>
    <t>+91 9355786503</t>
  </si>
  <si>
    <t>+91 9637542741</t>
  </si>
  <si>
    <t>+91 9876577897</t>
  </si>
  <si>
    <t>+91 9584844094</t>
  </si>
  <si>
    <t>+91 9119059046</t>
  </si>
  <si>
    <t>+91 9542652261</t>
  </si>
  <si>
    <t>+91 9142577351</t>
  </si>
  <si>
    <t>+91 9559309919</t>
  </si>
  <si>
    <t>+91 9612795909</t>
  </si>
  <si>
    <t>+91 9808671708</t>
  </si>
  <si>
    <t>+91 9402154886</t>
  </si>
  <si>
    <t>+91 9748291989</t>
  </si>
  <si>
    <t>+91 9371275474</t>
  </si>
  <si>
    <t>+91 9612233074</t>
  </si>
  <si>
    <t>+91 9706380156</t>
  </si>
  <si>
    <t>+91 9990071789</t>
  </si>
  <si>
    <t>+91 9252680233</t>
  </si>
  <si>
    <t>+91 9965177414</t>
  </si>
  <si>
    <t>+91 9470166969</t>
  </si>
  <si>
    <t>+91 9145767803</t>
  </si>
  <si>
    <t>+91 9212943952</t>
  </si>
  <si>
    <t>+91 9947738505</t>
  </si>
  <si>
    <t>+91 9918139781</t>
  </si>
  <si>
    <t>+91 9194219873</t>
  </si>
  <si>
    <t>+91 9695045850</t>
  </si>
  <si>
    <t>+91 9390875382</t>
  </si>
  <si>
    <t>+91 9503059718</t>
  </si>
  <si>
    <t>+91 9297874814</t>
  </si>
  <si>
    <t>+91 9920621702</t>
  </si>
  <si>
    <t>+91 9568892571</t>
  </si>
  <si>
    <t>+91 9223749355</t>
  </si>
  <si>
    <t>+91 9154954082</t>
  </si>
  <si>
    <t>+91 9937048161</t>
  </si>
  <si>
    <t>+91 9773433615</t>
  </si>
  <si>
    <t>+91 9630677048</t>
  </si>
  <si>
    <t>+91 9437366433</t>
  </si>
  <si>
    <t>+91 9254278363</t>
  </si>
  <si>
    <t>+91 9695868256</t>
  </si>
  <si>
    <t>+91 9861464032</t>
  </si>
  <si>
    <t>+91 9295011037</t>
  </si>
  <si>
    <t>+91 9116879285</t>
  </si>
  <si>
    <t>+91 9913244632</t>
  </si>
  <si>
    <t>+91 9142424757</t>
  </si>
  <si>
    <t>+91 9210320653</t>
  </si>
  <si>
    <t>+91 9956927645</t>
  </si>
  <si>
    <t>+91 9550333379</t>
  </si>
  <si>
    <t>+91 9567846584</t>
  </si>
  <si>
    <t>+91 9492969630</t>
  </si>
  <si>
    <t>+91 9873841844</t>
  </si>
  <si>
    <t>+91 9987396343</t>
  </si>
  <si>
    <t>+91 9573446542</t>
  </si>
  <si>
    <t>+91 9494602176</t>
  </si>
  <si>
    <t>+91 9103772383</t>
  </si>
  <si>
    <t>+91 9875794360</t>
  </si>
  <si>
    <t>+91 9369458332</t>
  </si>
  <si>
    <t>+91 9459681806</t>
  </si>
  <si>
    <t>+91 9541545536</t>
  </si>
  <si>
    <t>+91 9379767529</t>
  </si>
  <si>
    <t>+91 9593154540</t>
  </si>
  <si>
    <t>+91 9249074065</t>
  </si>
  <si>
    <t>+91 9579155813</t>
  </si>
  <si>
    <t>+91 9799097787</t>
  </si>
  <si>
    <t>+91 9665669703</t>
  </si>
  <si>
    <t>+91 9468926568</t>
  </si>
  <si>
    <t>+91 9506264975</t>
  </si>
  <si>
    <t>+91 9875250698</t>
  </si>
  <si>
    <t>+91 9238634019</t>
  </si>
  <si>
    <t>+91 9655438601</t>
  </si>
  <si>
    <t>+91 9236954606</t>
  </si>
  <si>
    <t>+91 9690233155</t>
  </si>
  <si>
    <t>+91 9774357147</t>
  </si>
  <si>
    <t>+91 9815433376</t>
  </si>
  <si>
    <t>+91 9522466822</t>
  </si>
  <si>
    <t>+91 9319647813</t>
  </si>
  <si>
    <t>+91 9350697479</t>
  </si>
  <si>
    <t>+91 9494551033</t>
  </si>
  <si>
    <t>+91 9366016399</t>
  </si>
  <si>
    <t>+91 9541828553</t>
  </si>
  <si>
    <t>+91 9797627803</t>
  </si>
  <si>
    <t>+91 9182499820</t>
  </si>
  <si>
    <t>+91 9836985520</t>
  </si>
  <si>
    <t>+91 9265908994</t>
  </si>
  <si>
    <t>+91 9325925045</t>
  </si>
  <si>
    <t>+91 9146886197</t>
  </si>
  <si>
    <t>+91 9321979388</t>
  </si>
  <si>
    <t>+91 9567517532</t>
  </si>
  <si>
    <t>+91 9245038153</t>
  </si>
  <si>
    <t>+91 9530215596</t>
  </si>
  <si>
    <t>+91 9966148490</t>
  </si>
  <si>
    <t>+91 9792752091</t>
  </si>
  <si>
    <t>+91 9414423507</t>
  </si>
  <si>
    <t>+91 9156280880</t>
  </si>
  <si>
    <t>+91 9109858303</t>
  </si>
  <si>
    <t>+91 9672930813</t>
  </si>
  <si>
    <t>+91 9660984071</t>
  </si>
  <si>
    <t>+91 9934047250</t>
  </si>
  <si>
    <t>+91 9752032054</t>
  </si>
  <si>
    <t>+91 9649044821</t>
  </si>
  <si>
    <t>+91 9581826138</t>
  </si>
  <si>
    <t>+91 9925840846</t>
  </si>
  <si>
    <t>+91 9773707861</t>
  </si>
  <si>
    <t>+91 9631082444</t>
  </si>
  <si>
    <t>+91 9395700637</t>
  </si>
  <si>
    <t>+91 9532844413</t>
  </si>
  <si>
    <t>+91 9482911533</t>
  </si>
  <si>
    <t>+91 9274240542</t>
  </si>
  <si>
    <t>+91 9809132116</t>
  </si>
  <si>
    <t>+91 9589711343</t>
  </si>
  <si>
    <t>+91 9156786149</t>
  </si>
  <si>
    <t>+91 9723637314</t>
  </si>
  <si>
    <t>+91 9784774674</t>
  </si>
  <si>
    <t>+91 9620700996</t>
  </si>
  <si>
    <t>+91 9130349881</t>
  </si>
  <si>
    <t>+91 9867909341</t>
  </si>
  <si>
    <t>+91 9511443358</t>
  </si>
  <si>
    <t>+91 9292703110</t>
  </si>
  <si>
    <t>+91 9627797589</t>
  </si>
  <si>
    <t>+91 9498027702</t>
  </si>
  <si>
    <t>+91 9231102165</t>
  </si>
  <si>
    <t>+91 9464436097</t>
  </si>
  <si>
    <t>+91 9701646883</t>
  </si>
  <si>
    <t>+91 9865237892</t>
  </si>
  <si>
    <t>+91 9114517718</t>
  </si>
  <si>
    <t>+91 9301669881</t>
  </si>
  <si>
    <t>+91 9369059480</t>
  </si>
  <si>
    <t>+91 9607132049</t>
  </si>
  <si>
    <t>+91 9531198608</t>
  </si>
  <si>
    <t>+91 9715496383</t>
  </si>
  <si>
    <t>+91 9995899008</t>
  </si>
  <si>
    <t>+91 9599693291</t>
  </si>
  <si>
    <t>+91 9461637936</t>
  </si>
  <si>
    <t>+91 9802713854</t>
  </si>
  <si>
    <t>+91 9102652990</t>
  </si>
  <si>
    <t>+91 9539392455</t>
  </si>
  <si>
    <t>+91 9752900333</t>
  </si>
  <si>
    <t>+91 9948570523</t>
  </si>
  <si>
    <t>+91 9749814470</t>
  </si>
  <si>
    <t>+91 9972088051</t>
  </si>
  <si>
    <t>+91 9853496509</t>
  </si>
  <si>
    <t>+91 9435410657</t>
  </si>
  <si>
    <t>+91 9881464896</t>
  </si>
  <si>
    <t>+91 9692329730</t>
  </si>
  <si>
    <t>+91 9518417424</t>
  </si>
  <si>
    <t>+91 9886305685</t>
  </si>
  <si>
    <t>+91 9402434836</t>
  </si>
  <si>
    <t>+91 9462818460</t>
  </si>
  <si>
    <t>+91 9286031204</t>
  </si>
  <si>
    <t>+91 9215153936</t>
  </si>
  <si>
    <t>+91 9531031278</t>
  </si>
  <si>
    <t>+91 9752806564</t>
  </si>
  <si>
    <t>+91 9579959624</t>
  </si>
  <si>
    <t>+91 9902818856</t>
  </si>
  <si>
    <t>+91 9952473473</t>
  </si>
  <si>
    <t>+91 9621275053</t>
  </si>
  <si>
    <t>+91 9877397978</t>
  </si>
  <si>
    <t>+91 9285244377</t>
  </si>
  <si>
    <t>+91 9179405214</t>
  </si>
  <si>
    <t>+91 9696890996</t>
  </si>
  <si>
    <t>+91 9454512411</t>
  </si>
  <si>
    <t>+91 9894447285</t>
  </si>
  <si>
    <t>+91 9110301822</t>
  </si>
  <si>
    <t>+91 9889453851</t>
  </si>
  <si>
    <t>+91 9261717666</t>
  </si>
  <si>
    <t>+91 9468776250</t>
  </si>
  <si>
    <t>+91 9431506453</t>
  </si>
  <si>
    <t>+91 9216265688</t>
  </si>
  <si>
    <t>+91 9240862949</t>
  </si>
  <si>
    <t>+91 9441321914</t>
  </si>
  <si>
    <t>+91 9734429891</t>
  </si>
  <si>
    <t>+91 9621676899</t>
  </si>
  <si>
    <t>+91 9934634659</t>
  </si>
  <si>
    <t>+91 9974820411</t>
  </si>
  <si>
    <t>+91 9709966783</t>
  </si>
  <si>
    <t>+91 9335188021</t>
  </si>
  <si>
    <t>+91 9319291882</t>
  </si>
  <si>
    <t>+91 9711824092</t>
  </si>
  <si>
    <t>+91 9734635432</t>
  </si>
  <si>
    <t>+91 9281199480</t>
  </si>
  <si>
    <t>+91 9590072026</t>
  </si>
  <si>
    <t>+91 9374824161</t>
  </si>
  <si>
    <t>+91 9633027137</t>
  </si>
  <si>
    <t>+91 9567233086</t>
  </si>
  <si>
    <t>+91 9910628747</t>
  </si>
  <si>
    <t>+91 9875600907</t>
  </si>
  <si>
    <t>+91 9236971784</t>
  </si>
  <si>
    <t>+91 9358300573</t>
  </si>
  <si>
    <t>+91 9639168745</t>
  </si>
  <si>
    <t>+91 9996554854</t>
  </si>
  <si>
    <t>+91 9284476022</t>
  </si>
  <si>
    <t>+91 9269570367</t>
  </si>
  <si>
    <t>+91 9836489905</t>
  </si>
  <si>
    <t>+91 9719976471</t>
  </si>
  <si>
    <t>+91 9864168768</t>
  </si>
  <si>
    <t>+91 9510541375</t>
  </si>
  <si>
    <t>+91 9282595256</t>
  </si>
  <si>
    <t>+91 9696613581</t>
  </si>
  <si>
    <t>+91 9793051306</t>
  </si>
  <si>
    <t>+91 9868291568</t>
  </si>
  <si>
    <t>+91 9148166617</t>
  </si>
  <si>
    <t>+91 9379000380</t>
  </si>
  <si>
    <t>+91 9785172290</t>
  </si>
  <si>
    <t>+91 9736175026</t>
  </si>
  <si>
    <t>+91 9842560664</t>
  </si>
  <si>
    <t>+91 9657532937</t>
  </si>
  <si>
    <t>+91 9570800850</t>
  </si>
  <si>
    <t>+91 9214647196</t>
  </si>
  <si>
    <t>+91 9820983948</t>
  </si>
  <si>
    <t>+91 9313940744</t>
  </si>
  <si>
    <t>+91 9328681628</t>
  </si>
  <si>
    <t>+91 9344618379</t>
  </si>
  <si>
    <t>+91 9971587865</t>
  </si>
  <si>
    <t>+91 9856113107</t>
  </si>
  <si>
    <t>+91 9525142234</t>
  </si>
  <si>
    <t>+91 9762664997</t>
  </si>
  <si>
    <t>+91 9663125689</t>
  </si>
  <si>
    <t>+91 9244571165</t>
  </si>
  <si>
    <t>+91 9761229484</t>
  </si>
  <si>
    <t>+91 9901128758</t>
  </si>
  <si>
    <t>+91 9206333888</t>
  </si>
  <si>
    <t>+91 9939994869</t>
  </si>
  <si>
    <t>+91 9673145437</t>
  </si>
  <si>
    <t>+91 9743929318</t>
  </si>
  <si>
    <t>+91 9438137848</t>
  </si>
  <si>
    <t>+91 9396577971</t>
  </si>
  <si>
    <t>+91 9533234301</t>
  </si>
  <si>
    <t>+91 9939293712</t>
  </si>
  <si>
    <t>+91 9565247082</t>
  </si>
  <si>
    <t>+91 9714358956</t>
  </si>
  <si>
    <t>+91 9630534761</t>
  </si>
  <si>
    <t>+91 9283051090</t>
  </si>
  <si>
    <t>+91 9752336389</t>
  </si>
  <si>
    <t>+91 9123138420</t>
  </si>
  <si>
    <t>+91 9415250344</t>
  </si>
  <si>
    <t>+91 9695649974</t>
  </si>
  <si>
    <t>+91 9835205763</t>
  </si>
  <si>
    <t>+91 9472813557</t>
  </si>
  <si>
    <t>+91 9243402997</t>
  </si>
  <si>
    <t>+91 9152002054</t>
  </si>
  <si>
    <t>+91 9292796036</t>
  </si>
  <si>
    <t>+91 9295474380</t>
  </si>
  <si>
    <t>+91 9688332225</t>
  </si>
  <si>
    <t>+91 9324930557</t>
  </si>
  <si>
    <t>+91 9710625754</t>
  </si>
  <si>
    <t>+91 9687959031</t>
  </si>
  <si>
    <t>+91 9152648580</t>
  </si>
  <si>
    <t>+91 9402642237</t>
  </si>
  <si>
    <t>+91 9551628131</t>
  </si>
  <si>
    <t>+91 9859499872</t>
  </si>
  <si>
    <t>+91 9767783082</t>
  </si>
  <si>
    <t>+91 9178200684</t>
  </si>
  <si>
    <t>+91 9252782634</t>
  </si>
  <si>
    <t>+91 9244485950</t>
  </si>
  <si>
    <t>+91 9312830433</t>
  </si>
  <si>
    <t>+91 9529148811</t>
  </si>
  <si>
    <t>+91 9315844369</t>
  </si>
  <si>
    <t>+91 9564388589</t>
  </si>
  <si>
    <t>+91 9498438990</t>
  </si>
  <si>
    <t>+91 9285461892</t>
  </si>
  <si>
    <t>+91 9116555202</t>
  </si>
  <si>
    <t>+91 9650228400</t>
  </si>
  <si>
    <t>+91 9309937878</t>
  </si>
  <si>
    <t>+91 9457548243</t>
  </si>
  <si>
    <t>+91 9629564772</t>
  </si>
  <si>
    <t>+91 9332222546</t>
  </si>
  <si>
    <t>+91 9430533904</t>
  </si>
  <si>
    <t>+91 9306390830</t>
  </si>
  <si>
    <t>+91 9284535485</t>
  </si>
  <si>
    <t>+91 9479389403</t>
  </si>
  <si>
    <t>+91 9251826278</t>
  </si>
  <si>
    <t>+91 9612488839</t>
  </si>
  <si>
    <t>+91 9202530116</t>
  </si>
  <si>
    <t>+91 9366606078</t>
  </si>
  <si>
    <t>+91 9227635277</t>
  </si>
  <si>
    <t>+91 9701184898</t>
  </si>
  <si>
    <t>+91 9401037689</t>
  </si>
  <si>
    <t>+91 9879237125</t>
  </si>
  <si>
    <t>+91 9112144288</t>
  </si>
  <si>
    <t>+91 9610621719</t>
  </si>
  <si>
    <t>+91 9258602283</t>
  </si>
  <si>
    <t>+91 9838896711</t>
  </si>
  <si>
    <t>+91 9530851846</t>
  </si>
  <si>
    <t>+91 9477332615</t>
  </si>
  <si>
    <t>+91 9704267103</t>
  </si>
  <si>
    <t>+91 9389433788</t>
  </si>
  <si>
    <t>+91 9455703014</t>
  </si>
  <si>
    <t>+91 9633200222</t>
  </si>
  <si>
    <t>+91 9871246487</t>
  </si>
  <si>
    <t>+91 9150972912</t>
  </si>
  <si>
    <t>+91 9923453121</t>
  </si>
  <si>
    <t>+91 9289511328</t>
  </si>
  <si>
    <t>+91 9261137224</t>
  </si>
  <si>
    <t>+91 9659694884</t>
  </si>
  <si>
    <t>+91 9327522227</t>
  </si>
  <si>
    <t>+91 9928449276</t>
  </si>
  <si>
    <t>+91 9592579399</t>
  </si>
  <si>
    <t>+91 9782462936</t>
  </si>
  <si>
    <t>+91 9476531382</t>
  </si>
  <si>
    <t>+91 9407798161</t>
  </si>
  <si>
    <t>+91 9554333789</t>
  </si>
  <si>
    <t>+91 9126930176</t>
  </si>
  <si>
    <t>+91 9309342065</t>
  </si>
  <si>
    <t>+91 9121134303</t>
  </si>
  <si>
    <t>+91 9565906251</t>
  </si>
  <si>
    <t>+91 9612473511</t>
  </si>
  <si>
    <t>+91 9585354809</t>
  </si>
  <si>
    <t>+91 9465492038</t>
  </si>
  <si>
    <t>+91 9971579608</t>
  </si>
  <si>
    <t>+91 9339870633</t>
  </si>
  <si>
    <t>+91 9164015169</t>
  </si>
  <si>
    <t>+91 9140111695</t>
  </si>
  <si>
    <t>+91 9200196693</t>
  </si>
  <si>
    <t>+91 9144070932</t>
  </si>
  <si>
    <t>+91 9546467017</t>
  </si>
  <si>
    <t>+91 9877437929</t>
  </si>
  <si>
    <t>+91 9274781960</t>
  </si>
  <si>
    <t>+91 9762944378</t>
  </si>
  <si>
    <t>+91 9173311156</t>
  </si>
  <si>
    <t>+91 9984940882</t>
  </si>
  <si>
    <t>+91 9109115897</t>
  </si>
  <si>
    <t>+91 9644997207</t>
  </si>
  <si>
    <t>+91 9589304677</t>
  </si>
  <si>
    <t>+91 9845495621</t>
  </si>
  <si>
    <t>+91 9513379937</t>
  </si>
  <si>
    <t>+91 9825717029</t>
  </si>
  <si>
    <t>+91 9987133127</t>
  </si>
  <si>
    <t>+91 9491903131</t>
  </si>
  <si>
    <t>+91 9840279698</t>
  </si>
  <si>
    <t>+91 9425378241</t>
  </si>
  <si>
    <t>+91 9833863801</t>
  </si>
  <si>
    <t>+91 9728857946</t>
  </si>
  <si>
    <t>+91 9957227910</t>
  </si>
  <si>
    <t>+91 9342679966</t>
  </si>
  <si>
    <t>+91 9468698633</t>
  </si>
  <si>
    <t>+91 9220181820</t>
  </si>
  <si>
    <t>+91 9171911951</t>
  </si>
  <si>
    <t>+91 9760400199</t>
  </si>
  <si>
    <t>+91 9460058951</t>
  </si>
  <si>
    <t>+91 9977808857</t>
  </si>
  <si>
    <t>+91 9887699944</t>
  </si>
  <si>
    <t>+91 9407086539</t>
  </si>
  <si>
    <t>+91 9281471094</t>
  </si>
  <si>
    <t>+91 9665868770</t>
  </si>
  <si>
    <t>+91 9539795424</t>
  </si>
  <si>
    <t>+91 9432238038</t>
  </si>
  <si>
    <t>+91 9623226657</t>
  </si>
  <si>
    <t>+91 9868767950</t>
  </si>
  <si>
    <t>+91 9161807273</t>
  </si>
  <si>
    <t>+91 9628456885</t>
  </si>
  <si>
    <t>+91 9529014435</t>
  </si>
  <si>
    <t>+91 9892121176</t>
  </si>
  <si>
    <t>+91 9100942104</t>
  </si>
  <si>
    <t>+91 9732934599</t>
  </si>
  <si>
    <t>+91 9637551174</t>
  </si>
  <si>
    <t>+91 9558300651</t>
  </si>
  <si>
    <t>+91 9354954401</t>
  </si>
  <si>
    <t>+91 9931996706</t>
  </si>
  <si>
    <t>+91 9232794475</t>
  </si>
  <si>
    <t>+91 9493830066</t>
  </si>
  <si>
    <t>+91 9444647342</t>
  </si>
  <si>
    <t>+91 9197261673</t>
  </si>
  <si>
    <t>+91 9376515527</t>
  </si>
  <si>
    <t>+91 9370363394</t>
  </si>
  <si>
    <t>+91 9532189070</t>
  </si>
  <si>
    <t>+91 9734328411</t>
  </si>
  <si>
    <t>+91 9743257061</t>
  </si>
  <si>
    <t>+91 9300811814</t>
  </si>
  <si>
    <t>+91 9223855235</t>
  </si>
  <si>
    <t>+91 9627332076</t>
  </si>
  <si>
    <t>+91 9507319688</t>
  </si>
  <si>
    <t>+91 9188703289</t>
  </si>
  <si>
    <t>+91 9741745126</t>
  </si>
  <si>
    <t>+91 9993881227</t>
  </si>
  <si>
    <t>+91 9559981315</t>
  </si>
  <si>
    <t>+91 9815394832</t>
  </si>
  <si>
    <t>+91 9489653647</t>
  </si>
  <si>
    <t>+91 9582189681</t>
  </si>
  <si>
    <t>+91 9891064315</t>
  </si>
  <si>
    <t>+91 9258885992</t>
  </si>
  <si>
    <t>+91 9285726809</t>
  </si>
  <si>
    <t>+91 9369072798</t>
  </si>
  <si>
    <t>+91 9536981903</t>
  </si>
  <si>
    <t>+91 9991250871</t>
  </si>
  <si>
    <t>+91 9689267455</t>
  </si>
  <si>
    <t>+91 9469163494</t>
  </si>
  <si>
    <t>+91 9231490507</t>
  </si>
  <si>
    <t>+91 9536591660</t>
  </si>
  <si>
    <t>+91 9585000794</t>
  </si>
  <si>
    <t>+91 9937253526</t>
  </si>
  <si>
    <t>+91 9204446890</t>
  </si>
  <si>
    <t>+91 9113679824</t>
  </si>
  <si>
    <t>+91 9279041025</t>
  </si>
  <si>
    <t>+91 9722413454</t>
  </si>
  <si>
    <t>+91 9105306170</t>
  </si>
  <si>
    <t>+91 9462004982</t>
  </si>
  <si>
    <t>+91 9924435195</t>
  </si>
  <si>
    <t>+91 9709988306</t>
  </si>
  <si>
    <t>+91 9945351730</t>
  </si>
  <si>
    <t>+91 9499668504</t>
  </si>
  <si>
    <t>+91 9120716939</t>
  </si>
  <si>
    <t>+91 9745429164</t>
  </si>
  <si>
    <t>+91 9776258324</t>
  </si>
  <si>
    <t>+91 9891057100</t>
  </si>
  <si>
    <t>+91 9745752937</t>
  </si>
  <si>
    <t>+91 9705342983</t>
  </si>
  <si>
    <t>+91 9937031464</t>
  </si>
  <si>
    <t>+91 9366199371</t>
  </si>
  <si>
    <t>+91 9896525701</t>
  </si>
  <si>
    <t>+91 9324990391</t>
  </si>
  <si>
    <t>+91 9982933855</t>
  </si>
  <si>
    <t>+91 9435817336</t>
  </si>
  <si>
    <t>+91 9597032512</t>
  </si>
  <si>
    <t>+91 9214234964</t>
  </si>
  <si>
    <t>+91 9411576673</t>
  </si>
  <si>
    <t>+91 9549636389</t>
  </si>
  <si>
    <t>+91 9894415342</t>
  </si>
  <si>
    <t>+91 9816050583</t>
  </si>
  <si>
    <t>+91 9950378364</t>
  </si>
  <si>
    <t>+91 9569380028</t>
  </si>
  <si>
    <t>+91 9375848500</t>
  </si>
  <si>
    <t>+91 9630022249</t>
  </si>
  <si>
    <t>+91 9127379550</t>
  </si>
  <si>
    <t>+91 9202798081</t>
  </si>
  <si>
    <t>+91 9165035083</t>
  </si>
  <si>
    <t>+91 9555864582</t>
  </si>
  <si>
    <t>+91 9498071462</t>
  </si>
  <si>
    <t>+91 9130673711</t>
  </si>
  <si>
    <t>+91 9332278817</t>
  </si>
  <si>
    <t>+91 9972921349</t>
  </si>
  <si>
    <t>+91 9760827069</t>
  </si>
  <si>
    <t>+91 9162371023</t>
  </si>
  <si>
    <t>+91 9856877152</t>
  </si>
  <si>
    <t>+91 9190984505</t>
  </si>
  <si>
    <t>+91 9563236562</t>
  </si>
  <si>
    <t>+91 9546949601</t>
  </si>
  <si>
    <t>+91 9797458256</t>
  </si>
  <si>
    <t>+91 9343187542</t>
  </si>
  <si>
    <t>+91 9966214965</t>
  </si>
  <si>
    <t>+91 9172928938</t>
  </si>
  <si>
    <t>+91 9151716747</t>
  </si>
  <si>
    <t>+91 9180100540</t>
  </si>
  <si>
    <t>+91 9924368338</t>
  </si>
  <si>
    <t>+91 9329084815</t>
  </si>
  <si>
    <t>+91 9148868790</t>
  </si>
  <si>
    <t>+91 9233045538</t>
  </si>
  <si>
    <t>+91 9225402109</t>
  </si>
  <si>
    <t>+91 9158826189</t>
  </si>
  <si>
    <t>+91 9915108292</t>
  </si>
  <si>
    <t>+91 9846179239</t>
  </si>
  <si>
    <t>+91 9190121903</t>
  </si>
  <si>
    <t>+91 9664993806</t>
  </si>
  <si>
    <t>+91 9169845923</t>
  </si>
  <si>
    <t>+91 9163227765</t>
  </si>
  <si>
    <t>+91 9372040793</t>
  </si>
  <si>
    <t>+91 9212212609</t>
  </si>
  <si>
    <t>+91 9643855031</t>
  </si>
  <si>
    <t>+91 9369328841</t>
  </si>
  <si>
    <t>+91 9507956074</t>
  </si>
  <si>
    <t>+91 9917564870</t>
  </si>
  <si>
    <t>+91 9248099085</t>
  </si>
  <si>
    <t>+91 9810962281</t>
  </si>
  <si>
    <t>+91 9981693372</t>
  </si>
  <si>
    <t>+91 9802612554</t>
  </si>
  <si>
    <t>+91 9974125016</t>
  </si>
  <si>
    <t>+91 9871368178</t>
  </si>
  <si>
    <t>+91 9499603788</t>
  </si>
  <si>
    <t>+91 9871570085</t>
  </si>
  <si>
    <t>+91 9241909886</t>
  </si>
  <si>
    <t>+91 9203051266</t>
  </si>
  <si>
    <t>+91 9337844210</t>
  </si>
  <si>
    <t>+91 9468078004</t>
  </si>
  <si>
    <t>+91 9115452961</t>
  </si>
  <si>
    <t>+91 9413821299</t>
  </si>
  <si>
    <t>+91 9627073294</t>
  </si>
  <si>
    <t>+91 9670733858</t>
  </si>
  <si>
    <t>+91 9425295592</t>
  </si>
  <si>
    <t>+91 9931015578</t>
  </si>
  <si>
    <t>+91 9130658644</t>
  </si>
  <si>
    <t>+91 9800469378</t>
  </si>
  <si>
    <t>+91 9728868574</t>
  </si>
  <si>
    <t>+91 9389266753</t>
  </si>
  <si>
    <t>+91 9871066426</t>
  </si>
  <si>
    <t>+91 9855530428</t>
  </si>
  <si>
    <t>+91 9434491190</t>
  </si>
  <si>
    <t>+91 9709555966</t>
  </si>
  <si>
    <t>+91 9303267511</t>
  </si>
  <si>
    <t>+91 9748860314</t>
  </si>
  <si>
    <t>+91 9963650177</t>
  </si>
  <si>
    <t>+91 9801455262</t>
  </si>
  <si>
    <t>+91 9953245625</t>
  </si>
  <si>
    <t>+91 9889655507</t>
  </si>
  <si>
    <t>+91 9597790686</t>
  </si>
  <si>
    <t>+91 9151439343</t>
  </si>
  <si>
    <t>+91 9242916095</t>
  </si>
  <si>
    <t>+91 9174235091</t>
  </si>
  <si>
    <t>+91 9175855736</t>
  </si>
  <si>
    <t>+91 9218337459</t>
  </si>
  <si>
    <t>+91 9216270661</t>
  </si>
  <si>
    <t>+91 9104919178</t>
  </si>
  <si>
    <t>+91 9367359186</t>
  </si>
  <si>
    <t>+91 9631243522</t>
  </si>
  <si>
    <t>+91 9578584535</t>
  </si>
  <si>
    <t>+91 9220822307</t>
  </si>
  <si>
    <t>+91 9547090044</t>
  </si>
  <si>
    <t>+91 9390410691</t>
  </si>
  <si>
    <t>+91 9728073121</t>
  </si>
  <si>
    <t>+91 9115131074</t>
  </si>
  <si>
    <t>+91 9695193730</t>
  </si>
  <si>
    <t>+91 9323918801</t>
  </si>
  <si>
    <t>+91 9621862501</t>
  </si>
  <si>
    <t>+91 9676829651</t>
  </si>
  <si>
    <t>+91 9107026981</t>
  </si>
  <si>
    <t>+91 9869287168</t>
  </si>
  <si>
    <t>+91 9497841985</t>
  </si>
  <si>
    <t>+91 9979381768</t>
  </si>
  <si>
    <t>+91 9679264750</t>
  </si>
  <si>
    <t>+91 9118362521</t>
  </si>
  <si>
    <t>+91 9429746810</t>
  </si>
  <si>
    <t>+91 9624971787</t>
  </si>
  <si>
    <t>+91 9557206255</t>
  </si>
  <si>
    <t>+91 9410133436</t>
  </si>
  <si>
    <t>+91 9250343265</t>
  </si>
  <si>
    <t>+91 9761063613</t>
  </si>
  <si>
    <t>+91 9368808984</t>
  </si>
  <si>
    <t>+91 9253600187</t>
  </si>
  <si>
    <t>+91 9603416552</t>
  </si>
  <si>
    <t>+91 9903599425</t>
  </si>
  <si>
    <t>+91 9496075774</t>
  </si>
  <si>
    <t>+91 9685096422</t>
  </si>
  <si>
    <t>+91 9450621030</t>
  </si>
  <si>
    <t>+91 9609362856</t>
  </si>
  <si>
    <t>+91 9393752326</t>
  </si>
  <si>
    <t>+91 9509036290</t>
  </si>
  <si>
    <t>+91 9618561670</t>
  </si>
  <si>
    <t>+91 9791554542</t>
  </si>
  <si>
    <t>+91 9234216699</t>
  </si>
  <si>
    <t>+91 9407337545</t>
  </si>
  <si>
    <t>+91 9399530638</t>
  </si>
  <si>
    <t>+91 9648565168</t>
  </si>
  <si>
    <t>+91 9501179069</t>
  </si>
  <si>
    <t>+91 9730846934</t>
  </si>
  <si>
    <t>+91 9498542848</t>
  </si>
  <si>
    <t>+91 9375610775</t>
  </si>
  <si>
    <t>+91 9307302029</t>
  </si>
  <si>
    <t>+91 9408190953</t>
  </si>
  <si>
    <t>+91 9950721164</t>
  </si>
  <si>
    <t>+91 9177201375</t>
  </si>
  <si>
    <t>+91 9512430656</t>
  </si>
  <si>
    <t>+91 9835567435</t>
  </si>
  <si>
    <t>+91 9335338183</t>
  </si>
  <si>
    <t>+91 9904645704</t>
  </si>
  <si>
    <t>+91 9520689752</t>
  </si>
  <si>
    <t>+91 9108289593</t>
  </si>
  <si>
    <t>+91 9320002485</t>
  </si>
  <si>
    <t>+91 9202127658</t>
  </si>
  <si>
    <t>+91 9611454536</t>
  </si>
  <si>
    <t>+91 9757576651</t>
  </si>
  <si>
    <t>+91 9857915508</t>
  </si>
  <si>
    <t>+91 9330165682</t>
  </si>
  <si>
    <t>+91 9597447623</t>
  </si>
  <si>
    <t>+91 9704264230</t>
  </si>
  <si>
    <t>+91 9788046010</t>
  </si>
  <si>
    <t>+91 9374327086</t>
  </si>
  <si>
    <t>+91 9460740218</t>
  </si>
  <si>
    <t>+91 9378438186</t>
  </si>
  <si>
    <t>+91 9944775095</t>
  </si>
  <si>
    <t>+91 9366269045</t>
  </si>
  <si>
    <t>+91 9477764706</t>
  </si>
  <si>
    <t>+91 9347369554</t>
  </si>
  <si>
    <t>+91 9102364975</t>
  </si>
  <si>
    <t>+91 9703192852</t>
  </si>
  <si>
    <t>+91 9873650242</t>
  </si>
  <si>
    <t>+91 9161627481</t>
  </si>
  <si>
    <t>+91 9301515080</t>
  </si>
  <si>
    <t>+91 9531355751</t>
  </si>
  <si>
    <t>+91 9598462166</t>
  </si>
  <si>
    <t>+91 9540408692</t>
  </si>
  <si>
    <t>+91 9332760819</t>
  </si>
  <si>
    <t>+91 9451856965</t>
  </si>
  <si>
    <t>+91 9430044423</t>
  </si>
  <si>
    <t>+91 9345587107</t>
  </si>
  <si>
    <t>+91 9599622673</t>
  </si>
  <si>
    <t>+91 9285346257</t>
  </si>
  <si>
    <t>+91 9689125763</t>
  </si>
  <si>
    <t>+91 9626075962</t>
  </si>
  <si>
    <t>+91 9489412478</t>
  </si>
  <si>
    <t>+91 9969646582</t>
  </si>
  <si>
    <t>+91 9910333234</t>
  </si>
  <si>
    <t>+91 9854024034</t>
  </si>
  <si>
    <t>+91 9580154084</t>
  </si>
  <si>
    <t>+91 9171091622</t>
  </si>
  <si>
    <t>+91 9949073708</t>
  </si>
  <si>
    <t>+91 9519096374</t>
  </si>
  <si>
    <t>+91 9232359614</t>
  </si>
  <si>
    <t>+91 9134565157</t>
  </si>
  <si>
    <t>+91 9226680040</t>
  </si>
  <si>
    <t>+91 9342470113</t>
  </si>
  <si>
    <t>+91 9582718807</t>
  </si>
  <si>
    <t>+91 9835087825</t>
  </si>
  <si>
    <t>+91 9661330485</t>
  </si>
  <si>
    <t>+91 9261853932</t>
  </si>
  <si>
    <t>+91 9901150759</t>
  </si>
  <si>
    <t>+91 9377548928</t>
  </si>
  <si>
    <t>+91 9283005619</t>
  </si>
  <si>
    <t>+91 9544494093</t>
  </si>
  <si>
    <t>+91 9702490304</t>
  </si>
  <si>
    <t>+91 9830425266</t>
  </si>
  <si>
    <t>+91 9602867145</t>
  </si>
  <si>
    <t>+91 9592921061</t>
  </si>
  <si>
    <t>+91 9579925280</t>
  </si>
  <si>
    <t>+91 9184034442</t>
  </si>
  <si>
    <t>+91 9263378941</t>
  </si>
  <si>
    <t>+91 9574476283</t>
  </si>
  <si>
    <t>+91 9535314544</t>
  </si>
  <si>
    <t>+91 9428457272</t>
  </si>
  <si>
    <t>+91 9121401586</t>
  </si>
  <si>
    <t>+91 9378952789</t>
  </si>
  <si>
    <t>+91 9430827002</t>
  </si>
  <si>
    <t>+91 9589089860</t>
  </si>
  <si>
    <t>+91 9379187963</t>
  </si>
  <si>
    <t>+91 9894438283</t>
  </si>
  <si>
    <t>+91 9657043201</t>
  </si>
  <si>
    <t>+91 9723350721</t>
  </si>
  <si>
    <t>+91 9207833369</t>
  </si>
  <si>
    <t>+91 9980550997</t>
  </si>
  <si>
    <t>+91 9801560953</t>
  </si>
  <si>
    <t>+91 9500455242</t>
  </si>
  <si>
    <t>+91 9729660554</t>
  </si>
  <si>
    <t>+91 9360216114</t>
  </si>
  <si>
    <t>+91 9513266708</t>
  </si>
  <si>
    <t>+91 9737774240</t>
  </si>
  <si>
    <t>+91 9116671729</t>
  </si>
  <si>
    <t>+91 9585550846</t>
  </si>
  <si>
    <t>+91 9244261701</t>
  </si>
  <si>
    <t>+91 9292895396</t>
  </si>
  <si>
    <t>+91 9966804534</t>
  </si>
  <si>
    <t>+91 9495152588</t>
  </si>
  <si>
    <t>+91 9398309733</t>
  </si>
  <si>
    <t>+91 9840386980</t>
  </si>
  <si>
    <t>+91 9705517936</t>
  </si>
  <si>
    <t>+91 9316986773</t>
  </si>
  <si>
    <t>+91 9545200541</t>
  </si>
  <si>
    <t>+91 9855396807</t>
  </si>
  <si>
    <t>+91 9392418413</t>
  </si>
  <si>
    <t>+91 9130700120</t>
  </si>
  <si>
    <t>+91 9672012915</t>
  </si>
  <si>
    <t>+91 9593113948</t>
  </si>
  <si>
    <t>+91 9539048103</t>
  </si>
  <si>
    <t>+91 9410048648</t>
  </si>
  <si>
    <t>+91 9311486259</t>
  </si>
  <si>
    <t>+91 9169923173</t>
  </si>
  <si>
    <t>+91 9196837745</t>
  </si>
  <si>
    <t>+91 9936060207</t>
  </si>
  <si>
    <t>+91 9411144254</t>
  </si>
  <si>
    <t>+91 9444212856</t>
  </si>
  <si>
    <t>+91 9847065253</t>
  </si>
  <si>
    <t>+91 9375178186</t>
  </si>
  <si>
    <t>+91 9554525756</t>
  </si>
  <si>
    <t>+91 9242935749</t>
  </si>
  <si>
    <t>+91 9834204470</t>
  </si>
  <si>
    <t>+91 9435970962</t>
  </si>
  <si>
    <t>+91 9752824867</t>
  </si>
  <si>
    <t>+91 9902394402</t>
  </si>
  <si>
    <t>+91 9206499128</t>
  </si>
  <si>
    <t>+91 9492846595</t>
  </si>
  <si>
    <t>+91 9733362384</t>
  </si>
  <si>
    <t>+91 9400055253</t>
  </si>
  <si>
    <t>+91 9287277692</t>
  </si>
  <si>
    <t>+91 9897904117</t>
  </si>
  <si>
    <t>+91 9563702095</t>
  </si>
  <si>
    <t>+91 9604556730</t>
  </si>
  <si>
    <t>+91 9142597245</t>
  </si>
  <si>
    <t>+91 9196428564</t>
  </si>
  <si>
    <t>+91 9334836116</t>
  </si>
  <si>
    <t>+91 9734091387</t>
  </si>
  <si>
    <t>+91 9322532578</t>
  </si>
  <si>
    <t>+91 9387099191</t>
  </si>
  <si>
    <t>+91 9729488004</t>
  </si>
  <si>
    <t>+91 9988485950</t>
  </si>
  <si>
    <t>+91 9301046117</t>
  </si>
  <si>
    <t>+91 9460540693</t>
  </si>
  <si>
    <t>+91 9260454575</t>
  </si>
  <si>
    <t>+91 9253743291</t>
  </si>
  <si>
    <t>+91 9325194751</t>
  </si>
  <si>
    <t>+91 9851802589</t>
  </si>
  <si>
    <t>+91 9693907874</t>
  </si>
  <si>
    <t>+91 9587878876</t>
  </si>
  <si>
    <t>+91 9182154814</t>
  </si>
  <si>
    <t>+91 9616798306</t>
  </si>
  <si>
    <t>+91 9962093963</t>
  </si>
  <si>
    <t>+91 9600976741</t>
  </si>
  <si>
    <t>+91 9872860576</t>
  </si>
  <si>
    <t>+91 9785581674</t>
  </si>
  <si>
    <t>+91 9740708937</t>
  </si>
  <si>
    <t>+91 9559643637</t>
  </si>
  <si>
    <t>+91 9277274178</t>
  </si>
  <si>
    <t>+91 9121668921</t>
  </si>
  <si>
    <t>+91 9916820196</t>
  </si>
  <si>
    <t>+91 9971732941</t>
  </si>
  <si>
    <t>+91 9637322763</t>
  </si>
  <si>
    <t>+91 9539500975</t>
  </si>
  <si>
    <t>+91 9876545420</t>
  </si>
  <si>
    <t>+91 9995250170</t>
  </si>
  <si>
    <t>+91 9848991200</t>
  </si>
  <si>
    <t>+91 9989599132</t>
  </si>
  <si>
    <t>+91 9200229942</t>
  </si>
  <si>
    <t>+91 9679005899</t>
  </si>
  <si>
    <t>+91 9407712780</t>
  </si>
  <si>
    <t>+91 9584087095</t>
  </si>
  <si>
    <t>+91 9152038951</t>
  </si>
  <si>
    <t>+91 9571063574</t>
  </si>
  <si>
    <t>+91 9599288334</t>
  </si>
  <si>
    <t>+91 9148591351</t>
  </si>
  <si>
    <t>+91 9550210525</t>
  </si>
  <si>
    <t>+91 9472045407</t>
  </si>
  <si>
    <t>+91 9585972739</t>
  </si>
  <si>
    <t>+91 9831614986</t>
  </si>
  <si>
    <t>+91 9661397520</t>
  </si>
  <si>
    <t>+91 9483130850</t>
  </si>
  <si>
    <t>+91 9721136602</t>
  </si>
  <si>
    <t>+91 9960014720</t>
  </si>
  <si>
    <t>+91 9737540332</t>
  </si>
  <si>
    <t>+91 9240685599</t>
  </si>
  <si>
    <t>+91 9890746125</t>
  </si>
  <si>
    <t>+91 9938663107</t>
  </si>
  <si>
    <t>+91 9991711543</t>
  </si>
  <si>
    <t>+91 9561986306</t>
  </si>
  <si>
    <t>+91 9863843409</t>
  </si>
  <si>
    <t>+91 9552346019</t>
  </si>
  <si>
    <t>+91 9462349607</t>
  </si>
  <si>
    <t>+91 9590874091</t>
  </si>
  <si>
    <t>+91 9789753387</t>
  </si>
  <si>
    <t>+91 9939992305</t>
  </si>
  <si>
    <t>+91 9900761164</t>
  </si>
  <si>
    <t>+91 9794370043</t>
  </si>
  <si>
    <t>+91 9626294304</t>
  </si>
  <si>
    <t>+91 9292548160</t>
  </si>
  <si>
    <t>+91 9470607988</t>
  </si>
  <si>
    <t>+91 9842717575</t>
  </si>
  <si>
    <t>+91 9712214905</t>
  </si>
  <si>
    <t>+91 9825491806</t>
  </si>
  <si>
    <t>+91 9746539456</t>
  </si>
  <si>
    <t>+91 9621465484</t>
  </si>
  <si>
    <t>+91 9142575123</t>
  </si>
  <si>
    <t>+91 9731450108</t>
  </si>
  <si>
    <t>+91 9341730102</t>
  </si>
  <si>
    <t>+91 9565098791</t>
  </si>
  <si>
    <t>+91 9756369000</t>
  </si>
  <si>
    <t>+91 9958771359</t>
  </si>
  <si>
    <t>+91 9196602155</t>
  </si>
  <si>
    <t>+91 9426410239</t>
  </si>
  <si>
    <t>+91 9564389392</t>
  </si>
  <si>
    <t>+91 9290710654</t>
  </si>
  <si>
    <t>+91 9583215100</t>
  </si>
  <si>
    <t>+91 9140884491</t>
  </si>
  <si>
    <t>+91 9612202425</t>
  </si>
  <si>
    <t>+91 9145924233</t>
  </si>
  <si>
    <t>+91 9780104474</t>
  </si>
  <si>
    <t>+91 9539895095</t>
  </si>
  <si>
    <t>+91 9844287259</t>
  </si>
  <si>
    <t>+91 9328968906</t>
  </si>
  <si>
    <t>+91 9299533906</t>
  </si>
  <si>
    <t>+91 9950566658</t>
  </si>
  <si>
    <t>+91 9933629115</t>
  </si>
  <si>
    <t>+91 9973060553</t>
  </si>
  <si>
    <t>+91 9911862890</t>
  </si>
  <si>
    <t>+91 9912474909</t>
  </si>
  <si>
    <t>+91 9545476218</t>
  </si>
  <si>
    <t>+91 9981283646</t>
  </si>
  <si>
    <t>+91 9649790238</t>
  </si>
  <si>
    <t>+91 9987831918</t>
  </si>
  <si>
    <t>+91 9273680500</t>
  </si>
  <si>
    <t>+91 9577233314</t>
  </si>
  <si>
    <t>+91 9792066293</t>
  </si>
  <si>
    <t>+91 9354631732</t>
  </si>
  <si>
    <t>+91 9372072777</t>
  </si>
  <si>
    <t>+91 9927954092</t>
  </si>
  <si>
    <t>+91 9570588077</t>
  </si>
  <si>
    <t>+91 9166196622</t>
  </si>
  <si>
    <t>+91 9631230047</t>
  </si>
  <si>
    <t>+91 9811026161</t>
  </si>
  <si>
    <t>+91 9672535353</t>
  </si>
  <si>
    <t>+91 9204239491</t>
  </si>
  <si>
    <t>+91 9676408656</t>
  </si>
  <si>
    <t>+91 9130330891</t>
  </si>
  <si>
    <t>+91 9844152876</t>
  </si>
  <si>
    <t>+91 9420232340</t>
  </si>
  <si>
    <t>+91 9134553998</t>
  </si>
  <si>
    <t>+91 9390506222</t>
  </si>
  <si>
    <t>+91 9814023712</t>
  </si>
  <si>
    <t>+91 9192639007</t>
  </si>
  <si>
    <t>+91 9675899253</t>
  </si>
  <si>
    <t>+91 9526150253</t>
  </si>
  <si>
    <t>+91 9450116857</t>
  </si>
  <si>
    <t>+91 9172719182</t>
  </si>
  <si>
    <t>+91 9725468420</t>
  </si>
  <si>
    <t>+91 9155988908</t>
  </si>
  <si>
    <t>+91 9271231760</t>
  </si>
  <si>
    <t>+91 9390133566</t>
  </si>
  <si>
    <t>+91 9840995990</t>
  </si>
  <si>
    <t>+91 9445053672</t>
  </si>
  <si>
    <t>+91 9667599733</t>
  </si>
  <si>
    <t>+91 9563217374</t>
  </si>
  <si>
    <t>+91 9178728514</t>
  </si>
  <si>
    <t>+91 9239639744</t>
  </si>
  <si>
    <t>+91 9335582763</t>
  </si>
  <si>
    <t>+91 9791392347</t>
  </si>
  <si>
    <t>+91 9183149401</t>
  </si>
  <si>
    <t>+91 9588277895</t>
  </si>
  <si>
    <t>+91 9312874004</t>
  </si>
  <si>
    <t>+91 9649587343</t>
  </si>
  <si>
    <t>+91 9368118113</t>
  </si>
  <si>
    <t>+91 9437545648</t>
  </si>
  <si>
    <t>+91 9610989628</t>
  </si>
  <si>
    <t>+91 9674596749</t>
  </si>
  <si>
    <t>+91 9807151293</t>
  </si>
  <si>
    <t>+91 9943201694</t>
  </si>
  <si>
    <t>+91 9534609379</t>
  </si>
  <si>
    <t>+91 9418068845</t>
  </si>
  <si>
    <t>+91 9338350666</t>
  </si>
  <si>
    <t>+91 9988973104</t>
  </si>
  <si>
    <t>+91 9754007690</t>
  </si>
  <si>
    <t>+91 9654781793</t>
  </si>
  <si>
    <t>+91 9528868154</t>
  </si>
  <si>
    <t>+91 9676844863</t>
  </si>
  <si>
    <t>+91 9709016359</t>
  </si>
  <si>
    <t>+91 9908479492</t>
  </si>
  <si>
    <t>+91 9693109510</t>
  </si>
  <si>
    <t>+91 9237447726</t>
  </si>
  <si>
    <t>+91 9521232578</t>
  </si>
  <si>
    <t>+91 9894223494</t>
  </si>
  <si>
    <t>+91 9112259570</t>
  </si>
  <si>
    <t>+91 9274107338</t>
  </si>
  <si>
    <t>+91 9695314563</t>
  </si>
  <si>
    <t>+91 9897640479</t>
  </si>
  <si>
    <t>+91 9819987399</t>
  </si>
  <si>
    <t>+91 9619992450</t>
  </si>
  <si>
    <t>+91 9160449706</t>
  </si>
  <si>
    <t>+91 9126158801</t>
  </si>
  <si>
    <t>+91 9499909655</t>
  </si>
  <si>
    <t>+91 9291521182</t>
  </si>
  <si>
    <t>+91 9467482207</t>
  </si>
  <si>
    <t>+91 9488536961</t>
  </si>
  <si>
    <t>+91 9803549535</t>
  </si>
  <si>
    <t>+91 9395024644</t>
  </si>
  <si>
    <t>+91 9867603645</t>
  </si>
  <si>
    <t>+91 9802916838</t>
  </si>
  <si>
    <t>+91 9733462954</t>
  </si>
  <si>
    <t>+91 9942635280</t>
  </si>
  <si>
    <t>+91 9319108303</t>
  </si>
  <si>
    <t>+91 9344823798</t>
  </si>
  <si>
    <t>+91 9829653243</t>
  </si>
  <si>
    <t>+91 9902981586</t>
  </si>
  <si>
    <t>+91 9802526845</t>
  </si>
  <si>
    <t>+91 9427042753</t>
  </si>
  <si>
    <t>+91 9414984005</t>
  </si>
  <si>
    <t>+91 9651384326</t>
  </si>
  <si>
    <t>+91 9601650416</t>
  </si>
  <si>
    <t>+91 9363354350</t>
  </si>
  <si>
    <t>+91 9707723203</t>
  </si>
  <si>
    <t>+91 9789944294</t>
  </si>
  <si>
    <t>+91 9739638832</t>
  </si>
  <si>
    <t>+91 9470291410</t>
  </si>
  <si>
    <t>+91 9449500353</t>
  </si>
  <si>
    <t>+91 9484086798</t>
  </si>
  <si>
    <t>+91 9564314632</t>
  </si>
  <si>
    <t>+91 9992575366</t>
  </si>
  <si>
    <t>+91 9786536081</t>
  </si>
  <si>
    <t>+91 9993614319</t>
  </si>
  <si>
    <t>+91 9674491621</t>
  </si>
  <si>
    <t>+91 9354972506</t>
  </si>
  <si>
    <t>+91 9389956090</t>
  </si>
  <si>
    <t>+91 9399697735</t>
  </si>
  <si>
    <t>+91 9705029543</t>
  </si>
  <si>
    <t>+91 9308529533</t>
  </si>
  <si>
    <t>+91 9118919301</t>
  </si>
  <si>
    <t>+91 9874288155</t>
  </si>
  <si>
    <t>+91 9772328415</t>
  </si>
  <si>
    <t>+91 9686292814</t>
  </si>
  <si>
    <t>+91 9662727733</t>
  </si>
  <si>
    <t>+91 9183842322</t>
  </si>
  <si>
    <t>+91 9286852285</t>
  </si>
  <si>
    <t>+91 9818778494</t>
  </si>
  <si>
    <t>+91 9366890033</t>
  </si>
  <si>
    <t>+91 9318155357</t>
  </si>
  <si>
    <t>+91 9507755550</t>
  </si>
  <si>
    <t>+91 9738203423</t>
  </si>
  <si>
    <t>+91 9594171175</t>
  </si>
  <si>
    <t>+91 9695413451</t>
  </si>
  <si>
    <t>+91 9633573913</t>
  </si>
  <si>
    <t>+91 9376451713</t>
  </si>
  <si>
    <t>+91 9552328228</t>
  </si>
  <si>
    <t>room_No</t>
  </si>
  <si>
    <t>room_Type</t>
  </si>
  <si>
    <t>Consultation Room</t>
  </si>
  <si>
    <t>Super Deluxe Room</t>
  </si>
  <si>
    <t>Deluxe Room</t>
  </si>
  <si>
    <t>Standard Room</t>
  </si>
  <si>
    <t>Emergency Room</t>
  </si>
  <si>
    <t>Operation Theatre</t>
  </si>
  <si>
    <t>admisson_ID</t>
  </si>
  <si>
    <t>room_no</t>
  </si>
  <si>
    <t>ward_Name</t>
  </si>
  <si>
    <t>ICU</t>
  </si>
  <si>
    <t>Cardiology Ward</t>
  </si>
  <si>
    <t>Neurology Ward</t>
  </si>
  <si>
    <t>General Medicine Ward</t>
  </si>
  <si>
    <t>Isolation Ward</t>
  </si>
  <si>
    <t>Pediatrics Ward</t>
  </si>
  <si>
    <t>Orthopedics Ward</t>
  </si>
  <si>
    <t>Obstetrics &amp; Gynecology Ward</t>
  </si>
  <si>
    <t>Psychiatry Ward</t>
  </si>
  <si>
    <t>Surgical Ward</t>
  </si>
  <si>
    <t>Oncology Ward</t>
  </si>
  <si>
    <t>Post-Anesthesia Care Unit</t>
  </si>
  <si>
    <t>Emergency Ward</t>
  </si>
  <si>
    <t>Rehabilitation Ward</t>
  </si>
  <si>
    <t>Geriatrics Ward</t>
  </si>
  <si>
    <t>Attendence_Type</t>
  </si>
  <si>
    <t>Weekday</t>
  </si>
  <si>
    <t>No_Show_Flag</t>
  </si>
  <si>
    <t>Appointment_Time</t>
  </si>
  <si>
    <t>17:30</t>
  </si>
  <si>
    <t>10:30</t>
  </si>
  <si>
    <t>16:30</t>
  </si>
  <si>
    <t>13:15</t>
  </si>
  <si>
    <t>11:15</t>
  </si>
  <si>
    <t>16:45</t>
  </si>
  <si>
    <t>18:30</t>
  </si>
  <si>
    <t>10:45</t>
  </si>
  <si>
    <t>10:15</t>
  </si>
  <si>
    <t>9:45</t>
  </si>
  <si>
    <t>13:45</t>
  </si>
  <si>
    <t>16:15</t>
  </si>
  <si>
    <t>12:45</t>
  </si>
  <si>
    <t>16:00</t>
  </si>
  <si>
    <t>17:15</t>
  </si>
  <si>
    <t>18:00</t>
  </si>
  <si>
    <t>10:00</t>
  </si>
  <si>
    <t>12:00</t>
  </si>
  <si>
    <t>15:45</t>
  </si>
  <si>
    <t>17:45</t>
  </si>
  <si>
    <t>15:15</t>
  </si>
  <si>
    <t>12:15</t>
  </si>
  <si>
    <t>15:00</t>
  </si>
  <si>
    <t>14:45</t>
  </si>
  <si>
    <t>9:30</t>
  </si>
  <si>
    <t>14:15</t>
  </si>
  <si>
    <t>11:45</t>
  </si>
  <si>
    <t>14:00</t>
  </si>
  <si>
    <t>18:15</t>
  </si>
  <si>
    <t>17:00</t>
  </si>
  <si>
    <t>13:00</t>
  </si>
  <si>
    <t>13:30</t>
  </si>
  <si>
    <t>11:00</t>
  </si>
  <si>
    <t>9:00</t>
  </si>
  <si>
    <t>12:30</t>
  </si>
  <si>
    <t>15:30</t>
  </si>
  <si>
    <t>11:30</t>
  </si>
  <si>
    <t>9:15</t>
  </si>
  <si>
    <t>18:45</t>
  </si>
  <si>
    <t>14:30</t>
  </si>
  <si>
    <t>Time_Slot</t>
  </si>
  <si>
    <t>Medicine</t>
  </si>
  <si>
    <t>Salary</t>
  </si>
  <si>
    <t>Leaves_Taken</t>
  </si>
  <si>
    <t>Working_Days</t>
  </si>
  <si>
    <t>Day_Status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</si>
  <si>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</si>
  <si>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</si>
  <si>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</si>
  <si>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</si>
  <si>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</si>
  <si>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</si>
  <si>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</si>
  <si>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</si>
  <si>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</si>
  <si>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</si>
  <si>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</si>
  <si>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</si>
  <si>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</si>
  <si>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Joining_date</t>
  </si>
  <si>
    <t>Visit_Day</t>
  </si>
  <si>
    <t>Visit_Month</t>
  </si>
  <si>
    <t>Diagnosis</t>
  </si>
  <si>
    <t>Price (₹)</t>
  </si>
  <si>
    <t>MFG_Date</t>
  </si>
  <si>
    <t>Expiry_Date</t>
  </si>
  <si>
    <t>Diclofenac</t>
  </si>
  <si>
    <t>Sumatriptan</t>
  </si>
  <si>
    <t>Metformin</t>
  </si>
  <si>
    <t>Amlodipine</t>
  </si>
  <si>
    <t>Salbutamol Inhaler</t>
  </si>
  <si>
    <t>Paracetamol</t>
  </si>
  <si>
    <t>Nitroglycerin</t>
  </si>
  <si>
    <t>Multivitamin</t>
  </si>
  <si>
    <t>Pantoprazole</t>
  </si>
  <si>
    <t>Aceclofenac</t>
  </si>
  <si>
    <t>Ferrous Sulfate</t>
  </si>
  <si>
    <t>Levothyroxine</t>
  </si>
  <si>
    <t>Sodium Valproate</t>
  </si>
  <si>
    <t>Hydrocortisone Cream</t>
  </si>
  <si>
    <t>Amoxicillin</t>
  </si>
  <si>
    <t>Nephrolithiasis (Kidney Stone)</t>
  </si>
  <si>
    <t>Potassium Citrate</t>
  </si>
  <si>
    <t>Amiodarone</t>
  </si>
  <si>
    <t>Sertraline</t>
  </si>
  <si>
    <t>Escitalopram</t>
  </si>
  <si>
    <t>Folic Acid</t>
  </si>
  <si>
    <t>Cefixime</t>
  </si>
  <si>
    <t>Vitamin D3</t>
  </si>
  <si>
    <t>Calcium Supplement</t>
  </si>
  <si>
    <t>Donepezil</t>
  </si>
  <si>
    <t>Neuro Vitamins</t>
  </si>
  <si>
    <t>Follow_UP_Status</t>
  </si>
  <si>
    <t>Medicine_Stock</t>
  </si>
  <si>
    <t>Stock_Status</t>
  </si>
  <si>
    <t>Seasons</t>
  </si>
  <si>
    <t>Medicines</t>
  </si>
  <si>
    <t>Doctor_Salary (₹)</t>
  </si>
  <si>
    <t>Staff_Salary(₹)</t>
  </si>
  <si>
    <t>Electricity_Bill(₹)</t>
  </si>
  <si>
    <t>Maintenance_Cost(₹)</t>
  </si>
  <si>
    <t>Medicine_Purchase_Cost(₹)</t>
  </si>
  <si>
    <t>Total_Income(₹)</t>
  </si>
  <si>
    <t>Total_Expenses(₹)</t>
  </si>
  <si>
    <t>Profit_Loss(₹)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</si>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</sst>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3" fillId="0" borderId="1" xfId="0" applyNumberFormat="1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2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/>
    <xf numFmtId="2" fontId="2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58800-7B93-426C-9F40-C4EA175DB747}" name="Table2" displayName="Table2" ref="A1:O1001" totalsRowShown="0" headerRowDxfId="45">
  <autoFilter ref="A1:O1001" xr:uid="{E8D58800-7B93-426C-9F40-C4EA175DB747}"/>
  <tableColumns count="15">
    <tableColumn id="1" xr3:uid="{BA9E0555-C20B-4B92-A260-282EF8C0C8C4}" name="appoIntment_Id"/>
    <tableColumn id="2" xr3:uid="{C2117CD9-0F46-465E-BAFC-7A865ABDB59F}" name="patient_Id"/>
    <tableColumn id="3" xr3:uid="{F3BCBBBC-FD98-414E-98EF-094FAC06C00E}" name="doct_Id"/>
    <tableColumn id="4" xr3:uid="{15F3BBF6-0409-460F-8E90-730289A9273A}" name="reason"/>
    <tableColumn id="5" xr3:uid="{64717ABA-116F-4AF1-A1AE-5C782D47C4B0}" name="appointment_Date" dataDxfId="44"/>
    <tableColumn id="6" xr3:uid="{0A0BD5A3-B6A0-4AC5-9EF8-9FDB4001B917}" name="payment_amount"/>
    <tableColumn id="7" xr3:uid="{84583E2A-0C79-41FC-ACE4-90EC4D2055C9}" name="mode_of_payment"/>
    <tableColumn id="8" xr3:uid="{434F8BCC-9404-4D3C-BC7C-4D706A63DEA3}" name="mode_of_appointment"/>
    <tableColumn id="9" xr3:uid="{7E290CFA-732B-4808-8761-B7A103821868}" name="Appointment_Time"/>
    <tableColumn id="10" xr3:uid="{A64C536C-C3BE-444E-975B-A2C38336C9B9}" name="Time_Slot">
      <calculatedColumnFormula array="1">_xlfn.IFS(HOUR(I2)&lt;12,"Morning",HOUR(I2)&lt;17,"Afternoon",TRUE,"Evening")</calculatedColumnFormula>
    </tableColumn>
    <tableColumn id="11" xr3:uid="{1F1CF0C4-A49D-4055-887D-1C2791E1191D}" name="appointment_status"/>
    <tableColumn id="12" xr3:uid="{FBAE8254-48BE-48F9-A5C6-A74D7B772BC5}" name="Attendence_Type">
      <calculatedColumnFormula>IF(K2="completed","Attended","No Show")</calculatedColumnFormula>
    </tableColumn>
    <tableColumn id="13" xr3:uid="{1D4FE22B-B810-4326-9BF2-D9AB0697345F}" name="No_Show_Flag">
      <calculatedColumnFormula>IF(L2="No Show",1,0)</calculatedColumnFormula>
    </tableColumn>
    <tableColumn id="14" xr3:uid="{C9485F45-B273-4A12-8A35-555BC0FEA3B4}" name="Weekday">
      <calculatedColumnFormula>TEXT(E2,"dddd")</calculatedColumnFormula>
    </tableColumn>
    <tableColumn id="15" xr3:uid="{0DD82272-C702-4776-B377-A0ACF5AAD0FD}" name="Day_Status" dataDxfId="43">
      <calculatedColumnFormula>IF(OR(Table2[[#This Row],[Weekday]]="Monday",Table2[[#This Row],[Weekday]]="Tuesday",Table2[[#This Row],[Weekday]]="Wednesday",Table2[[#This Row],[Weekday]]="Thursday",Table2[[#This Row],[Weekday]]="Friday"),"Weekday","Weekend")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B95666-3763-4D1A-A3F3-7A8EFAFA9178}" name="Table5" displayName="Table5" ref="A1:B32" totalsRowShown="0" headerRowDxfId="42">
  <autoFilter ref="A1:B32" xr:uid="{3FB95666-3763-4D1A-A3F3-7A8EFAFA9178}"/>
  <tableColumns count="2">
    <tableColumn id="1" xr3:uid="{78AC5F11-2E1D-4F35-9FA9-442D7DECC086}" name="dept_Id"/>
    <tableColumn id="2" xr3:uid="{7B20615D-85BE-4355-8ED1-7BF5D11FF2F2}" name="dept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CBE805-A569-4EA6-A6E6-C1DF81DC5C9C}" name="Table6" displayName="Table6" ref="A1:G219" totalsRowShown="0" headerRowDxfId="0">
  <autoFilter ref="A1:G219" xr:uid="{BDCBE805-A569-4EA6-A6E6-C1DF81DC5C9C}"/>
  <tableColumns count="7">
    <tableColumn id="1" xr3:uid="{252F7ED1-1F0D-43C2-825C-A07A7B2BA465}" name="doct_Id"/>
    <tableColumn id="2" xr3:uid="{A0436C95-A536-4B7D-8CCA-91B2792138B2}" name="dept_Id"/>
    <tableColumn id="3" xr3:uid="{23F4781C-517C-4090-82FB-7436F34F59FE}" name="Doctor_Name"/>
    <tableColumn id="4" xr3:uid="{E9A4DAB8-8E79-44ED-AD48-F9C84E102FF0}" name="Gender"/>
    <tableColumn id="5" xr3:uid="{367E6890-4C37-43BF-83C1-FF83F1B01574}" name="contact_No"/>
    <tableColumn id="6" xr3:uid="{6A28DD08-F901-4BB4-AD04-C17ED79C8276}" name="Leaves"/>
    <tableColumn id="7" xr3:uid="{F4D61048-632F-4BC5-8862-937573912BFB}" name="Sal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25AD3C-7A39-49F6-8418-658B5A4212AA}" name="Table7" displayName="Table7" ref="A1:F1501" totalsRowShown="0" headerRowDxfId="41">
  <autoFilter ref="A1:F1501" xr:uid="{FF25AD3C-7A39-49F6-8418-658B5A4212AA}"/>
  <tableColumns count="6">
    <tableColumn id="1" xr3:uid="{46006CA3-D10D-4454-869A-EDF90EFA3F84}" name="patient_Id"/>
    <tableColumn id="2" xr3:uid="{2F268D75-6C0D-47B2-8207-29C2CFA25AB1}" name="Patient_Name"/>
    <tableColumn id="3" xr3:uid="{EF792BF2-69DE-437E-A017-AB740AF54DA6}" name="Gender"/>
    <tableColumn id="4" xr3:uid="{320ECDC3-10B3-48C6-B023-3C71A9D74066}" name="Date_Of_Birth" dataDxfId="40"/>
    <tableColumn id="5" xr3:uid="{056A42DD-E579-4AE3-A0EF-C2EC16E7AD3E}" name="contact_No"/>
    <tableColumn id="6" xr3:uid="{A52311C2-46BE-414A-B3D8-C03BBE7817C8}" name="C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D14720-2394-4E5A-92DE-83BC636C64D5}" name="Table8" displayName="Table8" ref="A1:L3001" totalsRowShown="0" headerRowDxfId="39">
  <autoFilter ref="A1:L3001" xr:uid="{B6D14720-2394-4E5A-92DE-83BC636C64D5}"/>
  <tableColumns count="12">
    <tableColumn id="1" xr3:uid="{63EAC221-6A44-4343-AAC8-F00AA9501E61}" name="record_Id"/>
    <tableColumn id="2" xr3:uid="{93DB1A3F-E4FC-405D-95AD-897C3A9E0265}" name="doct_Id"/>
    <tableColumn id="3" xr3:uid="{8D30DB9F-519C-409C-8BEC-CA635073264A}" name="patient_Id"/>
    <tableColumn id="4" xr3:uid="{8497BC7B-DD04-469E-8EAE-7DE9D020CDEF}" name="visit_Date" dataDxfId="38"/>
    <tableColumn id="9" xr3:uid="{2D71D33A-FB10-426A-9EAC-9E76B3FC119E}" name="diagnosis"/>
    <tableColumn id="10" xr3:uid="{7294B184-ECF6-43E0-9EFD-B5EF89BEF57D}" name="treatment"/>
    <tableColumn id="21" xr3:uid="{2D58D0DC-9804-463C-82AE-D4944D6B8A3B}" name="Medicines" dataDxfId="37">
      <calculatedColumnFormula>_xlfn.XLOOKUP(TRIM(E3),MedicineInfo!A:A,MedicineInfo!B:B,"Not Found")</calculatedColumnFormula>
    </tableColumn>
    <tableColumn id="11" xr3:uid="{5F7EE024-E637-421D-B8FE-91B285E4642F}" name="next_Visit" dataDxfId="36">
      <calculatedColumnFormula array="1">_xlfn.IFS(
OR(E2="Type 2 Diabetes",E2="Essential Hypertension",E2="Angina Pectoris",E2="Bronchial Asthma",E2="Cardiac Arrhythmia"), D2+30,
OR(E2="Gastritis",E2="Osteoarthritis",E2="Bronchitis",E2="Iron Deficiency Anemia"), D2+14,
OR(E2="Lumbar Strain",E2="Migraine Headache"), D2+7,
OR(E2="Viral Fever",E2="General Checkup","Routine Health Check"), "",
TRUE,""
)</calculatedColumnFormula>
    </tableColumn>
    <tableColumn id="15" xr3:uid="{9D516DDF-82F5-411D-9BA1-18EEFDD8C8B2}" name="Follow_UP_Status" dataDxfId="35">
      <calculatedColumnFormula>IF(H2="","No Follow-up Required","Follow-up Scheduled")</calculatedColumnFormula>
    </tableColumn>
    <tableColumn id="13" xr3:uid="{A1439FA2-6321-4956-AD41-A7D8D2F46A48}" name="Visit_Day" dataDxfId="34">
      <calculatedColumnFormula>TEXT(Table8[[#This Row],[visit_Date]],"DDDD")</calculatedColumnFormula>
    </tableColumn>
    <tableColumn id="12" xr3:uid="{ADB23D2E-2369-4692-8733-6E4D3304397F}" name="Visit_Month" dataDxfId="33">
      <calculatedColumnFormula>TEXT(Table8[[#This Row],[visit_Date]],"mmmm")</calculatedColumnFormula>
    </tableColumn>
    <tableColumn id="20" xr3:uid="{14D7B74D-C78B-4519-802F-48DB2A5EC97A}" name="Seasons" dataDxfId="32">
      <calculatedColumnFormula>IF(OR(MONTH(D2)=12,MONTH(D2)&lt;=2),"Winter",
IF(MONTH(D2)&lt;=5,"Summer","Monsoon"))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889A50-0635-4AE2-AA70-AA3061A3F03C}" name="Table14" displayName="Table14" ref="A1:G26" totalsRowShown="0" headerRowDxfId="31" dataDxfId="30">
  <autoFilter ref="A1:G26" xr:uid="{89889A50-0635-4AE2-AA70-AA3061A3F03C}"/>
  <tableColumns count="7">
    <tableColumn id="1" xr3:uid="{8C1B0A0E-4BB7-4C78-98FA-942861293A11}" name="Diagnosis" dataDxfId="29"/>
    <tableColumn id="2" xr3:uid="{A1C19BE3-9868-41F5-8353-7D3703C8831A}" name="Medicine" dataDxfId="28"/>
    <tableColumn id="3" xr3:uid="{039F4CCD-B9CB-457D-99D3-7E190C3BEB37}" name="Price (₹)" dataDxfId="27"/>
    <tableColumn id="4" xr3:uid="{29DF7477-F2A5-4B02-BC3F-80E2B6A5D027}" name="MFG_Date" dataDxfId="26"/>
    <tableColumn id="5" xr3:uid="{CF55D627-048F-42AD-9811-9F0761973743}" name="Expiry_Date" dataDxfId="25"/>
    <tableColumn id="6" xr3:uid="{093C2C7D-1CD2-4872-91D4-26C57521ADDF}" name="Medicine_Stock" dataDxfId="24"/>
    <tableColumn id="7" xr3:uid="{EDA5C369-8761-4C09-923C-F8D422BDF4AD}" name="Stock_Status" dataDxfId="23">
      <calculatedColumnFormula>IF(F2=0,"Out of Stock",
IF(F2&lt;=40,"Low Stock",
IF(F2&lt;=120,"Available","Overstock")))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2D9F42-DD92-4E8E-BF0F-548849ECCD10}" name="Table9" displayName="Table9" ref="A1:E501" totalsRowShown="0" headerRowDxfId="22">
  <autoFilter ref="A1:E501" xr:uid="{B82D9F42-DD92-4E8E-BF0F-548849ECCD10}"/>
  <tableColumns count="5">
    <tableColumn id="1" xr3:uid="{69F3D16F-6373-4939-94BF-F385F7F958A2}" name="Staff_Id"/>
    <tableColumn id="2" xr3:uid="{7E04C69C-D29C-4909-98CC-BB87AD1D7432}" name="dept_Id"/>
    <tableColumn id="3" xr3:uid="{B95CD474-A57B-4988-9CE3-CA17E3069F74}" name="Staff_Name"/>
    <tableColumn id="4" xr3:uid="{2E857F59-B870-40E9-8596-99C3FE2EC375}" name="Gender"/>
    <tableColumn id="5" xr3:uid="{8482CED5-8581-4486-8E72-7A73EF5AAB1A}" name="contact_N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85F2E-5F52-426A-A4E2-EE4F8D7D70CB}" name="Table1" displayName="Table1" ref="F1:I501" totalsRowShown="0" headerRowDxfId="21" headerRowBorderDxfId="20" tableBorderDxfId="19">
  <autoFilter ref="F1:I501" xr:uid="{DB085F2E-5F52-426A-A4E2-EE4F8D7D70CB}"/>
  <tableColumns count="4">
    <tableColumn id="1" xr3:uid="{958AFFB1-6300-4211-B861-4F3E69C31A28}" name="Joining_date" dataDxfId="18"/>
    <tableColumn id="2" xr3:uid="{EFEC9010-51BA-4278-AE18-37FB852AC418}" name="Working_Days"/>
    <tableColumn id="3" xr3:uid="{B1E1AD41-4A22-4B02-A83B-8C56C55713C4}" name="Leaves_Taken"/>
    <tableColumn id="4" xr3:uid="{2D8F1D80-D68C-4F8A-B61F-9851BA17BCCA}" name="Sal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D9EDA7-215E-43BF-A5D5-BB326079A90E}" name="Table3" displayName="Table3" ref="A1:B501" totalsRowShown="0" headerRowDxfId="17">
  <autoFilter ref="A1:B501" xr:uid="{B7D9EDA7-215E-43BF-A5D5-BB326079A90E}"/>
  <tableColumns count="2">
    <tableColumn id="1" xr3:uid="{3157D7DD-1EA1-41F9-A0CD-51A19AE6A5DE}" name="bed_No"/>
    <tableColumn id="2" xr3:uid="{5A2F0826-F63E-4058-A63A-2B7A1C83079B}" name="ward_N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BD8F9D-8DF8-4B4E-A13E-49A61AB76EEF}" name="Table4" displayName="Table4" ref="A1:H1001" totalsRowShown="0" headerRowDxfId="48">
  <autoFilter ref="A1:H1001" xr:uid="{ABBD8F9D-8DF8-4B4E-A13E-49A61AB76EEF}"/>
  <tableColumns count="8">
    <tableColumn id="1" xr3:uid="{A99C9776-A248-4E70-839C-992CC7F09EF5}" name="admission_Id"/>
    <tableColumn id="2" xr3:uid="{4A7C5160-6D50-4BAB-8BCA-1E8C8050566E}" name="bed_No"/>
    <tableColumn id="3" xr3:uid="{94716B06-5CA4-4921-B352-E4DBF5A7A05C}" name="patient_Id"/>
    <tableColumn id="4" xr3:uid="{EA159C02-A2E7-4AA5-93B8-E1360C697A6E}" name="Staff_Id"/>
    <tableColumn id="5" xr3:uid="{FF4061C9-05B3-44DB-9015-0B3A407B5FAF}" name="admission_Date" dataDxfId="47"/>
    <tableColumn id="6" xr3:uid="{77EF93AA-73C9-4B55-92A7-83FF2A6451AC}" name="discharge_Date" dataDxfId="46"/>
    <tableColumn id="7" xr3:uid="{EC41FE6F-E4DB-4998-AC96-9A4FBAE04F68}" name="amount"/>
    <tableColumn id="8" xr3:uid="{0C07F8A2-84E9-4831-A899-AE16486AFF8C}" name="mode_of_pay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67558E-36BC-40EE-8577-5178F43EA02C}" name="Table10" displayName="Table10" ref="A1:C392" totalsRowShown="0" headerRowDxfId="16">
  <autoFilter ref="A1:C392" xr:uid="{C767558E-36BC-40EE-8577-5178F43EA02C}"/>
  <tableColumns count="3">
    <tableColumn id="1" xr3:uid="{47356649-DE91-41B6-BBDE-731B7CAA54AE}" name="room_No"/>
    <tableColumn id="2" xr3:uid="{9312A188-4439-443D-9E9A-1399186A172C}" name="dept_Id"/>
    <tableColumn id="3" xr3:uid="{AD8E9020-BCEA-44FE-877A-BE699C8735AC}" name="room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6EEDE5-F0C3-429C-8737-492D97A5E57F}" name="Table11" displayName="Table11" ref="A1:C64" totalsRowShown="0" headerRowDxfId="15">
  <autoFilter ref="A1:C64" xr:uid="{8C6EEDE5-F0C3-429C-8737-492D97A5E57F}"/>
  <tableColumns count="3">
    <tableColumn id="1" xr3:uid="{124540EE-A985-42FB-B4B1-E33355519CAC}" name="ward_No"/>
    <tableColumn id="2" xr3:uid="{87B0E256-EDE7-49CE-BA48-C066879C115C}" name="ward_Name"/>
    <tableColumn id="3" xr3:uid="{6DC02A49-69DF-4511-8B1F-439464B4A322}" name="dept_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5DC360-833A-4CDD-8C61-A93A4FBD9B4E}" name="Table12" displayName="Table12" ref="A1:H1001" totalsRowShown="0" headerRowDxfId="14">
  <autoFilter ref="A1:H1001" xr:uid="{FF5DC360-833A-4CDD-8C61-A93A4FBD9B4E}"/>
  <tableColumns count="8">
    <tableColumn id="1" xr3:uid="{721327B9-6ABC-4BAE-8001-C97ABB075F3E}" name="admisson_ID"/>
    <tableColumn id="2" xr3:uid="{247DCEBF-6A77-4B62-8EA1-00DCB83A488A}" name="room_no"/>
    <tableColumn id="3" xr3:uid="{7A6F6589-B0E5-4A64-925E-AED15B0546D7}" name="patient_Id"/>
    <tableColumn id="4" xr3:uid="{58103BA2-B8C5-4A76-A4D3-C976C00CEE2F}" name="Staff_Id"/>
    <tableColumn id="5" xr3:uid="{5B439E6C-FA9B-4A54-8D08-2F574669626F}" name="admission_Date" dataDxfId="13"/>
    <tableColumn id="6" xr3:uid="{52C75EE2-89D8-460C-BAC2-191B28CF77F0}" name="discharge_Date" dataDxfId="12"/>
    <tableColumn id="7" xr3:uid="{ECE8A70F-45AA-4099-AB0C-F6615C371914}" name="amount"/>
    <tableColumn id="8" xr3:uid="{1FA87C3E-B15E-4C99-B595-AB08A4D46618}" name="mode_of_paym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B27324-2771-49E6-BFC3-D6BDAE26D129}" name="Table13" displayName="Table13" ref="A1:I13" totalsRowShown="0" headerRowDxfId="11" headerRowBorderDxfId="10" tableBorderDxfId="9">
  <autoFilter ref="A1:I13" xr:uid="{93B27324-2771-49E6-BFC3-D6BDAE26D129}"/>
  <tableColumns count="9">
    <tableColumn id="1" xr3:uid="{F566A9C4-4DCA-4BC3-8B9F-B03B8D2B93DA}" name="Month"/>
    <tableColumn id="2" xr3:uid="{88959E79-A3BC-47D3-B5CA-8482296B3934}" name="Doctor_Salary (₹)" dataDxfId="8"/>
    <tableColumn id="3" xr3:uid="{940DD6CC-6ECA-4B98-ACD2-BD0F8F2A6766}" name="Staff_Salary(₹)" dataDxfId="7"/>
    <tableColumn id="4" xr3:uid="{F01250AB-56C1-492D-A62B-46856319C75C}" name="Electricity_Bill(₹)" dataDxfId="6"/>
    <tableColumn id="5" xr3:uid="{D6DCBE93-457A-404A-BBE4-C816C4C61406}" name="Maintenance_Cost(₹)" dataDxfId="5"/>
    <tableColumn id="6" xr3:uid="{47C45704-2E0B-471E-A148-876E8E938802}" name="Medicine_Purchase_Cost(₹)" dataDxfId="4"/>
    <tableColumn id="7" xr3:uid="{14721D91-CFD8-45E7-88E9-5F9639292057}" name="Total_Income(₹)" dataDxfId="3"/>
    <tableColumn id="8" xr3:uid="{A2D28E7F-D930-44DC-BB1D-43C1E4843409}" name="Total_Expenses(₹)" dataDxfId="2">
      <calculatedColumnFormula>SUM(B2,C2,D2,E2,F2)</calculatedColumnFormula>
    </tableColumn>
    <tableColumn id="9" xr3:uid="{CA65AAA2-05FA-406C-9C39-BAF69DB12DB3}" name="Profit_Loss(₹)" dataDxfId="1">
      <calculatedColumnFormula>G2-H2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="103" zoomScaleNormal="129" workbookViewId="0">
      <selection activeCell="O3" sqref="O3"/>
    </sheetView>
  </sheetViews>
  <sheetFormatPr defaultRowHeight="15" x14ac:dyDescent="0.25"/>
  <cols>
    <col min="1" max="1" width="17.28515625" customWidth="1"/>
    <col min="2" max="2" width="12.140625" customWidth="1"/>
    <col min="3" max="3" width="9.7109375" bestFit="1" customWidth="1"/>
    <col min="4" max="4" width="14.7109375" bestFit="1" customWidth="1"/>
    <col min="5" max="5" width="19.7109375" style="1" customWidth="1"/>
    <col min="6" max="6" width="18.85546875" customWidth="1"/>
    <col min="7" max="7" width="19.7109375" bestFit="1" customWidth="1"/>
    <col min="8" max="8" width="23.5703125" customWidth="1"/>
    <col min="9" max="9" width="20.140625" customWidth="1"/>
    <col min="10" max="10" width="23.140625" customWidth="1"/>
    <col min="11" max="11" width="20.85546875" customWidth="1"/>
    <col min="12" max="12" width="18.5703125" customWidth="1"/>
    <col min="13" max="13" width="16.85546875" customWidth="1"/>
    <col min="14" max="14" width="11.42578125" bestFit="1" customWidth="1"/>
    <col min="15" max="15" width="15.42578125" customWidth="1"/>
  </cols>
  <sheetData>
    <row r="1" spans="1:15" x14ac:dyDescent="0.25">
      <c r="A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1903</v>
      </c>
      <c r="J1" s="2" t="s">
        <v>1944</v>
      </c>
      <c r="K1" s="2" t="s">
        <v>8</v>
      </c>
      <c r="L1" s="2" t="s">
        <v>1900</v>
      </c>
      <c r="M1" s="2" t="s">
        <v>1902</v>
      </c>
      <c r="N1" s="2" t="s">
        <v>1901</v>
      </c>
      <c r="O1" s="2" t="s">
        <v>1949</v>
      </c>
    </row>
    <row r="2" spans="1:15" x14ac:dyDescent="0.25">
      <c r="A2">
        <v>5000</v>
      </c>
      <c r="B2">
        <v>1057</v>
      </c>
      <c r="C2">
        <v>1027</v>
      </c>
      <c r="D2" t="s">
        <v>9</v>
      </c>
      <c r="E2" s="1">
        <v>45623</v>
      </c>
      <c r="F2">
        <v>2139</v>
      </c>
      <c r="G2" t="s">
        <v>10</v>
      </c>
      <c r="H2" t="s">
        <v>11</v>
      </c>
      <c r="I2" t="s">
        <v>1904</v>
      </c>
      <c r="J2" t="str" cm="1">
        <f t="array" ref="J2">_xlfn.IFS(HOUR(I2)&lt;12,"Morning",HOUR(I2)&lt;17,"Afternoon",TRUE,"Evening")</f>
        <v>Evening</v>
      </c>
      <c r="K2" t="s">
        <v>12</v>
      </c>
      <c r="L2" t="str">
        <f>IF(K2="completed","Attended","No Show")</f>
        <v>Attended</v>
      </c>
      <c r="M2">
        <f>IF(L2="No Show",1,0)</f>
        <v>0</v>
      </c>
      <c r="N2" t="str">
        <f>TEXT(E2,"dddd")</f>
        <v>Wednesday</v>
      </c>
      <c r="O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" spans="1:15" x14ac:dyDescent="0.25">
      <c r="A3">
        <v>5001</v>
      </c>
      <c r="B3">
        <v>1568</v>
      </c>
      <c r="C3">
        <v>1009</v>
      </c>
      <c r="D3" t="s">
        <v>13</v>
      </c>
      <c r="E3" s="1">
        <v>45559</v>
      </c>
      <c r="F3">
        <v>1204</v>
      </c>
      <c r="G3" t="s">
        <v>14</v>
      </c>
      <c r="H3" t="s">
        <v>15</v>
      </c>
      <c r="I3" t="s">
        <v>1905</v>
      </c>
      <c r="J3" t="str" cm="1">
        <f t="array" ref="J3">_xlfn.IFS(HOUR(I3)&lt;12,"Morning",HOUR(I3)&lt;17,"Afternoon",TRUE,"Evening")</f>
        <v>Morning</v>
      </c>
      <c r="K3" t="s">
        <v>12</v>
      </c>
      <c r="L3" t="str">
        <f t="shared" ref="L3:L66" si="0">IF(K3="completed","Attended","No Show")</f>
        <v>Attended</v>
      </c>
      <c r="M3">
        <f t="shared" ref="M3:M66" si="1">IF(L3="No Show",1,0)</f>
        <v>0</v>
      </c>
      <c r="N3" t="str">
        <f t="shared" ref="N3:N66" si="2">TEXT(E3,"dddd")</f>
        <v>Tuesday</v>
      </c>
      <c r="O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" spans="1:15" x14ac:dyDescent="0.25">
      <c r="A4">
        <v>5002</v>
      </c>
      <c r="B4">
        <v>449</v>
      </c>
      <c r="C4">
        <v>1024</v>
      </c>
      <c r="D4" t="s">
        <v>16</v>
      </c>
      <c r="E4" s="1">
        <v>45542</v>
      </c>
      <c r="F4">
        <v>2474</v>
      </c>
      <c r="G4" t="s">
        <v>17</v>
      </c>
      <c r="H4" t="s">
        <v>11</v>
      </c>
      <c r="I4" t="s">
        <v>1906</v>
      </c>
      <c r="J4" t="str" cm="1">
        <f t="array" ref="J4">_xlfn.IFS(HOUR(I4)&lt;12,"Morning",HOUR(I4)&lt;17,"Afternoon",TRUE,"Evening")</f>
        <v>Afternoon</v>
      </c>
      <c r="K4" t="s">
        <v>12</v>
      </c>
      <c r="L4" t="str">
        <f t="shared" si="0"/>
        <v>Attended</v>
      </c>
      <c r="M4">
        <f t="shared" si="1"/>
        <v>0</v>
      </c>
      <c r="N4" t="str">
        <f t="shared" si="2"/>
        <v>Saturday</v>
      </c>
      <c r="O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" spans="1:15" x14ac:dyDescent="0.25">
      <c r="A5">
        <v>5003</v>
      </c>
      <c r="B5">
        <v>279</v>
      </c>
      <c r="C5">
        <v>1008</v>
      </c>
      <c r="D5" t="s">
        <v>13</v>
      </c>
      <c r="E5" s="1">
        <v>45807</v>
      </c>
      <c r="F5">
        <v>1148</v>
      </c>
      <c r="G5" t="s">
        <v>10</v>
      </c>
      <c r="H5" t="s">
        <v>11</v>
      </c>
      <c r="I5" t="s">
        <v>1907</v>
      </c>
      <c r="J5" t="str" cm="1">
        <f t="array" ref="J5">_xlfn.IFS(HOUR(I5)&lt;12,"Morning",HOUR(I5)&lt;17,"Afternoon",TRUE,"Evening")</f>
        <v>Afternoon</v>
      </c>
      <c r="K5" t="s">
        <v>12</v>
      </c>
      <c r="L5" t="str">
        <f t="shared" si="0"/>
        <v>Attended</v>
      </c>
      <c r="M5">
        <f t="shared" si="1"/>
        <v>0</v>
      </c>
      <c r="N5" t="str">
        <f t="shared" si="2"/>
        <v>Friday</v>
      </c>
      <c r="O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" spans="1:15" x14ac:dyDescent="0.25">
      <c r="A6">
        <v>5004</v>
      </c>
      <c r="B6">
        <v>1089</v>
      </c>
      <c r="C6">
        <v>1001</v>
      </c>
      <c r="D6" t="s">
        <v>18</v>
      </c>
      <c r="E6" s="1">
        <v>45560</v>
      </c>
      <c r="F6">
        <v>2031</v>
      </c>
      <c r="G6" t="s">
        <v>10</v>
      </c>
      <c r="H6" t="s">
        <v>19</v>
      </c>
      <c r="I6" t="s">
        <v>1908</v>
      </c>
      <c r="J6" t="str" cm="1">
        <f t="array" ref="J6">_xlfn.IFS(HOUR(I6)&lt;12,"Morning",HOUR(I6)&lt;17,"Afternoon",TRUE,"Evening")</f>
        <v>Morning</v>
      </c>
      <c r="K6" t="s">
        <v>20</v>
      </c>
      <c r="L6" t="str">
        <f t="shared" si="0"/>
        <v>No Show</v>
      </c>
      <c r="M6">
        <f t="shared" si="1"/>
        <v>1</v>
      </c>
      <c r="N6" t="str">
        <f t="shared" si="2"/>
        <v>Wednesday</v>
      </c>
      <c r="O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" spans="1:15" x14ac:dyDescent="0.25">
      <c r="A7">
        <v>5005</v>
      </c>
      <c r="B7">
        <v>450</v>
      </c>
      <c r="C7">
        <v>1009</v>
      </c>
      <c r="D7" t="s">
        <v>13</v>
      </c>
      <c r="E7" s="1">
        <v>45489</v>
      </c>
      <c r="F7">
        <v>2246</v>
      </c>
      <c r="G7" t="s">
        <v>14</v>
      </c>
      <c r="H7" t="s">
        <v>11</v>
      </c>
      <c r="I7" t="s">
        <v>1909</v>
      </c>
      <c r="J7" t="str" cm="1">
        <f t="array" ref="J7">_xlfn.IFS(HOUR(I7)&lt;12,"Morning",HOUR(I7)&lt;17,"Afternoon",TRUE,"Evening")</f>
        <v>Afternoon</v>
      </c>
      <c r="K7" t="s">
        <v>12</v>
      </c>
      <c r="L7" t="str">
        <f t="shared" si="0"/>
        <v>Attended</v>
      </c>
      <c r="M7">
        <f t="shared" si="1"/>
        <v>0</v>
      </c>
      <c r="N7" t="str">
        <f t="shared" si="2"/>
        <v>Tuesday</v>
      </c>
      <c r="O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" spans="1:15" x14ac:dyDescent="0.25">
      <c r="A8">
        <v>5006</v>
      </c>
      <c r="B8">
        <v>540</v>
      </c>
      <c r="C8">
        <v>1027</v>
      </c>
      <c r="D8" t="s">
        <v>21</v>
      </c>
      <c r="E8" s="1">
        <v>45657</v>
      </c>
      <c r="F8">
        <v>2487</v>
      </c>
      <c r="G8" t="s">
        <v>14</v>
      </c>
      <c r="H8" t="s">
        <v>19</v>
      </c>
      <c r="I8" t="s">
        <v>1910</v>
      </c>
      <c r="J8" t="str" cm="1">
        <f t="array" ref="J8">_xlfn.IFS(HOUR(I8)&lt;12,"Morning",HOUR(I8)&lt;17,"Afternoon",TRUE,"Evening")</f>
        <v>Evening</v>
      </c>
      <c r="K8" t="s">
        <v>12</v>
      </c>
      <c r="L8" t="str">
        <f t="shared" si="0"/>
        <v>Attended</v>
      </c>
      <c r="M8">
        <f t="shared" si="1"/>
        <v>0</v>
      </c>
      <c r="N8" t="str">
        <f t="shared" si="2"/>
        <v>Tuesday</v>
      </c>
      <c r="O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" spans="1:15" x14ac:dyDescent="0.25">
      <c r="A9">
        <v>5007</v>
      </c>
      <c r="B9">
        <v>1309</v>
      </c>
      <c r="C9">
        <v>1027</v>
      </c>
      <c r="D9" t="s">
        <v>22</v>
      </c>
      <c r="E9" s="1">
        <v>45819</v>
      </c>
      <c r="F9">
        <v>867</v>
      </c>
      <c r="G9" t="s">
        <v>14</v>
      </c>
      <c r="H9" t="s">
        <v>19</v>
      </c>
      <c r="I9" t="s">
        <v>1911</v>
      </c>
      <c r="J9" t="str" cm="1">
        <f t="array" ref="J9">_xlfn.IFS(HOUR(I9)&lt;12,"Morning",HOUR(I9)&lt;17,"Afternoon",TRUE,"Evening")</f>
        <v>Morning</v>
      </c>
      <c r="K9" t="s">
        <v>23</v>
      </c>
      <c r="L9" t="str">
        <f t="shared" si="0"/>
        <v>No Show</v>
      </c>
      <c r="M9">
        <f t="shared" si="1"/>
        <v>1</v>
      </c>
      <c r="N9" t="str">
        <f t="shared" si="2"/>
        <v>Wednesday</v>
      </c>
      <c r="O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" spans="1:15" x14ac:dyDescent="0.25">
      <c r="A10">
        <v>5008</v>
      </c>
      <c r="B10">
        <v>734</v>
      </c>
      <c r="C10">
        <v>1027</v>
      </c>
      <c r="D10" t="s">
        <v>24</v>
      </c>
      <c r="E10" s="1">
        <v>45590</v>
      </c>
      <c r="F10">
        <v>1682</v>
      </c>
      <c r="G10" t="s">
        <v>25</v>
      </c>
      <c r="H10" t="s">
        <v>19</v>
      </c>
      <c r="I10" t="s">
        <v>1912</v>
      </c>
      <c r="J10" t="str" cm="1">
        <f t="array" ref="J10">_xlfn.IFS(HOUR(I10)&lt;12,"Morning",HOUR(I10)&lt;17,"Afternoon",TRUE,"Evening")</f>
        <v>Morning</v>
      </c>
      <c r="K10" t="s">
        <v>12</v>
      </c>
      <c r="L10" t="str">
        <f t="shared" si="0"/>
        <v>Attended</v>
      </c>
      <c r="M10">
        <f t="shared" si="1"/>
        <v>0</v>
      </c>
      <c r="N10" t="str">
        <f t="shared" si="2"/>
        <v>Friday</v>
      </c>
      <c r="O1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" spans="1:15" x14ac:dyDescent="0.25">
      <c r="A11">
        <v>5009</v>
      </c>
      <c r="B11">
        <v>927</v>
      </c>
      <c r="C11">
        <v>1020</v>
      </c>
      <c r="D11" t="s">
        <v>26</v>
      </c>
      <c r="E11" s="1">
        <v>45765</v>
      </c>
      <c r="F11">
        <v>2010</v>
      </c>
      <c r="G11" t="s">
        <v>14</v>
      </c>
      <c r="H11" t="s">
        <v>19</v>
      </c>
      <c r="I11" t="s">
        <v>1913</v>
      </c>
      <c r="J11" t="str" cm="1">
        <f t="array" ref="J11">_xlfn.IFS(HOUR(I11)&lt;12,"Morning",HOUR(I11)&lt;17,"Afternoon",TRUE,"Evening")</f>
        <v>Morning</v>
      </c>
      <c r="K11" t="s">
        <v>12</v>
      </c>
      <c r="L11" t="str">
        <f t="shared" si="0"/>
        <v>Attended</v>
      </c>
      <c r="M11">
        <f t="shared" si="1"/>
        <v>0</v>
      </c>
      <c r="N11" t="str">
        <f t="shared" si="2"/>
        <v>Friday</v>
      </c>
      <c r="O1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2" spans="1:15" x14ac:dyDescent="0.25">
      <c r="A12">
        <v>5010</v>
      </c>
      <c r="B12">
        <v>228</v>
      </c>
      <c r="C12">
        <v>1027</v>
      </c>
      <c r="D12" t="s">
        <v>24</v>
      </c>
      <c r="E12" s="1">
        <v>45715</v>
      </c>
      <c r="F12">
        <v>2412</v>
      </c>
      <c r="G12" t="s">
        <v>25</v>
      </c>
      <c r="H12" t="s">
        <v>19</v>
      </c>
      <c r="I12" t="s">
        <v>1914</v>
      </c>
      <c r="J12" t="str" cm="1">
        <f t="array" ref="J12">_xlfn.IFS(HOUR(I12)&lt;12,"Morning",HOUR(I12)&lt;17,"Afternoon",TRUE,"Evening")</f>
        <v>Afternoon</v>
      </c>
      <c r="K12" t="s">
        <v>20</v>
      </c>
      <c r="L12" t="str">
        <f t="shared" si="0"/>
        <v>No Show</v>
      </c>
      <c r="M12">
        <f t="shared" si="1"/>
        <v>1</v>
      </c>
      <c r="N12" t="str">
        <f t="shared" si="2"/>
        <v>Thursday</v>
      </c>
      <c r="O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3" spans="1:15" x14ac:dyDescent="0.25">
      <c r="A13">
        <v>5011</v>
      </c>
      <c r="B13">
        <v>464</v>
      </c>
      <c r="C13">
        <v>1027</v>
      </c>
      <c r="D13" t="s">
        <v>27</v>
      </c>
      <c r="E13" s="1">
        <v>45654</v>
      </c>
      <c r="F13">
        <v>1110</v>
      </c>
      <c r="G13" t="s">
        <v>10</v>
      </c>
      <c r="H13" t="s">
        <v>15</v>
      </c>
      <c r="I13" t="s">
        <v>1904</v>
      </c>
      <c r="J13" t="str" cm="1">
        <f t="array" ref="J13">_xlfn.IFS(HOUR(I13)&lt;12,"Morning",HOUR(I13)&lt;17,"Afternoon",TRUE,"Evening")</f>
        <v>Evening</v>
      </c>
      <c r="K13" t="s">
        <v>12</v>
      </c>
      <c r="L13" t="str">
        <f t="shared" si="0"/>
        <v>Attended</v>
      </c>
      <c r="M13">
        <f t="shared" si="1"/>
        <v>0</v>
      </c>
      <c r="N13" t="str">
        <f t="shared" si="2"/>
        <v>Saturday</v>
      </c>
      <c r="O1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4" spans="1:15" x14ac:dyDescent="0.25">
      <c r="A14">
        <v>5012</v>
      </c>
      <c r="B14">
        <v>1090</v>
      </c>
      <c r="C14">
        <v>1027</v>
      </c>
      <c r="D14" t="s">
        <v>21</v>
      </c>
      <c r="E14" s="1">
        <v>45801</v>
      </c>
      <c r="F14">
        <v>2164</v>
      </c>
      <c r="G14" t="s">
        <v>14</v>
      </c>
      <c r="H14" t="s">
        <v>19</v>
      </c>
      <c r="I14" t="s">
        <v>1915</v>
      </c>
      <c r="J14" t="str" cm="1">
        <f t="array" ref="J14">_xlfn.IFS(HOUR(I14)&lt;12,"Morning",HOUR(I14)&lt;17,"Afternoon",TRUE,"Evening")</f>
        <v>Afternoon</v>
      </c>
      <c r="K14" t="s">
        <v>12</v>
      </c>
      <c r="L14" t="str">
        <f t="shared" si="0"/>
        <v>Attended</v>
      </c>
      <c r="M14">
        <f t="shared" si="1"/>
        <v>0</v>
      </c>
      <c r="N14" t="str">
        <f t="shared" si="2"/>
        <v>Saturday</v>
      </c>
      <c r="O1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5" spans="1:15" x14ac:dyDescent="0.25">
      <c r="A15">
        <v>5013</v>
      </c>
      <c r="B15">
        <v>896</v>
      </c>
      <c r="C15">
        <v>1024</v>
      </c>
      <c r="D15" t="s">
        <v>16</v>
      </c>
      <c r="E15" s="1">
        <v>45676</v>
      </c>
      <c r="F15">
        <v>1205</v>
      </c>
      <c r="G15" t="s">
        <v>17</v>
      </c>
      <c r="H15" t="s">
        <v>19</v>
      </c>
      <c r="I15" t="s">
        <v>1907</v>
      </c>
      <c r="J15" t="str" cm="1">
        <f t="array" ref="J15">_xlfn.IFS(HOUR(I15)&lt;12,"Morning",HOUR(I15)&lt;17,"Afternoon",TRUE,"Evening")</f>
        <v>Afternoon</v>
      </c>
      <c r="K15" t="s">
        <v>12</v>
      </c>
      <c r="L15" t="str">
        <f t="shared" si="0"/>
        <v>Attended</v>
      </c>
      <c r="M15">
        <f t="shared" si="1"/>
        <v>0</v>
      </c>
      <c r="N15" t="str">
        <f t="shared" si="2"/>
        <v>Sunday</v>
      </c>
      <c r="O1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6" spans="1:15" x14ac:dyDescent="0.25">
      <c r="A16">
        <v>5014</v>
      </c>
      <c r="B16">
        <v>996</v>
      </c>
      <c r="C16">
        <v>1027</v>
      </c>
      <c r="D16" t="s">
        <v>9</v>
      </c>
      <c r="E16" s="1">
        <v>45664</v>
      </c>
      <c r="F16">
        <v>890</v>
      </c>
      <c r="G16" t="s">
        <v>10</v>
      </c>
      <c r="H16" t="s">
        <v>15</v>
      </c>
      <c r="I16" t="s">
        <v>1916</v>
      </c>
      <c r="J16" t="str" cm="1">
        <f t="array" ref="J16">_xlfn.IFS(HOUR(I16)&lt;12,"Morning",HOUR(I16)&lt;17,"Afternoon",TRUE,"Evening")</f>
        <v>Afternoon</v>
      </c>
      <c r="K16" t="s">
        <v>12</v>
      </c>
      <c r="L16" t="str">
        <f t="shared" si="0"/>
        <v>Attended</v>
      </c>
      <c r="M16">
        <f t="shared" si="1"/>
        <v>0</v>
      </c>
      <c r="N16" t="str">
        <f t="shared" si="2"/>
        <v>Tuesday</v>
      </c>
      <c r="O1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" spans="1:15" x14ac:dyDescent="0.25">
      <c r="A17">
        <v>5015</v>
      </c>
      <c r="B17">
        <v>1463</v>
      </c>
      <c r="C17">
        <v>1003</v>
      </c>
      <c r="D17" t="s">
        <v>18</v>
      </c>
      <c r="E17" s="1">
        <v>45751</v>
      </c>
      <c r="F17">
        <v>1842</v>
      </c>
      <c r="G17" t="s">
        <v>25</v>
      </c>
      <c r="H17" t="s">
        <v>19</v>
      </c>
      <c r="I17" t="s">
        <v>1917</v>
      </c>
      <c r="J17" t="str" cm="1">
        <f t="array" ref="J17">_xlfn.IFS(HOUR(I17)&lt;12,"Morning",HOUR(I17)&lt;17,"Afternoon",TRUE,"Evening")</f>
        <v>Afternoon</v>
      </c>
      <c r="K17" t="s">
        <v>12</v>
      </c>
      <c r="L17" t="str">
        <f t="shared" si="0"/>
        <v>Attended</v>
      </c>
      <c r="M17">
        <f t="shared" si="1"/>
        <v>0</v>
      </c>
      <c r="N17" t="str">
        <f t="shared" si="2"/>
        <v>Friday</v>
      </c>
      <c r="O1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8" spans="1:15" x14ac:dyDescent="0.25">
      <c r="A18">
        <v>5016</v>
      </c>
      <c r="B18">
        <v>1528</v>
      </c>
      <c r="C18">
        <v>1001</v>
      </c>
      <c r="D18" t="s">
        <v>18</v>
      </c>
      <c r="E18" s="1">
        <v>45732</v>
      </c>
      <c r="F18">
        <v>2179</v>
      </c>
      <c r="G18" t="s">
        <v>10</v>
      </c>
      <c r="H18" t="s">
        <v>15</v>
      </c>
      <c r="I18" t="s">
        <v>1918</v>
      </c>
      <c r="J18" t="str" cm="1">
        <f t="array" ref="J18">_xlfn.IFS(HOUR(I18)&lt;12,"Morning",HOUR(I18)&lt;17,"Afternoon",TRUE,"Evening")</f>
        <v>Evening</v>
      </c>
      <c r="K18" t="s">
        <v>12</v>
      </c>
      <c r="L18" t="str">
        <f t="shared" si="0"/>
        <v>Attended</v>
      </c>
      <c r="M18">
        <f t="shared" si="1"/>
        <v>0</v>
      </c>
      <c r="N18" t="str">
        <f t="shared" si="2"/>
        <v>Sunday</v>
      </c>
      <c r="O1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9" spans="1:15" x14ac:dyDescent="0.25">
      <c r="A19">
        <v>5017</v>
      </c>
      <c r="B19">
        <v>1190</v>
      </c>
      <c r="C19">
        <v>1027</v>
      </c>
      <c r="D19" t="s">
        <v>21</v>
      </c>
      <c r="E19" s="1">
        <v>45716</v>
      </c>
      <c r="F19">
        <v>1774</v>
      </c>
      <c r="G19" t="s">
        <v>17</v>
      </c>
      <c r="H19" t="s">
        <v>15</v>
      </c>
      <c r="I19" t="s">
        <v>1919</v>
      </c>
      <c r="J19" t="str" cm="1">
        <f t="array" ref="J19">_xlfn.IFS(HOUR(I19)&lt;12,"Morning",HOUR(I19)&lt;17,"Afternoon",TRUE,"Evening")</f>
        <v>Evening</v>
      </c>
      <c r="K19" t="s">
        <v>12</v>
      </c>
      <c r="L19" t="str">
        <f t="shared" si="0"/>
        <v>Attended</v>
      </c>
      <c r="M19">
        <f t="shared" si="1"/>
        <v>0</v>
      </c>
      <c r="N19" t="str">
        <f t="shared" si="2"/>
        <v>Friday</v>
      </c>
      <c r="O1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" spans="1:15" x14ac:dyDescent="0.25">
      <c r="A20">
        <v>5018</v>
      </c>
      <c r="B20">
        <v>366</v>
      </c>
      <c r="C20">
        <v>1004</v>
      </c>
      <c r="D20" t="s">
        <v>18</v>
      </c>
      <c r="E20" s="1">
        <v>45686</v>
      </c>
      <c r="F20">
        <v>822</v>
      </c>
      <c r="G20" t="s">
        <v>14</v>
      </c>
      <c r="H20" t="s">
        <v>19</v>
      </c>
      <c r="I20" t="s">
        <v>1919</v>
      </c>
      <c r="J20" t="str" cm="1">
        <f t="array" ref="J20">_xlfn.IFS(HOUR(I20)&lt;12,"Morning",HOUR(I20)&lt;17,"Afternoon",TRUE,"Evening")</f>
        <v>Evening</v>
      </c>
      <c r="K20" t="s">
        <v>12</v>
      </c>
      <c r="L20" t="str">
        <f t="shared" si="0"/>
        <v>Attended</v>
      </c>
      <c r="M20">
        <f t="shared" si="1"/>
        <v>0</v>
      </c>
      <c r="N20" t="str">
        <f t="shared" si="2"/>
        <v>Wednesday</v>
      </c>
      <c r="O2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" spans="1:15" x14ac:dyDescent="0.25">
      <c r="A21">
        <v>5019</v>
      </c>
      <c r="B21">
        <v>1449</v>
      </c>
      <c r="C21">
        <v>1009</v>
      </c>
      <c r="D21" t="s">
        <v>13</v>
      </c>
      <c r="E21" s="1">
        <v>45628</v>
      </c>
      <c r="F21">
        <v>1122</v>
      </c>
      <c r="G21" t="s">
        <v>25</v>
      </c>
      <c r="H21" t="s">
        <v>11</v>
      </c>
      <c r="I21" t="s">
        <v>1920</v>
      </c>
      <c r="J21" t="str" cm="1">
        <f t="array" ref="J21">_xlfn.IFS(HOUR(I21)&lt;12,"Morning",HOUR(I21)&lt;17,"Afternoon",TRUE,"Evening")</f>
        <v>Morning</v>
      </c>
      <c r="K21" t="s">
        <v>12</v>
      </c>
      <c r="L21" t="str">
        <f t="shared" si="0"/>
        <v>Attended</v>
      </c>
      <c r="M21">
        <f t="shared" si="1"/>
        <v>0</v>
      </c>
      <c r="N21" t="str">
        <f t="shared" si="2"/>
        <v>Monday</v>
      </c>
      <c r="O2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2" spans="1:15" x14ac:dyDescent="0.25">
      <c r="A22">
        <v>5020</v>
      </c>
      <c r="B22">
        <v>1453</v>
      </c>
      <c r="C22">
        <v>1027</v>
      </c>
      <c r="D22" t="s">
        <v>24</v>
      </c>
      <c r="E22" s="1">
        <v>45516</v>
      </c>
      <c r="F22">
        <v>2043</v>
      </c>
      <c r="G22" t="s">
        <v>10</v>
      </c>
      <c r="H22" t="s">
        <v>15</v>
      </c>
      <c r="I22" t="s">
        <v>1921</v>
      </c>
      <c r="J22" t="str" cm="1">
        <f t="array" ref="J22">_xlfn.IFS(HOUR(I22)&lt;12,"Morning",HOUR(I22)&lt;17,"Afternoon",TRUE,"Evening")</f>
        <v>Afternoon</v>
      </c>
      <c r="K22" t="s">
        <v>12</v>
      </c>
      <c r="L22" t="str">
        <f t="shared" si="0"/>
        <v>Attended</v>
      </c>
      <c r="M22">
        <f t="shared" si="1"/>
        <v>0</v>
      </c>
      <c r="N22" t="str">
        <f t="shared" si="2"/>
        <v>Monday</v>
      </c>
      <c r="O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3" spans="1:15" x14ac:dyDescent="0.25">
      <c r="A23">
        <v>5021</v>
      </c>
      <c r="B23">
        <v>127</v>
      </c>
      <c r="C23">
        <v>1001</v>
      </c>
      <c r="D23" t="s">
        <v>18</v>
      </c>
      <c r="E23" s="1">
        <v>45498</v>
      </c>
      <c r="F23">
        <v>1435</v>
      </c>
      <c r="G23" t="s">
        <v>14</v>
      </c>
      <c r="H23" t="s">
        <v>11</v>
      </c>
      <c r="I23" t="s">
        <v>1921</v>
      </c>
      <c r="J23" t="str" cm="1">
        <f t="array" ref="J23">_xlfn.IFS(HOUR(I23)&lt;12,"Morning",HOUR(I23)&lt;17,"Afternoon",TRUE,"Evening")</f>
        <v>Afternoon</v>
      </c>
      <c r="K23" t="s">
        <v>12</v>
      </c>
      <c r="L23" t="str">
        <f t="shared" si="0"/>
        <v>Attended</v>
      </c>
      <c r="M23">
        <f t="shared" si="1"/>
        <v>0</v>
      </c>
      <c r="N23" t="str">
        <f t="shared" si="2"/>
        <v>Thursday</v>
      </c>
      <c r="O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" spans="1:15" x14ac:dyDescent="0.25">
      <c r="A24">
        <v>5022</v>
      </c>
      <c r="B24">
        <v>1538</v>
      </c>
      <c r="C24">
        <v>1027</v>
      </c>
      <c r="D24" t="s">
        <v>21</v>
      </c>
      <c r="E24" s="1">
        <v>45536</v>
      </c>
      <c r="F24">
        <v>1740</v>
      </c>
      <c r="G24" t="s">
        <v>14</v>
      </c>
      <c r="H24" t="s">
        <v>19</v>
      </c>
      <c r="I24" t="s">
        <v>1922</v>
      </c>
      <c r="J24" t="str" cm="1">
        <f t="array" ref="J24">_xlfn.IFS(HOUR(I24)&lt;12,"Morning",HOUR(I24)&lt;17,"Afternoon",TRUE,"Evening")</f>
        <v>Afternoon</v>
      </c>
      <c r="K24" t="s">
        <v>12</v>
      </c>
      <c r="L24" t="str">
        <f t="shared" si="0"/>
        <v>Attended</v>
      </c>
      <c r="M24">
        <f t="shared" si="1"/>
        <v>0</v>
      </c>
      <c r="N24" t="str">
        <f t="shared" si="2"/>
        <v>Sunday</v>
      </c>
      <c r="O2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5" spans="1:15" x14ac:dyDescent="0.25">
      <c r="A25">
        <v>5023</v>
      </c>
      <c r="B25">
        <v>551</v>
      </c>
      <c r="C25">
        <v>1027</v>
      </c>
      <c r="D25" t="s">
        <v>21</v>
      </c>
      <c r="E25" s="1">
        <v>45562</v>
      </c>
      <c r="F25">
        <v>2265</v>
      </c>
      <c r="G25" t="s">
        <v>25</v>
      </c>
      <c r="H25" t="s">
        <v>15</v>
      </c>
      <c r="I25" t="s">
        <v>1922</v>
      </c>
      <c r="J25" t="str" cm="1">
        <f t="array" ref="J25">_xlfn.IFS(HOUR(I25)&lt;12,"Morning",HOUR(I25)&lt;17,"Afternoon",TRUE,"Evening")</f>
        <v>Afternoon</v>
      </c>
      <c r="K25" t="s">
        <v>28</v>
      </c>
      <c r="L25" t="str">
        <f t="shared" si="0"/>
        <v>No Show</v>
      </c>
      <c r="M25">
        <f t="shared" si="1"/>
        <v>1</v>
      </c>
      <c r="N25" t="str">
        <f t="shared" si="2"/>
        <v>Friday</v>
      </c>
      <c r="O2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6" spans="1:15" x14ac:dyDescent="0.25">
      <c r="A26">
        <v>5024</v>
      </c>
      <c r="B26">
        <v>1429</v>
      </c>
      <c r="C26">
        <v>1004</v>
      </c>
      <c r="D26" t="s">
        <v>18</v>
      </c>
      <c r="E26" s="1">
        <v>45777</v>
      </c>
      <c r="F26">
        <v>1201</v>
      </c>
      <c r="G26" t="s">
        <v>25</v>
      </c>
      <c r="H26" t="s">
        <v>11</v>
      </c>
      <c r="I26" t="s">
        <v>1907</v>
      </c>
      <c r="J26" t="str" cm="1">
        <f t="array" ref="J26">_xlfn.IFS(HOUR(I26)&lt;12,"Morning",HOUR(I26)&lt;17,"Afternoon",TRUE,"Evening")</f>
        <v>Afternoon</v>
      </c>
      <c r="K26" t="s">
        <v>20</v>
      </c>
      <c r="L26" t="str">
        <f t="shared" si="0"/>
        <v>No Show</v>
      </c>
      <c r="M26">
        <f t="shared" si="1"/>
        <v>1</v>
      </c>
      <c r="N26" t="str">
        <f t="shared" si="2"/>
        <v>Wednesday</v>
      </c>
      <c r="O2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7" spans="1:15" x14ac:dyDescent="0.25">
      <c r="A27">
        <v>5025</v>
      </c>
      <c r="B27">
        <v>770</v>
      </c>
      <c r="C27">
        <v>1027</v>
      </c>
      <c r="D27" t="s">
        <v>24</v>
      </c>
      <c r="E27" s="1">
        <v>45792</v>
      </c>
      <c r="F27">
        <v>993</v>
      </c>
      <c r="G27" t="s">
        <v>25</v>
      </c>
      <c r="H27" t="s">
        <v>19</v>
      </c>
      <c r="I27" t="s">
        <v>1923</v>
      </c>
      <c r="J27" t="str" cm="1">
        <f t="array" ref="J27">_xlfn.IFS(HOUR(I27)&lt;12,"Morning",HOUR(I27)&lt;17,"Afternoon",TRUE,"Evening")</f>
        <v>Evening</v>
      </c>
      <c r="K27" t="s">
        <v>28</v>
      </c>
      <c r="L27" t="str">
        <f t="shared" si="0"/>
        <v>No Show</v>
      </c>
      <c r="M27">
        <f t="shared" si="1"/>
        <v>1</v>
      </c>
      <c r="N27" t="str">
        <f t="shared" si="2"/>
        <v>Thursday</v>
      </c>
      <c r="O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8" spans="1:15" x14ac:dyDescent="0.25">
      <c r="A28">
        <v>5026</v>
      </c>
      <c r="B28">
        <v>399</v>
      </c>
      <c r="C28">
        <v>1027</v>
      </c>
      <c r="D28" t="s">
        <v>22</v>
      </c>
      <c r="E28" s="1">
        <v>45721</v>
      </c>
      <c r="F28">
        <v>2202</v>
      </c>
      <c r="G28" t="s">
        <v>14</v>
      </c>
      <c r="H28" t="s">
        <v>11</v>
      </c>
      <c r="I28" t="s">
        <v>1924</v>
      </c>
      <c r="J28" t="str" cm="1">
        <f t="array" ref="J28">_xlfn.IFS(HOUR(I28)&lt;12,"Morning",HOUR(I28)&lt;17,"Afternoon",TRUE,"Evening")</f>
        <v>Afternoon</v>
      </c>
      <c r="K28" t="s">
        <v>20</v>
      </c>
      <c r="L28" t="str">
        <f t="shared" si="0"/>
        <v>No Show</v>
      </c>
      <c r="M28">
        <f t="shared" si="1"/>
        <v>1</v>
      </c>
      <c r="N28" t="str">
        <f t="shared" si="2"/>
        <v>Wednesday</v>
      </c>
      <c r="O2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" spans="1:15" x14ac:dyDescent="0.25">
      <c r="A29">
        <v>5027</v>
      </c>
      <c r="B29">
        <v>1003</v>
      </c>
      <c r="C29">
        <v>1027</v>
      </c>
      <c r="D29" t="s">
        <v>21</v>
      </c>
      <c r="E29" s="1">
        <v>45658</v>
      </c>
      <c r="F29">
        <v>1619</v>
      </c>
      <c r="G29" t="s">
        <v>14</v>
      </c>
      <c r="H29" t="s">
        <v>11</v>
      </c>
      <c r="I29" t="s">
        <v>1914</v>
      </c>
      <c r="J29" t="str" cm="1">
        <f t="array" ref="J29">_xlfn.IFS(HOUR(I29)&lt;12,"Morning",HOUR(I29)&lt;17,"Afternoon",TRUE,"Evening")</f>
        <v>Afternoon</v>
      </c>
      <c r="K29" t="s">
        <v>12</v>
      </c>
      <c r="L29" t="str">
        <f t="shared" si="0"/>
        <v>Attended</v>
      </c>
      <c r="M29">
        <f t="shared" si="1"/>
        <v>0</v>
      </c>
      <c r="N29" t="str">
        <f t="shared" si="2"/>
        <v>Wednesday</v>
      </c>
      <c r="O2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" spans="1:15" x14ac:dyDescent="0.25">
      <c r="A30">
        <v>5028</v>
      </c>
      <c r="B30">
        <v>437</v>
      </c>
      <c r="C30">
        <v>1004</v>
      </c>
      <c r="D30" t="s">
        <v>18</v>
      </c>
      <c r="E30" s="1">
        <v>45551</v>
      </c>
      <c r="F30">
        <v>1108</v>
      </c>
      <c r="G30" t="s">
        <v>14</v>
      </c>
      <c r="H30" t="s">
        <v>19</v>
      </c>
      <c r="I30" t="s">
        <v>1925</v>
      </c>
      <c r="J30" t="str" cm="1">
        <f t="array" ref="J30">_xlfn.IFS(HOUR(I30)&lt;12,"Morning",HOUR(I30)&lt;17,"Afternoon",TRUE,"Evening")</f>
        <v>Afternoon</v>
      </c>
      <c r="K30" t="s">
        <v>12</v>
      </c>
      <c r="L30" t="str">
        <f t="shared" si="0"/>
        <v>Attended</v>
      </c>
      <c r="M30">
        <f t="shared" si="1"/>
        <v>0</v>
      </c>
      <c r="N30" t="str">
        <f t="shared" si="2"/>
        <v>Monday</v>
      </c>
      <c r="O3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1" spans="1:15" x14ac:dyDescent="0.25">
      <c r="A31">
        <v>5029</v>
      </c>
      <c r="B31">
        <v>1413</v>
      </c>
      <c r="C31">
        <v>1027</v>
      </c>
      <c r="D31" t="s">
        <v>24</v>
      </c>
      <c r="E31" s="1">
        <v>45586</v>
      </c>
      <c r="F31">
        <v>1662</v>
      </c>
      <c r="G31" t="s">
        <v>17</v>
      </c>
      <c r="H31" t="s">
        <v>11</v>
      </c>
      <c r="I31" t="s">
        <v>1926</v>
      </c>
      <c r="J31" t="str" cm="1">
        <f t="array" ref="J31">_xlfn.IFS(HOUR(I31)&lt;12,"Morning",HOUR(I31)&lt;17,"Afternoon",TRUE,"Evening")</f>
        <v>Afternoon</v>
      </c>
      <c r="K31" t="s">
        <v>12</v>
      </c>
      <c r="L31" t="str">
        <f t="shared" si="0"/>
        <v>Attended</v>
      </c>
      <c r="M31">
        <f t="shared" si="1"/>
        <v>0</v>
      </c>
      <c r="N31" t="str">
        <f t="shared" si="2"/>
        <v>Monday</v>
      </c>
      <c r="O3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" spans="1:15" x14ac:dyDescent="0.25">
      <c r="A32">
        <v>5030</v>
      </c>
      <c r="B32">
        <v>783</v>
      </c>
      <c r="C32">
        <v>1027</v>
      </c>
      <c r="D32" t="s">
        <v>24</v>
      </c>
      <c r="E32" s="1">
        <v>45673</v>
      </c>
      <c r="F32">
        <v>2108</v>
      </c>
      <c r="G32" t="s">
        <v>14</v>
      </c>
      <c r="H32" t="s">
        <v>11</v>
      </c>
      <c r="I32" t="s">
        <v>1927</v>
      </c>
      <c r="J32" t="str" cm="1">
        <f t="array" ref="J32">_xlfn.IFS(HOUR(I32)&lt;12,"Morning",HOUR(I32)&lt;17,"Afternoon",TRUE,"Evening")</f>
        <v>Afternoon</v>
      </c>
      <c r="K32" t="s">
        <v>12</v>
      </c>
      <c r="L32" t="str">
        <f t="shared" si="0"/>
        <v>Attended</v>
      </c>
      <c r="M32">
        <f t="shared" si="1"/>
        <v>0</v>
      </c>
      <c r="N32" t="str">
        <f t="shared" si="2"/>
        <v>Thursday</v>
      </c>
      <c r="O3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" spans="1:15" x14ac:dyDescent="0.25">
      <c r="A33">
        <v>5031</v>
      </c>
      <c r="B33">
        <v>1266</v>
      </c>
      <c r="C33">
        <v>1020</v>
      </c>
      <c r="D33" t="s">
        <v>26</v>
      </c>
      <c r="E33" s="1">
        <v>45790</v>
      </c>
      <c r="F33">
        <v>1829</v>
      </c>
      <c r="G33" t="s">
        <v>17</v>
      </c>
      <c r="H33" t="s">
        <v>19</v>
      </c>
      <c r="I33" t="s">
        <v>1909</v>
      </c>
      <c r="J33" t="str" cm="1">
        <f t="array" ref="J33">_xlfn.IFS(HOUR(I33)&lt;12,"Morning",HOUR(I33)&lt;17,"Afternoon",TRUE,"Evening")</f>
        <v>Afternoon</v>
      </c>
      <c r="K33" t="s">
        <v>12</v>
      </c>
      <c r="L33" t="str">
        <f t="shared" si="0"/>
        <v>Attended</v>
      </c>
      <c r="M33">
        <f t="shared" si="1"/>
        <v>0</v>
      </c>
      <c r="N33" t="str">
        <f t="shared" si="2"/>
        <v>Tuesday</v>
      </c>
      <c r="O3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4" spans="1:15" x14ac:dyDescent="0.25">
      <c r="A34">
        <v>5032</v>
      </c>
      <c r="B34">
        <v>1341</v>
      </c>
      <c r="C34">
        <v>1001</v>
      </c>
      <c r="D34" t="s">
        <v>22</v>
      </c>
      <c r="E34" s="1">
        <v>45580</v>
      </c>
      <c r="F34">
        <v>829</v>
      </c>
      <c r="G34" t="s">
        <v>25</v>
      </c>
      <c r="H34" t="s">
        <v>11</v>
      </c>
      <c r="I34" t="s">
        <v>1925</v>
      </c>
      <c r="J34" t="str" cm="1">
        <f t="array" ref="J34">_xlfn.IFS(HOUR(I34)&lt;12,"Morning",HOUR(I34)&lt;17,"Afternoon",TRUE,"Evening")</f>
        <v>Afternoon</v>
      </c>
      <c r="K34" t="s">
        <v>12</v>
      </c>
      <c r="L34" t="str">
        <f t="shared" si="0"/>
        <v>Attended</v>
      </c>
      <c r="M34">
        <f t="shared" si="1"/>
        <v>0</v>
      </c>
      <c r="N34" t="str">
        <f t="shared" si="2"/>
        <v>Tuesday</v>
      </c>
      <c r="O3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5" spans="1:15" x14ac:dyDescent="0.25">
      <c r="A35">
        <v>5033</v>
      </c>
      <c r="B35">
        <v>734</v>
      </c>
      <c r="C35">
        <v>1027</v>
      </c>
      <c r="D35" t="s">
        <v>27</v>
      </c>
      <c r="E35" s="1">
        <v>45782</v>
      </c>
      <c r="F35">
        <v>1860</v>
      </c>
      <c r="G35" t="s">
        <v>14</v>
      </c>
      <c r="H35" t="s">
        <v>19</v>
      </c>
      <c r="I35" t="s">
        <v>1928</v>
      </c>
      <c r="J35" t="str" cm="1">
        <f t="array" ref="J35">_xlfn.IFS(HOUR(I35)&lt;12,"Morning",HOUR(I35)&lt;17,"Afternoon",TRUE,"Evening")</f>
        <v>Morning</v>
      </c>
      <c r="K35" t="s">
        <v>12</v>
      </c>
      <c r="L35" t="str">
        <f t="shared" si="0"/>
        <v>Attended</v>
      </c>
      <c r="M35">
        <f t="shared" si="1"/>
        <v>0</v>
      </c>
      <c r="N35" t="str">
        <f t="shared" si="2"/>
        <v>Monday</v>
      </c>
      <c r="O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6" spans="1:15" x14ac:dyDescent="0.25">
      <c r="A36">
        <v>5034</v>
      </c>
      <c r="B36">
        <v>694</v>
      </c>
      <c r="C36">
        <v>1027</v>
      </c>
      <c r="D36" t="s">
        <v>21</v>
      </c>
      <c r="E36" s="1">
        <v>45522</v>
      </c>
      <c r="F36">
        <v>1816</v>
      </c>
      <c r="G36" t="s">
        <v>10</v>
      </c>
      <c r="H36" t="s">
        <v>15</v>
      </c>
      <c r="I36" t="s">
        <v>1913</v>
      </c>
      <c r="J36" t="str" cm="1">
        <f t="array" ref="J36">_xlfn.IFS(HOUR(I36)&lt;12,"Morning",HOUR(I36)&lt;17,"Afternoon",TRUE,"Evening")</f>
        <v>Morning</v>
      </c>
      <c r="K36" t="s">
        <v>12</v>
      </c>
      <c r="L36" t="str">
        <f t="shared" si="0"/>
        <v>Attended</v>
      </c>
      <c r="M36">
        <f t="shared" si="1"/>
        <v>0</v>
      </c>
      <c r="N36" t="str">
        <f t="shared" si="2"/>
        <v>Sunday</v>
      </c>
      <c r="O3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7" spans="1:15" x14ac:dyDescent="0.25">
      <c r="A37">
        <v>5035</v>
      </c>
      <c r="B37">
        <v>1506</v>
      </c>
      <c r="C37">
        <v>1001</v>
      </c>
      <c r="D37" t="s">
        <v>22</v>
      </c>
      <c r="E37" s="1">
        <v>45613</v>
      </c>
      <c r="F37">
        <v>909</v>
      </c>
      <c r="G37" t="s">
        <v>17</v>
      </c>
      <c r="H37" t="s">
        <v>11</v>
      </c>
      <c r="I37" t="s">
        <v>1921</v>
      </c>
      <c r="J37" t="str" cm="1">
        <f t="array" ref="J37">_xlfn.IFS(HOUR(I37)&lt;12,"Morning",HOUR(I37)&lt;17,"Afternoon",TRUE,"Evening")</f>
        <v>Afternoon</v>
      </c>
      <c r="K37" t="s">
        <v>12</v>
      </c>
      <c r="L37" t="str">
        <f t="shared" si="0"/>
        <v>Attended</v>
      </c>
      <c r="M37">
        <f t="shared" si="1"/>
        <v>0</v>
      </c>
      <c r="N37" t="str">
        <f t="shared" si="2"/>
        <v>Sunday</v>
      </c>
      <c r="O3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8" spans="1:15" x14ac:dyDescent="0.25">
      <c r="A38">
        <v>5036</v>
      </c>
      <c r="B38">
        <v>689</v>
      </c>
      <c r="C38">
        <v>1009</v>
      </c>
      <c r="D38" t="s">
        <v>13</v>
      </c>
      <c r="E38" s="1">
        <v>45720</v>
      </c>
      <c r="F38">
        <v>2139</v>
      </c>
      <c r="G38" t="s">
        <v>17</v>
      </c>
      <c r="H38" t="s">
        <v>11</v>
      </c>
      <c r="I38" t="s">
        <v>1929</v>
      </c>
      <c r="J38" t="str" cm="1">
        <f t="array" ref="J38">_xlfn.IFS(HOUR(I38)&lt;12,"Morning",HOUR(I38)&lt;17,"Afternoon",TRUE,"Evening")</f>
        <v>Afternoon</v>
      </c>
      <c r="K38" t="s">
        <v>12</v>
      </c>
      <c r="L38" t="str">
        <f t="shared" si="0"/>
        <v>Attended</v>
      </c>
      <c r="M38">
        <f t="shared" si="1"/>
        <v>0</v>
      </c>
      <c r="N38" t="str">
        <f t="shared" si="2"/>
        <v>Tuesday</v>
      </c>
      <c r="O3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9" spans="1:15" x14ac:dyDescent="0.25">
      <c r="A39">
        <v>5037</v>
      </c>
      <c r="B39">
        <v>1339</v>
      </c>
      <c r="C39">
        <v>1020</v>
      </c>
      <c r="D39" t="s">
        <v>26</v>
      </c>
      <c r="E39" s="1">
        <v>45620</v>
      </c>
      <c r="F39">
        <v>903</v>
      </c>
      <c r="G39" t="s">
        <v>14</v>
      </c>
      <c r="H39" t="s">
        <v>15</v>
      </c>
      <c r="I39" t="s">
        <v>1920</v>
      </c>
      <c r="J39" t="str" cm="1">
        <f t="array" ref="J39">_xlfn.IFS(HOUR(I39)&lt;12,"Morning",HOUR(I39)&lt;17,"Afternoon",TRUE,"Evening")</f>
        <v>Morning</v>
      </c>
      <c r="K39" t="s">
        <v>12</v>
      </c>
      <c r="L39" t="str">
        <f t="shared" si="0"/>
        <v>Attended</v>
      </c>
      <c r="M39">
        <f t="shared" si="1"/>
        <v>0</v>
      </c>
      <c r="N39" t="str">
        <f t="shared" si="2"/>
        <v>Sunday</v>
      </c>
      <c r="O3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0" spans="1:15" x14ac:dyDescent="0.25">
      <c r="A40">
        <v>5038</v>
      </c>
      <c r="B40">
        <v>715</v>
      </c>
      <c r="C40">
        <v>1027</v>
      </c>
      <c r="D40" t="s">
        <v>27</v>
      </c>
      <c r="E40" s="1">
        <v>45643</v>
      </c>
      <c r="F40">
        <v>1501</v>
      </c>
      <c r="G40" t="s">
        <v>14</v>
      </c>
      <c r="H40" t="s">
        <v>15</v>
      </c>
      <c r="I40" t="s">
        <v>1930</v>
      </c>
      <c r="J40" t="str" cm="1">
        <f t="array" ref="J40">_xlfn.IFS(HOUR(I40)&lt;12,"Morning",HOUR(I40)&lt;17,"Afternoon",TRUE,"Evening")</f>
        <v>Morning</v>
      </c>
      <c r="K40" t="s">
        <v>12</v>
      </c>
      <c r="L40" t="str">
        <f t="shared" si="0"/>
        <v>Attended</v>
      </c>
      <c r="M40">
        <f t="shared" si="1"/>
        <v>0</v>
      </c>
      <c r="N40" t="str">
        <f t="shared" si="2"/>
        <v>Tuesday</v>
      </c>
      <c r="O4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1" spans="1:15" x14ac:dyDescent="0.25">
      <c r="A41">
        <v>5039</v>
      </c>
      <c r="B41">
        <v>1088</v>
      </c>
      <c r="C41">
        <v>1024</v>
      </c>
      <c r="D41" t="s">
        <v>16</v>
      </c>
      <c r="E41" s="1">
        <v>45552</v>
      </c>
      <c r="F41">
        <v>2340</v>
      </c>
      <c r="G41" t="s">
        <v>17</v>
      </c>
      <c r="H41" t="s">
        <v>19</v>
      </c>
      <c r="I41" t="s">
        <v>1918</v>
      </c>
      <c r="J41" t="str" cm="1">
        <f t="array" ref="J41">_xlfn.IFS(HOUR(I41)&lt;12,"Morning",HOUR(I41)&lt;17,"Afternoon",TRUE,"Evening")</f>
        <v>Evening</v>
      </c>
      <c r="K41" t="s">
        <v>20</v>
      </c>
      <c r="L41" t="str">
        <f t="shared" si="0"/>
        <v>No Show</v>
      </c>
      <c r="M41">
        <f t="shared" si="1"/>
        <v>1</v>
      </c>
      <c r="N41" t="str">
        <f t="shared" si="2"/>
        <v>Tuesday</v>
      </c>
      <c r="O4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2" spans="1:15" x14ac:dyDescent="0.25">
      <c r="A42">
        <v>5040</v>
      </c>
      <c r="B42">
        <v>195</v>
      </c>
      <c r="C42">
        <v>1002</v>
      </c>
      <c r="D42" t="s">
        <v>18</v>
      </c>
      <c r="E42" s="1">
        <v>45723</v>
      </c>
      <c r="F42">
        <v>2008</v>
      </c>
      <c r="G42" t="s">
        <v>14</v>
      </c>
      <c r="H42" t="s">
        <v>11</v>
      </c>
      <c r="I42" t="s">
        <v>1920</v>
      </c>
      <c r="J42" t="str" cm="1">
        <f t="array" ref="J42">_xlfn.IFS(HOUR(I42)&lt;12,"Morning",HOUR(I42)&lt;17,"Afternoon",TRUE,"Evening")</f>
        <v>Morning</v>
      </c>
      <c r="K42" t="s">
        <v>28</v>
      </c>
      <c r="L42" t="str">
        <f t="shared" si="0"/>
        <v>No Show</v>
      </c>
      <c r="M42">
        <f t="shared" si="1"/>
        <v>1</v>
      </c>
      <c r="N42" t="str">
        <f t="shared" si="2"/>
        <v>Friday</v>
      </c>
      <c r="O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" spans="1:15" x14ac:dyDescent="0.25">
      <c r="A43">
        <v>5041</v>
      </c>
      <c r="B43">
        <v>1249</v>
      </c>
      <c r="C43">
        <v>1027</v>
      </c>
      <c r="D43" t="s">
        <v>9</v>
      </c>
      <c r="E43" s="1">
        <v>45531</v>
      </c>
      <c r="F43">
        <v>1587</v>
      </c>
      <c r="G43" t="s">
        <v>10</v>
      </c>
      <c r="H43" t="s">
        <v>15</v>
      </c>
      <c r="I43" t="s">
        <v>1914</v>
      </c>
      <c r="J43" t="str" cm="1">
        <f t="array" ref="J43">_xlfn.IFS(HOUR(I43)&lt;12,"Morning",HOUR(I43)&lt;17,"Afternoon",TRUE,"Evening")</f>
        <v>Afternoon</v>
      </c>
      <c r="K43" t="s">
        <v>28</v>
      </c>
      <c r="L43" t="str">
        <f t="shared" si="0"/>
        <v>No Show</v>
      </c>
      <c r="M43">
        <f t="shared" si="1"/>
        <v>1</v>
      </c>
      <c r="N43" t="str">
        <f t="shared" si="2"/>
        <v>Tuesday</v>
      </c>
      <c r="O4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" spans="1:15" x14ac:dyDescent="0.25">
      <c r="A44">
        <v>5042</v>
      </c>
      <c r="B44">
        <v>531</v>
      </c>
      <c r="C44">
        <v>1020</v>
      </c>
      <c r="D44" t="s">
        <v>26</v>
      </c>
      <c r="E44" s="1">
        <v>45492</v>
      </c>
      <c r="F44">
        <v>1543</v>
      </c>
      <c r="G44" t="s">
        <v>25</v>
      </c>
      <c r="H44" t="s">
        <v>19</v>
      </c>
      <c r="I44" t="s">
        <v>1915</v>
      </c>
      <c r="J44" t="str" cm="1">
        <f t="array" ref="J44">_xlfn.IFS(HOUR(I44)&lt;12,"Morning",HOUR(I44)&lt;17,"Afternoon",TRUE,"Evening")</f>
        <v>Afternoon</v>
      </c>
      <c r="K44" t="s">
        <v>12</v>
      </c>
      <c r="L44" t="str">
        <f t="shared" si="0"/>
        <v>Attended</v>
      </c>
      <c r="M44">
        <f t="shared" si="1"/>
        <v>0</v>
      </c>
      <c r="N44" t="str">
        <f t="shared" si="2"/>
        <v>Friday</v>
      </c>
      <c r="O4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5" spans="1:15" x14ac:dyDescent="0.25">
      <c r="A45">
        <v>5043</v>
      </c>
      <c r="B45">
        <v>238</v>
      </c>
      <c r="C45">
        <v>1009</v>
      </c>
      <c r="D45" t="s">
        <v>13</v>
      </c>
      <c r="E45" s="1">
        <v>45499</v>
      </c>
      <c r="F45">
        <v>950</v>
      </c>
      <c r="G45" t="s">
        <v>17</v>
      </c>
      <c r="H45" t="s">
        <v>15</v>
      </c>
      <c r="I45" t="s">
        <v>1928</v>
      </c>
      <c r="J45" t="str" cm="1">
        <f t="array" ref="J45">_xlfn.IFS(HOUR(I45)&lt;12,"Morning",HOUR(I45)&lt;17,"Afternoon",TRUE,"Evening")</f>
        <v>Morning</v>
      </c>
      <c r="K45" t="s">
        <v>28</v>
      </c>
      <c r="L45" t="str">
        <f t="shared" si="0"/>
        <v>No Show</v>
      </c>
      <c r="M45">
        <f t="shared" si="1"/>
        <v>1</v>
      </c>
      <c r="N45" t="str">
        <f t="shared" si="2"/>
        <v>Friday</v>
      </c>
      <c r="O4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6" spans="1:15" x14ac:dyDescent="0.25">
      <c r="A46">
        <v>5044</v>
      </c>
      <c r="B46">
        <v>299</v>
      </c>
      <c r="C46">
        <v>1003</v>
      </c>
      <c r="D46" t="s">
        <v>18</v>
      </c>
      <c r="E46" s="1">
        <v>45803</v>
      </c>
      <c r="F46">
        <v>1909</v>
      </c>
      <c r="G46" t="s">
        <v>25</v>
      </c>
      <c r="H46" t="s">
        <v>15</v>
      </c>
      <c r="I46" t="s">
        <v>1931</v>
      </c>
      <c r="J46" t="str" cm="1">
        <f t="array" ref="J46">_xlfn.IFS(HOUR(I46)&lt;12,"Morning",HOUR(I46)&lt;17,"Afternoon",TRUE,"Evening")</f>
        <v>Afternoon</v>
      </c>
      <c r="K46" t="s">
        <v>12</v>
      </c>
      <c r="L46" t="str">
        <f t="shared" si="0"/>
        <v>Attended</v>
      </c>
      <c r="M46">
        <f t="shared" si="1"/>
        <v>0</v>
      </c>
      <c r="N46" t="str">
        <f t="shared" si="2"/>
        <v>Monday</v>
      </c>
      <c r="O4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7" spans="1:15" x14ac:dyDescent="0.25">
      <c r="A47">
        <v>5045</v>
      </c>
      <c r="B47">
        <v>122</v>
      </c>
      <c r="C47">
        <v>1020</v>
      </c>
      <c r="D47" t="s">
        <v>26</v>
      </c>
      <c r="E47" s="1">
        <v>45772</v>
      </c>
      <c r="F47">
        <v>1248</v>
      </c>
      <c r="G47" t="s">
        <v>14</v>
      </c>
      <c r="H47" t="s">
        <v>15</v>
      </c>
      <c r="I47" t="s">
        <v>1932</v>
      </c>
      <c r="J47" t="str" cm="1">
        <f t="array" ref="J47">_xlfn.IFS(HOUR(I47)&lt;12,"Morning",HOUR(I47)&lt;17,"Afternoon",TRUE,"Evening")</f>
        <v>Evening</v>
      </c>
      <c r="K47" t="s">
        <v>12</v>
      </c>
      <c r="L47" t="str">
        <f t="shared" si="0"/>
        <v>Attended</v>
      </c>
      <c r="M47">
        <f t="shared" si="1"/>
        <v>0</v>
      </c>
      <c r="N47" t="str">
        <f t="shared" si="2"/>
        <v>Friday</v>
      </c>
      <c r="O4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8" spans="1:15" x14ac:dyDescent="0.25">
      <c r="A48">
        <v>5046</v>
      </c>
      <c r="B48">
        <v>824</v>
      </c>
      <c r="C48">
        <v>1003</v>
      </c>
      <c r="D48" t="s">
        <v>18</v>
      </c>
      <c r="E48" s="1">
        <v>45777</v>
      </c>
      <c r="F48">
        <v>1904</v>
      </c>
      <c r="G48" t="s">
        <v>10</v>
      </c>
      <c r="H48" t="s">
        <v>11</v>
      </c>
      <c r="I48" t="s">
        <v>1915</v>
      </c>
      <c r="J48" t="str" cm="1">
        <f t="array" ref="J48">_xlfn.IFS(HOUR(I48)&lt;12,"Morning",HOUR(I48)&lt;17,"Afternoon",TRUE,"Evening")</f>
        <v>Afternoon</v>
      </c>
      <c r="K48" t="s">
        <v>12</v>
      </c>
      <c r="L48" t="str">
        <f t="shared" si="0"/>
        <v>Attended</v>
      </c>
      <c r="M48">
        <f t="shared" si="1"/>
        <v>0</v>
      </c>
      <c r="N48" t="str">
        <f t="shared" si="2"/>
        <v>Wednesday</v>
      </c>
      <c r="O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9" spans="1:15" x14ac:dyDescent="0.25">
      <c r="A49">
        <v>5047</v>
      </c>
      <c r="B49">
        <v>1423</v>
      </c>
      <c r="C49">
        <v>1027</v>
      </c>
      <c r="D49" t="s">
        <v>21</v>
      </c>
      <c r="E49" s="1">
        <v>45830</v>
      </c>
      <c r="F49">
        <v>1802</v>
      </c>
      <c r="G49" t="s">
        <v>17</v>
      </c>
      <c r="H49" t="s">
        <v>15</v>
      </c>
      <c r="I49" t="s">
        <v>1933</v>
      </c>
      <c r="J49" t="str" cm="1">
        <f t="array" ref="J49">_xlfn.IFS(HOUR(I49)&lt;12,"Morning",HOUR(I49)&lt;17,"Afternoon",TRUE,"Evening")</f>
        <v>Evening</v>
      </c>
      <c r="K49" t="s">
        <v>23</v>
      </c>
      <c r="L49" t="str">
        <f t="shared" si="0"/>
        <v>No Show</v>
      </c>
      <c r="M49">
        <f t="shared" si="1"/>
        <v>1</v>
      </c>
      <c r="N49" t="str">
        <f t="shared" si="2"/>
        <v>Sunday</v>
      </c>
      <c r="O4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0" spans="1:15" x14ac:dyDescent="0.25">
      <c r="A50">
        <v>5048</v>
      </c>
      <c r="B50">
        <v>473</v>
      </c>
      <c r="C50">
        <v>1027</v>
      </c>
      <c r="D50" t="s">
        <v>9</v>
      </c>
      <c r="E50" s="1">
        <v>45824</v>
      </c>
      <c r="F50">
        <v>1402</v>
      </c>
      <c r="G50" t="s">
        <v>25</v>
      </c>
      <c r="H50" t="s">
        <v>15</v>
      </c>
      <c r="I50" t="s">
        <v>1934</v>
      </c>
      <c r="J50" t="str" cm="1">
        <f t="array" ref="J50">_xlfn.IFS(HOUR(I50)&lt;12,"Morning",HOUR(I50)&lt;17,"Afternoon",TRUE,"Evening")</f>
        <v>Afternoon</v>
      </c>
      <c r="K50" t="s">
        <v>23</v>
      </c>
      <c r="L50" t="str">
        <f t="shared" si="0"/>
        <v>No Show</v>
      </c>
      <c r="M50">
        <f t="shared" si="1"/>
        <v>1</v>
      </c>
      <c r="N50" t="str">
        <f t="shared" si="2"/>
        <v>Monday</v>
      </c>
      <c r="O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" spans="1:15" x14ac:dyDescent="0.25">
      <c r="A51">
        <v>5049</v>
      </c>
      <c r="B51">
        <v>316</v>
      </c>
      <c r="C51">
        <v>1027</v>
      </c>
      <c r="D51" t="s">
        <v>21</v>
      </c>
      <c r="E51" s="1">
        <v>45653</v>
      </c>
      <c r="F51">
        <v>1857</v>
      </c>
      <c r="G51" t="s">
        <v>25</v>
      </c>
      <c r="H51" t="s">
        <v>11</v>
      </c>
      <c r="I51" t="s">
        <v>1935</v>
      </c>
      <c r="J51" t="str" cm="1">
        <f t="array" ref="J51">_xlfn.IFS(HOUR(I51)&lt;12,"Morning",HOUR(I51)&lt;17,"Afternoon",TRUE,"Evening")</f>
        <v>Afternoon</v>
      </c>
      <c r="K51" t="s">
        <v>28</v>
      </c>
      <c r="L51" t="str">
        <f t="shared" si="0"/>
        <v>No Show</v>
      </c>
      <c r="M51">
        <f t="shared" si="1"/>
        <v>1</v>
      </c>
      <c r="N51" t="str">
        <f t="shared" si="2"/>
        <v>Friday</v>
      </c>
      <c r="O5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2" spans="1:15" x14ac:dyDescent="0.25">
      <c r="A52">
        <v>5050</v>
      </c>
      <c r="B52">
        <v>637</v>
      </c>
      <c r="C52">
        <v>1027</v>
      </c>
      <c r="D52" t="s">
        <v>21</v>
      </c>
      <c r="E52" s="1">
        <v>45506</v>
      </c>
      <c r="F52">
        <v>1328</v>
      </c>
      <c r="G52" t="s">
        <v>25</v>
      </c>
      <c r="H52" t="s">
        <v>15</v>
      </c>
      <c r="I52" t="s">
        <v>1926</v>
      </c>
      <c r="J52" t="str" cm="1">
        <f t="array" ref="J52">_xlfn.IFS(HOUR(I52)&lt;12,"Morning",HOUR(I52)&lt;17,"Afternoon",TRUE,"Evening")</f>
        <v>Afternoon</v>
      </c>
      <c r="K52" t="s">
        <v>12</v>
      </c>
      <c r="L52" t="str">
        <f t="shared" si="0"/>
        <v>Attended</v>
      </c>
      <c r="M52">
        <f t="shared" si="1"/>
        <v>0</v>
      </c>
      <c r="N52" t="str">
        <f t="shared" si="2"/>
        <v>Friday</v>
      </c>
      <c r="O5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3" spans="1:15" x14ac:dyDescent="0.25">
      <c r="A53">
        <v>5051</v>
      </c>
      <c r="B53">
        <v>1237</v>
      </c>
      <c r="C53">
        <v>1027</v>
      </c>
      <c r="D53" t="s">
        <v>22</v>
      </c>
      <c r="E53" s="1">
        <v>45552</v>
      </c>
      <c r="F53">
        <v>1796</v>
      </c>
      <c r="G53" t="s">
        <v>14</v>
      </c>
      <c r="H53" t="s">
        <v>11</v>
      </c>
      <c r="I53" t="s">
        <v>1911</v>
      </c>
      <c r="J53" t="str" cm="1">
        <f t="array" ref="J53">_xlfn.IFS(HOUR(I53)&lt;12,"Morning",HOUR(I53)&lt;17,"Afternoon",TRUE,"Evening")</f>
        <v>Morning</v>
      </c>
      <c r="K53" t="s">
        <v>12</v>
      </c>
      <c r="L53" t="str">
        <f t="shared" si="0"/>
        <v>Attended</v>
      </c>
      <c r="M53">
        <f t="shared" si="1"/>
        <v>0</v>
      </c>
      <c r="N53" t="str">
        <f t="shared" si="2"/>
        <v>Tuesday</v>
      </c>
      <c r="O5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4" spans="1:15" x14ac:dyDescent="0.25">
      <c r="A54">
        <v>5052</v>
      </c>
      <c r="B54">
        <v>1360</v>
      </c>
      <c r="C54">
        <v>1027</v>
      </c>
      <c r="D54" t="s">
        <v>22</v>
      </c>
      <c r="E54" s="1">
        <v>45697</v>
      </c>
      <c r="F54">
        <v>1187</v>
      </c>
      <c r="G54" t="s">
        <v>17</v>
      </c>
      <c r="H54" t="s">
        <v>19</v>
      </c>
      <c r="I54" t="s">
        <v>1936</v>
      </c>
      <c r="J54" t="str" cm="1">
        <f t="array" ref="J54">_xlfn.IFS(HOUR(I54)&lt;12,"Morning",HOUR(I54)&lt;17,"Afternoon",TRUE,"Evening")</f>
        <v>Morning</v>
      </c>
      <c r="K54" t="s">
        <v>12</v>
      </c>
      <c r="L54" t="str">
        <f t="shared" si="0"/>
        <v>Attended</v>
      </c>
      <c r="M54">
        <f t="shared" si="1"/>
        <v>0</v>
      </c>
      <c r="N54" t="str">
        <f t="shared" si="2"/>
        <v>Sunday</v>
      </c>
      <c r="O5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5" spans="1:15" x14ac:dyDescent="0.25">
      <c r="A55">
        <v>5053</v>
      </c>
      <c r="B55">
        <v>1581</v>
      </c>
      <c r="C55">
        <v>1027</v>
      </c>
      <c r="D55" t="s">
        <v>24</v>
      </c>
      <c r="E55" s="1">
        <v>45607</v>
      </c>
      <c r="F55">
        <v>2207</v>
      </c>
      <c r="G55" t="s">
        <v>14</v>
      </c>
      <c r="H55" t="s">
        <v>15</v>
      </c>
      <c r="I55" t="s">
        <v>1937</v>
      </c>
      <c r="J55" t="str" cm="1">
        <f t="array" ref="J55">_xlfn.IFS(HOUR(I55)&lt;12,"Morning",HOUR(I55)&lt;17,"Afternoon",TRUE,"Evening")</f>
        <v>Morning</v>
      </c>
      <c r="K55" t="s">
        <v>12</v>
      </c>
      <c r="L55" t="str">
        <f t="shared" si="0"/>
        <v>Attended</v>
      </c>
      <c r="M55">
        <f t="shared" si="1"/>
        <v>0</v>
      </c>
      <c r="N55" t="str">
        <f t="shared" si="2"/>
        <v>Monday</v>
      </c>
      <c r="O5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6" spans="1:15" x14ac:dyDescent="0.25">
      <c r="A56">
        <v>5054</v>
      </c>
      <c r="B56">
        <v>466</v>
      </c>
      <c r="C56">
        <v>1027</v>
      </c>
      <c r="D56" t="s">
        <v>21</v>
      </c>
      <c r="E56" s="1">
        <v>45754</v>
      </c>
      <c r="F56">
        <v>2004</v>
      </c>
      <c r="G56" t="s">
        <v>10</v>
      </c>
      <c r="H56" t="s">
        <v>19</v>
      </c>
      <c r="I56" t="s">
        <v>1936</v>
      </c>
      <c r="J56" t="str" cm="1">
        <f t="array" ref="J56">_xlfn.IFS(HOUR(I56)&lt;12,"Morning",HOUR(I56)&lt;17,"Afternoon",TRUE,"Evening")</f>
        <v>Morning</v>
      </c>
      <c r="K56" t="s">
        <v>12</v>
      </c>
      <c r="L56" t="str">
        <f t="shared" si="0"/>
        <v>Attended</v>
      </c>
      <c r="M56">
        <f t="shared" si="1"/>
        <v>0</v>
      </c>
      <c r="N56" t="str">
        <f t="shared" si="2"/>
        <v>Monday</v>
      </c>
      <c r="O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7" spans="1:15" x14ac:dyDescent="0.25">
      <c r="A57">
        <v>5055</v>
      </c>
      <c r="B57">
        <v>180</v>
      </c>
      <c r="C57">
        <v>1027</v>
      </c>
      <c r="D57" t="s">
        <v>24</v>
      </c>
      <c r="E57" s="1">
        <v>45761</v>
      </c>
      <c r="F57">
        <v>1192</v>
      </c>
      <c r="G57" t="s">
        <v>25</v>
      </c>
      <c r="H57" t="s">
        <v>19</v>
      </c>
      <c r="I57" t="s">
        <v>1923</v>
      </c>
      <c r="J57" t="str" cm="1">
        <f t="array" ref="J57">_xlfn.IFS(HOUR(I57)&lt;12,"Morning",HOUR(I57)&lt;17,"Afternoon",TRUE,"Evening")</f>
        <v>Evening</v>
      </c>
      <c r="K57" t="s">
        <v>12</v>
      </c>
      <c r="L57" t="str">
        <f t="shared" si="0"/>
        <v>Attended</v>
      </c>
      <c r="M57">
        <f t="shared" si="1"/>
        <v>0</v>
      </c>
      <c r="N57" t="str">
        <f t="shared" si="2"/>
        <v>Monday</v>
      </c>
      <c r="O5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" spans="1:15" x14ac:dyDescent="0.25">
      <c r="A58">
        <v>5056</v>
      </c>
      <c r="B58">
        <v>606</v>
      </c>
      <c r="C58">
        <v>1027</v>
      </c>
      <c r="D58" t="s">
        <v>9</v>
      </c>
      <c r="E58" s="1">
        <v>45640</v>
      </c>
      <c r="F58">
        <v>2266</v>
      </c>
      <c r="G58" t="s">
        <v>17</v>
      </c>
      <c r="H58" t="s">
        <v>19</v>
      </c>
      <c r="I58" t="s">
        <v>1934</v>
      </c>
      <c r="J58" t="str" cm="1">
        <f t="array" ref="J58">_xlfn.IFS(HOUR(I58)&lt;12,"Morning",HOUR(I58)&lt;17,"Afternoon",TRUE,"Evening")</f>
        <v>Afternoon</v>
      </c>
      <c r="K58" t="s">
        <v>12</v>
      </c>
      <c r="L58" t="str">
        <f t="shared" si="0"/>
        <v>Attended</v>
      </c>
      <c r="M58">
        <f t="shared" si="1"/>
        <v>0</v>
      </c>
      <c r="N58" t="str">
        <f t="shared" si="2"/>
        <v>Saturday</v>
      </c>
      <c r="O5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9" spans="1:15" x14ac:dyDescent="0.25">
      <c r="A59">
        <v>5057</v>
      </c>
      <c r="B59">
        <v>251</v>
      </c>
      <c r="C59">
        <v>1004</v>
      </c>
      <c r="D59" t="s">
        <v>18</v>
      </c>
      <c r="E59" s="1">
        <v>45668</v>
      </c>
      <c r="F59">
        <v>1238</v>
      </c>
      <c r="G59" t="s">
        <v>17</v>
      </c>
      <c r="H59" t="s">
        <v>19</v>
      </c>
      <c r="I59" t="s">
        <v>1925</v>
      </c>
      <c r="J59" t="str" cm="1">
        <f t="array" ref="J59">_xlfn.IFS(HOUR(I59)&lt;12,"Morning",HOUR(I59)&lt;17,"Afternoon",TRUE,"Evening")</f>
        <v>Afternoon</v>
      </c>
      <c r="K59" t="s">
        <v>12</v>
      </c>
      <c r="L59" t="str">
        <f t="shared" si="0"/>
        <v>Attended</v>
      </c>
      <c r="M59">
        <f t="shared" si="1"/>
        <v>0</v>
      </c>
      <c r="N59" t="str">
        <f t="shared" si="2"/>
        <v>Saturday</v>
      </c>
      <c r="O5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0" spans="1:15" x14ac:dyDescent="0.25">
      <c r="A60">
        <v>5058</v>
      </c>
      <c r="B60">
        <v>154</v>
      </c>
      <c r="C60">
        <v>1001</v>
      </c>
      <c r="D60" t="s">
        <v>22</v>
      </c>
      <c r="E60" s="1">
        <v>45505</v>
      </c>
      <c r="F60">
        <v>1632</v>
      </c>
      <c r="G60" t="s">
        <v>17</v>
      </c>
      <c r="H60" t="s">
        <v>11</v>
      </c>
      <c r="I60" t="s">
        <v>1905</v>
      </c>
      <c r="J60" t="str" cm="1">
        <f t="array" ref="J60">_xlfn.IFS(HOUR(I60)&lt;12,"Morning",HOUR(I60)&lt;17,"Afternoon",TRUE,"Evening")</f>
        <v>Morning</v>
      </c>
      <c r="K60" t="s">
        <v>12</v>
      </c>
      <c r="L60" t="str">
        <f t="shared" si="0"/>
        <v>Attended</v>
      </c>
      <c r="M60">
        <f t="shared" si="1"/>
        <v>0</v>
      </c>
      <c r="N60" t="str">
        <f t="shared" si="2"/>
        <v>Thursday</v>
      </c>
      <c r="O6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1" spans="1:15" x14ac:dyDescent="0.25">
      <c r="A61">
        <v>5059</v>
      </c>
      <c r="B61">
        <v>1072</v>
      </c>
      <c r="C61">
        <v>1027</v>
      </c>
      <c r="D61" t="s">
        <v>9</v>
      </c>
      <c r="E61" s="1">
        <v>45742</v>
      </c>
      <c r="F61">
        <v>1075</v>
      </c>
      <c r="G61" t="s">
        <v>17</v>
      </c>
      <c r="H61" t="s">
        <v>15</v>
      </c>
      <c r="I61" t="s">
        <v>1937</v>
      </c>
      <c r="J61" t="str" cm="1">
        <f t="array" ref="J61">_xlfn.IFS(HOUR(I61)&lt;12,"Morning",HOUR(I61)&lt;17,"Afternoon",TRUE,"Evening")</f>
        <v>Morning</v>
      </c>
      <c r="K61" t="s">
        <v>12</v>
      </c>
      <c r="L61" t="str">
        <f t="shared" si="0"/>
        <v>Attended</v>
      </c>
      <c r="M61">
        <f t="shared" si="1"/>
        <v>0</v>
      </c>
      <c r="N61" t="str">
        <f t="shared" si="2"/>
        <v>Wednesday</v>
      </c>
      <c r="O6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2" spans="1:15" x14ac:dyDescent="0.25">
      <c r="A62">
        <v>5060</v>
      </c>
      <c r="B62">
        <v>1469</v>
      </c>
      <c r="C62">
        <v>1027</v>
      </c>
      <c r="D62" t="s">
        <v>24</v>
      </c>
      <c r="E62" s="1">
        <v>45816</v>
      </c>
      <c r="F62">
        <v>1969</v>
      </c>
      <c r="G62" t="s">
        <v>10</v>
      </c>
      <c r="H62" t="s">
        <v>19</v>
      </c>
      <c r="I62" t="s">
        <v>1933</v>
      </c>
      <c r="J62" t="str" cm="1">
        <f t="array" ref="J62">_xlfn.IFS(HOUR(I62)&lt;12,"Morning",HOUR(I62)&lt;17,"Afternoon",TRUE,"Evening")</f>
        <v>Evening</v>
      </c>
      <c r="K62" t="s">
        <v>23</v>
      </c>
      <c r="L62" t="str">
        <f t="shared" si="0"/>
        <v>No Show</v>
      </c>
      <c r="M62">
        <f t="shared" si="1"/>
        <v>1</v>
      </c>
      <c r="N62" t="str">
        <f t="shared" si="2"/>
        <v>Sunday</v>
      </c>
      <c r="O6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3" spans="1:15" x14ac:dyDescent="0.25">
      <c r="A63">
        <v>5061</v>
      </c>
      <c r="B63">
        <v>161</v>
      </c>
      <c r="C63">
        <v>1027</v>
      </c>
      <c r="D63" t="s">
        <v>9</v>
      </c>
      <c r="E63" s="1">
        <v>45601</v>
      </c>
      <c r="F63">
        <v>897</v>
      </c>
      <c r="G63" t="s">
        <v>10</v>
      </c>
      <c r="H63" t="s">
        <v>19</v>
      </c>
      <c r="I63" t="s">
        <v>1922</v>
      </c>
      <c r="J63" t="str" cm="1">
        <f t="array" ref="J63">_xlfn.IFS(HOUR(I63)&lt;12,"Morning",HOUR(I63)&lt;17,"Afternoon",TRUE,"Evening")</f>
        <v>Afternoon</v>
      </c>
      <c r="K63" t="s">
        <v>12</v>
      </c>
      <c r="L63" t="str">
        <f t="shared" si="0"/>
        <v>Attended</v>
      </c>
      <c r="M63">
        <f t="shared" si="1"/>
        <v>0</v>
      </c>
      <c r="N63" t="str">
        <f t="shared" si="2"/>
        <v>Tuesday</v>
      </c>
      <c r="O6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" spans="1:15" x14ac:dyDescent="0.25">
      <c r="A64">
        <v>5062</v>
      </c>
      <c r="B64">
        <v>1112</v>
      </c>
      <c r="C64">
        <v>1001</v>
      </c>
      <c r="D64" t="s">
        <v>22</v>
      </c>
      <c r="E64" s="1">
        <v>45519</v>
      </c>
      <c r="F64">
        <v>1471</v>
      </c>
      <c r="G64" t="s">
        <v>17</v>
      </c>
      <c r="H64" t="s">
        <v>19</v>
      </c>
      <c r="I64" t="s">
        <v>1933</v>
      </c>
      <c r="J64" t="str" cm="1">
        <f t="array" ref="J64">_xlfn.IFS(HOUR(I64)&lt;12,"Morning",HOUR(I64)&lt;17,"Afternoon",TRUE,"Evening")</f>
        <v>Evening</v>
      </c>
      <c r="K64" t="s">
        <v>12</v>
      </c>
      <c r="L64" t="str">
        <f t="shared" si="0"/>
        <v>Attended</v>
      </c>
      <c r="M64">
        <f t="shared" si="1"/>
        <v>0</v>
      </c>
      <c r="N64" t="str">
        <f t="shared" si="2"/>
        <v>Thursday</v>
      </c>
      <c r="O6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" spans="1:15" x14ac:dyDescent="0.25">
      <c r="A65">
        <v>5063</v>
      </c>
      <c r="B65">
        <v>1319</v>
      </c>
      <c r="C65">
        <v>1027</v>
      </c>
      <c r="D65" t="s">
        <v>21</v>
      </c>
      <c r="E65" s="1">
        <v>45488</v>
      </c>
      <c r="F65">
        <v>1184</v>
      </c>
      <c r="G65" t="s">
        <v>10</v>
      </c>
      <c r="H65" t="s">
        <v>15</v>
      </c>
      <c r="I65" t="s">
        <v>1914</v>
      </c>
      <c r="J65" t="str" cm="1">
        <f t="array" ref="J65">_xlfn.IFS(HOUR(I65)&lt;12,"Morning",HOUR(I65)&lt;17,"Afternoon",TRUE,"Evening")</f>
        <v>Afternoon</v>
      </c>
      <c r="K65" t="s">
        <v>28</v>
      </c>
      <c r="L65" t="str">
        <f t="shared" si="0"/>
        <v>No Show</v>
      </c>
      <c r="M65">
        <f t="shared" si="1"/>
        <v>1</v>
      </c>
      <c r="N65" t="str">
        <f t="shared" si="2"/>
        <v>Monday</v>
      </c>
      <c r="O6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6" spans="1:15" x14ac:dyDescent="0.25">
      <c r="A66">
        <v>5064</v>
      </c>
      <c r="B66">
        <v>1595</v>
      </c>
      <c r="C66">
        <v>1008</v>
      </c>
      <c r="D66" t="s">
        <v>13</v>
      </c>
      <c r="E66" s="1">
        <v>45564</v>
      </c>
      <c r="F66">
        <v>1275</v>
      </c>
      <c r="G66" t="s">
        <v>14</v>
      </c>
      <c r="H66" t="s">
        <v>11</v>
      </c>
      <c r="I66" t="s">
        <v>1916</v>
      </c>
      <c r="J66" t="str" cm="1">
        <f t="array" ref="J66">_xlfn.IFS(HOUR(I66)&lt;12,"Morning",HOUR(I66)&lt;17,"Afternoon",TRUE,"Evening")</f>
        <v>Afternoon</v>
      </c>
      <c r="K66" t="s">
        <v>12</v>
      </c>
      <c r="L66" t="str">
        <f t="shared" si="0"/>
        <v>Attended</v>
      </c>
      <c r="M66">
        <f t="shared" si="1"/>
        <v>0</v>
      </c>
      <c r="N66" t="str">
        <f t="shared" si="2"/>
        <v>Sunday</v>
      </c>
      <c r="O6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7" spans="1:15" x14ac:dyDescent="0.25">
      <c r="A67">
        <v>5065</v>
      </c>
      <c r="B67">
        <v>1206</v>
      </c>
      <c r="C67">
        <v>1020</v>
      </c>
      <c r="D67" t="s">
        <v>26</v>
      </c>
      <c r="E67" s="1">
        <v>45649</v>
      </c>
      <c r="F67">
        <v>1071</v>
      </c>
      <c r="G67" t="s">
        <v>25</v>
      </c>
      <c r="H67" t="s">
        <v>15</v>
      </c>
      <c r="I67" t="s">
        <v>1928</v>
      </c>
      <c r="J67" t="str" cm="1">
        <f t="array" ref="J67">_xlfn.IFS(HOUR(I67)&lt;12,"Morning",HOUR(I67)&lt;17,"Afternoon",TRUE,"Evening")</f>
        <v>Morning</v>
      </c>
      <c r="K67" t="s">
        <v>28</v>
      </c>
      <c r="L67" t="str">
        <f t="shared" ref="L67:L130" si="3">IF(K67="completed","Attended","No Show")</f>
        <v>No Show</v>
      </c>
      <c r="M67">
        <f t="shared" ref="M67:M130" si="4">IF(L67="No Show",1,0)</f>
        <v>1</v>
      </c>
      <c r="N67" t="str">
        <f t="shared" ref="N67:N130" si="5">TEXT(E67,"dddd")</f>
        <v>Monday</v>
      </c>
      <c r="O6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" spans="1:15" x14ac:dyDescent="0.25">
      <c r="A68">
        <v>5066</v>
      </c>
      <c r="B68">
        <v>1319</v>
      </c>
      <c r="C68">
        <v>1027</v>
      </c>
      <c r="D68" t="s">
        <v>24</v>
      </c>
      <c r="E68" s="1">
        <v>45641</v>
      </c>
      <c r="F68">
        <v>892</v>
      </c>
      <c r="G68" t="s">
        <v>10</v>
      </c>
      <c r="H68" t="s">
        <v>19</v>
      </c>
      <c r="I68" t="s">
        <v>1938</v>
      </c>
      <c r="J68" t="str" cm="1">
        <f t="array" ref="J68">_xlfn.IFS(HOUR(I68)&lt;12,"Morning",HOUR(I68)&lt;17,"Afternoon",TRUE,"Evening")</f>
        <v>Afternoon</v>
      </c>
      <c r="K68" t="s">
        <v>12</v>
      </c>
      <c r="L68" t="str">
        <f t="shared" si="3"/>
        <v>Attended</v>
      </c>
      <c r="M68">
        <f t="shared" si="4"/>
        <v>0</v>
      </c>
      <c r="N68" t="str">
        <f t="shared" si="5"/>
        <v>Sunday</v>
      </c>
      <c r="O6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9" spans="1:15" x14ac:dyDescent="0.25">
      <c r="A69">
        <v>5067</v>
      </c>
      <c r="B69">
        <v>958</v>
      </c>
      <c r="C69">
        <v>1002</v>
      </c>
      <c r="D69" t="s">
        <v>18</v>
      </c>
      <c r="E69" s="1">
        <v>45484</v>
      </c>
      <c r="F69">
        <v>2207</v>
      </c>
      <c r="G69" t="s">
        <v>17</v>
      </c>
      <c r="H69" t="s">
        <v>15</v>
      </c>
      <c r="I69" t="s">
        <v>1930</v>
      </c>
      <c r="J69" t="str" cm="1">
        <f t="array" ref="J69">_xlfn.IFS(HOUR(I69)&lt;12,"Morning",HOUR(I69)&lt;17,"Afternoon",TRUE,"Evening")</f>
        <v>Morning</v>
      </c>
      <c r="K69" t="s">
        <v>12</v>
      </c>
      <c r="L69" t="str">
        <f t="shared" si="3"/>
        <v>Attended</v>
      </c>
      <c r="M69">
        <f t="shared" si="4"/>
        <v>0</v>
      </c>
      <c r="N69" t="str">
        <f t="shared" si="5"/>
        <v>Thursday</v>
      </c>
      <c r="O6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0" spans="1:15" x14ac:dyDescent="0.25">
      <c r="A70">
        <v>5068</v>
      </c>
      <c r="B70">
        <v>665</v>
      </c>
      <c r="C70">
        <v>1027</v>
      </c>
      <c r="D70" t="s">
        <v>24</v>
      </c>
      <c r="E70" s="1">
        <v>45753</v>
      </c>
      <c r="F70">
        <v>1025</v>
      </c>
      <c r="G70" t="s">
        <v>10</v>
      </c>
      <c r="H70" t="s">
        <v>19</v>
      </c>
      <c r="I70" t="s">
        <v>1939</v>
      </c>
      <c r="J70" t="str" cm="1">
        <f t="array" ref="J70">_xlfn.IFS(HOUR(I70)&lt;12,"Morning",HOUR(I70)&lt;17,"Afternoon",TRUE,"Evening")</f>
        <v>Afternoon</v>
      </c>
      <c r="K70" t="s">
        <v>12</v>
      </c>
      <c r="L70" t="str">
        <f t="shared" si="3"/>
        <v>Attended</v>
      </c>
      <c r="M70">
        <f t="shared" si="4"/>
        <v>0</v>
      </c>
      <c r="N70" t="str">
        <f t="shared" si="5"/>
        <v>Sunday</v>
      </c>
      <c r="O7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1" spans="1:15" x14ac:dyDescent="0.25">
      <c r="A71">
        <v>5069</v>
      </c>
      <c r="B71">
        <v>178</v>
      </c>
      <c r="C71">
        <v>1027</v>
      </c>
      <c r="D71" t="s">
        <v>21</v>
      </c>
      <c r="E71" s="1">
        <v>45616</v>
      </c>
      <c r="F71">
        <v>1619</v>
      </c>
      <c r="G71" t="s">
        <v>17</v>
      </c>
      <c r="H71" t="s">
        <v>11</v>
      </c>
      <c r="I71" t="s">
        <v>1904</v>
      </c>
      <c r="J71" t="str" cm="1">
        <f t="array" ref="J71">_xlfn.IFS(HOUR(I71)&lt;12,"Morning",HOUR(I71)&lt;17,"Afternoon",TRUE,"Evening")</f>
        <v>Evening</v>
      </c>
      <c r="K71" t="s">
        <v>12</v>
      </c>
      <c r="L71" t="str">
        <f t="shared" si="3"/>
        <v>Attended</v>
      </c>
      <c r="M71">
        <f t="shared" si="4"/>
        <v>0</v>
      </c>
      <c r="N71" t="str">
        <f t="shared" si="5"/>
        <v>Wednesday</v>
      </c>
      <c r="O7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" spans="1:15" x14ac:dyDescent="0.25">
      <c r="A72">
        <v>5070</v>
      </c>
      <c r="B72">
        <v>204</v>
      </c>
      <c r="C72">
        <v>1027</v>
      </c>
      <c r="D72" t="s">
        <v>21</v>
      </c>
      <c r="E72" s="1">
        <v>45710</v>
      </c>
      <c r="F72">
        <v>859</v>
      </c>
      <c r="G72" t="s">
        <v>14</v>
      </c>
      <c r="H72" t="s">
        <v>15</v>
      </c>
      <c r="I72" t="s">
        <v>1932</v>
      </c>
      <c r="J72" t="str" cm="1">
        <f t="array" ref="J72">_xlfn.IFS(HOUR(I72)&lt;12,"Morning",HOUR(I72)&lt;17,"Afternoon",TRUE,"Evening")</f>
        <v>Evening</v>
      </c>
      <c r="K72" t="s">
        <v>12</v>
      </c>
      <c r="L72" t="str">
        <f t="shared" si="3"/>
        <v>Attended</v>
      </c>
      <c r="M72">
        <f t="shared" si="4"/>
        <v>0</v>
      </c>
      <c r="N72" t="str">
        <f t="shared" si="5"/>
        <v>Saturday</v>
      </c>
      <c r="O7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3" spans="1:15" x14ac:dyDescent="0.25">
      <c r="A73">
        <v>5071</v>
      </c>
      <c r="B73">
        <v>1591</v>
      </c>
      <c r="C73">
        <v>1009</v>
      </c>
      <c r="D73" t="s">
        <v>13</v>
      </c>
      <c r="E73" s="1">
        <v>45479</v>
      </c>
      <c r="F73">
        <v>1797</v>
      </c>
      <c r="G73" t="s">
        <v>14</v>
      </c>
      <c r="H73" t="s">
        <v>11</v>
      </c>
      <c r="I73" t="s">
        <v>1937</v>
      </c>
      <c r="J73" t="str" cm="1">
        <f t="array" ref="J73">_xlfn.IFS(HOUR(I73)&lt;12,"Morning",HOUR(I73)&lt;17,"Afternoon",TRUE,"Evening")</f>
        <v>Morning</v>
      </c>
      <c r="K73" t="s">
        <v>12</v>
      </c>
      <c r="L73" t="str">
        <f t="shared" si="3"/>
        <v>Attended</v>
      </c>
      <c r="M73">
        <f t="shared" si="4"/>
        <v>0</v>
      </c>
      <c r="N73" t="str">
        <f t="shared" si="5"/>
        <v>Saturday</v>
      </c>
      <c r="O7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4" spans="1:15" x14ac:dyDescent="0.25">
      <c r="A74">
        <v>5072</v>
      </c>
      <c r="B74">
        <v>737</v>
      </c>
      <c r="C74">
        <v>1027</v>
      </c>
      <c r="D74" t="s">
        <v>24</v>
      </c>
      <c r="E74" s="1">
        <v>45811</v>
      </c>
      <c r="F74">
        <v>1410</v>
      </c>
      <c r="G74" t="s">
        <v>14</v>
      </c>
      <c r="H74" t="s">
        <v>19</v>
      </c>
      <c r="I74" t="s">
        <v>1937</v>
      </c>
      <c r="J74" t="str" cm="1">
        <f t="array" ref="J74">_xlfn.IFS(HOUR(I74)&lt;12,"Morning",HOUR(I74)&lt;17,"Afternoon",TRUE,"Evening")</f>
        <v>Morning</v>
      </c>
      <c r="K74" t="s">
        <v>23</v>
      </c>
      <c r="L74" t="str">
        <f t="shared" si="3"/>
        <v>No Show</v>
      </c>
      <c r="M74">
        <f t="shared" si="4"/>
        <v>1</v>
      </c>
      <c r="N74" t="str">
        <f t="shared" si="5"/>
        <v>Tuesday</v>
      </c>
      <c r="O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" spans="1:15" x14ac:dyDescent="0.25">
      <c r="A75">
        <v>5073</v>
      </c>
      <c r="B75">
        <v>113</v>
      </c>
      <c r="C75">
        <v>1027</v>
      </c>
      <c r="D75" t="s">
        <v>24</v>
      </c>
      <c r="E75" s="1">
        <v>45824</v>
      </c>
      <c r="F75">
        <v>1643</v>
      </c>
      <c r="G75" t="s">
        <v>14</v>
      </c>
      <c r="H75" t="s">
        <v>11</v>
      </c>
      <c r="I75" t="s">
        <v>1916</v>
      </c>
      <c r="J75" t="str" cm="1">
        <f t="array" ref="J75">_xlfn.IFS(HOUR(I75)&lt;12,"Morning",HOUR(I75)&lt;17,"Afternoon",TRUE,"Evening")</f>
        <v>Afternoon</v>
      </c>
      <c r="K75" t="s">
        <v>23</v>
      </c>
      <c r="L75" t="str">
        <f t="shared" si="3"/>
        <v>No Show</v>
      </c>
      <c r="M75">
        <f t="shared" si="4"/>
        <v>1</v>
      </c>
      <c r="N75" t="str">
        <f t="shared" si="5"/>
        <v>Monday</v>
      </c>
      <c r="O7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" spans="1:15" x14ac:dyDescent="0.25">
      <c r="A76">
        <v>5074</v>
      </c>
      <c r="B76">
        <v>261</v>
      </c>
      <c r="C76">
        <v>1027</v>
      </c>
      <c r="D76" t="s">
        <v>9</v>
      </c>
      <c r="E76" s="1">
        <v>45781</v>
      </c>
      <c r="F76">
        <v>1704</v>
      </c>
      <c r="G76" t="s">
        <v>14</v>
      </c>
      <c r="H76" t="s">
        <v>19</v>
      </c>
      <c r="I76" t="s">
        <v>1935</v>
      </c>
      <c r="J76" t="str" cm="1">
        <f t="array" ref="J76">_xlfn.IFS(HOUR(I76)&lt;12,"Morning",HOUR(I76)&lt;17,"Afternoon",TRUE,"Evening")</f>
        <v>Afternoon</v>
      </c>
      <c r="K76" t="s">
        <v>12</v>
      </c>
      <c r="L76" t="str">
        <f t="shared" si="3"/>
        <v>Attended</v>
      </c>
      <c r="M76">
        <f t="shared" si="4"/>
        <v>0</v>
      </c>
      <c r="N76" t="str">
        <f t="shared" si="5"/>
        <v>Sunday</v>
      </c>
      <c r="O7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7" spans="1:15" x14ac:dyDescent="0.25">
      <c r="A77">
        <v>5075</v>
      </c>
      <c r="B77">
        <v>653</v>
      </c>
      <c r="C77">
        <v>1027</v>
      </c>
      <c r="D77" t="s">
        <v>21</v>
      </c>
      <c r="E77" s="1">
        <v>45560</v>
      </c>
      <c r="F77">
        <v>1820</v>
      </c>
      <c r="G77" t="s">
        <v>17</v>
      </c>
      <c r="H77" t="s">
        <v>11</v>
      </c>
      <c r="I77" t="s">
        <v>1924</v>
      </c>
      <c r="J77" t="str" cm="1">
        <f t="array" ref="J77">_xlfn.IFS(HOUR(I77)&lt;12,"Morning",HOUR(I77)&lt;17,"Afternoon",TRUE,"Evening")</f>
        <v>Afternoon</v>
      </c>
      <c r="K77" t="s">
        <v>12</v>
      </c>
      <c r="L77" t="str">
        <f t="shared" si="3"/>
        <v>Attended</v>
      </c>
      <c r="M77">
        <f t="shared" si="4"/>
        <v>0</v>
      </c>
      <c r="N77" t="str">
        <f t="shared" si="5"/>
        <v>Wednesday</v>
      </c>
      <c r="O7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8" spans="1:15" x14ac:dyDescent="0.25">
      <c r="A78">
        <v>5076</v>
      </c>
      <c r="B78">
        <v>820</v>
      </c>
      <c r="C78">
        <v>1027</v>
      </c>
      <c r="D78" t="s">
        <v>22</v>
      </c>
      <c r="E78" s="1">
        <v>45665</v>
      </c>
      <c r="F78">
        <v>1129</v>
      </c>
      <c r="G78" t="s">
        <v>25</v>
      </c>
      <c r="H78" t="s">
        <v>15</v>
      </c>
      <c r="I78" t="s">
        <v>1940</v>
      </c>
      <c r="J78" t="str" cm="1">
        <f t="array" ref="J78">_xlfn.IFS(HOUR(I78)&lt;12,"Morning",HOUR(I78)&lt;17,"Afternoon",TRUE,"Evening")</f>
        <v>Morning</v>
      </c>
      <c r="K78" t="s">
        <v>12</v>
      </c>
      <c r="L78" t="str">
        <f t="shared" si="3"/>
        <v>Attended</v>
      </c>
      <c r="M78">
        <f t="shared" si="4"/>
        <v>0</v>
      </c>
      <c r="N78" t="str">
        <f t="shared" si="5"/>
        <v>Wednesday</v>
      </c>
      <c r="O7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9" spans="1:15" x14ac:dyDescent="0.25">
      <c r="A79">
        <v>5077</v>
      </c>
      <c r="B79">
        <v>653</v>
      </c>
      <c r="C79">
        <v>1027</v>
      </c>
      <c r="D79" t="s">
        <v>21</v>
      </c>
      <c r="E79" s="1">
        <v>45564</v>
      </c>
      <c r="F79">
        <v>1049</v>
      </c>
      <c r="G79" t="s">
        <v>10</v>
      </c>
      <c r="H79" t="s">
        <v>11</v>
      </c>
      <c r="I79" t="s">
        <v>1911</v>
      </c>
      <c r="J79" t="str" cm="1">
        <f t="array" ref="J79">_xlfn.IFS(HOUR(I79)&lt;12,"Morning",HOUR(I79)&lt;17,"Afternoon",TRUE,"Evening")</f>
        <v>Morning</v>
      </c>
      <c r="K79" t="s">
        <v>12</v>
      </c>
      <c r="L79" t="str">
        <f t="shared" si="3"/>
        <v>Attended</v>
      </c>
      <c r="M79">
        <f t="shared" si="4"/>
        <v>0</v>
      </c>
      <c r="N79" t="str">
        <f t="shared" si="5"/>
        <v>Sunday</v>
      </c>
      <c r="O7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0" spans="1:15" x14ac:dyDescent="0.25">
      <c r="A80">
        <v>5078</v>
      </c>
      <c r="B80">
        <v>233</v>
      </c>
      <c r="C80">
        <v>1001</v>
      </c>
      <c r="D80" t="s">
        <v>22</v>
      </c>
      <c r="E80" s="1">
        <v>45755</v>
      </c>
      <c r="F80">
        <v>2132</v>
      </c>
      <c r="G80" t="s">
        <v>25</v>
      </c>
      <c r="H80" t="s">
        <v>15</v>
      </c>
      <c r="I80" t="s">
        <v>1941</v>
      </c>
      <c r="J80" t="str" cm="1">
        <f t="array" ref="J80">_xlfn.IFS(HOUR(I80)&lt;12,"Morning",HOUR(I80)&lt;17,"Afternoon",TRUE,"Evening")</f>
        <v>Morning</v>
      </c>
      <c r="K80" t="s">
        <v>12</v>
      </c>
      <c r="L80" t="str">
        <f t="shared" si="3"/>
        <v>Attended</v>
      </c>
      <c r="M80">
        <f t="shared" si="4"/>
        <v>0</v>
      </c>
      <c r="N80" t="str">
        <f t="shared" si="5"/>
        <v>Tuesday</v>
      </c>
      <c r="O8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" spans="1:15" x14ac:dyDescent="0.25">
      <c r="A81">
        <v>5079</v>
      </c>
      <c r="B81">
        <v>376</v>
      </c>
      <c r="C81">
        <v>1027</v>
      </c>
      <c r="D81" t="s">
        <v>27</v>
      </c>
      <c r="E81" s="1">
        <v>45726</v>
      </c>
      <c r="F81">
        <v>1969</v>
      </c>
      <c r="G81" t="s">
        <v>14</v>
      </c>
      <c r="H81" t="s">
        <v>19</v>
      </c>
      <c r="I81" t="s">
        <v>1923</v>
      </c>
      <c r="J81" t="str" cm="1">
        <f t="array" ref="J81">_xlfn.IFS(HOUR(I81)&lt;12,"Morning",HOUR(I81)&lt;17,"Afternoon",TRUE,"Evening")</f>
        <v>Evening</v>
      </c>
      <c r="K81" t="s">
        <v>28</v>
      </c>
      <c r="L81" t="str">
        <f t="shared" si="3"/>
        <v>No Show</v>
      </c>
      <c r="M81">
        <f t="shared" si="4"/>
        <v>1</v>
      </c>
      <c r="N81" t="str">
        <f t="shared" si="5"/>
        <v>Monday</v>
      </c>
      <c r="O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2" spans="1:15" x14ac:dyDescent="0.25">
      <c r="A82">
        <v>5080</v>
      </c>
      <c r="B82">
        <v>1252</v>
      </c>
      <c r="C82">
        <v>1001</v>
      </c>
      <c r="D82" t="s">
        <v>22</v>
      </c>
      <c r="E82" s="1">
        <v>45812</v>
      </c>
      <c r="F82">
        <v>2258</v>
      </c>
      <c r="G82" t="s">
        <v>10</v>
      </c>
      <c r="H82" t="s">
        <v>19</v>
      </c>
      <c r="I82" t="s">
        <v>1927</v>
      </c>
      <c r="J82" t="str" cm="1">
        <f t="array" ref="J82">_xlfn.IFS(HOUR(I82)&lt;12,"Morning",HOUR(I82)&lt;17,"Afternoon",TRUE,"Evening")</f>
        <v>Afternoon</v>
      </c>
      <c r="K82" t="s">
        <v>23</v>
      </c>
      <c r="L82" t="str">
        <f t="shared" si="3"/>
        <v>No Show</v>
      </c>
      <c r="M82">
        <f t="shared" si="4"/>
        <v>1</v>
      </c>
      <c r="N82" t="str">
        <f t="shared" si="5"/>
        <v>Wednesday</v>
      </c>
      <c r="O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" spans="1:15" x14ac:dyDescent="0.25">
      <c r="A83">
        <v>5081</v>
      </c>
      <c r="B83">
        <v>1589</v>
      </c>
      <c r="C83">
        <v>1027</v>
      </c>
      <c r="D83" t="s">
        <v>22</v>
      </c>
      <c r="E83" s="1">
        <v>45764</v>
      </c>
      <c r="F83">
        <v>1576</v>
      </c>
      <c r="G83" t="s">
        <v>10</v>
      </c>
      <c r="H83" t="s">
        <v>15</v>
      </c>
      <c r="I83" t="s">
        <v>1942</v>
      </c>
      <c r="J83" t="str" cm="1">
        <f t="array" ref="J83">_xlfn.IFS(HOUR(I83)&lt;12,"Morning",HOUR(I83)&lt;17,"Afternoon",TRUE,"Evening")</f>
        <v>Evening</v>
      </c>
      <c r="K83" t="s">
        <v>12</v>
      </c>
      <c r="L83" t="str">
        <f t="shared" si="3"/>
        <v>Attended</v>
      </c>
      <c r="M83">
        <f t="shared" si="4"/>
        <v>0</v>
      </c>
      <c r="N83" t="str">
        <f t="shared" si="5"/>
        <v>Thursday</v>
      </c>
      <c r="O8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4" spans="1:15" x14ac:dyDescent="0.25">
      <c r="A84">
        <v>5082</v>
      </c>
      <c r="B84">
        <v>1384</v>
      </c>
      <c r="C84">
        <v>1020</v>
      </c>
      <c r="D84" t="s">
        <v>26</v>
      </c>
      <c r="E84" s="1">
        <v>45675</v>
      </c>
      <c r="F84">
        <v>1769</v>
      </c>
      <c r="G84" t="s">
        <v>10</v>
      </c>
      <c r="H84" t="s">
        <v>11</v>
      </c>
      <c r="I84" t="s">
        <v>1935</v>
      </c>
      <c r="J84" t="str" cm="1">
        <f t="array" ref="J84">_xlfn.IFS(HOUR(I84)&lt;12,"Morning",HOUR(I84)&lt;17,"Afternoon",TRUE,"Evening")</f>
        <v>Afternoon</v>
      </c>
      <c r="K84" t="s">
        <v>12</v>
      </c>
      <c r="L84" t="str">
        <f t="shared" si="3"/>
        <v>Attended</v>
      </c>
      <c r="M84">
        <f t="shared" si="4"/>
        <v>0</v>
      </c>
      <c r="N84" t="str">
        <f t="shared" si="5"/>
        <v>Saturday</v>
      </c>
      <c r="O8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5" spans="1:15" x14ac:dyDescent="0.25">
      <c r="A85">
        <v>5083</v>
      </c>
      <c r="B85">
        <v>494</v>
      </c>
      <c r="C85">
        <v>1009</v>
      </c>
      <c r="D85" t="s">
        <v>13</v>
      </c>
      <c r="E85" s="1">
        <v>45486</v>
      </c>
      <c r="F85">
        <v>1970</v>
      </c>
      <c r="G85" t="s">
        <v>25</v>
      </c>
      <c r="H85" t="s">
        <v>15</v>
      </c>
      <c r="I85" t="s">
        <v>1924</v>
      </c>
      <c r="J85" t="str" cm="1">
        <f t="array" ref="J85">_xlfn.IFS(HOUR(I85)&lt;12,"Morning",HOUR(I85)&lt;17,"Afternoon",TRUE,"Evening")</f>
        <v>Afternoon</v>
      </c>
      <c r="K85" t="s">
        <v>12</v>
      </c>
      <c r="L85" t="str">
        <f t="shared" si="3"/>
        <v>Attended</v>
      </c>
      <c r="M85">
        <f t="shared" si="4"/>
        <v>0</v>
      </c>
      <c r="N85" t="str">
        <f t="shared" si="5"/>
        <v>Saturday</v>
      </c>
      <c r="O8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6" spans="1:15" x14ac:dyDescent="0.25">
      <c r="A86">
        <v>5084</v>
      </c>
      <c r="B86">
        <v>1245</v>
      </c>
      <c r="C86">
        <v>1027</v>
      </c>
      <c r="D86" t="s">
        <v>21</v>
      </c>
      <c r="E86" s="1">
        <v>45817</v>
      </c>
      <c r="F86">
        <v>1435</v>
      </c>
      <c r="G86" t="s">
        <v>25</v>
      </c>
      <c r="H86" t="s">
        <v>19</v>
      </c>
      <c r="I86" t="s">
        <v>1910</v>
      </c>
      <c r="J86" t="str" cm="1">
        <f t="array" ref="J86">_xlfn.IFS(HOUR(I86)&lt;12,"Morning",HOUR(I86)&lt;17,"Afternoon",TRUE,"Evening")</f>
        <v>Evening</v>
      </c>
      <c r="K86" t="s">
        <v>23</v>
      </c>
      <c r="L86" t="str">
        <f t="shared" si="3"/>
        <v>No Show</v>
      </c>
      <c r="M86">
        <f t="shared" si="4"/>
        <v>1</v>
      </c>
      <c r="N86" t="str">
        <f t="shared" si="5"/>
        <v>Monday</v>
      </c>
      <c r="O8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" spans="1:15" x14ac:dyDescent="0.25">
      <c r="A87">
        <v>5085</v>
      </c>
      <c r="B87">
        <v>262</v>
      </c>
      <c r="C87">
        <v>1020</v>
      </c>
      <c r="D87" t="s">
        <v>26</v>
      </c>
      <c r="E87" s="1">
        <v>45677</v>
      </c>
      <c r="F87">
        <v>1601</v>
      </c>
      <c r="G87" t="s">
        <v>14</v>
      </c>
      <c r="H87" t="s">
        <v>15</v>
      </c>
      <c r="I87" t="s">
        <v>1940</v>
      </c>
      <c r="J87" t="str" cm="1">
        <f t="array" ref="J87">_xlfn.IFS(HOUR(I87)&lt;12,"Morning",HOUR(I87)&lt;17,"Afternoon",TRUE,"Evening")</f>
        <v>Morning</v>
      </c>
      <c r="K87" t="s">
        <v>12</v>
      </c>
      <c r="L87" t="str">
        <f t="shared" si="3"/>
        <v>Attended</v>
      </c>
      <c r="M87">
        <f t="shared" si="4"/>
        <v>0</v>
      </c>
      <c r="N87" t="str">
        <f t="shared" si="5"/>
        <v>Monday</v>
      </c>
      <c r="O8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" spans="1:15" x14ac:dyDescent="0.25">
      <c r="A88">
        <v>5086</v>
      </c>
      <c r="B88">
        <v>1085</v>
      </c>
      <c r="C88">
        <v>1027</v>
      </c>
      <c r="D88" t="s">
        <v>24</v>
      </c>
      <c r="E88" s="1">
        <v>45756</v>
      </c>
      <c r="F88">
        <v>1484</v>
      </c>
      <c r="G88" t="s">
        <v>17</v>
      </c>
      <c r="H88" t="s">
        <v>11</v>
      </c>
      <c r="I88" t="s">
        <v>1916</v>
      </c>
      <c r="J88" t="str" cm="1">
        <f t="array" ref="J88">_xlfn.IFS(HOUR(I88)&lt;12,"Morning",HOUR(I88)&lt;17,"Afternoon",TRUE,"Evening")</f>
        <v>Afternoon</v>
      </c>
      <c r="K88" t="s">
        <v>20</v>
      </c>
      <c r="L88" t="str">
        <f t="shared" si="3"/>
        <v>No Show</v>
      </c>
      <c r="M88">
        <f t="shared" si="4"/>
        <v>1</v>
      </c>
      <c r="N88" t="str">
        <f t="shared" si="5"/>
        <v>Wednesday</v>
      </c>
      <c r="O8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" spans="1:15" x14ac:dyDescent="0.25">
      <c r="A89">
        <v>5087</v>
      </c>
      <c r="B89">
        <v>1599</v>
      </c>
      <c r="C89">
        <v>1027</v>
      </c>
      <c r="D89" t="s">
        <v>9</v>
      </c>
      <c r="E89" s="1">
        <v>45630</v>
      </c>
      <c r="F89">
        <v>914</v>
      </c>
      <c r="G89" t="s">
        <v>14</v>
      </c>
      <c r="H89" t="s">
        <v>11</v>
      </c>
      <c r="I89" t="s">
        <v>1914</v>
      </c>
      <c r="J89" t="str" cm="1">
        <f t="array" ref="J89">_xlfn.IFS(HOUR(I89)&lt;12,"Morning",HOUR(I89)&lt;17,"Afternoon",TRUE,"Evening")</f>
        <v>Afternoon</v>
      </c>
      <c r="K89" t="s">
        <v>12</v>
      </c>
      <c r="L89" t="str">
        <f t="shared" si="3"/>
        <v>Attended</v>
      </c>
      <c r="M89">
        <f t="shared" si="4"/>
        <v>0</v>
      </c>
      <c r="N89" t="str">
        <f t="shared" si="5"/>
        <v>Wednesday</v>
      </c>
      <c r="O8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" spans="1:15" x14ac:dyDescent="0.25">
      <c r="A90">
        <v>5088</v>
      </c>
      <c r="B90">
        <v>904</v>
      </c>
      <c r="C90">
        <v>1001</v>
      </c>
      <c r="D90" t="s">
        <v>18</v>
      </c>
      <c r="E90" s="1">
        <v>45804</v>
      </c>
      <c r="F90">
        <v>1401</v>
      </c>
      <c r="G90" t="s">
        <v>25</v>
      </c>
      <c r="H90" t="s">
        <v>11</v>
      </c>
      <c r="I90" t="s">
        <v>1940</v>
      </c>
      <c r="J90" t="str" cm="1">
        <f t="array" ref="J90">_xlfn.IFS(HOUR(I90)&lt;12,"Morning",HOUR(I90)&lt;17,"Afternoon",TRUE,"Evening")</f>
        <v>Morning</v>
      </c>
      <c r="K90" t="s">
        <v>12</v>
      </c>
      <c r="L90" t="str">
        <f t="shared" si="3"/>
        <v>Attended</v>
      </c>
      <c r="M90">
        <f t="shared" si="4"/>
        <v>0</v>
      </c>
      <c r="N90" t="str">
        <f t="shared" si="5"/>
        <v>Tuesday</v>
      </c>
      <c r="O9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1" spans="1:15" x14ac:dyDescent="0.25">
      <c r="A91">
        <v>5089</v>
      </c>
      <c r="B91">
        <v>1479</v>
      </c>
      <c r="C91">
        <v>1003</v>
      </c>
      <c r="D91" t="s">
        <v>18</v>
      </c>
      <c r="E91" s="1">
        <v>45600</v>
      </c>
      <c r="F91">
        <v>1385</v>
      </c>
      <c r="G91" t="s">
        <v>14</v>
      </c>
      <c r="H91" t="s">
        <v>15</v>
      </c>
      <c r="I91" t="s">
        <v>1913</v>
      </c>
      <c r="J91" t="str" cm="1">
        <f t="array" ref="J91">_xlfn.IFS(HOUR(I91)&lt;12,"Morning",HOUR(I91)&lt;17,"Afternoon",TRUE,"Evening")</f>
        <v>Morning</v>
      </c>
      <c r="K91" t="s">
        <v>12</v>
      </c>
      <c r="L91" t="str">
        <f t="shared" si="3"/>
        <v>Attended</v>
      </c>
      <c r="M91">
        <f t="shared" si="4"/>
        <v>0</v>
      </c>
      <c r="N91" t="str">
        <f t="shared" si="5"/>
        <v>Monday</v>
      </c>
      <c r="O9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2" spans="1:15" x14ac:dyDescent="0.25">
      <c r="A92">
        <v>5090</v>
      </c>
      <c r="B92">
        <v>1000</v>
      </c>
      <c r="C92">
        <v>1027</v>
      </c>
      <c r="D92" t="s">
        <v>9</v>
      </c>
      <c r="E92" s="1">
        <v>45488</v>
      </c>
      <c r="F92">
        <v>1075</v>
      </c>
      <c r="G92" t="s">
        <v>10</v>
      </c>
      <c r="H92" t="s">
        <v>19</v>
      </c>
      <c r="I92" t="s">
        <v>1919</v>
      </c>
      <c r="J92" t="str" cm="1">
        <f t="array" ref="J92">_xlfn.IFS(HOUR(I92)&lt;12,"Morning",HOUR(I92)&lt;17,"Afternoon",TRUE,"Evening")</f>
        <v>Evening</v>
      </c>
      <c r="K92" t="s">
        <v>12</v>
      </c>
      <c r="L92" t="str">
        <f t="shared" si="3"/>
        <v>Attended</v>
      </c>
      <c r="M92">
        <f t="shared" si="4"/>
        <v>0</v>
      </c>
      <c r="N92" t="str">
        <f t="shared" si="5"/>
        <v>Monday</v>
      </c>
      <c r="O9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3" spans="1:15" x14ac:dyDescent="0.25">
      <c r="A93">
        <v>5091</v>
      </c>
      <c r="B93">
        <v>682</v>
      </c>
      <c r="C93">
        <v>1020</v>
      </c>
      <c r="D93" t="s">
        <v>26</v>
      </c>
      <c r="E93" s="1">
        <v>45520</v>
      </c>
      <c r="F93">
        <v>858</v>
      </c>
      <c r="G93" t="s">
        <v>25</v>
      </c>
      <c r="H93" t="s">
        <v>15</v>
      </c>
      <c r="I93" t="s">
        <v>1913</v>
      </c>
      <c r="J93" t="str" cm="1">
        <f t="array" ref="J93">_xlfn.IFS(HOUR(I93)&lt;12,"Morning",HOUR(I93)&lt;17,"Afternoon",TRUE,"Evening")</f>
        <v>Morning</v>
      </c>
      <c r="K93" t="s">
        <v>12</v>
      </c>
      <c r="L93" t="str">
        <f t="shared" si="3"/>
        <v>Attended</v>
      </c>
      <c r="M93">
        <f t="shared" si="4"/>
        <v>0</v>
      </c>
      <c r="N93" t="str">
        <f t="shared" si="5"/>
        <v>Friday</v>
      </c>
      <c r="O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4" spans="1:15" x14ac:dyDescent="0.25">
      <c r="A94">
        <v>5092</v>
      </c>
      <c r="B94">
        <v>1407</v>
      </c>
      <c r="C94">
        <v>1008</v>
      </c>
      <c r="D94" t="s">
        <v>13</v>
      </c>
      <c r="E94" s="1">
        <v>45787</v>
      </c>
      <c r="F94">
        <v>2045</v>
      </c>
      <c r="G94" t="s">
        <v>17</v>
      </c>
      <c r="H94" t="s">
        <v>19</v>
      </c>
      <c r="I94" t="s">
        <v>1926</v>
      </c>
      <c r="J94" t="str" cm="1">
        <f t="array" ref="J94">_xlfn.IFS(HOUR(I94)&lt;12,"Morning",HOUR(I94)&lt;17,"Afternoon",TRUE,"Evening")</f>
        <v>Afternoon</v>
      </c>
      <c r="K94" t="s">
        <v>12</v>
      </c>
      <c r="L94" t="str">
        <f t="shared" si="3"/>
        <v>Attended</v>
      </c>
      <c r="M94">
        <f t="shared" si="4"/>
        <v>0</v>
      </c>
      <c r="N94" t="str">
        <f t="shared" si="5"/>
        <v>Saturday</v>
      </c>
      <c r="O9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5" spans="1:15" x14ac:dyDescent="0.25">
      <c r="A95">
        <v>5093</v>
      </c>
      <c r="B95">
        <v>162</v>
      </c>
      <c r="C95">
        <v>1027</v>
      </c>
      <c r="D95" t="s">
        <v>22</v>
      </c>
      <c r="E95" s="1">
        <v>45677</v>
      </c>
      <c r="F95">
        <v>867</v>
      </c>
      <c r="G95" t="s">
        <v>17</v>
      </c>
      <c r="H95" t="s">
        <v>15</v>
      </c>
      <c r="I95" t="s">
        <v>1907</v>
      </c>
      <c r="J95" t="str" cm="1">
        <f t="array" ref="J95">_xlfn.IFS(HOUR(I95)&lt;12,"Morning",HOUR(I95)&lt;17,"Afternoon",TRUE,"Evening")</f>
        <v>Afternoon</v>
      </c>
      <c r="K95" t="s">
        <v>12</v>
      </c>
      <c r="L95" t="str">
        <f t="shared" si="3"/>
        <v>Attended</v>
      </c>
      <c r="M95">
        <f t="shared" si="4"/>
        <v>0</v>
      </c>
      <c r="N95" t="str">
        <f t="shared" si="5"/>
        <v>Monday</v>
      </c>
      <c r="O9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" spans="1:15" x14ac:dyDescent="0.25">
      <c r="A96">
        <v>5094</v>
      </c>
      <c r="B96">
        <v>178</v>
      </c>
      <c r="C96">
        <v>1027</v>
      </c>
      <c r="D96" t="s">
        <v>9</v>
      </c>
      <c r="E96" s="1">
        <v>45817</v>
      </c>
      <c r="F96">
        <v>846</v>
      </c>
      <c r="G96" t="s">
        <v>10</v>
      </c>
      <c r="H96" t="s">
        <v>11</v>
      </c>
      <c r="I96" t="s">
        <v>1913</v>
      </c>
      <c r="J96" t="str" cm="1">
        <f t="array" ref="J96">_xlfn.IFS(HOUR(I96)&lt;12,"Morning",HOUR(I96)&lt;17,"Afternoon",TRUE,"Evening")</f>
        <v>Morning</v>
      </c>
      <c r="K96" t="s">
        <v>23</v>
      </c>
      <c r="L96" t="str">
        <f t="shared" si="3"/>
        <v>No Show</v>
      </c>
      <c r="M96">
        <f t="shared" si="4"/>
        <v>1</v>
      </c>
      <c r="N96" t="str">
        <f t="shared" si="5"/>
        <v>Monday</v>
      </c>
      <c r="O9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" spans="1:15" x14ac:dyDescent="0.25">
      <c r="A97">
        <v>5095</v>
      </c>
      <c r="B97">
        <v>613</v>
      </c>
      <c r="C97">
        <v>1024</v>
      </c>
      <c r="D97" t="s">
        <v>16</v>
      </c>
      <c r="E97" s="1">
        <v>45481</v>
      </c>
      <c r="F97">
        <v>2350</v>
      </c>
      <c r="G97" t="s">
        <v>17</v>
      </c>
      <c r="H97" t="s">
        <v>19</v>
      </c>
      <c r="I97" t="s">
        <v>1921</v>
      </c>
      <c r="J97" t="str" cm="1">
        <f t="array" ref="J97">_xlfn.IFS(HOUR(I97)&lt;12,"Morning",HOUR(I97)&lt;17,"Afternoon",TRUE,"Evening")</f>
        <v>Afternoon</v>
      </c>
      <c r="K97" t="s">
        <v>12</v>
      </c>
      <c r="L97" t="str">
        <f t="shared" si="3"/>
        <v>Attended</v>
      </c>
      <c r="M97">
        <f t="shared" si="4"/>
        <v>0</v>
      </c>
      <c r="N97" t="str">
        <f t="shared" si="5"/>
        <v>Monday</v>
      </c>
      <c r="O9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" spans="1:15" x14ac:dyDescent="0.25">
      <c r="A98">
        <v>5096</v>
      </c>
      <c r="B98">
        <v>1295</v>
      </c>
      <c r="C98">
        <v>1003</v>
      </c>
      <c r="D98" t="s">
        <v>18</v>
      </c>
      <c r="E98" s="1">
        <v>45827</v>
      </c>
      <c r="F98">
        <v>1005</v>
      </c>
      <c r="G98" t="s">
        <v>17</v>
      </c>
      <c r="H98" t="s">
        <v>15</v>
      </c>
      <c r="I98" t="s">
        <v>1943</v>
      </c>
      <c r="J98" t="str" cm="1">
        <f t="array" ref="J98">_xlfn.IFS(HOUR(I98)&lt;12,"Morning",HOUR(I98)&lt;17,"Afternoon",TRUE,"Evening")</f>
        <v>Afternoon</v>
      </c>
      <c r="K98" t="s">
        <v>23</v>
      </c>
      <c r="L98" t="str">
        <f t="shared" si="3"/>
        <v>No Show</v>
      </c>
      <c r="M98">
        <f t="shared" si="4"/>
        <v>1</v>
      </c>
      <c r="N98" t="str">
        <f t="shared" si="5"/>
        <v>Thursday</v>
      </c>
      <c r="O9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" spans="1:15" x14ac:dyDescent="0.25">
      <c r="A99">
        <v>5097</v>
      </c>
      <c r="B99">
        <v>789</v>
      </c>
      <c r="C99">
        <v>1027</v>
      </c>
      <c r="D99" t="s">
        <v>24</v>
      </c>
      <c r="E99" s="1">
        <v>45699</v>
      </c>
      <c r="F99">
        <v>849</v>
      </c>
      <c r="G99" t="s">
        <v>25</v>
      </c>
      <c r="H99" t="s">
        <v>15</v>
      </c>
      <c r="I99" t="s">
        <v>1916</v>
      </c>
      <c r="J99" t="str" cm="1">
        <f t="array" ref="J99">_xlfn.IFS(HOUR(I99)&lt;12,"Morning",HOUR(I99)&lt;17,"Afternoon",TRUE,"Evening")</f>
        <v>Afternoon</v>
      </c>
      <c r="K99" t="s">
        <v>12</v>
      </c>
      <c r="L99" t="str">
        <f t="shared" si="3"/>
        <v>Attended</v>
      </c>
      <c r="M99">
        <f t="shared" si="4"/>
        <v>0</v>
      </c>
      <c r="N99" t="str">
        <f t="shared" si="5"/>
        <v>Tuesday</v>
      </c>
      <c r="O9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0" spans="1:15" x14ac:dyDescent="0.25">
      <c r="A100">
        <v>5098</v>
      </c>
      <c r="B100">
        <v>1383</v>
      </c>
      <c r="C100">
        <v>1027</v>
      </c>
      <c r="D100" t="s">
        <v>9</v>
      </c>
      <c r="E100" s="1">
        <v>45510</v>
      </c>
      <c r="F100">
        <v>1973</v>
      </c>
      <c r="G100" t="s">
        <v>25</v>
      </c>
      <c r="H100" t="s">
        <v>15</v>
      </c>
      <c r="I100" t="s">
        <v>1905</v>
      </c>
      <c r="J100" t="str" cm="1">
        <f t="array" ref="J100">_xlfn.IFS(HOUR(I100)&lt;12,"Morning",HOUR(I100)&lt;17,"Afternoon",TRUE,"Evening")</f>
        <v>Morning</v>
      </c>
      <c r="K100" t="s">
        <v>12</v>
      </c>
      <c r="L100" t="str">
        <f t="shared" si="3"/>
        <v>Attended</v>
      </c>
      <c r="M100">
        <f t="shared" si="4"/>
        <v>0</v>
      </c>
      <c r="N100" t="str">
        <f t="shared" si="5"/>
        <v>Tuesday</v>
      </c>
      <c r="O10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1" spans="1:15" x14ac:dyDescent="0.25">
      <c r="A101">
        <v>5099</v>
      </c>
      <c r="B101">
        <v>615</v>
      </c>
      <c r="C101">
        <v>1002</v>
      </c>
      <c r="D101" t="s">
        <v>18</v>
      </c>
      <c r="E101" s="1">
        <v>45534</v>
      </c>
      <c r="F101">
        <v>2454</v>
      </c>
      <c r="G101" t="s">
        <v>14</v>
      </c>
      <c r="H101" t="s">
        <v>19</v>
      </c>
      <c r="I101" t="s">
        <v>1914</v>
      </c>
      <c r="J101" t="str" cm="1">
        <f t="array" ref="J101">_xlfn.IFS(HOUR(I101)&lt;12,"Morning",HOUR(I101)&lt;17,"Afternoon",TRUE,"Evening")</f>
        <v>Afternoon</v>
      </c>
      <c r="K101" t="s">
        <v>12</v>
      </c>
      <c r="L101" t="str">
        <f t="shared" si="3"/>
        <v>Attended</v>
      </c>
      <c r="M101">
        <f t="shared" si="4"/>
        <v>0</v>
      </c>
      <c r="N101" t="str">
        <f t="shared" si="5"/>
        <v>Friday</v>
      </c>
      <c r="O10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2" spans="1:15" x14ac:dyDescent="0.25">
      <c r="A102">
        <v>5100</v>
      </c>
      <c r="B102">
        <v>489</v>
      </c>
      <c r="C102">
        <v>1004</v>
      </c>
      <c r="D102" t="s">
        <v>18</v>
      </c>
      <c r="E102" s="1">
        <v>45731</v>
      </c>
      <c r="F102">
        <v>1868</v>
      </c>
      <c r="G102" t="s">
        <v>14</v>
      </c>
      <c r="H102" t="s">
        <v>19</v>
      </c>
      <c r="I102" t="s">
        <v>1913</v>
      </c>
      <c r="J102" t="str" cm="1">
        <f t="array" ref="J102">_xlfn.IFS(HOUR(I102)&lt;12,"Morning",HOUR(I102)&lt;17,"Afternoon",TRUE,"Evening")</f>
        <v>Morning</v>
      </c>
      <c r="K102" t="s">
        <v>12</v>
      </c>
      <c r="L102" t="str">
        <f t="shared" si="3"/>
        <v>Attended</v>
      </c>
      <c r="M102">
        <f t="shared" si="4"/>
        <v>0</v>
      </c>
      <c r="N102" t="str">
        <f t="shared" si="5"/>
        <v>Saturday</v>
      </c>
      <c r="O10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03" spans="1:15" x14ac:dyDescent="0.25">
      <c r="A103">
        <v>5101</v>
      </c>
      <c r="B103">
        <v>1159</v>
      </c>
      <c r="C103">
        <v>1001</v>
      </c>
      <c r="D103" t="s">
        <v>18</v>
      </c>
      <c r="E103" s="1">
        <v>45792</v>
      </c>
      <c r="F103">
        <v>1792</v>
      </c>
      <c r="G103" t="s">
        <v>17</v>
      </c>
      <c r="H103" t="s">
        <v>15</v>
      </c>
      <c r="I103" t="s">
        <v>1925</v>
      </c>
      <c r="J103" t="str" cm="1">
        <f t="array" ref="J103">_xlfn.IFS(HOUR(I103)&lt;12,"Morning",HOUR(I103)&lt;17,"Afternoon",TRUE,"Evening")</f>
        <v>Afternoon</v>
      </c>
      <c r="K103" t="s">
        <v>12</v>
      </c>
      <c r="L103" t="str">
        <f t="shared" si="3"/>
        <v>Attended</v>
      </c>
      <c r="M103">
        <f t="shared" si="4"/>
        <v>0</v>
      </c>
      <c r="N103" t="str">
        <f t="shared" si="5"/>
        <v>Thursday</v>
      </c>
      <c r="O10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4" spans="1:15" x14ac:dyDescent="0.25">
      <c r="A104">
        <v>5102</v>
      </c>
      <c r="B104">
        <v>973</v>
      </c>
      <c r="C104">
        <v>1020</v>
      </c>
      <c r="D104" t="s">
        <v>26</v>
      </c>
      <c r="E104" s="1">
        <v>45583</v>
      </c>
      <c r="F104">
        <v>2232</v>
      </c>
      <c r="G104" t="s">
        <v>25</v>
      </c>
      <c r="H104" t="s">
        <v>19</v>
      </c>
      <c r="I104" t="s">
        <v>1910</v>
      </c>
      <c r="J104" t="str" cm="1">
        <f t="array" ref="J104">_xlfn.IFS(HOUR(I104)&lt;12,"Morning",HOUR(I104)&lt;17,"Afternoon",TRUE,"Evening")</f>
        <v>Evening</v>
      </c>
      <c r="K104" t="s">
        <v>12</v>
      </c>
      <c r="L104" t="str">
        <f t="shared" si="3"/>
        <v>Attended</v>
      </c>
      <c r="M104">
        <f t="shared" si="4"/>
        <v>0</v>
      </c>
      <c r="N104" t="str">
        <f t="shared" si="5"/>
        <v>Friday</v>
      </c>
      <c r="O10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5" spans="1:15" x14ac:dyDescent="0.25">
      <c r="A105">
        <v>5103</v>
      </c>
      <c r="B105">
        <v>193</v>
      </c>
      <c r="C105">
        <v>1024</v>
      </c>
      <c r="D105" t="s">
        <v>16</v>
      </c>
      <c r="E105" s="1">
        <v>45537</v>
      </c>
      <c r="F105">
        <v>1066</v>
      </c>
      <c r="G105" t="s">
        <v>25</v>
      </c>
      <c r="H105" t="s">
        <v>11</v>
      </c>
      <c r="I105" t="s">
        <v>1924</v>
      </c>
      <c r="J105" t="str" cm="1">
        <f t="array" ref="J105">_xlfn.IFS(HOUR(I105)&lt;12,"Morning",HOUR(I105)&lt;17,"Afternoon",TRUE,"Evening")</f>
        <v>Afternoon</v>
      </c>
      <c r="K105" t="s">
        <v>12</v>
      </c>
      <c r="L105" t="str">
        <f t="shared" si="3"/>
        <v>Attended</v>
      </c>
      <c r="M105">
        <f t="shared" si="4"/>
        <v>0</v>
      </c>
      <c r="N105" t="str">
        <f t="shared" si="5"/>
        <v>Monday</v>
      </c>
      <c r="O10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6" spans="1:15" x14ac:dyDescent="0.25">
      <c r="A106">
        <v>5104</v>
      </c>
      <c r="B106">
        <v>214</v>
      </c>
      <c r="C106">
        <v>1001</v>
      </c>
      <c r="D106" t="s">
        <v>18</v>
      </c>
      <c r="E106" s="1">
        <v>45804</v>
      </c>
      <c r="F106">
        <v>1268</v>
      </c>
      <c r="G106" t="s">
        <v>17</v>
      </c>
      <c r="H106" t="s">
        <v>11</v>
      </c>
      <c r="I106" t="s">
        <v>1930</v>
      </c>
      <c r="J106" t="str" cm="1">
        <f t="array" ref="J106">_xlfn.IFS(HOUR(I106)&lt;12,"Morning",HOUR(I106)&lt;17,"Afternoon",TRUE,"Evening")</f>
        <v>Morning</v>
      </c>
      <c r="K106" t="s">
        <v>12</v>
      </c>
      <c r="L106" t="str">
        <f t="shared" si="3"/>
        <v>Attended</v>
      </c>
      <c r="M106">
        <f t="shared" si="4"/>
        <v>0</v>
      </c>
      <c r="N106" t="str">
        <f t="shared" si="5"/>
        <v>Tuesday</v>
      </c>
      <c r="O10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7" spans="1:15" x14ac:dyDescent="0.25">
      <c r="A107">
        <v>5105</v>
      </c>
      <c r="B107">
        <v>1279</v>
      </c>
      <c r="C107">
        <v>1008</v>
      </c>
      <c r="D107" t="s">
        <v>13</v>
      </c>
      <c r="E107" s="1">
        <v>45620</v>
      </c>
      <c r="F107">
        <v>2239</v>
      </c>
      <c r="G107" t="s">
        <v>25</v>
      </c>
      <c r="H107" t="s">
        <v>15</v>
      </c>
      <c r="I107" t="s">
        <v>1933</v>
      </c>
      <c r="J107" t="str" cm="1">
        <f t="array" ref="J107">_xlfn.IFS(HOUR(I107)&lt;12,"Morning",HOUR(I107)&lt;17,"Afternoon",TRUE,"Evening")</f>
        <v>Evening</v>
      </c>
      <c r="K107" t="s">
        <v>12</v>
      </c>
      <c r="L107" t="str">
        <f t="shared" si="3"/>
        <v>Attended</v>
      </c>
      <c r="M107">
        <f t="shared" si="4"/>
        <v>0</v>
      </c>
      <c r="N107" t="str">
        <f t="shared" si="5"/>
        <v>Sunday</v>
      </c>
      <c r="O10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08" spans="1:15" x14ac:dyDescent="0.25">
      <c r="A108">
        <v>5106</v>
      </c>
      <c r="B108">
        <v>175</v>
      </c>
      <c r="C108">
        <v>1027</v>
      </c>
      <c r="D108" t="s">
        <v>21</v>
      </c>
      <c r="E108" s="1">
        <v>45820</v>
      </c>
      <c r="F108">
        <v>1556</v>
      </c>
      <c r="G108" t="s">
        <v>10</v>
      </c>
      <c r="H108" t="s">
        <v>19</v>
      </c>
      <c r="I108" t="s">
        <v>1928</v>
      </c>
      <c r="J108" t="str" cm="1">
        <f t="array" ref="J108">_xlfn.IFS(HOUR(I108)&lt;12,"Morning",HOUR(I108)&lt;17,"Afternoon",TRUE,"Evening")</f>
        <v>Morning</v>
      </c>
      <c r="K108" t="s">
        <v>23</v>
      </c>
      <c r="L108" t="str">
        <f t="shared" si="3"/>
        <v>No Show</v>
      </c>
      <c r="M108">
        <f t="shared" si="4"/>
        <v>1</v>
      </c>
      <c r="N108" t="str">
        <f t="shared" si="5"/>
        <v>Thursday</v>
      </c>
      <c r="O10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9" spans="1:15" x14ac:dyDescent="0.25">
      <c r="A109">
        <v>5107</v>
      </c>
      <c r="B109">
        <v>1000</v>
      </c>
      <c r="C109">
        <v>1008</v>
      </c>
      <c r="D109" t="s">
        <v>13</v>
      </c>
      <c r="E109" s="1">
        <v>45637</v>
      </c>
      <c r="F109">
        <v>1149</v>
      </c>
      <c r="G109" t="s">
        <v>17</v>
      </c>
      <c r="H109" t="s">
        <v>19</v>
      </c>
      <c r="I109" t="s">
        <v>1916</v>
      </c>
      <c r="J109" t="str" cm="1">
        <f t="array" ref="J109">_xlfn.IFS(HOUR(I109)&lt;12,"Morning",HOUR(I109)&lt;17,"Afternoon",TRUE,"Evening")</f>
        <v>Afternoon</v>
      </c>
      <c r="K109" t="s">
        <v>12</v>
      </c>
      <c r="L109" t="str">
        <f t="shared" si="3"/>
        <v>Attended</v>
      </c>
      <c r="M109">
        <f t="shared" si="4"/>
        <v>0</v>
      </c>
      <c r="N109" t="str">
        <f t="shared" si="5"/>
        <v>Wednesday</v>
      </c>
      <c r="O10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0" spans="1:15" x14ac:dyDescent="0.25">
      <c r="A110">
        <v>5108</v>
      </c>
      <c r="B110">
        <v>527</v>
      </c>
      <c r="C110">
        <v>1027</v>
      </c>
      <c r="D110" t="s">
        <v>22</v>
      </c>
      <c r="E110" s="1">
        <v>45804</v>
      </c>
      <c r="F110">
        <v>1096</v>
      </c>
      <c r="G110" t="s">
        <v>14</v>
      </c>
      <c r="H110" t="s">
        <v>11</v>
      </c>
      <c r="I110" t="s">
        <v>1932</v>
      </c>
      <c r="J110" t="str" cm="1">
        <f t="array" ref="J110">_xlfn.IFS(HOUR(I110)&lt;12,"Morning",HOUR(I110)&lt;17,"Afternoon",TRUE,"Evening")</f>
        <v>Evening</v>
      </c>
      <c r="K110" t="s">
        <v>12</v>
      </c>
      <c r="L110" t="str">
        <f t="shared" si="3"/>
        <v>Attended</v>
      </c>
      <c r="M110">
        <f t="shared" si="4"/>
        <v>0</v>
      </c>
      <c r="N110" t="str">
        <f t="shared" si="5"/>
        <v>Tuesday</v>
      </c>
      <c r="O11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1" spans="1:15" x14ac:dyDescent="0.25">
      <c r="A111">
        <v>5109</v>
      </c>
      <c r="B111">
        <v>1486</v>
      </c>
      <c r="C111">
        <v>1020</v>
      </c>
      <c r="D111" t="s">
        <v>26</v>
      </c>
      <c r="E111" s="1">
        <v>45779</v>
      </c>
      <c r="F111">
        <v>1452</v>
      </c>
      <c r="G111" t="s">
        <v>10</v>
      </c>
      <c r="H111" t="s">
        <v>15</v>
      </c>
      <c r="I111" t="s">
        <v>1930</v>
      </c>
      <c r="J111" t="str" cm="1">
        <f t="array" ref="J111">_xlfn.IFS(HOUR(I111)&lt;12,"Morning",HOUR(I111)&lt;17,"Afternoon",TRUE,"Evening")</f>
        <v>Morning</v>
      </c>
      <c r="K111" t="s">
        <v>12</v>
      </c>
      <c r="L111" t="str">
        <f t="shared" si="3"/>
        <v>Attended</v>
      </c>
      <c r="M111">
        <f t="shared" si="4"/>
        <v>0</v>
      </c>
      <c r="N111" t="str">
        <f t="shared" si="5"/>
        <v>Friday</v>
      </c>
      <c r="O11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2" spans="1:15" x14ac:dyDescent="0.25">
      <c r="A112">
        <v>5110</v>
      </c>
      <c r="B112">
        <v>336</v>
      </c>
      <c r="C112">
        <v>1027</v>
      </c>
      <c r="D112" t="s">
        <v>27</v>
      </c>
      <c r="E112" s="1">
        <v>45735</v>
      </c>
      <c r="F112">
        <v>1691</v>
      </c>
      <c r="G112" t="s">
        <v>25</v>
      </c>
      <c r="H112" t="s">
        <v>11</v>
      </c>
      <c r="I112" t="s">
        <v>1908</v>
      </c>
      <c r="J112" t="str" cm="1">
        <f t="array" ref="J112">_xlfn.IFS(HOUR(I112)&lt;12,"Morning",HOUR(I112)&lt;17,"Afternoon",TRUE,"Evening")</f>
        <v>Morning</v>
      </c>
      <c r="K112" t="s">
        <v>12</v>
      </c>
      <c r="L112" t="str">
        <f t="shared" si="3"/>
        <v>Attended</v>
      </c>
      <c r="M112">
        <f t="shared" si="4"/>
        <v>0</v>
      </c>
      <c r="N112" t="str">
        <f t="shared" si="5"/>
        <v>Wednesday</v>
      </c>
      <c r="O1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3" spans="1:15" x14ac:dyDescent="0.25">
      <c r="A113">
        <v>5111</v>
      </c>
      <c r="B113">
        <v>1038</v>
      </c>
      <c r="C113">
        <v>1024</v>
      </c>
      <c r="D113" t="s">
        <v>16</v>
      </c>
      <c r="E113" s="1">
        <v>45744</v>
      </c>
      <c r="F113">
        <v>1212</v>
      </c>
      <c r="G113" t="s">
        <v>10</v>
      </c>
      <c r="H113" t="s">
        <v>19</v>
      </c>
      <c r="I113" t="s">
        <v>1941</v>
      </c>
      <c r="J113" t="str" cm="1">
        <f t="array" ref="J113">_xlfn.IFS(HOUR(I113)&lt;12,"Morning",HOUR(I113)&lt;17,"Afternoon",TRUE,"Evening")</f>
        <v>Morning</v>
      </c>
      <c r="K113" t="s">
        <v>28</v>
      </c>
      <c r="L113" t="str">
        <f t="shared" si="3"/>
        <v>No Show</v>
      </c>
      <c r="M113">
        <f t="shared" si="4"/>
        <v>1</v>
      </c>
      <c r="N113" t="str">
        <f t="shared" si="5"/>
        <v>Friday</v>
      </c>
      <c r="O1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4" spans="1:15" x14ac:dyDescent="0.25">
      <c r="A114">
        <v>5112</v>
      </c>
      <c r="B114">
        <v>1561</v>
      </c>
      <c r="C114">
        <v>1027</v>
      </c>
      <c r="D114" t="s">
        <v>24</v>
      </c>
      <c r="E114" s="1">
        <v>45698</v>
      </c>
      <c r="F114">
        <v>2023</v>
      </c>
      <c r="G114" t="s">
        <v>10</v>
      </c>
      <c r="H114" t="s">
        <v>11</v>
      </c>
      <c r="I114" t="s">
        <v>1911</v>
      </c>
      <c r="J114" t="str" cm="1">
        <f t="array" ref="J114">_xlfn.IFS(HOUR(I114)&lt;12,"Morning",HOUR(I114)&lt;17,"Afternoon",TRUE,"Evening")</f>
        <v>Morning</v>
      </c>
      <c r="K114" t="s">
        <v>12</v>
      </c>
      <c r="L114" t="str">
        <f t="shared" si="3"/>
        <v>Attended</v>
      </c>
      <c r="M114">
        <f t="shared" si="4"/>
        <v>0</v>
      </c>
      <c r="N114" t="str">
        <f t="shared" si="5"/>
        <v>Monday</v>
      </c>
      <c r="O11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5" spans="1:15" x14ac:dyDescent="0.25">
      <c r="A115">
        <v>5113</v>
      </c>
      <c r="B115">
        <v>1392</v>
      </c>
      <c r="C115">
        <v>1027</v>
      </c>
      <c r="D115" t="s">
        <v>21</v>
      </c>
      <c r="E115" s="1">
        <v>45516</v>
      </c>
      <c r="F115">
        <v>1239</v>
      </c>
      <c r="G115" t="s">
        <v>10</v>
      </c>
      <c r="H115" t="s">
        <v>11</v>
      </c>
      <c r="I115" t="s">
        <v>1931</v>
      </c>
      <c r="J115" t="str" cm="1">
        <f t="array" ref="J115">_xlfn.IFS(HOUR(I115)&lt;12,"Morning",HOUR(I115)&lt;17,"Afternoon",TRUE,"Evening")</f>
        <v>Afternoon</v>
      </c>
      <c r="K115" t="s">
        <v>12</v>
      </c>
      <c r="L115" t="str">
        <f t="shared" si="3"/>
        <v>Attended</v>
      </c>
      <c r="M115">
        <f t="shared" si="4"/>
        <v>0</v>
      </c>
      <c r="N115" t="str">
        <f t="shared" si="5"/>
        <v>Monday</v>
      </c>
      <c r="O11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6" spans="1:15" x14ac:dyDescent="0.25">
      <c r="A116">
        <v>5114</v>
      </c>
      <c r="B116">
        <v>240</v>
      </c>
      <c r="C116">
        <v>1008</v>
      </c>
      <c r="D116" t="s">
        <v>13</v>
      </c>
      <c r="E116" s="1">
        <v>45673</v>
      </c>
      <c r="F116">
        <v>1005</v>
      </c>
      <c r="G116" t="s">
        <v>10</v>
      </c>
      <c r="H116" t="s">
        <v>15</v>
      </c>
      <c r="I116" t="s">
        <v>1930</v>
      </c>
      <c r="J116" t="str" cm="1">
        <f t="array" ref="J116">_xlfn.IFS(HOUR(I116)&lt;12,"Morning",HOUR(I116)&lt;17,"Afternoon",TRUE,"Evening")</f>
        <v>Morning</v>
      </c>
      <c r="K116" t="s">
        <v>12</v>
      </c>
      <c r="L116" t="str">
        <f t="shared" si="3"/>
        <v>Attended</v>
      </c>
      <c r="M116">
        <f t="shared" si="4"/>
        <v>0</v>
      </c>
      <c r="N116" t="str">
        <f t="shared" si="5"/>
        <v>Thursday</v>
      </c>
      <c r="O11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7" spans="1:15" x14ac:dyDescent="0.25">
      <c r="A117">
        <v>5115</v>
      </c>
      <c r="B117">
        <v>805</v>
      </c>
      <c r="C117">
        <v>1027</v>
      </c>
      <c r="D117" t="s">
        <v>22</v>
      </c>
      <c r="E117" s="1">
        <v>45532</v>
      </c>
      <c r="F117">
        <v>1222</v>
      </c>
      <c r="G117" t="s">
        <v>25</v>
      </c>
      <c r="H117" t="s">
        <v>19</v>
      </c>
      <c r="I117" t="s">
        <v>1919</v>
      </c>
      <c r="J117" t="str" cm="1">
        <f t="array" ref="J117">_xlfn.IFS(HOUR(I117)&lt;12,"Morning",HOUR(I117)&lt;17,"Afternoon",TRUE,"Evening")</f>
        <v>Evening</v>
      </c>
      <c r="K117" t="s">
        <v>12</v>
      </c>
      <c r="L117" t="str">
        <f t="shared" si="3"/>
        <v>Attended</v>
      </c>
      <c r="M117">
        <f t="shared" si="4"/>
        <v>0</v>
      </c>
      <c r="N117" t="str">
        <f t="shared" si="5"/>
        <v>Wednesday</v>
      </c>
      <c r="O11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8" spans="1:15" x14ac:dyDescent="0.25">
      <c r="A118">
        <v>5116</v>
      </c>
      <c r="B118">
        <v>514</v>
      </c>
      <c r="C118">
        <v>1027</v>
      </c>
      <c r="D118" t="s">
        <v>22</v>
      </c>
      <c r="E118" s="1">
        <v>45586</v>
      </c>
      <c r="F118">
        <v>1187</v>
      </c>
      <c r="G118" t="s">
        <v>10</v>
      </c>
      <c r="H118" t="s">
        <v>15</v>
      </c>
      <c r="I118" t="s">
        <v>1929</v>
      </c>
      <c r="J118" t="str" cm="1">
        <f t="array" ref="J118">_xlfn.IFS(HOUR(I118)&lt;12,"Morning",HOUR(I118)&lt;17,"Afternoon",TRUE,"Evening")</f>
        <v>Afternoon</v>
      </c>
      <c r="K118" t="s">
        <v>12</v>
      </c>
      <c r="L118" t="str">
        <f t="shared" si="3"/>
        <v>Attended</v>
      </c>
      <c r="M118">
        <f t="shared" si="4"/>
        <v>0</v>
      </c>
      <c r="N118" t="str">
        <f t="shared" si="5"/>
        <v>Monday</v>
      </c>
      <c r="O11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19" spans="1:15" x14ac:dyDescent="0.25">
      <c r="A119">
        <v>5117</v>
      </c>
      <c r="B119">
        <v>1222</v>
      </c>
      <c r="C119">
        <v>1024</v>
      </c>
      <c r="D119" t="s">
        <v>16</v>
      </c>
      <c r="E119" s="1">
        <v>45522</v>
      </c>
      <c r="F119">
        <v>1684</v>
      </c>
      <c r="G119" t="s">
        <v>25</v>
      </c>
      <c r="H119" t="s">
        <v>19</v>
      </c>
      <c r="I119" t="s">
        <v>1939</v>
      </c>
      <c r="J119" t="str" cm="1">
        <f t="array" ref="J119">_xlfn.IFS(HOUR(I119)&lt;12,"Morning",HOUR(I119)&lt;17,"Afternoon",TRUE,"Evening")</f>
        <v>Afternoon</v>
      </c>
      <c r="K119" t="s">
        <v>12</v>
      </c>
      <c r="L119" t="str">
        <f t="shared" si="3"/>
        <v>Attended</v>
      </c>
      <c r="M119">
        <f t="shared" si="4"/>
        <v>0</v>
      </c>
      <c r="N119" t="str">
        <f t="shared" si="5"/>
        <v>Sunday</v>
      </c>
      <c r="O11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20" spans="1:15" x14ac:dyDescent="0.25">
      <c r="A120">
        <v>5118</v>
      </c>
      <c r="B120">
        <v>1587</v>
      </c>
      <c r="C120">
        <v>1020</v>
      </c>
      <c r="D120" t="s">
        <v>26</v>
      </c>
      <c r="E120" s="1">
        <v>45794</v>
      </c>
      <c r="F120">
        <v>1878</v>
      </c>
      <c r="G120" t="s">
        <v>10</v>
      </c>
      <c r="H120" t="s">
        <v>15</v>
      </c>
      <c r="I120" t="s">
        <v>1910</v>
      </c>
      <c r="J120" t="str" cm="1">
        <f t="array" ref="J120">_xlfn.IFS(HOUR(I120)&lt;12,"Morning",HOUR(I120)&lt;17,"Afternoon",TRUE,"Evening")</f>
        <v>Evening</v>
      </c>
      <c r="K120" t="s">
        <v>20</v>
      </c>
      <c r="L120" t="str">
        <f t="shared" si="3"/>
        <v>No Show</v>
      </c>
      <c r="M120">
        <f t="shared" si="4"/>
        <v>1</v>
      </c>
      <c r="N120" t="str">
        <f t="shared" si="5"/>
        <v>Saturday</v>
      </c>
      <c r="O12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21" spans="1:15" x14ac:dyDescent="0.25">
      <c r="A121">
        <v>5119</v>
      </c>
      <c r="B121">
        <v>1592</v>
      </c>
      <c r="C121">
        <v>1027</v>
      </c>
      <c r="D121" t="s">
        <v>24</v>
      </c>
      <c r="E121" s="1">
        <v>45780</v>
      </c>
      <c r="F121">
        <v>2077</v>
      </c>
      <c r="G121" t="s">
        <v>14</v>
      </c>
      <c r="H121" t="s">
        <v>19</v>
      </c>
      <c r="I121" t="s">
        <v>1904</v>
      </c>
      <c r="J121" t="str" cm="1">
        <f t="array" ref="J121">_xlfn.IFS(HOUR(I121)&lt;12,"Morning",HOUR(I121)&lt;17,"Afternoon",TRUE,"Evening")</f>
        <v>Evening</v>
      </c>
      <c r="K121" t="s">
        <v>12</v>
      </c>
      <c r="L121" t="str">
        <f t="shared" si="3"/>
        <v>Attended</v>
      </c>
      <c r="M121">
        <f t="shared" si="4"/>
        <v>0</v>
      </c>
      <c r="N121" t="str">
        <f t="shared" si="5"/>
        <v>Saturday</v>
      </c>
      <c r="O12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22" spans="1:15" x14ac:dyDescent="0.25">
      <c r="A122">
        <v>5120</v>
      </c>
      <c r="B122">
        <v>1281</v>
      </c>
      <c r="C122">
        <v>1020</v>
      </c>
      <c r="D122" t="s">
        <v>26</v>
      </c>
      <c r="E122" s="1">
        <v>45582</v>
      </c>
      <c r="F122">
        <v>1213</v>
      </c>
      <c r="G122" t="s">
        <v>17</v>
      </c>
      <c r="H122" t="s">
        <v>15</v>
      </c>
      <c r="I122" t="s">
        <v>1911</v>
      </c>
      <c r="J122" t="str" cm="1">
        <f t="array" ref="J122">_xlfn.IFS(HOUR(I122)&lt;12,"Morning",HOUR(I122)&lt;17,"Afternoon",TRUE,"Evening")</f>
        <v>Morning</v>
      </c>
      <c r="K122" t="s">
        <v>12</v>
      </c>
      <c r="L122" t="str">
        <f t="shared" si="3"/>
        <v>Attended</v>
      </c>
      <c r="M122">
        <f t="shared" si="4"/>
        <v>0</v>
      </c>
      <c r="N122" t="str">
        <f t="shared" si="5"/>
        <v>Thursday</v>
      </c>
      <c r="O1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23" spans="1:15" x14ac:dyDescent="0.25">
      <c r="A123">
        <v>5121</v>
      </c>
      <c r="B123">
        <v>1068</v>
      </c>
      <c r="C123">
        <v>1027</v>
      </c>
      <c r="D123" t="s">
        <v>24</v>
      </c>
      <c r="E123" s="1">
        <v>45567</v>
      </c>
      <c r="F123">
        <v>2304</v>
      </c>
      <c r="G123" t="s">
        <v>14</v>
      </c>
      <c r="H123" t="s">
        <v>11</v>
      </c>
      <c r="I123" t="s">
        <v>1928</v>
      </c>
      <c r="J123" t="str" cm="1">
        <f t="array" ref="J123">_xlfn.IFS(HOUR(I123)&lt;12,"Morning",HOUR(I123)&lt;17,"Afternoon",TRUE,"Evening")</f>
        <v>Morning</v>
      </c>
      <c r="K123" t="s">
        <v>12</v>
      </c>
      <c r="L123" t="str">
        <f t="shared" si="3"/>
        <v>Attended</v>
      </c>
      <c r="M123">
        <f t="shared" si="4"/>
        <v>0</v>
      </c>
      <c r="N123" t="str">
        <f t="shared" si="5"/>
        <v>Wednesday</v>
      </c>
      <c r="O1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24" spans="1:15" x14ac:dyDescent="0.25">
      <c r="A124">
        <v>5122</v>
      </c>
      <c r="B124">
        <v>545</v>
      </c>
      <c r="C124">
        <v>1027</v>
      </c>
      <c r="D124" t="s">
        <v>21</v>
      </c>
      <c r="E124" s="1">
        <v>45678</v>
      </c>
      <c r="F124">
        <v>2093</v>
      </c>
      <c r="G124" t="s">
        <v>17</v>
      </c>
      <c r="H124" t="s">
        <v>11</v>
      </c>
      <c r="I124" t="s">
        <v>1924</v>
      </c>
      <c r="J124" t="str" cm="1">
        <f t="array" ref="J124">_xlfn.IFS(HOUR(I124)&lt;12,"Morning",HOUR(I124)&lt;17,"Afternoon",TRUE,"Evening")</f>
        <v>Afternoon</v>
      </c>
      <c r="K124" t="s">
        <v>12</v>
      </c>
      <c r="L124" t="str">
        <f t="shared" si="3"/>
        <v>Attended</v>
      </c>
      <c r="M124">
        <f t="shared" si="4"/>
        <v>0</v>
      </c>
      <c r="N124" t="str">
        <f t="shared" si="5"/>
        <v>Tuesday</v>
      </c>
      <c r="O12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25" spans="1:15" x14ac:dyDescent="0.25">
      <c r="A125">
        <v>5123</v>
      </c>
      <c r="B125">
        <v>229</v>
      </c>
      <c r="C125">
        <v>1024</v>
      </c>
      <c r="D125" t="s">
        <v>16</v>
      </c>
      <c r="E125" s="1">
        <v>45594</v>
      </c>
      <c r="F125">
        <v>1479</v>
      </c>
      <c r="G125" t="s">
        <v>17</v>
      </c>
      <c r="H125" t="s">
        <v>15</v>
      </c>
      <c r="I125" t="s">
        <v>1917</v>
      </c>
      <c r="J125" t="str" cm="1">
        <f t="array" ref="J125">_xlfn.IFS(HOUR(I125)&lt;12,"Morning",HOUR(I125)&lt;17,"Afternoon",TRUE,"Evening")</f>
        <v>Afternoon</v>
      </c>
      <c r="K125" t="s">
        <v>12</v>
      </c>
      <c r="L125" t="str">
        <f t="shared" si="3"/>
        <v>Attended</v>
      </c>
      <c r="M125">
        <f t="shared" si="4"/>
        <v>0</v>
      </c>
      <c r="N125" t="str">
        <f t="shared" si="5"/>
        <v>Tuesday</v>
      </c>
      <c r="O12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26" spans="1:15" x14ac:dyDescent="0.25">
      <c r="A126">
        <v>5124</v>
      </c>
      <c r="B126">
        <v>1412</v>
      </c>
      <c r="C126">
        <v>1027</v>
      </c>
      <c r="D126" t="s">
        <v>24</v>
      </c>
      <c r="E126" s="1">
        <v>45511</v>
      </c>
      <c r="F126">
        <v>1229</v>
      </c>
      <c r="G126" t="s">
        <v>14</v>
      </c>
      <c r="H126" t="s">
        <v>19</v>
      </c>
      <c r="I126" t="s">
        <v>1933</v>
      </c>
      <c r="J126" t="str" cm="1">
        <f t="array" ref="J126">_xlfn.IFS(HOUR(I126)&lt;12,"Morning",HOUR(I126)&lt;17,"Afternoon",TRUE,"Evening")</f>
        <v>Evening</v>
      </c>
      <c r="K126" t="s">
        <v>12</v>
      </c>
      <c r="L126" t="str">
        <f t="shared" si="3"/>
        <v>Attended</v>
      </c>
      <c r="M126">
        <f t="shared" si="4"/>
        <v>0</v>
      </c>
      <c r="N126" t="str">
        <f t="shared" si="5"/>
        <v>Wednesday</v>
      </c>
      <c r="O12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27" spans="1:15" x14ac:dyDescent="0.25">
      <c r="A127">
        <v>5125</v>
      </c>
      <c r="B127">
        <v>1101</v>
      </c>
      <c r="C127">
        <v>1027</v>
      </c>
      <c r="D127" t="s">
        <v>27</v>
      </c>
      <c r="E127" s="1">
        <v>45652</v>
      </c>
      <c r="F127">
        <v>2007</v>
      </c>
      <c r="G127" t="s">
        <v>10</v>
      </c>
      <c r="H127" t="s">
        <v>19</v>
      </c>
      <c r="I127" t="s">
        <v>1918</v>
      </c>
      <c r="J127" t="str" cm="1">
        <f t="array" ref="J127">_xlfn.IFS(HOUR(I127)&lt;12,"Morning",HOUR(I127)&lt;17,"Afternoon",TRUE,"Evening")</f>
        <v>Evening</v>
      </c>
      <c r="K127" t="s">
        <v>12</v>
      </c>
      <c r="L127" t="str">
        <f t="shared" si="3"/>
        <v>Attended</v>
      </c>
      <c r="M127">
        <f t="shared" si="4"/>
        <v>0</v>
      </c>
      <c r="N127" t="str">
        <f t="shared" si="5"/>
        <v>Thursday</v>
      </c>
      <c r="O1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28" spans="1:15" x14ac:dyDescent="0.25">
      <c r="A128">
        <v>5126</v>
      </c>
      <c r="B128">
        <v>402</v>
      </c>
      <c r="C128">
        <v>1027</v>
      </c>
      <c r="D128" t="s">
        <v>22</v>
      </c>
      <c r="E128" s="1">
        <v>45683</v>
      </c>
      <c r="F128">
        <v>2067</v>
      </c>
      <c r="G128" t="s">
        <v>25</v>
      </c>
      <c r="H128" t="s">
        <v>11</v>
      </c>
      <c r="I128" t="s">
        <v>1919</v>
      </c>
      <c r="J128" t="str" cm="1">
        <f t="array" ref="J128">_xlfn.IFS(HOUR(I128)&lt;12,"Morning",HOUR(I128)&lt;17,"Afternoon",TRUE,"Evening")</f>
        <v>Evening</v>
      </c>
      <c r="K128" t="s">
        <v>28</v>
      </c>
      <c r="L128" t="str">
        <f t="shared" si="3"/>
        <v>No Show</v>
      </c>
      <c r="M128">
        <f t="shared" si="4"/>
        <v>1</v>
      </c>
      <c r="N128" t="str">
        <f t="shared" si="5"/>
        <v>Sunday</v>
      </c>
      <c r="O12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29" spans="1:15" x14ac:dyDescent="0.25">
      <c r="A129">
        <v>5127</v>
      </c>
      <c r="B129">
        <v>235</v>
      </c>
      <c r="C129">
        <v>1027</v>
      </c>
      <c r="D129" t="s">
        <v>9</v>
      </c>
      <c r="E129" s="1">
        <v>45827</v>
      </c>
      <c r="F129">
        <v>2369</v>
      </c>
      <c r="G129" t="s">
        <v>10</v>
      </c>
      <c r="H129" t="s">
        <v>19</v>
      </c>
      <c r="I129" t="s">
        <v>1921</v>
      </c>
      <c r="J129" t="str" cm="1">
        <f t="array" ref="J129">_xlfn.IFS(HOUR(I129)&lt;12,"Morning",HOUR(I129)&lt;17,"Afternoon",TRUE,"Evening")</f>
        <v>Afternoon</v>
      </c>
      <c r="K129" t="s">
        <v>23</v>
      </c>
      <c r="L129" t="str">
        <f t="shared" si="3"/>
        <v>No Show</v>
      </c>
      <c r="M129">
        <f t="shared" si="4"/>
        <v>1</v>
      </c>
      <c r="N129" t="str">
        <f t="shared" si="5"/>
        <v>Thursday</v>
      </c>
      <c r="O12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30" spans="1:15" x14ac:dyDescent="0.25">
      <c r="A130">
        <v>5128</v>
      </c>
      <c r="B130">
        <v>757</v>
      </c>
      <c r="C130">
        <v>1027</v>
      </c>
      <c r="D130" t="s">
        <v>21</v>
      </c>
      <c r="E130" s="1">
        <v>45487</v>
      </c>
      <c r="F130">
        <v>977</v>
      </c>
      <c r="G130" t="s">
        <v>17</v>
      </c>
      <c r="H130" t="s">
        <v>19</v>
      </c>
      <c r="I130" t="s">
        <v>1908</v>
      </c>
      <c r="J130" t="str" cm="1">
        <f t="array" ref="J130">_xlfn.IFS(HOUR(I130)&lt;12,"Morning",HOUR(I130)&lt;17,"Afternoon",TRUE,"Evening")</f>
        <v>Morning</v>
      </c>
      <c r="K130" t="s">
        <v>28</v>
      </c>
      <c r="L130" t="str">
        <f t="shared" si="3"/>
        <v>No Show</v>
      </c>
      <c r="M130">
        <f t="shared" si="4"/>
        <v>1</v>
      </c>
      <c r="N130" t="str">
        <f t="shared" si="5"/>
        <v>Sunday</v>
      </c>
      <c r="O13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31" spans="1:15" x14ac:dyDescent="0.25">
      <c r="A131">
        <v>5129</v>
      </c>
      <c r="B131">
        <v>765</v>
      </c>
      <c r="C131">
        <v>1027</v>
      </c>
      <c r="D131" t="s">
        <v>21</v>
      </c>
      <c r="E131" s="1">
        <v>45781</v>
      </c>
      <c r="F131">
        <v>1224</v>
      </c>
      <c r="G131" t="s">
        <v>17</v>
      </c>
      <c r="H131" t="s">
        <v>11</v>
      </c>
      <c r="I131" t="s">
        <v>1915</v>
      </c>
      <c r="J131" t="str" cm="1">
        <f t="array" ref="J131">_xlfn.IFS(HOUR(I131)&lt;12,"Morning",HOUR(I131)&lt;17,"Afternoon",TRUE,"Evening")</f>
        <v>Afternoon</v>
      </c>
      <c r="K131" t="s">
        <v>12</v>
      </c>
      <c r="L131" t="str">
        <f t="shared" ref="L131:L194" si="6">IF(K131="completed","Attended","No Show")</f>
        <v>Attended</v>
      </c>
      <c r="M131">
        <f t="shared" ref="M131:M194" si="7">IF(L131="No Show",1,0)</f>
        <v>0</v>
      </c>
      <c r="N131" t="str">
        <f t="shared" ref="N131:N194" si="8">TEXT(E131,"dddd")</f>
        <v>Sunday</v>
      </c>
      <c r="O13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32" spans="1:15" x14ac:dyDescent="0.25">
      <c r="A132">
        <v>5130</v>
      </c>
      <c r="B132">
        <v>202</v>
      </c>
      <c r="C132">
        <v>1001</v>
      </c>
      <c r="D132" t="s">
        <v>22</v>
      </c>
      <c r="E132" s="1">
        <v>45588</v>
      </c>
      <c r="F132">
        <v>1483</v>
      </c>
      <c r="G132" t="s">
        <v>10</v>
      </c>
      <c r="H132" t="s">
        <v>15</v>
      </c>
      <c r="I132" t="s">
        <v>1935</v>
      </c>
      <c r="J132" t="str" cm="1">
        <f t="array" ref="J132">_xlfn.IFS(HOUR(I132)&lt;12,"Morning",HOUR(I132)&lt;17,"Afternoon",TRUE,"Evening")</f>
        <v>Afternoon</v>
      </c>
      <c r="K132" t="s">
        <v>12</v>
      </c>
      <c r="L132" t="str">
        <f t="shared" si="6"/>
        <v>Attended</v>
      </c>
      <c r="M132">
        <f t="shared" si="7"/>
        <v>0</v>
      </c>
      <c r="N132" t="str">
        <f t="shared" si="8"/>
        <v>Wednesday</v>
      </c>
      <c r="O13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33" spans="1:15" x14ac:dyDescent="0.25">
      <c r="A133">
        <v>5131</v>
      </c>
      <c r="B133">
        <v>1561</v>
      </c>
      <c r="C133">
        <v>1009</v>
      </c>
      <c r="D133" t="s">
        <v>13</v>
      </c>
      <c r="E133" s="1">
        <v>45697</v>
      </c>
      <c r="F133">
        <v>2415</v>
      </c>
      <c r="G133" t="s">
        <v>10</v>
      </c>
      <c r="H133" t="s">
        <v>15</v>
      </c>
      <c r="I133" t="s">
        <v>1941</v>
      </c>
      <c r="J133" t="str" cm="1">
        <f t="array" ref="J133">_xlfn.IFS(HOUR(I133)&lt;12,"Morning",HOUR(I133)&lt;17,"Afternoon",TRUE,"Evening")</f>
        <v>Morning</v>
      </c>
      <c r="K133" t="s">
        <v>12</v>
      </c>
      <c r="L133" t="str">
        <f t="shared" si="6"/>
        <v>Attended</v>
      </c>
      <c r="M133">
        <f t="shared" si="7"/>
        <v>0</v>
      </c>
      <c r="N133" t="str">
        <f t="shared" si="8"/>
        <v>Sunday</v>
      </c>
      <c r="O13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34" spans="1:15" x14ac:dyDescent="0.25">
      <c r="A134">
        <v>5132</v>
      </c>
      <c r="B134">
        <v>1184</v>
      </c>
      <c r="C134">
        <v>1027</v>
      </c>
      <c r="D134" t="s">
        <v>24</v>
      </c>
      <c r="E134" s="1">
        <v>45799</v>
      </c>
      <c r="F134">
        <v>1073</v>
      </c>
      <c r="G134" t="s">
        <v>14</v>
      </c>
      <c r="H134" t="s">
        <v>15</v>
      </c>
      <c r="I134" t="s">
        <v>1918</v>
      </c>
      <c r="J134" t="str" cm="1">
        <f t="array" ref="J134">_xlfn.IFS(HOUR(I134)&lt;12,"Morning",HOUR(I134)&lt;17,"Afternoon",TRUE,"Evening")</f>
        <v>Evening</v>
      </c>
      <c r="K134" t="s">
        <v>12</v>
      </c>
      <c r="L134" t="str">
        <f t="shared" si="6"/>
        <v>Attended</v>
      </c>
      <c r="M134">
        <f t="shared" si="7"/>
        <v>0</v>
      </c>
      <c r="N134" t="str">
        <f t="shared" si="8"/>
        <v>Thursday</v>
      </c>
      <c r="O13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35" spans="1:15" x14ac:dyDescent="0.25">
      <c r="A135">
        <v>5133</v>
      </c>
      <c r="B135">
        <v>643</v>
      </c>
      <c r="C135">
        <v>1027</v>
      </c>
      <c r="D135" t="s">
        <v>27</v>
      </c>
      <c r="E135" s="1">
        <v>45668</v>
      </c>
      <c r="F135">
        <v>1401</v>
      </c>
      <c r="G135" t="s">
        <v>10</v>
      </c>
      <c r="H135" t="s">
        <v>11</v>
      </c>
      <c r="I135" t="s">
        <v>1914</v>
      </c>
      <c r="J135" t="str" cm="1">
        <f t="array" ref="J135">_xlfn.IFS(HOUR(I135)&lt;12,"Morning",HOUR(I135)&lt;17,"Afternoon",TRUE,"Evening")</f>
        <v>Afternoon</v>
      </c>
      <c r="K135" t="s">
        <v>20</v>
      </c>
      <c r="L135" t="str">
        <f t="shared" si="6"/>
        <v>No Show</v>
      </c>
      <c r="M135">
        <f t="shared" si="7"/>
        <v>1</v>
      </c>
      <c r="N135" t="str">
        <f t="shared" si="8"/>
        <v>Saturday</v>
      </c>
      <c r="O13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36" spans="1:15" x14ac:dyDescent="0.25">
      <c r="A136">
        <v>5134</v>
      </c>
      <c r="B136">
        <v>759</v>
      </c>
      <c r="C136">
        <v>1020</v>
      </c>
      <c r="D136" t="s">
        <v>26</v>
      </c>
      <c r="E136" s="1">
        <v>45814</v>
      </c>
      <c r="F136">
        <v>1570</v>
      </c>
      <c r="G136" t="s">
        <v>14</v>
      </c>
      <c r="H136" t="s">
        <v>15</v>
      </c>
      <c r="I136" t="s">
        <v>1911</v>
      </c>
      <c r="J136" t="str" cm="1">
        <f t="array" ref="J136">_xlfn.IFS(HOUR(I136)&lt;12,"Morning",HOUR(I136)&lt;17,"Afternoon",TRUE,"Evening")</f>
        <v>Morning</v>
      </c>
      <c r="K136" t="s">
        <v>23</v>
      </c>
      <c r="L136" t="str">
        <f t="shared" si="6"/>
        <v>No Show</v>
      </c>
      <c r="M136">
        <f t="shared" si="7"/>
        <v>1</v>
      </c>
      <c r="N136" t="str">
        <f t="shared" si="8"/>
        <v>Friday</v>
      </c>
      <c r="O13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37" spans="1:15" x14ac:dyDescent="0.25">
      <c r="A137">
        <v>5135</v>
      </c>
      <c r="B137">
        <v>428</v>
      </c>
      <c r="C137">
        <v>1027</v>
      </c>
      <c r="D137" t="s">
        <v>21</v>
      </c>
      <c r="E137" s="1">
        <v>45693</v>
      </c>
      <c r="F137">
        <v>848</v>
      </c>
      <c r="G137" t="s">
        <v>25</v>
      </c>
      <c r="H137" t="s">
        <v>15</v>
      </c>
      <c r="I137" t="s">
        <v>1924</v>
      </c>
      <c r="J137" t="str" cm="1">
        <f t="array" ref="J137">_xlfn.IFS(HOUR(I137)&lt;12,"Morning",HOUR(I137)&lt;17,"Afternoon",TRUE,"Evening")</f>
        <v>Afternoon</v>
      </c>
      <c r="K137" t="s">
        <v>20</v>
      </c>
      <c r="L137" t="str">
        <f t="shared" si="6"/>
        <v>No Show</v>
      </c>
      <c r="M137">
        <f t="shared" si="7"/>
        <v>1</v>
      </c>
      <c r="N137" t="str">
        <f t="shared" si="8"/>
        <v>Wednesday</v>
      </c>
      <c r="O13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38" spans="1:15" x14ac:dyDescent="0.25">
      <c r="A138">
        <v>5136</v>
      </c>
      <c r="B138">
        <v>1170</v>
      </c>
      <c r="C138">
        <v>1027</v>
      </c>
      <c r="D138" t="s">
        <v>24</v>
      </c>
      <c r="E138" s="1">
        <v>45723</v>
      </c>
      <c r="F138">
        <v>875</v>
      </c>
      <c r="G138" t="s">
        <v>14</v>
      </c>
      <c r="H138" t="s">
        <v>15</v>
      </c>
      <c r="I138" t="s">
        <v>1919</v>
      </c>
      <c r="J138" t="str" cm="1">
        <f t="array" ref="J138">_xlfn.IFS(HOUR(I138)&lt;12,"Morning",HOUR(I138)&lt;17,"Afternoon",TRUE,"Evening")</f>
        <v>Evening</v>
      </c>
      <c r="K138" t="s">
        <v>12</v>
      </c>
      <c r="L138" t="str">
        <f t="shared" si="6"/>
        <v>Attended</v>
      </c>
      <c r="M138">
        <f t="shared" si="7"/>
        <v>0</v>
      </c>
      <c r="N138" t="str">
        <f t="shared" si="8"/>
        <v>Friday</v>
      </c>
      <c r="O13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39" spans="1:15" x14ac:dyDescent="0.25">
      <c r="A139">
        <v>5137</v>
      </c>
      <c r="B139">
        <v>1449</v>
      </c>
      <c r="C139">
        <v>1027</v>
      </c>
      <c r="D139" t="s">
        <v>9</v>
      </c>
      <c r="E139" s="1">
        <v>45528</v>
      </c>
      <c r="F139">
        <v>2450</v>
      </c>
      <c r="G139" t="s">
        <v>10</v>
      </c>
      <c r="H139" t="s">
        <v>11</v>
      </c>
      <c r="I139" t="s">
        <v>1924</v>
      </c>
      <c r="J139" t="str" cm="1">
        <f t="array" ref="J139">_xlfn.IFS(HOUR(I139)&lt;12,"Morning",HOUR(I139)&lt;17,"Afternoon",TRUE,"Evening")</f>
        <v>Afternoon</v>
      </c>
      <c r="K139" t="s">
        <v>12</v>
      </c>
      <c r="L139" t="str">
        <f t="shared" si="6"/>
        <v>Attended</v>
      </c>
      <c r="M139">
        <f t="shared" si="7"/>
        <v>0</v>
      </c>
      <c r="N139" t="str">
        <f t="shared" si="8"/>
        <v>Saturday</v>
      </c>
      <c r="O13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40" spans="1:15" x14ac:dyDescent="0.25">
      <c r="A140">
        <v>5138</v>
      </c>
      <c r="B140">
        <v>513</v>
      </c>
      <c r="C140">
        <v>1024</v>
      </c>
      <c r="D140" t="s">
        <v>16</v>
      </c>
      <c r="E140" s="1">
        <v>45569</v>
      </c>
      <c r="F140">
        <v>2252</v>
      </c>
      <c r="G140" t="s">
        <v>10</v>
      </c>
      <c r="H140" t="s">
        <v>15</v>
      </c>
      <c r="I140" t="s">
        <v>1916</v>
      </c>
      <c r="J140" t="str" cm="1">
        <f t="array" ref="J140">_xlfn.IFS(HOUR(I140)&lt;12,"Morning",HOUR(I140)&lt;17,"Afternoon",TRUE,"Evening")</f>
        <v>Afternoon</v>
      </c>
      <c r="K140" t="s">
        <v>12</v>
      </c>
      <c r="L140" t="str">
        <f t="shared" si="6"/>
        <v>Attended</v>
      </c>
      <c r="M140">
        <f t="shared" si="7"/>
        <v>0</v>
      </c>
      <c r="N140" t="str">
        <f t="shared" si="8"/>
        <v>Friday</v>
      </c>
      <c r="O14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41" spans="1:15" x14ac:dyDescent="0.25">
      <c r="A141">
        <v>5139</v>
      </c>
      <c r="B141">
        <v>1534</v>
      </c>
      <c r="C141">
        <v>1008</v>
      </c>
      <c r="D141" t="s">
        <v>13</v>
      </c>
      <c r="E141" s="1">
        <v>45489</v>
      </c>
      <c r="F141">
        <v>1114</v>
      </c>
      <c r="G141" t="s">
        <v>17</v>
      </c>
      <c r="H141" t="s">
        <v>19</v>
      </c>
      <c r="I141" t="s">
        <v>1935</v>
      </c>
      <c r="J141" t="str" cm="1">
        <f t="array" ref="J141">_xlfn.IFS(HOUR(I141)&lt;12,"Morning",HOUR(I141)&lt;17,"Afternoon",TRUE,"Evening")</f>
        <v>Afternoon</v>
      </c>
      <c r="K141" t="s">
        <v>12</v>
      </c>
      <c r="L141" t="str">
        <f t="shared" si="6"/>
        <v>Attended</v>
      </c>
      <c r="M141">
        <f t="shared" si="7"/>
        <v>0</v>
      </c>
      <c r="N141" t="str">
        <f t="shared" si="8"/>
        <v>Tuesday</v>
      </c>
      <c r="O14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42" spans="1:15" x14ac:dyDescent="0.25">
      <c r="A142">
        <v>5140</v>
      </c>
      <c r="B142">
        <v>1104</v>
      </c>
      <c r="C142">
        <v>1024</v>
      </c>
      <c r="D142" t="s">
        <v>16</v>
      </c>
      <c r="E142" s="1">
        <v>45735</v>
      </c>
      <c r="F142">
        <v>1145</v>
      </c>
      <c r="G142" t="s">
        <v>25</v>
      </c>
      <c r="H142" t="s">
        <v>11</v>
      </c>
      <c r="I142" t="s">
        <v>1915</v>
      </c>
      <c r="J142" t="str" cm="1">
        <f t="array" ref="J142">_xlfn.IFS(HOUR(I142)&lt;12,"Morning",HOUR(I142)&lt;17,"Afternoon",TRUE,"Evening")</f>
        <v>Afternoon</v>
      </c>
      <c r="K142" t="s">
        <v>12</v>
      </c>
      <c r="L142" t="str">
        <f t="shared" si="6"/>
        <v>Attended</v>
      </c>
      <c r="M142">
        <f t="shared" si="7"/>
        <v>0</v>
      </c>
      <c r="N142" t="str">
        <f t="shared" si="8"/>
        <v>Wednesday</v>
      </c>
      <c r="O1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43" spans="1:15" x14ac:dyDescent="0.25">
      <c r="A143">
        <v>5141</v>
      </c>
      <c r="B143">
        <v>112</v>
      </c>
      <c r="C143">
        <v>1001</v>
      </c>
      <c r="D143" t="s">
        <v>22</v>
      </c>
      <c r="E143" s="1">
        <v>45824</v>
      </c>
      <c r="F143">
        <v>2080</v>
      </c>
      <c r="G143" t="s">
        <v>25</v>
      </c>
      <c r="H143" t="s">
        <v>11</v>
      </c>
      <c r="I143" t="s">
        <v>1909</v>
      </c>
      <c r="J143" t="str" cm="1">
        <f t="array" ref="J143">_xlfn.IFS(HOUR(I143)&lt;12,"Morning",HOUR(I143)&lt;17,"Afternoon",TRUE,"Evening")</f>
        <v>Afternoon</v>
      </c>
      <c r="K143" t="s">
        <v>23</v>
      </c>
      <c r="L143" t="str">
        <f t="shared" si="6"/>
        <v>No Show</v>
      </c>
      <c r="M143">
        <f t="shared" si="7"/>
        <v>1</v>
      </c>
      <c r="N143" t="str">
        <f t="shared" si="8"/>
        <v>Monday</v>
      </c>
      <c r="O14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44" spans="1:15" x14ac:dyDescent="0.25">
      <c r="A144">
        <v>5142</v>
      </c>
      <c r="B144">
        <v>196</v>
      </c>
      <c r="C144">
        <v>1008</v>
      </c>
      <c r="D144" t="s">
        <v>13</v>
      </c>
      <c r="E144" s="1">
        <v>45707</v>
      </c>
      <c r="F144">
        <v>1490</v>
      </c>
      <c r="G144" t="s">
        <v>25</v>
      </c>
      <c r="H144" t="s">
        <v>19</v>
      </c>
      <c r="I144" t="s">
        <v>1921</v>
      </c>
      <c r="J144" t="str" cm="1">
        <f t="array" ref="J144">_xlfn.IFS(HOUR(I144)&lt;12,"Morning",HOUR(I144)&lt;17,"Afternoon",TRUE,"Evening")</f>
        <v>Afternoon</v>
      </c>
      <c r="K144" t="s">
        <v>12</v>
      </c>
      <c r="L144" t="str">
        <f t="shared" si="6"/>
        <v>Attended</v>
      </c>
      <c r="M144">
        <f t="shared" si="7"/>
        <v>0</v>
      </c>
      <c r="N144" t="str">
        <f t="shared" si="8"/>
        <v>Wednesday</v>
      </c>
      <c r="O14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45" spans="1:15" x14ac:dyDescent="0.25">
      <c r="A145">
        <v>5143</v>
      </c>
      <c r="B145">
        <v>572</v>
      </c>
      <c r="C145">
        <v>1027</v>
      </c>
      <c r="D145" t="s">
        <v>27</v>
      </c>
      <c r="E145" s="1">
        <v>45622</v>
      </c>
      <c r="F145">
        <v>2433</v>
      </c>
      <c r="G145" t="s">
        <v>17</v>
      </c>
      <c r="H145" t="s">
        <v>15</v>
      </c>
      <c r="I145" t="s">
        <v>1916</v>
      </c>
      <c r="J145" t="str" cm="1">
        <f t="array" ref="J145">_xlfn.IFS(HOUR(I145)&lt;12,"Morning",HOUR(I145)&lt;17,"Afternoon",TRUE,"Evening")</f>
        <v>Afternoon</v>
      </c>
      <c r="K145" t="s">
        <v>12</v>
      </c>
      <c r="L145" t="str">
        <f t="shared" si="6"/>
        <v>Attended</v>
      </c>
      <c r="M145">
        <f t="shared" si="7"/>
        <v>0</v>
      </c>
      <c r="N145" t="str">
        <f t="shared" si="8"/>
        <v>Tuesday</v>
      </c>
      <c r="O14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46" spans="1:15" x14ac:dyDescent="0.25">
      <c r="A146">
        <v>5144</v>
      </c>
      <c r="B146">
        <v>1360</v>
      </c>
      <c r="C146">
        <v>1002</v>
      </c>
      <c r="D146" t="s">
        <v>18</v>
      </c>
      <c r="E146" s="1">
        <v>45807</v>
      </c>
      <c r="F146">
        <v>1152</v>
      </c>
      <c r="G146" t="s">
        <v>17</v>
      </c>
      <c r="H146" t="s">
        <v>15</v>
      </c>
      <c r="I146" t="s">
        <v>1906</v>
      </c>
      <c r="J146" t="str" cm="1">
        <f t="array" ref="J146">_xlfn.IFS(HOUR(I146)&lt;12,"Morning",HOUR(I146)&lt;17,"Afternoon",TRUE,"Evening")</f>
        <v>Afternoon</v>
      </c>
      <c r="K146" t="s">
        <v>12</v>
      </c>
      <c r="L146" t="str">
        <f t="shared" si="6"/>
        <v>Attended</v>
      </c>
      <c r="M146">
        <f t="shared" si="7"/>
        <v>0</v>
      </c>
      <c r="N146" t="str">
        <f t="shared" si="8"/>
        <v>Friday</v>
      </c>
      <c r="O14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47" spans="1:15" x14ac:dyDescent="0.25">
      <c r="A147">
        <v>5145</v>
      </c>
      <c r="B147">
        <v>536</v>
      </c>
      <c r="C147">
        <v>1027</v>
      </c>
      <c r="D147" t="s">
        <v>9</v>
      </c>
      <c r="E147" s="1">
        <v>45809</v>
      </c>
      <c r="F147">
        <v>1921</v>
      </c>
      <c r="G147" t="s">
        <v>10</v>
      </c>
      <c r="H147" t="s">
        <v>19</v>
      </c>
      <c r="I147" t="s">
        <v>1907</v>
      </c>
      <c r="J147" t="str" cm="1">
        <f t="array" ref="J147">_xlfn.IFS(HOUR(I147)&lt;12,"Morning",HOUR(I147)&lt;17,"Afternoon",TRUE,"Evening")</f>
        <v>Afternoon</v>
      </c>
      <c r="K147" t="s">
        <v>23</v>
      </c>
      <c r="L147" t="str">
        <f t="shared" si="6"/>
        <v>No Show</v>
      </c>
      <c r="M147">
        <f t="shared" si="7"/>
        <v>1</v>
      </c>
      <c r="N147" t="str">
        <f t="shared" si="8"/>
        <v>Sunday</v>
      </c>
      <c r="O14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48" spans="1:15" x14ac:dyDescent="0.25">
      <c r="A148">
        <v>5146</v>
      </c>
      <c r="B148">
        <v>680</v>
      </c>
      <c r="C148">
        <v>1027</v>
      </c>
      <c r="D148" t="s">
        <v>24</v>
      </c>
      <c r="E148" s="1">
        <v>45702</v>
      </c>
      <c r="F148">
        <v>2495</v>
      </c>
      <c r="G148" t="s">
        <v>10</v>
      </c>
      <c r="H148" t="s">
        <v>15</v>
      </c>
      <c r="I148" t="s">
        <v>1910</v>
      </c>
      <c r="J148" t="str" cm="1">
        <f t="array" ref="J148">_xlfn.IFS(HOUR(I148)&lt;12,"Morning",HOUR(I148)&lt;17,"Afternoon",TRUE,"Evening")</f>
        <v>Evening</v>
      </c>
      <c r="K148" t="s">
        <v>12</v>
      </c>
      <c r="L148" t="str">
        <f t="shared" si="6"/>
        <v>Attended</v>
      </c>
      <c r="M148">
        <f t="shared" si="7"/>
        <v>0</v>
      </c>
      <c r="N148" t="str">
        <f t="shared" si="8"/>
        <v>Friday</v>
      </c>
      <c r="O1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49" spans="1:15" x14ac:dyDescent="0.25">
      <c r="A149">
        <v>5147</v>
      </c>
      <c r="B149">
        <v>455</v>
      </c>
      <c r="C149">
        <v>1020</v>
      </c>
      <c r="D149" t="s">
        <v>26</v>
      </c>
      <c r="E149" s="1">
        <v>45574</v>
      </c>
      <c r="F149">
        <v>2305</v>
      </c>
      <c r="G149" t="s">
        <v>17</v>
      </c>
      <c r="H149" t="s">
        <v>19</v>
      </c>
      <c r="I149" t="s">
        <v>1921</v>
      </c>
      <c r="J149" t="str" cm="1">
        <f t="array" ref="J149">_xlfn.IFS(HOUR(I149)&lt;12,"Morning",HOUR(I149)&lt;17,"Afternoon",TRUE,"Evening")</f>
        <v>Afternoon</v>
      </c>
      <c r="K149" t="s">
        <v>28</v>
      </c>
      <c r="L149" t="str">
        <f t="shared" si="6"/>
        <v>No Show</v>
      </c>
      <c r="M149">
        <f t="shared" si="7"/>
        <v>1</v>
      </c>
      <c r="N149" t="str">
        <f t="shared" si="8"/>
        <v>Wednesday</v>
      </c>
      <c r="O14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50" spans="1:15" x14ac:dyDescent="0.25">
      <c r="A150">
        <v>5148</v>
      </c>
      <c r="B150">
        <v>715</v>
      </c>
      <c r="C150">
        <v>1027</v>
      </c>
      <c r="D150" t="s">
        <v>9</v>
      </c>
      <c r="E150" s="1">
        <v>45584</v>
      </c>
      <c r="F150">
        <v>1744</v>
      </c>
      <c r="G150" t="s">
        <v>10</v>
      </c>
      <c r="H150" t="s">
        <v>19</v>
      </c>
      <c r="I150" t="s">
        <v>1939</v>
      </c>
      <c r="J150" t="str" cm="1">
        <f t="array" ref="J150">_xlfn.IFS(HOUR(I150)&lt;12,"Morning",HOUR(I150)&lt;17,"Afternoon",TRUE,"Evening")</f>
        <v>Afternoon</v>
      </c>
      <c r="K150" t="s">
        <v>12</v>
      </c>
      <c r="L150" t="str">
        <f t="shared" si="6"/>
        <v>Attended</v>
      </c>
      <c r="M150">
        <f t="shared" si="7"/>
        <v>0</v>
      </c>
      <c r="N150" t="str">
        <f t="shared" si="8"/>
        <v>Saturday</v>
      </c>
      <c r="O15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51" spans="1:15" x14ac:dyDescent="0.25">
      <c r="A151">
        <v>5149</v>
      </c>
      <c r="B151">
        <v>411</v>
      </c>
      <c r="C151">
        <v>1027</v>
      </c>
      <c r="D151" t="s">
        <v>22</v>
      </c>
      <c r="E151" s="1">
        <v>45525</v>
      </c>
      <c r="F151">
        <v>1715</v>
      </c>
      <c r="G151" t="s">
        <v>14</v>
      </c>
      <c r="H151" t="s">
        <v>11</v>
      </c>
      <c r="I151" t="s">
        <v>1929</v>
      </c>
      <c r="J151" t="str" cm="1">
        <f t="array" ref="J151">_xlfn.IFS(HOUR(I151)&lt;12,"Morning",HOUR(I151)&lt;17,"Afternoon",TRUE,"Evening")</f>
        <v>Afternoon</v>
      </c>
      <c r="K151" t="s">
        <v>12</v>
      </c>
      <c r="L151" t="str">
        <f t="shared" si="6"/>
        <v>Attended</v>
      </c>
      <c r="M151">
        <f t="shared" si="7"/>
        <v>0</v>
      </c>
      <c r="N151" t="str">
        <f t="shared" si="8"/>
        <v>Wednesday</v>
      </c>
      <c r="O15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52" spans="1:15" x14ac:dyDescent="0.25">
      <c r="A152">
        <v>5150</v>
      </c>
      <c r="B152">
        <v>668</v>
      </c>
      <c r="C152">
        <v>1027</v>
      </c>
      <c r="D152" t="s">
        <v>27</v>
      </c>
      <c r="E152" s="1">
        <v>45771</v>
      </c>
      <c r="F152">
        <v>936</v>
      </c>
      <c r="G152" t="s">
        <v>25</v>
      </c>
      <c r="H152" t="s">
        <v>15</v>
      </c>
      <c r="I152" t="s">
        <v>1916</v>
      </c>
      <c r="J152" t="str" cm="1">
        <f t="array" ref="J152">_xlfn.IFS(HOUR(I152)&lt;12,"Morning",HOUR(I152)&lt;17,"Afternoon",TRUE,"Evening")</f>
        <v>Afternoon</v>
      </c>
      <c r="K152" t="s">
        <v>12</v>
      </c>
      <c r="L152" t="str">
        <f t="shared" si="6"/>
        <v>Attended</v>
      </c>
      <c r="M152">
        <f t="shared" si="7"/>
        <v>0</v>
      </c>
      <c r="N152" t="str">
        <f t="shared" si="8"/>
        <v>Thursday</v>
      </c>
      <c r="O15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53" spans="1:15" x14ac:dyDescent="0.25">
      <c r="A153">
        <v>5151</v>
      </c>
      <c r="B153">
        <v>986</v>
      </c>
      <c r="C153">
        <v>1027</v>
      </c>
      <c r="D153" t="s">
        <v>21</v>
      </c>
      <c r="E153" s="1">
        <v>45666</v>
      </c>
      <c r="F153">
        <v>1452</v>
      </c>
      <c r="G153" t="s">
        <v>10</v>
      </c>
      <c r="H153" t="s">
        <v>15</v>
      </c>
      <c r="I153" t="s">
        <v>1926</v>
      </c>
      <c r="J153" t="str" cm="1">
        <f t="array" ref="J153">_xlfn.IFS(HOUR(I153)&lt;12,"Morning",HOUR(I153)&lt;17,"Afternoon",TRUE,"Evening")</f>
        <v>Afternoon</v>
      </c>
      <c r="K153" t="s">
        <v>12</v>
      </c>
      <c r="L153" t="str">
        <f t="shared" si="6"/>
        <v>Attended</v>
      </c>
      <c r="M153">
        <f t="shared" si="7"/>
        <v>0</v>
      </c>
      <c r="N153" t="str">
        <f t="shared" si="8"/>
        <v>Thursday</v>
      </c>
      <c r="O15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54" spans="1:15" x14ac:dyDescent="0.25">
      <c r="A154">
        <v>5152</v>
      </c>
      <c r="B154">
        <v>1320</v>
      </c>
      <c r="C154">
        <v>1020</v>
      </c>
      <c r="D154" t="s">
        <v>26</v>
      </c>
      <c r="E154" s="1">
        <v>45757</v>
      </c>
      <c r="F154">
        <v>1748</v>
      </c>
      <c r="G154" t="s">
        <v>10</v>
      </c>
      <c r="H154" t="s">
        <v>11</v>
      </c>
      <c r="I154" t="s">
        <v>1916</v>
      </c>
      <c r="J154" t="str" cm="1">
        <f t="array" ref="J154">_xlfn.IFS(HOUR(I154)&lt;12,"Morning",HOUR(I154)&lt;17,"Afternoon",TRUE,"Evening")</f>
        <v>Afternoon</v>
      </c>
      <c r="K154" t="s">
        <v>12</v>
      </c>
      <c r="L154" t="str">
        <f t="shared" si="6"/>
        <v>Attended</v>
      </c>
      <c r="M154">
        <f t="shared" si="7"/>
        <v>0</v>
      </c>
      <c r="N154" t="str">
        <f t="shared" si="8"/>
        <v>Thursday</v>
      </c>
      <c r="O15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55" spans="1:15" x14ac:dyDescent="0.25">
      <c r="A155">
        <v>5153</v>
      </c>
      <c r="B155">
        <v>504</v>
      </c>
      <c r="C155">
        <v>1027</v>
      </c>
      <c r="D155" t="s">
        <v>21</v>
      </c>
      <c r="E155" s="1">
        <v>45591</v>
      </c>
      <c r="F155">
        <v>939</v>
      </c>
      <c r="G155" t="s">
        <v>14</v>
      </c>
      <c r="H155" t="s">
        <v>19</v>
      </c>
      <c r="I155" t="s">
        <v>1910</v>
      </c>
      <c r="J155" t="str" cm="1">
        <f t="array" ref="J155">_xlfn.IFS(HOUR(I155)&lt;12,"Morning",HOUR(I155)&lt;17,"Afternoon",TRUE,"Evening")</f>
        <v>Evening</v>
      </c>
      <c r="K155" t="s">
        <v>12</v>
      </c>
      <c r="L155" t="str">
        <f t="shared" si="6"/>
        <v>Attended</v>
      </c>
      <c r="M155">
        <f t="shared" si="7"/>
        <v>0</v>
      </c>
      <c r="N155" t="str">
        <f t="shared" si="8"/>
        <v>Saturday</v>
      </c>
      <c r="O15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56" spans="1:15" x14ac:dyDescent="0.25">
      <c r="A156">
        <v>5154</v>
      </c>
      <c r="B156">
        <v>915</v>
      </c>
      <c r="C156">
        <v>1024</v>
      </c>
      <c r="D156" t="s">
        <v>16</v>
      </c>
      <c r="E156" s="1">
        <v>45783</v>
      </c>
      <c r="F156">
        <v>2335</v>
      </c>
      <c r="G156" t="s">
        <v>25</v>
      </c>
      <c r="H156" t="s">
        <v>11</v>
      </c>
      <c r="I156" t="s">
        <v>1923</v>
      </c>
      <c r="J156" t="str" cm="1">
        <f t="array" ref="J156">_xlfn.IFS(HOUR(I156)&lt;12,"Morning",HOUR(I156)&lt;17,"Afternoon",TRUE,"Evening")</f>
        <v>Evening</v>
      </c>
      <c r="K156" t="s">
        <v>12</v>
      </c>
      <c r="L156" t="str">
        <f t="shared" si="6"/>
        <v>Attended</v>
      </c>
      <c r="M156">
        <f t="shared" si="7"/>
        <v>0</v>
      </c>
      <c r="N156" t="str">
        <f t="shared" si="8"/>
        <v>Tuesday</v>
      </c>
      <c r="O1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57" spans="1:15" x14ac:dyDescent="0.25">
      <c r="A157">
        <v>5155</v>
      </c>
      <c r="B157">
        <v>1424</v>
      </c>
      <c r="C157">
        <v>1027</v>
      </c>
      <c r="D157" t="s">
        <v>9</v>
      </c>
      <c r="E157" s="1">
        <v>45622</v>
      </c>
      <c r="F157">
        <v>2270</v>
      </c>
      <c r="G157" t="s">
        <v>25</v>
      </c>
      <c r="H157" t="s">
        <v>11</v>
      </c>
      <c r="I157" t="s">
        <v>1942</v>
      </c>
      <c r="J157" t="str" cm="1">
        <f t="array" ref="J157">_xlfn.IFS(HOUR(I157)&lt;12,"Morning",HOUR(I157)&lt;17,"Afternoon",TRUE,"Evening")</f>
        <v>Evening</v>
      </c>
      <c r="K157" t="s">
        <v>12</v>
      </c>
      <c r="L157" t="str">
        <f t="shared" si="6"/>
        <v>Attended</v>
      </c>
      <c r="M157">
        <f t="shared" si="7"/>
        <v>0</v>
      </c>
      <c r="N157" t="str">
        <f t="shared" si="8"/>
        <v>Tuesday</v>
      </c>
      <c r="O15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58" spans="1:15" x14ac:dyDescent="0.25">
      <c r="A158">
        <v>5156</v>
      </c>
      <c r="B158">
        <v>1090</v>
      </c>
      <c r="C158">
        <v>1024</v>
      </c>
      <c r="D158" t="s">
        <v>16</v>
      </c>
      <c r="E158" s="1">
        <v>45498</v>
      </c>
      <c r="F158">
        <v>856</v>
      </c>
      <c r="G158" t="s">
        <v>14</v>
      </c>
      <c r="H158" t="s">
        <v>19</v>
      </c>
      <c r="I158" t="s">
        <v>1922</v>
      </c>
      <c r="J158" t="str" cm="1">
        <f t="array" ref="J158">_xlfn.IFS(HOUR(I158)&lt;12,"Morning",HOUR(I158)&lt;17,"Afternoon",TRUE,"Evening")</f>
        <v>Afternoon</v>
      </c>
      <c r="K158" t="s">
        <v>12</v>
      </c>
      <c r="L158" t="str">
        <f t="shared" si="6"/>
        <v>Attended</v>
      </c>
      <c r="M158">
        <f t="shared" si="7"/>
        <v>0</v>
      </c>
      <c r="N158" t="str">
        <f t="shared" si="8"/>
        <v>Thursday</v>
      </c>
      <c r="O15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59" spans="1:15" x14ac:dyDescent="0.25">
      <c r="A159">
        <v>5157</v>
      </c>
      <c r="B159">
        <v>470</v>
      </c>
      <c r="C159">
        <v>1024</v>
      </c>
      <c r="D159" t="s">
        <v>16</v>
      </c>
      <c r="E159" s="1">
        <v>45737</v>
      </c>
      <c r="F159">
        <v>1796</v>
      </c>
      <c r="G159" t="s">
        <v>25</v>
      </c>
      <c r="H159" t="s">
        <v>15</v>
      </c>
      <c r="I159" t="s">
        <v>1943</v>
      </c>
      <c r="J159" t="str" cm="1">
        <f t="array" ref="J159">_xlfn.IFS(HOUR(I159)&lt;12,"Morning",HOUR(I159)&lt;17,"Afternoon",TRUE,"Evening")</f>
        <v>Afternoon</v>
      </c>
      <c r="K159" t="s">
        <v>12</v>
      </c>
      <c r="L159" t="str">
        <f t="shared" si="6"/>
        <v>Attended</v>
      </c>
      <c r="M159">
        <f t="shared" si="7"/>
        <v>0</v>
      </c>
      <c r="N159" t="str">
        <f t="shared" si="8"/>
        <v>Friday</v>
      </c>
      <c r="O15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0" spans="1:15" x14ac:dyDescent="0.25">
      <c r="A160">
        <v>5158</v>
      </c>
      <c r="B160">
        <v>1455</v>
      </c>
      <c r="C160">
        <v>1027</v>
      </c>
      <c r="D160" t="s">
        <v>21</v>
      </c>
      <c r="E160" s="1">
        <v>45746</v>
      </c>
      <c r="F160">
        <v>2162</v>
      </c>
      <c r="G160" t="s">
        <v>17</v>
      </c>
      <c r="H160" t="s">
        <v>11</v>
      </c>
      <c r="I160" t="s">
        <v>1931</v>
      </c>
      <c r="J160" t="str" cm="1">
        <f t="array" ref="J160">_xlfn.IFS(HOUR(I160)&lt;12,"Morning",HOUR(I160)&lt;17,"Afternoon",TRUE,"Evening")</f>
        <v>Afternoon</v>
      </c>
      <c r="K160" t="s">
        <v>28</v>
      </c>
      <c r="L160" t="str">
        <f t="shared" si="6"/>
        <v>No Show</v>
      </c>
      <c r="M160">
        <f t="shared" si="7"/>
        <v>1</v>
      </c>
      <c r="N160" t="str">
        <f t="shared" si="8"/>
        <v>Sunday</v>
      </c>
      <c r="O16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61" spans="1:15" x14ac:dyDescent="0.25">
      <c r="A161">
        <v>5159</v>
      </c>
      <c r="B161">
        <v>1515</v>
      </c>
      <c r="C161">
        <v>1009</v>
      </c>
      <c r="D161" t="s">
        <v>13</v>
      </c>
      <c r="E161" s="1">
        <v>45803</v>
      </c>
      <c r="F161">
        <v>1455</v>
      </c>
      <c r="G161" t="s">
        <v>14</v>
      </c>
      <c r="H161" t="s">
        <v>19</v>
      </c>
      <c r="I161" t="s">
        <v>1908</v>
      </c>
      <c r="J161" t="str" cm="1">
        <f t="array" ref="J161">_xlfn.IFS(HOUR(I161)&lt;12,"Morning",HOUR(I161)&lt;17,"Afternoon",TRUE,"Evening")</f>
        <v>Morning</v>
      </c>
      <c r="K161" t="s">
        <v>12</v>
      </c>
      <c r="L161" t="str">
        <f t="shared" si="6"/>
        <v>Attended</v>
      </c>
      <c r="M161">
        <f t="shared" si="7"/>
        <v>0</v>
      </c>
      <c r="N161" t="str">
        <f t="shared" si="8"/>
        <v>Monday</v>
      </c>
      <c r="O16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2" spans="1:15" x14ac:dyDescent="0.25">
      <c r="A162">
        <v>5160</v>
      </c>
      <c r="B162">
        <v>320</v>
      </c>
      <c r="C162">
        <v>1027</v>
      </c>
      <c r="D162" t="s">
        <v>24</v>
      </c>
      <c r="E162" s="1">
        <v>45544</v>
      </c>
      <c r="F162">
        <v>1957</v>
      </c>
      <c r="G162" t="s">
        <v>10</v>
      </c>
      <c r="H162" t="s">
        <v>15</v>
      </c>
      <c r="I162" t="s">
        <v>1925</v>
      </c>
      <c r="J162" t="str" cm="1">
        <f t="array" ref="J162">_xlfn.IFS(HOUR(I162)&lt;12,"Morning",HOUR(I162)&lt;17,"Afternoon",TRUE,"Evening")</f>
        <v>Afternoon</v>
      </c>
      <c r="K162" t="s">
        <v>12</v>
      </c>
      <c r="L162" t="str">
        <f t="shared" si="6"/>
        <v>Attended</v>
      </c>
      <c r="M162">
        <f t="shared" si="7"/>
        <v>0</v>
      </c>
      <c r="N162" t="str">
        <f t="shared" si="8"/>
        <v>Monday</v>
      </c>
      <c r="O16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3" spans="1:15" x14ac:dyDescent="0.25">
      <c r="A163">
        <v>5161</v>
      </c>
      <c r="B163">
        <v>1155</v>
      </c>
      <c r="C163">
        <v>1027</v>
      </c>
      <c r="D163" t="s">
        <v>27</v>
      </c>
      <c r="E163" s="1">
        <v>45721</v>
      </c>
      <c r="F163">
        <v>1816</v>
      </c>
      <c r="G163" t="s">
        <v>10</v>
      </c>
      <c r="H163" t="s">
        <v>11</v>
      </c>
      <c r="I163" t="s">
        <v>1907</v>
      </c>
      <c r="J163" t="str" cm="1">
        <f t="array" ref="J163">_xlfn.IFS(HOUR(I163)&lt;12,"Morning",HOUR(I163)&lt;17,"Afternoon",TRUE,"Evening")</f>
        <v>Afternoon</v>
      </c>
      <c r="K163" t="s">
        <v>12</v>
      </c>
      <c r="L163" t="str">
        <f t="shared" si="6"/>
        <v>Attended</v>
      </c>
      <c r="M163">
        <f t="shared" si="7"/>
        <v>0</v>
      </c>
      <c r="N163" t="str">
        <f t="shared" si="8"/>
        <v>Wednesday</v>
      </c>
      <c r="O16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4" spans="1:15" x14ac:dyDescent="0.25">
      <c r="A164">
        <v>5162</v>
      </c>
      <c r="B164">
        <v>1586</v>
      </c>
      <c r="C164">
        <v>1024</v>
      </c>
      <c r="D164" t="s">
        <v>16</v>
      </c>
      <c r="E164" s="1">
        <v>45660</v>
      </c>
      <c r="F164">
        <v>1670</v>
      </c>
      <c r="G164" t="s">
        <v>25</v>
      </c>
      <c r="H164" t="s">
        <v>15</v>
      </c>
      <c r="I164" t="s">
        <v>1907</v>
      </c>
      <c r="J164" t="str" cm="1">
        <f t="array" ref="J164">_xlfn.IFS(HOUR(I164)&lt;12,"Morning",HOUR(I164)&lt;17,"Afternoon",TRUE,"Evening")</f>
        <v>Afternoon</v>
      </c>
      <c r="K164" t="s">
        <v>12</v>
      </c>
      <c r="L164" t="str">
        <f t="shared" si="6"/>
        <v>Attended</v>
      </c>
      <c r="M164">
        <f t="shared" si="7"/>
        <v>0</v>
      </c>
      <c r="N164" t="str">
        <f t="shared" si="8"/>
        <v>Friday</v>
      </c>
      <c r="O16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5" spans="1:15" x14ac:dyDescent="0.25">
      <c r="A165">
        <v>5163</v>
      </c>
      <c r="B165">
        <v>475</v>
      </c>
      <c r="C165">
        <v>1027</v>
      </c>
      <c r="D165" t="s">
        <v>21</v>
      </c>
      <c r="E165" s="1">
        <v>45505</v>
      </c>
      <c r="F165">
        <v>2013</v>
      </c>
      <c r="G165" t="s">
        <v>14</v>
      </c>
      <c r="H165" t="s">
        <v>19</v>
      </c>
      <c r="I165" t="s">
        <v>1931</v>
      </c>
      <c r="J165" t="str" cm="1">
        <f t="array" ref="J165">_xlfn.IFS(HOUR(I165)&lt;12,"Morning",HOUR(I165)&lt;17,"Afternoon",TRUE,"Evening")</f>
        <v>Afternoon</v>
      </c>
      <c r="K165" t="s">
        <v>12</v>
      </c>
      <c r="L165" t="str">
        <f t="shared" si="6"/>
        <v>Attended</v>
      </c>
      <c r="M165">
        <f t="shared" si="7"/>
        <v>0</v>
      </c>
      <c r="N165" t="str">
        <f t="shared" si="8"/>
        <v>Thursday</v>
      </c>
      <c r="O16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6" spans="1:15" x14ac:dyDescent="0.25">
      <c r="A166">
        <v>5164</v>
      </c>
      <c r="B166">
        <v>1083</v>
      </c>
      <c r="C166">
        <v>1027</v>
      </c>
      <c r="D166" t="s">
        <v>21</v>
      </c>
      <c r="E166" s="1">
        <v>45713</v>
      </c>
      <c r="F166">
        <v>1308</v>
      </c>
      <c r="G166" t="s">
        <v>17</v>
      </c>
      <c r="H166" t="s">
        <v>19</v>
      </c>
      <c r="I166" t="s">
        <v>1905</v>
      </c>
      <c r="J166" t="str" cm="1">
        <f t="array" ref="J166">_xlfn.IFS(HOUR(I166)&lt;12,"Morning",HOUR(I166)&lt;17,"Afternoon",TRUE,"Evening")</f>
        <v>Morning</v>
      </c>
      <c r="K166" t="s">
        <v>12</v>
      </c>
      <c r="L166" t="str">
        <f t="shared" si="6"/>
        <v>Attended</v>
      </c>
      <c r="M166">
        <f t="shared" si="7"/>
        <v>0</v>
      </c>
      <c r="N166" t="str">
        <f t="shared" si="8"/>
        <v>Tuesday</v>
      </c>
      <c r="O16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7" spans="1:15" x14ac:dyDescent="0.25">
      <c r="A167">
        <v>5165</v>
      </c>
      <c r="B167">
        <v>1185</v>
      </c>
      <c r="C167">
        <v>1027</v>
      </c>
      <c r="D167" t="s">
        <v>22</v>
      </c>
      <c r="E167" s="1">
        <v>45726</v>
      </c>
      <c r="F167">
        <v>1200</v>
      </c>
      <c r="G167" t="s">
        <v>17</v>
      </c>
      <c r="H167" t="s">
        <v>11</v>
      </c>
      <c r="I167" t="s">
        <v>1909</v>
      </c>
      <c r="J167" t="str" cm="1">
        <f t="array" ref="J167">_xlfn.IFS(HOUR(I167)&lt;12,"Morning",HOUR(I167)&lt;17,"Afternoon",TRUE,"Evening")</f>
        <v>Afternoon</v>
      </c>
      <c r="K167" t="s">
        <v>12</v>
      </c>
      <c r="L167" t="str">
        <f t="shared" si="6"/>
        <v>Attended</v>
      </c>
      <c r="M167">
        <f t="shared" si="7"/>
        <v>0</v>
      </c>
      <c r="N167" t="str">
        <f t="shared" si="8"/>
        <v>Monday</v>
      </c>
      <c r="O16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8" spans="1:15" x14ac:dyDescent="0.25">
      <c r="A168">
        <v>5166</v>
      </c>
      <c r="B168">
        <v>1257</v>
      </c>
      <c r="C168">
        <v>1027</v>
      </c>
      <c r="D168" t="s">
        <v>9</v>
      </c>
      <c r="E168" s="1">
        <v>45506</v>
      </c>
      <c r="F168">
        <v>1317</v>
      </c>
      <c r="G168" t="s">
        <v>17</v>
      </c>
      <c r="H168" t="s">
        <v>11</v>
      </c>
      <c r="I168" t="s">
        <v>1935</v>
      </c>
      <c r="J168" t="str" cm="1">
        <f t="array" ref="J168">_xlfn.IFS(HOUR(I168)&lt;12,"Morning",HOUR(I168)&lt;17,"Afternoon",TRUE,"Evening")</f>
        <v>Afternoon</v>
      </c>
      <c r="K168" t="s">
        <v>12</v>
      </c>
      <c r="L168" t="str">
        <f t="shared" si="6"/>
        <v>Attended</v>
      </c>
      <c r="M168">
        <f t="shared" si="7"/>
        <v>0</v>
      </c>
      <c r="N168" t="str">
        <f t="shared" si="8"/>
        <v>Friday</v>
      </c>
      <c r="O16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69" spans="1:15" x14ac:dyDescent="0.25">
      <c r="A169">
        <v>5167</v>
      </c>
      <c r="B169">
        <v>320</v>
      </c>
      <c r="C169">
        <v>1027</v>
      </c>
      <c r="D169" t="s">
        <v>22</v>
      </c>
      <c r="E169" s="1">
        <v>45503</v>
      </c>
      <c r="F169">
        <v>2194</v>
      </c>
      <c r="G169" t="s">
        <v>10</v>
      </c>
      <c r="H169" t="s">
        <v>11</v>
      </c>
      <c r="I169" t="s">
        <v>1927</v>
      </c>
      <c r="J169" t="str" cm="1">
        <f t="array" ref="J169">_xlfn.IFS(HOUR(I169)&lt;12,"Morning",HOUR(I169)&lt;17,"Afternoon",TRUE,"Evening")</f>
        <v>Afternoon</v>
      </c>
      <c r="K169" t="s">
        <v>12</v>
      </c>
      <c r="L169" t="str">
        <f t="shared" si="6"/>
        <v>Attended</v>
      </c>
      <c r="M169">
        <f t="shared" si="7"/>
        <v>0</v>
      </c>
      <c r="N169" t="str">
        <f t="shared" si="8"/>
        <v>Tuesday</v>
      </c>
      <c r="O16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0" spans="1:15" x14ac:dyDescent="0.25">
      <c r="A170">
        <v>5168</v>
      </c>
      <c r="B170">
        <v>1514</v>
      </c>
      <c r="C170">
        <v>1027</v>
      </c>
      <c r="D170" t="s">
        <v>24</v>
      </c>
      <c r="E170" s="1">
        <v>45768</v>
      </c>
      <c r="F170">
        <v>1596</v>
      </c>
      <c r="G170" t="s">
        <v>14</v>
      </c>
      <c r="H170" t="s">
        <v>19</v>
      </c>
      <c r="I170" t="s">
        <v>1910</v>
      </c>
      <c r="J170" t="str" cm="1">
        <f t="array" ref="J170">_xlfn.IFS(HOUR(I170)&lt;12,"Morning",HOUR(I170)&lt;17,"Afternoon",TRUE,"Evening")</f>
        <v>Evening</v>
      </c>
      <c r="K170" t="s">
        <v>12</v>
      </c>
      <c r="L170" t="str">
        <f t="shared" si="6"/>
        <v>Attended</v>
      </c>
      <c r="M170">
        <f t="shared" si="7"/>
        <v>0</v>
      </c>
      <c r="N170" t="str">
        <f t="shared" si="8"/>
        <v>Monday</v>
      </c>
      <c r="O17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1" spans="1:15" x14ac:dyDescent="0.25">
      <c r="A171">
        <v>5169</v>
      </c>
      <c r="B171">
        <v>113</v>
      </c>
      <c r="C171">
        <v>1027</v>
      </c>
      <c r="D171" t="s">
        <v>24</v>
      </c>
      <c r="E171" s="1">
        <v>45630</v>
      </c>
      <c r="F171">
        <v>1241</v>
      </c>
      <c r="G171" t="s">
        <v>17</v>
      </c>
      <c r="H171" t="s">
        <v>15</v>
      </c>
      <c r="I171" t="s">
        <v>1918</v>
      </c>
      <c r="J171" t="str" cm="1">
        <f t="array" ref="J171">_xlfn.IFS(HOUR(I171)&lt;12,"Morning",HOUR(I171)&lt;17,"Afternoon",TRUE,"Evening")</f>
        <v>Evening</v>
      </c>
      <c r="K171" t="s">
        <v>12</v>
      </c>
      <c r="L171" t="str">
        <f t="shared" si="6"/>
        <v>Attended</v>
      </c>
      <c r="M171">
        <f t="shared" si="7"/>
        <v>0</v>
      </c>
      <c r="N171" t="str">
        <f t="shared" si="8"/>
        <v>Wednesday</v>
      </c>
      <c r="O17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2" spans="1:15" x14ac:dyDescent="0.25">
      <c r="A172">
        <v>5170</v>
      </c>
      <c r="B172">
        <v>1206</v>
      </c>
      <c r="C172">
        <v>1027</v>
      </c>
      <c r="D172" t="s">
        <v>27</v>
      </c>
      <c r="E172" s="1">
        <v>45567</v>
      </c>
      <c r="F172">
        <v>1994</v>
      </c>
      <c r="G172" t="s">
        <v>17</v>
      </c>
      <c r="H172" t="s">
        <v>15</v>
      </c>
      <c r="I172" t="s">
        <v>1940</v>
      </c>
      <c r="J172" t="str" cm="1">
        <f t="array" ref="J172">_xlfn.IFS(HOUR(I172)&lt;12,"Morning",HOUR(I172)&lt;17,"Afternoon",TRUE,"Evening")</f>
        <v>Morning</v>
      </c>
      <c r="K172" t="s">
        <v>12</v>
      </c>
      <c r="L172" t="str">
        <f t="shared" si="6"/>
        <v>Attended</v>
      </c>
      <c r="M172">
        <f t="shared" si="7"/>
        <v>0</v>
      </c>
      <c r="N172" t="str">
        <f t="shared" si="8"/>
        <v>Wednesday</v>
      </c>
      <c r="O1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3" spans="1:15" x14ac:dyDescent="0.25">
      <c r="A173">
        <v>5171</v>
      </c>
      <c r="B173">
        <v>881</v>
      </c>
      <c r="C173">
        <v>1020</v>
      </c>
      <c r="D173" t="s">
        <v>26</v>
      </c>
      <c r="E173" s="1">
        <v>45706</v>
      </c>
      <c r="F173">
        <v>1869</v>
      </c>
      <c r="G173" t="s">
        <v>14</v>
      </c>
      <c r="H173" t="s">
        <v>15</v>
      </c>
      <c r="I173" t="s">
        <v>1939</v>
      </c>
      <c r="J173" t="str" cm="1">
        <f t="array" ref="J173">_xlfn.IFS(HOUR(I173)&lt;12,"Morning",HOUR(I173)&lt;17,"Afternoon",TRUE,"Evening")</f>
        <v>Afternoon</v>
      </c>
      <c r="K173" t="s">
        <v>12</v>
      </c>
      <c r="L173" t="str">
        <f t="shared" si="6"/>
        <v>Attended</v>
      </c>
      <c r="M173">
        <f t="shared" si="7"/>
        <v>0</v>
      </c>
      <c r="N173" t="str">
        <f t="shared" si="8"/>
        <v>Tuesday</v>
      </c>
      <c r="O17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4" spans="1:15" x14ac:dyDescent="0.25">
      <c r="A174">
        <v>5172</v>
      </c>
      <c r="B174">
        <v>443</v>
      </c>
      <c r="C174">
        <v>1024</v>
      </c>
      <c r="D174" t="s">
        <v>16</v>
      </c>
      <c r="E174" s="1">
        <v>45630</v>
      </c>
      <c r="F174">
        <v>845</v>
      </c>
      <c r="G174" t="s">
        <v>25</v>
      </c>
      <c r="H174" t="s">
        <v>11</v>
      </c>
      <c r="I174" t="s">
        <v>1940</v>
      </c>
      <c r="J174" t="str" cm="1">
        <f t="array" ref="J174">_xlfn.IFS(HOUR(I174)&lt;12,"Morning",HOUR(I174)&lt;17,"Afternoon",TRUE,"Evening")</f>
        <v>Morning</v>
      </c>
      <c r="K174" t="s">
        <v>12</v>
      </c>
      <c r="L174" t="str">
        <f t="shared" si="6"/>
        <v>Attended</v>
      </c>
      <c r="M174">
        <f t="shared" si="7"/>
        <v>0</v>
      </c>
      <c r="N174" t="str">
        <f t="shared" si="8"/>
        <v>Wednesday</v>
      </c>
      <c r="O1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5" spans="1:15" x14ac:dyDescent="0.25">
      <c r="A175">
        <v>5173</v>
      </c>
      <c r="B175">
        <v>271</v>
      </c>
      <c r="C175">
        <v>1009</v>
      </c>
      <c r="D175" t="s">
        <v>13</v>
      </c>
      <c r="E175" s="1">
        <v>45731</v>
      </c>
      <c r="F175">
        <v>2252</v>
      </c>
      <c r="G175" t="s">
        <v>17</v>
      </c>
      <c r="H175" t="s">
        <v>15</v>
      </c>
      <c r="I175" t="s">
        <v>1905</v>
      </c>
      <c r="J175" t="str" cm="1">
        <f t="array" ref="J175">_xlfn.IFS(HOUR(I175)&lt;12,"Morning",HOUR(I175)&lt;17,"Afternoon",TRUE,"Evening")</f>
        <v>Morning</v>
      </c>
      <c r="K175" t="s">
        <v>12</v>
      </c>
      <c r="L175" t="str">
        <f t="shared" si="6"/>
        <v>Attended</v>
      </c>
      <c r="M175">
        <f t="shared" si="7"/>
        <v>0</v>
      </c>
      <c r="N175" t="str">
        <f t="shared" si="8"/>
        <v>Saturday</v>
      </c>
      <c r="O17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76" spans="1:15" x14ac:dyDescent="0.25">
      <c r="A176">
        <v>5174</v>
      </c>
      <c r="B176">
        <v>952</v>
      </c>
      <c r="C176">
        <v>1024</v>
      </c>
      <c r="D176" t="s">
        <v>16</v>
      </c>
      <c r="E176" s="1">
        <v>45588</v>
      </c>
      <c r="F176">
        <v>2027</v>
      </c>
      <c r="G176" t="s">
        <v>14</v>
      </c>
      <c r="H176" t="s">
        <v>19</v>
      </c>
      <c r="I176" t="s">
        <v>1919</v>
      </c>
      <c r="J176" t="str" cm="1">
        <f t="array" ref="J176">_xlfn.IFS(HOUR(I176)&lt;12,"Morning",HOUR(I176)&lt;17,"Afternoon",TRUE,"Evening")</f>
        <v>Evening</v>
      </c>
      <c r="K176" t="s">
        <v>12</v>
      </c>
      <c r="L176" t="str">
        <f t="shared" si="6"/>
        <v>Attended</v>
      </c>
      <c r="M176">
        <f t="shared" si="7"/>
        <v>0</v>
      </c>
      <c r="N176" t="str">
        <f t="shared" si="8"/>
        <v>Wednesday</v>
      </c>
      <c r="O17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7" spans="1:15" x14ac:dyDescent="0.25">
      <c r="A177">
        <v>5175</v>
      </c>
      <c r="B177">
        <v>403</v>
      </c>
      <c r="C177">
        <v>1008</v>
      </c>
      <c r="D177" t="s">
        <v>13</v>
      </c>
      <c r="E177" s="1">
        <v>45607</v>
      </c>
      <c r="F177">
        <v>1935</v>
      </c>
      <c r="G177" t="s">
        <v>14</v>
      </c>
      <c r="H177" t="s">
        <v>19</v>
      </c>
      <c r="I177" t="s">
        <v>1915</v>
      </c>
      <c r="J177" t="str" cm="1">
        <f t="array" ref="J177">_xlfn.IFS(HOUR(I177)&lt;12,"Morning",HOUR(I177)&lt;17,"Afternoon",TRUE,"Evening")</f>
        <v>Afternoon</v>
      </c>
      <c r="K177" t="s">
        <v>12</v>
      </c>
      <c r="L177" t="str">
        <f t="shared" si="6"/>
        <v>Attended</v>
      </c>
      <c r="M177">
        <f t="shared" si="7"/>
        <v>0</v>
      </c>
      <c r="N177" t="str">
        <f t="shared" si="8"/>
        <v>Monday</v>
      </c>
      <c r="O17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8" spans="1:15" x14ac:dyDescent="0.25">
      <c r="A178">
        <v>5176</v>
      </c>
      <c r="B178">
        <v>627</v>
      </c>
      <c r="C178">
        <v>1020</v>
      </c>
      <c r="D178" t="s">
        <v>26</v>
      </c>
      <c r="E178" s="1">
        <v>45587</v>
      </c>
      <c r="F178">
        <v>2218</v>
      </c>
      <c r="G178" t="s">
        <v>10</v>
      </c>
      <c r="H178" t="s">
        <v>19</v>
      </c>
      <c r="I178" t="s">
        <v>1927</v>
      </c>
      <c r="J178" t="str" cm="1">
        <f t="array" ref="J178">_xlfn.IFS(HOUR(I178)&lt;12,"Morning",HOUR(I178)&lt;17,"Afternoon",TRUE,"Evening")</f>
        <v>Afternoon</v>
      </c>
      <c r="K178" t="s">
        <v>12</v>
      </c>
      <c r="L178" t="str">
        <f t="shared" si="6"/>
        <v>Attended</v>
      </c>
      <c r="M178">
        <f t="shared" si="7"/>
        <v>0</v>
      </c>
      <c r="N178" t="str">
        <f t="shared" si="8"/>
        <v>Tuesday</v>
      </c>
      <c r="O17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79" spans="1:15" x14ac:dyDescent="0.25">
      <c r="A179">
        <v>5177</v>
      </c>
      <c r="B179">
        <v>1507</v>
      </c>
      <c r="C179">
        <v>1020</v>
      </c>
      <c r="D179" t="s">
        <v>26</v>
      </c>
      <c r="E179" s="1">
        <v>45802</v>
      </c>
      <c r="F179">
        <v>2306</v>
      </c>
      <c r="G179" t="s">
        <v>25</v>
      </c>
      <c r="H179" t="s">
        <v>15</v>
      </c>
      <c r="I179" t="s">
        <v>1920</v>
      </c>
      <c r="J179" t="str" cm="1">
        <f t="array" ref="J179">_xlfn.IFS(HOUR(I179)&lt;12,"Morning",HOUR(I179)&lt;17,"Afternoon",TRUE,"Evening")</f>
        <v>Morning</v>
      </c>
      <c r="K179" t="s">
        <v>12</v>
      </c>
      <c r="L179" t="str">
        <f t="shared" si="6"/>
        <v>Attended</v>
      </c>
      <c r="M179">
        <f t="shared" si="7"/>
        <v>0</v>
      </c>
      <c r="N179" t="str">
        <f t="shared" si="8"/>
        <v>Sunday</v>
      </c>
      <c r="O17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80" spans="1:15" x14ac:dyDescent="0.25">
      <c r="A180">
        <v>5178</v>
      </c>
      <c r="B180">
        <v>527</v>
      </c>
      <c r="C180">
        <v>1027</v>
      </c>
      <c r="D180" t="s">
        <v>24</v>
      </c>
      <c r="E180" s="1">
        <v>45598</v>
      </c>
      <c r="F180">
        <v>1617</v>
      </c>
      <c r="G180" t="s">
        <v>25</v>
      </c>
      <c r="H180" t="s">
        <v>11</v>
      </c>
      <c r="I180" t="s">
        <v>1909</v>
      </c>
      <c r="J180" t="str" cm="1">
        <f t="array" ref="J180">_xlfn.IFS(HOUR(I180)&lt;12,"Morning",HOUR(I180)&lt;17,"Afternoon",TRUE,"Evening")</f>
        <v>Afternoon</v>
      </c>
      <c r="K180" t="s">
        <v>12</v>
      </c>
      <c r="L180" t="str">
        <f t="shared" si="6"/>
        <v>Attended</v>
      </c>
      <c r="M180">
        <f t="shared" si="7"/>
        <v>0</v>
      </c>
      <c r="N180" t="str">
        <f t="shared" si="8"/>
        <v>Saturday</v>
      </c>
      <c r="O18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81" spans="1:15" x14ac:dyDescent="0.25">
      <c r="A181">
        <v>5179</v>
      </c>
      <c r="B181">
        <v>1582</v>
      </c>
      <c r="C181">
        <v>1020</v>
      </c>
      <c r="D181" t="s">
        <v>26</v>
      </c>
      <c r="E181" s="1">
        <v>45583</v>
      </c>
      <c r="F181">
        <v>2417</v>
      </c>
      <c r="G181" t="s">
        <v>17</v>
      </c>
      <c r="H181" t="s">
        <v>19</v>
      </c>
      <c r="I181" t="s">
        <v>1927</v>
      </c>
      <c r="J181" t="str" cm="1">
        <f t="array" ref="J181">_xlfn.IFS(HOUR(I181)&lt;12,"Morning",HOUR(I181)&lt;17,"Afternoon",TRUE,"Evening")</f>
        <v>Afternoon</v>
      </c>
      <c r="K181" t="s">
        <v>12</v>
      </c>
      <c r="L181" t="str">
        <f t="shared" si="6"/>
        <v>Attended</v>
      </c>
      <c r="M181">
        <f t="shared" si="7"/>
        <v>0</v>
      </c>
      <c r="N181" t="str">
        <f t="shared" si="8"/>
        <v>Friday</v>
      </c>
      <c r="O1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82" spans="1:15" x14ac:dyDescent="0.25">
      <c r="A182">
        <v>5180</v>
      </c>
      <c r="B182">
        <v>387</v>
      </c>
      <c r="C182">
        <v>1003</v>
      </c>
      <c r="D182" t="s">
        <v>18</v>
      </c>
      <c r="E182" s="1">
        <v>45798</v>
      </c>
      <c r="F182">
        <v>943</v>
      </c>
      <c r="G182" t="s">
        <v>25</v>
      </c>
      <c r="H182" t="s">
        <v>15</v>
      </c>
      <c r="I182" t="s">
        <v>1925</v>
      </c>
      <c r="J182" t="str" cm="1">
        <f t="array" ref="J182">_xlfn.IFS(HOUR(I182)&lt;12,"Morning",HOUR(I182)&lt;17,"Afternoon",TRUE,"Evening")</f>
        <v>Afternoon</v>
      </c>
      <c r="K182" t="s">
        <v>28</v>
      </c>
      <c r="L182" t="str">
        <f t="shared" si="6"/>
        <v>No Show</v>
      </c>
      <c r="M182">
        <f t="shared" si="7"/>
        <v>1</v>
      </c>
      <c r="N182" t="str">
        <f t="shared" si="8"/>
        <v>Wednesday</v>
      </c>
      <c r="O1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83" spans="1:15" x14ac:dyDescent="0.25">
      <c r="A183">
        <v>5181</v>
      </c>
      <c r="B183">
        <v>436</v>
      </c>
      <c r="C183">
        <v>1027</v>
      </c>
      <c r="D183" t="s">
        <v>24</v>
      </c>
      <c r="E183" s="1">
        <v>45554</v>
      </c>
      <c r="F183">
        <v>1331</v>
      </c>
      <c r="G183" t="s">
        <v>17</v>
      </c>
      <c r="H183" t="s">
        <v>11</v>
      </c>
      <c r="I183" t="s">
        <v>1906</v>
      </c>
      <c r="J183" t="str" cm="1">
        <f t="array" ref="J183">_xlfn.IFS(HOUR(I183)&lt;12,"Morning",HOUR(I183)&lt;17,"Afternoon",TRUE,"Evening")</f>
        <v>Afternoon</v>
      </c>
      <c r="K183" t="s">
        <v>12</v>
      </c>
      <c r="L183" t="str">
        <f t="shared" si="6"/>
        <v>Attended</v>
      </c>
      <c r="M183">
        <f t="shared" si="7"/>
        <v>0</v>
      </c>
      <c r="N183" t="str">
        <f t="shared" si="8"/>
        <v>Thursday</v>
      </c>
      <c r="O18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84" spans="1:15" x14ac:dyDescent="0.25">
      <c r="A184">
        <v>5182</v>
      </c>
      <c r="B184">
        <v>362</v>
      </c>
      <c r="C184">
        <v>1004</v>
      </c>
      <c r="D184" t="s">
        <v>18</v>
      </c>
      <c r="E184" s="1">
        <v>45597</v>
      </c>
      <c r="F184">
        <v>807</v>
      </c>
      <c r="G184" t="s">
        <v>17</v>
      </c>
      <c r="H184" t="s">
        <v>15</v>
      </c>
      <c r="I184" t="s">
        <v>1921</v>
      </c>
      <c r="J184" t="str" cm="1">
        <f t="array" ref="J184">_xlfn.IFS(HOUR(I184)&lt;12,"Morning",HOUR(I184)&lt;17,"Afternoon",TRUE,"Evening")</f>
        <v>Afternoon</v>
      </c>
      <c r="K184" t="s">
        <v>12</v>
      </c>
      <c r="L184" t="str">
        <f t="shared" si="6"/>
        <v>Attended</v>
      </c>
      <c r="M184">
        <f t="shared" si="7"/>
        <v>0</v>
      </c>
      <c r="N184" t="str">
        <f t="shared" si="8"/>
        <v>Friday</v>
      </c>
      <c r="O18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85" spans="1:15" x14ac:dyDescent="0.25">
      <c r="A185">
        <v>5183</v>
      </c>
      <c r="B185">
        <v>738</v>
      </c>
      <c r="C185">
        <v>1027</v>
      </c>
      <c r="D185" t="s">
        <v>9</v>
      </c>
      <c r="E185" s="1">
        <v>45692</v>
      </c>
      <c r="F185">
        <v>2453</v>
      </c>
      <c r="G185" t="s">
        <v>10</v>
      </c>
      <c r="H185" t="s">
        <v>11</v>
      </c>
      <c r="I185" t="s">
        <v>1933</v>
      </c>
      <c r="J185" t="str" cm="1">
        <f t="array" ref="J185">_xlfn.IFS(HOUR(I185)&lt;12,"Morning",HOUR(I185)&lt;17,"Afternoon",TRUE,"Evening")</f>
        <v>Evening</v>
      </c>
      <c r="K185" t="s">
        <v>12</v>
      </c>
      <c r="L185" t="str">
        <f t="shared" si="6"/>
        <v>Attended</v>
      </c>
      <c r="M185">
        <f t="shared" si="7"/>
        <v>0</v>
      </c>
      <c r="N185" t="str">
        <f t="shared" si="8"/>
        <v>Tuesday</v>
      </c>
      <c r="O18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86" spans="1:15" x14ac:dyDescent="0.25">
      <c r="A186">
        <v>5184</v>
      </c>
      <c r="B186">
        <v>1060</v>
      </c>
      <c r="C186">
        <v>1027</v>
      </c>
      <c r="D186" t="s">
        <v>24</v>
      </c>
      <c r="E186" s="1">
        <v>45773</v>
      </c>
      <c r="F186">
        <v>2054</v>
      </c>
      <c r="G186" t="s">
        <v>25</v>
      </c>
      <c r="H186" t="s">
        <v>19</v>
      </c>
      <c r="I186" t="s">
        <v>1935</v>
      </c>
      <c r="J186" t="str" cm="1">
        <f t="array" ref="J186">_xlfn.IFS(HOUR(I186)&lt;12,"Morning",HOUR(I186)&lt;17,"Afternoon",TRUE,"Evening")</f>
        <v>Afternoon</v>
      </c>
      <c r="K186" t="s">
        <v>12</v>
      </c>
      <c r="L186" t="str">
        <f t="shared" si="6"/>
        <v>Attended</v>
      </c>
      <c r="M186">
        <f t="shared" si="7"/>
        <v>0</v>
      </c>
      <c r="N186" t="str">
        <f t="shared" si="8"/>
        <v>Saturday</v>
      </c>
      <c r="O18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87" spans="1:15" x14ac:dyDescent="0.25">
      <c r="A187">
        <v>5185</v>
      </c>
      <c r="B187">
        <v>1597</v>
      </c>
      <c r="C187">
        <v>1002</v>
      </c>
      <c r="D187" t="s">
        <v>18</v>
      </c>
      <c r="E187" s="1">
        <v>45789</v>
      </c>
      <c r="F187">
        <v>2341</v>
      </c>
      <c r="G187" t="s">
        <v>25</v>
      </c>
      <c r="H187" t="s">
        <v>19</v>
      </c>
      <c r="I187" t="s">
        <v>1939</v>
      </c>
      <c r="J187" t="str" cm="1">
        <f t="array" ref="J187">_xlfn.IFS(HOUR(I187)&lt;12,"Morning",HOUR(I187)&lt;17,"Afternoon",TRUE,"Evening")</f>
        <v>Afternoon</v>
      </c>
      <c r="K187" t="s">
        <v>12</v>
      </c>
      <c r="L187" t="str">
        <f t="shared" si="6"/>
        <v>Attended</v>
      </c>
      <c r="M187">
        <f t="shared" si="7"/>
        <v>0</v>
      </c>
      <c r="N187" t="str">
        <f t="shared" si="8"/>
        <v>Monday</v>
      </c>
      <c r="O18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88" spans="1:15" x14ac:dyDescent="0.25">
      <c r="A188">
        <v>5186</v>
      </c>
      <c r="B188">
        <v>680</v>
      </c>
      <c r="C188">
        <v>1024</v>
      </c>
      <c r="D188" t="s">
        <v>16</v>
      </c>
      <c r="E188" s="1">
        <v>45644</v>
      </c>
      <c r="F188">
        <v>944</v>
      </c>
      <c r="G188" t="s">
        <v>10</v>
      </c>
      <c r="H188" t="s">
        <v>15</v>
      </c>
      <c r="I188" t="s">
        <v>1912</v>
      </c>
      <c r="J188" t="str" cm="1">
        <f t="array" ref="J188">_xlfn.IFS(HOUR(I188)&lt;12,"Morning",HOUR(I188)&lt;17,"Afternoon",TRUE,"Evening")</f>
        <v>Morning</v>
      </c>
      <c r="K188" t="s">
        <v>12</v>
      </c>
      <c r="L188" t="str">
        <f t="shared" si="6"/>
        <v>Attended</v>
      </c>
      <c r="M188">
        <f t="shared" si="7"/>
        <v>0</v>
      </c>
      <c r="N188" t="str">
        <f t="shared" si="8"/>
        <v>Wednesday</v>
      </c>
      <c r="O18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89" spans="1:15" x14ac:dyDescent="0.25">
      <c r="A189">
        <v>5187</v>
      </c>
      <c r="B189">
        <v>528</v>
      </c>
      <c r="C189">
        <v>1020</v>
      </c>
      <c r="D189" t="s">
        <v>26</v>
      </c>
      <c r="E189" s="1">
        <v>45639</v>
      </c>
      <c r="F189">
        <v>2492</v>
      </c>
      <c r="G189" t="s">
        <v>14</v>
      </c>
      <c r="H189" t="s">
        <v>15</v>
      </c>
      <c r="I189" t="s">
        <v>1931</v>
      </c>
      <c r="J189" t="str" cm="1">
        <f t="array" ref="J189">_xlfn.IFS(HOUR(I189)&lt;12,"Morning",HOUR(I189)&lt;17,"Afternoon",TRUE,"Evening")</f>
        <v>Afternoon</v>
      </c>
      <c r="K189" t="s">
        <v>12</v>
      </c>
      <c r="L189" t="str">
        <f t="shared" si="6"/>
        <v>Attended</v>
      </c>
      <c r="M189">
        <f t="shared" si="7"/>
        <v>0</v>
      </c>
      <c r="N189" t="str">
        <f t="shared" si="8"/>
        <v>Friday</v>
      </c>
      <c r="O18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90" spans="1:15" x14ac:dyDescent="0.25">
      <c r="A190">
        <v>5188</v>
      </c>
      <c r="B190">
        <v>1167</v>
      </c>
      <c r="C190">
        <v>1027</v>
      </c>
      <c r="D190" t="s">
        <v>9</v>
      </c>
      <c r="E190" s="1">
        <v>45791</v>
      </c>
      <c r="F190">
        <v>1486</v>
      </c>
      <c r="G190" t="s">
        <v>17</v>
      </c>
      <c r="H190" t="s">
        <v>19</v>
      </c>
      <c r="I190" t="s">
        <v>1933</v>
      </c>
      <c r="J190" t="str" cm="1">
        <f t="array" ref="J190">_xlfn.IFS(HOUR(I190)&lt;12,"Morning",HOUR(I190)&lt;17,"Afternoon",TRUE,"Evening")</f>
        <v>Evening</v>
      </c>
      <c r="K190" t="s">
        <v>20</v>
      </c>
      <c r="L190" t="str">
        <f t="shared" si="6"/>
        <v>No Show</v>
      </c>
      <c r="M190">
        <f t="shared" si="7"/>
        <v>1</v>
      </c>
      <c r="N190" t="str">
        <f t="shared" si="8"/>
        <v>Wednesday</v>
      </c>
      <c r="O19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91" spans="1:15" x14ac:dyDescent="0.25">
      <c r="A191">
        <v>5189</v>
      </c>
      <c r="B191">
        <v>414</v>
      </c>
      <c r="C191">
        <v>1027</v>
      </c>
      <c r="D191" t="s">
        <v>24</v>
      </c>
      <c r="E191" s="1">
        <v>45644</v>
      </c>
      <c r="F191">
        <v>1568</v>
      </c>
      <c r="G191" t="s">
        <v>25</v>
      </c>
      <c r="H191" t="s">
        <v>11</v>
      </c>
      <c r="I191" t="s">
        <v>1941</v>
      </c>
      <c r="J191" t="str" cm="1">
        <f t="array" ref="J191">_xlfn.IFS(HOUR(I191)&lt;12,"Morning",HOUR(I191)&lt;17,"Afternoon",TRUE,"Evening")</f>
        <v>Morning</v>
      </c>
      <c r="K191" t="s">
        <v>12</v>
      </c>
      <c r="L191" t="str">
        <f t="shared" si="6"/>
        <v>Attended</v>
      </c>
      <c r="M191">
        <f t="shared" si="7"/>
        <v>0</v>
      </c>
      <c r="N191" t="str">
        <f t="shared" si="8"/>
        <v>Wednesday</v>
      </c>
      <c r="O19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92" spans="1:15" x14ac:dyDescent="0.25">
      <c r="A192">
        <v>5190</v>
      </c>
      <c r="B192">
        <v>852</v>
      </c>
      <c r="C192">
        <v>1002</v>
      </c>
      <c r="D192" t="s">
        <v>18</v>
      </c>
      <c r="E192" s="1">
        <v>45631</v>
      </c>
      <c r="F192">
        <v>1896</v>
      </c>
      <c r="G192" t="s">
        <v>25</v>
      </c>
      <c r="H192" t="s">
        <v>15</v>
      </c>
      <c r="I192" t="s">
        <v>1909</v>
      </c>
      <c r="J192" t="str" cm="1">
        <f t="array" ref="J192">_xlfn.IFS(HOUR(I192)&lt;12,"Morning",HOUR(I192)&lt;17,"Afternoon",TRUE,"Evening")</f>
        <v>Afternoon</v>
      </c>
      <c r="K192" t="s">
        <v>12</v>
      </c>
      <c r="L192" t="str">
        <f t="shared" si="6"/>
        <v>Attended</v>
      </c>
      <c r="M192">
        <f t="shared" si="7"/>
        <v>0</v>
      </c>
      <c r="N192" t="str">
        <f t="shared" si="8"/>
        <v>Thursday</v>
      </c>
      <c r="O19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93" spans="1:15" x14ac:dyDescent="0.25">
      <c r="A193">
        <v>5191</v>
      </c>
      <c r="B193">
        <v>822</v>
      </c>
      <c r="C193">
        <v>1027</v>
      </c>
      <c r="D193" t="s">
        <v>21</v>
      </c>
      <c r="E193" s="1">
        <v>45778</v>
      </c>
      <c r="F193">
        <v>1767</v>
      </c>
      <c r="G193" t="s">
        <v>10</v>
      </c>
      <c r="H193" t="s">
        <v>15</v>
      </c>
      <c r="I193" t="s">
        <v>1930</v>
      </c>
      <c r="J193" t="str" cm="1">
        <f t="array" ref="J193">_xlfn.IFS(HOUR(I193)&lt;12,"Morning",HOUR(I193)&lt;17,"Afternoon",TRUE,"Evening")</f>
        <v>Morning</v>
      </c>
      <c r="K193" t="s">
        <v>12</v>
      </c>
      <c r="L193" t="str">
        <f t="shared" si="6"/>
        <v>Attended</v>
      </c>
      <c r="M193">
        <f t="shared" si="7"/>
        <v>0</v>
      </c>
      <c r="N193" t="str">
        <f t="shared" si="8"/>
        <v>Thursday</v>
      </c>
      <c r="O1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94" spans="1:15" x14ac:dyDescent="0.25">
      <c r="A194">
        <v>5192</v>
      </c>
      <c r="B194">
        <v>1550</v>
      </c>
      <c r="C194">
        <v>1009</v>
      </c>
      <c r="D194" t="s">
        <v>13</v>
      </c>
      <c r="E194" s="1">
        <v>45504</v>
      </c>
      <c r="F194">
        <v>2031</v>
      </c>
      <c r="G194" t="s">
        <v>14</v>
      </c>
      <c r="H194" t="s">
        <v>19</v>
      </c>
      <c r="I194" t="s">
        <v>1920</v>
      </c>
      <c r="J194" t="str" cm="1">
        <f t="array" ref="J194">_xlfn.IFS(HOUR(I194)&lt;12,"Morning",HOUR(I194)&lt;17,"Afternoon",TRUE,"Evening")</f>
        <v>Morning</v>
      </c>
      <c r="K194" t="s">
        <v>12</v>
      </c>
      <c r="L194" t="str">
        <f t="shared" si="6"/>
        <v>Attended</v>
      </c>
      <c r="M194">
        <f t="shared" si="7"/>
        <v>0</v>
      </c>
      <c r="N194" t="str">
        <f t="shared" si="8"/>
        <v>Wednesday</v>
      </c>
      <c r="O19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95" spans="1:15" x14ac:dyDescent="0.25">
      <c r="A195">
        <v>5193</v>
      </c>
      <c r="B195">
        <v>1454</v>
      </c>
      <c r="C195">
        <v>1001</v>
      </c>
      <c r="D195" t="s">
        <v>22</v>
      </c>
      <c r="E195" s="1">
        <v>45704</v>
      </c>
      <c r="F195">
        <v>1364</v>
      </c>
      <c r="G195" t="s">
        <v>14</v>
      </c>
      <c r="H195" t="s">
        <v>15</v>
      </c>
      <c r="I195" t="s">
        <v>1914</v>
      </c>
      <c r="J195" t="str" cm="1">
        <f t="array" ref="J195">_xlfn.IFS(HOUR(I195)&lt;12,"Morning",HOUR(I195)&lt;17,"Afternoon",TRUE,"Evening")</f>
        <v>Afternoon</v>
      </c>
      <c r="K195" t="s">
        <v>28</v>
      </c>
      <c r="L195" t="str">
        <f t="shared" ref="L195:L258" si="9">IF(K195="completed","Attended","No Show")</f>
        <v>No Show</v>
      </c>
      <c r="M195">
        <f t="shared" ref="M195:M258" si="10">IF(L195="No Show",1,0)</f>
        <v>1</v>
      </c>
      <c r="N195" t="str">
        <f t="shared" ref="N195:N258" si="11">TEXT(E195,"dddd")</f>
        <v>Sunday</v>
      </c>
      <c r="O19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96" spans="1:15" x14ac:dyDescent="0.25">
      <c r="A196">
        <v>5194</v>
      </c>
      <c r="B196">
        <v>1465</v>
      </c>
      <c r="C196">
        <v>1027</v>
      </c>
      <c r="D196" t="s">
        <v>9</v>
      </c>
      <c r="E196" s="1">
        <v>45661</v>
      </c>
      <c r="F196">
        <v>1464</v>
      </c>
      <c r="G196" t="s">
        <v>17</v>
      </c>
      <c r="H196" t="s">
        <v>11</v>
      </c>
      <c r="I196" t="s">
        <v>1906</v>
      </c>
      <c r="J196" t="str" cm="1">
        <f t="array" ref="J196">_xlfn.IFS(HOUR(I196)&lt;12,"Morning",HOUR(I196)&lt;17,"Afternoon",TRUE,"Evening")</f>
        <v>Afternoon</v>
      </c>
      <c r="K196" t="s">
        <v>12</v>
      </c>
      <c r="L196" t="str">
        <f t="shared" si="9"/>
        <v>Attended</v>
      </c>
      <c r="M196">
        <f t="shared" si="10"/>
        <v>0</v>
      </c>
      <c r="N196" t="str">
        <f t="shared" si="11"/>
        <v>Saturday</v>
      </c>
      <c r="O19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97" spans="1:15" x14ac:dyDescent="0.25">
      <c r="A197">
        <v>5195</v>
      </c>
      <c r="B197">
        <v>932</v>
      </c>
      <c r="C197">
        <v>1024</v>
      </c>
      <c r="D197" t="s">
        <v>16</v>
      </c>
      <c r="E197" s="1">
        <v>45492</v>
      </c>
      <c r="F197">
        <v>2375</v>
      </c>
      <c r="G197" t="s">
        <v>14</v>
      </c>
      <c r="H197" t="s">
        <v>19</v>
      </c>
      <c r="I197" t="s">
        <v>1931</v>
      </c>
      <c r="J197" t="str" cm="1">
        <f t="array" ref="J197">_xlfn.IFS(HOUR(I197)&lt;12,"Morning",HOUR(I197)&lt;17,"Afternoon",TRUE,"Evening")</f>
        <v>Afternoon</v>
      </c>
      <c r="K197" t="s">
        <v>12</v>
      </c>
      <c r="L197" t="str">
        <f t="shared" si="9"/>
        <v>Attended</v>
      </c>
      <c r="M197">
        <f t="shared" si="10"/>
        <v>0</v>
      </c>
      <c r="N197" t="str">
        <f t="shared" si="11"/>
        <v>Friday</v>
      </c>
      <c r="O19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98" spans="1:15" x14ac:dyDescent="0.25">
      <c r="A198">
        <v>5196</v>
      </c>
      <c r="B198">
        <v>703</v>
      </c>
      <c r="C198">
        <v>1027</v>
      </c>
      <c r="D198" t="s">
        <v>24</v>
      </c>
      <c r="E198" s="1">
        <v>45823</v>
      </c>
      <c r="F198">
        <v>873</v>
      </c>
      <c r="G198" t="s">
        <v>14</v>
      </c>
      <c r="H198" t="s">
        <v>11</v>
      </c>
      <c r="I198" t="s">
        <v>1921</v>
      </c>
      <c r="J198" t="str" cm="1">
        <f t="array" ref="J198">_xlfn.IFS(HOUR(I198)&lt;12,"Morning",HOUR(I198)&lt;17,"Afternoon",TRUE,"Evening")</f>
        <v>Afternoon</v>
      </c>
      <c r="K198" t="s">
        <v>23</v>
      </c>
      <c r="L198" t="str">
        <f t="shared" si="9"/>
        <v>No Show</v>
      </c>
      <c r="M198">
        <f t="shared" si="10"/>
        <v>1</v>
      </c>
      <c r="N198" t="str">
        <f t="shared" si="11"/>
        <v>Sunday</v>
      </c>
      <c r="O19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99" spans="1:15" x14ac:dyDescent="0.25">
      <c r="A199">
        <v>5197</v>
      </c>
      <c r="B199">
        <v>442</v>
      </c>
      <c r="C199">
        <v>1008</v>
      </c>
      <c r="D199" t="s">
        <v>13</v>
      </c>
      <c r="E199" s="1">
        <v>45494</v>
      </c>
      <c r="F199">
        <v>1126</v>
      </c>
      <c r="G199" t="s">
        <v>14</v>
      </c>
      <c r="H199" t="s">
        <v>15</v>
      </c>
      <c r="I199" t="s">
        <v>1925</v>
      </c>
      <c r="J199" t="str" cm="1">
        <f t="array" ref="J199">_xlfn.IFS(HOUR(I199)&lt;12,"Morning",HOUR(I199)&lt;17,"Afternoon",TRUE,"Evening")</f>
        <v>Afternoon</v>
      </c>
      <c r="K199" t="s">
        <v>12</v>
      </c>
      <c r="L199" t="str">
        <f t="shared" si="9"/>
        <v>Attended</v>
      </c>
      <c r="M199">
        <f t="shared" si="10"/>
        <v>0</v>
      </c>
      <c r="N199" t="str">
        <f t="shared" si="11"/>
        <v>Sunday</v>
      </c>
      <c r="O19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00" spans="1:15" x14ac:dyDescent="0.25">
      <c r="A200">
        <v>5198</v>
      </c>
      <c r="B200">
        <v>100</v>
      </c>
      <c r="C200">
        <v>1027</v>
      </c>
      <c r="D200" t="s">
        <v>24</v>
      </c>
      <c r="E200" s="1">
        <v>45712</v>
      </c>
      <c r="F200">
        <v>1453</v>
      </c>
      <c r="G200" t="s">
        <v>17</v>
      </c>
      <c r="H200" t="s">
        <v>15</v>
      </c>
      <c r="I200" t="s">
        <v>1907</v>
      </c>
      <c r="J200" t="str" cm="1">
        <f t="array" ref="J200">_xlfn.IFS(HOUR(I200)&lt;12,"Morning",HOUR(I200)&lt;17,"Afternoon",TRUE,"Evening")</f>
        <v>Afternoon</v>
      </c>
      <c r="K200" t="s">
        <v>12</v>
      </c>
      <c r="L200" t="str">
        <f t="shared" si="9"/>
        <v>Attended</v>
      </c>
      <c r="M200">
        <f t="shared" si="10"/>
        <v>0</v>
      </c>
      <c r="N200" t="str">
        <f t="shared" si="11"/>
        <v>Monday</v>
      </c>
      <c r="O20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1" spans="1:15" x14ac:dyDescent="0.25">
      <c r="A201">
        <v>5199</v>
      </c>
      <c r="B201">
        <v>189</v>
      </c>
      <c r="C201">
        <v>1027</v>
      </c>
      <c r="D201" t="s">
        <v>22</v>
      </c>
      <c r="E201" s="1">
        <v>45525</v>
      </c>
      <c r="F201">
        <v>1917</v>
      </c>
      <c r="G201" t="s">
        <v>25</v>
      </c>
      <c r="H201" t="s">
        <v>15</v>
      </c>
      <c r="I201" t="s">
        <v>1904</v>
      </c>
      <c r="J201" t="str" cm="1">
        <f t="array" ref="J201">_xlfn.IFS(HOUR(I201)&lt;12,"Morning",HOUR(I201)&lt;17,"Afternoon",TRUE,"Evening")</f>
        <v>Evening</v>
      </c>
      <c r="K201" t="s">
        <v>12</v>
      </c>
      <c r="L201" t="str">
        <f t="shared" si="9"/>
        <v>Attended</v>
      </c>
      <c r="M201">
        <f t="shared" si="10"/>
        <v>0</v>
      </c>
      <c r="N201" t="str">
        <f t="shared" si="11"/>
        <v>Wednesday</v>
      </c>
      <c r="O20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2" spans="1:15" x14ac:dyDescent="0.25">
      <c r="A202">
        <v>5200</v>
      </c>
      <c r="B202">
        <v>1406</v>
      </c>
      <c r="C202">
        <v>1020</v>
      </c>
      <c r="D202" t="s">
        <v>26</v>
      </c>
      <c r="E202" s="1">
        <v>45744</v>
      </c>
      <c r="F202">
        <v>2027</v>
      </c>
      <c r="G202" t="s">
        <v>10</v>
      </c>
      <c r="H202" t="s">
        <v>15</v>
      </c>
      <c r="I202" t="s">
        <v>1927</v>
      </c>
      <c r="J202" t="str" cm="1">
        <f t="array" ref="J202">_xlfn.IFS(HOUR(I202)&lt;12,"Morning",HOUR(I202)&lt;17,"Afternoon",TRUE,"Evening")</f>
        <v>Afternoon</v>
      </c>
      <c r="K202" t="s">
        <v>12</v>
      </c>
      <c r="L202" t="str">
        <f t="shared" si="9"/>
        <v>Attended</v>
      </c>
      <c r="M202">
        <f t="shared" si="10"/>
        <v>0</v>
      </c>
      <c r="N202" t="str">
        <f t="shared" si="11"/>
        <v>Friday</v>
      </c>
      <c r="O20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3" spans="1:15" x14ac:dyDescent="0.25">
      <c r="A203">
        <v>5201</v>
      </c>
      <c r="B203">
        <v>580</v>
      </c>
      <c r="C203">
        <v>1024</v>
      </c>
      <c r="D203" t="s">
        <v>16</v>
      </c>
      <c r="E203" s="1">
        <v>45768</v>
      </c>
      <c r="F203">
        <v>806</v>
      </c>
      <c r="G203" t="s">
        <v>25</v>
      </c>
      <c r="H203" t="s">
        <v>19</v>
      </c>
      <c r="I203" t="s">
        <v>1934</v>
      </c>
      <c r="J203" t="str" cm="1">
        <f t="array" ref="J203">_xlfn.IFS(HOUR(I203)&lt;12,"Morning",HOUR(I203)&lt;17,"Afternoon",TRUE,"Evening")</f>
        <v>Afternoon</v>
      </c>
      <c r="K203" t="s">
        <v>28</v>
      </c>
      <c r="L203" t="str">
        <f t="shared" si="9"/>
        <v>No Show</v>
      </c>
      <c r="M203">
        <f t="shared" si="10"/>
        <v>1</v>
      </c>
      <c r="N203" t="str">
        <f t="shared" si="11"/>
        <v>Monday</v>
      </c>
      <c r="O20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4" spans="1:15" x14ac:dyDescent="0.25">
      <c r="A204">
        <v>5202</v>
      </c>
      <c r="B204">
        <v>751</v>
      </c>
      <c r="C204">
        <v>1009</v>
      </c>
      <c r="D204" t="s">
        <v>13</v>
      </c>
      <c r="E204" s="1">
        <v>45589</v>
      </c>
      <c r="F204">
        <v>1000</v>
      </c>
      <c r="G204" t="s">
        <v>14</v>
      </c>
      <c r="H204" t="s">
        <v>15</v>
      </c>
      <c r="I204" t="s">
        <v>1930</v>
      </c>
      <c r="J204" t="str" cm="1">
        <f t="array" ref="J204">_xlfn.IFS(HOUR(I204)&lt;12,"Morning",HOUR(I204)&lt;17,"Afternoon",TRUE,"Evening")</f>
        <v>Morning</v>
      </c>
      <c r="K204" t="s">
        <v>12</v>
      </c>
      <c r="L204" t="str">
        <f t="shared" si="9"/>
        <v>Attended</v>
      </c>
      <c r="M204">
        <f t="shared" si="10"/>
        <v>0</v>
      </c>
      <c r="N204" t="str">
        <f t="shared" si="11"/>
        <v>Thursday</v>
      </c>
      <c r="O20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5" spans="1:15" x14ac:dyDescent="0.25">
      <c r="A205">
        <v>5203</v>
      </c>
      <c r="B205">
        <v>1112</v>
      </c>
      <c r="C205">
        <v>1027</v>
      </c>
      <c r="D205" t="s">
        <v>27</v>
      </c>
      <c r="E205" s="1">
        <v>45551</v>
      </c>
      <c r="F205">
        <v>1592</v>
      </c>
      <c r="G205" t="s">
        <v>17</v>
      </c>
      <c r="H205" t="s">
        <v>19</v>
      </c>
      <c r="I205" t="s">
        <v>1938</v>
      </c>
      <c r="J205" t="str" cm="1">
        <f t="array" ref="J205">_xlfn.IFS(HOUR(I205)&lt;12,"Morning",HOUR(I205)&lt;17,"Afternoon",TRUE,"Evening")</f>
        <v>Afternoon</v>
      </c>
      <c r="K205" t="s">
        <v>12</v>
      </c>
      <c r="L205" t="str">
        <f t="shared" si="9"/>
        <v>Attended</v>
      </c>
      <c r="M205">
        <f t="shared" si="10"/>
        <v>0</v>
      </c>
      <c r="N205" t="str">
        <f t="shared" si="11"/>
        <v>Monday</v>
      </c>
      <c r="O20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6" spans="1:15" x14ac:dyDescent="0.25">
      <c r="A206">
        <v>5204</v>
      </c>
      <c r="B206">
        <v>874</v>
      </c>
      <c r="C206">
        <v>1027</v>
      </c>
      <c r="D206" t="s">
        <v>9</v>
      </c>
      <c r="E206" s="1">
        <v>45610</v>
      </c>
      <c r="F206">
        <v>991</v>
      </c>
      <c r="G206" t="s">
        <v>14</v>
      </c>
      <c r="H206" t="s">
        <v>11</v>
      </c>
      <c r="I206" t="s">
        <v>1917</v>
      </c>
      <c r="J206" t="str" cm="1">
        <f t="array" ref="J206">_xlfn.IFS(HOUR(I206)&lt;12,"Morning",HOUR(I206)&lt;17,"Afternoon",TRUE,"Evening")</f>
        <v>Afternoon</v>
      </c>
      <c r="K206" t="s">
        <v>12</v>
      </c>
      <c r="L206" t="str">
        <f t="shared" si="9"/>
        <v>Attended</v>
      </c>
      <c r="M206">
        <f t="shared" si="10"/>
        <v>0</v>
      </c>
      <c r="N206" t="str">
        <f t="shared" si="11"/>
        <v>Thursday</v>
      </c>
      <c r="O20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7" spans="1:15" x14ac:dyDescent="0.25">
      <c r="A207">
        <v>5205</v>
      </c>
      <c r="B207">
        <v>476</v>
      </c>
      <c r="C207">
        <v>1020</v>
      </c>
      <c r="D207" t="s">
        <v>26</v>
      </c>
      <c r="E207" s="1">
        <v>45687</v>
      </c>
      <c r="F207">
        <v>2312</v>
      </c>
      <c r="G207" t="s">
        <v>25</v>
      </c>
      <c r="H207" t="s">
        <v>11</v>
      </c>
      <c r="I207" t="s">
        <v>1910</v>
      </c>
      <c r="J207" t="str" cm="1">
        <f t="array" ref="J207">_xlfn.IFS(HOUR(I207)&lt;12,"Morning",HOUR(I207)&lt;17,"Afternoon",TRUE,"Evening")</f>
        <v>Evening</v>
      </c>
      <c r="K207" t="s">
        <v>12</v>
      </c>
      <c r="L207" t="str">
        <f t="shared" si="9"/>
        <v>Attended</v>
      </c>
      <c r="M207">
        <f t="shared" si="10"/>
        <v>0</v>
      </c>
      <c r="N207" t="str">
        <f t="shared" si="11"/>
        <v>Thursday</v>
      </c>
      <c r="O20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8" spans="1:15" x14ac:dyDescent="0.25">
      <c r="A208">
        <v>5206</v>
      </c>
      <c r="B208">
        <v>566</v>
      </c>
      <c r="C208">
        <v>1004</v>
      </c>
      <c r="D208" t="s">
        <v>18</v>
      </c>
      <c r="E208" s="1">
        <v>45775</v>
      </c>
      <c r="F208">
        <v>1623</v>
      </c>
      <c r="G208" t="s">
        <v>14</v>
      </c>
      <c r="H208" t="s">
        <v>19</v>
      </c>
      <c r="I208" t="s">
        <v>1908</v>
      </c>
      <c r="J208" t="str" cm="1">
        <f t="array" ref="J208">_xlfn.IFS(HOUR(I208)&lt;12,"Morning",HOUR(I208)&lt;17,"Afternoon",TRUE,"Evening")</f>
        <v>Morning</v>
      </c>
      <c r="K208" t="s">
        <v>28</v>
      </c>
      <c r="L208" t="str">
        <f t="shared" si="9"/>
        <v>No Show</v>
      </c>
      <c r="M208">
        <f t="shared" si="10"/>
        <v>1</v>
      </c>
      <c r="N208" t="str">
        <f t="shared" si="11"/>
        <v>Monday</v>
      </c>
      <c r="O20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09" spans="1:15" x14ac:dyDescent="0.25">
      <c r="A209">
        <v>5207</v>
      </c>
      <c r="B209">
        <v>1022</v>
      </c>
      <c r="C209">
        <v>1024</v>
      </c>
      <c r="D209" t="s">
        <v>16</v>
      </c>
      <c r="E209" s="1">
        <v>45800</v>
      </c>
      <c r="F209">
        <v>1064</v>
      </c>
      <c r="G209" t="s">
        <v>25</v>
      </c>
      <c r="H209" t="s">
        <v>11</v>
      </c>
      <c r="I209" t="s">
        <v>1911</v>
      </c>
      <c r="J209" t="str" cm="1">
        <f t="array" ref="J209">_xlfn.IFS(HOUR(I209)&lt;12,"Morning",HOUR(I209)&lt;17,"Afternoon",TRUE,"Evening")</f>
        <v>Morning</v>
      </c>
      <c r="K209" t="s">
        <v>12</v>
      </c>
      <c r="L209" t="str">
        <f t="shared" si="9"/>
        <v>Attended</v>
      </c>
      <c r="M209">
        <f t="shared" si="10"/>
        <v>0</v>
      </c>
      <c r="N209" t="str">
        <f t="shared" si="11"/>
        <v>Friday</v>
      </c>
      <c r="O20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0" spans="1:15" x14ac:dyDescent="0.25">
      <c r="A210">
        <v>5208</v>
      </c>
      <c r="B210">
        <v>390</v>
      </c>
      <c r="C210">
        <v>1024</v>
      </c>
      <c r="D210" t="s">
        <v>16</v>
      </c>
      <c r="E210" s="1">
        <v>45609</v>
      </c>
      <c r="F210">
        <v>979</v>
      </c>
      <c r="G210" t="s">
        <v>14</v>
      </c>
      <c r="H210" t="s">
        <v>11</v>
      </c>
      <c r="I210" t="s">
        <v>1920</v>
      </c>
      <c r="J210" t="str" cm="1">
        <f t="array" ref="J210">_xlfn.IFS(HOUR(I210)&lt;12,"Morning",HOUR(I210)&lt;17,"Afternoon",TRUE,"Evening")</f>
        <v>Morning</v>
      </c>
      <c r="K210" t="s">
        <v>12</v>
      </c>
      <c r="L210" t="str">
        <f t="shared" si="9"/>
        <v>Attended</v>
      </c>
      <c r="M210">
        <f t="shared" si="10"/>
        <v>0</v>
      </c>
      <c r="N210" t="str">
        <f t="shared" si="11"/>
        <v>Wednesday</v>
      </c>
      <c r="O21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1" spans="1:15" x14ac:dyDescent="0.25">
      <c r="A211">
        <v>5209</v>
      </c>
      <c r="B211">
        <v>699</v>
      </c>
      <c r="C211">
        <v>1027</v>
      </c>
      <c r="D211" t="s">
        <v>27</v>
      </c>
      <c r="E211" s="1">
        <v>45523</v>
      </c>
      <c r="F211">
        <v>2132</v>
      </c>
      <c r="G211" t="s">
        <v>10</v>
      </c>
      <c r="H211" t="s">
        <v>11</v>
      </c>
      <c r="I211" t="s">
        <v>1907</v>
      </c>
      <c r="J211" t="str" cm="1">
        <f t="array" ref="J211">_xlfn.IFS(HOUR(I211)&lt;12,"Morning",HOUR(I211)&lt;17,"Afternoon",TRUE,"Evening")</f>
        <v>Afternoon</v>
      </c>
      <c r="K211" t="s">
        <v>12</v>
      </c>
      <c r="L211" t="str">
        <f t="shared" si="9"/>
        <v>Attended</v>
      </c>
      <c r="M211">
        <f t="shared" si="10"/>
        <v>0</v>
      </c>
      <c r="N211" t="str">
        <f t="shared" si="11"/>
        <v>Monday</v>
      </c>
      <c r="O21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2" spans="1:15" x14ac:dyDescent="0.25">
      <c r="A212">
        <v>5210</v>
      </c>
      <c r="B212">
        <v>903</v>
      </c>
      <c r="C212">
        <v>1027</v>
      </c>
      <c r="D212" t="s">
        <v>27</v>
      </c>
      <c r="E212" s="1">
        <v>45568</v>
      </c>
      <c r="F212">
        <v>2105</v>
      </c>
      <c r="G212" t="s">
        <v>14</v>
      </c>
      <c r="H212" t="s">
        <v>11</v>
      </c>
      <c r="I212" t="s">
        <v>1940</v>
      </c>
      <c r="J212" t="str" cm="1">
        <f t="array" ref="J212">_xlfn.IFS(HOUR(I212)&lt;12,"Morning",HOUR(I212)&lt;17,"Afternoon",TRUE,"Evening")</f>
        <v>Morning</v>
      </c>
      <c r="K212" t="s">
        <v>12</v>
      </c>
      <c r="L212" t="str">
        <f t="shared" si="9"/>
        <v>Attended</v>
      </c>
      <c r="M212">
        <f t="shared" si="10"/>
        <v>0</v>
      </c>
      <c r="N212" t="str">
        <f t="shared" si="11"/>
        <v>Thursday</v>
      </c>
      <c r="O2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3" spans="1:15" x14ac:dyDescent="0.25">
      <c r="A213">
        <v>5211</v>
      </c>
      <c r="B213">
        <v>544</v>
      </c>
      <c r="C213">
        <v>1008</v>
      </c>
      <c r="D213" t="s">
        <v>13</v>
      </c>
      <c r="E213" s="1">
        <v>45798</v>
      </c>
      <c r="F213">
        <v>2148</v>
      </c>
      <c r="G213" t="s">
        <v>17</v>
      </c>
      <c r="H213" t="s">
        <v>19</v>
      </c>
      <c r="I213" t="s">
        <v>1924</v>
      </c>
      <c r="J213" t="str" cm="1">
        <f t="array" ref="J213">_xlfn.IFS(HOUR(I213)&lt;12,"Morning",HOUR(I213)&lt;17,"Afternoon",TRUE,"Evening")</f>
        <v>Afternoon</v>
      </c>
      <c r="K213" t="s">
        <v>12</v>
      </c>
      <c r="L213" t="str">
        <f t="shared" si="9"/>
        <v>Attended</v>
      </c>
      <c r="M213">
        <f t="shared" si="10"/>
        <v>0</v>
      </c>
      <c r="N213" t="str">
        <f t="shared" si="11"/>
        <v>Wednesday</v>
      </c>
      <c r="O2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4" spans="1:15" x14ac:dyDescent="0.25">
      <c r="A214">
        <v>5212</v>
      </c>
      <c r="B214">
        <v>247</v>
      </c>
      <c r="C214">
        <v>1027</v>
      </c>
      <c r="D214" t="s">
        <v>9</v>
      </c>
      <c r="E214" s="1">
        <v>45737</v>
      </c>
      <c r="F214">
        <v>1040</v>
      </c>
      <c r="G214" t="s">
        <v>25</v>
      </c>
      <c r="H214" t="s">
        <v>15</v>
      </c>
      <c r="I214" t="s">
        <v>1937</v>
      </c>
      <c r="J214" t="str" cm="1">
        <f t="array" ref="J214">_xlfn.IFS(HOUR(I214)&lt;12,"Morning",HOUR(I214)&lt;17,"Afternoon",TRUE,"Evening")</f>
        <v>Morning</v>
      </c>
      <c r="K214" t="s">
        <v>12</v>
      </c>
      <c r="L214" t="str">
        <f t="shared" si="9"/>
        <v>Attended</v>
      </c>
      <c r="M214">
        <f t="shared" si="10"/>
        <v>0</v>
      </c>
      <c r="N214" t="str">
        <f t="shared" si="11"/>
        <v>Friday</v>
      </c>
      <c r="O21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5" spans="1:15" x14ac:dyDescent="0.25">
      <c r="A215">
        <v>5213</v>
      </c>
      <c r="B215">
        <v>499</v>
      </c>
      <c r="C215">
        <v>1001</v>
      </c>
      <c r="D215" t="s">
        <v>22</v>
      </c>
      <c r="E215" s="1">
        <v>45735</v>
      </c>
      <c r="F215">
        <v>1562</v>
      </c>
      <c r="G215" t="s">
        <v>25</v>
      </c>
      <c r="H215" t="s">
        <v>15</v>
      </c>
      <c r="I215" t="s">
        <v>1909</v>
      </c>
      <c r="J215" t="str" cm="1">
        <f t="array" ref="J215">_xlfn.IFS(HOUR(I215)&lt;12,"Morning",HOUR(I215)&lt;17,"Afternoon",TRUE,"Evening")</f>
        <v>Afternoon</v>
      </c>
      <c r="K215" t="s">
        <v>28</v>
      </c>
      <c r="L215" t="str">
        <f t="shared" si="9"/>
        <v>No Show</v>
      </c>
      <c r="M215">
        <f t="shared" si="10"/>
        <v>1</v>
      </c>
      <c r="N215" t="str">
        <f t="shared" si="11"/>
        <v>Wednesday</v>
      </c>
      <c r="O21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6" spans="1:15" x14ac:dyDescent="0.25">
      <c r="A216">
        <v>5214</v>
      </c>
      <c r="B216">
        <v>876</v>
      </c>
      <c r="C216">
        <v>1004</v>
      </c>
      <c r="D216" t="s">
        <v>18</v>
      </c>
      <c r="E216" s="1">
        <v>45627</v>
      </c>
      <c r="F216">
        <v>2328</v>
      </c>
      <c r="G216" t="s">
        <v>17</v>
      </c>
      <c r="H216" t="s">
        <v>15</v>
      </c>
      <c r="I216" t="s">
        <v>1905</v>
      </c>
      <c r="J216" t="str" cm="1">
        <f t="array" ref="J216">_xlfn.IFS(HOUR(I216)&lt;12,"Morning",HOUR(I216)&lt;17,"Afternoon",TRUE,"Evening")</f>
        <v>Morning</v>
      </c>
      <c r="K216" t="s">
        <v>12</v>
      </c>
      <c r="L216" t="str">
        <f t="shared" si="9"/>
        <v>Attended</v>
      </c>
      <c r="M216">
        <f t="shared" si="10"/>
        <v>0</v>
      </c>
      <c r="N216" t="str">
        <f t="shared" si="11"/>
        <v>Sunday</v>
      </c>
      <c r="O21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17" spans="1:15" x14ac:dyDescent="0.25">
      <c r="A217">
        <v>5215</v>
      </c>
      <c r="B217">
        <v>564</v>
      </c>
      <c r="C217">
        <v>1027</v>
      </c>
      <c r="D217" t="s">
        <v>21</v>
      </c>
      <c r="E217" s="1">
        <v>45533</v>
      </c>
      <c r="F217">
        <v>1170</v>
      </c>
      <c r="G217" t="s">
        <v>25</v>
      </c>
      <c r="H217" t="s">
        <v>15</v>
      </c>
      <c r="I217" t="s">
        <v>1941</v>
      </c>
      <c r="J217" t="str" cm="1">
        <f t="array" ref="J217">_xlfn.IFS(HOUR(I217)&lt;12,"Morning",HOUR(I217)&lt;17,"Afternoon",TRUE,"Evening")</f>
        <v>Morning</v>
      </c>
      <c r="K217" t="s">
        <v>20</v>
      </c>
      <c r="L217" t="str">
        <f t="shared" si="9"/>
        <v>No Show</v>
      </c>
      <c r="M217">
        <f t="shared" si="10"/>
        <v>1</v>
      </c>
      <c r="N217" t="str">
        <f t="shared" si="11"/>
        <v>Thursday</v>
      </c>
      <c r="O21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18" spans="1:15" x14ac:dyDescent="0.25">
      <c r="A218">
        <v>5216</v>
      </c>
      <c r="B218">
        <v>1503</v>
      </c>
      <c r="C218">
        <v>1027</v>
      </c>
      <c r="D218" t="s">
        <v>22</v>
      </c>
      <c r="E218" s="1">
        <v>45815</v>
      </c>
      <c r="F218">
        <v>2190</v>
      </c>
      <c r="G218" t="s">
        <v>10</v>
      </c>
      <c r="H218" t="s">
        <v>19</v>
      </c>
      <c r="I218" t="s">
        <v>1931</v>
      </c>
      <c r="J218" t="str" cm="1">
        <f t="array" ref="J218">_xlfn.IFS(HOUR(I218)&lt;12,"Morning",HOUR(I218)&lt;17,"Afternoon",TRUE,"Evening")</f>
        <v>Afternoon</v>
      </c>
      <c r="K218" t="s">
        <v>23</v>
      </c>
      <c r="L218" t="str">
        <f t="shared" si="9"/>
        <v>No Show</v>
      </c>
      <c r="M218">
        <f t="shared" si="10"/>
        <v>1</v>
      </c>
      <c r="N218" t="str">
        <f t="shared" si="11"/>
        <v>Saturday</v>
      </c>
      <c r="O21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19" spans="1:15" x14ac:dyDescent="0.25">
      <c r="A219">
        <v>5217</v>
      </c>
      <c r="B219">
        <v>166</v>
      </c>
      <c r="C219">
        <v>1027</v>
      </c>
      <c r="D219" t="s">
        <v>21</v>
      </c>
      <c r="E219" s="1">
        <v>45675</v>
      </c>
      <c r="F219">
        <v>1593</v>
      </c>
      <c r="G219" t="s">
        <v>10</v>
      </c>
      <c r="H219" t="s">
        <v>15</v>
      </c>
      <c r="I219" t="s">
        <v>1921</v>
      </c>
      <c r="J219" t="str" cm="1">
        <f t="array" ref="J219">_xlfn.IFS(HOUR(I219)&lt;12,"Morning",HOUR(I219)&lt;17,"Afternoon",TRUE,"Evening")</f>
        <v>Afternoon</v>
      </c>
      <c r="K219" t="s">
        <v>12</v>
      </c>
      <c r="L219" t="str">
        <f t="shared" si="9"/>
        <v>Attended</v>
      </c>
      <c r="M219">
        <f t="shared" si="10"/>
        <v>0</v>
      </c>
      <c r="N219" t="str">
        <f t="shared" si="11"/>
        <v>Saturday</v>
      </c>
      <c r="O21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20" spans="1:15" x14ac:dyDescent="0.25">
      <c r="A220">
        <v>5218</v>
      </c>
      <c r="B220">
        <v>304</v>
      </c>
      <c r="C220">
        <v>1001</v>
      </c>
      <c r="D220" t="s">
        <v>22</v>
      </c>
      <c r="E220" s="1">
        <v>45802</v>
      </c>
      <c r="F220">
        <v>1751</v>
      </c>
      <c r="G220" t="s">
        <v>17</v>
      </c>
      <c r="H220" t="s">
        <v>19</v>
      </c>
      <c r="I220" t="s">
        <v>1925</v>
      </c>
      <c r="J220" t="str" cm="1">
        <f t="array" ref="J220">_xlfn.IFS(HOUR(I220)&lt;12,"Morning",HOUR(I220)&lt;17,"Afternoon",TRUE,"Evening")</f>
        <v>Afternoon</v>
      </c>
      <c r="K220" t="s">
        <v>12</v>
      </c>
      <c r="L220" t="str">
        <f t="shared" si="9"/>
        <v>Attended</v>
      </c>
      <c r="M220">
        <f t="shared" si="10"/>
        <v>0</v>
      </c>
      <c r="N220" t="str">
        <f t="shared" si="11"/>
        <v>Sunday</v>
      </c>
      <c r="O22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21" spans="1:15" x14ac:dyDescent="0.25">
      <c r="A221">
        <v>5219</v>
      </c>
      <c r="B221">
        <v>996</v>
      </c>
      <c r="C221">
        <v>1027</v>
      </c>
      <c r="D221" t="s">
        <v>27</v>
      </c>
      <c r="E221" s="1">
        <v>45771</v>
      </c>
      <c r="F221">
        <v>2280</v>
      </c>
      <c r="G221" t="s">
        <v>25</v>
      </c>
      <c r="H221" t="s">
        <v>15</v>
      </c>
      <c r="I221" t="s">
        <v>1941</v>
      </c>
      <c r="J221" t="str" cm="1">
        <f t="array" ref="J221">_xlfn.IFS(HOUR(I221)&lt;12,"Morning",HOUR(I221)&lt;17,"Afternoon",TRUE,"Evening")</f>
        <v>Morning</v>
      </c>
      <c r="K221" t="s">
        <v>12</v>
      </c>
      <c r="L221" t="str">
        <f t="shared" si="9"/>
        <v>Attended</v>
      </c>
      <c r="M221">
        <f t="shared" si="10"/>
        <v>0</v>
      </c>
      <c r="N221" t="str">
        <f t="shared" si="11"/>
        <v>Thursday</v>
      </c>
      <c r="O22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22" spans="1:15" x14ac:dyDescent="0.25">
      <c r="A222">
        <v>5220</v>
      </c>
      <c r="B222">
        <v>1384</v>
      </c>
      <c r="C222">
        <v>1027</v>
      </c>
      <c r="D222" t="s">
        <v>21</v>
      </c>
      <c r="E222" s="1">
        <v>45497</v>
      </c>
      <c r="F222">
        <v>1632</v>
      </c>
      <c r="G222" t="s">
        <v>17</v>
      </c>
      <c r="H222" t="s">
        <v>11</v>
      </c>
      <c r="I222" t="s">
        <v>1923</v>
      </c>
      <c r="J222" t="str" cm="1">
        <f t="array" ref="J222">_xlfn.IFS(HOUR(I222)&lt;12,"Morning",HOUR(I222)&lt;17,"Afternoon",TRUE,"Evening")</f>
        <v>Evening</v>
      </c>
      <c r="K222" t="s">
        <v>12</v>
      </c>
      <c r="L222" t="str">
        <f t="shared" si="9"/>
        <v>Attended</v>
      </c>
      <c r="M222">
        <f t="shared" si="10"/>
        <v>0</v>
      </c>
      <c r="N222" t="str">
        <f t="shared" si="11"/>
        <v>Wednesday</v>
      </c>
      <c r="O2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23" spans="1:15" x14ac:dyDescent="0.25">
      <c r="A223">
        <v>5221</v>
      </c>
      <c r="B223">
        <v>152</v>
      </c>
      <c r="C223">
        <v>1024</v>
      </c>
      <c r="D223" t="s">
        <v>16</v>
      </c>
      <c r="E223" s="1">
        <v>45813</v>
      </c>
      <c r="F223">
        <v>2420</v>
      </c>
      <c r="G223" t="s">
        <v>17</v>
      </c>
      <c r="H223" t="s">
        <v>19</v>
      </c>
      <c r="I223" t="s">
        <v>1931</v>
      </c>
      <c r="J223" t="str" cm="1">
        <f t="array" ref="J223">_xlfn.IFS(HOUR(I223)&lt;12,"Morning",HOUR(I223)&lt;17,"Afternoon",TRUE,"Evening")</f>
        <v>Afternoon</v>
      </c>
      <c r="K223" t="s">
        <v>23</v>
      </c>
      <c r="L223" t="str">
        <f t="shared" si="9"/>
        <v>No Show</v>
      </c>
      <c r="M223">
        <f t="shared" si="10"/>
        <v>1</v>
      </c>
      <c r="N223" t="str">
        <f t="shared" si="11"/>
        <v>Thursday</v>
      </c>
      <c r="O2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24" spans="1:15" x14ac:dyDescent="0.25">
      <c r="A224">
        <v>5222</v>
      </c>
      <c r="B224">
        <v>1148</v>
      </c>
      <c r="C224">
        <v>1027</v>
      </c>
      <c r="D224" t="s">
        <v>24</v>
      </c>
      <c r="E224" s="1">
        <v>45527</v>
      </c>
      <c r="F224">
        <v>2139</v>
      </c>
      <c r="G224" t="s">
        <v>10</v>
      </c>
      <c r="H224" t="s">
        <v>19</v>
      </c>
      <c r="I224" t="s">
        <v>1908</v>
      </c>
      <c r="J224" t="str" cm="1">
        <f t="array" ref="J224">_xlfn.IFS(HOUR(I224)&lt;12,"Morning",HOUR(I224)&lt;17,"Afternoon",TRUE,"Evening")</f>
        <v>Morning</v>
      </c>
      <c r="K224" t="s">
        <v>12</v>
      </c>
      <c r="L224" t="str">
        <f t="shared" si="9"/>
        <v>Attended</v>
      </c>
      <c r="M224">
        <f t="shared" si="10"/>
        <v>0</v>
      </c>
      <c r="N224" t="str">
        <f t="shared" si="11"/>
        <v>Friday</v>
      </c>
      <c r="O22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25" spans="1:15" x14ac:dyDescent="0.25">
      <c r="A225">
        <v>5223</v>
      </c>
      <c r="B225">
        <v>694</v>
      </c>
      <c r="C225">
        <v>1009</v>
      </c>
      <c r="D225" t="s">
        <v>13</v>
      </c>
      <c r="E225" s="1">
        <v>45776</v>
      </c>
      <c r="F225">
        <v>2260</v>
      </c>
      <c r="G225" t="s">
        <v>10</v>
      </c>
      <c r="H225" t="s">
        <v>19</v>
      </c>
      <c r="I225" t="s">
        <v>1905</v>
      </c>
      <c r="J225" t="str" cm="1">
        <f t="array" ref="J225">_xlfn.IFS(HOUR(I225)&lt;12,"Morning",HOUR(I225)&lt;17,"Afternoon",TRUE,"Evening")</f>
        <v>Morning</v>
      </c>
      <c r="K225" t="s">
        <v>12</v>
      </c>
      <c r="L225" t="str">
        <f t="shared" si="9"/>
        <v>Attended</v>
      </c>
      <c r="M225">
        <f t="shared" si="10"/>
        <v>0</v>
      </c>
      <c r="N225" t="str">
        <f t="shared" si="11"/>
        <v>Tuesday</v>
      </c>
      <c r="O22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26" spans="1:15" x14ac:dyDescent="0.25">
      <c r="A226">
        <v>5224</v>
      </c>
      <c r="B226">
        <v>1035</v>
      </c>
      <c r="C226">
        <v>1024</v>
      </c>
      <c r="D226" t="s">
        <v>16</v>
      </c>
      <c r="E226" s="1">
        <v>45792</v>
      </c>
      <c r="F226">
        <v>2111</v>
      </c>
      <c r="G226" t="s">
        <v>14</v>
      </c>
      <c r="H226" t="s">
        <v>11</v>
      </c>
      <c r="I226" t="s">
        <v>1939</v>
      </c>
      <c r="J226" t="str" cm="1">
        <f t="array" ref="J226">_xlfn.IFS(HOUR(I226)&lt;12,"Morning",HOUR(I226)&lt;17,"Afternoon",TRUE,"Evening")</f>
        <v>Afternoon</v>
      </c>
      <c r="K226" t="s">
        <v>12</v>
      </c>
      <c r="L226" t="str">
        <f t="shared" si="9"/>
        <v>Attended</v>
      </c>
      <c r="M226">
        <f t="shared" si="10"/>
        <v>0</v>
      </c>
      <c r="N226" t="str">
        <f t="shared" si="11"/>
        <v>Thursday</v>
      </c>
      <c r="O22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27" spans="1:15" x14ac:dyDescent="0.25">
      <c r="A227">
        <v>5225</v>
      </c>
      <c r="B227">
        <v>1006</v>
      </c>
      <c r="C227">
        <v>1027</v>
      </c>
      <c r="D227" t="s">
        <v>24</v>
      </c>
      <c r="E227" s="1">
        <v>45746</v>
      </c>
      <c r="F227">
        <v>1187</v>
      </c>
      <c r="G227" t="s">
        <v>10</v>
      </c>
      <c r="H227" t="s">
        <v>11</v>
      </c>
      <c r="I227" t="s">
        <v>1924</v>
      </c>
      <c r="J227" t="str" cm="1">
        <f t="array" ref="J227">_xlfn.IFS(HOUR(I227)&lt;12,"Morning",HOUR(I227)&lt;17,"Afternoon",TRUE,"Evening")</f>
        <v>Afternoon</v>
      </c>
      <c r="K227" t="s">
        <v>12</v>
      </c>
      <c r="L227" t="str">
        <f t="shared" si="9"/>
        <v>Attended</v>
      </c>
      <c r="M227">
        <f t="shared" si="10"/>
        <v>0</v>
      </c>
      <c r="N227" t="str">
        <f t="shared" si="11"/>
        <v>Sunday</v>
      </c>
      <c r="O22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28" spans="1:15" x14ac:dyDescent="0.25">
      <c r="A228">
        <v>5226</v>
      </c>
      <c r="B228">
        <v>1368</v>
      </c>
      <c r="C228">
        <v>1020</v>
      </c>
      <c r="D228" t="s">
        <v>26</v>
      </c>
      <c r="E228" s="1">
        <v>45820</v>
      </c>
      <c r="F228">
        <v>2489</v>
      </c>
      <c r="G228" t="s">
        <v>17</v>
      </c>
      <c r="H228" t="s">
        <v>15</v>
      </c>
      <c r="I228" t="s">
        <v>1923</v>
      </c>
      <c r="J228" t="str" cm="1">
        <f t="array" ref="J228">_xlfn.IFS(HOUR(I228)&lt;12,"Morning",HOUR(I228)&lt;17,"Afternoon",TRUE,"Evening")</f>
        <v>Evening</v>
      </c>
      <c r="K228" t="s">
        <v>23</v>
      </c>
      <c r="L228" t="str">
        <f t="shared" si="9"/>
        <v>No Show</v>
      </c>
      <c r="M228">
        <f t="shared" si="10"/>
        <v>1</v>
      </c>
      <c r="N228" t="str">
        <f t="shared" si="11"/>
        <v>Thursday</v>
      </c>
      <c r="O22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29" spans="1:15" x14ac:dyDescent="0.25">
      <c r="A229">
        <v>5227</v>
      </c>
      <c r="B229">
        <v>1456</v>
      </c>
      <c r="C229">
        <v>1004</v>
      </c>
      <c r="D229" t="s">
        <v>18</v>
      </c>
      <c r="E229" s="1">
        <v>45510</v>
      </c>
      <c r="F229">
        <v>1318</v>
      </c>
      <c r="G229" t="s">
        <v>10</v>
      </c>
      <c r="H229" t="s">
        <v>11</v>
      </c>
      <c r="I229" t="s">
        <v>1927</v>
      </c>
      <c r="J229" t="str" cm="1">
        <f t="array" ref="J229">_xlfn.IFS(HOUR(I229)&lt;12,"Morning",HOUR(I229)&lt;17,"Afternoon",TRUE,"Evening")</f>
        <v>Afternoon</v>
      </c>
      <c r="K229" t="s">
        <v>12</v>
      </c>
      <c r="L229" t="str">
        <f t="shared" si="9"/>
        <v>Attended</v>
      </c>
      <c r="M229">
        <f t="shared" si="10"/>
        <v>0</v>
      </c>
      <c r="N229" t="str">
        <f t="shared" si="11"/>
        <v>Tuesday</v>
      </c>
      <c r="O22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30" spans="1:15" x14ac:dyDescent="0.25">
      <c r="A230">
        <v>5228</v>
      </c>
      <c r="B230">
        <v>405</v>
      </c>
      <c r="C230">
        <v>1024</v>
      </c>
      <c r="D230" t="s">
        <v>16</v>
      </c>
      <c r="E230" s="1">
        <v>45781</v>
      </c>
      <c r="F230">
        <v>1172</v>
      </c>
      <c r="G230" t="s">
        <v>25</v>
      </c>
      <c r="H230" t="s">
        <v>11</v>
      </c>
      <c r="I230" t="s">
        <v>1918</v>
      </c>
      <c r="J230" t="str" cm="1">
        <f t="array" ref="J230">_xlfn.IFS(HOUR(I230)&lt;12,"Morning",HOUR(I230)&lt;17,"Afternoon",TRUE,"Evening")</f>
        <v>Evening</v>
      </c>
      <c r="K230" t="s">
        <v>12</v>
      </c>
      <c r="L230" t="str">
        <f t="shared" si="9"/>
        <v>Attended</v>
      </c>
      <c r="M230">
        <f t="shared" si="10"/>
        <v>0</v>
      </c>
      <c r="N230" t="str">
        <f t="shared" si="11"/>
        <v>Sunday</v>
      </c>
      <c r="O23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31" spans="1:15" x14ac:dyDescent="0.25">
      <c r="A231">
        <v>5229</v>
      </c>
      <c r="B231">
        <v>646</v>
      </c>
      <c r="C231">
        <v>1003</v>
      </c>
      <c r="D231" t="s">
        <v>18</v>
      </c>
      <c r="E231" s="1">
        <v>45718</v>
      </c>
      <c r="F231">
        <v>877</v>
      </c>
      <c r="G231" t="s">
        <v>25</v>
      </c>
      <c r="H231" t="s">
        <v>19</v>
      </c>
      <c r="I231" t="s">
        <v>1918</v>
      </c>
      <c r="J231" t="str" cm="1">
        <f t="array" ref="J231">_xlfn.IFS(HOUR(I231)&lt;12,"Morning",HOUR(I231)&lt;17,"Afternoon",TRUE,"Evening")</f>
        <v>Evening</v>
      </c>
      <c r="K231" t="s">
        <v>12</v>
      </c>
      <c r="L231" t="str">
        <f t="shared" si="9"/>
        <v>Attended</v>
      </c>
      <c r="M231">
        <f t="shared" si="10"/>
        <v>0</v>
      </c>
      <c r="N231" t="str">
        <f t="shared" si="11"/>
        <v>Sunday</v>
      </c>
      <c r="O23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32" spans="1:15" x14ac:dyDescent="0.25">
      <c r="A232">
        <v>5230</v>
      </c>
      <c r="B232">
        <v>1153</v>
      </c>
      <c r="C232">
        <v>1024</v>
      </c>
      <c r="D232" t="s">
        <v>16</v>
      </c>
      <c r="E232" s="1">
        <v>45639</v>
      </c>
      <c r="F232">
        <v>2169</v>
      </c>
      <c r="G232" t="s">
        <v>10</v>
      </c>
      <c r="H232" t="s">
        <v>15</v>
      </c>
      <c r="I232" t="s">
        <v>1909</v>
      </c>
      <c r="J232" t="str" cm="1">
        <f t="array" ref="J232">_xlfn.IFS(HOUR(I232)&lt;12,"Morning",HOUR(I232)&lt;17,"Afternoon",TRUE,"Evening")</f>
        <v>Afternoon</v>
      </c>
      <c r="K232" t="s">
        <v>12</v>
      </c>
      <c r="L232" t="str">
        <f t="shared" si="9"/>
        <v>Attended</v>
      </c>
      <c r="M232">
        <f t="shared" si="10"/>
        <v>0</v>
      </c>
      <c r="N232" t="str">
        <f t="shared" si="11"/>
        <v>Friday</v>
      </c>
      <c r="O23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33" spans="1:15" x14ac:dyDescent="0.25">
      <c r="A233">
        <v>5231</v>
      </c>
      <c r="B233">
        <v>310</v>
      </c>
      <c r="C233">
        <v>1027</v>
      </c>
      <c r="D233" t="s">
        <v>9</v>
      </c>
      <c r="E233" s="1">
        <v>45598</v>
      </c>
      <c r="F233">
        <v>1189</v>
      </c>
      <c r="G233" t="s">
        <v>10</v>
      </c>
      <c r="H233" t="s">
        <v>19</v>
      </c>
      <c r="I233" t="s">
        <v>1930</v>
      </c>
      <c r="J233" t="str" cm="1">
        <f t="array" ref="J233">_xlfn.IFS(HOUR(I233)&lt;12,"Morning",HOUR(I233)&lt;17,"Afternoon",TRUE,"Evening")</f>
        <v>Morning</v>
      </c>
      <c r="K233" t="s">
        <v>28</v>
      </c>
      <c r="L233" t="str">
        <f t="shared" si="9"/>
        <v>No Show</v>
      </c>
      <c r="M233">
        <f t="shared" si="10"/>
        <v>1</v>
      </c>
      <c r="N233" t="str">
        <f t="shared" si="11"/>
        <v>Saturday</v>
      </c>
      <c r="O23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34" spans="1:15" x14ac:dyDescent="0.25">
      <c r="A234">
        <v>5232</v>
      </c>
      <c r="B234">
        <v>1562</v>
      </c>
      <c r="C234">
        <v>1024</v>
      </c>
      <c r="D234" t="s">
        <v>16</v>
      </c>
      <c r="E234" s="1">
        <v>45823</v>
      </c>
      <c r="F234">
        <v>1656</v>
      </c>
      <c r="G234" t="s">
        <v>10</v>
      </c>
      <c r="H234" t="s">
        <v>19</v>
      </c>
      <c r="I234" t="s">
        <v>1913</v>
      </c>
      <c r="J234" t="str" cm="1">
        <f t="array" ref="J234">_xlfn.IFS(HOUR(I234)&lt;12,"Morning",HOUR(I234)&lt;17,"Afternoon",TRUE,"Evening")</f>
        <v>Morning</v>
      </c>
      <c r="K234" t="s">
        <v>23</v>
      </c>
      <c r="L234" t="str">
        <f t="shared" si="9"/>
        <v>No Show</v>
      </c>
      <c r="M234">
        <f t="shared" si="10"/>
        <v>1</v>
      </c>
      <c r="N234" t="str">
        <f t="shared" si="11"/>
        <v>Sunday</v>
      </c>
      <c r="O23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35" spans="1:15" x14ac:dyDescent="0.25">
      <c r="A235">
        <v>5233</v>
      </c>
      <c r="B235">
        <v>177</v>
      </c>
      <c r="C235">
        <v>1027</v>
      </c>
      <c r="D235" t="s">
        <v>9</v>
      </c>
      <c r="E235" s="1">
        <v>45552</v>
      </c>
      <c r="F235">
        <v>2407</v>
      </c>
      <c r="G235" t="s">
        <v>14</v>
      </c>
      <c r="H235" t="s">
        <v>19</v>
      </c>
      <c r="I235" t="s">
        <v>1904</v>
      </c>
      <c r="J235" t="str" cm="1">
        <f t="array" ref="J235">_xlfn.IFS(HOUR(I235)&lt;12,"Morning",HOUR(I235)&lt;17,"Afternoon",TRUE,"Evening")</f>
        <v>Evening</v>
      </c>
      <c r="K235" t="s">
        <v>12</v>
      </c>
      <c r="L235" t="str">
        <f t="shared" si="9"/>
        <v>Attended</v>
      </c>
      <c r="M235">
        <f t="shared" si="10"/>
        <v>0</v>
      </c>
      <c r="N235" t="str">
        <f t="shared" si="11"/>
        <v>Tuesday</v>
      </c>
      <c r="O2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36" spans="1:15" x14ac:dyDescent="0.25">
      <c r="A236">
        <v>5234</v>
      </c>
      <c r="B236">
        <v>845</v>
      </c>
      <c r="C236">
        <v>1027</v>
      </c>
      <c r="D236" t="s">
        <v>24</v>
      </c>
      <c r="E236" s="1">
        <v>45694</v>
      </c>
      <c r="F236">
        <v>2341</v>
      </c>
      <c r="G236" t="s">
        <v>25</v>
      </c>
      <c r="H236" t="s">
        <v>11</v>
      </c>
      <c r="I236" t="s">
        <v>1913</v>
      </c>
      <c r="J236" t="str" cm="1">
        <f t="array" ref="J236">_xlfn.IFS(HOUR(I236)&lt;12,"Morning",HOUR(I236)&lt;17,"Afternoon",TRUE,"Evening")</f>
        <v>Morning</v>
      </c>
      <c r="K236" t="s">
        <v>12</v>
      </c>
      <c r="L236" t="str">
        <f t="shared" si="9"/>
        <v>Attended</v>
      </c>
      <c r="M236">
        <f t="shared" si="10"/>
        <v>0</v>
      </c>
      <c r="N236" t="str">
        <f t="shared" si="11"/>
        <v>Thursday</v>
      </c>
      <c r="O23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37" spans="1:15" x14ac:dyDescent="0.25">
      <c r="A237">
        <v>5235</v>
      </c>
      <c r="B237">
        <v>616</v>
      </c>
      <c r="C237">
        <v>1027</v>
      </c>
      <c r="D237" t="s">
        <v>9</v>
      </c>
      <c r="E237" s="1">
        <v>45550</v>
      </c>
      <c r="F237">
        <v>1459</v>
      </c>
      <c r="G237" t="s">
        <v>25</v>
      </c>
      <c r="H237" t="s">
        <v>11</v>
      </c>
      <c r="I237" t="s">
        <v>1921</v>
      </c>
      <c r="J237" t="str" cm="1">
        <f t="array" ref="J237">_xlfn.IFS(HOUR(I237)&lt;12,"Morning",HOUR(I237)&lt;17,"Afternoon",TRUE,"Evening")</f>
        <v>Afternoon</v>
      </c>
      <c r="K237" t="s">
        <v>12</v>
      </c>
      <c r="L237" t="str">
        <f t="shared" si="9"/>
        <v>Attended</v>
      </c>
      <c r="M237">
        <f t="shared" si="10"/>
        <v>0</v>
      </c>
      <c r="N237" t="str">
        <f t="shared" si="11"/>
        <v>Sunday</v>
      </c>
      <c r="O23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38" spans="1:15" x14ac:dyDescent="0.25">
      <c r="A238">
        <v>5236</v>
      </c>
      <c r="B238">
        <v>1484</v>
      </c>
      <c r="C238">
        <v>1027</v>
      </c>
      <c r="D238" t="s">
        <v>9</v>
      </c>
      <c r="E238" s="1">
        <v>45537</v>
      </c>
      <c r="F238">
        <v>2010</v>
      </c>
      <c r="G238" t="s">
        <v>10</v>
      </c>
      <c r="H238" t="s">
        <v>11</v>
      </c>
      <c r="I238" t="s">
        <v>1926</v>
      </c>
      <c r="J238" t="str" cm="1">
        <f t="array" ref="J238">_xlfn.IFS(HOUR(I238)&lt;12,"Morning",HOUR(I238)&lt;17,"Afternoon",TRUE,"Evening")</f>
        <v>Afternoon</v>
      </c>
      <c r="K238" t="s">
        <v>12</v>
      </c>
      <c r="L238" t="str">
        <f t="shared" si="9"/>
        <v>Attended</v>
      </c>
      <c r="M238">
        <f t="shared" si="10"/>
        <v>0</v>
      </c>
      <c r="N238" t="str">
        <f t="shared" si="11"/>
        <v>Monday</v>
      </c>
      <c r="O23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39" spans="1:15" x14ac:dyDescent="0.25">
      <c r="A239">
        <v>5237</v>
      </c>
      <c r="B239">
        <v>596</v>
      </c>
      <c r="C239">
        <v>1027</v>
      </c>
      <c r="D239" t="s">
        <v>27</v>
      </c>
      <c r="E239" s="1">
        <v>45808</v>
      </c>
      <c r="F239">
        <v>1369</v>
      </c>
      <c r="G239" t="s">
        <v>17</v>
      </c>
      <c r="H239" t="s">
        <v>19</v>
      </c>
      <c r="I239" t="s">
        <v>1918</v>
      </c>
      <c r="J239" t="str" cm="1">
        <f t="array" ref="J239">_xlfn.IFS(HOUR(I239)&lt;12,"Morning",HOUR(I239)&lt;17,"Afternoon",TRUE,"Evening")</f>
        <v>Evening</v>
      </c>
      <c r="K239" t="s">
        <v>12</v>
      </c>
      <c r="L239" t="str">
        <f t="shared" si="9"/>
        <v>Attended</v>
      </c>
      <c r="M239">
        <f t="shared" si="10"/>
        <v>0</v>
      </c>
      <c r="N239" t="str">
        <f t="shared" si="11"/>
        <v>Saturday</v>
      </c>
      <c r="O23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40" spans="1:15" x14ac:dyDescent="0.25">
      <c r="A240">
        <v>5238</v>
      </c>
      <c r="B240">
        <v>813</v>
      </c>
      <c r="C240">
        <v>1027</v>
      </c>
      <c r="D240" t="s">
        <v>22</v>
      </c>
      <c r="E240" s="1">
        <v>45741</v>
      </c>
      <c r="F240">
        <v>2490</v>
      </c>
      <c r="G240" t="s">
        <v>17</v>
      </c>
      <c r="H240" t="s">
        <v>11</v>
      </c>
      <c r="I240" t="s">
        <v>1942</v>
      </c>
      <c r="J240" t="str" cm="1">
        <f t="array" ref="J240">_xlfn.IFS(HOUR(I240)&lt;12,"Morning",HOUR(I240)&lt;17,"Afternoon",TRUE,"Evening")</f>
        <v>Evening</v>
      </c>
      <c r="K240" t="s">
        <v>28</v>
      </c>
      <c r="L240" t="str">
        <f t="shared" si="9"/>
        <v>No Show</v>
      </c>
      <c r="M240">
        <f t="shared" si="10"/>
        <v>1</v>
      </c>
      <c r="N240" t="str">
        <f t="shared" si="11"/>
        <v>Tuesday</v>
      </c>
      <c r="O24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1" spans="1:15" x14ac:dyDescent="0.25">
      <c r="A241">
        <v>5239</v>
      </c>
      <c r="B241">
        <v>752</v>
      </c>
      <c r="C241">
        <v>1027</v>
      </c>
      <c r="D241" t="s">
        <v>24</v>
      </c>
      <c r="E241" s="1">
        <v>45803</v>
      </c>
      <c r="F241">
        <v>1622</v>
      </c>
      <c r="G241" t="s">
        <v>17</v>
      </c>
      <c r="H241" t="s">
        <v>19</v>
      </c>
      <c r="I241" t="s">
        <v>1943</v>
      </c>
      <c r="J241" t="str" cm="1">
        <f t="array" ref="J241">_xlfn.IFS(HOUR(I241)&lt;12,"Morning",HOUR(I241)&lt;17,"Afternoon",TRUE,"Evening")</f>
        <v>Afternoon</v>
      </c>
      <c r="K241" t="s">
        <v>12</v>
      </c>
      <c r="L241" t="str">
        <f t="shared" si="9"/>
        <v>Attended</v>
      </c>
      <c r="M241">
        <f t="shared" si="10"/>
        <v>0</v>
      </c>
      <c r="N241" t="str">
        <f t="shared" si="11"/>
        <v>Monday</v>
      </c>
      <c r="O24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2" spans="1:15" x14ac:dyDescent="0.25">
      <c r="A242">
        <v>5240</v>
      </c>
      <c r="B242">
        <v>1186</v>
      </c>
      <c r="C242">
        <v>1001</v>
      </c>
      <c r="D242" t="s">
        <v>18</v>
      </c>
      <c r="E242" s="1">
        <v>45618</v>
      </c>
      <c r="F242">
        <v>1856</v>
      </c>
      <c r="G242" t="s">
        <v>17</v>
      </c>
      <c r="H242" t="s">
        <v>11</v>
      </c>
      <c r="I242" t="s">
        <v>1909</v>
      </c>
      <c r="J242" t="str" cm="1">
        <f t="array" ref="J242">_xlfn.IFS(HOUR(I242)&lt;12,"Morning",HOUR(I242)&lt;17,"Afternoon",TRUE,"Evening")</f>
        <v>Afternoon</v>
      </c>
      <c r="K242" t="s">
        <v>28</v>
      </c>
      <c r="L242" t="str">
        <f t="shared" si="9"/>
        <v>No Show</v>
      </c>
      <c r="M242">
        <f t="shared" si="10"/>
        <v>1</v>
      </c>
      <c r="N242" t="str">
        <f t="shared" si="11"/>
        <v>Friday</v>
      </c>
      <c r="O2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3" spans="1:15" x14ac:dyDescent="0.25">
      <c r="A243">
        <v>5241</v>
      </c>
      <c r="B243">
        <v>1161</v>
      </c>
      <c r="C243">
        <v>1027</v>
      </c>
      <c r="D243" t="s">
        <v>24</v>
      </c>
      <c r="E243" s="1">
        <v>45827</v>
      </c>
      <c r="F243">
        <v>2373</v>
      </c>
      <c r="G243" t="s">
        <v>17</v>
      </c>
      <c r="H243" t="s">
        <v>11</v>
      </c>
      <c r="I243" t="s">
        <v>1925</v>
      </c>
      <c r="J243" t="str" cm="1">
        <f t="array" ref="J243">_xlfn.IFS(HOUR(I243)&lt;12,"Morning",HOUR(I243)&lt;17,"Afternoon",TRUE,"Evening")</f>
        <v>Afternoon</v>
      </c>
      <c r="K243" t="s">
        <v>23</v>
      </c>
      <c r="L243" t="str">
        <f t="shared" si="9"/>
        <v>No Show</v>
      </c>
      <c r="M243">
        <f t="shared" si="10"/>
        <v>1</v>
      </c>
      <c r="N243" t="str">
        <f t="shared" si="11"/>
        <v>Thursday</v>
      </c>
      <c r="O24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4" spans="1:15" x14ac:dyDescent="0.25">
      <c r="A244">
        <v>5242</v>
      </c>
      <c r="B244">
        <v>684</v>
      </c>
      <c r="C244">
        <v>1027</v>
      </c>
      <c r="D244" t="s">
        <v>9</v>
      </c>
      <c r="E244" s="1">
        <v>45730</v>
      </c>
      <c r="F244">
        <v>962</v>
      </c>
      <c r="G244" t="s">
        <v>17</v>
      </c>
      <c r="H244" t="s">
        <v>19</v>
      </c>
      <c r="I244" t="s">
        <v>1916</v>
      </c>
      <c r="J244" t="str" cm="1">
        <f t="array" ref="J244">_xlfn.IFS(HOUR(I244)&lt;12,"Morning",HOUR(I244)&lt;17,"Afternoon",TRUE,"Evening")</f>
        <v>Afternoon</v>
      </c>
      <c r="K244" t="s">
        <v>12</v>
      </c>
      <c r="L244" t="str">
        <f t="shared" si="9"/>
        <v>Attended</v>
      </c>
      <c r="M244">
        <f t="shared" si="10"/>
        <v>0</v>
      </c>
      <c r="N244" t="str">
        <f t="shared" si="11"/>
        <v>Friday</v>
      </c>
      <c r="O24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5" spans="1:15" x14ac:dyDescent="0.25">
      <c r="A245">
        <v>5243</v>
      </c>
      <c r="B245">
        <v>1366</v>
      </c>
      <c r="C245">
        <v>1027</v>
      </c>
      <c r="D245" t="s">
        <v>24</v>
      </c>
      <c r="E245" s="1">
        <v>45618</v>
      </c>
      <c r="F245">
        <v>1973</v>
      </c>
      <c r="G245" t="s">
        <v>17</v>
      </c>
      <c r="H245" t="s">
        <v>19</v>
      </c>
      <c r="I245" t="s">
        <v>1935</v>
      </c>
      <c r="J245" t="str" cm="1">
        <f t="array" ref="J245">_xlfn.IFS(HOUR(I245)&lt;12,"Morning",HOUR(I245)&lt;17,"Afternoon",TRUE,"Evening")</f>
        <v>Afternoon</v>
      </c>
      <c r="K245" t="s">
        <v>12</v>
      </c>
      <c r="L245" t="str">
        <f t="shared" si="9"/>
        <v>Attended</v>
      </c>
      <c r="M245">
        <f t="shared" si="10"/>
        <v>0</v>
      </c>
      <c r="N245" t="str">
        <f t="shared" si="11"/>
        <v>Friday</v>
      </c>
      <c r="O24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6" spans="1:15" x14ac:dyDescent="0.25">
      <c r="A246">
        <v>5244</v>
      </c>
      <c r="B246">
        <v>290</v>
      </c>
      <c r="C246">
        <v>1027</v>
      </c>
      <c r="D246" t="s">
        <v>27</v>
      </c>
      <c r="E246" s="1">
        <v>45837</v>
      </c>
      <c r="F246">
        <v>1690</v>
      </c>
      <c r="G246" t="s">
        <v>10</v>
      </c>
      <c r="H246" t="s">
        <v>19</v>
      </c>
      <c r="I246" t="s">
        <v>1911</v>
      </c>
      <c r="J246" t="str" cm="1">
        <f t="array" ref="J246">_xlfn.IFS(HOUR(I246)&lt;12,"Morning",HOUR(I246)&lt;17,"Afternoon",TRUE,"Evening")</f>
        <v>Morning</v>
      </c>
      <c r="K246" t="s">
        <v>23</v>
      </c>
      <c r="L246" t="str">
        <f t="shared" si="9"/>
        <v>No Show</v>
      </c>
      <c r="M246">
        <f t="shared" si="10"/>
        <v>1</v>
      </c>
      <c r="N246" t="str">
        <f t="shared" si="11"/>
        <v>Sunday</v>
      </c>
      <c r="O24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47" spans="1:15" x14ac:dyDescent="0.25">
      <c r="A247">
        <v>5245</v>
      </c>
      <c r="B247">
        <v>249</v>
      </c>
      <c r="C247">
        <v>1024</v>
      </c>
      <c r="D247" t="s">
        <v>16</v>
      </c>
      <c r="E247" s="1">
        <v>45624</v>
      </c>
      <c r="F247">
        <v>933</v>
      </c>
      <c r="G247" t="s">
        <v>10</v>
      </c>
      <c r="H247" t="s">
        <v>19</v>
      </c>
      <c r="I247" t="s">
        <v>1908</v>
      </c>
      <c r="J247" t="str" cm="1">
        <f t="array" ref="J247">_xlfn.IFS(HOUR(I247)&lt;12,"Morning",HOUR(I247)&lt;17,"Afternoon",TRUE,"Evening")</f>
        <v>Morning</v>
      </c>
      <c r="K247" t="s">
        <v>12</v>
      </c>
      <c r="L247" t="str">
        <f t="shared" si="9"/>
        <v>Attended</v>
      </c>
      <c r="M247">
        <f t="shared" si="10"/>
        <v>0</v>
      </c>
      <c r="N247" t="str">
        <f t="shared" si="11"/>
        <v>Thursday</v>
      </c>
      <c r="O24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8" spans="1:15" x14ac:dyDescent="0.25">
      <c r="A248">
        <v>5246</v>
      </c>
      <c r="B248">
        <v>507</v>
      </c>
      <c r="C248">
        <v>1001</v>
      </c>
      <c r="D248" t="s">
        <v>18</v>
      </c>
      <c r="E248" s="1">
        <v>45791</v>
      </c>
      <c r="F248">
        <v>1349</v>
      </c>
      <c r="G248" t="s">
        <v>25</v>
      </c>
      <c r="H248" t="s">
        <v>11</v>
      </c>
      <c r="I248" t="s">
        <v>1941</v>
      </c>
      <c r="J248" t="str" cm="1">
        <f t="array" ref="J248">_xlfn.IFS(HOUR(I248)&lt;12,"Morning",HOUR(I248)&lt;17,"Afternoon",TRUE,"Evening")</f>
        <v>Morning</v>
      </c>
      <c r="K248" t="s">
        <v>12</v>
      </c>
      <c r="L248" t="str">
        <f t="shared" si="9"/>
        <v>Attended</v>
      </c>
      <c r="M248">
        <f t="shared" si="10"/>
        <v>0</v>
      </c>
      <c r="N248" t="str">
        <f t="shared" si="11"/>
        <v>Wednesday</v>
      </c>
      <c r="O2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49" spans="1:15" x14ac:dyDescent="0.25">
      <c r="A249">
        <v>5247</v>
      </c>
      <c r="B249">
        <v>277</v>
      </c>
      <c r="C249">
        <v>1008</v>
      </c>
      <c r="D249" t="s">
        <v>13</v>
      </c>
      <c r="E249" s="1">
        <v>45761</v>
      </c>
      <c r="F249">
        <v>2180</v>
      </c>
      <c r="G249" t="s">
        <v>10</v>
      </c>
      <c r="H249" t="s">
        <v>11</v>
      </c>
      <c r="I249" t="s">
        <v>1929</v>
      </c>
      <c r="J249" t="str" cm="1">
        <f t="array" ref="J249">_xlfn.IFS(HOUR(I249)&lt;12,"Morning",HOUR(I249)&lt;17,"Afternoon",TRUE,"Evening")</f>
        <v>Afternoon</v>
      </c>
      <c r="K249" t="s">
        <v>12</v>
      </c>
      <c r="L249" t="str">
        <f t="shared" si="9"/>
        <v>Attended</v>
      </c>
      <c r="M249">
        <f t="shared" si="10"/>
        <v>0</v>
      </c>
      <c r="N249" t="str">
        <f t="shared" si="11"/>
        <v>Monday</v>
      </c>
      <c r="O24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50" spans="1:15" x14ac:dyDescent="0.25">
      <c r="A250">
        <v>5248</v>
      </c>
      <c r="B250">
        <v>1042</v>
      </c>
      <c r="C250">
        <v>1024</v>
      </c>
      <c r="D250" t="s">
        <v>16</v>
      </c>
      <c r="E250" s="1">
        <v>45691</v>
      </c>
      <c r="F250">
        <v>1572</v>
      </c>
      <c r="G250" t="s">
        <v>14</v>
      </c>
      <c r="H250" t="s">
        <v>19</v>
      </c>
      <c r="I250" t="s">
        <v>1938</v>
      </c>
      <c r="J250" t="str" cm="1">
        <f t="array" ref="J250">_xlfn.IFS(HOUR(I250)&lt;12,"Morning",HOUR(I250)&lt;17,"Afternoon",TRUE,"Evening")</f>
        <v>Afternoon</v>
      </c>
      <c r="K250" t="s">
        <v>12</v>
      </c>
      <c r="L250" t="str">
        <f t="shared" si="9"/>
        <v>Attended</v>
      </c>
      <c r="M250">
        <f t="shared" si="10"/>
        <v>0</v>
      </c>
      <c r="N250" t="str">
        <f t="shared" si="11"/>
        <v>Monday</v>
      </c>
      <c r="O2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51" spans="1:15" x14ac:dyDescent="0.25">
      <c r="A251">
        <v>5249</v>
      </c>
      <c r="B251">
        <v>1377</v>
      </c>
      <c r="C251">
        <v>1004</v>
      </c>
      <c r="D251" t="s">
        <v>18</v>
      </c>
      <c r="E251" s="1">
        <v>45518</v>
      </c>
      <c r="F251">
        <v>980</v>
      </c>
      <c r="G251" t="s">
        <v>14</v>
      </c>
      <c r="H251" t="s">
        <v>19</v>
      </c>
      <c r="I251" t="s">
        <v>1913</v>
      </c>
      <c r="J251" t="str" cm="1">
        <f t="array" ref="J251">_xlfn.IFS(HOUR(I251)&lt;12,"Morning",HOUR(I251)&lt;17,"Afternoon",TRUE,"Evening")</f>
        <v>Morning</v>
      </c>
      <c r="K251" t="s">
        <v>12</v>
      </c>
      <c r="L251" t="str">
        <f t="shared" si="9"/>
        <v>Attended</v>
      </c>
      <c r="M251">
        <f t="shared" si="10"/>
        <v>0</v>
      </c>
      <c r="N251" t="str">
        <f t="shared" si="11"/>
        <v>Wednesday</v>
      </c>
      <c r="O25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52" spans="1:15" x14ac:dyDescent="0.25">
      <c r="A252">
        <v>5250</v>
      </c>
      <c r="B252">
        <v>944</v>
      </c>
      <c r="C252">
        <v>1020</v>
      </c>
      <c r="D252" t="s">
        <v>26</v>
      </c>
      <c r="E252" s="1">
        <v>45711</v>
      </c>
      <c r="F252">
        <v>2291</v>
      </c>
      <c r="G252" t="s">
        <v>25</v>
      </c>
      <c r="H252" t="s">
        <v>11</v>
      </c>
      <c r="I252" t="s">
        <v>1940</v>
      </c>
      <c r="J252" t="str" cm="1">
        <f t="array" ref="J252">_xlfn.IFS(HOUR(I252)&lt;12,"Morning",HOUR(I252)&lt;17,"Afternoon",TRUE,"Evening")</f>
        <v>Morning</v>
      </c>
      <c r="K252" t="s">
        <v>28</v>
      </c>
      <c r="L252" t="str">
        <f t="shared" si="9"/>
        <v>No Show</v>
      </c>
      <c r="M252">
        <f t="shared" si="10"/>
        <v>1</v>
      </c>
      <c r="N252" t="str">
        <f t="shared" si="11"/>
        <v>Sunday</v>
      </c>
      <c r="O25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53" spans="1:15" x14ac:dyDescent="0.25">
      <c r="A253">
        <v>5251</v>
      </c>
      <c r="B253">
        <v>483</v>
      </c>
      <c r="C253">
        <v>1024</v>
      </c>
      <c r="D253" t="s">
        <v>16</v>
      </c>
      <c r="E253" s="1">
        <v>45629</v>
      </c>
      <c r="F253">
        <v>2486</v>
      </c>
      <c r="G253" t="s">
        <v>17</v>
      </c>
      <c r="H253" t="s">
        <v>19</v>
      </c>
      <c r="I253" t="s">
        <v>1927</v>
      </c>
      <c r="J253" t="str" cm="1">
        <f t="array" ref="J253">_xlfn.IFS(HOUR(I253)&lt;12,"Morning",HOUR(I253)&lt;17,"Afternoon",TRUE,"Evening")</f>
        <v>Afternoon</v>
      </c>
      <c r="K253" t="s">
        <v>12</v>
      </c>
      <c r="L253" t="str">
        <f t="shared" si="9"/>
        <v>Attended</v>
      </c>
      <c r="M253">
        <f t="shared" si="10"/>
        <v>0</v>
      </c>
      <c r="N253" t="str">
        <f t="shared" si="11"/>
        <v>Tuesday</v>
      </c>
      <c r="O25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54" spans="1:15" x14ac:dyDescent="0.25">
      <c r="A254">
        <v>5252</v>
      </c>
      <c r="B254">
        <v>1021</v>
      </c>
      <c r="C254">
        <v>1027</v>
      </c>
      <c r="D254" t="s">
        <v>24</v>
      </c>
      <c r="E254" s="1">
        <v>45822</v>
      </c>
      <c r="F254">
        <v>1170</v>
      </c>
      <c r="G254" t="s">
        <v>10</v>
      </c>
      <c r="H254" t="s">
        <v>15</v>
      </c>
      <c r="I254" t="s">
        <v>1921</v>
      </c>
      <c r="J254" t="str" cm="1">
        <f t="array" ref="J254">_xlfn.IFS(HOUR(I254)&lt;12,"Morning",HOUR(I254)&lt;17,"Afternoon",TRUE,"Evening")</f>
        <v>Afternoon</v>
      </c>
      <c r="K254" t="s">
        <v>23</v>
      </c>
      <c r="L254" t="str">
        <f t="shared" si="9"/>
        <v>No Show</v>
      </c>
      <c r="M254">
        <f t="shared" si="10"/>
        <v>1</v>
      </c>
      <c r="N254" t="str">
        <f t="shared" si="11"/>
        <v>Saturday</v>
      </c>
      <c r="O25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55" spans="1:15" x14ac:dyDescent="0.25">
      <c r="A255">
        <v>5253</v>
      </c>
      <c r="B255">
        <v>1267</v>
      </c>
      <c r="C255">
        <v>1027</v>
      </c>
      <c r="D255" t="s">
        <v>21</v>
      </c>
      <c r="E255" s="1">
        <v>45493</v>
      </c>
      <c r="F255">
        <v>1416</v>
      </c>
      <c r="G255" t="s">
        <v>17</v>
      </c>
      <c r="H255" t="s">
        <v>11</v>
      </c>
      <c r="I255" t="s">
        <v>1911</v>
      </c>
      <c r="J255" t="str" cm="1">
        <f t="array" ref="J255">_xlfn.IFS(HOUR(I255)&lt;12,"Morning",HOUR(I255)&lt;17,"Afternoon",TRUE,"Evening")</f>
        <v>Morning</v>
      </c>
      <c r="K255" t="s">
        <v>12</v>
      </c>
      <c r="L255" t="str">
        <f t="shared" si="9"/>
        <v>Attended</v>
      </c>
      <c r="M255">
        <f t="shared" si="10"/>
        <v>0</v>
      </c>
      <c r="N255" t="str">
        <f t="shared" si="11"/>
        <v>Saturday</v>
      </c>
      <c r="O25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56" spans="1:15" x14ac:dyDescent="0.25">
      <c r="A256">
        <v>5254</v>
      </c>
      <c r="B256">
        <v>733</v>
      </c>
      <c r="C256">
        <v>1020</v>
      </c>
      <c r="D256" t="s">
        <v>26</v>
      </c>
      <c r="E256" s="1">
        <v>45814</v>
      </c>
      <c r="F256">
        <v>2470</v>
      </c>
      <c r="G256" t="s">
        <v>17</v>
      </c>
      <c r="H256" t="s">
        <v>19</v>
      </c>
      <c r="I256" t="s">
        <v>1914</v>
      </c>
      <c r="J256" t="str" cm="1">
        <f t="array" ref="J256">_xlfn.IFS(HOUR(I256)&lt;12,"Morning",HOUR(I256)&lt;17,"Afternoon",TRUE,"Evening")</f>
        <v>Afternoon</v>
      </c>
      <c r="K256" t="s">
        <v>23</v>
      </c>
      <c r="L256" t="str">
        <f t="shared" si="9"/>
        <v>No Show</v>
      </c>
      <c r="M256">
        <f t="shared" si="10"/>
        <v>1</v>
      </c>
      <c r="N256" t="str">
        <f t="shared" si="11"/>
        <v>Friday</v>
      </c>
      <c r="O2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57" spans="1:15" x14ac:dyDescent="0.25">
      <c r="A257">
        <v>5255</v>
      </c>
      <c r="B257">
        <v>1078</v>
      </c>
      <c r="C257">
        <v>1009</v>
      </c>
      <c r="D257" t="s">
        <v>13</v>
      </c>
      <c r="E257" s="1">
        <v>45629</v>
      </c>
      <c r="F257">
        <v>992</v>
      </c>
      <c r="G257" t="s">
        <v>25</v>
      </c>
      <c r="H257" t="s">
        <v>15</v>
      </c>
      <c r="I257" t="s">
        <v>1927</v>
      </c>
      <c r="J257" t="str" cm="1">
        <f t="array" ref="J257">_xlfn.IFS(HOUR(I257)&lt;12,"Morning",HOUR(I257)&lt;17,"Afternoon",TRUE,"Evening")</f>
        <v>Afternoon</v>
      </c>
      <c r="K257" t="s">
        <v>12</v>
      </c>
      <c r="L257" t="str">
        <f t="shared" si="9"/>
        <v>Attended</v>
      </c>
      <c r="M257">
        <f t="shared" si="10"/>
        <v>0</v>
      </c>
      <c r="N257" t="str">
        <f t="shared" si="11"/>
        <v>Tuesday</v>
      </c>
      <c r="O25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58" spans="1:15" x14ac:dyDescent="0.25">
      <c r="A258">
        <v>5256</v>
      </c>
      <c r="B258">
        <v>652</v>
      </c>
      <c r="C258">
        <v>1008</v>
      </c>
      <c r="D258" t="s">
        <v>13</v>
      </c>
      <c r="E258" s="1">
        <v>45572</v>
      </c>
      <c r="F258">
        <v>906</v>
      </c>
      <c r="G258" t="s">
        <v>17</v>
      </c>
      <c r="H258" t="s">
        <v>15</v>
      </c>
      <c r="I258" t="s">
        <v>1926</v>
      </c>
      <c r="J258" t="str" cm="1">
        <f t="array" ref="J258">_xlfn.IFS(HOUR(I258)&lt;12,"Morning",HOUR(I258)&lt;17,"Afternoon",TRUE,"Evening")</f>
        <v>Afternoon</v>
      </c>
      <c r="K258" t="s">
        <v>12</v>
      </c>
      <c r="L258" t="str">
        <f t="shared" si="9"/>
        <v>Attended</v>
      </c>
      <c r="M258">
        <f t="shared" si="10"/>
        <v>0</v>
      </c>
      <c r="N258" t="str">
        <f t="shared" si="11"/>
        <v>Monday</v>
      </c>
      <c r="O25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59" spans="1:15" x14ac:dyDescent="0.25">
      <c r="A259">
        <v>5257</v>
      </c>
      <c r="B259">
        <v>1599</v>
      </c>
      <c r="C259">
        <v>1027</v>
      </c>
      <c r="D259" t="s">
        <v>21</v>
      </c>
      <c r="E259" s="1">
        <v>45622</v>
      </c>
      <c r="F259">
        <v>1827</v>
      </c>
      <c r="G259" t="s">
        <v>10</v>
      </c>
      <c r="H259" t="s">
        <v>19</v>
      </c>
      <c r="I259" t="s">
        <v>1943</v>
      </c>
      <c r="J259" t="str" cm="1">
        <f t="array" ref="J259">_xlfn.IFS(HOUR(I259)&lt;12,"Morning",HOUR(I259)&lt;17,"Afternoon",TRUE,"Evening")</f>
        <v>Afternoon</v>
      </c>
      <c r="K259" t="s">
        <v>12</v>
      </c>
      <c r="L259" t="str">
        <f t="shared" ref="L259:L322" si="12">IF(K259="completed","Attended","No Show")</f>
        <v>Attended</v>
      </c>
      <c r="M259">
        <f t="shared" ref="M259:M322" si="13">IF(L259="No Show",1,0)</f>
        <v>0</v>
      </c>
      <c r="N259" t="str">
        <f t="shared" ref="N259:N322" si="14">TEXT(E259,"dddd")</f>
        <v>Tuesday</v>
      </c>
      <c r="O25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60" spans="1:15" x14ac:dyDescent="0.25">
      <c r="A260">
        <v>5258</v>
      </c>
      <c r="B260">
        <v>507</v>
      </c>
      <c r="C260">
        <v>1009</v>
      </c>
      <c r="D260" t="s">
        <v>13</v>
      </c>
      <c r="E260" s="1">
        <v>45663</v>
      </c>
      <c r="F260">
        <v>1262</v>
      </c>
      <c r="G260" t="s">
        <v>10</v>
      </c>
      <c r="H260" t="s">
        <v>19</v>
      </c>
      <c r="I260" t="s">
        <v>1930</v>
      </c>
      <c r="J260" t="str" cm="1">
        <f t="array" ref="J260">_xlfn.IFS(HOUR(I260)&lt;12,"Morning",HOUR(I260)&lt;17,"Afternoon",TRUE,"Evening")</f>
        <v>Morning</v>
      </c>
      <c r="K260" t="s">
        <v>12</v>
      </c>
      <c r="L260" t="str">
        <f t="shared" si="12"/>
        <v>Attended</v>
      </c>
      <c r="M260">
        <f t="shared" si="13"/>
        <v>0</v>
      </c>
      <c r="N260" t="str">
        <f t="shared" si="14"/>
        <v>Monday</v>
      </c>
      <c r="O26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61" spans="1:15" x14ac:dyDescent="0.25">
      <c r="A261">
        <v>5259</v>
      </c>
      <c r="B261">
        <v>713</v>
      </c>
      <c r="C261">
        <v>1027</v>
      </c>
      <c r="D261" t="s">
        <v>24</v>
      </c>
      <c r="E261" s="1">
        <v>45656</v>
      </c>
      <c r="F261">
        <v>2020</v>
      </c>
      <c r="G261" t="s">
        <v>17</v>
      </c>
      <c r="H261" t="s">
        <v>19</v>
      </c>
      <c r="I261" t="s">
        <v>1920</v>
      </c>
      <c r="J261" t="str" cm="1">
        <f t="array" ref="J261">_xlfn.IFS(HOUR(I261)&lt;12,"Morning",HOUR(I261)&lt;17,"Afternoon",TRUE,"Evening")</f>
        <v>Morning</v>
      </c>
      <c r="K261" t="s">
        <v>20</v>
      </c>
      <c r="L261" t="str">
        <f t="shared" si="12"/>
        <v>No Show</v>
      </c>
      <c r="M261">
        <f t="shared" si="13"/>
        <v>1</v>
      </c>
      <c r="N261" t="str">
        <f t="shared" si="14"/>
        <v>Monday</v>
      </c>
      <c r="O26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62" spans="1:15" x14ac:dyDescent="0.25">
      <c r="A262">
        <v>5260</v>
      </c>
      <c r="B262">
        <v>345</v>
      </c>
      <c r="C262">
        <v>1027</v>
      </c>
      <c r="D262" t="s">
        <v>24</v>
      </c>
      <c r="E262" s="1">
        <v>45543</v>
      </c>
      <c r="F262">
        <v>1267</v>
      </c>
      <c r="G262" t="s">
        <v>14</v>
      </c>
      <c r="H262" t="s">
        <v>15</v>
      </c>
      <c r="I262" t="s">
        <v>1906</v>
      </c>
      <c r="J262" t="str" cm="1">
        <f t="array" ref="J262">_xlfn.IFS(HOUR(I262)&lt;12,"Morning",HOUR(I262)&lt;17,"Afternoon",TRUE,"Evening")</f>
        <v>Afternoon</v>
      </c>
      <c r="K262" t="s">
        <v>12</v>
      </c>
      <c r="L262" t="str">
        <f t="shared" si="12"/>
        <v>Attended</v>
      </c>
      <c r="M262">
        <f t="shared" si="13"/>
        <v>0</v>
      </c>
      <c r="N262" t="str">
        <f t="shared" si="14"/>
        <v>Sunday</v>
      </c>
      <c r="O26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63" spans="1:15" x14ac:dyDescent="0.25">
      <c r="A263">
        <v>5261</v>
      </c>
      <c r="B263">
        <v>339</v>
      </c>
      <c r="C263">
        <v>1009</v>
      </c>
      <c r="D263" t="s">
        <v>13</v>
      </c>
      <c r="E263" s="1">
        <v>45824</v>
      </c>
      <c r="F263">
        <v>2055</v>
      </c>
      <c r="G263" t="s">
        <v>17</v>
      </c>
      <c r="H263" t="s">
        <v>15</v>
      </c>
      <c r="I263" t="s">
        <v>1918</v>
      </c>
      <c r="J263" t="str" cm="1">
        <f t="array" ref="J263">_xlfn.IFS(HOUR(I263)&lt;12,"Morning",HOUR(I263)&lt;17,"Afternoon",TRUE,"Evening")</f>
        <v>Evening</v>
      </c>
      <c r="K263" t="s">
        <v>23</v>
      </c>
      <c r="L263" t="str">
        <f t="shared" si="12"/>
        <v>No Show</v>
      </c>
      <c r="M263">
        <f t="shared" si="13"/>
        <v>1</v>
      </c>
      <c r="N263" t="str">
        <f t="shared" si="14"/>
        <v>Monday</v>
      </c>
      <c r="O26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64" spans="1:15" x14ac:dyDescent="0.25">
      <c r="A264">
        <v>5262</v>
      </c>
      <c r="B264">
        <v>281</v>
      </c>
      <c r="C264">
        <v>1024</v>
      </c>
      <c r="D264" t="s">
        <v>16</v>
      </c>
      <c r="E264" s="1">
        <v>45566</v>
      </c>
      <c r="F264">
        <v>2032</v>
      </c>
      <c r="G264" t="s">
        <v>17</v>
      </c>
      <c r="H264" t="s">
        <v>15</v>
      </c>
      <c r="I264" t="s">
        <v>1908</v>
      </c>
      <c r="J264" t="str" cm="1">
        <f t="array" ref="J264">_xlfn.IFS(HOUR(I264)&lt;12,"Morning",HOUR(I264)&lt;17,"Afternoon",TRUE,"Evening")</f>
        <v>Morning</v>
      </c>
      <c r="K264" t="s">
        <v>12</v>
      </c>
      <c r="L264" t="str">
        <f t="shared" si="12"/>
        <v>Attended</v>
      </c>
      <c r="M264">
        <f t="shared" si="13"/>
        <v>0</v>
      </c>
      <c r="N264" t="str">
        <f t="shared" si="14"/>
        <v>Tuesday</v>
      </c>
      <c r="O26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65" spans="1:15" x14ac:dyDescent="0.25">
      <c r="A265">
        <v>5263</v>
      </c>
      <c r="B265">
        <v>1006</v>
      </c>
      <c r="C265">
        <v>1024</v>
      </c>
      <c r="D265" t="s">
        <v>16</v>
      </c>
      <c r="E265" s="1">
        <v>45683</v>
      </c>
      <c r="F265">
        <v>1898</v>
      </c>
      <c r="G265" t="s">
        <v>25</v>
      </c>
      <c r="H265" t="s">
        <v>11</v>
      </c>
      <c r="I265" t="s">
        <v>1928</v>
      </c>
      <c r="J265" t="str" cm="1">
        <f t="array" ref="J265">_xlfn.IFS(HOUR(I265)&lt;12,"Morning",HOUR(I265)&lt;17,"Afternoon",TRUE,"Evening")</f>
        <v>Morning</v>
      </c>
      <c r="K265" t="s">
        <v>12</v>
      </c>
      <c r="L265" t="str">
        <f t="shared" si="12"/>
        <v>Attended</v>
      </c>
      <c r="M265">
        <f t="shared" si="13"/>
        <v>0</v>
      </c>
      <c r="N265" t="str">
        <f t="shared" si="14"/>
        <v>Sunday</v>
      </c>
      <c r="O26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66" spans="1:15" x14ac:dyDescent="0.25">
      <c r="A266">
        <v>5264</v>
      </c>
      <c r="B266">
        <v>181</v>
      </c>
      <c r="C266">
        <v>1027</v>
      </c>
      <c r="D266" t="s">
        <v>21</v>
      </c>
      <c r="E266" s="1">
        <v>45608</v>
      </c>
      <c r="F266">
        <v>1782</v>
      </c>
      <c r="G266" t="s">
        <v>17</v>
      </c>
      <c r="H266" t="s">
        <v>19</v>
      </c>
      <c r="I266" t="s">
        <v>1926</v>
      </c>
      <c r="J266" t="str" cm="1">
        <f t="array" ref="J266">_xlfn.IFS(HOUR(I266)&lt;12,"Morning",HOUR(I266)&lt;17,"Afternoon",TRUE,"Evening")</f>
        <v>Afternoon</v>
      </c>
      <c r="K266" t="s">
        <v>12</v>
      </c>
      <c r="L266" t="str">
        <f t="shared" si="12"/>
        <v>Attended</v>
      </c>
      <c r="M266">
        <f t="shared" si="13"/>
        <v>0</v>
      </c>
      <c r="N266" t="str">
        <f t="shared" si="14"/>
        <v>Tuesday</v>
      </c>
      <c r="O26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67" spans="1:15" x14ac:dyDescent="0.25">
      <c r="A267">
        <v>5265</v>
      </c>
      <c r="B267">
        <v>222</v>
      </c>
      <c r="C267">
        <v>1003</v>
      </c>
      <c r="D267" t="s">
        <v>18</v>
      </c>
      <c r="E267" s="1">
        <v>45649</v>
      </c>
      <c r="F267">
        <v>914</v>
      </c>
      <c r="G267" t="s">
        <v>17</v>
      </c>
      <c r="H267" t="s">
        <v>11</v>
      </c>
      <c r="I267" t="s">
        <v>1931</v>
      </c>
      <c r="J267" t="str" cm="1">
        <f t="array" ref="J267">_xlfn.IFS(HOUR(I267)&lt;12,"Morning",HOUR(I267)&lt;17,"Afternoon",TRUE,"Evening")</f>
        <v>Afternoon</v>
      </c>
      <c r="K267" t="s">
        <v>12</v>
      </c>
      <c r="L267" t="str">
        <f t="shared" si="12"/>
        <v>Attended</v>
      </c>
      <c r="M267">
        <f t="shared" si="13"/>
        <v>0</v>
      </c>
      <c r="N267" t="str">
        <f t="shared" si="14"/>
        <v>Monday</v>
      </c>
      <c r="O26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68" spans="1:15" x14ac:dyDescent="0.25">
      <c r="A268">
        <v>5266</v>
      </c>
      <c r="B268">
        <v>1533</v>
      </c>
      <c r="C268">
        <v>1027</v>
      </c>
      <c r="D268" t="s">
        <v>21</v>
      </c>
      <c r="E268" s="1">
        <v>45641</v>
      </c>
      <c r="F268">
        <v>2386</v>
      </c>
      <c r="G268" t="s">
        <v>14</v>
      </c>
      <c r="H268" t="s">
        <v>15</v>
      </c>
      <c r="I268" t="s">
        <v>1907</v>
      </c>
      <c r="J268" t="str" cm="1">
        <f t="array" ref="J268">_xlfn.IFS(HOUR(I268)&lt;12,"Morning",HOUR(I268)&lt;17,"Afternoon",TRUE,"Evening")</f>
        <v>Afternoon</v>
      </c>
      <c r="K268" t="s">
        <v>12</v>
      </c>
      <c r="L268" t="str">
        <f t="shared" si="12"/>
        <v>Attended</v>
      </c>
      <c r="M268">
        <f t="shared" si="13"/>
        <v>0</v>
      </c>
      <c r="N268" t="str">
        <f t="shared" si="14"/>
        <v>Sunday</v>
      </c>
      <c r="O26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69" spans="1:15" x14ac:dyDescent="0.25">
      <c r="A269">
        <v>5267</v>
      </c>
      <c r="B269">
        <v>1383</v>
      </c>
      <c r="C269">
        <v>1024</v>
      </c>
      <c r="D269" t="s">
        <v>16</v>
      </c>
      <c r="E269" s="1">
        <v>45577</v>
      </c>
      <c r="F269">
        <v>2459</v>
      </c>
      <c r="G269" t="s">
        <v>10</v>
      </c>
      <c r="H269" t="s">
        <v>11</v>
      </c>
      <c r="I269" t="s">
        <v>1943</v>
      </c>
      <c r="J269" t="str" cm="1">
        <f t="array" ref="J269">_xlfn.IFS(HOUR(I269)&lt;12,"Morning",HOUR(I269)&lt;17,"Afternoon",TRUE,"Evening")</f>
        <v>Afternoon</v>
      </c>
      <c r="K269" t="s">
        <v>12</v>
      </c>
      <c r="L269" t="str">
        <f t="shared" si="12"/>
        <v>Attended</v>
      </c>
      <c r="M269">
        <f t="shared" si="13"/>
        <v>0</v>
      </c>
      <c r="N269" t="str">
        <f t="shared" si="14"/>
        <v>Saturday</v>
      </c>
      <c r="O26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70" spans="1:15" x14ac:dyDescent="0.25">
      <c r="A270">
        <v>5268</v>
      </c>
      <c r="B270">
        <v>1497</v>
      </c>
      <c r="C270">
        <v>1027</v>
      </c>
      <c r="D270" t="s">
        <v>27</v>
      </c>
      <c r="E270" s="1">
        <v>45690</v>
      </c>
      <c r="F270">
        <v>2241</v>
      </c>
      <c r="G270" t="s">
        <v>17</v>
      </c>
      <c r="H270" t="s">
        <v>19</v>
      </c>
      <c r="I270" t="s">
        <v>1907</v>
      </c>
      <c r="J270" t="str" cm="1">
        <f t="array" ref="J270">_xlfn.IFS(HOUR(I270)&lt;12,"Morning",HOUR(I270)&lt;17,"Afternoon",TRUE,"Evening")</f>
        <v>Afternoon</v>
      </c>
      <c r="K270" t="s">
        <v>12</v>
      </c>
      <c r="L270" t="str">
        <f t="shared" si="12"/>
        <v>Attended</v>
      </c>
      <c r="M270">
        <f t="shared" si="13"/>
        <v>0</v>
      </c>
      <c r="N270" t="str">
        <f t="shared" si="14"/>
        <v>Sunday</v>
      </c>
      <c r="O27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71" spans="1:15" x14ac:dyDescent="0.25">
      <c r="A271">
        <v>5269</v>
      </c>
      <c r="B271">
        <v>1389</v>
      </c>
      <c r="C271">
        <v>1020</v>
      </c>
      <c r="D271" t="s">
        <v>26</v>
      </c>
      <c r="E271" s="1">
        <v>45706</v>
      </c>
      <c r="F271">
        <v>1470</v>
      </c>
      <c r="G271" t="s">
        <v>25</v>
      </c>
      <c r="H271" t="s">
        <v>15</v>
      </c>
      <c r="I271" t="s">
        <v>1925</v>
      </c>
      <c r="J271" t="str" cm="1">
        <f t="array" ref="J271">_xlfn.IFS(HOUR(I271)&lt;12,"Morning",HOUR(I271)&lt;17,"Afternoon",TRUE,"Evening")</f>
        <v>Afternoon</v>
      </c>
      <c r="K271" t="s">
        <v>28</v>
      </c>
      <c r="L271" t="str">
        <f t="shared" si="12"/>
        <v>No Show</v>
      </c>
      <c r="M271">
        <f t="shared" si="13"/>
        <v>1</v>
      </c>
      <c r="N271" t="str">
        <f t="shared" si="14"/>
        <v>Tuesday</v>
      </c>
      <c r="O27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72" spans="1:15" x14ac:dyDescent="0.25">
      <c r="A272">
        <v>5270</v>
      </c>
      <c r="B272">
        <v>716</v>
      </c>
      <c r="C272">
        <v>1027</v>
      </c>
      <c r="D272" t="s">
        <v>24</v>
      </c>
      <c r="E272" s="1">
        <v>45576</v>
      </c>
      <c r="F272">
        <v>2463</v>
      </c>
      <c r="G272" t="s">
        <v>10</v>
      </c>
      <c r="H272" t="s">
        <v>11</v>
      </c>
      <c r="I272" t="s">
        <v>1911</v>
      </c>
      <c r="J272" t="str" cm="1">
        <f t="array" ref="J272">_xlfn.IFS(HOUR(I272)&lt;12,"Morning",HOUR(I272)&lt;17,"Afternoon",TRUE,"Evening")</f>
        <v>Morning</v>
      </c>
      <c r="K272" t="s">
        <v>12</v>
      </c>
      <c r="L272" t="str">
        <f t="shared" si="12"/>
        <v>Attended</v>
      </c>
      <c r="M272">
        <f t="shared" si="13"/>
        <v>0</v>
      </c>
      <c r="N272" t="str">
        <f t="shared" si="14"/>
        <v>Friday</v>
      </c>
      <c r="O2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73" spans="1:15" x14ac:dyDescent="0.25">
      <c r="A273">
        <v>5271</v>
      </c>
      <c r="B273">
        <v>835</v>
      </c>
      <c r="C273">
        <v>1009</v>
      </c>
      <c r="D273" t="s">
        <v>13</v>
      </c>
      <c r="E273" s="1">
        <v>45486</v>
      </c>
      <c r="F273">
        <v>1633</v>
      </c>
      <c r="G273" t="s">
        <v>14</v>
      </c>
      <c r="H273" t="s">
        <v>15</v>
      </c>
      <c r="I273" t="s">
        <v>1909</v>
      </c>
      <c r="J273" t="str" cm="1">
        <f t="array" ref="J273">_xlfn.IFS(HOUR(I273)&lt;12,"Morning",HOUR(I273)&lt;17,"Afternoon",TRUE,"Evening")</f>
        <v>Afternoon</v>
      </c>
      <c r="K273" t="s">
        <v>12</v>
      </c>
      <c r="L273" t="str">
        <f t="shared" si="12"/>
        <v>Attended</v>
      </c>
      <c r="M273">
        <f t="shared" si="13"/>
        <v>0</v>
      </c>
      <c r="N273" t="str">
        <f t="shared" si="14"/>
        <v>Saturday</v>
      </c>
      <c r="O27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74" spans="1:15" x14ac:dyDescent="0.25">
      <c r="A274">
        <v>5272</v>
      </c>
      <c r="B274">
        <v>487</v>
      </c>
      <c r="C274">
        <v>1027</v>
      </c>
      <c r="D274" t="s">
        <v>21</v>
      </c>
      <c r="E274" s="1">
        <v>45484</v>
      </c>
      <c r="F274">
        <v>1208</v>
      </c>
      <c r="G274" t="s">
        <v>17</v>
      </c>
      <c r="H274" t="s">
        <v>15</v>
      </c>
      <c r="I274" t="s">
        <v>1935</v>
      </c>
      <c r="J274" t="str" cm="1">
        <f t="array" ref="J274">_xlfn.IFS(HOUR(I274)&lt;12,"Morning",HOUR(I274)&lt;17,"Afternoon",TRUE,"Evening")</f>
        <v>Afternoon</v>
      </c>
      <c r="K274" t="s">
        <v>20</v>
      </c>
      <c r="L274" t="str">
        <f t="shared" si="12"/>
        <v>No Show</v>
      </c>
      <c r="M274">
        <f t="shared" si="13"/>
        <v>1</v>
      </c>
      <c r="N274" t="str">
        <f t="shared" si="14"/>
        <v>Thursday</v>
      </c>
      <c r="O2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75" spans="1:15" x14ac:dyDescent="0.25">
      <c r="A275">
        <v>5273</v>
      </c>
      <c r="B275">
        <v>1540</v>
      </c>
      <c r="C275">
        <v>1027</v>
      </c>
      <c r="D275" t="s">
        <v>27</v>
      </c>
      <c r="E275" s="1">
        <v>45615</v>
      </c>
      <c r="F275">
        <v>1719</v>
      </c>
      <c r="G275" t="s">
        <v>14</v>
      </c>
      <c r="H275" t="s">
        <v>19</v>
      </c>
      <c r="I275" t="s">
        <v>1941</v>
      </c>
      <c r="J275" t="str" cm="1">
        <f t="array" ref="J275">_xlfn.IFS(HOUR(I275)&lt;12,"Morning",HOUR(I275)&lt;17,"Afternoon",TRUE,"Evening")</f>
        <v>Morning</v>
      </c>
      <c r="K275" t="s">
        <v>12</v>
      </c>
      <c r="L275" t="str">
        <f t="shared" si="12"/>
        <v>Attended</v>
      </c>
      <c r="M275">
        <f t="shared" si="13"/>
        <v>0</v>
      </c>
      <c r="N275" t="str">
        <f t="shared" si="14"/>
        <v>Tuesday</v>
      </c>
      <c r="O27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76" spans="1:15" x14ac:dyDescent="0.25">
      <c r="A276">
        <v>5274</v>
      </c>
      <c r="B276">
        <v>944</v>
      </c>
      <c r="C276">
        <v>1008</v>
      </c>
      <c r="D276" t="s">
        <v>13</v>
      </c>
      <c r="E276" s="1">
        <v>45701</v>
      </c>
      <c r="F276">
        <v>809</v>
      </c>
      <c r="G276" t="s">
        <v>17</v>
      </c>
      <c r="H276" t="s">
        <v>11</v>
      </c>
      <c r="I276" t="s">
        <v>1936</v>
      </c>
      <c r="J276" t="str" cm="1">
        <f t="array" ref="J276">_xlfn.IFS(HOUR(I276)&lt;12,"Morning",HOUR(I276)&lt;17,"Afternoon",TRUE,"Evening")</f>
        <v>Morning</v>
      </c>
      <c r="K276" t="s">
        <v>28</v>
      </c>
      <c r="L276" t="str">
        <f t="shared" si="12"/>
        <v>No Show</v>
      </c>
      <c r="M276">
        <f t="shared" si="13"/>
        <v>1</v>
      </c>
      <c r="N276" t="str">
        <f t="shared" si="14"/>
        <v>Thursday</v>
      </c>
      <c r="O27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77" spans="1:15" x14ac:dyDescent="0.25">
      <c r="A277">
        <v>5275</v>
      </c>
      <c r="B277">
        <v>1594</v>
      </c>
      <c r="C277">
        <v>1027</v>
      </c>
      <c r="D277" t="s">
        <v>9</v>
      </c>
      <c r="E277" s="1">
        <v>45647</v>
      </c>
      <c r="F277">
        <v>1255</v>
      </c>
      <c r="G277" t="s">
        <v>14</v>
      </c>
      <c r="H277" t="s">
        <v>19</v>
      </c>
      <c r="I277" t="s">
        <v>1914</v>
      </c>
      <c r="J277" t="str" cm="1">
        <f t="array" ref="J277">_xlfn.IFS(HOUR(I277)&lt;12,"Morning",HOUR(I277)&lt;17,"Afternoon",TRUE,"Evening")</f>
        <v>Afternoon</v>
      </c>
      <c r="K277" t="s">
        <v>12</v>
      </c>
      <c r="L277" t="str">
        <f t="shared" si="12"/>
        <v>Attended</v>
      </c>
      <c r="M277">
        <f t="shared" si="13"/>
        <v>0</v>
      </c>
      <c r="N277" t="str">
        <f t="shared" si="14"/>
        <v>Saturday</v>
      </c>
      <c r="O27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78" spans="1:15" x14ac:dyDescent="0.25">
      <c r="A278">
        <v>5276</v>
      </c>
      <c r="B278">
        <v>1274</v>
      </c>
      <c r="C278">
        <v>1024</v>
      </c>
      <c r="D278" t="s">
        <v>16</v>
      </c>
      <c r="E278" s="1">
        <v>45761</v>
      </c>
      <c r="F278">
        <v>1903</v>
      </c>
      <c r="G278" t="s">
        <v>25</v>
      </c>
      <c r="H278" t="s">
        <v>19</v>
      </c>
      <c r="I278" t="s">
        <v>1937</v>
      </c>
      <c r="J278" t="str" cm="1">
        <f t="array" ref="J278">_xlfn.IFS(HOUR(I278)&lt;12,"Morning",HOUR(I278)&lt;17,"Afternoon",TRUE,"Evening")</f>
        <v>Morning</v>
      </c>
      <c r="K278" t="s">
        <v>12</v>
      </c>
      <c r="L278" t="str">
        <f t="shared" si="12"/>
        <v>Attended</v>
      </c>
      <c r="M278">
        <f t="shared" si="13"/>
        <v>0</v>
      </c>
      <c r="N278" t="str">
        <f t="shared" si="14"/>
        <v>Monday</v>
      </c>
      <c r="O27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79" spans="1:15" x14ac:dyDescent="0.25">
      <c r="A279">
        <v>5277</v>
      </c>
      <c r="B279">
        <v>1294</v>
      </c>
      <c r="C279">
        <v>1008</v>
      </c>
      <c r="D279" t="s">
        <v>13</v>
      </c>
      <c r="E279" s="1">
        <v>45551</v>
      </c>
      <c r="F279">
        <v>1893</v>
      </c>
      <c r="G279" t="s">
        <v>17</v>
      </c>
      <c r="H279" t="s">
        <v>15</v>
      </c>
      <c r="I279" t="s">
        <v>1929</v>
      </c>
      <c r="J279" t="str" cm="1">
        <f t="array" ref="J279">_xlfn.IFS(HOUR(I279)&lt;12,"Morning",HOUR(I279)&lt;17,"Afternoon",TRUE,"Evening")</f>
        <v>Afternoon</v>
      </c>
      <c r="K279" t="s">
        <v>12</v>
      </c>
      <c r="L279" t="str">
        <f t="shared" si="12"/>
        <v>Attended</v>
      </c>
      <c r="M279">
        <f t="shared" si="13"/>
        <v>0</v>
      </c>
      <c r="N279" t="str">
        <f t="shared" si="14"/>
        <v>Monday</v>
      </c>
      <c r="O27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80" spans="1:15" x14ac:dyDescent="0.25">
      <c r="A280">
        <v>5278</v>
      </c>
      <c r="B280">
        <v>1061</v>
      </c>
      <c r="C280">
        <v>1027</v>
      </c>
      <c r="D280" t="s">
        <v>9</v>
      </c>
      <c r="E280" s="1">
        <v>45499</v>
      </c>
      <c r="F280">
        <v>1820</v>
      </c>
      <c r="G280" t="s">
        <v>14</v>
      </c>
      <c r="H280" t="s">
        <v>19</v>
      </c>
      <c r="I280" t="s">
        <v>1922</v>
      </c>
      <c r="J280" t="str" cm="1">
        <f t="array" ref="J280">_xlfn.IFS(HOUR(I280)&lt;12,"Morning",HOUR(I280)&lt;17,"Afternoon",TRUE,"Evening")</f>
        <v>Afternoon</v>
      </c>
      <c r="K280" t="s">
        <v>12</v>
      </c>
      <c r="L280" t="str">
        <f t="shared" si="12"/>
        <v>Attended</v>
      </c>
      <c r="M280">
        <f t="shared" si="13"/>
        <v>0</v>
      </c>
      <c r="N280" t="str">
        <f t="shared" si="14"/>
        <v>Friday</v>
      </c>
      <c r="O28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81" spans="1:15" x14ac:dyDescent="0.25">
      <c r="A281">
        <v>5279</v>
      </c>
      <c r="B281">
        <v>273</v>
      </c>
      <c r="C281">
        <v>1027</v>
      </c>
      <c r="D281" t="s">
        <v>24</v>
      </c>
      <c r="E281" s="1">
        <v>45642</v>
      </c>
      <c r="F281">
        <v>2214</v>
      </c>
      <c r="G281" t="s">
        <v>25</v>
      </c>
      <c r="H281" t="s">
        <v>19</v>
      </c>
      <c r="I281" t="s">
        <v>1933</v>
      </c>
      <c r="J281" t="str" cm="1">
        <f t="array" ref="J281">_xlfn.IFS(HOUR(I281)&lt;12,"Morning",HOUR(I281)&lt;17,"Afternoon",TRUE,"Evening")</f>
        <v>Evening</v>
      </c>
      <c r="K281" t="s">
        <v>12</v>
      </c>
      <c r="L281" t="str">
        <f t="shared" si="12"/>
        <v>Attended</v>
      </c>
      <c r="M281">
        <f t="shared" si="13"/>
        <v>0</v>
      </c>
      <c r="N281" t="str">
        <f t="shared" si="14"/>
        <v>Monday</v>
      </c>
      <c r="O2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82" spans="1:15" x14ac:dyDescent="0.25">
      <c r="A282">
        <v>5280</v>
      </c>
      <c r="B282">
        <v>510</v>
      </c>
      <c r="C282">
        <v>1009</v>
      </c>
      <c r="D282" t="s">
        <v>13</v>
      </c>
      <c r="E282" s="1">
        <v>45601</v>
      </c>
      <c r="F282">
        <v>1710</v>
      </c>
      <c r="G282" t="s">
        <v>14</v>
      </c>
      <c r="H282" t="s">
        <v>15</v>
      </c>
      <c r="I282" t="s">
        <v>1938</v>
      </c>
      <c r="J282" t="str" cm="1">
        <f t="array" ref="J282">_xlfn.IFS(HOUR(I282)&lt;12,"Morning",HOUR(I282)&lt;17,"Afternoon",TRUE,"Evening")</f>
        <v>Afternoon</v>
      </c>
      <c r="K282" t="s">
        <v>12</v>
      </c>
      <c r="L282" t="str">
        <f t="shared" si="12"/>
        <v>Attended</v>
      </c>
      <c r="M282">
        <f t="shared" si="13"/>
        <v>0</v>
      </c>
      <c r="N282" t="str">
        <f t="shared" si="14"/>
        <v>Tuesday</v>
      </c>
      <c r="O2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83" spans="1:15" x14ac:dyDescent="0.25">
      <c r="A283">
        <v>5281</v>
      </c>
      <c r="B283">
        <v>512</v>
      </c>
      <c r="C283">
        <v>1001</v>
      </c>
      <c r="D283" t="s">
        <v>22</v>
      </c>
      <c r="E283" s="1">
        <v>45677</v>
      </c>
      <c r="F283">
        <v>1423</v>
      </c>
      <c r="G283" t="s">
        <v>25</v>
      </c>
      <c r="H283" t="s">
        <v>11</v>
      </c>
      <c r="I283" t="s">
        <v>1936</v>
      </c>
      <c r="J283" t="str" cm="1">
        <f t="array" ref="J283">_xlfn.IFS(HOUR(I283)&lt;12,"Morning",HOUR(I283)&lt;17,"Afternoon",TRUE,"Evening")</f>
        <v>Morning</v>
      </c>
      <c r="K283" t="s">
        <v>12</v>
      </c>
      <c r="L283" t="str">
        <f t="shared" si="12"/>
        <v>Attended</v>
      </c>
      <c r="M283">
        <f t="shared" si="13"/>
        <v>0</v>
      </c>
      <c r="N283" t="str">
        <f t="shared" si="14"/>
        <v>Monday</v>
      </c>
      <c r="O28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84" spans="1:15" x14ac:dyDescent="0.25">
      <c r="A284">
        <v>5282</v>
      </c>
      <c r="B284">
        <v>1054</v>
      </c>
      <c r="C284">
        <v>1027</v>
      </c>
      <c r="D284" t="s">
        <v>27</v>
      </c>
      <c r="E284" s="1">
        <v>45521</v>
      </c>
      <c r="F284">
        <v>1034</v>
      </c>
      <c r="G284" t="s">
        <v>14</v>
      </c>
      <c r="H284" t="s">
        <v>11</v>
      </c>
      <c r="I284" t="s">
        <v>1941</v>
      </c>
      <c r="J284" t="str" cm="1">
        <f t="array" ref="J284">_xlfn.IFS(HOUR(I284)&lt;12,"Morning",HOUR(I284)&lt;17,"Afternoon",TRUE,"Evening")</f>
        <v>Morning</v>
      </c>
      <c r="K284" t="s">
        <v>12</v>
      </c>
      <c r="L284" t="str">
        <f t="shared" si="12"/>
        <v>Attended</v>
      </c>
      <c r="M284">
        <f t="shared" si="13"/>
        <v>0</v>
      </c>
      <c r="N284" t="str">
        <f t="shared" si="14"/>
        <v>Saturday</v>
      </c>
      <c r="O28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85" spans="1:15" x14ac:dyDescent="0.25">
      <c r="A285">
        <v>5283</v>
      </c>
      <c r="B285">
        <v>1517</v>
      </c>
      <c r="C285">
        <v>1027</v>
      </c>
      <c r="D285" t="s">
        <v>21</v>
      </c>
      <c r="E285" s="1">
        <v>45599</v>
      </c>
      <c r="F285">
        <v>1494</v>
      </c>
      <c r="G285" t="s">
        <v>10</v>
      </c>
      <c r="H285" t="s">
        <v>19</v>
      </c>
      <c r="I285" t="s">
        <v>1928</v>
      </c>
      <c r="J285" t="str" cm="1">
        <f t="array" ref="J285">_xlfn.IFS(HOUR(I285)&lt;12,"Morning",HOUR(I285)&lt;17,"Afternoon",TRUE,"Evening")</f>
        <v>Morning</v>
      </c>
      <c r="K285" t="s">
        <v>28</v>
      </c>
      <c r="L285" t="str">
        <f t="shared" si="12"/>
        <v>No Show</v>
      </c>
      <c r="M285">
        <f t="shared" si="13"/>
        <v>1</v>
      </c>
      <c r="N285" t="str">
        <f t="shared" si="14"/>
        <v>Sunday</v>
      </c>
      <c r="O28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86" spans="1:15" x14ac:dyDescent="0.25">
      <c r="A286">
        <v>5284</v>
      </c>
      <c r="B286">
        <v>613</v>
      </c>
      <c r="C286">
        <v>1003</v>
      </c>
      <c r="D286" t="s">
        <v>18</v>
      </c>
      <c r="E286" s="1">
        <v>45640</v>
      </c>
      <c r="F286">
        <v>1965</v>
      </c>
      <c r="G286" t="s">
        <v>25</v>
      </c>
      <c r="H286" t="s">
        <v>11</v>
      </c>
      <c r="I286" t="s">
        <v>1916</v>
      </c>
      <c r="J286" t="str" cm="1">
        <f t="array" ref="J286">_xlfn.IFS(HOUR(I286)&lt;12,"Morning",HOUR(I286)&lt;17,"Afternoon",TRUE,"Evening")</f>
        <v>Afternoon</v>
      </c>
      <c r="K286" t="s">
        <v>12</v>
      </c>
      <c r="L286" t="str">
        <f t="shared" si="12"/>
        <v>Attended</v>
      </c>
      <c r="M286">
        <f t="shared" si="13"/>
        <v>0</v>
      </c>
      <c r="N286" t="str">
        <f t="shared" si="14"/>
        <v>Saturday</v>
      </c>
      <c r="O28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87" spans="1:15" x14ac:dyDescent="0.25">
      <c r="A287">
        <v>5285</v>
      </c>
      <c r="B287">
        <v>515</v>
      </c>
      <c r="C287">
        <v>1027</v>
      </c>
      <c r="D287" t="s">
        <v>24</v>
      </c>
      <c r="E287" s="1">
        <v>45767</v>
      </c>
      <c r="F287">
        <v>1764</v>
      </c>
      <c r="G287" t="s">
        <v>17</v>
      </c>
      <c r="H287" t="s">
        <v>11</v>
      </c>
      <c r="I287" t="s">
        <v>1915</v>
      </c>
      <c r="J287" t="str" cm="1">
        <f t="array" ref="J287">_xlfn.IFS(HOUR(I287)&lt;12,"Morning",HOUR(I287)&lt;17,"Afternoon",TRUE,"Evening")</f>
        <v>Afternoon</v>
      </c>
      <c r="K287" t="s">
        <v>12</v>
      </c>
      <c r="L287" t="str">
        <f t="shared" si="12"/>
        <v>Attended</v>
      </c>
      <c r="M287">
        <f t="shared" si="13"/>
        <v>0</v>
      </c>
      <c r="N287" t="str">
        <f t="shared" si="14"/>
        <v>Sunday</v>
      </c>
      <c r="O28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88" spans="1:15" x14ac:dyDescent="0.25">
      <c r="A288">
        <v>5286</v>
      </c>
      <c r="B288">
        <v>1455</v>
      </c>
      <c r="C288">
        <v>1027</v>
      </c>
      <c r="D288" t="s">
        <v>27</v>
      </c>
      <c r="E288" s="1">
        <v>45640</v>
      </c>
      <c r="F288">
        <v>1921</v>
      </c>
      <c r="G288" t="s">
        <v>17</v>
      </c>
      <c r="H288" t="s">
        <v>19</v>
      </c>
      <c r="I288" t="s">
        <v>1925</v>
      </c>
      <c r="J288" t="str" cm="1">
        <f t="array" ref="J288">_xlfn.IFS(HOUR(I288)&lt;12,"Morning",HOUR(I288)&lt;17,"Afternoon",TRUE,"Evening")</f>
        <v>Afternoon</v>
      </c>
      <c r="K288" t="s">
        <v>12</v>
      </c>
      <c r="L288" t="str">
        <f t="shared" si="12"/>
        <v>Attended</v>
      </c>
      <c r="M288">
        <f t="shared" si="13"/>
        <v>0</v>
      </c>
      <c r="N288" t="str">
        <f t="shared" si="14"/>
        <v>Saturday</v>
      </c>
      <c r="O28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89" spans="1:15" x14ac:dyDescent="0.25">
      <c r="A289">
        <v>5287</v>
      </c>
      <c r="B289">
        <v>1047</v>
      </c>
      <c r="C289">
        <v>1027</v>
      </c>
      <c r="D289" t="s">
        <v>22</v>
      </c>
      <c r="E289" s="1">
        <v>45519</v>
      </c>
      <c r="F289">
        <v>861</v>
      </c>
      <c r="G289" t="s">
        <v>14</v>
      </c>
      <c r="H289" t="s">
        <v>11</v>
      </c>
      <c r="I289" t="s">
        <v>1919</v>
      </c>
      <c r="J289" t="str" cm="1">
        <f t="array" ref="J289">_xlfn.IFS(HOUR(I289)&lt;12,"Morning",HOUR(I289)&lt;17,"Afternoon",TRUE,"Evening")</f>
        <v>Evening</v>
      </c>
      <c r="K289" t="s">
        <v>28</v>
      </c>
      <c r="L289" t="str">
        <f t="shared" si="12"/>
        <v>No Show</v>
      </c>
      <c r="M289">
        <f t="shared" si="13"/>
        <v>1</v>
      </c>
      <c r="N289" t="str">
        <f t="shared" si="14"/>
        <v>Thursday</v>
      </c>
      <c r="O28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0" spans="1:15" x14ac:dyDescent="0.25">
      <c r="A290">
        <v>5288</v>
      </c>
      <c r="B290">
        <v>1337</v>
      </c>
      <c r="C290">
        <v>1008</v>
      </c>
      <c r="D290" t="s">
        <v>13</v>
      </c>
      <c r="E290" s="1">
        <v>45782</v>
      </c>
      <c r="F290">
        <v>1461</v>
      </c>
      <c r="G290" t="s">
        <v>17</v>
      </c>
      <c r="H290" t="s">
        <v>19</v>
      </c>
      <c r="I290" t="s">
        <v>1922</v>
      </c>
      <c r="J290" t="str" cm="1">
        <f t="array" ref="J290">_xlfn.IFS(HOUR(I290)&lt;12,"Morning",HOUR(I290)&lt;17,"Afternoon",TRUE,"Evening")</f>
        <v>Afternoon</v>
      </c>
      <c r="K290" t="s">
        <v>20</v>
      </c>
      <c r="L290" t="str">
        <f t="shared" si="12"/>
        <v>No Show</v>
      </c>
      <c r="M290">
        <f t="shared" si="13"/>
        <v>1</v>
      </c>
      <c r="N290" t="str">
        <f t="shared" si="14"/>
        <v>Monday</v>
      </c>
      <c r="O29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1" spans="1:15" x14ac:dyDescent="0.25">
      <c r="A291">
        <v>5289</v>
      </c>
      <c r="B291">
        <v>1273</v>
      </c>
      <c r="C291">
        <v>1024</v>
      </c>
      <c r="D291" t="s">
        <v>16</v>
      </c>
      <c r="E291" s="1">
        <v>45699</v>
      </c>
      <c r="F291">
        <v>1194</v>
      </c>
      <c r="G291" t="s">
        <v>10</v>
      </c>
      <c r="H291" t="s">
        <v>19</v>
      </c>
      <c r="I291" t="s">
        <v>1907</v>
      </c>
      <c r="J291" t="str" cm="1">
        <f t="array" ref="J291">_xlfn.IFS(HOUR(I291)&lt;12,"Morning",HOUR(I291)&lt;17,"Afternoon",TRUE,"Evening")</f>
        <v>Afternoon</v>
      </c>
      <c r="K291" t="s">
        <v>12</v>
      </c>
      <c r="L291" t="str">
        <f t="shared" si="12"/>
        <v>Attended</v>
      </c>
      <c r="M291">
        <f t="shared" si="13"/>
        <v>0</v>
      </c>
      <c r="N291" t="str">
        <f t="shared" si="14"/>
        <v>Tuesday</v>
      </c>
      <c r="O29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2" spans="1:15" x14ac:dyDescent="0.25">
      <c r="A292">
        <v>5290</v>
      </c>
      <c r="B292">
        <v>601</v>
      </c>
      <c r="C292">
        <v>1027</v>
      </c>
      <c r="D292" t="s">
        <v>21</v>
      </c>
      <c r="E292" s="1">
        <v>45704</v>
      </c>
      <c r="F292">
        <v>849</v>
      </c>
      <c r="G292" t="s">
        <v>17</v>
      </c>
      <c r="H292" t="s">
        <v>19</v>
      </c>
      <c r="I292" t="s">
        <v>1918</v>
      </c>
      <c r="J292" t="str" cm="1">
        <f t="array" ref="J292">_xlfn.IFS(HOUR(I292)&lt;12,"Morning",HOUR(I292)&lt;17,"Afternoon",TRUE,"Evening")</f>
        <v>Evening</v>
      </c>
      <c r="K292" t="s">
        <v>20</v>
      </c>
      <c r="L292" t="str">
        <f t="shared" si="12"/>
        <v>No Show</v>
      </c>
      <c r="M292">
        <f t="shared" si="13"/>
        <v>1</v>
      </c>
      <c r="N292" t="str">
        <f t="shared" si="14"/>
        <v>Sunday</v>
      </c>
      <c r="O29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293" spans="1:15" x14ac:dyDescent="0.25">
      <c r="A293">
        <v>5291</v>
      </c>
      <c r="B293">
        <v>899</v>
      </c>
      <c r="C293">
        <v>1027</v>
      </c>
      <c r="D293" t="s">
        <v>27</v>
      </c>
      <c r="E293" s="1">
        <v>45791</v>
      </c>
      <c r="F293">
        <v>2235</v>
      </c>
      <c r="G293" t="s">
        <v>10</v>
      </c>
      <c r="H293" t="s">
        <v>19</v>
      </c>
      <c r="I293" t="s">
        <v>1909</v>
      </c>
      <c r="J293" t="str" cm="1">
        <f t="array" ref="J293">_xlfn.IFS(HOUR(I293)&lt;12,"Morning",HOUR(I293)&lt;17,"Afternoon",TRUE,"Evening")</f>
        <v>Afternoon</v>
      </c>
      <c r="K293" t="s">
        <v>12</v>
      </c>
      <c r="L293" t="str">
        <f t="shared" si="12"/>
        <v>Attended</v>
      </c>
      <c r="M293">
        <f t="shared" si="13"/>
        <v>0</v>
      </c>
      <c r="N293" t="str">
        <f t="shared" si="14"/>
        <v>Wednesday</v>
      </c>
      <c r="O2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4" spans="1:15" x14ac:dyDescent="0.25">
      <c r="A294">
        <v>5292</v>
      </c>
      <c r="B294">
        <v>1584</v>
      </c>
      <c r="C294">
        <v>1009</v>
      </c>
      <c r="D294" t="s">
        <v>13</v>
      </c>
      <c r="E294" s="1">
        <v>45505</v>
      </c>
      <c r="F294">
        <v>1433</v>
      </c>
      <c r="G294" t="s">
        <v>14</v>
      </c>
      <c r="H294" t="s">
        <v>11</v>
      </c>
      <c r="I294" t="s">
        <v>1917</v>
      </c>
      <c r="J294" t="str" cm="1">
        <f t="array" ref="J294">_xlfn.IFS(HOUR(I294)&lt;12,"Morning",HOUR(I294)&lt;17,"Afternoon",TRUE,"Evening")</f>
        <v>Afternoon</v>
      </c>
      <c r="K294" t="s">
        <v>12</v>
      </c>
      <c r="L294" t="str">
        <f t="shared" si="12"/>
        <v>Attended</v>
      </c>
      <c r="M294">
        <f t="shared" si="13"/>
        <v>0</v>
      </c>
      <c r="N294" t="str">
        <f t="shared" si="14"/>
        <v>Thursday</v>
      </c>
      <c r="O29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5" spans="1:15" x14ac:dyDescent="0.25">
      <c r="A295">
        <v>5293</v>
      </c>
      <c r="B295">
        <v>281</v>
      </c>
      <c r="C295">
        <v>1027</v>
      </c>
      <c r="D295" t="s">
        <v>9</v>
      </c>
      <c r="E295" s="1">
        <v>45632</v>
      </c>
      <c r="F295">
        <v>1336</v>
      </c>
      <c r="G295" t="s">
        <v>17</v>
      </c>
      <c r="H295" t="s">
        <v>19</v>
      </c>
      <c r="I295" t="s">
        <v>1933</v>
      </c>
      <c r="J295" t="str" cm="1">
        <f t="array" ref="J295">_xlfn.IFS(HOUR(I295)&lt;12,"Morning",HOUR(I295)&lt;17,"Afternoon",TRUE,"Evening")</f>
        <v>Evening</v>
      </c>
      <c r="K295" t="s">
        <v>28</v>
      </c>
      <c r="L295" t="str">
        <f t="shared" si="12"/>
        <v>No Show</v>
      </c>
      <c r="M295">
        <f t="shared" si="13"/>
        <v>1</v>
      </c>
      <c r="N295" t="str">
        <f t="shared" si="14"/>
        <v>Friday</v>
      </c>
      <c r="O29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6" spans="1:15" x14ac:dyDescent="0.25">
      <c r="A296">
        <v>5294</v>
      </c>
      <c r="B296">
        <v>1135</v>
      </c>
      <c r="C296">
        <v>1001</v>
      </c>
      <c r="D296" t="s">
        <v>22</v>
      </c>
      <c r="E296" s="1">
        <v>45652</v>
      </c>
      <c r="F296">
        <v>865</v>
      </c>
      <c r="G296" t="s">
        <v>25</v>
      </c>
      <c r="H296" t="s">
        <v>19</v>
      </c>
      <c r="I296" t="s">
        <v>1928</v>
      </c>
      <c r="J296" t="str" cm="1">
        <f t="array" ref="J296">_xlfn.IFS(HOUR(I296)&lt;12,"Morning",HOUR(I296)&lt;17,"Afternoon",TRUE,"Evening")</f>
        <v>Morning</v>
      </c>
      <c r="K296" t="s">
        <v>20</v>
      </c>
      <c r="L296" t="str">
        <f t="shared" si="12"/>
        <v>No Show</v>
      </c>
      <c r="M296">
        <f t="shared" si="13"/>
        <v>1</v>
      </c>
      <c r="N296" t="str">
        <f t="shared" si="14"/>
        <v>Thursday</v>
      </c>
      <c r="O29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7" spans="1:15" x14ac:dyDescent="0.25">
      <c r="A297">
        <v>5295</v>
      </c>
      <c r="B297">
        <v>289</v>
      </c>
      <c r="C297">
        <v>1027</v>
      </c>
      <c r="D297" t="s">
        <v>24</v>
      </c>
      <c r="E297" s="1">
        <v>45811</v>
      </c>
      <c r="F297">
        <v>2282</v>
      </c>
      <c r="G297" t="s">
        <v>14</v>
      </c>
      <c r="H297" t="s">
        <v>15</v>
      </c>
      <c r="I297" t="s">
        <v>1914</v>
      </c>
      <c r="J297" t="str" cm="1">
        <f t="array" ref="J297">_xlfn.IFS(HOUR(I297)&lt;12,"Morning",HOUR(I297)&lt;17,"Afternoon",TRUE,"Evening")</f>
        <v>Afternoon</v>
      </c>
      <c r="K297" t="s">
        <v>23</v>
      </c>
      <c r="L297" t="str">
        <f t="shared" si="12"/>
        <v>No Show</v>
      </c>
      <c r="M297">
        <f t="shared" si="13"/>
        <v>1</v>
      </c>
      <c r="N297" t="str">
        <f t="shared" si="14"/>
        <v>Tuesday</v>
      </c>
      <c r="O29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8" spans="1:15" x14ac:dyDescent="0.25">
      <c r="A298">
        <v>5296</v>
      </c>
      <c r="B298">
        <v>948</v>
      </c>
      <c r="C298">
        <v>1027</v>
      </c>
      <c r="D298" t="s">
        <v>22</v>
      </c>
      <c r="E298" s="1">
        <v>45635</v>
      </c>
      <c r="F298">
        <v>1832</v>
      </c>
      <c r="G298" t="s">
        <v>10</v>
      </c>
      <c r="H298" t="s">
        <v>11</v>
      </c>
      <c r="I298" t="s">
        <v>1921</v>
      </c>
      <c r="J298" t="str" cm="1">
        <f t="array" ref="J298">_xlfn.IFS(HOUR(I298)&lt;12,"Morning",HOUR(I298)&lt;17,"Afternoon",TRUE,"Evening")</f>
        <v>Afternoon</v>
      </c>
      <c r="K298" t="s">
        <v>12</v>
      </c>
      <c r="L298" t="str">
        <f t="shared" si="12"/>
        <v>Attended</v>
      </c>
      <c r="M298">
        <f t="shared" si="13"/>
        <v>0</v>
      </c>
      <c r="N298" t="str">
        <f t="shared" si="14"/>
        <v>Monday</v>
      </c>
      <c r="O29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299" spans="1:15" x14ac:dyDescent="0.25">
      <c r="A299">
        <v>5297</v>
      </c>
      <c r="B299">
        <v>1495</v>
      </c>
      <c r="C299">
        <v>1027</v>
      </c>
      <c r="D299" t="s">
        <v>24</v>
      </c>
      <c r="E299" s="1">
        <v>45639</v>
      </c>
      <c r="F299">
        <v>1438</v>
      </c>
      <c r="G299" t="s">
        <v>17</v>
      </c>
      <c r="H299" t="s">
        <v>15</v>
      </c>
      <c r="I299" t="s">
        <v>1920</v>
      </c>
      <c r="J299" t="str" cm="1">
        <f t="array" ref="J299">_xlfn.IFS(HOUR(I299)&lt;12,"Morning",HOUR(I299)&lt;17,"Afternoon",TRUE,"Evening")</f>
        <v>Morning</v>
      </c>
      <c r="K299" t="s">
        <v>20</v>
      </c>
      <c r="L299" t="str">
        <f t="shared" si="12"/>
        <v>No Show</v>
      </c>
      <c r="M299">
        <f t="shared" si="13"/>
        <v>1</v>
      </c>
      <c r="N299" t="str">
        <f t="shared" si="14"/>
        <v>Friday</v>
      </c>
      <c r="O29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0" spans="1:15" x14ac:dyDescent="0.25">
      <c r="A300">
        <v>5298</v>
      </c>
      <c r="B300">
        <v>625</v>
      </c>
      <c r="C300">
        <v>1027</v>
      </c>
      <c r="D300" t="s">
        <v>27</v>
      </c>
      <c r="E300" s="1">
        <v>45640</v>
      </c>
      <c r="F300">
        <v>2213</v>
      </c>
      <c r="G300" t="s">
        <v>14</v>
      </c>
      <c r="H300" t="s">
        <v>19</v>
      </c>
      <c r="I300" t="s">
        <v>1941</v>
      </c>
      <c r="J300" t="str" cm="1">
        <f t="array" ref="J300">_xlfn.IFS(HOUR(I300)&lt;12,"Morning",HOUR(I300)&lt;17,"Afternoon",TRUE,"Evening")</f>
        <v>Morning</v>
      </c>
      <c r="K300" t="s">
        <v>12</v>
      </c>
      <c r="L300" t="str">
        <f t="shared" si="12"/>
        <v>Attended</v>
      </c>
      <c r="M300">
        <f t="shared" si="13"/>
        <v>0</v>
      </c>
      <c r="N300" t="str">
        <f t="shared" si="14"/>
        <v>Saturday</v>
      </c>
      <c r="O30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01" spans="1:15" x14ac:dyDescent="0.25">
      <c r="A301">
        <v>5299</v>
      </c>
      <c r="B301">
        <v>496</v>
      </c>
      <c r="C301">
        <v>1001</v>
      </c>
      <c r="D301" t="s">
        <v>18</v>
      </c>
      <c r="E301" s="1">
        <v>45624</v>
      </c>
      <c r="F301">
        <v>1450</v>
      </c>
      <c r="G301" t="s">
        <v>10</v>
      </c>
      <c r="H301" t="s">
        <v>11</v>
      </c>
      <c r="I301" t="s">
        <v>1922</v>
      </c>
      <c r="J301" t="str" cm="1">
        <f t="array" ref="J301">_xlfn.IFS(HOUR(I301)&lt;12,"Morning",HOUR(I301)&lt;17,"Afternoon",TRUE,"Evening")</f>
        <v>Afternoon</v>
      </c>
      <c r="K301" t="s">
        <v>20</v>
      </c>
      <c r="L301" t="str">
        <f t="shared" si="12"/>
        <v>No Show</v>
      </c>
      <c r="M301">
        <f t="shared" si="13"/>
        <v>1</v>
      </c>
      <c r="N301" t="str">
        <f t="shared" si="14"/>
        <v>Thursday</v>
      </c>
      <c r="O30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2" spans="1:15" x14ac:dyDescent="0.25">
      <c r="A302">
        <v>5300</v>
      </c>
      <c r="B302">
        <v>153</v>
      </c>
      <c r="C302">
        <v>1024</v>
      </c>
      <c r="D302" t="s">
        <v>16</v>
      </c>
      <c r="E302" s="1">
        <v>45677</v>
      </c>
      <c r="F302">
        <v>2000</v>
      </c>
      <c r="G302" t="s">
        <v>17</v>
      </c>
      <c r="H302" t="s">
        <v>11</v>
      </c>
      <c r="I302" t="s">
        <v>1910</v>
      </c>
      <c r="J302" t="str" cm="1">
        <f t="array" ref="J302">_xlfn.IFS(HOUR(I302)&lt;12,"Morning",HOUR(I302)&lt;17,"Afternoon",TRUE,"Evening")</f>
        <v>Evening</v>
      </c>
      <c r="K302" t="s">
        <v>20</v>
      </c>
      <c r="L302" t="str">
        <f t="shared" si="12"/>
        <v>No Show</v>
      </c>
      <c r="M302">
        <f t="shared" si="13"/>
        <v>1</v>
      </c>
      <c r="N302" t="str">
        <f t="shared" si="14"/>
        <v>Monday</v>
      </c>
      <c r="O30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3" spans="1:15" x14ac:dyDescent="0.25">
      <c r="A303">
        <v>5301</v>
      </c>
      <c r="B303">
        <v>548</v>
      </c>
      <c r="C303">
        <v>1027</v>
      </c>
      <c r="D303" t="s">
        <v>22</v>
      </c>
      <c r="E303" s="1">
        <v>45623</v>
      </c>
      <c r="F303">
        <v>1294</v>
      </c>
      <c r="G303" t="s">
        <v>25</v>
      </c>
      <c r="H303" t="s">
        <v>19</v>
      </c>
      <c r="I303" t="s">
        <v>1934</v>
      </c>
      <c r="J303" t="str" cm="1">
        <f t="array" ref="J303">_xlfn.IFS(HOUR(I303)&lt;12,"Morning",HOUR(I303)&lt;17,"Afternoon",TRUE,"Evening")</f>
        <v>Afternoon</v>
      </c>
      <c r="K303" t="s">
        <v>12</v>
      </c>
      <c r="L303" t="str">
        <f t="shared" si="12"/>
        <v>Attended</v>
      </c>
      <c r="M303">
        <f t="shared" si="13"/>
        <v>0</v>
      </c>
      <c r="N303" t="str">
        <f t="shared" si="14"/>
        <v>Wednesday</v>
      </c>
      <c r="O30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4" spans="1:15" x14ac:dyDescent="0.25">
      <c r="A304">
        <v>5302</v>
      </c>
      <c r="B304">
        <v>304</v>
      </c>
      <c r="C304">
        <v>1024</v>
      </c>
      <c r="D304" t="s">
        <v>16</v>
      </c>
      <c r="E304" s="1">
        <v>45835</v>
      </c>
      <c r="F304">
        <v>2210</v>
      </c>
      <c r="G304" t="s">
        <v>10</v>
      </c>
      <c r="H304" t="s">
        <v>15</v>
      </c>
      <c r="I304" t="s">
        <v>1922</v>
      </c>
      <c r="J304" t="str" cm="1">
        <f t="array" ref="J304">_xlfn.IFS(HOUR(I304)&lt;12,"Morning",HOUR(I304)&lt;17,"Afternoon",TRUE,"Evening")</f>
        <v>Afternoon</v>
      </c>
      <c r="K304" t="s">
        <v>23</v>
      </c>
      <c r="L304" t="str">
        <f t="shared" si="12"/>
        <v>No Show</v>
      </c>
      <c r="M304">
        <f t="shared" si="13"/>
        <v>1</v>
      </c>
      <c r="N304" t="str">
        <f t="shared" si="14"/>
        <v>Friday</v>
      </c>
      <c r="O30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5" spans="1:15" x14ac:dyDescent="0.25">
      <c r="A305">
        <v>5303</v>
      </c>
      <c r="B305">
        <v>276</v>
      </c>
      <c r="C305">
        <v>1009</v>
      </c>
      <c r="D305" t="s">
        <v>13</v>
      </c>
      <c r="E305" s="1">
        <v>45629</v>
      </c>
      <c r="F305">
        <v>2419</v>
      </c>
      <c r="G305" t="s">
        <v>17</v>
      </c>
      <c r="H305" t="s">
        <v>11</v>
      </c>
      <c r="I305" t="s">
        <v>1938</v>
      </c>
      <c r="J305" t="str" cm="1">
        <f t="array" ref="J305">_xlfn.IFS(HOUR(I305)&lt;12,"Morning",HOUR(I305)&lt;17,"Afternoon",TRUE,"Evening")</f>
        <v>Afternoon</v>
      </c>
      <c r="K305" t="s">
        <v>12</v>
      </c>
      <c r="L305" t="str">
        <f t="shared" si="12"/>
        <v>Attended</v>
      </c>
      <c r="M305">
        <f t="shared" si="13"/>
        <v>0</v>
      </c>
      <c r="N305" t="str">
        <f t="shared" si="14"/>
        <v>Tuesday</v>
      </c>
      <c r="O30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6" spans="1:15" x14ac:dyDescent="0.25">
      <c r="A306">
        <v>5304</v>
      </c>
      <c r="B306">
        <v>449</v>
      </c>
      <c r="C306">
        <v>1024</v>
      </c>
      <c r="D306" t="s">
        <v>16</v>
      </c>
      <c r="E306" s="1">
        <v>45541</v>
      </c>
      <c r="F306">
        <v>2137</v>
      </c>
      <c r="G306" t="s">
        <v>25</v>
      </c>
      <c r="H306" t="s">
        <v>15</v>
      </c>
      <c r="I306" t="s">
        <v>1924</v>
      </c>
      <c r="J306" t="str" cm="1">
        <f t="array" ref="J306">_xlfn.IFS(HOUR(I306)&lt;12,"Morning",HOUR(I306)&lt;17,"Afternoon",TRUE,"Evening")</f>
        <v>Afternoon</v>
      </c>
      <c r="K306" t="s">
        <v>12</v>
      </c>
      <c r="L306" t="str">
        <f t="shared" si="12"/>
        <v>Attended</v>
      </c>
      <c r="M306">
        <f t="shared" si="13"/>
        <v>0</v>
      </c>
      <c r="N306" t="str">
        <f t="shared" si="14"/>
        <v>Friday</v>
      </c>
      <c r="O30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7" spans="1:15" x14ac:dyDescent="0.25">
      <c r="A307">
        <v>5305</v>
      </c>
      <c r="B307">
        <v>1042</v>
      </c>
      <c r="C307">
        <v>1024</v>
      </c>
      <c r="D307" t="s">
        <v>16</v>
      </c>
      <c r="E307" s="1">
        <v>45665</v>
      </c>
      <c r="F307">
        <v>829</v>
      </c>
      <c r="G307" t="s">
        <v>14</v>
      </c>
      <c r="H307" t="s">
        <v>15</v>
      </c>
      <c r="I307" t="s">
        <v>1916</v>
      </c>
      <c r="J307" t="str" cm="1">
        <f t="array" ref="J307">_xlfn.IFS(HOUR(I307)&lt;12,"Morning",HOUR(I307)&lt;17,"Afternoon",TRUE,"Evening")</f>
        <v>Afternoon</v>
      </c>
      <c r="K307" t="s">
        <v>12</v>
      </c>
      <c r="L307" t="str">
        <f t="shared" si="12"/>
        <v>Attended</v>
      </c>
      <c r="M307">
        <f t="shared" si="13"/>
        <v>0</v>
      </c>
      <c r="N307" t="str">
        <f t="shared" si="14"/>
        <v>Wednesday</v>
      </c>
      <c r="O30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08" spans="1:15" x14ac:dyDescent="0.25">
      <c r="A308">
        <v>5306</v>
      </c>
      <c r="B308">
        <v>690</v>
      </c>
      <c r="C308">
        <v>1027</v>
      </c>
      <c r="D308" t="s">
        <v>24</v>
      </c>
      <c r="E308" s="1">
        <v>45647</v>
      </c>
      <c r="F308">
        <v>1045</v>
      </c>
      <c r="G308" t="s">
        <v>14</v>
      </c>
      <c r="H308" t="s">
        <v>19</v>
      </c>
      <c r="I308" t="s">
        <v>1929</v>
      </c>
      <c r="J308" t="str" cm="1">
        <f t="array" ref="J308">_xlfn.IFS(HOUR(I308)&lt;12,"Morning",HOUR(I308)&lt;17,"Afternoon",TRUE,"Evening")</f>
        <v>Afternoon</v>
      </c>
      <c r="K308" t="s">
        <v>12</v>
      </c>
      <c r="L308" t="str">
        <f t="shared" si="12"/>
        <v>Attended</v>
      </c>
      <c r="M308">
        <f t="shared" si="13"/>
        <v>0</v>
      </c>
      <c r="N308" t="str">
        <f t="shared" si="14"/>
        <v>Saturday</v>
      </c>
      <c r="O30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09" spans="1:15" x14ac:dyDescent="0.25">
      <c r="A309">
        <v>5307</v>
      </c>
      <c r="B309">
        <v>874</v>
      </c>
      <c r="C309">
        <v>1027</v>
      </c>
      <c r="D309" t="s">
        <v>9</v>
      </c>
      <c r="E309" s="1">
        <v>45633</v>
      </c>
      <c r="F309">
        <v>1609</v>
      </c>
      <c r="G309" t="s">
        <v>10</v>
      </c>
      <c r="H309" t="s">
        <v>11</v>
      </c>
      <c r="I309" t="s">
        <v>1938</v>
      </c>
      <c r="J309" t="str" cm="1">
        <f t="array" ref="J309">_xlfn.IFS(HOUR(I309)&lt;12,"Morning",HOUR(I309)&lt;17,"Afternoon",TRUE,"Evening")</f>
        <v>Afternoon</v>
      </c>
      <c r="K309" t="s">
        <v>12</v>
      </c>
      <c r="L309" t="str">
        <f t="shared" si="12"/>
        <v>Attended</v>
      </c>
      <c r="M309">
        <f t="shared" si="13"/>
        <v>0</v>
      </c>
      <c r="N309" t="str">
        <f t="shared" si="14"/>
        <v>Saturday</v>
      </c>
      <c r="O30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10" spans="1:15" x14ac:dyDescent="0.25">
      <c r="A310">
        <v>5308</v>
      </c>
      <c r="B310">
        <v>1316</v>
      </c>
      <c r="C310">
        <v>1024</v>
      </c>
      <c r="D310" t="s">
        <v>16</v>
      </c>
      <c r="E310" s="1">
        <v>45497</v>
      </c>
      <c r="F310">
        <v>2383</v>
      </c>
      <c r="G310" t="s">
        <v>10</v>
      </c>
      <c r="H310" t="s">
        <v>11</v>
      </c>
      <c r="I310" t="s">
        <v>1911</v>
      </c>
      <c r="J310" t="str" cm="1">
        <f t="array" ref="J310">_xlfn.IFS(HOUR(I310)&lt;12,"Morning",HOUR(I310)&lt;17,"Afternoon",TRUE,"Evening")</f>
        <v>Morning</v>
      </c>
      <c r="K310" t="s">
        <v>12</v>
      </c>
      <c r="L310" t="str">
        <f t="shared" si="12"/>
        <v>Attended</v>
      </c>
      <c r="M310">
        <f t="shared" si="13"/>
        <v>0</v>
      </c>
      <c r="N310" t="str">
        <f t="shared" si="14"/>
        <v>Wednesday</v>
      </c>
      <c r="O31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11" spans="1:15" x14ac:dyDescent="0.25">
      <c r="A311">
        <v>5309</v>
      </c>
      <c r="B311">
        <v>803</v>
      </c>
      <c r="C311">
        <v>1027</v>
      </c>
      <c r="D311" t="s">
        <v>21</v>
      </c>
      <c r="E311" s="1">
        <v>45832</v>
      </c>
      <c r="F311">
        <v>1052</v>
      </c>
      <c r="G311" t="s">
        <v>25</v>
      </c>
      <c r="H311" t="s">
        <v>15</v>
      </c>
      <c r="I311" t="s">
        <v>1910</v>
      </c>
      <c r="J311" t="str" cm="1">
        <f t="array" ref="J311">_xlfn.IFS(HOUR(I311)&lt;12,"Morning",HOUR(I311)&lt;17,"Afternoon",TRUE,"Evening")</f>
        <v>Evening</v>
      </c>
      <c r="K311" t="s">
        <v>23</v>
      </c>
      <c r="L311" t="str">
        <f t="shared" si="12"/>
        <v>No Show</v>
      </c>
      <c r="M311">
        <f t="shared" si="13"/>
        <v>1</v>
      </c>
      <c r="N311" t="str">
        <f t="shared" si="14"/>
        <v>Tuesday</v>
      </c>
      <c r="O31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12" spans="1:15" x14ac:dyDescent="0.25">
      <c r="A312">
        <v>5310</v>
      </c>
      <c r="B312">
        <v>524</v>
      </c>
      <c r="C312">
        <v>1020</v>
      </c>
      <c r="D312" t="s">
        <v>26</v>
      </c>
      <c r="E312" s="1">
        <v>45638</v>
      </c>
      <c r="F312">
        <v>2115</v>
      </c>
      <c r="G312" t="s">
        <v>25</v>
      </c>
      <c r="H312" t="s">
        <v>11</v>
      </c>
      <c r="I312" t="s">
        <v>1908</v>
      </c>
      <c r="J312" t="str" cm="1">
        <f t="array" ref="J312">_xlfn.IFS(HOUR(I312)&lt;12,"Morning",HOUR(I312)&lt;17,"Afternoon",TRUE,"Evening")</f>
        <v>Morning</v>
      </c>
      <c r="K312" t="s">
        <v>12</v>
      </c>
      <c r="L312" t="str">
        <f t="shared" si="12"/>
        <v>Attended</v>
      </c>
      <c r="M312">
        <f t="shared" si="13"/>
        <v>0</v>
      </c>
      <c r="N312" t="str">
        <f t="shared" si="14"/>
        <v>Thursday</v>
      </c>
      <c r="O3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13" spans="1:15" x14ac:dyDescent="0.25">
      <c r="A313">
        <v>5311</v>
      </c>
      <c r="B313">
        <v>213</v>
      </c>
      <c r="C313">
        <v>1027</v>
      </c>
      <c r="D313" t="s">
        <v>9</v>
      </c>
      <c r="E313" s="1">
        <v>45720</v>
      </c>
      <c r="F313">
        <v>892</v>
      </c>
      <c r="G313" t="s">
        <v>14</v>
      </c>
      <c r="H313" t="s">
        <v>15</v>
      </c>
      <c r="I313" t="s">
        <v>1921</v>
      </c>
      <c r="J313" t="str" cm="1">
        <f t="array" ref="J313">_xlfn.IFS(HOUR(I313)&lt;12,"Morning",HOUR(I313)&lt;17,"Afternoon",TRUE,"Evening")</f>
        <v>Afternoon</v>
      </c>
      <c r="K313" t="s">
        <v>12</v>
      </c>
      <c r="L313" t="str">
        <f t="shared" si="12"/>
        <v>Attended</v>
      </c>
      <c r="M313">
        <f t="shared" si="13"/>
        <v>0</v>
      </c>
      <c r="N313" t="str">
        <f t="shared" si="14"/>
        <v>Tuesday</v>
      </c>
      <c r="O3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14" spans="1:15" x14ac:dyDescent="0.25">
      <c r="A314">
        <v>5312</v>
      </c>
      <c r="B314">
        <v>703</v>
      </c>
      <c r="C314">
        <v>1027</v>
      </c>
      <c r="D314" t="s">
        <v>24</v>
      </c>
      <c r="E314" s="1">
        <v>45628</v>
      </c>
      <c r="F314">
        <v>1292</v>
      </c>
      <c r="G314" t="s">
        <v>25</v>
      </c>
      <c r="H314" t="s">
        <v>19</v>
      </c>
      <c r="I314" t="s">
        <v>1917</v>
      </c>
      <c r="J314" t="str" cm="1">
        <f t="array" ref="J314">_xlfn.IFS(HOUR(I314)&lt;12,"Morning",HOUR(I314)&lt;17,"Afternoon",TRUE,"Evening")</f>
        <v>Afternoon</v>
      </c>
      <c r="K314" t="s">
        <v>12</v>
      </c>
      <c r="L314" t="str">
        <f t="shared" si="12"/>
        <v>Attended</v>
      </c>
      <c r="M314">
        <f t="shared" si="13"/>
        <v>0</v>
      </c>
      <c r="N314" t="str">
        <f t="shared" si="14"/>
        <v>Monday</v>
      </c>
      <c r="O31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15" spans="1:15" x14ac:dyDescent="0.25">
      <c r="A315">
        <v>5313</v>
      </c>
      <c r="B315">
        <v>1190</v>
      </c>
      <c r="C315">
        <v>1024</v>
      </c>
      <c r="D315" t="s">
        <v>16</v>
      </c>
      <c r="E315" s="1">
        <v>45628</v>
      </c>
      <c r="F315">
        <v>1090</v>
      </c>
      <c r="G315" t="s">
        <v>17</v>
      </c>
      <c r="H315" t="s">
        <v>19</v>
      </c>
      <c r="I315" t="s">
        <v>1921</v>
      </c>
      <c r="J315" t="str" cm="1">
        <f t="array" ref="J315">_xlfn.IFS(HOUR(I315)&lt;12,"Morning",HOUR(I315)&lt;17,"Afternoon",TRUE,"Evening")</f>
        <v>Afternoon</v>
      </c>
      <c r="K315" t="s">
        <v>20</v>
      </c>
      <c r="L315" t="str">
        <f t="shared" si="12"/>
        <v>No Show</v>
      </c>
      <c r="M315">
        <f t="shared" si="13"/>
        <v>1</v>
      </c>
      <c r="N315" t="str">
        <f t="shared" si="14"/>
        <v>Monday</v>
      </c>
      <c r="O31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16" spans="1:15" x14ac:dyDescent="0.25">
      <c r="A316">
        <v>5314</v>
      </c>
      <c r="B316">
        <v>934</v>
      </c>
      <c r="C316">
        <v>1020</v>
      </c>
      <c r="D316" t="s">
        <v>26</v>
      </c>
      <c r="E316" s="1">
        <v>45791</v>
      </c>
      <c r="F316">
        <v>1141</v>
      </c>
      <c r="G316" t="s">
        <v>25</v>
      </c>
      <c r="H316" t="s">
        <v>11</v>
      </c>
      <c r="I316" t="s">
        <v>1926</v>
      </c>
      <c r="J316" t="str" cm="1">
        <f t="array" ref="J316">_xlfn.IFS(HOUR(I316)&lt;12,"Morning",HOUR(I316)&lt;17,"Afternoon",TRUE,"Evening")</f>
        <v>Afternoon</v>
      </c>
      <c r="K316" t="s">
        <v>12</v>
      </c>
      <c r="L316" t="str">
        <f t="shared" si="12"/>
        <v>Attended</v>
      </c>
      <c r="M316">
        <f t="shared" si="13"/>
        <v>0</v>
      </c>
      <c r="N316" t="str">
        <f t="shared" si="14"/>
        <v>Wednesday</v>
      </c>
      <c r="O31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17" spans="1:15" x14ac:dyDescent="0.25">
      <c r="A317">
        <v>5315</v>
      </c>
      <c r="B317">
        <v>1082</v>
      </c>
      <c r="C317">
        <v>1004</v>
      </c>
      <c r="D317" t="s">
        <v>18</v>
      </c>
      <c r="E317" s="1">
        <v>45690</v>
      </c>
      <c r="F317">
        <v>1600</v>
      </c>
      <c r="G317" t="s">
        <v>25</v>
      </c>
      <c r="H317" t="s">
        <v>11</v>
      </c>
      <c r="I317" t="s">
        <v>1932</v>
      </c>
      <c r="J317" t="str" cm="1">
        <f t="array" ref="J317">_xlfn.IFS(HOUR(I317)&lt;12,"Morning",HOUR(I317)&lt;17,"Afternoon",TRUE,"Evening")</f>
        <v>Evening</v>
      </c>
      <c r="K317" t="s">
        <v>12</v>
      </c>
      <c r="L317" t="str">
        <f t="shared" si="12"/>
        <v>Attended</v>
      </c>
      <c r="M317">
        <f t="shared" si="13"/>
        <v>0</v>
      </c>
      <c r="N317" t="str">
        <f t="shared" si="14"/>
        <v>Sunday</v>
      </c>
      <c r="O31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18" spans="1:15" x14ac:dyDescent="0.25">
      <c r="A318">
        <v>5316</v>
      </c>
      <c r="B318">
        <v>977</v>
      </c>
      <c r="C318">
        <v>1020</v>
      </c>
      <c r="D318" t="s">
        <v>26</v>
      </c>
      <c r="E318" s="1">
        <v>45487</v>
      </c>
      <c r="F318">
        <v>1520</v>
      </c>
      <c r="G318" t="s">
        <v>10</v>
      </c>
      <c r="H318" t="s">
        <v>19</v>
      </c>
      <c r="I318" t="s">
        <v>1908</v>
      </c>
      <c r="J318" t="str" cm="1">
        <f t="array" ref="J318">_xlfn.IFS(HOUR(I318)&lt;12,"Morning",HOUR(I318)&lt;17,"Afternoon",TRUE,"Evening")</f>
        <v>Morning</v>
      </c>
      <c r="K318" t="s">
        <v>12</v>
      </c>
      <c r="L318" t="str">
        <f t="shared" si="12"/>
        <v>Attended</v>
      </c>
      <c r="M318">
        <f t="shared" si="13"/>
        <v>0</v>
      </c>
      <c r="N318" t="str">
        <f t="shared" si="14"/>
        <v>Sunday</v>
      </c>
      <c r="O31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19" spans="1:15" x14ac:dyDescent="0.25">
      <c r="A319">
        <v>5317</v>
      </c>
      <c r="B319">
        <v>1486</v>
      </c>
      <c r="C319">
        <v>1027</v>
      </c>
      <c r="D319" t="s">
        <v>21</v>
      </c>
      <c r="E319" s="1">
        <v>45503</v>
      </c>
      <c r="F319">
        <v>2416</v>
      </c>
      <c r="G319" t="s">
        <v>10</v>
      </c>
      <c r="H319" t="s">
        <v>19</v>
      </c>
      <c r="I319" t="s">
        <v>1909</v>
      </c>
      <c r="J319" t="str" cm="1">
        <f t="array" ref="J319">_xlfn.IFS(HOUR(I319)&lt;12,"Morning",HOUR(I319)&lt;17,"Afternoon",TRUE,"Evening")</f>
        <v>Afternoon</v>
      </c>
      <c r="K319" t="s">
        <v>12</v>
      </c>
      <c r="L319" t="str">
        <f t="shared" si="12"/>
        <v>Attended</v>
      </c>
      <c r="M319">
        <f t="shared" si="13"/>
        <v>0</v>
      </c>
      <c r="N319" t="str">
        <f t="shared" si="14"/>
        <v>Tuesday</v>
      </c>
      <c r="O31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0" spans="1:15" x14ac:dyDescent="0.25">
      <c r="A320">
        <v>5318</v>
      </c>
      <c r="B320">
        <v>705</v>
      </c>
      <c r="C320">
        <v>1024</v>
      </c>
      <c r="D320" t="s">
        <v>16</v>
      </c>
      <c r="E320" s="1">
        <v>45488</v>
      </c>
      <c r="F320">
        <v>2283</v>
      </c>
      <c r="G320" t="s">
        <v>10</v>
      </c>
      <c r="H320" t="s">
        <v>11</v>
      </c>
      <c r="I320" t="s">
        <v>1910</v>
      </c>
      <c r="J320" t="str" cm="1">
        <f t="array" ref="J320">_xlfn.IFS(HOUR(I320)&lt;12,"Morning",HOUR(I320)&lt;17,"Afternoon",TRUE,"Evening")</f>
        <v>Evening</v>
      </c>
      <c r="K320" t="s">
        <v>12</v>
      </c>
      <c r="L320" t="str">
        <f t="shared" si="12"/>
        <v>Attended</v>
      </c>
      <c r="M320">
        <f t="shared" si="13"/>
        <v>0</v>
      </c>
      <c r="N320" t="str">
        <f t="shared" si="14"/>
        <v>Monday</v>
      </c>
      <c r="O32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1" spans="1:15" x14ac:dyDescent="0.25">
      <c r="A321">
        <v>5319</v>
      </c>
      <c r="B321">
        <v>405</v>
      </c>
      <c r="C321">
        <v>1024</v>
      </c>
      <c r="D321" t="s">
        <v>16</v>
      </c>
      <c r="E321" s="1">
        <v>45823</v>
      </c>
      <c r="F321">
        <v>1892</v>
      </c>
      <c r="G321" t="s">
        <v>17</v>
      </c>
      <c r="H321" t="s">
        <v>11</v>
      </c>
      <c r="I321" t="s">
        <v>1909</v>
      </c>
      <c r="J321" t="str" cm="1">
        <f t="array" ref="J321">_xlfn.IFS(HOUR(I321)&lt;12,"Morning",HOUR(I321)&lt;17,"Afternoon",TRUE,"Evening")</f>
        <v>Afternoon</v>
      </c>
      <c r="K321" t="s">
        <v>23</v>
      </c>
      <c r="L321" t="str">
        <f t="shared" si="12"/>
        <v>No Show</v>
      </c>
      <c r="M321">
        <f t="shared" si="13"/>
        <v>1</v>
      </c>
      <c r="N321" t="str">
        <f t="shared" si="14"/>
        <v>Sunday</v>
      </c>
      <c r="O32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22" spans="1:15" x14ac:dyDescent="0.25">
      <c r="A322">
        <v>5320</v>
      </c>
      <c r="B322">
        <v>1399</v>
      </c>
      <c r="C322">
        <v>1027</v>
      </c>
      <c r="D322" t="s">
        <v>24</v>
      </c>
      <c r="E322" s="1">
        <v>45748</v>
      </c>
      <c r="F322">
        <v>1041</v>
      </c>
      <c r="G322" t="s">
        <v>14</v>
      </c>
      <c r="H322" t="s">
        <v>19</v>
      </c>
      <c r="I322" t="s">
        <v>1920</v>
      </c>
      <c r="J322" t="str" cm="1">
        <f t="array" ref="J322">_xlfn.IFS(HOUR(I322)&lt;12,"Morning",HOUR(I322)&lt;17,"Afternoon",TRUE,"Evening")</f>
        <v>Morning</v>
      </c>
      <c r="K322" t="s">
        <v>12</v>
      </c>
      <c r="L322" t="str">
        <f t="shared" si="12"/>
        <v>Attended</v>
      </c>
      <c r="M322">
        <f t="shared" si="13"/>
        <v>0</v>
      </c>
      <c r="N322" t="str">
        <f t="shared" si="14"/>
        <v>Tuesday</v>
      </c>
      <c r="O3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3" spans="1:15" x14ac:dyDescent="0.25">
      <c r="A323">
        <v>5321</v>
      </c>
      <c r="B323">
        <v>271</v>
      </c>
      <c r="C323">
        <v>1027</v>
      </c>
      <c r="D323" t="s">
        <v>27</v>
      </c>
      <c r="E323" s="1">
        <v>45744</v>
      </c>
      <c r="F323">
        <v>1455</v>
      </c>
      <c r="G323" t="s">
        <v>17</v>
      </c>
      <c r="H323" t="s">
        <v>11</v>
      </c>
      <c r="I323" t="s">
        <v>1928</v>
      </c>
      <c r="J323" t="str" cm="1">
        <f t="array" ref="J323">_xlfn.IFS(HOUR(I323)&lt;12,"Morning",HOUR(I323)&lt;17,"Afternoon",TRUE,"Evening")</f>
        <v>Morning</v>
      </c>
      <c r="K323" t="s">
        <v>12</v>
      </c>
      <c r="L323" t="str">
        <f t="shared" ref="L323:L386" si="15">IF(K323="completed","Attended","No Show")</f>
        <v>Attended</v>
      </c>
      <c r="M323">
        <f t="shared" ref="M323:M386" si="16">IF(L323="No Show",1,0)</f>
        <v>0</v>
      </c>
      <c r="N323" t="str">
        <f t="shared" ref="N323:N386" si="17">TEXT(E323,"dddd")</f>
        <v>Friday</v>
      </c>
      <c r="O3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4" spans="1:15" x14ac:dyDescent="0.25">
      <c r="A324">
        <v>5322</v>
      </c>
      <c r="B324">
        <v>181</v>
      </c>
      <c r="C324">
        <v>1020</v>
      </c>
      <c r="D324" t="s">
        <v>26</v>
      </c>
      <c r="E324" s="1">
        <v>45651</v>
      </c>
      <c r="F324">
        <v>1677</v>
      </c>
      <c r="G324" t="s">
        <v>25</v>
      </c>
      <c r="H324" t="s">
        <v>15</v>
      </c>
      <c r="I324" t="s">
        <v>1931</v>
      </c>
      <c r="J324" t="str" cm="1">
        <f t="array" ref="J324">_xlfn.IFS(HOUR(I324)&lt;12,"Morning",HOUR(I324)&lt;17,"Afternoon",TRUE,"Evening")</f>
        <v>Afternoon</v>
      </c>
      <c r="K324" t="s">
        <v>12</v>
      </c>
      <c r="L324" t="str">
        <f t="shared" si="15"/>
        <v>Attended</v>
      </c>
      <c r="M324">
        <f t="shared" si="16"/>
        <v>0</v>
      </c>
      <c r="N324" t="str">
        <f t="shared" si="17"/>
        <v>Wednesday</v>
      </c>
      <c r="O32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5" spans="1:15" x14ac:dyDescent="0.25">
      <c r="A325">
        <v>5323</v>
      </c>
      <c r="B325">
        <v>839</v>
      </c>
      <c r="C325">
        <v>1027</v>
      </c>
      <c r="D325" t="s">
        <v>21</v>
      </c>
      <c r="E325" s="1">
        <v>45623</v>
      </c>
      <c r="F325">
        <v>1806</v>
      </c>
      <c r="G325" t="s">
        <v>17</v>
      </c>
      <c r="H325" t="s">
        <v>19</v>
      </c>
      <c r="I325" t="s">
        <v>1934</v>
      </c>
      <c r="J325" t="str" cm="1">
        <f t="array" ref="J325">_xlfn.IFS(HOUR(I325)&lt;12,"Morning",HOUR(I325)&lt;17,"Afternoon",TRUE,"Evening")</f>
        <v>Afternoon</v>
      </c>
      <c r="K325" t="s">
        <v>12</v>
      </c>
      <c r="L325" t="str">
        <f t="shared" si="15"/>
        <v>Attended</v>
      </c>
      <c r="M325">
        <f t="shared" si="16"/>
        <v>0</v>
      </c>
      <c r="N325" t="str">
        <f t="shared" si="17"/>
        <v>Wednesday</v>
      </c>
      <c r="O32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6" spans="1:15" x14ac:dyDescent="0.25">
      <c r="A326">
        <v>5324</v>
      </c>
      <c r="B326">
        <v>818</v>
      </c>
      <c r="C326">
        <v>1027</v>
      </c>
      <c r="D326" t="s">
        <v>24</v>
      </c>
      <c r="E326" s="1">
        <v>45548</v>
      </c>
      <c r="F326">
        <v>2386</v>
      </c>
      <c r="G326" t="s">
        <v>14</v>
      </c>
      <c r="H326" t="s">
        <v>19</v>
      </c>
      <c r="I326" t="s">
        <v>1927</v>
      </c>
      <c r="J326" t="str" cm="1">
        <f t="array" ref="J326">_xlfn.IFS(HOUR(I326)&lt;12,"Morning",HOUR(I326)&lt;17,"Afternoon",TRUE,"Evening")</f>
        <v>Afternoon</v>
      </c>
      <c r="K326" t="s">
        <v>12</v>
      </c>
      <c r="L326" t="str">
        <f t="shared" si="15"/>
        <v>Attended</v>
      </c>
      <c r="M326">
        <f t="shared" si="16"/>
        <v>0</v>
      </c>
      <c r="N326" t="str">
        <f t="shared" si="17"/>
        <v>Friday</v>
      </c>
      <c r="O32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7" spans="1:15" x14ac:dyDescent="0.25">
      <c r="A327">
        <v>5325</v>
      </c>
      <c r="B327">
        <v>302</v>
      </c>
      <c r="C327">
        <v>1020</v>
      </c>
      <c r="D327" t="s">
        <v>26</v>
      </c>
      <c r="E327" s="1">
        <v>45754</v>
      </c>
      <c r="F327">
        <v>2287</v>
      </c>
      <c r="G327" t="s">
        <v>17</v>
      </c>
      <c r="H327" t="s">
        <v>15</v>
      </c>
      <c r="I327" t="s">
        <v>1943</v>
      </c>
      <c r="J327" t="str" cm="1">
        <f t="array" ref="J327">_xlfn.IFS(HOUR(I327)&lt;12,"Morning",HOUR(I327)&lt;17,"Afternoon",TRUE,"Evening")</f>
        <v>Afternoon</v>
      </c>
      <c r="K327" t="s">
        <v>28</v>
      </c>
      <c r="L327" t="str">
        <f t="shared" si="15"/>
        <v>No Show</v>
      </c>
      <c r="M327">
        <f t="shared" si="16"/>
        <v>1</v>
      </c>
      <c r="N327" t="str">
        <f t="shared" si="17"/>
        <v>Monday</v>
      </c>
      <c r="O3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8" spans="1:15" x14ac:dyDescent="0.25">
      <c r="A328">
        <v>5326</v>
      </c>
      <c r="B328">
        <v>1373</v>
      </c>
      <c r="C328">
        <v>1027</v>
      </c>
      <c r="D328" t="s">
        <v>24</v>
      </c>
      <c r="E328" s="1">
        <v>45519</v>
      </c>
      <c r="F328">
        <v>1789</v>
      </c>
      <c r="G328" t="s">
        <v>25</v>
      </c>
      <c r="H328" t="s">
        <v>11</v>
      </c>
      <c r="I328" t="s">
        <v>1927</v>
      </c>
      <c r="J328" t="str" cm="1">
        <f t="array" ref="J328">_xlfn.IFS(HOUR(I328)&lt;12,"Morning",HOUR(I328)&lt;17,"Afternoon",TRUE,"Evening")</f>
        <v>Afternoon</v>
      </c>
      <c r="K328" t="s">
        <v>12</v>
      </c>
      <c r="L328" t="str">
        <f t="shared" si="15"/>
        <v>Attended</v>
      </c>
      <c r="M328">
        <f t="shared" si="16"/>
        <v>0</v>
      </c>
      <c r="N328" t="str">
        <f t="shared" si="17"/>
        <v>Thursday</v>
      </c>
      <c r="O32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29" spans="1:15" x14ac:dyDescent="0.25">
      <c r="A329">
        <v>5327</v>
      </c>
      <c r="B329">
        <v>1004</v>
      </c>
      <c r="C329">
        <v>1002</v>
      </c>
      <c r="D329" t="s">
        <v>18</v>
      </c>
      <c r="E329" s="1">
        <v>45555</v>
      </c>
      <c r="F329">
        <v>1321</v>
      </c>
      <c r="G329" t="s">
        <v>14</v>
      </c>
      <c r="H329" t="s">
        <v>15</v>
      </c>
      <c r="I329" t="s">
        <v>1907</v>
      </c>
      <c r="J329" t="str" cm="1">
        <f t="array" ref="J329">_xlfn.IFS(HOUR(I329)&lt;12,"Morning",HOUR(I329)&lt;17,"Afternoon",TRUE,"Evening")</f>
        <v>Afternoon</v>
      </c>
      <c r="K329" t="s">
        <v>12</v>
      </c>
      <c r="L329" t="str">
        <f t="shared" si="15"/>
        <v>Attended</v>
      </c>
      <c r="M329">
        <f t="shared" si="16"/>
        <v>0</v>
      </c>
      <c r="N329" t="str">
        <f t="shared" si="17"/>
        <v>Friday</v>
      </c>
      <c r="O32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0" spans="1:15" x14ac:dyDescent="0.25">
      <c r="A330">
        <v>5328</v>
      </c>
      <c r="B330">
        <v>387</v>
      </c>
      <c r="C330">
        <v>1027</v>
      </c>
      <c r="D330" t="s">
        <v>27</v>
      </c>
      <c r="E330" s="1">
        <v>45491</v>
      </c>
      <c r="F330">
        <v>1484</v>
      </c>
      <c r="G330" t="s">
        <v>25</v>
      </c>
      <c r="H330" t="s">
        <v>15</v>
      </c>
      <c r="I330" t="s">
        <v>1919</v>
      </c>
      <c r="J330" t="str" cm="1">
        <f t="array" ref="J330">_xlfn.IFS(HOUR(I330)&lt;12,"Morning",HOUR(I330)&lt;17,"Afternoon",TRUE,"Evening")</f>
        <v>Evening</v>
      </c>
      <c r="K330" t="s">
        <v>12</v>
      </c>
      <c r="L330" t="str">
        <f t="shared" si="15"/>
        <v>Attended</v>
      </c>
      <c r="M330">
        <f t="shared" si="16"/>
        <v>0</v>
      </c>
      <c r="N330" t="str">
        <f t="shared" si="17"/>
        <v>Thursday</v>
      </c>
      <c r="O33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1" spans="1:15" x14ac:dyDescent="0.25">
      <c r="A331">
        <v>5329</v>
      </c>
      <c r="B331">
        <v>1079</v>
      </c>
      <c r="C331">
        <v>1020</v>
      </c>
      <c r="D331" t="s">
        <v>26</v>
      </c>
      <c r="E331" s="1">
        <v>45791</v>
      </c>
      <c r="F331">
        <v>1411</v>
      </c>
      <c r="G331" t="s">
        <v>25</v>
      </c>
      <c r="H331" t="s">
        <v>11</v>
      </c>
      <c r="I331" t="s">
        <v>1931</v>
      </c>
      <c r="J331" t="str" cm="1">
        <f t="array" ref="J331">_xlfn.IFS(HOUR(I331)&lt;12,"Morning",HOUR(I331)&lt;17,"Afternoon",TRUE,"Evening")</f>
        <v>Afternoon</v>
      </c>
      <c r="K331" t="s">
        <v>12</v>
      </c>
      <c r="L331" t="str">
        <f t="shared" si="15"/>
        <v>Attended</v>
      </c>
      <c r="M331">
        <f t="shared" si="16"/>
        <v>0</v>
      </c>
      <c r="N331" t="str">
        <f t="shared" si="17"/>
        <v>Wednesday</v>
      </c>
      <c r="O33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2" spans="1:15" x14ac:dyDescent="0.25">
      <c r="A332">
        <v>5330</v>
      </c>
      <c r="B332">
        <v>716</v>
      </c>
      <c r="C332">
        <v>1027</v>
      </c>
      <c r="D332" t="s">
        <v>22</v>
      </c>
      <c r="E332" s="1">
        <v>45696</v>
      </c>
      <c r="F332">
        <v>1634</v>
      </c>
      <c r="G332" t="s">
        <v>14</v>
      </c>
      <c r="H332" t="s">
        <v>19</v>
      </c>
      <c r="I332" t="s">
        <v>1933</v>
      </c>
      <c r="J332" t="str" cm="1">
        <f t="array" ref="J332">_xlfn.IFS(HOUR(I332)&lt;12,"Morning",HOUR(I332)&lt;17,"Afternoon",TRUE,"Evening")</f>
        <v>Evening</v>
      </c>
      <c r="K332" t="s">
        <v>12</v>
      </c>
      <c r="L332" t="str">
        <f t="shared" si="15"/>
        <v>Attended</v>
      </c>
      <c r="M332">
        <f t="shared" si="16"/>
        <v>0</v>
      </c>
      <c r="N332" t="str">
        <f t="shared" si="17"/>
        <v>Saturday</v>
      </c>
      <c r="O33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33" spans="1:15" x14ac:dyDescent="0.25">
      <c r="A333">
        <v>5331</v>
      </c>
      <c r="B333">
        <v>735</v>
      </c>
      <c r="C333">
        <v>1008</v>
      </c>
      <c r="D333" t="s">
        <v>13</v>
      </c>
      <c r="E333" s="1">
        <v>45812</v>
      </c>
      <c r="F333">
        <v>1670</v>
      </c>
      <c r="G333" t="s">
        <v>17</v>
      </c>
      <c r="H333" t="s">
        <v>15</v>
      </c>
      <c r="I333" t="s">
        <v>1928</v>
      </c>
      <c r="J333" t="str" cm="1">
        <f t="array" ref="J333">_xlfn.IFS(HOUR(I333)&lt;12,"Morning",HOUR(I333)&lt;17,"Afternoon",TRUE,"Evening")</f>
        <v>Morning</v>
      </c>
      <c r="K333" t="s">
        <v>23</v>
      </c>
      <c r="L333" t="str">
        <f t="shared" si="15"/>
        <v>No Show</v>
      </c>
      <c r="M333">
        <f t="shared" si="16"/>
        <v>1</v>
      </c>
      <c r="N333" t="str">
        <f t="shared" si="17"/>
        <v>Wednesday</v>
      </c>
      <c r="O33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4" spans="1:15" x14ac:dyDescent="0.25">
      <c r="A334">
        <v>5332</v>
      </c>
      <c r="B334">
        <v>1226</v>
      </c>
      <c r="C334">
        <v>1001</v>
      </c>
      <c r="D334" t="s">
        <v>22</v>
      </c>
      <c r="E334" s="1">
        <v>45616</v>
      </c>
      <c r="F334">
        <v>1357</v>
      </c>
      <c r="G334" t="s">
        <v>10</v>
      </c>
      <c r="H334" t="s">
        <v>11</v>
      </c>
      <c r="I334" t="s">
        <v>1938</v>
      </c>
      <c r="J334" t="str" cm="1">
        <f t="array" ref="J334">_xlfn.IFS(HOUR(I334)&lt;12,"Morning",HOUR(I334)&lt;17,"Afternoon",TRUE,"Evening")</f>
        <v>Afternoon</v>
      </c>
      <c r="K334" t="s">
        <v>12</v>
      </c>
      <c r="L334" t="str">
        <f t="shared" si="15"/>
        <v>Attended</v>
      </c>
      <c r="M334">
        <f t="shared" si="16"/>
        <v>0</v>
      </c>
      <c r="N334" t="str">
        <f t="shared" si="17"/>
        <v>Wednesday</v>
      </c>
      <c r="O33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5" spans="1:15" x14ac:dyDescent="0.25">
      <c r="A335">
        <v>5333</v>
      </c>
      <c r="B335">
        <v>712</v>
      </c>
      <c r="C335">
        <v>1027</v>
      </c>
      <c r="D335" t="s">
        <v>27</v>
      </c>
      <c r="E335" s="1">
        <v>45485</v>
      </c>
      <c r="F335">
        <v>1985</v>
      </c>
      <c r="G335" t="s">
        <v>10</v>
      </c>
      <c r="H335" t="s">
        <v>15</v>
      </c>
      <c r="I335" t="s">
        <v>1926</v>
      </c>
      <c r="J335" t="str" cm="1">
        <f t="array" ref="J335">_xlfn.IFS(HOUR(I335)&lt;12,"Morning",HOUR(I335)&lt;17,"Afternoon",TRUE,"Evening")</f>
        <v>Afternoon</v>
      </c>
      <c r="K335" t="s">
        <v>12</v>
      </c>
      <c r="L335" t="str">
        <f t="shared" si="15"/>
        <v>Attended</v>
      </c>
      <c r="M335">
        <f t="shared" si="16"/>
        <v>0</v>
      </c>
      <c r="N335" t="str">
        <f t="shared" si="17"/>
        <v>Friday</v>
      </c>
      <c r="O3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6" spans="1:15" x14ac:dyDescent="0.25">
      <c r="A336">
        <v>5334</v>
      </c>
      <c r="B336">
        <v>517</v>
      </c>
      <c r="C336">
        <v>1001</v>
      </c>
      <c r="D336" t="s">
        <v>18</v>
      </c>
      <c r="E336" s="1">
        <v>45809</v>
      </c>
      <c r="F336">
        <v>1241</v>
      </c>
      <c r="G336" t="s">
        <v>10</v>
      </c>
      <c r="H336" t="s">
        <v>11</v>
      </c>
      <c r="I336" t="s">
        <v>1909</v>
      </c>
      <c r="J336" t="str" cm="1">
        <f t="array" ref="J336">_xlfn.IFS(HOUR(I336)&lt;12,"Morning",HOUR(I336)&lt;17,"Afternoon",TRUE,"Evening")</f>
        <v>Afternoon</v>
      </c>
      <c r="K336" t="s">
        <v>23</v>
      </c>
      <c r="L336" t="str">
        <f t="shared" si="15"/>
        <v>No Show</v>
      </c>
      <c r="M336">
        <f t="shared" si="16"/>
        <v>1</v>
      </c>
      <c r="N336" t="str">
        <f t="shared" si="17"/>
        <v>Sunday</v>
      </c>
      <c r="O33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37" spans="1:15" x14ac:dyDescent="0.25">
      <c r="A337">
        <v>5335</v>
      </c>
      <c r="B337">
        <v>527</v>
      </c>
      <c r="C337">
        <v>1027</v>
      </c>
      <c r="D337" t="s">
        <v>22</v>
      </c>
      <c r="E337" s="1">
        <v>45736</v>
      </c>
      <c r="F337">
        <v>1324</v>
      </c>
      <c r="G337" t="s">
        <v>17</v>
      </c>
      <c r="H337" t="s">
        <v>15</v>
      </c>
      <c r="I337" t="s">
        <v>1932</v>
      </c>
      <c r="J337" t="str" cm="1">
        <f t="array" ref="J337">_xlfn.IFS(HOUR(I337)&lt;12,"Morning",HOUR(I337)&lt;17,"Afternoon",TRUE,"Evening")</f>
        <v>Evening</v>
      </c>
      <c r="K337" t="s">
        <v>12</v>
      </c>
      <c r="L337" t="str">
        <f t="shared" si="15"/>
        <v>Attended</v>
      </c>
      <c r="M337">
        <f t="shared" si="16"/>
        <v>0</v>
      </c>
      <c r="N337" t="str">
        <f t="shared" si="17"/>
        <v>Thursday</v>
      </c>
      <c r="O33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8" spans="1:15" x14ac:dyDescent="0.25">
      <c r="A338">
        <v>5336</v>
      </c>
      <c r="B338">
        <v>808</v>
      </c>
      <c r="C338">
        <v>1009</v>
      </c>
      <c r="D338" t="s">
        <v>13</v>
      </c>
      <c r="E338" s="1">
        <v>45673</v>
      </c>
      <c r="F338">
        <v>2289</v>
      </c>
      <c r="G338" t="s">
        <v>17</v>
      </c>
      <c r="H338" t="s">
        <v>19</v>
      </c>
      <c r="I338" t="s">
        <v>1933</v>
      </c>
      <c r="J338" t="str" cm="1">
        <f t="array" ref="J338">_xlfn.IFS(HOUR(I338)&lt;12,"Morning",HOUR(I338)&lt;17,"Afternoon",TRUE,"Evening")</f>
        <v>Evening</v>
      </c>
      <c r="K338" t="s">
        <v>28</v>
      </c>
      <c r="L338" t="str">
        <f t="shared" si="15"/>
        <v>No Show</v>
      </c>
      <c r="M338">
        <f t="shared" si="16"/>
        <v>1</v>
      </c>
      <c r="N338" t="str">
        <f t="shared" si="17"/>
        <v>Thursday</v>
      </c>
      <c r="O33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39" spans="1:15" x14ac:dyDescent="0.25">
      <c r="A339">
        <v>5337</v>
      </c>
      <c r="B339">
        <v>813</v>
      </c>
      <c r="C339">
        <v>1024</v>
      </c>
      <c r="D339" t="s">
        <v>16</v>
      </c>
      <c r="E339" s="1">
        <v>45521</v>
      </c>
      <c r="F339">
        <v>2030</v>
      </c>
      <c r="G339" t="s">
        <v>14</v>
      </c>
      <c r="H339" t="s">
        <v>15</v>
      </c>
      <c r="I339" t="s">
        <v>1943</v>
      </c>
      <c r="J339" t="str" cm="1">
        <f t="array" ref="J339">_xlfn.IFS(HOUR(I339)&lt;12,"Morning",HOUR(I339)&lt;17,"Afternoon",TRUE,"Evening")</f>
        <v>Afternoon</v>
      </c>
      <c r="K339" t="s">
        <v>12</v>
      </c>
      <c r="L339" t="str">
        <f t="shared" si="15"/>
        <v>Attended</v>
      </c>
      <c r="M339">
        <f t="shared" si="16"/>
        <v>0</v>
      </c>
      <c r="N339" t="str">
        <f t="shared" si="17"/>
        <v>Saturday</v>
      </c>
      <c r="O33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40" spans="1:15" x14ac:dyDescent="0.25">
      <c r="A340">
        <v>5338</v>
      </c>
      <c r="B340">
        <v>1539</v>
      </c>
      <c r="C340">
        <v>1027</v>
      </c>
      <c r="D340" t="s">
        <v>22</v>
      </c>
      <c r="E340" s="1">
        <v>45732</v>
      </c>
      <c r="F340">
        <v>2209</v>
      </c>
      <c r="G340" t="s">
        <v>10</v>
      </c>
      <c r="H340" t="s">
        <v>19</v>
      </c>
      <c r="I340" t="s">
        <v>1929</v>
      </c>
      <c r="J340" t="str" cm="1">
        <f t="array" ref="J340">_xlfn.IFS(HOUR(I340)&lt;12,"Morning",HOUR(I340)&lt;17,"Afternoon",TRUE,"Evening")</f>
        <v>Afternoon</v>
      </c>
      <c r="K340" t="s">
        <v>12</v>
      </c>
      <c r="L340" t="str">
        <f t="shared" si="15"/>
        <v>Attended</v>
      </c>
      <c r="M340">
        <f t="shared" si="16"/>
        <v>0</v>
      </c>
      <c r="N340" t="str">
        <f t="shared" si="17"/>
        <v>Sunday</v>
      </c>
      <c r="O34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41" spans="1:15" x14ac:dyDescent="0.25">
      <c r="A341">
        <v>5339</v>
      </c>
      <c r="B341">
        <v>146</v>
      </c>
      <c r="C341">
        <v>1027</v>
      </c>
      <c r="D341" t="s">
        <v>21</v>
      </c>
      <c r="E341" s="1">
        <v>45509</v>
      </c>
      <c r="F341">
        <v>1883</v>
      </c>
      <c r="G341" t="s">
        <v>14</v>
      </c>
      <c r="H341" t="s">
        <v>11</v>
      </c>
      <c r="I341" t="s">
        <v>1907</v>
      </c>
      <c r="J341" t="str" cm="1">
        <f t="array" ref="J341">_xlfn.IFS(HOUR(I341)&lt;12,"Morning",HOUR(I341)&lt;17,"Afternoon",TRUE,"Evening")</f>
        <v>Afternoon</v>
      </c>
      <c r="K341" t="s">
        <v>12</v>
      </c>
      <c r="L341" t="str">
        <f t="shared" si="15"/>
        <v>Attended</v>
      </c>
      <c r="M341">
        <f t="shared" si="16"/>
        <v>0</v>
      </c>
      <c r="N341" t="str">
        <f t="shared" si="17"/>
        <v>Monday</v>
      </c>
      <c r="O34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42" spans="1:15" x14ac:dyDescent="0.25">
      <c r="A342">
        <v>5340</v>
      </c>
      <c r="B342">
        <v>1258</v>
      </c>
      <c r="C342">
        <v>1024</v>
      </c>
      <c r="D342" t="s">
        <v>16</v>
      </c>
      <c r="E342" s="1">
        <v>45645</v>
      </c>
      <c r="F342">
        <v>1617</v>
      </c>
      <c r="G342" t="s">
        <v>25</v>
      </c>
      <c r="H342" t="s">
        <v>11</v>
      </c>
      <c r="I342" t="s">
        <v>1935</v>
      </c>
      <c r="J342" t="str" cm="1">
        <f t="array" ref="J342">_xlfn.IFS(HOUR(I342)&lt;12,"Morning",HOUR(I342)&lt;17,"Afternoon",TRUE,"Evening")</f>
        <v>Afternoon</v>
      </c>
      <c r="K342" t="s">
        <v>12</v>
      </c>
      <c r="L342" t="str">
        <f t="shared" si="15"/>
        <v>Attended</v>
      </c>
      <c r="M342">
        <f t="shared" si="16"/>
        <v>0</v>
      </c>
      <c r="N342" t="str">
        <f t="shared" si="17"/>
        <v>Thursday</v>
      </c>
      <c r="O3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43" spans="1:15" x14ac:dyDescent="0.25">
      <c r="A343">
        <v>5341</v>
      </c>
      <c r="B343">
        <v>1511</v>
      </c>
      <c r="C343">
        <v>1027</v>
      </c>
      <c r="D343" t="s">
        <v>27</v>
      </c>
      <c r="E343" s="1">
        <v>45724</v>
      </c>
      <c r="F343">
        <v>1537</v>
      </c>
      <c r="G343" t="s">
        <v>17</v>
      </c>
      <c r="H343" t="s">
        <v>15</v>
      </c>
      <c r="I343" t="s">
        <v>1929</v>
      </c>
      <c r="J343" t="str" cm="1">
        <f t="array" ref="J343">_xlfn.IFS(HOUR(I343)&lt;12,"Morning",HOUR(I343)&lt;17,"Afternoon",TRUE,"Evening")</f>
        <v>Afternoon</v>
      </c>
      <c r="K343" t="s">
        <v>12</v>
      </c>
      <c r="L343" t="str">
        <f t="shared" si="15"/>
        <v>Attended</v>
      </c>
      <c r="M343">
        <f t="shared" si="16"/>
        <v>0</v>
      </c>
      <c r="N343" t="str">
        <f t="shared" si="17"/>
        <v>Saturday</v>
      </c>
      <c r="O34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44" spans="1:15" x14ac:dyDescent="0.25">
      <c r="A344">
        <v>5342</v>
      </c>
      <c r="B344">
        <v>233</v>
      </c>
      <c r="C344">
        <v>1027</v>
      </c>
      <c r="D344" t="s">
        <v>21</v>
      </c>
      <c r="E344" s="1">
        <v>45792</v>
      </c>
      <c r="F344">
        <v>2260</v>
      </c>
      <c r="G344" t="s">
        <v>10</v>
      </c>
      <c r="H344" t="s">
        <v>15</v>
      </c>
      <c r="I344" t="s">
        <v>1927</v>
      </c>
      <c r="J344" t="str" cm="1">
        <f t="array" ref="J344">_xlfn.IFS(HOUR(I344)&lt;12,"Morning",HOUR(I344)&lt;17,"Afternoon",TRUE,"Evening")</f>
        <v>Afternoon</v>
      </c>
      <c r="K344" t="s">
        <v>12</v>
      </c>
      <c r="L344" t="str">
        <f t="shared" si="15"/>
        <v>Attended</v>
      </c>
      <c r="M344">
        <f t="shared" si="16"/>
        <v>0</v>
      </c>
      <c r="N344" t="str">
        <f t="shared" si="17"/>
        <v>Thursday</v>
      </c>
      <c r="O34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45" spans="1:15" x14ac:dyDescent="0.25">
      <c r="A345">
        <v>5343</v>
      </c>
      <c r="B345">
        <v>1168</v>
      </c>
      <c r="C345">
        <v>1020</v>
      </c>
      <c r="D345" t="s">
        <v>26</v>
      </c>
      <c r="E345" s="1">
        <v>45710</v>
      </c>
      <c r="F345">
        <v>2208</v>
      </c>
      <c r="G345" t="s">
        <v>10</v>
      </c>
      <c r="H345" t="s">
        <v>19</v>
      </c>
      <c r="I345" t="s">
        <v>1922</v>
      </c>
      <c r="J345" t="str" cm="1">
        <f t="array" ref="J345">_xlfn.IFS(HOUR(I345)&lt;12,"Morning",HOUR(I345)&lt;17,"Afternoon",TRUE,"Evening")</f>
        <v>Afternoon</v>
      </c>
      <c r="K345" t="s">
        <v>20</v>
      </c>
      <c r="L345" t="str">
        <f t="shared" si="15"/>
        <v>No Show</v>
      </c>
      <c r="M345">
        <f t="shared" si="16"/>
        <v>1</v>
      </c>
      <c r="N345" t="str">
        <f t="shared" si="17"/>
        <v>Saturday</v>
      </c>
      <c r="O34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46" spans="1:15" x14ac:dyDescent="0.25">
      <c r="A346">
        <v>5344</v>
      </c>
      <c r="B346">
        <v>1455</v>
      </c>
      <c r="C346">
        <v>1024</v>
      </c>
      <c r="D346" t="s">
        <v>16</v>
      </c>
      <c r="E346" s="1">
        <v>45837</v>
      </c>
      <c r="F346">
        <v>2381</v>
      </c>
      <c r="G346" t="s">
        <v>14</v>
      </c>
      <c r="H346" t="s">
        <v>19</v>
      </c>
      <c r="I346" t="s">
        <v>1918</v>
      </c>
      <c r="J346" t="str" cm="1">
        <f t="array" ref="J346">_xlfn.IFS(HOUR(I346)&lt;12,"Morning",HOUR(I346)&lt;17,"Afternoon",TRUE,"Evening")</f>
        <v>Evening</v>
      </c>
      <c r="K346" t="s">
        <v>23</v>
      </c>
      <c r="L346" t="str">
        <f t="shared" si="15"/>
        <v>No Show</v>
      </c>
      <c r="M346">
        <f t="shared" si="16"/>
        <v>1</v>
      </c>
      <c r="N346" t="str">
        <f t="shared" si="17"/>
        <v>Sunday</v>
      </c>
      <c r="O34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47" spans="1:15" x14ac:dyDescent="0.25">
      <c r="A347">
        <v>5345</v>
      </c>
      <c r="B347">
        <v>139</v>
      </c>
      <c r="C347">
        <v>1008</v>
      </c>
      <c r="D347" t="s">
        <v>13</v>
      </c>
      <c r="E347" s="1">
        <v>45496</v>
      </c>
      <c r="F347">
        <v>1993</v>
      </c>
      <c r="G347" t="s">
        <v>25</v>
      </c>
      <c r="H347" t="s">
        <v>15</v>
      </c>
      <c r="I347" t="s">
        <v>1923</v>
      </c>
      <c r="J347" t="str" cm="1">
        <f t="array" ref="J347">_xlfn.IFS(HOUR(I347)&lt;12,"Morning",HOUR(I347)&lt;17,"Afternoon",TRUE,"Evening")</f>
        <v>Evening</v>
      </c>
      <c r="K347" t="s">
        <v>12</v>
      </c>
      <c r="L347" t="str">
        <f t="shared" si="15"/>
        <v>Attended</v>
      </c>
      <c r="M347">
        <f t="shared" si="16"/>
        <v>0</v>
      </c>
      <c r="N347" t="str">
        <f t="shared" si="17"/>
        <v>Tuesday</v>
      </c>
      <c r="O34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48" spans="1:15" x14ac:dyDescent="0.25">
      <c r="A348">
        <v>5346</v>
      </c>
      <c r="B348">
        <v>990</v>
      </c>
      <c r="C348">
        <v>1020</v>
      </c>
      <c r="D348" t="s">
        <v>26</v>
      </c>
      <c r="E348" s="1">
        <v>45747</v>
      </c>
      <c r="F348">
        <v>1195</v>
      </c>
      <c r="G348" t="s">
        <v>25</v>
      </c>
      <c r="H348" t="s">
        <v>11</v>
      </c>
      <c r="I348" t="s">
        <v>1920</v>
      </c>
      <c r="J348" t="str" cm="1">
        <f t="array" ref="J348">_xlfn.IFS(HOUR(I348)&lt;12,"Morning",HOUR(I348)&lt;17,"Afternoon",TRUE,"Evening")</f>
        <v>Morning</v>
      </c>
      <c r="K348" t="s">
        <v>28</v>
      </c>
      <c r="L348" t="str">
        <f t="shared" si="15"/>
        <v>No Show</v>
      </c>
      <c r="M348">
        <f t="shared" si="16"/>
        <v>1</v>
      </c>
      <c r="N348" t="str">
        <f t="shared" si="17"/>
        <v>Monday</v>
      </c>
      <c r="O3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49" spans="1:15" x14ac:dyDescent="0.25">
      <c r="A349">
        <v>5347</v>
      </c>
      <c r="B349">
        <v>296</v>
      </c>
      <c r="C349">
        <v>1020</v>
      </c>
      <c r="D349" t="s">
        <v>26</v>
      </c>
      <c r="E349" s="1">
        <v>45546</v>
      </c>
      <c r="F349">
        <v>2245</v>
      </c>
      <c r="G349" t="s">
        <v>17</v>
      </c>
      <c r="H349" t="s">
        <v>11</v>
      </c>
      <c r="I349" t="s">
        <v>1907</v>
      </c>
      <c r="J349" t="str" cm="1">
        <f t="array" ref="J349">_xlfn.IFS(HOUR(I349)&lt;12,"Morning",HOUR(I349)&lt;17,"Afternoon",TRUE,"Evening")</f>
        <v>Afternoon</v>
      </c>
      <c r="K349" t="s">
        <v>12</v>
      </c>
      <c r="L349" t="str">
        <f t="shared" si="15"/>
        <v>Attended</v>
      </c>
      <c r="M349">
        <f t="shared" si="16"/>
        <v>0</v>
      </c>
      <c r="N349" t="str">
        <f t="shared" si="17"/>
        <v>Wednesday</v>
      </c>
      <c r="O34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50" spans="1:15" x14ac:dyDescent="0.25">
      <c r="A350">
        <v>5348</v>
      </c>
      <c r="B350">
        <v>332</v>
      </c>
      <c r="C350">
        <v>1027</v>
      </c>
      <c r="D350" t="s">
        <v>9</v>
      </c>
      <c r="E350" s="1">
        <v>45712</v>
      </c>
      <c r="F350">
        <v>1011</v>
      </c>
      <c r="G350" t="s">
        <v>25</v>
      </c>
      <c r="H350" t="s">
        <v>11</v>
      </c>
      <c r="I350" t="s">
        <v>1941</v>
      </c>
      <c r="J350" t="str" cm="1">
        <f t="array" ref="J350">_xlfn.IFS(HOUR(I350)&lt;12,"Morning",HOUR(I350)&lt;17,"Afternoon",TRUE,"Evening")</f>
        <v>Morning</v>
      </c>
      <c r="K350" t="s">
        <v>12</v>
      </c>
      <c r="L350" t="str">
        <f t="shared" si="15"/>
        <v>Attended</v>
      </c>
      <c r="M350">
        <f t="shared" si="16"/>
        <v>0</v>
      </c>
      <c r="N350" t="str">
        <f t="shared" si="17"/>
        <v>Monday</v>
      </c>
      <c r="O3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51" spans="1:15" x14ac:dyDescent="0.25">
      <c r="A351">
        <v>5349</v>
      </c>
      <c r="B351">
        <v>488</v>
      </c>
      <c r="C351">
        <v>1020</v>
      </c>
      <c r="D351" t="s">
        <v>26</v>
      </c>
      <c r="E351" s="1">
        <v>45509</v>
      </c>
      <c r="F351">
        <v>1498</v>
      </c>
      <c r="G351" t="s">
        <v>25</v>
      </c>
      <c r="H351" t="s">
        <v>11</v>
      </c>
      <c r="I351" t="s">
        <v>1913</v>
      </c>
      <c r="J351" t="str" cm="1">
        <f t="array" ref="J351">_xlfn.IFS(HOUR(I351)&lt;12,"Morning",HOUR(I351)&lt;17,"Afternoon",TRUE,"Evening")</f>
        <v>Morning</v>
      </c>
      <c r="K351" t="s">
        <v>12</v>
      </c>
      <c r="L351" t="str">
        <f t="shared" si="15"/>
        <v>Attended</v>
      </c>
      <c r="M351">
        <f t="shared" si="16"/>
        <v>0</v>
      </c>
      <c r="N351" t="str">
        <f t="shared" si="17"/>
        <v>Monday</v>
      </c>
      <c r="O35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52" spans="1:15" x14ac:dyDescent="0.25">
      <c r="A352">
        <v>5350</v>
      </c>
      <c r="B352">
        <v>220</v>
      </c>
      <c r="C352">
        <v>1027</v>
      </c>
      <c r="D352" t="s">
        <v>24</v>
      </c>
      <c r="E352" s="1">
        <v>45724</v>
      </c>
      <c r="F352">
        <v>2073</v>
      </c>
      <c r="G352" t="s">
        <v>14</v>
      </c>
      <c r="H352" t="s">
        <v>15</v>
      </c>
      <c r="I352" t="s">
        <v>1927</v>
      </c>
      <c r="J352" t="str" cm="1">
        <f t="array" ref="J352">_xlfn.IFS(HOUR(I352)&lt;12,"Morning",HOUR(I352)&lt;17,"Afternoon",TRUE,"Evening")</f>
        <v>Afternoon</v>
      </c>
      <c r="K352" t="s">
        <v>12</v>
      </c>
      <c r="L352" t="str">
        <f t="shared" si="15"/>
        <v>Attended</v>
      </c>
      <c r="M352">
        <f t="shared" si="16"/>
        <v>0</v>
      </c>
      <c r="N352" t="str">
        <f t="shared" si="17"/>
        <v>Saturday</v>
      </c>
      <c r="O35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53" spans="1:15" x14ac:dyDescent="0.25">
      <c r="A353">
        <v>5351</v>
      </c>
      <c r="B353">
        <v>1275</v>
      </c>
      <c r="C353">
        <v>1001</v>
      </c>
      <c r="D353" t="s">
        <v>22</v>
      </c>
      <c r="E353" s="1">
        <v>45810</v>
      </c>
      <c r="F353">
        <v>1843</v>
      </c>
      <c r="G353" t="s">
        <v>17</v>
      </c>
      <c r="H353" t="s">
        <v>11</v>
      </c>
      <c r="I353" t="s">
        <v>1930</v>
      </c>
      <c r="J353" t="str" cm="1">
        <f t="array" ref="J353">_xlfn.IFS(HOUR(I353)&lt;12,"Morning",HOUR(I353)&lt;17,"Afternoon",TRUE,"Evening")</f>
        <v>Morning</v>
      </c>
      <c r="K353" t="s">
        <v>23</v>
      </c>
      <c r="L353" t="str">
        <f t="shared" si="15"/>
        <v>No Show</v>
      </c>
      <c r="M353">
        <f t="shared" si="16"/>
        <v>1</v>
      </c>
      <c r="N353" t="str">
        <f t="shared" si="17"/>
        <v>Monday</v>
      </c>
      <c r="O35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54" spans="1:15" x14ac:dyDescent="0.25">
      <c r="A354">
        <v>5352</v>
      </c>
      <c r="B354">
        <v>1267</v>
      </c>
      <c r="C354">
        <v>1027</v>
      </c>
      <c r="D354" t="s">
        <v>22</v>
      </c>
      <c r="E354" s="1">
        <v>45836</v>
      </c>
      <c r="F354">
        <v>1687</v>
      </c>
      <c r="G354" t="s">
        <v>10</v>
      </c>
      <c r="H354" t="s">
        <v>11</v>
      </c>
      <c r="I354" t="s">
        <v>1935</v>
      </c>
      <c r="J354" t="str" cm="1">
        <f t="array" ref="J354">_xlfn.IFS(HOUR(I354)&lt;12,"Morning",HOUR(I354)&lt;17,"Afternoon",TRUE,"Evening")</f>
        <v>Afternoon</v>
      </c>
      <c r="K354" t="s">
        <v>23</v>
      </c>
      <c r="L354" t="str">
        <f t="shared" si="15"/>
        <v>No Show</v>
      </c>
      <c r="M354">
        <f t="shared" si="16"/>
        <v>1</v>
      </c>
      <c r="N354" t="str">
        <f t="shared" si="17"/>
        <v>Saturday</v>
      </c>
      <c r="O35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55" spans="1:15" x14ac:dyDescent="0.25">
      <c r="A355">
        <v>5353</v>
      </c>
      <c r="B355">
        <v>1388</v>
      </c>
      <c r="C355">
        <v>1027</v>
      </c>
      <c r="D355" t="s">
        <v>27</v>
      </c>
      <c r="E355" s="1">
        <v>45608</v>
      </c>
      <c r="F355">
        <v>2437</v>
      </c>
      <c r="G355" t="s">
        <v>17</v>
      </c>
      <c r="H355" t="s">
        <v>15</v>
      </c>
      <c r="I355" t="s">
        <v>1912</v>
      </c>
      <c r="J355" t="str" cm="1">
        <f t="array" ref="J355">_xlfn.IFS(HOUR(I355)&lt;12,"Morning",HOUR(I355)&lt;17,"Afternoon",TRUE,"Evening")</f>
        <v>Morning</v>
      </c>
      <c r="K355" t="s">
        <v>28</v>
      </c>
      <c r="L355" t="str">
        <f t="shared" si="15"/>
        <v>No Show</v>
      </c>
      <c r="M355">
        <f t="shared" si="16"/>
        <v>1</v>
      </c>
      <c r="N355" t="str">
        <f t="shared" si="17"/>
        <v>Tuesday</v>
      </c>
      <c r="O35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56" spans="1:15" x14ac:dyDescent="0.25">
      <c r="A356">
        <v>5354</v>
      </c>
      <c r="B356">
        <v>949</v>
      </c>
      <c r="C356">
        <v>1027</v>
      </c>
      <c r="D356" t="s">
        <v>22</v>
      </c>
      <c r="E356" s="1">
        <v>45761</v>
      </c>
      <c r="F356">
        <v>2464</v>
      </c>
      <c r="G356" t="s">
        <v>17</v>
      </c>
      <c r="H356" t="s">
        <v>15</v>
      </c>
      <c r="I356" t="s">
        <v>1930</v>
      </c>
      <c r="J356" t="str" cm="1">
        <f t="array" ref="J356">_xlfn.IFS(HOUR(I356)&lt;12,"Morning",HOUR(I356)&lt;17,"Afternoon",TRUE,"Evening")</f>
        <v>Morning</v>
      </c>
      <c r="K356" t="s">
        <v>28</v>
      </c>
      <c r="L356" t="str">
        <f t="shared" si="15"/>
        <v>No Show</v>
      </c>
      <c r="M356">
        <f t="shared" si="16"/>
        <v>1</v>
      </c>
      <c r="N356" t="str">
        <f t="shared" si="17"/>
        <v>Monday</v>
      </c>
      <c r="O3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57" spans="1:15" x14ac:dyDescent="0.25">
      <c r="A357">
        <v>5355</v>
      </c>
      <c r="B357">
        <v>1583</v>
      </c>
      <c r="C357">
        <v>1027</v>
      </c>
      <c r="D357" t="s">
        <v>27</v>
      </c>
      <c r="E357" s="1">
        <v>45620</v>
      </c>
      <c r="F357">
        <v>1529</v>
      </c>
      <c r="G357" t="s">
        <v>17</v>
      </c>
      <c r="H357" t="s">
        <v>11</v>
      </c>
      <c r="I357" t="s">
        <v>1923</v>
      </c>
      <c r="J357" t="str" cm="1">
        <f t="array" ref="J357">_xlfn.IFS(HOUR(I357)&lt;12,"Morning",HOUR(I357)&lt;17,"Afternoon",TRUE,"Evening")</f>
        <v>Evening</v>
      </c>
      <c r="K357" t="s">
        <v>12</v>
      </c>
      <c r="L357" t="str">
        <f t="shared" si="15"/>
        <v>Attended</v>
      </c>
      <c r="M357">
        <f t="shared" si="16"/>
        <v>0</v>
      </c>
      <c r="N357" t="str">
        <f t="shared" si="17"/>
        <v>Sunday</v>
      </c>
      <c r="O35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58" spans="1:15" x14ac:dyDescent="0.25">
      <c r="A358">
        <v>5356</v>
      </c>
      <c r="B358">
        <v>1081</v>
      </c>
      <c r="C358">
        <v>1001</v>
      </c>
      <c r="D358" t="s">
        <v>18</v>
      </c>
      <c r="E358" s="1">
        <v>45777</v>
      </c>
      <c r="F358">
        <v>1340</v>
      </c>
      <c r="G358" t="s">
        <v>17</v>
      </c>
      <c r="H358" t="s">
        <v>11</v>
      </c>
      <c r="I358" t="s">
        <v>1921</v>
      </c>
      <c r="J358" t="str" cm="1">
        <f t="array" ref="J358">_xlfn.IFS(HOUR(I358)&lt;12,"Morning",HOUR(I358)&lt;17,"Afternoon",TRUE,"Evening")</f>
        <v>Afternoon</v>
      </c>
      <c r="K358" t="s">
        <v>12</v>
      </c>
      <c r="L358" t="str">
        <f t="shared" si="15"/>
        <v>Attended</v>
      </c>
      <c r="M358">
        <f t="shared" si="16"/>
        <v>0</v>
      </c>
      <c r="N358" t="str">
        <f t="shared" si="17"/>
        <v>Wednesday</v>
      </c>
      <c r="O35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59" spans="1:15" x14ac:dyDescent="0.25">
      <c r="A359">
        <v>5357</v>
      </c>
      <c r="B359">
        <v>946</v>
      </c>
      <c r="C359">
        <v>1027</v>
      </c>
      <c r="D359" t="s">
        <v>21</v>
      </c>
      <c r="E359" s="1">
        <v>45682</v>
      </c>
      <c r="F359">
        <v>916</v>
      </c>
      <c r="G359" t="s">
        <v>10</v>
      </c>
      <c r="H359" t="s">
        <v>11</v>
      </c>
      <c r="I359" t="s">
        <v>1926</v>
      </c>
      <c r="J359" t="str" cm="1">
        <f t="array" ref="J359">_xlfn.IFS(HOUR(I359)&lt;12,"Morning",HOUR(I359)&lt;17,"Afternoon",TRUE,"Evening")</f>
        <v>Afternoon</v>
      </c>
      <c r="K359" t="s">
        <v>12</v>
      </c>
      <c r="L359" t="str">
        <f t="shared" si="15"/>
        <v>Attended</v>
      </c>
      <c r="M359">
        <f t="shared" si="16"/>
        <v>0</v>
      </c>
      <c r="N359" t="str">
        <f t="shared" si="17"/>
        <v>Saturday</v>
      </c>
      <c r="O35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60" spans="1:15" x14ac:dyDescent="0.25">
      <c r="A360">
        <v>5358</v>
      </c>
      <c r="B360">
        <v>923</v>
      </c>
      <c r="C360">
        <v>1027</v>
      </c>
      <c r="D360" t="s">
        <v>9</v>
      </c>
      <c r="E360" s="1">
        <v>45782</v>
      </c>
      <c r="F360">
        <v>1528</v>
      </c>
      <c r="G360" t="s">
        <v>25</v>
      </c>
      <c r="H360" t="s">
        <v>19</v>
      </c>
      <c r="I360" t="s">
        <v>1933</v>
      </c>
      <c r="J360" t="str" cm="1">
        <f t="array" ref="J360">_xlfn.IFS(HOUR(I360)&lt;12,"Morning",HOUR(I360)&lt;17,"Afternoon",TRUE,"Evening")</f>
        <v>Evening</v>
      </c>
      <c r="K360" t="s">
        <v>20</v>
      </c>
      <c r="L360" t="str">
        <f t="shared" si="15"/>
        <v>No Show</v>
      </c>
      <c r="M360">
        <f t="shared" si="16"/>
        <v>1</v>
      </c>
      <c r="N360" t="str">
        <f t="shared" si="17"/>
        <v>Monday</v>
      </c>
      <c r="O36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61" spans="1:15" x14ac:dyDescent="0.25">
      <c r="A361">
        <v>5359</v>
      </c>
      <c r="B361">
        <v>282</v>
      </c>
      <c r="C361">
        <v>1020</v>
      </c>
      <c r="D361" t="s">
        <v>26</v>
      </c>
      <c r="E361" s="1">
        <v>45670</v>
      </c>
      <c r="F361">
        <v>1586</v>
      </c>
      <c r="G361" t="s">
        <v>14</v>
      </c>
      <c r="H361" t="s">
        <v>15</v>
      </c>
      <c r="I361" t="s">
        <v>1915</v>
      </c>
      <c r="J361" t="str" cm="1">
        <f t="array" ref="J361">_xlfn.IFS(HOUR(I361)&lt;12,"Morning",HOUR(I361)&lt;17,"Afternoon",TRUE,"Evening")</f>
        <v>Afternoon</v>
      </c>
      <c r="K361" t="s">
        <v>12</v>
      </c>
      <c r="L361" t="str">
        <f t="shared" si="15"/>
        <v>Attended</v>
      </c>
      <c r="M361">
        <f t="shared" si="16"/>
        <v>0</v>
      </c>
      <c r="N361" t="str">
        <f t="shared" si="17"/>
        <v>Monday</v>
      </c>
      <c r="O36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62" spans="1:15" x14ac:dyDescent="0.25">
      <c r="A362">
        <v>5360</v>
      </c>
      <c r="B362">
        <v>1444</v>
      </c>
      <c r="C362">
        <v>1027</v>
      </c>
      <c r="D362" t="s">
        <v>21</v>
      </c>
      <c r="E362" s="1">
        <v>45535</v>
      </c>
      <c r="F362">
        <v>1701</v>
      </c>
      <c r="G362" t="s">
        <v>14</v>
      </c>
      <c r="H362" t="s">
        <v>19</v>
      </c>
      <c r="I362" t="s">
        <v>1942</v>
      </c>
      <c r="J362" t="str" cm="1">
        <f t="array" ref="J362">_xlfn.IFS(HOUR(I362)&lt;12,"Morning",HOUR(I362)&lt;17,"Afternoon",TRUE,"Evening")</f>
        <v>Evening</v>
      </c>
      <c r="K362" t="s">
        <v>12</v>
      </c>
      <c r="L362" t="str">
        <f t="shared" si="15"/>
        <v>Attended</v>
      </c>
      <c r="M362">
        <f t="shared" si="16"/>
        <v>0</v>
      </c>
      <c r="N362" t="str">
        <f t="shared" si="17"/>
        <v>Saturday</v>
      </c>
      <c r="O36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63" spans="1:15" x14ac:dyDescent="0.25">
      <c r="A363">
        <v>5361</v>
      </c>
      <c r="B363">
        <v>1246</v>
      </c>
      <c r="C363">
        <v>1027</v>
      </c>
      <c r="D363" t="s">
        <v>9</v>
      </c>
      <c r="E363" s="1">
        <v>45681</v>
      </c>
      <c r="F363">
        <v>1187</v>
      </c>
      <c r="G363" t="s">
        <v>10</v>
      </c>
      <c r="H363" t="s">
        <v>11</v>
      </c>
      <c r="I363" t="s">
        <v>1929</v>
      </c>
      <c r="J363" t="str" cm="1">
        <f t="array" ref="J363">_xlfn.IFS(HOUR(I363)&lt;12,"Morning",HOUR(I363)&lt;17,"Afternoon",TRUE,"Evening")</f>
        <v>Afternoon</v>
      </c>
      <c r="K363" t="s">
        <v>12</v>
      </c>
      <c r="L363" t="str">
        <f t="shared" si="15"/>
        <v>Attended</v>
      </c>
      <c r="M363">
        <f t="shared" si="16"/>
        <v>0</v>
      </c>
      <c r="N363" t="str">
        <f t="shared" si="17"/>
        <v>Friday</v>
      </c>
      <c r="O36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64" spans="1:15" x14ac:dyDescent="0.25">
      <c r="A364">
        <v>5362</v>
      </c>
      <c r="B364">
        <v>256</v>
      </c>
      <c r="C364">
        <v>1002</v>
      </c>
      <c r="D364" t="s">
        <v>18</v>
      </c>
      <c r="E364" s="1">
        <v>45527</v>
      </c>
      <c r="F364">
        <v>2462</v>
      </c>
      <c r="G364" t="s">
        <v>17</v>
      </c>
      <c r="H364" t="s">
        <v>15</v>
      </c>
      <c r="I364" t="s">
        <v>1905</v>
      </c>
      <c r="J364" t="str" cm="1">
        <f t="array" ref="J364">_xlfn.IFS(HOUR(I364)&lt;12,"Morning",HOUR(I364)&lt;17,"Afternoon",TRUE,"Evening")</f>
        <v>Morning</v>
      </c>
      <c r="K364" t="s">
        <v>12</v>
      </c>
      <c r="L364" t="str">
        <f t="shared" si="15"/>
        <v>Attended</v>
      </c>
      <c r="M364">
        <f t="shared" si="16"/>
        <v>0</v>
      </c>
      <c r="N364" t="str">
        <f t="shared" si="17"/>
        <v>Friday</v>
      </c>
      <c r="O36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65" spans="1:15" x14ac:dyDescent="0.25">
      <c r="A365">
        <v>5363</v>
      </c>
      <c r="B365">
        <v>1500</v>
      </c>
      <c r="C365">
        <v>1027</v>
      </c>
      <c r="D365" t="s">
        <v>21</v>
      </c>
      <c r="E365" s="1">
        <v>45775</v>
      </c>
      <c r="F365">
        <v>1288</v>
      </c>
      <c r="G365" t="s">
        <v>17</v>
      </c>
      <c r="H365" t="s">
        <v>15</v>
      </c>
      <c r="I365" t="s">
        <v>1916</v>
      </c>
      <c r="J365" t="str" cm="1">
        <f t="array" ref="J365">_xlfn.IFS(HOUR(I365)&lt;12,"Morning",HOUR(I365)&lt;17,"Afternoon",TRUE,"Evening")</f>
        <v>Afternoon</v>
      </c>
      <c r="K365" t="s">
        <v>12</v>
      </c>
      <c r="L365" t="str">
        <f t="shared" si="15"/>
        <v>Attended</v>
      </c>
      <c r="M365">
        <f t="shared" si="16"/>
        <v>0</v>
      </c>
      <c r="N365" t="str">
        <f t="shared" si="17"/>
        <v>Monday</v>
      </c>
      <c r="O36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66" spans="1:15" x14ac:dyDescent="0.25">
      <c r="A366">
        <v>5364</v>
      </c>
      <c r="B366">
        <v>1078</v>
      </c>
      <c r="C366">
        <v>1027</v>
      </c>
      <c r="D366" t="s">
        <v>27</v>
      </c>
      <c r="E366" s="1">
        <v>45754</v>
      </c>
      <c r="F366">
        <v>2165</v>
      </c>
      <c r="G366" t="s">
        <v>14</v>
      </c>
      <c r="H366" t="s">
        <v>15</v>
      </c>
      <c r="I366" t="s">
        <v>1936</v>
      </c>
      <c r="J366" t="str" cm="1">
        <f t="array" ref="J366">_xlfn.IFS(HOUR(I366)&lt;12,"Morning",HOUR(I366)&lt;17,"Afternoon",TRUE,"Evening")</f>
        <v>Morning</v>
      </c>
      <c r="K366" t="s">
        <v>12</v>
      </c>
      <c r="L366" t="str">
        <f t="shared" si="15"/>
        <v>Attended</v>
      </c>
      <c r="M366">
        <f t="shared" si="16"/>
        <v>0</v>
      </c>
      <c r="N366" t="str">
        <f t="shared" si="17"/>
        <v>Monday</v>
      </c>
      <c r="O36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67" spans="1:15" x14ac:dyDescent="0.25">
      <c r="A367">
        <v>5365</v>
      </c>
      <c r="B367">
        <v>1003</v>
      </c>
      <c r="C367">
        <v>1024</v>
      </c>
      <c r="D367" t="s">
        <v>16</v>
      </c>
      <c r="E367" s="1">
        <v>45669</v>
      </c>
      <c r="F367">
        <v>1150</v>
      </c>
      <c r="G367" t="s">
        <v>10</v>
      </c>
      <c r="H367" t="s">
        <v>19</v>
      </c>
      <c r="I367" t="s">
        <v>1922</v>
      </c>
      <c r="J367" t="str" cm="1">
        <f t="array" ref="J367">_xlfn.IFS(HOUR(I367)&lt;12,"Morning",HOUR(I367)&lt;17,"Afternoon",TRUE,"Evening")</f>
        <v>Afternoon</v>
      </c>
      <c r="K367" t="s">
        <v>12</v>
      </c>
      <c r="L367" t="str">
        <f t="shared" si="15"/>
        <v>Attended</v>
      </c>
      <c r="M367">
        <f t="shared" si="16"/>
        <v>0</v>
      </c>
      <c r="N367" t="str">
        <f t="shared" si="17"/>
        <v>Sunday</v>
      </c>
      <c r="O36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68" spans="1:15" x14ac:dyDescent="0.25">
      <c r="A368">
        <v>5366</v>
      </c>
      <c r="B368">
        <v>216</v>
      </c>
      <c r="C368">
        <v>1027</v>
      </c>
      <c r="D368" t="s">
        <v>9</v>
      </c>
      <c r="E368" s="1">
        <v>45780</v>
      </c>
      <c r="F368">
        <v>1907</v>
      </c>
      <c r="G368" t="s">
        <v>17</v>
      </c>
      <c r="H368" t="s">
        <v>19</v>
      </c>
      <c r="I368" t="s">
        <v>1942</v>
      </c>
      <c r="J368" t="str" cm="1">
        <f t="array" ref="J368">_xlfn.IFS(HOUR(I368)&lt;12,"Morning",HOUR(I368)&lt;17,"Afternoon",TRUE,"Evening")</f>
        <v>Evening</v>
      </c>
      <c r="K368" t="s">
        <v>12</v>
      </c>
      <c r="L368" t="str">
        <f t="shared" si="15"/>
        <v>Attended</v>
      </c>
      <c r="M368">
        <f t="shared" si="16"/>
        <v>0</v>
      </c>
      <c r="N368" t="str">
        <f t="shared" si="17"/>
        <v>Saturday</v>
      </c>
      <c r="O36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69" spans="1:15" x14ac:dyDescent="0.25">
      <c r="A369">
        <v>5367</v>
      </c>
      <c r="B369">
        <v>1268</v>
      </c>
      <c r="C369">
        <v>1027</v>
      </c>
      <c r="D369" t="s">
        <v>27</v>
      </c>
      <c r="E369" s="1">
        <v>45710</v>
      </c>
      <c r="F369">
        <v>954</v>
      </c>
      <c r="G369" t="s">
        <v>17</v>
      </c>
      <c r="H369" t="s">
        <v>19</v>
      </c>
      <c r="I369" t="s">
        <v>1924</v>
      </c>
      <c r="J369" t="str" cm="1">
        <f t="array" ref="J369">_xlfn.IFS(HOUR(I369)&lt;12,"Morning",HOUR(I369)&lt;17,"Afternoon",TRUE,"Evening")</f>
        <v>Afternoon</v>
      </c>
      <c r="K369" t="s">
        <v>12</v>
      </c>
      <c r="L369" t="str">
        <f t="shared" si="15"/>
        <v>Attended</v>
      </c>
      <c r="M369">
        <f t="shared" si="16"/>
        <v>0</v>
      </c>
      <c r="N369" t="str">
        <f t="shared" si="17"/>
        <v>Saturday</v>
      </c>
      <c r="O36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70" spans="1:15" x14ac:dyDescent="0.25">
      <c r="A370">
        <v>5368</v>
      </c>
      <c r="B370">
        <v>1573</v>
      </c>
      <c r="C370">
        <v>1002</v>
      </c>
      <c r="D370" t="s">
        <v>18</v>
      </c>
      <c r="E370" s="1">
        <v>45670</v>
      </c>
      <c r="F370">
        <v>2473</v>
      </c>
      <c r="G370" t="s">
        <v>25</v>
      </c>
      <c r="H370" t="s">
        <v>15</v>
      </c>
      <c r="I370" t="s">
        <v>1913</v>
      </c>
      <c r="J370" t="str" cm="1">
        <f t="array" ref="J370">_xlfn.IFS(HOUR(I370)&lt;12,"Morning",HOUR(I370)&lt;17,"Afternoon",TRUE,"Evening")</f>
        <v>Morning</v>
      </c>
      <c r="K370" t="s">
        <v>12</v>
      </c>
      <c r="L370" t="str">
        <f t="shared" si="15"/>
        <v>Attended</v>
      </c>
      <c r="M370">
        <f t="shared" si="16"/>
        <v>0</v>
      </c>
      <c r="N370" t="str">
        <f t="shared" si="17"/>
        <v>Monday</v>
      </c>
      <c r="O37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1" spans="1:15" x14ac:dyDescent="0.25">
      <c r="A371">
        <v>5369</v>
      </c>
      <c r="B371">
        <v>678</v>
      </c>
      <c r="C371">
        <v>1024</v>
      </c>
      <c r="D371" t="s">
        <v>16</v>
      </c>
      <c r="E371" s="1">
        <v>45750</v>
      </c>
      <c r="F371">
        <v>834</v>
      </c>
      <c r="G371" t="s">
        <v>25</v>
      </c>
      <c r="H371" t="s">
        <v>15</v>
      </c>
      <c r="I371" t="s">
        <v>1943</v>
      </c>
      <c r="J371" t="str" cm="1">
        <f t="array" ref="J371">_xlfn.IFS(HOUR(I371)&lt;12,"Morning",HOUR(I371)&lt;17,"Afternoon",TRUE,"Evening")</f>
        <v>Afternoon</v>
      </c>
      <c r="K371" t="s">
        <v>28</v>
      </c>
      <c r="L371" t="str">
        <f t="shared" si="15"/>
        <v>No Show</v>
      </c>
      <c r="M371">
        <f t="shared" si="16"/>
        <v>1</v>
      </c>
      <c r="N371" t="str">
        <f t="shared" si="17"/>
        <v>Thursday</v>
      </c>
      <c r="O37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2" spans="1:15" x14ac:dyDescent="0.25">
      <c r="A372">
        <v>5370</v>
      </c>
      <c r="B372">
        <v>412</v>
      </c>
      <c r="C372">
        <v>1027</v>
      </c>
      <c r="D372" t="s">
        <v>21</v>
      </c>
      <c r="E372" s="1">
        <v>45747</v>
      </c>
      <c r="F372">
        <v>2319</v>
      </c>
      <c r="G372" t="s">
        <v>17</v>
      </c>
      <c r="H372" t="s">
        <v>19</v>
      </c>
      <c r="I372" t="s">
        <v>1921</v>
      </c>
      <c r="J372" t="str" cm="1">
        <f t="array" ref="J372">_xlfn.IFS(HOUR(I372)&lt;12,"Morning",HOUR(I372)&lt;17,"Afternoon",TRUE,"Evening")</f>
        <v>Afternoon</v>
      </c>
      <c r="K372" t="s">
        <v>12</v>
      </c>
      <c r="L372" t="str">
        <f t="shared" si="15"/>
        <v>Attended</v>
      </c>
      <c r="M372">
        <f t="shared" si="16"/>
        <v>0</v>
      </c>
      <c r="N372" t="str">
        <f t="shared" si="17"/>
        <v>Monday</v>
      </c>
      <c r="O3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3" spans="1:15" x14ac:dyDescent="0.25">
      <c r="A373">
        <v>5371</v>
      </c>
      <c r="B373">
        <v>575</v>
      </c>
      <c r="C373">
        <v>1027</v>
      </c>
      <c r="D373" t="s">
        <v>22</v>
      </c>
      <c r="E373" s="1">
        <v>45791</v>
      </c>
      <c r="F373">
        <v>2401</v>
      </c>
      <c r="G373" t="s">
        <v>25</v>
      </c>
      <c r="H373" t="s">
        <v>15</v>
      </c>
      <c r="I373" t="s">
        <v>1910</v>
      </c>
      <c r="J373" t="str" cm="1">
        <f t="array" ref="J373">_xlfn.IFS(HOUR(I373)&lt;12,"Morning",HOUR(I373)&lt;17,"Afternoon",TRUE,"Evening")</f>
        <v>Evening</v>
      </c>
      <c r="K373" t="s">
        <v>12</v>
      </c>
      <c r="L373" t="str">
        <f t="shared" si="15"/>
        <v>Attended</v>
      </c>
      <c r="M373">
        <f t="shared" si="16"/>
        <v>0</v>
      </c>
      <c r="N373" t="str">
        <f t="shared" si="17"/>
        <v>Wednesday</v>
      </c>
      <c r="O37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4" spans="1:15" x14ac:dyDescent="0.25">
      <c r="A374">
        <v>5372</v>
      </c>
      <c r="B374">
        <v>1196</v>
      </c>
      <c r="C374">
        <v>1020</v>
      </c>
      <c r="D374" t="s">
        <v>26</v>
      </c>
      <c r="E374" s="1">
        <v>45770</v>
      </c>
      <c r="F374">
        <v>2031</v>
      </c>
      <c r="G374" t="s">
        <v>25</v>
      </c>
      <c r="H374" t="s">
        <v>15</v>
      </c>
      <c r="I374" t="s">
        <v>1908</v>
      </c>
      <c r="J374" t="str" cm="1">
        <f t="array" ref="J374">_xlfn.IFS(HOUR(I374)&lt;12,"Morning",HOUR(I374)&lt;17,"Afternoon",TRUE,"Evening")</f>
        <v>Morning</v>
      </c>
      <c r="K374" t="s">
        <v>28</v>
      </c>
      <c r="L374" t="str">
        <f t="shared" si="15"/>
        <v>No Show</v>
      </c>
      <c r="M374">
        <f t="shared" si="16"/>
        <v>1</v>
      </c>
      <c r="N374" t="str">
        <f t="shared" si="17"/>
        <v>Wednesday</v>
      </c>
      <c r="O3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5" spans="1:15" x14ac:dyDescent="0.25">
      <c r="A375">
        <v>5373</v>
      </c>
      <c r="B375">
        <v>643</v>
      </c>
      <c r="C375">
        <v>1001</v>
      </c>
      <c r="D375" t="s">
        <v>22</v>
      </c>
      <c r="E375" s="1">
        <v>45770</v>
      </c>
      <c r="F375">
        <v>1376</v>
      </c>
      <c r="G375" t="s">
        <v>10</v>
      </c>
      <c r="H375" t="s">
        <v>19</v>
      </c>
      <c r="I375" t="s">
        <v>1936</v>
      </c>
      <c r="J375" t="str" cm="1">
        <f t="array" ref="J375">_xlfn.IFS(HOUR(I375)&lt;12,"Morning",HOUR(I375)&lt;17,"Afternoon",TRUE,"Evening")</f>
        <v>Morning</v>
      </c>
      <c r="K375" t="s">
        <v>12</v>
      </c>
      <c r="L375" t="str">
        <f t="shared" si="15"/>
        <v>Attended</v>
      </c>
      <c r="M375">
        <f t="shared" si="16"/>
        <v>0</v>
      </c>
      <c r="N375" t="str">
        <f t="shared" si="17"/>
        <v>Wednesday</v>
      </c>
      <c r="O37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6" spans="1:15" x14ac:dyDescent="0.25">
      <c r="A376">
        <v>5374</v>
      </c>
      <c r="B376">
        <v>616</v>
      </c>
      <c r="C376">
        <v>1020</v>
      </c>
      <c r="D376" t="s">
        <v>26</v>
      </c>
      <c r="E376" s="1">
        <v>45565</v>
      </c>
      <c r="F376">
        <v>2197</v>
      </c>
      <c r="G376" t="s">
        <v>25</v>
      </c>
      <c r="H376" t="s">
        <v>11</v>
      </c>
      <c r="I376" t="s">
        <v>1919</v>
      </c>
      <c r="J376" t="str" cm="1">
        <f t="array" ref="J376">_xlfn.IFS(HOUR(I376)&lt;12,"Morning",HOUR(I376)&lt;17,"Afternoon",TRUE,"Evening")</f>
        <v>Evening</v>
      </c>
      <c r="K376" t="s">
        <v>12</v>
      </c>
      <c r="L376" t="str">
        <f t="shared" si="15"/>
        <v>Attended</v>
      </c>
      <c r="M376">
        <f t="shared" si="16"/>
        <v>0</v>
      </c>
      <c r="N376" t="str">
        <f t="shared" si="17"/>
        <v>Monday</v>
      </c>
      <c r="O37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7" spans="1:15" x14ac:dyDescent="0.25">
      <c r="A377">
        <v>5375</v>
      </c>
      <c r="B377">
        <v>191</v>
      </c>
      <c r="C377">
        <v>1027</v>
      </c>
      <c r="D377" t="s">
        <v>24</v>
      </c>
      <c r="E377" s="1">
        <v>45568</v>
      </c>
      <c r="F377">
        <v>2440</v>
      </c>
      <c r="G377" t="s">
        <v>10</v>
      </c>
      <c r="H377" t="s">
        <v>15</v>
      </c>
      <c r="I377" t="s">
        <v>1938</v>
      </c>
      <c r="J377" t="str" cm="1">
        <f t="array" ref="J377">_xlfn.IFS(HOUR(I377)&lt;12,"Morning",HOUR(I377)&lt;17,"Afternoon",TRUE,"Evening")</f>
        <v>Afternoon</v>
      </c>
      <c r="K377" t="s">
        <v>12</v>
      </c>
      <c r="L377" t="str">
        <f t="shared" si="15"/>
        <v>Attended</v>
      </c>
      <c r="M377">
        <f t="shared" si="16"/>
        <v>0</v>
      </c>
      <c r="N377" t="str">
        <f t="shared" si="17"/>
        <v>Thursday</v>
      </c>
      <c r="O37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8" spans="1:15" x14ac:dyDescent="0.25">
      <c r="A378">
        <v>5376</v>
      </c>
      <c r="B378">
        <v>1008</v>
      </c>
      <c r="C378">
        <v>1027</v>
      </c>
      <c r="D378" t="s">
        <v>24</v>
      </c>
      <c r="E378" s="1">
        <v>45552</v>
      </c>
      <c r="F378">
        <v>1662</v>
      </c>
      <c r="G378" t="s">
        <v>14</v>
      </c>
      <c r="H378" t="s">
        <v>15</v>
      </c>
      <c r="I378" t="s">
        <v>1936</v>
      </c>
      <c r="J378" t="str" cm="1">
        <f t="array" ref="J378">_xlfn.IFS(HOUR(I378)&lt;12,"Morning",HOUR(I378)&lt;17,"Afternoon",TRUE,"Evening")</f>
        <v>Morning</v>
      </c>
      <c r="K378" t="s">
        <v>12</v>
      </c>
      <c r="L378" t="str">
        <f t="shared" si="15"/>
        <v>Attended</v>
      </c>
      <c r="M378">
        <f t="shared" si="16"/>
        <v>0</v>
      </c>
      <c r="N378" t="str">
        <f t="shared" si="17"/>
        <v>Tuesday</v>
      </c>
      <c r="O37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79" spans="1:15" x14ac:dyDescent="0.25">
      <c r="A379">
        <v>5377</v>
      </c>
      <c r="B379">
        <v>461</v>
      </c>
      <c r="C379">
        <v>1020</v>
      </c>
      <c r="D379" t="s">
        <v>26</v>
      </c>
      <c r="E379" s="1">
        <v>45797</v>
      </c>
      <c r="F379">
        <v>1200</v>
      </c>
      <c r="G379" t="s">
        <v>25</v>
      </c>
      <c r="H379" t="s">
        <v>15</v>
      </c>
      <c r="I379" t="s">
        <v>1920</v>
      </c>
      <c r="J379" t="str" cm="1">
        <f t="array" ref="J379">_xlfn.IFS(HOUR(I379)&lt;12,"Morning",HOUR(I379)&lt;17,"Afternoon",TRUE,"Evening")</f>
        <v>Morning</v>
      </c>
      <c r="K379" t="s">
        <v>12</v>
      </c>
      <c r="L379" t="str">
        <f t="shared" si="15"/>
        <v>Attended</v>
      </c>
      <c r="M379">
        <f t="shared" si="16"/>
        <v>0</v>
      </c>
      <c r="N379" t="str">
        <f t="shared" si="17"/>
        <v>Tuesday</v>
      </c>
      <c r="O37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80" spans="1:15" x14ac:dyDescent="0.25">
      <c r="A380">
        <v>5378</v>
      </c>
      <c r="B380">
        <v>337</v>
      </c>
      <c r="C380">
        <v>1004</v>
      </c>
      <c r="D380" t="s">
        <v>18</v>
      </c>
      <c r="E380" s="1">
        <v>45592</v>
      </c>
      <c r="F380">
        <v>2140</v>
      </c>
      <c r="G380" t="s">
        <v>25</v>
      </c>
      <c r="H380" t="s">
        <v>15</v>
      </c>
      <c r="I380" t="s">
        <v>1933</v>
      </c>
      <c r="J380" t="str" cm="1">
        <f t="array" ref="J380">_xlfn.IFS(HOUR(I380)&lt;12,"Morning",HOUR(I380)&lt;17,"Afternoon",TRUE,"Evening")</f>
        <v>Evening</v>
      </c>
      <c r="K380" t="s">
        <v>12</v>
      </c>
      <c r="L380" t="str">
        <f t="shared" si="15"/>
        <v>Attended</v>
      </c>
      <c r="M380">
        <f t="shared" si="16"/>
        <v>0</v>
      </c>
      <c r="N380" t="str">
        <f t="shared" si="17"/>
        <v>Sunday</v>
      </c>
      <c r="O38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81" spans="1:15" x14ac:dyDescent="0.25">
      <c r="A381">
        <v>5379</v>
      </c>
      <c r="B381">
        <v>1217</v>
      </c>
      <c r="C381">
        <v>1027</v>
      </c>
      <c r="D381" t="s">
        <v>9</v>
      </c>
      <c r="E381" s="1">
        <v>45756</v>
      </c>
      <c r="F381">
        <v>1653</v>
      </c>
      <c r="G381" t="s">
        <v>25</v>
      </c>
      <c r="H381" t="s">
        <v>15</v>
      </c>
      <c r="I381" t="s">
        <v>1937</v>
      </c>
      <c r="J381" t="str" cm="1">
        <f t="array" ref="J381">_xlfn.IFS(HOUR(I381)&lt;12,"Morning",HOUR(I381)&lt;17,"Afternoon",TRUE,"Evening")</f>
        <v>Morning</v>
      </c>
      <c r="K381" t="s">
        <v>12</v>
      </c>
      <c r="L381" t="str">
        <f t="shared" si="15"/>
        <v>Attended</v>
      </c>
      <c r="M381">
        <f t="shared" si="16"/>
        <v>0</v>
      </c>
      <c r="N381" t="str">
        <f t="shared" si="17"/>
        <v>Wednesday</v>
      </c>
      <c r="O3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82" spans="1:15" x14ac:dyDescent="0.25">
      <c r="A382">
        <v>5380</v>
      </c>
      <c r="B382">
        <v>1200</v>
      </c>
      <c r="C382">
        <v>1024</v>
      </c>
      <c r="D382" t="s">
        <v>16</v>
      </c>
      <c r="E382" s="1">
        <v>45782</v>
      </c>
      <c r="F382">
        <v>2239</v>
      </c>
      <c r="G382" t="s">
        <v>17</v>
      </c>
      <c r="H382" t="s">
        <v>19</v>
      </c>
      <c r="I382" t="s">
        <v>1911</v>
      </c>
      <c r="J382" t="str" cm="1">
        <f t="array" ref="J382">_xlfn.IFS(HOUR(I382)&lt;12,"Morning",HOUR(I382)&lt;17,"Afternoon",TRUE,"Evening")</f>
        <v>Morning</v>
      </c>
      <c r="K382" t="s">
        <v>12</v>
      </c>
      <c r="L382" t="str">
        <f t="shared" si="15"/>
        <v>Attended</v>
      </c>
      <c r="M382">
        <f t="shared" si="16"/>
        <v>0</v>
      </c>
      <c r="N382" t="str">
        <f t="shared" si="17"/>
        <v>Monday</v>
      </c>
      <c r="O3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83" spans="1:15" x14ac:dyDescent="0.25">
      <c r="A383">
        <v>5381</v>
      </c>
      <c r="B383">
        <v>1125</v>
      </c>
      <c r="C383">
        <v>1001</v>
      </c>
      <c r="D383" t="s">
        <v>22</v>
      </c>
      <c r="E383" s="1">
        <v>45634</v>
      </c>
      <c r="F383">
        <v>2348</v>
      </c>
      <c r="G383" t="s">
        <v>17</v>
      </c>
      <c r="H383" t="s">
        <v>11</v>
      </c>
      <c r="I383" t="s">
        <v>1928</v>
      </c>
      <c r="J383" t="str" cm="1">
        <f t="array" ref="J383">_xlfn.IFS(HOUR(I383)&lt;12,"Morning",HOUR(I383)&lt;17,"Afternoon",TRUE,"Evening")</f>
        <v>Morning</v>
      </c>
      <c r="K383" t="s">
        <v>12</v>
      </c>
      <c r="L383" t="str">
        <f t="shared" si="15"/>
        <v>Attended</v>
      </c>
      <c r="M383">
        <f t="shared" si="16"/>
        <v>0</v>
      </c>
      <c r="N383" t="str">
        <f t="shared" si="17"/>
        <v>Sunday</v>
      </c>
      <c r="O38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84" spans="1:15" x14ac:dyDescent="0.25">
      <c r="A384">
        <v>5382</v>
      </c>
      <c r="B384">
        <v>191</v>
      </c>
      <c r="C384">
        <v>1027</v>
      </c>
      <c r="D384" t="s">
        <v>24</v>
      </c>
      <c r="E384" s="1">
        <v>45814</v>
      </c>
      <c r="F384">
        <v>1868</v>
      </c>
      <c r="G384" t="s">
        <v>25</v>
      </c>
      <c r="H384" t="s">
        <v>15</v>
      </c>
      <c r="I384" t="s">
        <v>1913</v>
      </c>
      <c r="J384" t="str" cm="1">
        <f t="array" ref="J384">_xlfn.IFS(HOUR(I384)&lt;12,"Morning",HOUR(I384)&lt;17,"Afternoon",TRUE,"Evening")</f>
        <v>Morning</v>
      </c>
      <c r="K384" t="s">
        <v>23</v>
      </c>
      <c r="L384" t="str">
        <f t="shared" si="15"/>
        <v>No Show</v>
      </c>
      <c r="M384">
        <f t="shared" si="16"/>
        <v>1</v>
      </c>
      <c r="N384" t="str">
        <f t="shared" si="17"/>
        <v>Friday</v>
      </c>
      <c r="O38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85" spans="1:15" x14ac:dyDescent="0.25">
      <c r="A385">
        <v>5383</v>
      </c>
      <c r="B385">
        <v>1051</v>
      </c>
      <c r="C385">
        <v>1027</v>
      </c>
      <c r="D385" t="s">
        <v>9</v>
      </c>
      <c r="E385" s="1">
        <v>45620</v>
      </c>
      <c r="F385">
        <v>926</v>
      </c>
      <c r="G385" t="s">
        <v>14</v>
      </c>
      <c r="H385" t="s">
        <v>19</v>
      </c>
      <c r="I385" t="s">
        <v>1908</v>
      </c>
      <c r="J385" t="str" cm="1">
        <f t="array" ref="J385">_xlfn.IFS(HOUR(I385)&lt;12,"Morning",HOUR(I385)&lt;17,"Afternoon",TRUE,"Evening")</f>
        <v>Morning</v>
      </c>
      <c r="K385" t="s">
        <v>12</v>
      </c>
      <c r="L385" t="str">
        <f t="shared" si="15"/>
        <v>Attended</v>
      </c>
      <c r="M385">
        <f t="shared" si="16"/>
        <v>0</v>
      </c>
      <c r="N385" t="str">
        <f t="shared" si="17"/>
        <v>Sunday</v>
      </c>
      <c r="O38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86" spans="1:15" x14ac:dyDescent="0.25">
      <c r="A386">
        <v>5384</v>
      </c>
      <c r="B386">
        <v>222</v>
      </c>
      <c r="C386">
        <v>1027</v>
      </c>
      <c r="D386" t="s">
        <v>21</v>
      </c>
      <c r="E386" s="1">
        <v>45780</v>
      </c>
      <c r="F386">
        <v>862</v>
      </c>
      <c r="G386" t="s">
        <v>14</v>
      </c>
      <c r="H386" t="s">
        <v>15</v>
      </c>
      <c r="I386" t="s">
        <v>1936</v>
      </c>
      <c r="J386" t="str" cm="1">
        <f t="array" ref="J386">_xlfn.IFS(HOUR(I386)&lt;12,"Morning",HOUR(I386)&lt;17,"Afternoon",TRUE,"Evening")</f>
        <v>Morning</v>
      </c>
      <c r="K386" t="s">
        <v>12</v>
      </c>
      <c r="L386" t="str">
        <f t="shared" si="15"/>
        <v>Attended</v>
      </c>
      <c r="M386">
        <f t="shared" si="16"/>
        <v>0</v>
      </c>
      <c r="N386" t="str">
        <f t="shared" si="17"/>
        <v>Saturday</v>
      </c>
      <c r="O38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87" spans="1:15" x14ac:dyDescent="0.25">
      <c r="A387">
        <v>5385</v>
      </c>
      <c r="B387">
        <v>1551</v>
      </c>
      <c r="C387">
        <v>1002</v>
      </c>
      <c r="D387" t="s">
        <v>18</v>
      </c>
      <c r="E387" s="1">
        <v>45773</v>
      </c>
      <c r="F387">
        <v>1636</v>
      </c>
      <c r="G387" t="s">
        <v>10</v>
      </c>
      <c r="H387" t="s">
        <v>19</v>
      </c>
      <c r="I387" t="s">
        <v>1917</v>
      </c>
      <c r="J387" t="str" cm="1">
        <f t="array" ref="J387">_xlfn.IFS(HOUR(I387)&lt;12,"Morning",HOUR(I387)&lt;17,"Afternoon",TRUE,"Evening")</f>
        <v>Afternoon</v>
      </c>
      <c r="K387" t="s">
        <v>12</v>
      </c>
      <c r="L387" t="str">
        <f t="shared" ref="L387:L450" si="18">IF(K387="completed","Attended","No Show")</f>
        <v>Attended</v>
      </c>
      <c r="M387">
        <f t="shared" ref="M387:M450" si="19">IF(L387="No Show",1,0)</f>
        <v>0</v>
      </c>
      <c r="N387" t="str">
        <f t="shared" ref="N387:N450" si="20">TEXT(E387,"dddd")</f>
        <v>Saturday</v>
      </c>
      <c r="O38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88" spans="1:15" x14ac:dyDescent="0.25">
      <c r="A388">
        <v>5386</v>
      </c>
      <c r="B388">
        <v>460</v>
      </c>
      <c r="C388">
        <v>1024</v>
      </c>
      <c r="D388" t="s">
        <v>16</v>
      </c>
      <c r="E388" s="1">
        <v>45788</v>
      </c>
      <c r="F388">
        <v>1927</v>
      </c>
      <c r="G388" t="s">
        <v>14</v>
      </c>
      <c r="H388" t="s">
        <v>15</v>
      </c>
      <c r="I388" t="s">
        <v>1940</v>
      </c>
      <c r="J388" t="str" cm="1">
        <f t="array" ref="J388">_xlfn.IFS(HOUR(I388)&lt;12,"Morning",HOUR(I388)&lt;17,"Afternoon",TRUE,"Evening")</f>
        <v>Morning</v>
      </c>
      <c r="K388" t="s">
        <v>12</v>
      </c>
      <c r="L388" t="str">
        <f t="shared" si="18"/>
        <v>Attended</v>
      </c>
      <c r="M388">
        <f t="shared" si="19"/>
        <v>0</v>
      </c>
      <c r="N388" t="str">
        <f t="shared" si="20"/>
        <v>Sunday</v>
      </c>
      <c r="O38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89" spans="1:15" x14ac:dyDescent="0.25">
      <c r="A389">
        <v>5387</v>
      </c>
      <c r="B389">
        <v>1224</v>
      </c>
      <c r="C389">
        <v>1027</v>
      </c>
      <c r="D389" t="s">
        <v>24</v>
      </c>
      <c r="E389" s="1">
        <v>45725</v>
      </c>
      <c r="F389">
        <v>1300</v>
      </c>
      <c r="G389" t="s">
        <v>10</v>
      </c>
      <c r="H389" t="s">
        <v>19</v>
      </c>
      <c r="I389" t="s">
        <v>1935</v>
      </c>
      <c r="J389" t="str" cm="1">
        <f t="array" ref="J389">_xlfn.IFS(HOUR(I389)&lt;12,"Morning",HOUR(I389)&lt;17,"Afternoon",TRUE,"Evening")</f>
        <v>Afternoon</v>
      </c>
      <c r="K389" t="s">
        <v>12</v>
      </c>
      <c r="L389" t="str">
        <f t="shared" si="18"/>
        <v>Attended</v>
      </c>
      <c r="M389">
        <f t="shared" si="19"/>
        <v>0</v>
      </c>
      <c r="N389" t="str">
        <f t="shared" si="20"/>
        <v>Sunday</v>
      </c>
      <c r="O38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90" spans="1:15" x14ac:dyDescent="0.25">
      <c r="A390">
        <v>5388</v>
      </c>
      <c r="B390">
        <v>289</v>
      </c>
      <c r="C390">
        <v>1024</v>
      </c>
      <c r="D390" t="s">
        <v>16</v>
      </c>
      <c r="E390" s="1">
        <v>45570</v>
      </c>
      <c r="F390">
        <v>1212</v>
      </c>
      <c r="G390" t="s">
        <v>14</v>
      </c>
      <c r="H390" t="s">
        <v>19</v>
      </c>
      <c r="I390" t="s">
        <v>1914</v>
      </c>
      <c r="J390" t="str" cm="1">
        <f t="array" ref="J390">_xlfn.IFS(HOUR(I390)&lt;12,"Morning",HOUR(I390)&lt;17,"Afternoon",TRUE,"Evening")</f>
        <v>Afternoon</v>
      </c>
      <c r="K390" t="s">
        <v>12</v>
      </c>
      <c r="L390" t="str">
        <f t="shared" si="18"/>
        <v>Attended</v>
      </c>
      <c r="M390">
        <f t="shared" si="19"/>
        <v>0</v>
      </c>
      <c r="N390" t="str">
        <f t="shared" si="20"/>
        <v>Saturday</v>
      </c>
      <c r="O39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91" spans="1:15" x14ac:dyDescent="0.25">
      <c r="A391">
        <v>5389</v>
      </c>
      <c r="B391">
        <v>1017</v>
      </c>
      <c r="C391">
        <v>1027</v>
      </c>
      <c r="D391" t="s">
        <v>27</v>
      </c>
      <c r="E391" s="1">
        <v>45743</v>
      </c>
      <c r="F391">
        <v>1227</v>
      </c>
      <c r="G391" t="s">
        <v>17</v>
      </c>
      <c r="H391" t="s">
        <v>15</v>
      </c>
      <c r="I391" t="s">
        <v>1935</v>
      </c>
      <c r="J391" t="str" cm="1">
        <f t="array" ref="J391">_xlfn.IFS(HOUR(I391)&lt;12,"Morning",HOUR(I391)&lt;17,"Afternoon",TRUE,"Evening")</f>
        <v>Afternoon</v>
      </c>
      <c r="K391" t="s">
        <v>12</v>
      </c>
      <c r="L391" t="str">
        <f t="shared" si="18"/>
        <v>Attended</v>
      </c>
      <c r="M391">
        <f t="shared" si="19"/>
        <v>0</v>
      </c>
      <c r="N391" t="str">
        <f t="shared" si="20"/>
        <v>Thursday</v>
      </c>
      <c r="O39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92" spans="1:15" x14ac:dyDescent="0.25">
      <c r="A392">
        <v>5390</v>
      </c>
      <c r="B392">
        <v>571</v>
      </c>
      <c r="C392">
        <v>1027</v>
      </c>
      <c r="D392" t="s">
        <v>9</v>
      </c>
      <c r="E392" s="1">
        <v>45505</v>
      </c>
      <c r="F392">
        <v>1048</v>
      </c>
      <c r="G392" t="s">
        <v>10</v>
      </c>
      <c r="H392" t="s">
        <v>15</v>
      </c>
      <c r="I392" t="s">
        <v>1917</v>
      </c>
      <c r="J392" t="str" cm="1">
        <f t="array" ref="J392">_xlfn.IFS(HOUR(I392)&lt;12,"Morning",HOUR(I392)&lt;17,"Afternoon",TRUE,"Evening")</f>
        <v>Afternoon</v>
      </c>
      <c r="K392" t="s">
        <v>28</v>
      </c>
      <c r="L392" t="str">
        <f t="shared" si="18"/>
        <v>No Show</v>
      </c>
      <c r="M392">
        <f t="shared" si="19"/>
        <v>1</v>
      </c>
      <c r="N392" t="str">
        <f t="shared" si="20"/>
        <v>Thursday</v>
      </c>
      <c r="O39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93" spans="1:15" x14ac:dyDescent="0.25">
      <c r="A393">
        <v>5391</v>
      </c>
      <c r="B393">
        <v>1209</v>
      </c>
      <c r="C393">
        <v>1024</v>
      </c>
      <c r="D393" t="s">
        <v>16</v>
      </c>
      <c r="E393" s="1">
        <v>45762</v>
      </c>
      <c r="F393">
        <v>1715</v>
      </c>
      <c r="G393" t="s">
        <v>10</v>
      </c>
      <c r="H393" t="s">
        <v>11</v>
      </c>
      <c r="I393" t="s">
        <v>1915</v>
      </c>
      <c r="J393" t="str" cm="1">
        <f t="array" ref="J393">_xlfn.IFS(HOUR(I393)&lt;12,"Morning",HOUR(I393)&lt;17,"Afternoon",TRUE,"Evening")</f>
        <v>Afternoon</v>
      </c>
      <c r="K393" t="s">
        <v>28</v>
      </c>
      <c r="L393" t="str">
        <f t="shared" si="18"/>
        <v>No Show</v>
      </c>
      <c r="M393">
        <f t="shared" si="19"/>
        <v>1</v>
      </c>
      <c r="N393" t="str">
        <f t="shared" si="20"/>
        <v>Tuesday</v>
      </c>
      <c r="O3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94" spans="1:15" x14ac:dyDescent="0.25">
      <c r="A394">
        <v>5392</v>
      </c>
      <c r="B394">
        <v>1118</v>
      </c>
      <c r="C394">
        <v>1027</v>
      </c>
      <c r="D394" t="s">
        <v>22</v>
      </c>
      <c r="E394" s="1">
        <v>45701</v>
      </c>
      <c r="F394">
        <v>2070</v>
      </c>
      <c r="G394" t="s">
        <v>25</v>
      </c>
      <c r="H394" t="s">
        <v>15</v>
      </c>
      <c r="I394" t="s">
        <v>1925</v>
      </c>
      <c r="J394" t="str" cm="1">
        <f t="array" ref="J394">_xlfn.IFS(HOUR(I394)&lt;12,"Morning",HOUR(I394)&lt;17,"Afternoon",TRUE,"Evening")</f>
        <v>Afternoon</v>
      </c>
      <c r="K394" t="s">
        <v>12</v>
      </c>
      <c r="L394" t="str">
        <f t="shared" si="18"/>
        <v>Attended</v>
      </c>
      <c r="M394">
        <f t="shared" si="19"/>
        <v>0</v>
      </c>
      <c r="N394" t="str">
        <f t="shared" si="20"/>
        <v>Thursday</v>
      </c>
      <c r="O39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95" spans="1:15" x14ac:dyDescent="0.25">
      <c r="A395">
        <v>5393</v>
      </c>
      <c r="B395">
        <v>1325</v>
      </c>
      <c r="C395">
        <v>1024</v>
      </c>
      <c r="D395" t="s">
        <v>16</v>
      </c>
      <c r="E395" s="1">
        <v>45736</v>
      </c>
      <c r="F395">
        <v>1425</v>
      </c>
      <c r="G395" t="s">
        <v>10</v>
      </c>
      <c r="H395" t="s">
        <v>11</v>
      </c>
      <c r="I395" t="s">
        <v>1939</v>
      </c>
      <c r="J395" t="str" cm="1">
        <f t="array" ref="J395">_xlfn.IFS(HOUR(I395)&lt;12,"Morning",HOUR(I395)&lt;17,"Afternoon",TRUE,"Evening")</f>
        <v>Afternoon</v>
      </c>
      <c r="K395" t="s">
        <v>12</v>
      </c>
      <c r="L395" t="str">
        <f t="shared" si="18"/>
        <v>Attended</v>
      </c>
      <c r="M395">
        <f t="shared" si="19"/>
        <v>0</v>
      </c>
      <c r="N395" t="str">
        <f t="shared" si="20"/>
        <v>Thursday</v>
      </c>
      <c r="O39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96" spans="1:15" x14ac:dyDescent="0.25">
      <c r="A396">
        <v>5394</v>
      </c>
      <c r="B396">
        <v>1501</v>
      </c>
      <c r="C396">
        <v>1027</v>
      </c>
      <c r="D396" t="s">
        <v>21</v>
      </c>
      <c r="E396" s="1">
        <v>45606</v>
      </c>
      <c r="F396">
        <v>1909</v>
      </c>
      <c r="G396" t="s">
        <v>10</v>
      </c>
      <c r="H396" t="s">
        <v>11</v>
      </c>
      <c r="I396" t="s">
        <v>1923</v>
      </c>
      <c r="J396" t="str" cm="1">
        <f t="array" ref="J396">_xlfn.IFS(HOUR(I396)&lt;12,"Morning",HOUR(I396)&lt;17,"Afternoon",TRUE,"Evening")</f>
        <v>Evening</v>
      </c>
      <c r="K396" t="s">
        <v>12</v>
      </c>
      <c r="L396" t="str">
        <f t="shared" si="18"/>
        <v>Attended</v>
      </c>
      <c r="M396">
        <f t="shared" si="19"/>
        <v>0</v>
      </c>
      <c r="N396" t="str">
        <f t="shared" si="20"/>
        <v>Sunday</v>
      </c>
      <c r="O39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97" spans="1:15" x14ac:dyDescent="0.25">
      <c r="A397">
        <v>5395</v>
      </c>
      <c r="B397">
        <v>1482</v>
      </c>
      <c r="C397">
        <v>1027</v>
      </c>
      <c r="D397" t="s">
        <v>27</v>
      </c>
      <c r="E397" s="1">
        <v>45816</v>
      </c>
      <c r="F397">
        <v>816</v>
      </c>
      <c r="G397" t="s">
        <v>25</v>
      </c>
      <c r="H397" t="s">
        <v>19</v>
      </c>
      <c r="I397" t="s">
        <v>1930</v>
      </c>
      <c r="J397" t="str" cm="1">
        <f t="array" ref="J397">_xlfn.IFS(HOUR(I397)&lt;12,"Morning",HOUR(I397)&lt;17,"Afternoon",TRUE,"Evening")</f>
        <v>Morning</v>
      </c>
      <c r="K397" t="s">
        <v>23</v>
      </c>
      <c r="L397" t="str">
        <f t="shared" si="18"/>
        <v>No Show</v>
      </c>
      <c r="M397">
        <f t="shared" si="19"/>
        <v>1</v>
      </c>
      <c r="N397" t="str">
        <f t="shared" si="20"/>
        <v>Sunday</v>
      </c>
      <c r="O39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398" spans="1:15" x14ac:dyDescent="0.25">
      <c r="A398">
        <v>5396</v>
      </c>
      <c r="B398">
        <v>776</v>
      </c>
      <c r="C398">
        <v>1009</v>
      </c>
      <c r="D398" t="s">
        <v>13</v>
      </c>
      <c r="E398" s="1">
        <v>45502</v>
      </c>
      <c r="F398">
        <v>2421</v>
      </c>
      <c r="G398" t="s">
        <v>25</v>
      </c>
      <c r="H398" t="s">
        <v>11</v>
      </c>
      <c r="I398" t="s">
        <v>1918</v>
      </c>
      <c r="J398" t="str" cm="1">
        <f t="array" ref="J398">_xlfn.IFS(HOUR(I398)&lt;12,"Morning",HOUR(I398)&lt;17,"Afternoon",TRUE,"Evening")</f>
        <v>Evening</v>
      </c>
      <c r="K398" t="s">
        <v>12</v>
      </c>
      <c r="L398" t="str">
        <f t="shared" si="18"/>
        <v>Attended</v>
      </c>
      <c r="M398">
        <f t="shared" si="19"/>
        <v>0</v>
      </c>
      <c r="N398" t="str">
        <f t="shared" si="20"/>
        <v>Monday</v>
      </c>
      <c r="O39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399" spans="1:15" x14ac:dyDescent="0.25">
      <c r="A399">
        <v>5397</v>
      </c>
      <c r="B399">
        <v>361</v>
      </c>
      <c r="C399">
        <v>1027</v>
      </c>
      <c r="D399" t="s">
        <v>24</v>
      </c>
      <c r="E399" s="1">
        <v>45640</v>
      </c>
      <c r="F399">
        <v>1137</v>
      </c>
      <c r="G399" t="s">
        <v>10</v>
      </c>
      <c r="H399" t="s">
        <v>15</v>
      </c>
      <c r="I399" t="s">
        <v>1926</v>
      </c>
      <c r="J399" t="str" cm="1">
        <f t="array" ref="J399">_xlfn.IFS(HOUR(I399)&lt;12,"Morning",HOUR(I399)&lt;17,"Afternoon",TRUE,"Evening")</f>
        <v>Afternoon</v>
      </c>
      <c r="K399" t="s">
        <v>28</v>
      </c>
      <c r="L399" t="str">
        <f t="shared" si="18"/>
        <v>No Show</v>
      </c>
      <c r="M399">
        <f t="shared" si="19"/>
        <v>1</v>
      </c>
      <c r="N399" t="str">
        <f t="shared" si="20"/>
        <v>Saturday</v>
      </c>
      <c r="O39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00" spans="1:15" x14ac:dyDescent="0.25">
      <c r="A400">
        <v>5398</v>
      </c>
      <c r="B400">
        <v>1189</v>
      </c>
      <c r="C400">
        <v>1027</v>
      </c>
      <c r="D400" t="s">
        <v>21</v>
      </c>
      <c r="E400" s="1">
        <v>45499</v>
      </c>
      <c r="F400">
        <v>2143</v>
      </c>
      <c r="G400" t="s">
        <v>10</v>
      </c>
      <c r="H400" t="s">
        <v>15</v>
      </c>
      <c r="I400" t="s">
        <v>1907</v>
      </c>
      <c r="J400" t="str" cm="1">
        <f t="array" ref="J400">_xlfn.IFS(HOUR(I400)&lt;12,"Morning",HOUR(I400)&lt;17,"Afternoon",TRUE,"Evening")</f>
        <v>Afternoon</v>
      </c>
      <c r="K400" t="s">
        <v>12</v>
      </c>
      <c r="L400" t="str">
        <f t="shared" si="18"/>
        <v>Attended</v>
      </c>
      <c r="M400">
        <f t="shared" si="19"/>
        <v>0</v>
      </c>
      <c r="N400" t="str">
        <f t="shared" si="20"/>
        <v>Friday</v>
      </c>
      <c r="O40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01" spans="1:15" x14ac:dyDescent="0.25">
      <c r="A401">
        <v>5399</v>
      </c>
      <c r="B401">
        <v>337</v>
      </c>
      <c r="C401">
        <v>1009</v>
      </c>
      <c r="D401" t="s">
        <v>13</v>
      </c>
      <c r="E401" s="1">
        <v>45568</v>
      </c>
      <c r="F401">
        <v>1567</v>
      </c>
      <c r="G401" t="s">
        <v>14</v>
      </c>
      <c r="H401" t="s">
        <v>11</v>
      </c>
      <c r="I401" t="s">
        <v>1915</v>
      </c>
      <c r="J401" t="str" cm="1">
        <f t="array" ref="J401">_xlfn.IFS(HOUR(I401)&lt;12,"Morning",HOUR(I401)&lt;17,"Afternoon",TRUE,"Evening")</f>
        <v>Afternoon</v>
      </c>
      <c r="K401" t="s">
        <v>12</v>
      </c>
      <c r="L401" t="str">
        <f t="shared" si="18"/>
        <v>Attended</v>
      </c>
      <c r="M401">
        <f t="shared" si="19"/>
        <v>0</v>
      </c>
      <c r="N401" t="str">
        <f t="shared" si="20"/>
        <v>Thursday</v>
      </c>
      <c r="O40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02" spans="1:15" x14ac:dyDescent="0.25">
      <c r="A402">
        <v>5400</v>
      </c>
      <c r="B402">
        <v>566</v>
      </c>
      <c r="C402">
        <v>1008</v>
      </c>
      <c r="D402" t="s">
        <v>13</v>
      </c>
      <c r="E402" s="1">
        <v>45658</v>
      </c>
      <c r="F402">
        <v>2353</v>
      </c>
      <c r="G402" t="s">
        <v>14</v>
      </c>
      <c r="H402" t="s">
        <v>19</v>
      </c>
      <c r="I402" t="s">
        <v>1904</v>
      </c>
      <c r="J402" t="str" cm="1">
        <f t="array" ref="J402">_xlfn.IFS(HOUR(I402)&lt;12,"Morning",HOUR(I402)&lt;17,"Afternoon",TRUE,"Evening")</f>
        <v>Evening</v>
      </c>
      <c r="K402" t="s">
        <v>12</v>
      </c>
      <c r="L402" t="str">
        <f t="shared" si="18"/>
        <v>Attended</v>
      </c>
      <c r="M402">
        <f t="shared" si="19"/>
        <v>0</v>
      </c>
      <c r="N402" t="str">
        <f t="shared" si="20"/>
        <v>Wednesday</v>
      </c>
      <c r="O40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03" spans="1:15" x14ac:dyDescent="0.25">
      <c r="A403">
        <v>5401</v>
      </c>
      <c r="B403">
        <v>672</v>
      </c>
      <c r="C403">
        <v>1008</v>
      </c>
      <c r="D403" t="s">
        <v>13</v>
      </c>
      <c r="E403" s="1">
        <v>45647</v>
      </c>
      <c r="F403">
        <v>2063</v>
      </c>
      <c r="G403" t="s">
        <v>17</v>
      </c>
      <c r="H403" t="s">
        <v>19</v>
      </c>
      <c r="I403" t="s">
        <v>1905</v>
      </c>
      <c r="J403" t="str" cm="1">
        <f t="array" ref="J403">_xlfn.IFS(HOUR(I403)&lt;12,"Morning",HOUR(I403)&lt;17,"Afternoon",TRUE,"Evening")</f>
        <v>Morning</v>
      </c>
      <c r="K403" t="s">
        <v>12</v>
      </c>
      <c r="L403" t="str">
        <f t="shared" si="18"/>
        <v>Attended</v>
      </c>
      <c r="M403">
        <f t="shared" si="19"/>
        <v>0</v>
      </c>
      <c r="N403" t="str">
        <f t="shared" si="20"/>
        <v>Saturday</v>
      </c>
      <c r="O40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04" spans="1:15" x14ac:dyDescent="0.25">
      <c r="A404">
        <v>5402</v>
      </c>
      <c r="B404">
        <v>318</v>
      </c>
      <c r="C404">
        <v>1001</v>
      </c>
      <c r="D404" t="s">
        <v>22</v>
      </c>
      <c r="E404" s="1">
        <v>45483</v>
      </c>
      <c r="F404">
        <v>1668</v>
      </c>
      <c r="G404" t="s">
        <v>14</v>
      </c>
      <c r="H404" t="s">
        <v>11</v>
      </c>
      <c r="I404" t="s">
        <v>1906</v>
      </c>
      <c r="J404" t="str" cm="1">
        <f t="array" ref="J404">_xlfn.IFS(HOUR(I404)&lt;12,"Morning",HOUR(I404)&lt;17,"Afternoon",TRUE,"Evening")</f>
        <v>Afternoon</v>
      </c>
      <c r="K404" t="s">
        <v>20</v>
      </c>
      <c r="L404" t="str">
        <f t="shared" si="18"/>
        <v>No Show</v>
      </c>
      <c r="M404">
        <f t="shared" si="19"/>
        <v>1</v>
      </c>
      <c r="N404" t="str">
        <f t="shared" si="20"/>
        <v>Wednesday</v>
      </c>
      <c r="O40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05" spans="1:15" x14ac:dyDescent="0.25">
      <c r="A405">
        <v>5403</v>
      </c>
      <c r="B405">
        <v>1111</v>
      </c>
      <c r="C405">
        <v>1001</v>
      </c>
      <c r="D405" t="s">
        <v>18</v>
      </c>
      <c r="E405" s="1">
        <v>45629</v>
      </c>
      <c r="F405">
        <v>2470</v>
      </c>
      <c r="G405" t="s">
        <v>14</v>
      </c>
      <c r="H405" t="s">
        <v>19</v>
      </c>
      <c r="I405" t="s">
        <v>1907</v>
      </c>
      <c r="J405" t="str" cm="1">
        <f t="array" ref="J405">_xlfn.IFS(HOUR(I405)&lt;12,"Morning",HOUR(I405)&lt;17,"Afternoon",TRUE,"Evening")</f>
        <v>Afternoon</v>
      </c>
      <c r="K405" t="s">
        <v>12</v>
      </c>
      <c r="L405" t="str">
        <f t="shared" si="18"/>
        <v>Attended</v>
      </c>
      <c r="M405">
        <f t="shared" si="19"/>
        <v>0</v>
      </c>
      <c r="N405" t="str">
        <f t="shared" si="20"/>
        <v>Tuesday</v>
      </c>
      <c r="O40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06" spans="1:15" x14ac:dyDescent="0.25">
      <c r="A406">
        <v>5404</v>
      </c>
      <c r="B406">
        <v>1208</v>
      </c>
      <c r="C406">
        <v>1027</v>
      </c>
      <c r="D406" t="s">
        <v>27</v>
      </c>
      <c r="E406" s="1">
        <v>45702</v>
      </c>
      <c r="F406">
        <v>1271</v>
      </c>
      <c r="G406" t="s">
        <v>14</v>
      </c>
      <c r="H406" t="s">
        <v>15</v>
      </c>
      <c r="I406" t="s">
        <v>1908</v>
      </c>
      <c r="J406" t="str" cm="1">
        <f t="array" ref="J406">_xlfn.IFS(HOUR(I406)&lt;12,"Morning",HOUR(I406)&lt;17,"Afternoon",TRUE,"Evening")</f>
        <v>Morning</v>
      </c>
      <c r="K406" t="s">
        <v>12</v>
      </c>
      <c r="L406" t="str">
        <f t="shared" si="18"/>
        <v>Attended</v>
      </c>
      <c r="M406">
        <f t="shared" si="19"/>
        <v>0</v>
      </c>
      <c r="N406" t="str">
        <f t="shared" si="20"/>
        <v>Friday</v>
      </c>
      <c r="O40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07" spans="1:15" x14ac:dyDescent="0.25">
      <c r="A407">
        <v>5405</v>
      </c>
      <c r="B407">
        <v>1333</v>
      </c>
      <c r="C407">
        <v>1024</v>
      </c>
      <c r="D407" t="s">
        <v>16</v>
      </c>
      <c r="E407" s="1">
        <v>45686</v>
      </c>
      <c r="F407">
        <v>1735</v>
      </c>
      <c r="G407" t="s">
        <v>17</v>
      </c>
      <c r="H407" t="s">
        <v>15</v>
      </c>
      <c r="I407" t="s">
        <v>1909</v>
      </c>
      <c r="J407" t="str" cm="1">
        <f t="array" ref="J407">_xlfn.IFS(HOUR(I407)&lt;12,"Morning",HOUR(I407)&lt;17,"Afternoon",TRUE,"Evening")</f>
        <v>Afternoon</v>
      </c>
      <c r="K407" t="s">
        <v>12</v>
      </c>
      <c r="L407" t="str">
        <f t="shared" si="18"/>
        <v>Attended</v>
      </c>
      <c r="M407">
        <f t="shared" si="19"/>
        <v>0</v>
      </c>
      <c r="N407" t="str">
        <f t="shared" si="20"/>
        <v>Wednesday</v>
      </c>
      <c r="O40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08" spans="1:15" x14ac:dyDescent="0.25">
      <c r="A408">
        <v>5406</v>
      </c>
      <c r="B408">
        <v>791</v>
      </c>
      <c r="C408">
        <v>1009</v>
      </c>
      <c r="D408" t="s">
        <v>13</v>
      </c>
      <c r="E408" s="1">
        <v>45487</v>
      </c>
      <c r="F408">
        <v>2432</v>
      </c>
      <c r="G408" t="s">
        <v>10</v>
      </c>
      <c r="H408" t="s">
        <v>15</v>
      </c>
      <c r="I408" t="s">
        <v>1910</v>
      </c>
      <c r="J408" t="str" cm="1">
        <f t="array" ref="J408">_xlfn.IFS(HOUR(I408)&lt;12,"Morning",HOUR(I408)&lt;17,"Afternoon",TRUE,"Evening")</f>
        <v>Evening</v>
      </c>
      <c r="K408" t="s">
        <v>12</v>
      </c>
      <c r="L408" t="str">
        <f t="shared" si="18"/>
        <v>Attended</v>
      </c>
      <c r="M408">
        <f t="shared" si="19"/>
        <v>0</v>
      </c>
      <c r="N408" t="str">
        <f t="shared" si="20"/>
        <v>Sunday</v>
      </c>
      <c r="O40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09" spans="1:15" x14ac:dyDescent="0.25">
      <c r="A409">
        <v>5407</v>
      </c>
      <c r="B409">
        <v>1527</v>
      </c>
      <c r="C409">
        <v>1027</v>
      </c>
      <c r="D409" t="s">
        <v>21</v>
      </c>
      <c r="E409" s="1">
        <v>45605</v>
      </c>
      <c r="F409">
        <v>1687</v>
      </c>
      <c r="G409" t="s">
        <v>10</v>
      </c>
      <c r="H409" t="s">
        <v>15</v>
      </c>
      <c r="I409" t="s">
        <v>1911</v>
      </c>
      <c r="J409" t="str" cm="1">
        <f t="array" ref="J409">_xlfn.IFS(HOUR(I409)&lt;12,"Morning",HOUR(I409)&lt;17,"Afternoon",TRUE,"Evening")</f>
        <v>Morning</v>
      </c>
      <c r="K409" t="s">
        <v>12</v>
      </c>
      <c r="L409" t="str">
        <f t="shared" si="18"/>
        <v>Attended</v>
      </c>
      <c r="M409">
        <f t="shared" si="19"/>
        <v>0</v>
      </c>
      <c r="N409" t="str">
        <f t="shared" si="20"/>
        <v>Saturday</v>
      </c>
      <c r="O40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10" spans="1:15" x14ac:dyDescent="0.25">
      <c r="A410">
        <v>5408</v>
      </c>
      <c r="B410">
        <v>171</v>
      </c>
      <c r="C410">
        <v>1004</v>
      </c>
      <c r="D410" t="s">
        <v>18</v>
      </c>
      <c r="E410" s="1">
        <v>45627</v>
      </c>
      <c r="F410">
        <v>1171</v>
      </c>
      <c r="G410" t="s">
        <v>17</v>
      </c>
      <c r="H410" t="s">
        <v>19</v>
      </c>
      <c r="I410" t="s">
        <v>1912</v>
      </c>
      <c r="J410" t="str" cm="1">
        <f t="array" ref="J410">_xlfn.IFS(HOUR(I410)&lt;12,"Morning",HOUR(I410)&lt;17,"Afternoon",TRUE,"Evening")</f>
        <v>Morning</v>
      </c>
      <c r="K410" t="s">
        <v>20</v>
      </c>
      <c r="L410" t="str">
        <f t="shared" si="18"/>
        <v>No Show</v>
      </c>
      <c r="M410">
        <f t="shared" si="19"/>
        <v>1</v>
      </c>
      <c r="N410" t="str">
        <f t="shared" si="20"/>
        <v>Sunday</v>
      </c>
      <c r="O41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11" spans="1:15" x14ac:dyDescent="0.25">
      <c r="A411">
        <v>5409</v>
      </c>
      <c r="B411">
        <v>408</v>
      </c>
      <c r="C411">
        <v>1008</v>
      </c>
      <c r="D411" t="s">
        <v>13</v>
      </c>
      <c r="E411" s="1">
        <v>45651</v>
      </c>
      <c r="F411">
        <v>1528</v>
      </c>
      <c r="G411" t="s">
        <v>14</v>
      </c>
      <c r="H411" t="s">
        <v>15</v>
      </c>
      <c r="I411" t="s">
        <v>1913</v>
      </c>
      <c r="J411" t="str" cm="1">
        <f t="array" ref="J411">_xlfn.IFS(HOUR(I411)&lt;12,"Morning",HOUR(I411)&lt;17,"Afternoon",TRUE,"Evening")</f>
        <v>Morning</v>
      </c>
      <c r="K411" t="s">
        <v>12</v>
      </c>
      <c r="L411" t="str">
        <f t="shared" si="18"/>
        <v>Attended</v>
      </c>
      <c r="M411">
        <f t="shared" si="19"/>
        <v>0</v>
      </c>
      <c r="N411" t="str">
        <f t="shared" si="20"/>
        <v>Wednesday</v>
      </c>
      <c r="O41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12" spans="1:15" x14ac:dyDescent="0.25">
      <c r="A412">
        <v>5410</v>
      </c>
      <c r="B412">
        <v>1538</v>
      </c>
      <c r="C412">
        <v>1027</v>
      </c>
      <c r="D412" t="s">
        <v>24</v>
      </c>
      <c r="E412" s="1">
        <v>45734</v>
      </c>
      <c r="F412">
        <v>1407</v>
      </c>
      <c r="G412" t="s">
        <v>10</v>
      </c>
      <c r="H412" t="s">
        <v>11</v>
      </c>
      <c r="I412" t="s">
        <v>1914</v>
      </c>
      <c r="J412" t="str" cm="1">
        <f t="array" ref="J412">_xlfn.IFS(HOUR(I412)&lt;12,"Morning",HOUR(I412)&lt;17,"Afternoon",TRUE,"Evening")</f>
        <v>Afternoon</v>
      </c>
      <c r="K412" t="s">
        <v>12</v>
      </c>
      <c r="L412" t="str">
        <f t="shared" si="18"/>
        <v>Attended</v>
      </c>
      <c r="M412">
        <f t="shared" si="19"/>
        <v>0</v>
      </c>
      <c r="N412" t="str">
        <f t="shared" si="20"/>
        <v>Tuesday</v>
      </c>
      <c r="O4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13" spans="1:15" x14ac:dyDescent="0.25">
      <c r="A413">
        <v>5411</v>
      </c>
      <c r="B413">
        <v>891</v>
      </c>
      <c r="C413">
        <v>1020</v>
      </c>
      <c r="D413" t="s">
        <v>26</v>
      </c>
      <c r="E413" s="1">
        <v>45512</v>
      </c>
      <c r="F413">
        <v>1075</v>
      </c>
      <c r="G413" t="s">
        <v>25</v>
      </c>
      <c r="H413" t="s">
        <v>19</v>
      </c>
      <c r="I413" t="s">
        <v>1904</v>
      </c>
      <c r="J413" t="str" cm="1">
        <f t="array" ref="J413">_xlfn.IFS(HOUR(I413)&lt;12,"Morning",HOUR(I413)&lt;17,"Afternoon",TRUE,"Evening")</f>
        <v>Evening</v>
      </c>
      <c r="K413" t="s">
        <v>12</v>
      </c>
      <c r="L413" t="str">
        <f t="shared" si="18"/>
        <v>Attended</v>
      </c>
      <c r="M413">
        <f t="shared" si="19"/>
        <v>0</v>
      </c>
      <c r="N413" t="str">
        <f t="shared" si="20"/>
        <v>Thursday</v>
      </c>
      <c r="O4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14" spans="1:15" x14ac:dyDescent="0.25">
      <c r="A414">
        <v>5412</v>
      </c>
      <c r="B414">
        <v>258</v>
      </c>
      <c r="C414">
        <v>1024</v>
      </c>
      <c r="D414" t="s">
        <v>16</v>
      </c>
      <c r="E414" s="1">
        <v>45550</v>
      </c>
      <c r="F414">
        <v>2376</v>
      </c>
      <c r="G414" t="s">
        <v>14</v>
      </c>
      <c r="H414" t="s">
        <v>11</v>
      </c>
      <c r="I414" t="s">
        <v>1915</v>
      </c>
      <c r="J414" t="str" cm="1">
        <f t="array" ref="J414">_xlfn.IFS(HOUR(I414)&lt;12,"Morning",HOUR(I414)&lt;17,"Afternoon",TRUE,"Evening")</f>
        <v>Afternoon</v>
      </c>
      <c r="K414" t="s">
        <v>12</v>
      </c>
      <c r="L414" t="str">
        <f t="shared" si="18"/>
        <v>Attended</v>
      </c>
      <c r="M414">
        <f t="shared" si="19"/>
        <v>0</v>
      </c>
      <c r="N414" t="str">
        <f t="shared" si="20"/>
        <v>Sunday</v>
      </c>
      <c r="O41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15" spans="1:15" x14ac:dyDescent="0.25">
      <c r="A415">
        <v>5413</v>
      </c>
      <c r="B415">
        <v>1500</v>
      </c>
      <c r="C415">
        <v>1001</v>
      </c>
      <c r="D415" t="s">
        <v>18</v>
      </c>
      <c r="E415" s="1">
        <v>45486</v>
      </c>
      <c r="F415">
        <v>2150</v>
      </c>
      <c r="G415" t="s">
        <v>14</v>
      </c>
      <c r="H415" t="s">
        <v>15</v>
      </c>
      <c r="I415" t="s">
        <v>1907</v>
      </c>
      <c r="J415" t="str" cm="1">
        <f t="array" ref="J415">_xlfn.IFS(HOUR(I415)&lt;12,"Morning",HOUR(I415)&lt;17,"Afternoon",TRUE,"Evening")</f>
        <v>Afternoon</v>
      </c>
      <c r="K415" t="s">
        <v>12</v>
      </c>
      <c r="L415" t="str">
        <f t="shared" si="18"/>
        <v>Attended</v>
      </c>
      <c r="M415">
        <f t="shared" si="19"/>
        <v>0</v>
      </c>
      <c r="N415" t="str">
        <f t="shared" si="20"/>
        <v>Saturday</v>
      </c>
      <c r="O41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16" spans="1:15" x14ac:dyDescent="0.25">
      <c r="A416">
        <v>5414</v>
      </c>
      <c r="B416">
        <v>532</v>
      </c>
      <c r="C416">
        <v>1020</v>
      </c>
      <c r="D416" t="s">
        <v>26</v>
      </c>
      <c r="E416" s="1">
        <v>45544</v>
      </c>
      <c r="F416">
        <v>1137</v>
      </c>
      <c r="G416" t="s">
        <v>10</v>
      </c>
      <c r="H416" t="s">
        <v>15</v>
      </c>
      <c r="I416" t="s">
        <v>1916</v>
      </c>
      <c r="J416" t="str" cm="1">
        <f t="array" ref="J416">_xlfn.IFS(HOUR(I416)&lt;12,"Morning",HOUR(I416)&lt;17,"Afternoon",TRUE,"Evening")</f>
        <v>Afternoon</v>
      </c>
      <c r="K416" t="s">
        <v>12</v>
      </c>
      <c r="L416" t="str">
        <f t="shared" si="18"/>
        <v>Attended</v>
      </c>
      <c r="M416">
        <f t="shared" si="19"/>
        <v>0</v>
      </c>
      <c r="N416" t="str">
        <f t="shared" si="20"/>
        <v>Monday</v>
      </c>
      <c r="O41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17" spans="1:15" x14ac:dyDescent="0.25">
      <c r="A417">
        <v>5415</v>
      </c>
      <c r="B417">
        <v>1030</v>
      </c>
      <c r="C417">
        <v>1002</v>
      </c>
      <c r="D417" t="s">
        <v>18</v>
      </c>
      <c r="E417" s="1">
        <v>45792</v>
      </c>
      <c r="F417">
        <v>1748</v>
      </c>
      <c r="G417" t="s">
        <v>25</v>
      </c>
      <c r="H417" t="s">
        <v>11</v>
      </c>
      <c r="I417" t="s">
        <v>1917</v>
      </c>
      <c r="J417" t="str" cm="1">
        <f t="array" ref="J417">_xlfn.IFS(HOUR(I417)&lt;12,"Morning",HOUR(I417)&lt;17,"Afternoon",TRUE,"Evening")</f>
        <v>Afternoon</v>
      </c>
      <c r="K417" t="s">
        <v>12</v>
      </c>
      <c r="L417" t="str">
        <f t="shared" si="18"/>
        <v>Attended</v>
      </c>
      <c r="M417">
        <f t="shared" si="19"/>
        <v>0</v>
      </c>
      <c r="N417" t="str">
        <f t="shared" si="20"/>
        <v>Thursday</v>
      </c>
      <c r="O41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18" spans="1:15" x14ac:dyDescent="0.25">
      <c r="A418">
        <v>5416</v>
      </c>
      <c r="B418">
        <v>413</v>
      </c>
      <c r="C418">
        <v>1027</v>
      </c>
      <c r="D418" t="s">
        <v>24</v>
      </c>
      <c r="E418" s="1">
        <v>45751</v>
      </c>
      <c r="F418">
        <v>807</v>
      </c>
      <c r="G418" t="s">
        <v>17</v>
      </c>
      <c r="H418" t="s">
        <v>11</v>
      </c>
      <c r="I418" t="s">
        <v>1918</v>
      </c>
      <c r="J418" t="str" cm="1">
        <f t="array" ref="J418">_xlfn.IFS(HOUR(I418)&lt;12,"Morning",HOUR(I418)&lt;17,"Afternoon",TRUE,"Evening")</f>
        <v>Evening</v>
      </c>
      <c r="K418" t="s">
        <v>12</v>
      </c>
      <c r="L418" t="str">
        <f t="shared" si="18"/>
        <v>Attended</v>
      </c>
      <c r="M418">
        <f t="shared" si="19"/>
        <v>0</v>
      </c>
      <c r="N418" t="str">
        <f t="shared" si="20"/>
        <v>Friday</v>
      </c>
      <c r="O41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19" spans="1:15" x14ac:dyDescent="0.25">
      <c r="A419">
        <v>5417</v>
      </c>
      <c r="B419">
        <v>1421</v>
      </c>
      <c r="C419">
        <v>1027</v>
      </c>
      <c r="D419" t="s">
        <v>9</v>
      </c>
      <c r="E419" s="1">
        <v>45769</v>
      </c>
      <c r="F419">
        <v>1768</v>
      </c>
      <c r="G419" t="s">
        <v>17</v>
      </c>
      <c r="H419" t="s">
        <v>11</v>
      </c>
      <c r="I419" t="s">
        <v>1919</v>
      </c>
      <c r="J419" t="str" cm="1">
        <f t="array" ref="J419">_xlfn.IFS(HOUR(I419)&lt;12,"Morning",HOUR(I419)&lt;17,"Afternoon",TRUE,"Evening")</f>
        <v>Evening</v>
      </c>
      <c r="K419" t="s">
        <v>12</v>
      </c>
      <c r="L419" t="str">
        <f t="shared" si="18"/>
        <v>Attended</v>
      </c>
      <c r="M419">
        <f t="shared" si="19"/>
        <v>0</v>
      </c>
      <c r="N419" t="str">
        <f t="shared" si="20"/>
        <v>Tuesday</v>
      </c>
      <c r="O41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20" spans="1:15" x14ac:dyDescent="0.25">
      <c r="A420">
        <v>5418</v>
      </c>
      <c r="B420">
        <v>776</v>
      </c>
      <c r="C420">
        <v>1002</v>
      </c>
      <c r="D420" t="s">
        <v>18</v>
      </c>
      <c r="E420" s="1">
        <v>45716</v>
      </c>
      <c r="F420">
        <v>1951</v>
      </c>
      <c r="G420" t="s">
        <v>25</v>
      </c>
      <c r="H420" t="s">
        <v>19</v>
      </c>
      <c r="I420" t="s">
        <v>1919</v>
      </c>
      <c r="J420" t="str" cm="1">
        <f t="array" ref="J420">_xlfn.IFS(HOUR(I420)&lt;12,"Morning",HOUR(I420)&lt;17,"Afternoon",TRUE,"Evening")</f>
        <v>Evening</v>
      </c>
      <c r="K420" t="s">
        <v>12</v>
      </c>
      <c r="L420" t="str">
        <f t="shared" si="18"/>
        <v>Attended</v>
      </c>
      <c r="M420">
        <f t="shared" si="19"/>
        <v>0</v>
      </c>
      <c r="N420" t="str">
        <f t="shared" si="20"/>
        <v>Friday</v>
      </c>
      <c r="O42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21" spans="1:15" x14ac:dyDescent="0.25">
      <c r="A421">
        <v>5419</v>
      </c>
      <c r="B421">
        <v>182</v>
      </c>
      <c r="C421">
        <v>1027</v>
      </c>
      <c r="D421" t="s">
        <v>22</v>
      </c>
      <c r="E421" s="1">
        <v>45490</v>
      </c>
      <c r="F421">
        <v>1477</v>
      </c>
      <c r="G421" t="s">
        <v>17</v>
      </c>
      <c r="H421" t="s">
        <v>11</v>
      </c>
      <c r="I421" t="s">
        <v>1920</v>
      </c>
      <c r="J421" t="str" cm="1">
        <f t="array" ref="J421">_xlfn.IFS(HOUR(I421)&lt;12,"Morning",HOUR(I421)&lt;17,"Afternoon",TRUE,"Evening")</f>
        <v>Morning</v>
      </c>
      <c r="K421" t="s">
        <v>12</v>
      </c>
      <c r="L421" t="str">
        <f t="shared" si="18"/>
        <v>Attended</v>
      </c>
      <c r="M421">
        <f t="shared" si="19"/>
        <v>0</v>
      </c>
      <c r="N421" t="str">
        <f t="shared" si="20"/>
        <v>Wednesday</v>
      </c>
      <c r="O42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22" spans="1:15" x14ac:dyDescent="0.25">
      <c r="A422">
        <v>5420</v>
      </c>
      <c r="B422">
        <v>968</v>
      </c>
      <c r="C422">
        <v>1001</v>
      </c>
      <c r="D422" t="s">
        <v>22</v>
      </c>
      <c r="E422" s="1">
        <v>45508</v>
      </c>
      <c r="F422">
        <v>2200</v>
      </c>
      <c r="G422" t="s">
        <v>25</v>
      </c>
      <c r="H422" t="s">
        <v>15</v>
      </c>
      <c r="I422" t="s">
        <v>1921</v>
      </c>
      <c r="J422" t="str" cm="1">
        <f t="array" ref="J422">_xlfn.IFS(HOUR(I422)&lt;12,"Morning",HOUR(I422)&lt;17,"Afternoon",TRUE,"Evening")</f>
        <v>Afternoon</v>
      </c>
      <c r="K422" t="s">
        <v>12</v>
      </c>
      <c r="L422" t="str">
        <f t="shared" si="18"/>
        <v>Attended</v>
      </c>
      <c r="M422">
        <f t="shared" si="19"/>
        <v>0</v>
      </c>
      <c r="N422" t="str">
        <f t="shared" si="20"/>
        <v>Sunday</v>
      </c>
      <c r="O42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23" spans="1:15" x14ac:dyDescent="0.25">
      <c r="A423">
        <v>5421</v>
      </c>
      <c r="B423">
        <v>811</v>
      </c>
      <c r="C423">
        <v>1024</v>
      </c>
      <c r="D423" t="s">
        <v>16</v>
      </c>
      <c r="E423" s="1">
        <v>45534</v>
      </c>
      <c r="F423">
        <v>1585</v>
      </c>
      <c r="G423" t="s">
        <v>10</v>
      </c>
      <c r="H423" t="s">
        <v>19</v>
      </c>
      <c r="I423" t="s">
        <v>1921</v>
      </c>
      <c r="J423" t="str" cm="1">
        <f t="array" ref="J423">_xlfn.IFS(HOUR(I423)&lt;12,"Morning",HOUR(I423)&lt;17,"Afternoon",TRUE,"Evening")</f>
        <v>Afternoon</v>
      </c>
      <c r="K423" t="s">
        <v>12</v>
      </c>
      <c r="L423" t="str">
        <f t="shared" si="18"/>
        <v>Attended</v>
      </c>
      <c r="M423">
        <f t="shared" si="19"/>
        <v>0</v>
      </c>
      <c r="N423" t="str">
        <f t="shared" si="20"/>
        <v>Friday</v>
      </c>
      <c r="O4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24" spans="1:15" x14ac:dyDescent="0.25">
      <c r="A424">
        <v>5422</v>
      </c>
      <c r="B424">
        <v>1023</v>
      </c>
      <c r="C424">
        <v>1020</v>
      </c>
      <c r="D424" t="s">
        <v>26</v>
      </c>
      <c r="E424" s="1">
        <v>45508</v>
      </c>
      <c r="F424">
        <v>1790</v>
      </c>
      <c r="G424" t="s">
        <v>25</v>
      </c>
      <c r="H424" t="s">
        <v>11</v>
      </c>
      <c r="I424" t="s">
        <v>1922</v>
      </c>
      <c r="J424" t="str" cm="1">
        <f t="array" ref="J424">_xlfn.IFS(HOUR(I424)&lt;12,"Morning",HOUR(I424)&lt;17,"Afternoon",TRUE,"Evening")</f>
        <v>Afternoon</v>
      </c>
      <c r="K424" t="s">
        <v>12</v>
      </c>
      <c r="L424" t="str">
        <f t="shared" si="18"/>
        <v>Attended</v>
      </c>
      <c r="M424">
        <f t="shared" si="19"/>
        <v>0</v>
      </c>
      <c r="N424" t="str">
        <f t="shared" si="20"/>
        <v>Sunday</v>
      </c>
      <c r="O42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25" spans="1:15" x14ac:dyDescent="0.25">
      <c r="A425">
        <v>5423</v>
      </c>
      <c r="B425">
        <v>925</v>
      </c>
      <c r="C425">
        <v>1024</v>
      </c>
      <c r="D425" t="s">
        <v>16</v>
      </c>
      <c r="E425" s="1">
        <v>45656</v>
      </c>
      <c r="F425">
        <v>1520</v>
      </c>
      <c r="G425" t="s">
        <v>25</v>
      </c>
      <c r="H425" t="s">
        <v>11</v>
      </c>
      <c r="I425" t="s">
        <v>1922</v>
      </c>
      <c r="J425" t="str" cm="1">
        <f t="array" ref="J425">_xlfn.IFS(HOUR(I425)&lt;12,"Morning",HOUR(I425)&lt;17,"Afternoon",TRUE,"Evening")</f>
        <v>Afternoon</v>
      </c>
      <c r="K425" t="s">
        <v>12</v>
      </c>
      <c r="L425" t="str">
        <f t="shared" si="18"/>
        <v>Attended</v>
      </c>
      <c r="M425">
        <f t="shared" si="19"/>
        <v>0</v>
      </c>
      <c r="N425" t="str">
        <f t="shared" si="20"/>
        <v>Monday</v>
      </c>
      <c r="O42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26" spans="1:15" x14ac:dyDescent="0.25">
      <c r="A426">
        <v>5424</v>
      </c>
      <c r="B426">
        <v>1277</v>
      </c>
      <c r="C426">
        <v>1004</v>
      </c>
      <c r="D426" t="s">
        <v>18</v>
      </c>
      <c r="E426" s="1">
        <v>45836</v>
      </c>
      <c r="F426">
        <v>1816</v>
      </c>
      <c r="G426" t="s">
        <v>17</v>
      </c>
      <c r="H426" t="s">
        <v>15</v>
      </c>
      <c r="I426" t="s">
        <v>1907</v>
      </c>
      <c r="J426" t="str" cm="1">
        <f t="array" ref="J426">_xlfn.IFS(HOUR(I426)&lt;12,"Morning",HOUR(I426)&lt;17,"Afternoon",TRUE,"Evening")</f>
        <v>Afternoon</v>
      </c>
      <c r="K426" t="s">
        <v>23</v>
      </c>
      <c r="L426" t="str">
        <f t="shared" si="18"/>
        <v>No Show</v>
      </c>
      <c r="M426">
        <f t="shared" si="19"/>
        <v>1</v>
      </c>
      <c r="N426" t="str">
        <f t="shared" si="20"/>
        <v>Saturday</v>
      </c>
      <c r="O42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27" spans="1:15" x14ac:dyDescent="0.25">
      <c r="A427">
        <v>5425</v>
      </c>
      <c r="B427">
        <v>142</v>
      </c>
      <c r="C427">
        <v>1027</v>
      </c>
      <c r="D427" t="s">
        <v>24</v>
      </c>
      <c r="E427" s="1">
        <v>45747</v>
      </c>
      <c r="F427">
        <v>1531</v>
      </c>
      <c r="G427" t="s">
        <v>14</v>
      </c>
      <c r="H427" t="s">
        <v>15</v>
      </c>
      <c r="I427" t="s">
        <v>1923</v>
      </c>
      <c r="J427" t="str" cm="1">
        <f t="array" ref="J427">_xlfn.IFS(HOUR(I427)&lt;12,"Morning",HOUR(I427)&lt;17,"Afternoon",TRUE,"Evening")</f>
        <v>Evening</v>
      </c>
      <c r="K427" t="s">
        <v>12</v>
      </c>
      <c r="L427" t="str">
        <f t="shared" si="18"/>
        <v>Attended</v>
      </c>
      <c r="M427">
        <f t="shared" si="19"/>
        <v>0</v>
      </c>
      <c r="N427" t="str">
        <f t="shared" si="20"/>
        <v>Monday</v>
      </c>
      <c r="O4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28" spans="1:15" x14ac:dyDescent="0.25">
      <c r="A428">
        <v>5426</v>
      </c>
      <c r="B428">
        <v>413</v>
      </c>
      <c r="C428">
        <v>1027</v>
      </c>
      <c r="D428" t="s">
        <v>21</v>
      </c>
      <c r="E428" s="1">
        <v>45738</v>
      </c>
      <c r="F428">
        <v>1922</v>
      </c>
      <c r="G428" t="s">
        <v>10</v>
      </c>
      <c r="H428" t="s">
        <v>19</v>
      </c>
      <c r="I428" t="s">
        <v>1924</v>
      </c>
      <c r="J428" t="str" cm="1">
        <f t="array" ref="J428">_xlfn.IFS(HOUR(I428)&lt;12,"Morning",HOUR(I428)&lt;17,"Afternoon",TRUE,"Evening")</f>
        <v>Afternoon</v>
      </c>
      <c r="K428" t="s">
        <v>12</v>
      </c>
      <c r="L428" t="str">
        <f t="shared" si="18"/>
        <v>Attended</v>
      </c>
      <c r="M428">
        <f t="shared" si="19"/>
        <v>0</v>
      </c>
      <c r="N428" t="str">
        <f t="shared" si="20"/>
        <v>Saturday</v>
      </c>
      <c r="O42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29" spans="1:15" x14ac:dyDescent="0.25">
      <c r="A429">
        <v>5427</v>
      </c>
      <c r="B429">
        <v>1100</v>
      </c>
      <c r="C429">
        <v>1027</v>
      </c>
      <c r="D429" t="s">
        <v>24</v>
      </c>
      <c r="E429" s="1">
        <v>45793</v>
      </c>
      <c r="F429">
        <v>1857</v>
      </c>
      <c r="G429" t="s">
        <v>14</v>
      </c>
      <c r="H429" t="s">
        <v>19</v>
      </c>
      <c r="I429" t="s">
        <v>1914</v>
      </c>
      <c r="J429" t="str" cm="1">
        <f t="array" ref="J429">_xlfn.IFS(HOUR(I429)&lt;12,"Morning",HOUR(I429)&lt;17,"Afternoon",TRUE,"Evening")</f>
        <v>Afternoon</v>
      </c>
      <c r="K429" t="s">
        <v>12</v>
      </c>
      <c r="L429" t="str">
        <f t="shared" si="18"/>
        <v>Attended</v>
      </c>
      <c r="M429">
        <f t="shared" si="19"/>
        <v>0</v>
      </c>
      <c r="N429" t="str">
        <f t="shared" si="20"/>
        <v>Friday</v>
      </c>
      <c r="O42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0" spans="1:15" x14ac:dyDescent="0.25">
      <c r="A430">
        <v>5428</v>
      </c>
      <c r="B430">
        <v>501</v>
      </c>
      <c r="C430">
        <v>1027</v>
      </c>
      <c r="D430" t="s">
        <v>22</v>
      </c>
      <c r="E430" s="1">
        <v>45519</v>
      </c>
      <c r="F430">
        <v>1199</v>
      </c>
      <c r="G430" t="s">
        <v>10</v>
      </c>
      <c r="H430" t="s">
        <v>19</v>
      </c>
      <c r="I430" t="s">
        <v>1925</v>
      </c>
      <c r="J430" t="str" cm="1">
        <f t="array" ref="J430">_xlfn.IFS(HOUR(I430)&lt;12,"Morning",HOUR(I430)&lt;17,"Afternoon",TRUE,"Evening")</f>
        <v>Afternoon</v>
      </c>
      <c r="K430" t="s">
        <v>28</v>
      </c>
      <c r="L430" t="str">
        <f t="shared" si="18"/>
        <v>No Show</v>
      </c>
      <c r="M430">
        <f t="shared" si="19"/>
        <v>1</v>
      </c>
      <c r="N430" t="str">
        <f t="shared" si="20"/>
        <v>Thursday</v>
      </c>
      <c r="O43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1" spans="1:15" x14ac:dyDescent="0.25">
      <c r="A431">
        <v>5429</v>
      </c>
      <c r="B431">
        <v>1509</v>
      </c>
      <c r="C431">
        <v>1027</v>
      </c>
      <c r="D431" t="s">
        <v>9</v>
      </c>
      <c r="E431" s="1">
        <v>45533</v>
      </c>
      <c r="F431">
        <v>2030</v>
      </c>
      <c r="G431" t="s">
        <v>14</v>
      </c>
      <c r="H431" t="s">
        <v>15</v>
      </c>
      <c r="I431" t="s">
        <v>1926</v>
      </c>
      <c r="J431" t="str" cm="1">
        <f t="array" ref="J431">_xlfn.IFS(HOUR(I431)&lt;12,"Morning",HOUR(I431)&lt;17,"Afternoon",TRUE,"Evening")</f>
        <v>Afternoon</v>
      </c>
      <c r="K431" t="s">
        <v>12</v>
      </c>
      <c r="L431" t="str">
        <f t="shared" si="18"/>
        <v>Attended</v>
      </c>
      <c r="M431">
        <f t="shared" si="19"/>
        <v>0</v>
      </c>
      <c r="N431" t="str">
        <f t="shared" si="20"/>
        <v>Thursday</v>
      </c>
      <c r="O43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2" spans="1:15" x14ac:dyDescent="0.25">
      <c r="A432">
        <v>5430</v>
      </c>
      <c r="B432">
        <v>519</v>
      </c>
      <c r="C432">
        <v>1020</v>
      </c>
      <c r="D432" t="s">
        <v>26</v>
      </c>
      <c r="E432" s="1">
        <v>45504</v>
      </c>
      <c r="F432">
        <v>1495</v>
      </c>
      <c r="G432" t="s">
        <v>17</v>
      </c>
      <c r="H432" t="s">
        <v>19</v>
      </c>
      <c r="I432" t="s">
        <v>1927</v>
      </c>
      <c r="J432" t="str" cm="1">
        <f t="array" ref="J432">_xlfn.IFS(HOUR(I432)&lt;12,"Morning",HOUR(I432)&lt;17,"Afternoon",TRUE,"Evening")</f>
        <v>Afternoon</v>
      </c>
      <c r="K432" t="s">
        <v>12</v>
      </c>
      <c r="L432" t="str">
        <f t="shared" si="18"/>
        <v>Attended</v>
      </c>
      <c r="M432">
        <f t="shared" si="19"/>
        <v>0</v>
      </c>
      <c r="N432" t="str">
        <f t="shared" si="20"/>
        <v>Wednesday</v>
      </c>
      <c r="O43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3" spans="1:15" x14ac:dyDescent="0.25">
      <c r="A433">
        <v>5431</v>
      </c>
      <c r="B433">
        <v>607</v>
      </c>
      <c r="C433">
        <v>1024</v>
      </c>
      <c r="D433" t="s">
        <v>16</v>
      </c>
      <c r="E433" s="1">
        <v>45500</v>
      </c>
      <c r="F433">
        <v>1946</v>
      </c>
      <c r="G433" t="s">
        <v>25</v>
      </c>
      <c r="H433" t="s">
        <v>15</v>
      </c>
      <c r="I433" t="s">
        <v>1909</v>
      </c>
      <c r="J433" t="str" cm="1">
        <f t="array" ref="J433">_xlfn.IFS(HOUR(I433)&lt;12,"Morning",HOUR(I433)&lt;17,"Afternoon",TRUE,"Evening")</f>
        <v>Afternoon</v>
      </c>
      <c r="K433" t="s">
        <v>12</v>
      </c>
      <c r="L433" t="str">
        <f t="shared" si="18"/>
        <v>Attended</v>
      </c>
      <c r="M433">
        <f t="shared" si="19"/>
        <v>0</v>
      </c>
      <c r="N433" t="str">
        <f t="shared" si="20"/>
        <v>Saturday</v>
      </c>
      <c r="O43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34" spans="1:15" x14ac:dyDescent="0.25">
      <c r="A434">
        <v>5432</v>
      </c>
      <c r="B434">
        <v>1582</v>
      </c>
      <c r="C434">
        <v>1020</v>
      </c>
      <c r="D434" t="s">
        <v>26</v>
      </c>
      <c r="E434" s="1">
        <v>45723</v>
      </c>
      <c r="F434">
        <v>2249</v>
      </c>
      <c r="G434" t="s">
        <v>25</v>
      </c>
      <c r="H434" t="s">
        <v>11</v>
      </c>
      <c r="I434" t="s">
        <v>1925</v>
      </c>
      <c r="J434" t="str" cm="1">
        <f t="array" ref="J434">_xlfn.IFS(HOUR(I434)&lt;12,"Morning",HOUR(I434)&lt;17,"Afternoon",TRUE,"Evening")</f>
        <v>Afternoon</v>
      </c>
      <c r="K434" t="s">
        <v>12</v>
      </c>
      <c r="L434" t="str">
        <f t="shared" si="18"/>
        <v>Attended</v>
      </c>
      <c r="M434">
        <f t="shared" si="19"/>
        <v>0</v>
      </c>
      <c r="N434" t="str">
        <f t="shared" si="20"/>
        <v>Friday</v>
      </c>
      <c r="O43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5" spans="1:15" x14ac:dyDescent="0.25">
      <c r="A435">
        <v>5433</v>
      </c>
      <c r="B435">
        <v>783</v>
      </c>
      <c r="C435">
        <v>1024</v>
      </c>
      <c r="D435" t="s">
        <v>16</v>
      </c>
      <c r="E435" s="1">
        <v>45579</v>
      </c>
      <c r="F435">
        <v>1247</v>
      </c>
      <c r="G435" t="s">
        <v>10</v>
      </c>
      <c r="H435" t="s">
        <v>11</v>
      </c>
      <c r="I435" t="s">
        <v>1928</v>
      </c>
      <c r="J435" t="str" cm="1">
        <f t="array" ref="J435">_xlfn.IFS(HOUR(I435)&lt;12,"Morning",HOUR(I435)&lt;17,"Afternoon",TRUE,"Evening")</f>
        <v>Morning</v>
      </c>
      <c r="K435" t="s">
        <v>28</v>
      </c>
      <c r="L435" t="str">
        <f t="shared" si="18"/>
        <v>No Show</v>
      </c>
      <c r="M435">
        <f t="shared" si="19"/>
        <v>1</v>
      </c>
      <c r="N435" t="str">
        <f t="shared" si="20"/>
        <v>Monday</v>
      </c>
      <c r="O4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6" spans="1:15" x14ac:dyDescent="0.25">
      <c r="A436">
        <v>5434</v>
      </c>
      <c r="B436">
        <v>1366</v>
      </c>
      <c r="C436">
        <v>1009</v>
      </c>
      <c r="D436" t="s">
        <v>13</v>
      </c>
      <c r="E436" s="1">
        <v>45528</v>
      </c>
      <c r="F436">
        <v>2131</v>
      </c>
      <c r="G436" t="s">
        <v>14</v>
      </c>
      <c r="H436" t="s">
        <v>15</v>
      </c>
      <c r="I436" t="s">
        <v>1913</v>
      </c>
      <c r="J436" t="str" cm="1">
        <f t="array" ref="J436">_xlfn.IFS(HOUR(I436)&lt;12,"Morning",HOUR(I436)&lt;17,"Afternoon",TRUE,"Evening")</f>
        <v>Morning</v>
      </c>
      <c r="K436" t="s">
        <v>12</v>
      </c>
      <c r="L436" t="str">
        <f t="shared" si="18"/>
        <v>Attended</v>
      </c>
      <c r="M436">
        <f t="shared" si="19"/>
        <v>0</v>
      </c>
      <c r="N436" t="str">
        <f t="shared" si="20"/>
        <v>Saturday</v>
      </c>
      <c r="O43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37" spans="1:15" x14ac:dyDescent="0.25">
      <c r="A437">
        <v>5435</v>
      </c>
      <c r="B437">
        <v>1106</v>
      </c>
      <c r="C437">
        <v>1002</v>
      </c>
      <c r="D437" t="s">
        <v>18</v>
      </c>
      <c r="E437" s="1">
        <v>45560</v>
      </c>
      <c r="F437">
        <v>1691</v>
      </c>
      <c r="G437" t="s">
        <v>14</v>
      </c>
      <c r="H437" t="s">
        <v>11</v>
      </c>
      <c r="I437" t="s">
        <v>1921</v>
      </c>
      <c r="J437" t="str" cm="1">
        <f t="array" ref="J437">_xlfn.IFS(HOUR(I437)&lt;12,"Morning",HOUR(I437)&lt;17,"Afternoon",TRUE,"Evening")</f>
        <v>Afternoon</v>
      </c>
      <c r="K437" t="s">
        <v>28</v>
      </c>
      <c r="L437" t="str">
        <f t="shared" si="18"/>
        <v>No Show</v>
      </c>
      <c r="M437">
        <f t="shared" si="19"/>
        <v>1</v>
      </c>
      <c r="N437" t="str">
        <f t="shared" si="20"/>
        <v>Wednesday</v>
      </c>
      <c r="O43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8" spans="1:15" x14ac:dyDescent="0.25">
      <c r="A438">
        <v>5436</v>
      </c>
      <c r="B438">
        <v>1598</v>
      </c>
      <c r="C438">
        <v>1027</v>
      </c>
      <c r="D438" t="s">
        <v>9</v>
      </c>
      <c r="E438" s="1">
        <v>45831</v>
      </c>
      <c r="F438">
        <v>1424</v>
      </c>
      <c r="G438" t="s">
        <v>10</v>
      </c>
      <c r="H438" t="s">
        <v>11</v>
      </c>
      <c r="I438" t="s">
        <v>1929</v>
      </c>
      <c r="J438" t="str" cm="1">
        <f t="array" ref="J438">_xlfn.IFS(HOUR(I438)&lt;12,"Morning",HOUR(I438)&lt;17,"Afternoon",TRUE,"Evening")</f>
        <v>Afternoon</v>
      </c>
      <c r="K438" t="s">
        <v>23</v>
      </c>
      <c r="L438" t="str">
        <f t="shared" si="18"/>
        <v>No Show</v>
      </c>
      <c r="M438">
        <f t="shared" si="19"/>
        <v>1</v>
      </c>
      <c r="N438" t="str">
        <f t="shared" si="20"/>
        <v>Monday</v>
      </c>
      <c r="O43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39" spans="1:15" x14ac:dyDescent="0.25">
      <c r="A439">
        <v>5437</v>
      </c>
      <c r="B439">
        <v>199</v>
      </c>
      <c r="C439">
        <v>1020</v>
      </c>
      <c r="D439" t="s">
        <v>26</v>
      </c>
      <c r="E439" s="1">
        <v>45681</v>
      </c>
      <c r="F439">
        <v>1982</v>
      </c>
      <c r="G439" t="s">
        <v>14</v>
      </c>
      <c r="H439" t="s">
        <v>11</v>
      </c>
      <c r="I439" t="s">
        <v>1920</v>
      </c>
      <c r="J439" t="str" cm="1">
        <f t="array" ref="J439">_xlfn.IFS(HOUR(I439)&lt;12,"Morning",HOUR(I439)&lt;17,"Afternoon",TRUE,"Evening")</f>
        <v>Morning</v>
      </c>
      <c r="K439" t="s">
        <v>12</v>
      </c>
      <c r="L439" t="str">
        <f t="shared" si="18"/>
        <v>Attended</v>
      </c>
      <c r="M439">
        <f t="shared" si="19"/>
        <v>0</v>
      </c>
      <c r="N439" t="str">
        <f t="shared" si="20"/>
        <v>Friday</v>
      </c>
      <c r="O43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0" spans="1:15" x14ac:dyDescent="0.25">
      <c r="A440">
        <v>5438</v>
      </c>
      <c r="B440">
        <v>473</v>
      </c>
      <c r="C440">
        <v>1027</v>
      </c>
      <c r="D440" t="s">
        <v>9</v>
      </c>
      <c r="E440" s="1">
        <v>45769</v>
      </c>
      <c r="F440">
        <v>1725</v>
      </c>
      <c r="G440" t="s">
        <v>17</v>
      </c>
      <c r="H440" t="s">
        <v>19</v>
      </c>
      <c r="I440" t="s">
        <v>1930</v>
      </c>
      <c r="J440" t="str" cm="1">
        <f t="array" ref="J440">_xlfn.IFS(HOUR(I440)&lt;12,"Morning",HOUR(I440)&lt;17,"Afternoon",TRUE,"Evening")</f>
        <v>Morning</v>
      </c>
      <c r="K440" t="s">
        <v>12</v>
      </c>
      <c r="L440" t="str">
        <f t="shared" si="18"/>
        <v>Attended</v>
      </c>
      <c r="M440">
        <f t="shared" si="19"/>
        <v>0</v>
      </c>
      <c r="N440" t="str">
        <f t="shared" si="20"/>
        <v>Tuesday</v>
      </c>
      <c r="O44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1" spans="1:15" x14ac:dyDescent="0.25">
      <c r="A441">
        <v>5439</v>
      </c>
      <c r="B441">
        <v>580</v>
      </c>
      <c r="C441">
        <v>1009</v>
      </c>
      <c r="D441" t="s">
        <v>13</v>
      </c>
      <c r="E441" s="1">
        <v>45581</v>
      </c>
      <c r="F441">
        <v>1922</v>
      </c>
      <c r="G441" t="s">
        <v>17</v>
      </c>
      <c r="H441" t="s">
        <v>15</v>
      </c>
      <c r="I441" t="s">
        <v>1918</v>
      </c>
      <c r="J441" t="str" cm="1">
        <f t="array" ref="J441">_xlfn.IFS(HOUR(I441)&lt;12,"Morning",HOUR(I441)&lt;17,"Afternoon",TRUE,"Evening")</f>
        <v>Evening</v>
      </c>
      <c r="K441" t="s">
        <v>12</v>
      </c>
      <c r="L441" t="str">
        <f t="shared" si="18"/>
        <v>Attended</v>
      </c>
      <c r="M441">
        <f t="shared" si="19"/>
        <v>0</v>
      </c>
      <c r="N441" t="str">
        <f t="shared" si="20"/>
        <v>Wednesday</v>
      </c>
      <c r="O44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2" spans="1:15" x14ac:dyDescent="0.25">
      <c r="A442">
        <v>5440</v>
      </c>
      <c r="B442">
        <v>1257</v>
      </c>
      <c r="C442">
        <v>1001</v>
      </c>
      <c r="D442" t="s">
        <v>22</v>
      </c>
      <c r="E442" s="1">
        <v>45534</v>
      </c>
      <c r="F442">
        <v>1085</v>
      </c>
      <c r="G442" t="s">
        <v>17</v>
      </c>
      <c r="H442" t="s">
        <v>15</v>
      </c>
      <c r="I442" t="s">
        <v>1920</v>
      </c>
      <c r="J442" t="str" cm="1">
        <f t="array" ref="J442">_xlfn.IFS(HOUR(I442)&lt;12,"Morning",HOUR(I442)&lt;17,"Afternoon",TRUE,"Evening")</f>
        <v>Morning</v>
      </c>
      <c r="K442" t="s">
        <v>28</v>
      </c>
      <c r="L442" t="str">
        <f t="shared" si="18"/>
        <v>No Show</v>
      </c>
      <c r="M442">
        <f t="shared" si="19"/>
        <v>1</v>
      </c>
      <c r="N442" t="str">
        <f t="shared" si="20"/>
        <v>Friday</v>
      </c>
      <c r="O4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3" spans="1:15" x14ac:dyDescent="0.25">
      <c r="A443">
        <v>5441</v>
      </c>
      <c r="B443">
        <v>511</v>
      </c>
      <c r="C443">
        <v>1027</v>
      </c>
      <c r="D443" t="s">
        <v>21</v>
      </c>
      <c r="E443" s="1">
        <v>45799</v>
      </c>
      <c r="F443">
        <v>2498</v>
      </c>
      <c r="G443" t="s">
        <v>14</v>
      </c>
      <c r="H443" t="s">
        <v>11</v>
      </c>
      <c r="I443" t="s">
        <v>1914</v>
      </c>
      <c r="J443" t="str" cm="1">
        <f t="array" ref="J443">_xlfn.IFS(HOUR(I443)&lt;12,"Morning",HOUR(I443)&lt;17,"Afternoon",TRUE,"Evening")</f>
        <v>Afternoon</v>
      </c>
      <c r="K443" t="s">
        <v>12</v>
      </c>
      <c r="L443" t="str">
        <f t="shared" si="18"/>
        <v>Attended</v>
      </c>
      <c r="M443">
        <f t="shared" si="19"/>
        <v>0</v>
      </c>
      <c r="N443" t="str">
        <f t="shared" si="20"/>
        <v>Thursday</v>
      </c>
      <c r="O44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4" spans="1:15" x14ac:dyDescent="0.25">
      <c r="A444">
        <v>5442</v>
      </c>
      <c r="B444">
        <v>604</v>
      </c>
      <c r="C444">
        <v>1027</v>
      </c>
      <c r="D444" t="s">
        <v>27</v>
      </c>
      <c r="E444" s="1">
        <v>45577</v>
      </c>
      <c r="F444">
        <v>2227</v>
      </c>
      <c r="G444" t="s">
        <v>14</v>
      </c>
      <c r="H444" t="s">
        <v>15</v>
      </c>
      <c r="I444" t="s">
        <v>1915</v>
      </c>
      <c r="J444" t="str" cm="1">
        <f t="array" ref="J444">_xlfn.IFS(HOUR(I444)&lt;12,"Morning",HOUR(I444)&lt;17,"Afternoon",TRUE,"Evening")</f>
        <v>Afternoon</v>
      </c>
      <c r="K444" t="s">
        <v>12</v>
      </c>
      <c r="L444" t="str">
        <f t="shared" si="18"/>
        <v>Attended</v>
      </c>
      <c r="M444">
        <f t="shared" si="19"/>
        <v>0</v>
      </c>
      <c r="N444" t="str">
        <f t="shared" si="20"/>
        <v>Saturday</v>
      </c>
      <c r="O44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45" spans="1:15" x14ac:dyDescent="0.25">
      <c r="A445">
        <v>5443</v>
      </c>
      <c r="B445">
        <v>732</v>
      </c>
      <c r="C445">
        <v>1020</v>
      </c>
      <c r="D445" t="s">
        <v>26</v>
      </c>
      <c r="E445" s="1">
        <v>45647</v>
      </c>
      <c r="F445">
        <v>1733</v>
      </c>
      <c r="G445" t="s">
        <v>14</v>
      </c>
      <c r="H445" t="s">
        <v>11</v>
      </c>
      <c r="I445" t="s">
        <v>1928</v>
      </c>
      <c r="J445" t="str" cm="1">
        <f t="array" ref="J445">_xlfn.IFS(HOUR(I445)&lt;12,"Morning",HOUR(I445)&lt;17,"Afternoon",TRUE,"Evening")</f>
        <v>Morning</v>
      </c>
      <c r="K445" t="s">
        <v>28</v>
      </c>
      <c r="L445" t="str">
        <f t="shared" si="18"/>
        <v>No Show</v>
      </c>
      <c r="M445">
        <f t="shared" si="19"/>
        <v>1</v>
      </c>
      <c r="N445" t="str">
        <f t="shared" si="20"/>
        <v>Saturday</v>
      </c>
      <c r="O44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46" spans="1:15" x14ac:dyDescent="0.25">
      <c r="A446">
        <v>5444</v>
      </c>
      <c r="B446">
        <v>313</v>
      </c>
      <c r="C446">
        <v>1009</v>
      </c>
      <c r="D446" t="s">
        <v>13</v>
      </c>
      <c r="E446" s="1">
        <v>45665</v>
      </c>
      <c r="F446">
        <v>976</v>
      </c>
      <c r="G446" t="s">
        <v>14</v>
      </c>
      <c r="H446" t="s">
        <v>15</v>
      </c>
      <c r="I446" t="s">
        <v>1931</v>
      </c>
      <c r="J446" t="str" cm="1">
        <f t="array" ref="J446">_xlfn.IFS(HOUR(I446)&lt;12,"Morning",HOUR(I446)&lt;17,"Afternoon",TRUE,"Evening")</f>
        <v>Afternoon</v>
      </c>
      <c r="K446" t="s">
        <v>12</v>
      </c>
      <c r="L446" t="str">
        <f t="shared" si="18"/>
        <v>Attended</v>
      </c>
      <c r="M446">
        <f t="shared" si="19"/>
        <v>0</v>
      </c>
      <c r="N446" t="str">
        <f t="shared" si="20"/>
        <v>Wednesday</v>
      </c>
      <c r="O44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7" spans="1:15" x14ac:dyDescent="0.25">
      <c r="A447">
        <v>5445</v>
      </c>
      <c r="B447">
        <v>1336</v>
      </c>
      <c r="C447">
        <v>1024</v>
      </c>
      <c r="D447" t="s">
        <v>16</v>
      </c>
      <c r="E447" s="1">
        <v>45579</v>
      </c>
      <c r="F447">
        <v>1051</v>
      </c>
      <c r="G447" t="s">
        <v>14</v>
      </c>
      <c r="H447" t="s">
        <v>15</v>
      </c>
      <c r="I447" t="s">
        <v>1932</v>
      </c>
      <c r="J447" t="str" cm="1">
        <f t="array" ref="J447">_xlfn.IFS(HOUR(I447)&lt;12,"Morning",HOUR(I447)&lt;17,"Afternoon",TRUE,"Evening")</f>
        <v>Evening</v>
      </c>
      <c r="K447" t="s">
        <v>20</v>
      </c>
      <c r="L447" t="str">
        <f t="shared" si="18"/>
        <v>No Show</v>
      </c>
      <c r="M447">
        <f t="shared" si="19"/>
        <v>1</v>
      </c>
      <c r="N447" t="str">
        <f t="shared" si="20"/>
        <v>Monday</v>
      </c>
      <c r="O44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8" spans="1:15" x14ac:dyDescent="0.25">
      <c r="A448">
        <v>5446</v>
      </c>
      <c r="B448">
        <v>266</v>
      </c>
      <c r="C448">
        <v>1027</v>
      </c>
      <c r="D448" t="s">
        <v>27</v>
      </c>
      <c r="E448" s="1">
        <v>45638</v>
      </c>
      <c r="F448">
        <v>1031</v>
      </c>
      <c r="G448" t="s">
        <v>10</v>
      </c>
      <c r="H448" t="s">
        <v>15</v>
      </c>
      <c r="I448" t="s">
        <v>1915</v>
      </c>
      <c r="J448" t="str" cm="1">
        <f t="array" ref="J448">_xlfn.IFS(HOUR(I448)&lt;12,"Morning",HOUR(I448)&lt;17,"Afternoon",TRUE,"Evening")</f>
        <v>Afternoon</v>
      </c>
      <c r="K448" t="s">
        <v>12</v>
      </c>
      <c r="L448" t="str">
        <f t="shared" si="18"/>
        <v>Attended</v>
      </c>
      <c r="M448">
        <f t="shared" si="19"/>
        <v>0</v>
      </c>
      <c r="N448" t="str">
        <f t="shared" si="20"/>
        <v>Thursday</v>
      </c>
      <c r="O4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49" spans="1:15" x14ac:dyDescent="0.25">
      <c r="A449">
        <v>5447</v>
      </c>
      <c r="B449">
        <v>1260</v>
      </c>
      <c r="C449">
        <v>1001</v>
      </c>
      <c r="D449" t="s">
        <v>22</v>
      </c>
      <c r="E449" s="1">
        <v>45574</v>
      </c>
      <c r="F449">
        <v>1830</v>
      </c>
      <c r="G449" t="s">
        <v>14</v>
      </c>
      <c r="H449" t="s">
        <v>19</v>
      </c>
      <c r="I449" t="s">
        <v>1933</v>
      </c>
      <c r="J449" t="str" cm="1">
        <f t="array" ref="J449">_xlfn.IFS(HOUR(I449)&lt;12,"Morning",HOUR(I449)&lt;17,"Afternoon",TRUE,"Evening")</f>
        <v>Evening</v>
      </c>
      <c r="K449" t="s">
        <v>12</v>
      </c>
      <c r="L449" t="str">
        <f t="shared" si="18"/>
        <v>Attended</v>
      </c>
      <c r="M449">
        <f t="shared" si="19"/>
        <v>0</v>
      </c>
      <c r="N449" t="str">
        <f t="shared" si="20"/>
        <v>Wednesday</v>
      </c>
      <c r="O44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50" spans="1:15" x14ac:dyDescent="0.25">
      <c r="A450">
        <v>5448</v>
      </c>
      <c r="B450">
        <v>1584</v>
      </c>
      <c r="C450">
        <v>1027</v>
      </c>
      <c r="D450" t="s">
        <v>22</v>
      </c>
      <c r="E450" s="1">
        <v>45800</v>
      </c>
      <c r="F450">
        <v>1293</v>
      </c>
      <c r="G450" t="s">
        <v>10</v>
      </c>
      <c r="H450" t="s">
        <v>19</v>
      </c>
      <c r="I450" t="s">
        <v>1934</v>
      </c>
      <c r="J450" t="str" cm="1">
        <f t="array" ref="J450">_xlfn.IFS(HOUR(I450)&lt;12,"Morning",HOUR(I450)&lt;17,"Afternoon",TRUE,"Evening")</f>
        <v>Afternoon</v>
      </c>
      <c r="K450" t="s">
        <v>12</v>
      </c>
      <c r="L450" t="str">
        <f t="shared" si="18"/>
        <v>Attended</v>
      </c>
      <c r="M450">
        <f t="shared" si="19"/>
        <v>0</v>
      </c>
      <c r="N450" t="str">
        <f t="shared" si="20"/>
        <v>Friday</v>
      </c>
      <c r="O4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51" spans="1:15" x14ac:dyDescent="0.25">
      <c r="A451">
        <v>5449</v>
      </c>
      <c r="B451">
        <v>744</v>
      </c>
      <c r="C451">
        <v>1027</v>
      </c>
      <c r="D451" t="s">
        <v>24</v>
      </c>
      <c r="E451" s="1">
        <v>45479</v>
      </c>
      <c r="F451">
        <v>1166</v>
      </c>
      <c r="G451" t="s">
        <v>17</v>
      </c>
      <c r="H451" t="s">
        <v>11</v>
      </c>
      <c r="I451" t="s">
        <v>1935</v>
      </c>
      <c r="J451" t="str" cm="1">
        <f t="array" ref="J451">_xlfn.IFS(HOUR(I451)&lt;12,"Morning",HOUR(I451)&lt;17,"Afternoon",TRUE,"Evening")</f>
        <v>Afternoon</v>
      </c>
      <c r="K451" t="s">
        <v>12</v>
      </c>
      <c r="L451" t="str">
        <f t="shared" ref="L451:L514" si="21">IF(K451="completed","Attended","No Show")</f>
        <v>Attended</v>
      </c>
      <c r="M451">
        <f t="shared" ref="M451:M514" si="22">IF(L451="No Show",1,0)</f>
        <v>0</v>
      </c>
      <c r="N451" t="str">
        <f t="shared" ref="N451:N514" si="23">TEXT(E451,"dddd")</f>
        <v>Saturday</v>
      </c>
      <c r="O45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52" spans="1:15" x14ac:dyDescent="0.25">
      <c r="A452">
        <v>5450</v>
      </c>
      <c r="B452">
        <v>1071</v>
      </c>
      <c r="C452">
        <v>1027</v>
      </c>
      <c r="D452" t="s">
        <v>27</v>
      </c>
      <c r="E452" s="1">
        <v>45628</v>
      </c>
      <c r="F452">
        <v>1502</v>
      </c>
      <c r="G452" t="s">
        <v>10</v>
      </c>
      <c r="H452" t="s">
        <v>19</v>
      </c>
      <c r="I452" t="s">
        <v>1926</v>
      </c>
      <c r="J452" t="str" cm="1">
        <f t="array" ref="J452">_xlfn.IFS(HOUR(I452)&lt;12,"Morning",HOUR(I452)&lt;17,"Afternoon",TRUE,"Evening")</f>
        <v>Afternoon</v>
      </c>
      <c r="K452" t="s">
        <v>12</v>
      </c>
      <c r="L452" t="str">
        <f t="shared" si="21"/>
        <v>Attended</v>
      </c>
      <c r="M452">
        <f t="shared" si="22"/>
        <v>0</v>
      </c>
      <c r="N452" t="str">
        <f t="shared" si="23"/>
        <v>Monday</v>
      </c>
      <c r="O45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53" spans="1:15" x14ac:dyDescent="0.25">
      <c r="A453">
        <v>5451</v>
      </c>
      <c r="B453">
        <v>1180</v>
      </c>
      <c r="C453">
        <v>1027</v>
      </c>
      <c r="D453" t="s">
        <v>27</v>
      </c>
      <c r="E453" s="1">
        <v>45707</v>
      </c>
      <c r="F453">
        <v>2488</v>
      </c>
      <c r="G453" t="s">
        <v>17</v>
      </c>
      <c r="H453" t="s">
        <v>19</v>
      </c>
      <c r="I453" t="s">
        <v>1911</v>
      </c>
      <c r="J453" t="str" cm="1">
        <f t="array" ref="J453">_xlfn.IFS(HOUR(I453)&lt;12,"Morning",HOUR(I453)&lt;17,"Afternoon",TRUE,"Evening")</f>
        <v>Morning</v>
      </c>
      <c r="K453" t="s">
        <v>28</v>
      </c>
      <c r="L453" t="str">
        <f t="shared" si="21"/>
        <v>No Show</v>
      </c>
      <c r="M453">
        <f t="shared" si="22"/>
        <v>1</v>
      </c>
      <c r="N453" t="str">
        <f t="shared" si="23"/>
        <v>Wednesday</v>
      </c>
      <c r="O45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54" spans="1:15" x14ac:dyDescent="0.25">
      <c r="A454">
        <v>5452</v>
      </c>
      <c r="B454">
        <v>805</v>
      </c>
      <c r="C454">
        <v>1003</v>
      </c>
      <c r="D454" t="s">
        <v>18</v>
      </c>
      <c r="E454" s="1">
        <v>45801</v>
      </c>
      <c r="F454">
        <v>1631</v>
      </c>
      <c r="G454" t="s">
        <v>10</v>
      </c>
      <c r="H454" t="s">
        <v>15</v>
      </c>
      <c r="I454" t="s">
        <v>1936</v>
      </c>
      <c r="J454" t="str" cm="1">
        <f t="array" ref="J454">_xlfn.IFS(HOUR(I454)&lt;12,"Morning",HOUR(I454)&lt;17,"Afternoon",TRUE,"Evening")</f>
        <v>Morning</v>
      </c>
      <c r="K454" t="s">
        <v>12</v>
      </c>
      <c r="L454" t="str">
        <f t="shared" si="21"/>
        <v>Attended</v>
      </c>
      <c r="M454">
        <f t="shared" si="22"/>
        <v>0</v>
      </c>
      <c r="N454" t="str">
        <f t="shared" si="23"/>
        <v>Saturday</v>
      </c>
      <c r="O45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55" spans="1:15" x14ac:dyDescent="0.25">
      <c r="A455">
        <v>5453</v>
      </c>
      <c r="B455">
        <v>898</v>
      </c>
      <c r="C455">
        <v>1003</v>
      </c>
      <c r="D455" t="s">
        <v>18</v>
      </c>
      <c r="E455" s="1">
        <v>45777</v>
      </c>
      <c r="F455">
        <v>1271</v>
      </c>
      <c r="G455" t="s">
        <v>10</v>
      </c>
      <c r="H455" t="s">
        <v>11</v>
      </c>
      <c r="I455" t="s">
        <v>1937</v>
      </c>
      <c r="J455" t="str" cm="1">
        <f t="array" ref="J455">_xlfn.IFS(HOUR(I455)&lt;12,"Morning",HOUR(I455)&lt;17,"Afternoon",TRUE,"Evening")</f>
        <v>Morning</v>
      </c>
      <c r="K455" t="s">
        <v>12</v>
      </c>
      <c r="L455" t="str">
        <f t="shared" si="21"/>
        <v>Attended</v>
      </c>
      <c r="M455">
        <f t="shared" si="22"/>
        <v>0</v>
      </c>
      <c r="N455" t="str">
        <f t="shared" si="23"/>
        <v>Wednesday</v>
      </c>
      <c r="O45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56" spans="1:15" x14ac:dyDescent="0.25">
      <c r="A456">
        <v>5454</v>
      </c>
      <c r="B456">
        <v>903</v>
      </c>
      <c r="C456">
        <v>1020</v>
      </c>
      <c r="D456" t="s">
        <v>26</v>
      </c>
      <c r="E456" s="1">
        <v>45722</v>
      </c>
      <c r="F456">
        <v>1177</v>
      </c>
      <c r="G456" t="s">
        <v>14</v>
      </c>
      <c r="H456" t="s">
        <v>19</v>
      </c>
      <c r="I456" t="s">
        <v>1936</v>
      </c>
      <c r="J456" t="str" cm="1">
        <f t="array" ref="J456">_xlfn.IFS(HOUR(I456)&lt;12,"Morning",HOUR(I456)&lt;17,"Afternoon",TRUE,"Evening")</f>
        <v>Morning</v>
      </c>
      <c r="K456" t="s">
        <v>12</v>
      </c>
      <c r="L456" t="str">
        <f t="shared" si="21"/>
        <v>Attended</v>
      </c>
      <c r="M456">
        <f t="shared" si="22"/>
        <v>0</v>
      </c>
      <c r="N456" t="str">
        <f t="shared" si="23"/>
        <v>Thursday</v>
      </c>
      <c r="O4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57" spans="1:15" x14ac:dyDescent="0.25">
      <c r="A457">
        <v>5455</v>
      </c>
      <c r="B457">
        <v>1338</v>
      </c>
      <c r="C457">
        <v>1024</v>
      </c>
      <c r="D457" t="s">
        <v>16</v>
      </c>
      <c r="E457" s="1">
        <v>45633</v>
      </c>
      <c r="F457">
        <v>1712</v>
      </c>
      <c r="G457" t="s">
        <v>17</v>
      </c>
      <c r="H457" t="s">
        <v>19</v>
      </c>
      <c r="I457" t="s">
        <v>1923</v>
      </c>
      <c r="J457" t="str" cm="1">
        <f t="array" ref="J457">_xlfn.IFS(HOUR(I457)&lt;12,"Morning",HOUR(I457)&lt;17,"Afternoon",TRUE,"Evening")</f>
        <v>Evening</v>
      </c>
      <c r="K457" t="s">
        <v>12</v>
      </c>
      <c r="L457" t="str">
        <f t="shared" si="21"/>
        <v>Attended</v>
      </c>
      <c r="M457">
        <f t="shared" si="22"/>
        <v>0</v>
      </c>
      <c r="N457" t="str">
        <f t="shared" si="23"/>
        <v>Saturday</v>
      </c>
      <c r="O45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58" spans="1:15" x14ac:dyDescent="0.25">
      <c r="A458">
        <v>5456</v>
      </c>
      <c r="B458">
        <v>1096</v>
      </c>
      <c r="C458">
        <v>1020</v>
      </c>
      <c r="D458" t="s">
        <v>26</v>
      </c>
      <c r="E458" s="1">
        <v>45522</v>
      </c>
      <c r="F458">
        <v>1527</v>
      </c>
      <c r="G458" t="s">
        <v>25</v>
      </c>
      <c r="H458" t="s">
        <v>11</v>
      </c>
      <c r="I458" t="s">
        <v>1934</v>
      </c>
      <c r="J458" t="str" cm="1">
        <f t="array" ref="J458">_xlfn.IFS(HOUR(I458)&lt;12,"Morning",HOUR(I458)&lt;17,"Afternoon",TRUE,"Evening")</f>
        <v>Afternoon</v>
      </c>
      <c r="K458" t="s">
        <v>12</v>
      </c>
      <c r="L458" t="str">
        <f t="shared" si="21"/>
        <v>Attended</v>
      </c>
      <c r="M458">
        <f t="shared" si="22"/>
        <v>0</v>
      </c>
      <c r="N458" t="str">
        <f t="shared" si="23"/>
        <v>Sunday</v>
      </c>
      <c r="O45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59" spans="1:15" x14ac:dyDescent="0.25">
      <c r="A459">
        <v>5457</v>
      </c>
      <c r="B459">
        <v>1019</v>
      </c>
      <c r="C459">
        <v>1027</v>
      </c>
      <c r="D459" t="s">
        <v>9</v>
      </c>
      <c r="E459" s="1">
        <v>45808</v>
      </c>
      <c r="F459">
        <v>1664</v>
      </c>
      <c r="G459" t="s">
        <v>25</v>
      </c>
      <c r="H459" t="s">
        <v>15</v>
      </c>
      <c r="I459" t="s">
        <v>1925</v>
      </c>
      <c r="J459" t="str" cm="1">
        <f t="array" ref="J459">_xlfn.IFS(HOUR(I459)&lt;12,"Morning",HOUR(I459)&lt;17,"Afternoon",TRUE,"Evening")</f>
        <v>Afternoon</v>
      </c>
      <c r="K459" t="s">
        <v>12</v>
      </c>
      <c r="L459" t="str">
        <f t="shared" si="21"/>
        <v>Attended</v>
      </c>
      <c r="M459">
        <f t="shared" si="22"/>
        <v>0</v>
      </c>
      <c r="N459" t="str">
        <f t="shared" si="23"/>
        <v>Saturday</v>
      </c>
      <c r="O45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60" spans="1:15" x14ac:dyDescent="0.25">
      <c r="A460">
        <v>5458</v>
      </c>
      <c r="B460">
        <v>1083</v>
      </c>
      <c r="C460">
        <v>1027</v>
      </c>
      <c r="D460" t="s">
        <v>27</v>
      </c>
      <c r="E460" s="1">
        <v>45481</v>
      </c>
      <c r="F460">
        <v>879</v>
      </c>
      <c r="G460" t="s">
        <v>14</v>
      </c>
      <c r="H460" t="s">
        <v>11</v>
      </c>
      <c r="I460" t="s">
        <v>1905</v>
      </c>
      <c r="J460" t="str" cm="1">
        <f t="array" ref="J460">_xlfn.IFS(HOUR(I460)&lt;12,"Morning",HOUR(I460)&lt;17,"Afternoon",TRUE,"Evening")</f>
        <v>Morning</v>
      </c>
      <c r="K460" t="s">
        <v>20</v>
      </c>
      <c r="L460" t="str">
        <f t="shared" si="21"/>
        <v>No Show</v>
      </c>
      <c r="M460">
        <f t="shared" si="22"/>
        <v>1</v>
      </c>
      <c r="N460" t="str">
        <f t="shared" si="23"/>
        <v>Monday</v>
      </c>
      <c r="O46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61" spans="1:15" x14ac:dyDescent="0.25">
      <c r="A461">
        <v>5459</v>
      </c>
      <c r="B461">
        <v>1570</v>
      </c>
      <c r="C461">
        <v>1027</v>
      </c>
      <c r="D461" t="s">
        <v>9</v>
      </c>
      <c r="E461" s="1">
        <v>45816</v>
      </c>
      <c r="F461">
        <v>1871</v>
      </c>
      <c r="G461" t="s">
        <v>25</v>
      </c>
      <c r="H461" t="s">
        <v>15</v>
      </c>
      <c r="I461" t="s">
        <v>1937</v>
      </c>
      <c r="J461" t="str" cm="1">
        <f t="array" ref="J461">_xlfn.IFS(HOUR(I461)&lt;12,"Morning",HOUR(I461)&lt;17,"Afternoon",TRUE,"Evening")</f>
        <v>Morning</v>
      </c>
      <c r="K461" t="s">
        <v>23</v>
      </c>
      <c r="L461" t="str">
        <f t="shared" si="21"/>
        <v>No Show</v>
      </c>
      <c r="M461">
        <f t="shared" si="22"/>
        <v>1</v>
      </c>
      <c r="N461" t="str">
        <f t="shared" si="23"/>
        <v>Sunday</v>
      </c>
      <c r="O46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62" spans="1:15" x14ac:dyDescent="0.25">
      <c r="A462">
        <v>5460</v>
      </c>
      <c r="B462">
        <v>1003</v>
      </c>
      <c r="C462">
        <v>1027</v>
      </c>
      <c r="D462" t="s">
        <v>9</v>
      </c>
      <c r="E462" s="1">
        <v>45779</v>
      </c>
      <c r="F462">
        <v>2018</v>
      </c>
      <c r="G462" t="s">
        <v>10</v>
      </c>
      <c r="H462" t="s">
        <v>19</v>
      </c>
      <c r="I462" t="s">
        <v>1933</v>
      </c>
      <c r="J462" t="str" cm="1">
        <f t="array" ref="J462">_xlfn.IFS(HOUR(I462)&lt;12,"Morning",HOUR(I462)&lt;17,"Afternoon",TRUE,"Evening")</f>
        <v>Evening</v>
      </c>
      <c r="K462" t="s">
        <v>12</v>
      </c>
      <c r="L462" t="str">
        <f t="shared" si="21"/>
        <v>Attended</v>
      </c>
      <c r="M462">
        <f t="shared" si="22"/>
        <v>0</v>
      </c>
      <c r="N462" t="str">
        <f t="shared" si="23"/>
        <v>Friday</v>
      </c>
      <c r="O46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63" spans="1:15" x14ac:dyDescent="0.25">
      <c r="A463">
        <v>5461</v>
      </c>
      <c r="B463">
        <v>894</v>
      </c>
      <c r="C463">
        <v>1008</v>
      </c>
      <c r="D463" t="s">
        <v>13</v>
      </c>
      <c r="E463" s="1">
        <v>45543</v>
      </c>
      <c r="F463">
        <v>817</v>
      </c>
      <c r="G463" t="s">
        <v>17</v>
      </c>
      <c r="H463" t="s">
        <v>15</v>
      </c>
      <c r="I463" t="s">
        <v>1922</v>
      </c>
      <c r="J463" t="str" cm="1">
        <f t="array" ref="J463">_xlfn.IFS(HOUR(I463)&lt;12,"Morning",HOUR(I463)&lt;17,"Afternoon",TRUE,"Evening")</f>
        <v>Afternoon</v>
      </c>
      <c r="K463" t="s">
        <v>12</v>
      </c>
      <c r="L463" t="str">
        <f t="shared" si="21"/>
        <v>Attended</v>
      </c>
      <c r="M463">
        <f t="shared" si="22"/>
        <v>0</v>
      </c>
      <c r="N463" t="str">
        <f t="shared" si="23"/>
        <v>Sunday</v>
      </c>
      <c r="O46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64" spans="1:15" x14ac:dyDescent="0.25">
      <c r="A464">
        <v>5462</v>
      </c>
      <c r="B464">
        <v>957</v>
      </c>
      <c r="C464">
        <v>1024</v>
      </c>
      <c r="D464" t="s">
        <v>16</v>
      </c>
      <c r="E464" s="1">
        <v>45520</v>
      </c>
      <c r="F464">
        <v>1027</v>
      </c>
      <c r="G464" t="s">
        <v>17</v>
      </c>
      <c r="H464" t="s">
        <v>11</v>
      </c>
      <c r="I464" t="s">
        <v>1933</v>
      </c>
      <c r="J464" t="str" cm="1">
        <f t="array" ref="J464">_xlfn.IFS(HOUR(I464)&lt;12,"Morning",HOUR(I464)&lt;17,"Afternoon",TRUE,"Evening")</f>
        <v>Evening</v>
      </c>
      <c r="K464" t="s">
        <v>12</v>
      </c>
      <c r="L464" t="str">
        <f t="shared" si="21"/>
        <v>Attended</v>
      </c>
      <c r="M464">
        <f t="shared" si="22"/>
        <v>0</v>
      </c>
      <c r="N464" t="str">
        <f t="shared" si="23"/>
        <v>Friday</v>
      </c>
      <c r="O46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65" spans="1:15" x14ac:dyDescent="0.25">
      <c r="A465">
        <v>5463</v>
      </c>
      <c r="B465">
        <v>1445</v>
      </c>
      <c r="C465">
        <v>1027</v>
      </c>
      <c r="D465" t="s">
        <v>27</v>
      </c>
      <c r="E465" s="1">
        <v>45558</v>
      </c>
      <c r="F465">
        <v>2292</v>
      </c>
      <c r="G465" t="s">
        <v>25</v>
      </c>
      <c r="H465" t="s">
        <v>11</v>
      </c>
      <c r="I465" t="s">
        <v>1914</v>
      </c>
      <c r="J465" t="str" cm="1">
        <f t="array" ref="J465">_xlfn.IFS(HOUR(I465)&lt;12,"Morning",HOUR(I465)&lt;17,"Afternoon",TRUE,"Evening")</f>
        <v>Afternoon</v>
      </c>
      <c r="K465" t="s">
        <v>12</v>
      </c>
      <c r="L465" t="str">
        <f t="shared" si="21"/>
        <v>Attended</v>
      </c>
      <c r="M465">
        <f t="shared" si="22"/>
        <v>0</v>
      </c>
      <c r="N465" t="str">
        <f t="shared" si="23"/>
        <v>Monday</v>
      </c>
      <c r="O46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66" spans="1:15" x14ac:dyDescent="0.25">
      <c r="A466">
        <v>5464</v>
      </c>
      <c r="B466">
        <v>711</v>
      </c>
      <c r="C466">
        <v>1027</v>
      </c>
      <c r="D466" t="s">
        <v>24</v>
      </c>
      <c r="E466" s="1">
        <v>45819</v>
      </c>
      <c r="F466">
        <v>1963</v>
      </c>
      <c r="G466" t="s">
        <v>17</v>
      </c>
      <c r="H466" t="s">
        <v>15</v>
      </c>
      <c r="I466" t="s">
        <v>1916</v>
      </c>
      <c r="J466" t="str" cm="1">
        <f t="array" ref="J466">_xlfn.IFS(HOUR(I466)&lt;12,"Morning",HOUR(I466)&lt;17,"Afternoon",TRUE,"Evening")</f>
        <v>Afternoon</v>
      </c>
      <c r="K466" t="s">
        <v>23</v>
      </c>
      <c r="L466" t="str">
        <f t="shared" si="21"/>
        <v>No Show</v>
      </c>
      <c r="M466">
        <f t="shared" si="22"/>
        <v>1</v>
      </c>
      <c r="N466" t="str">
        <f t="shared" si="23"/>
        <v>Wednesday</v>
      </c>
      <c r="O46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67" spans="1:15" x14ac:dyDescent="0.25">
      <c r="A467">
        <v>5465</v>
      </c>
      <c r="B467">
        <v>560</v>
      </c>
      <c r="C467">
        <v>1024</v>
      </c>
      <c r="D467" t="s">
        <v>16</v>
      </c>
      <c r="E467" s="1">
        <v>45615</v>
      </c>
      <c r="F467">
        <v>2403</v>
      </c>
      <c r="G467" t="s">
        <v>25</v>
      </c>
      <c r="H467" t="s">
        <v>11</v>
      </c>
      <c r="I467" t="s">
        <v>1928</v>
      </c>
      <c r="J467" t="str" cm="1">
        <f t="array" ref="J467">_xlfn.IFS(HOUR(I467)&lt;12,"Morning",HOUR(I467)&lt;17,"Afternoon",TRUE,"Evening")</f>
        <v>Morning</v>
      </c>
      <c r="K467" t="s">
        <v>12</v>
      </c>
      <c r="L467" t="str">
        <f t="shared" si="21"/>
        <v>Attended</v>
      </c>
      <c r="M467">
        <f t="shared" si="22"/>
        <v>0</v>
      </c>
      <c r="N467" t="str">
        <f t="shared" si="23"/>
        <v>Tuesday</v>
      </c>
      <c r="O46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68" spans="1:15" x14ac:dyDescent="0.25">
      <c r="A468">
        <v>5466</v>
      </c>
      <c r="B468">
        <v>264</v>
      </c>
      <c r="C468">
        <v>1024</v>
      </c>
      <c r="D468" t="s">
        <v>16</v>
      </c>
      <c r="E468" s="1">
        <v>45630</v>
      </c>
      <c r="F468">
        <v>1856</v>
      </c>
      <c r="G468" t="s">
        <v>10</v>
      </c>
      <c r="H468" t="s">
        <v>19</v>
      </c>
      <c r="I468" t="s">
        <v>1938</v>
      </c>
      <c r="J468" t="str" cm="1">
        <f t="array" ref="J468">_xlfn.IFS(HOUR(I468)&lt;12,"Morning",HOUR(I468)&lt;17,"Afternoon",TRUE,"Evening")</f>
        <v>Afternoon</v>
      </c>
      <c r="K468" t="s">
        <v>12</v>
      </c>
      <c r="L468" t="str">
        <f t="shared" si="21"/>
        <v>Attended</v>
      </c>
      <c r="M468">
        <f t="shared" si="22"/>
        <v>0</v>
      </c>
      <c r="N468" t="str">
        <f t="shared" si="23"/>
        <v>Wednesday</v>
      </c>
      <c r="O46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69" spans="1:15" x14ac:dyDescent="0.25">
      <c r="A469">
        <v>5467</v>
      </c>
      <c r="B469">
        <v>552</v>
      </c>
      <c r="C469">
        <v>1027</v>
      </c>
      <c r="D469" t="s">
        <v>9</v>
      </c>
      <c r="E469" s="1">
        <v>45688</v>
      </c>
      <c r="F469">
        <v>2029</v>
      </c>
      <c r="G469" t="s">
        <v>25</v>
      </c>
      <c r="H469" t="s">
        <v>11</v>
      </c>
      <c r="I469" t="s">
        <v>1930</v>
      </c>
      <c r="J469" t="str" cm="1">
        <f t="array" ref="J469">_xlfn.IFS(HOUR(I469)&lt;12,"Morning",HOUR(I469)&lt;17,"Afternoon",TRUE,"Evening")</f>
        <v>Morning</v>
      </c>
      <c r="K469" t="s">
        <v>12</v>
      </c>
      <c r="L469" t="str">
        <f t="shared" si="21"/>
        <v>Attended</v>
      </c>
      <c r="M469">
        <f t="shared" si="22"/>
        <v>0</v>
      </c>
      <c r="N469" t="str">
        <f t="shared" si="23"/>
        <v>Friday</v>
      </c>
      <c r="O46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70" spans="1:15" x14ac:dyDescent="0.25">
      <c r="A470">
        <v>5468</v>
      </c>
      <c r="B470">
        <v>1278</v>
      </c>
      <c r="C470">
        <v>1027</v>
      </c>
      <c r="D470" t="s">
        <v>24</v>
      </c>
      <c r="E470" s="1">
        <v>45811</v>
      </c>
      <c r="F470">
        <v>946</v>
      </c>
      <c r="G470" t="s">
        <v>17</v>
      </c>
      <c r="H470" t="s">
        <v>11</v>
      </c>
      <c r="I470" t="s">
        <v>1939</v>
      </c>
      <c r="J470" t="str" cm="1">
        <f t="array" ref="J470">_xlfn.IFS(HOUR(I470)&lt;12,"Morning",HOUR(I470)&lt;17,"Afternoon",TRUE,"Evening")</f>
        <v>Afternoon</v>
      </c>
      <c r="K470" t="s">
        <v>23</v>
      </c>
      <c r="L470" t="str">
        <f t="shared" si="21"/>
        <v>No Show</v>
      </c>
      <c r="M470">
        <f t="shared" si="22"/>
        <v>1</v>
      </c>
      <c r="N470" t="str">
        <f t="shared" si="23"/>
        <v>Tuesday</v>
      </c>
      <c r="O47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71" spans="1:15" x14ac:dyDescent="0.25">
      <c r="A471">
        <v>5469</v>
      </c>
      <c r="B471">
        <v>1128</v>
      </c>
      <c r="C471">
        <v>1020</v>
      </c>
      <c r="D471" t="s">
        <v>26</v>
      </c>
      <c r="E471" s="1">
        <v>45557</v>
      </c>
      <c r="F471">
        <v>1944</v>
      </c>
      <c r="G471" t="s">
        <v>17</v>
      </c>
      <c r="H471" t="s">
        <v>11</v>
      </c>
      <c r="I471" t="s">
        <v>1904</v>
      </c>
      <c r="J471" t="str" cm="1">
        <f t="array" ref="J471">_xlfn.IFS(HOUR(I471)&lt;12,"Morning",HOUR(I471)&lt;17,"Afternoon",TRUE,"Evening")</f>
        <v>Evening</v>
      </c>
      <c r="K471" t="s">
        <v>12</v>
      </c>
      <c r="L471" t="str">
        <f t="shared" si="21"/>
        <v>Attended</v>
      </c>
      <c r="M471">
        <f t="shared" si="22"/>
        <v>0</v>
      </c>
      <c r="N471" t="str">
        <f t="shared" si="23"/>
        <v>Sunday</v>
      </c>
      <c r="O47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72" spans="1:15" x14ac:dyDescent="0.25">
      <c r="A472">
        <v>5470</v>
      </c>
      <c r="B472">
        <v>768</v>
      </c>
      <c r="C472">
        <v>1027</v>
      </c>
      <c r="D472" t="s">
        <v>9</v>
      </c>
      <c r="E472" s="1">
        <v>45551</v>
      </c>
      <c r="F472">
        <v>1835</v>
      </c>
      <c r="G472" t="s">
        <v>10</v>
      </c>
      <c r="H472" t="s">
        <v>15</v>
      </c>
      <c r="I472" t="s">
        <v>1932</v>
      </c>
      <c r="J472" t="str" cm="1">
        <f t="array" ref="J472">_xlfn.IFS(HOUR(I472)&lt;12,"Morning",HOUR(I472)&lt;17,"Afternoon",TRUE,"Evening")</f>
        <v>Evening</v>
      </c>
      <c r="K472" t="s">
        <v>12</v>
      </c>
      <c r="L472" t="str">
        <f t="shared" si="21"/>
        <v>Attended</v>
      </c>
      <c r="M472">
        <f t="shared" si="22"/>
        <v>0</v>
      </c>
      <c r="N472" t="str">
        <f t="shared" si="23"/>
        <v>Monday</v>
      </c>
      <c r="O4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73" spans="1:15" x14ac:dyDescent="0.25">
      <c r="A473">
        <v>5471</v>
      </c>
      <c r="B473">
        <v>641</v>
      </c>
      <c r="C473">
        <v>1001</v>
      </c>
      <c r="D473" t="s">
        <v>22</v>
      </c>
      <c r="E473" s="1">
        <v>45683</v>
      </c>
      <c r="F473">
        <v>1084</v>
      </c>
      <c r="G473" t="s">
        <v>17</v>
      </c>
      <c r="H473" t="s">
        <v>19</v>
      </c>
      <c r="I473" t="s">
        <v>1937</v>
      </c>
      <c r="J473" t="str" cm="1">
        <f t="array" ref="J473">_xlfn.IFS(HOUR(I473)&lt;12,"Morning",HOUR(I473)&lt;17,"Afternoon",TRUE,"Evening")</f>
        <v>Morning</v>
      </c>
      <c r="K473" t="s">
        <v>12</v>
      </c>
      <c r="L473" t="str">
        <f t="shared" si="21"/>
        <v>Attended</v>
      </c>
      <c r="M473">
        <f t="shared" si="22"/>
        <v>0</v>
      </c>
      <c r="N473" t="str">
        <f t="shared" si="23"/>
        <v>Sunday</v>
      </c>
      <c r="O47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74" spans="1:15" x14ac:dyDescent="0.25">
      <c r="A474">
        <v>5472</v>
      </c>
      <c r="B474">
        <v>712</v>
      </c>
      <c r="C474">
        <v>1027</v>
      </c>
      <c r="D474" t="s">
        <v>21</v>
      </c>
      <c r="E474" s="1">
        <v>45617</v>
      </c>
      <c r="F474">
        <v>1476</v>
      </c>
      <c r="G474" t="s">
        <v>17</v>
      </c>
      <c r="H474" t="s">
        <v>19</v>
      </c>
      <c r="I474" t="s">
        <v>1937</v>
      </c>
      <c r="J474" t="str" cm="1">
        <f t="array" ref="J474">_xlfn.IFS(HOUR(I474)&lt;12,"Morning",HOUR(I474)&lt;17,"Afternoon",TRUE,"Evening")</f>
        <v>Morning</v>
      </c>
      <c r="K474" t="s">
        <v>12</v>
      </c>
      <c r="L474" t="str">
        <f t="shared" si="21"/>
        <v>Attended</v>
      </c>
      <c r="M474">
        <f t="shared" si="22"/>
        <v>0</v>
      </c>
      <c r="N474" t="str">
        <f t="shared" si="23"/>
        <v>Thursday</v>
      </c>
      <c r="O4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75" spans="1:15" x14ac:dyDescent="0.25">
      <c r="A475">
        <v>5473</v>
      </c>
      <c r="B475">
        <v>812</v>
      </c>
      <c r="C475">
        <v>1009</v>
      </c>
      <c r="D475" t="s">
        <v>13</v>
      </c>
      <c r="E475" s="1">
        <v>45619</v>
      </c>
      <c r="F475">
        <v>1939</v>
      </c>
      <c r="G475" t="s">
        <v>10</v>
      </c>
      <c r="H475" t="s">
        <v>19</v>
      </c>
      <c r="I475" t="s">
        <v>1916</v>
      </c>
      <c r="J475" t="str" cm="1">
        <f t="array" ref="J475">_xlfn.IFS(HOUR(I475)&lt;12,"Morning",HOUR(I475)&lt;17,"Afternoon",TRUE,"Evening")</f>
        <v>Afternoon</v>
      </c>
      <c r="K475" t="s">
        <v>12</v>
      </c>
      <c r="L475" t="str">
        <f t="shared" si="21"/>
        <v>Attended</v>
      </c>
      <c r="M475">
        <f t="shared" si="22"/>
        <v>0</v>
      </c>
      <c r="N475" t="str">
        <f t="shared" si="23"/>
        <v>Saturday</v>
      </c>
      <c r="O47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76" spans="1:15" x14ac:dyDescent="0.25">
      <c r="A476">
        <v>5474</v>
      </c>
      <c r="B476">
        <v>1585</v>
      </c>
      <c r="C476">
        <v>1020</v>
      </c>
      <c r="D476" t="s">
        <v>26</v>
      </c>
      <c r="E476" s="1">
        <v>45644</v>
      </c>
      <c r="F476">
        <v>2328</v>
      </c>
      <c r="G476" t="s">
        <v>10</v>
      </c>
      <c r="H476" t="s">
        <v>19</v>
      </c>
      <c r="I476" t="s">
        <v>1935</v>
      </c>
      <c r="J476" t="str" cm="1">
        <f t="array" ref="J476">_xlfn.IFS(HOUR(I476)&lt;12,"Morning",HOUR(I476)&lt;17,"Afternoon",TRUE,"Evening")</f>
        <v>Afternoon</v>
      </c>
      <c r="K476" t="s">
        <v>28</v>
      </c>
      <c r="L476" t="str">
        <f t="shared" si="21"/>
        <v>No Show</v>
      </c>
      <c r="M476">
        <f t="shared" si="22"/>
        <v>1</v>
      </c>
      <c r="N476" t="str">
        <f t="shared" si="23"/>
        <v>Wednesday</v>
      </c>
      <c r="O47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77" spans="1:15" x14ac:dyDescent="0.25">
      <c r="A477">
        <v>5475</v>
      </c>
      <c r="B477">
        <v>1419</v>
      </c>
      <c r="C477">
        <v>1024</v>
      </c>
      <c r="D477" t="s">
        <v>16</v>
      </c>
      <c r="E477" s="1">
        <v>45530</v>
      </c>
      <c r="F477">
        <v>2163</v>
      </c>
      <c r="G477" t="s">
        <v>25</v>
      </c>
      <c r="H477" t="s">
        <v>19</v>
      </c>
      <c r="I477" t="s">
        <v>1924</v>
      </c>
      <c r="J477" t="str" cm="1">
        <f t="array" ref="J477">_xlfn.IFS(HOUR(I477)&lt;12,"Morning",HOUR(I477)&lt;17,"Afternoon",TRUE,"Evening")</f>
        <v>Afternoon</v>
      </c>
      <c r="K477" t="s">
        <v>12</v>
      </c>
      <c r="L477" t="str">
        <f t="shared" si="21"/>
        <v>Attended</v>
      </c>
      <c r="M477">
        <f t="shared" si="22"/>
        <v>0</v>
      </c>
      <c r="N477" t="str">
        <f t="shared" si="23"/>
        <v>Monday</v>
      </c>
      <c r="O47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78" spans="1:15" x14ac:dyDescent="0.25">
      <c r="A478">
        <v>5476</v>
      </c>
      <c r="B478">
        <v>858</v>
      </c>
      <c r="C478">
        <v>1027</v>
      </c>
      <c r="D478" t="s">
        <v>9</v>
      </c>
      <c r="E478" s="1">
        <v>45597</v>
      </c>
      <c r="F478">
        <v>1054</v>
      </c>
      <c r="G478" t="s">
        <v>25</v>
      </c>
      <c r="H478" t="s">
        <v>15</v>
      </c>
      <c r="I478" t="s">
        <v>1940</v>
      </c>
      <c r="J478" t="str" cm="1">
        <f t="array" ref="J478">_xlfn.IFS(HOUR(I478)&lt;12,"Morning",HOUR(I478)&lt;17,"Afternoon",TRUE,"Evening")</f>
        <v>Morning</v>
      </c>
      <c r="K478" t="s">
        <v>12</v>
      </c>
      <c r="L478" t="str">
        <f t="shared" si="21"/>
        <v>Attended</v>
      </c>
      <c r="M478">
        <f t="shared" si="22"/>
        <v>0</v>
      </c>
      <c r="N478" t="str">
        <f t="shared" si="23"/>
        <v>Friday</v>
      </c>
      <c r="O47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79" spans="1:15" x14ac:dyDescent="0.25">
      <c r="A479">
        <v>5477</v>
      </c>
      <c r="B479">
        <v>512</v>
      </c>
      <c r="C479">
        <v>1027</v>
      </c>
      <c r="D479" t="s">
        <v>24</v>
      </c>
      <c r="E479" s="1">
        <v>45528</v>
      </c>
      <c r="F479">
        <v>903</v>
      </c>
      <c r="G479" t="s">
        <v>10</v>
      </c>
      <c r="H479" t="s">
        <v>19</v>
      </c>
      <c r="I479" t="s">
        <v>1911</v>
      </c>
      <c r="J479" t="str" cm="1">
        <f t="array" ref="J479">_xlfn.IFS(HOUR(I479)&lt;12,"Morning",HOUR(I479)&lt;17,"Afternoon",TRUE,"Evening")</f>
        <v>Morning</v>
      </c>
      <c r="K479" t="s">
        <v>12</v>
      </c>
      <c r="L479" t="str">
        <f t="shared" si="21"/>
        <v>Attended</v>
      </c>
      <c r="M479">
        <f t="shared" si="22"/>
        <v>0</v>
      </c>
      <c r="N479" t="str">
        <f t="shared" si="23"/>
        <v>Saturday</v>
      </c>
      <c r="O47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80" spans="1:15" x14ac:dyDescent="0.25">
      <c r="A480">
        <v>5478</v>
      </c>
      <c r="B480">
        <v>1010</v>
      </c>
      <c r="C480">
        <v>1027</v>
      </c>
      <c r="D480" t="s">
        <v>24</v>
      </c>
      <c r="E480" s="1">
        <v>45809</v>
      </c>
      <c r="F480">
        <v>2114</v>
      </c>
      <c r="G480" t="s">
        <v>14</v>
      </c>
      <c r="H480" t="s">
        <v>11</v>
      </c>
      <c r="I480" t="s">
        <v>1941</v>
      </c>
      <c r="J480" t="str" cm="1">
        <f t="array" ref="J480">_xlfn.IFS(HOUR(I480)&lt;12,"Morning",HOUR(I480)&lt;17,"Afternoon",TRUE,"Evening")</f>
        <v>Morning</v>
      </c>
      <c r="K480" t="s">
        <v>23</v>
      </c>
      <c r="L480" t="str">
        <f t="shared" si="21"/>
        <v>No Show</v>
      </c>
      <c r="M480">
        <f t="shared" si="22"/>
        <v>1</v>
      </c>
      <c r="N480" t="str">
        <f t="shared" si="23"/>
        <v>Sunday</v>
      </c>
      <c r="O48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81" spans="1:15" x14ac:dyDescent="0.25">
      <c r="A481">
        <v>5479</v>
      </c>
      <c r="B481">
        <v>1127</v>
      </c>
      <c r="C481">
        <v>1002</v>
      </c>
      <c r="D481" t="s">
        <v>18</v>
      </c>
      <c r="E481" s="1">
        <v>45793</v>
      </c>
      <c r="F481">
        <v>1630</v>
      </c>
      <c r="G481" t="s">
        <v>14</v>
      </c>
      <c r="H481" t="s">
        <v>19</v>
      </c>
      <c r="I481" t="s">
        <v>1923</v>
      </c>
      <c r="J481" t="str" cm="1">
        <f t="array" ref="J481">_xlfn.IFS(HOUR(I481)&lt;12,"Morning",HOUR(I481)&lt;17,"Afternoon",TRUE,"Evening")</f>
        <v>Evening</v>
      </c>
      <c r="K481" t="s">
        <v>12</v>
      </c>
      <c r="L481" t="str">
        <f t="shared" si="21"/>
        <v>Attended</v>
      </c>
      <c r="M481">
        <f t="shared" si="22"/>
        <v>0</v>
      </c>
      <c r="N481" t="str">
        <f t="shared" si="23"/>
        <v>Friday</v>
      </c>
      <c r="O4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82" spans="1:15" x14ac:dyDescent="0.25">
      <c r="A482">
        <v>5480</v>
      </c>
      <c r="B482">
        <v>272</v>
      </c>
      <c r="C482">
        <v>1004</v>
      </c>
      <c r="D482" t="s">
        <v>18</v>
      </c>
      <c r="E482" s="1">
        <v>45713</v>
      </c>
      <c r="F482">
        <v>2232</v>
      </c>
      <c r="G482" t="s">
        <v>10</v>
      </c>
      <c r="H482" t="s">
        <v>11</v>
      </c>
      <c r="I482" t="s">
        <v>1927</v>
      </c>
      <c r="J482" t="str" cm="1">
        <f t="array" ref="J482">_xlfn.IFS(HOUR(I482)&lt;12,"Morning",HOUR(I482)&lt;17,"Afternoon",TRUE,"Evening")</f>
        <v>Afternoon</v>
      </c>
      <c r="K482" t="s">
        <v>12</v>
      </c>
      <c r="L482" t="str">
        <f t="shared" si="21"/>
        <v>Attended</v>
      </c>
      <c r="M482">
        <f t="shared" si="22"/>
        <v>0</v>
      </c>
      <c r="N482" t="str">
        <f t="shared" si="23"/>
        <v>Tuesday</v>
      </c>
      <c r="O4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83" spans="1:15" x14ac:dyDescent="0.25">
      <c r="A483">
        <v>5481</v>
      </c>
      <c r="B483">
        <v>334</v>
      </c>
      <c r="C483">
        <v>1027</v>
      </c>
      <c r="D483" t="s">
        <v>27</v>
      </c>
      <c r="E483" s="1">
        <v>45813</v>
      </c>
      <c r="F483">
        <v>1453</v>
      </c>
      <c r="G483" t="s">
        <v>17</v>
      </c>
      <c r="H483" t="s">
        <v>11</v>
      </c>
      <c r="I483" t="s">
        <v>1942</v>
      </c>
      <c r="J483" t="str" cm="1">
        <f t="array" ref="J483">_xlfn.IFS(HOUR(I483)&lt;12,"Morning",HOUR(I483)&lt;17,"Afternoon",TRUE,"Evening")</f>
        <v>Evening</v>
      </c>
      <c r="K483" t="s">
        <v>23</v>
      </c>
      <c r="L483" t="str">
        <f t="shared" si="21"/>
        <v>No Show</v>
      </c>
      <c r="M483">
        <f t="shared" si="22"/>
        <v>1</v>
      </c>
      <c r="N483" t="str">
        <f t="shared" si="23"/>
        <v>Thursday</v>
      </c>
      <c r="O48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84" spans="1:15" x14ac:dyDescent="0.25">
      <c r="A484">
        <v>5482</v>
      </c>
      <c r="B484">
        <v>198</v>
      </c>
      <c r="C484">
        <v>1027</v>
      </c>
      <c r="D484" t="s">
        <v>24</v>
      </c>
      <c r="E484" s="1">
        <v>45640</v>
      </c>
      <c r="F484">
        <v>1092</v>
      </c>
      <c r="G484" t="s">
        <v>10</v>
      </c>
      <c r="H484" t="s">
        <v>19</v>
      </c>
      <c r="I484" t="s">
        <v>1935</v>
      </c>
      <c r="J484" t="str" cm="1">
        <f t="array" ref="J484">_xlfn.IFS(HOUR(I484)&lt;12,"Morning",HOUR(I484)&lt;17,"Afternoon",TRUE,"Evening")</f>
        <v>Afternoon</v>
      </c>
      <c r="K484" t="s">
        <v>12</v>
      </c>
      <c r="L484" t="str">
        <f t="shared" si="21"/>
        <v>Attended</v>
      </c>
      <c r="M484">
        <f t="shared" si="22"/>
        <v>0</v>
      </c>
      <c r="N484" t="str">
        <f t="shared" si="23"/>
        <v>Saturday</v>
      </c>
      <c r="O48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85" spans="1:15" x14ac:dyDescent="0.25">
      <c r="A485">
        <v>5483</v>
      </c>
      <c r="B485">
        <v>500</v>
      </c>
      <c r="C485">
        <v>1008</v>
      </c>
      <c r="D485" t="s">
        <v>13</v>
      </c>
      <c r="E485" s="1">
        <v>45559</v>
      </c>
      <c r="F485">
        <v>2155</v>
      </c>
      <c r="G485" t="s">
        <v>10</v>
      </c>
      <c r="H485" t="s">
        <v>15</v>
      </c>
      <c r="I485" t="s">
        <v>1924</v>
      </c>
      <c r="J485" t="str" cm="1">
        <f t="array" ref="J485">_xlfn.IFS(HOUR(I485)&lt;12,"Morning",HOUR(I485)&lt;17,"Afternoon",TRUE,"Evening")</f>
        <v>Afternoon</v>
      </c>
      <c r="K485" t="s">
        <v>12</v>
      </c>
      <c r="L485" t="str">
        <f t="shared" si="21"/>
        <v>Attended</v>
      </c>
      <c r="M485">
        <f t="shared" si="22"/>
        <v>0</v>
      </c>
      <c r="N485" t="str">
        <f t="shared" si="23"/>
        <v>Tuesday</v>
      </c>
      <c r="O48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86" spans="1:15" x14ac:dyDescent="0.25">
      <c r="A486">
        <v>5484</v>
      </c>
      <c r="B486">
        <v>1234</v>
      </c>
      <c r="C486">
        <v>1027</v>
      </c>
      <c r="D486" t="s">
        <v>21</v>
      </c>
      <c r="E486" s="1">
        <v>45692</v>
      </c>
      <c r="F486">
        <v>829</v>
      </c>
      <c r="G486" t="s">
        <v>10</v>
      </c>
      <c r="H486" t="s">
        <v>11</v>
      </c>
      <c r="I486" t="s">
        <v>1910</v>
      </c>
      <c r="J486" t="str" cm="1">
        <f t="array" ref="J486">_xlfn.IFS(HOUR(I486)&lt;12,"Morning",HOUR(I486)&lt;17,"Afternoon",TRUE,"Evening")</f>
        <v>Evening</v>
      </c>
      <c r="K486" t="s">
        <v>20</v>
      </c>
      <c r="L486" t="str">
        <f t="shared" si="21"/>
        <v>No Show</v>
      </c>
      <c r="M486">
        <f t="shared" si="22"/>
        <v>1</v>
      </c>
      <c r="N486" t="str">
        <f t="shared" si="23"/>
        <v>Tuesday</v>
      </c>
      <c r="O48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87" spans="1:15" x14ac:dyDescent="0.25">
      <c r="A487">
        <v>5485</v>
      </c>
      <c r="B487">
        <v>320</v>
      </c>
      <c r="C487">
        <v>1027</v>
      </c>
      <c r="D487" t="s">
        <v>9</v>
      </c>
      <c r="E487" s="1">
        <v>45659</v>
      </c>
      <c r="F487">
        <v>2313</v>
      </c>
      <c r="G487" t="s">
        <v>14</v>
      </c>
      <c r="H487" t="s">
        <v>11</v>
      </c>
      <c r="I487" t="s">
        <v>1940</v>
      </c>
      <c r="J487" t="str" cm="1">
        <f t="array" ref="J487">_xlfn.IFS(HOUR(I487)&lt;12,"Morning",HOUR(I487)&lt;17,"Afternoon",TRUE,"Evening")</f>
        <v>Morning</v>
      </c>
      <c r="K487" t="s">
        <v>28</v>
      </c>
      <c r="L487" t="str">
        <f t="shared" si="21"/>
        <v>No Show</v>
      </c>
      <c r="M487">
        <f t="shared" si="22"/>
        <v>1</v>
      </c>
      <c r="N487" t="str">
        <f t="shared" si="23"/>
        <v>Thursday</v>
      </c>
      <c r="O48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88" spans="1:15" x14ac:dyDescent="0.25">
      <c r="A488">
        <v>5486</v>
      </c>
      <c r="B488">
        <v>723</v>
      </c>
      <c r="C488">
        <v>1020</v>
      </c>
      <c r="D488" t="s">
        <v>26</v>
      </c>
      <c r="E488" s="1">
        <v>45835</v>
      </c>
      <c r="F488">
        <v>1216</v>
      </c>
      <c r="G488" t="s">
        <v>14</v>
      </c>
      <c r="H488" t="s">
        <v>15</v>
      </c>
      <c r="I488" t="s">
        <v>1916</v>
      </c>
      <c r="J488" t="str" cm="1">
        <f t="array" ref="J488">_xlfn.IFS(HOUR(I488)&lt;12,"Morning",HOUR(I488)&lt;17,"Afternoon",TRUE,"Evening")</f>
        <v>Afternoon</v>
      </c>
      <c r="K488" t="s">
        <v>23</v>
      </c>
      <c r="L488" t="str">
        <f t="shared" si="21"/>
        <v>No Show</v>
      </c>
      <c r="M488">
        <f t="shared" si="22"/>
        <v>1</v>
      </c>
      <c r="N488" t="str">
        <f t="shared" si="23"/>
        <v>Friday</v>
      </c>
      <c r="O48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89" spans="1:15" x14ac:dyDescent="0.25">
      <c r="A489">
        <v>5487</v>
      </c>
      <c r="B489">
        <v>1310</v>
      </c>
      <c r="C489">
        <v>1027</v>
      </c>
      <c r="D489" t="s">
        <v>24</v>
      </c>
      <c r="E489" s="1">
        <v>45543</v>
      </c>
      <c r="F489">
        <v>2199</v>
      </c>
      <c r="G489" t="s">
        <v>10</v>
      </c>
      <c r="H489" t="s">
        <v>15</v>
      </c>
      <c r="I489" t="s">
        <v>1914</v>
      </c>
      <c r="J489" t="str" cm="1">
        <f t="array" ref="J489">_xlfn.IFS(HOUR(I489)&lt;12,"Morning",HOUR(I489)&lt;17,"Afternoon",TRUE,"Evening")</f>
        <v>Afternoon</v>
      </c>
      <c r="K489" t="s">
        <v>12</v>
      </c>
      <c r="L489" t="str">
        <f t="shared" si="21"/>
        <v>Attended</v>
      </c>
      <c r="M489">
        <f t="shared" si="22"/>
        <v>0</v>
      </c>
      <c r="N489" t="str">
        <f t="shared" si="23"/>
        <v>Sunday</v>
      </c>
      <c r="O48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90" spans="1:15" x14ac:dyDescent="0.25">
      <c r="A490">
        <v>5488</v>
      </c>
      <c r="B490">
        <v>1493</v>
      </c>
      <c r="C490">
        <v>1001</v>
      </c>
      <c r="D490" t="s">
        <v>22</v>
      </c>
      <c r="E490" s="1">
        <v>45484</v>
      </c>
      <c r="F490">
        <v>2244</v>
      </c>
      <c r="G490" t="s">
        <v>17</v>
      </c>
      <c r="H490" t="s">
        <v>15</v>
      </c>
      <c r="I490" t="s">
        <v>1940</v>
      </c>
      <c r="J490" t="str" cm="1">
        <f t="array" ref="J490">_xlfn.IFS(HOUR(I490)&lt;12,"Morning",HOUR(I490)&lt;17,"Afternoon",TRUE,"Evening")</f>
        <v>Morning</v>
      </c>
      <c r="K490" t="s">
        <v>12</v>
      </c>
      <c r="L490" t="str">
        <f t="shared" si="21"/>
        <v>Attended</v>
      </c>
      <c r="M490">
        <f t="shared" si="22"/>
        <v>0</v>
      </c>
      <c r="N490" t="str">
        <f t="shared" si="23"/>
        <v>Thursday</v>
      </c>
      <c r="O49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91" spans="1:15" x14ac:dyDescent="0.25">
      <c r="A491">
        <v>5489</v>
      </c>
      <c r="B491">
        <v>633</v>
      </c>
      <c r="C491">
        <v>1027</v>
      </c>
      <c r="D491" t="s">
        <v>21</v>
      </c>
      <c r="E491" s="1">
        <v>45656</v>
      </c>
      <c r="F491">
        <v>1714</v>
      </c>
      <c r="G491" t="s">
        <v>14</v>
      </c>
      <c r="H491" t="s">
        <v>11</v>
      </c>
      <c r="I491" t="s">
        <v>1913</v>
      </c>
      <c r="J491" t="str" cm="1">
        <f t="array" ref="J491">_xlfn.IFS(HOUR(I491)&lt;12,"Morning",HOUR(I491)&lt;17,"Afternoon",TRUE,"Evening")</f>
        <v>Morning</v>
      </c>
      <c r="K491" t="s">
        <v>12</v>
      </c>
      <c r="L491" t="str">
        <f t="shared" si="21"/>
        <v>Attended</v>
      </c>
      <c r="M491">
        <f t="shared" si="22"/>
        <v>0</v>
      </c>
      <c r="N491" t="str">
        <f t="shared" si="23"/>
        <v>Monday</v>
      </c>
      <c r="O49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92" spans="1:15" x14ac:dyDescent="0.25">
      <c r="A492">
        <v>5490</v>
      </c>
      <c r="B492">
        <v>1391</v>
      </c>
      <c r="C492">
        <v>1027</v>
      </c>
      <c r="D492" t="s">
        <v>22</v>
      </c>
      <c r="E492" s="1">
        <v>45790</v>
      </c>
      <c r="F492">
        <v>1785</v>
      </c>
      <c r="G492" t="s">
        <v>25</v>
      </c>
      <c r="H492" t="s">
        <v>19</v>
      </c>
      <c r="I492" t="s">
        <v>1919</v>
      </c>
      <c r="J492" t="str" cm="1">
        <f t="array" ref="J492">_xlfn.IFS(HOUR(I492)&lt;12,"Morning",HOUR(I492)&lt;17,"Afternoon",TRUE,"Evening")</f>
        <v>Evening</v>
      </c>
      <c r="K492" t="s">
        <v>20</v>
      </c>
      <c r="L492" t="str">
        <f t="shared" si="21"/>
        <v>No Show</v>
      </c>
      <c r="M492">
        <f t="shared" si="22"/>
        <v>1</v>
      </c>
      <c r="N492" t="str">
        <f t="shared" si="23"/>
        <v>Tuesday</v>
      </c>
      <c r="O49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93" spans="1:15" x14ac:dyDescent="0.25">
      <c r="A493">
        <v>5491</v>
      </c>
      <c r="B493">
        <v>1114</v>
      </c>
      <c r="C493">
        <v>1024</v>
      </c>
      <c r="D493" t="s">
        <v>16</v>
      </c>
      <c r="E493" s="1">
        <v>45586</v>
      </c>
      <c r="F493">
        <v>900</v>
      </c>
      <c r="G493" t="s">
        <v>17</v>
      </c>
      <c r="H493" t="s">
        <v>11</v>
      </c>
      <c r="I493" t="s">
        <v>1913</v>
      </c>
      <c r="J493" t="str" cm="1">
        <f t="array" ref="J493">_xlfn.IFS(HOUR(I493)&lt;12,"Morning",HOUR(I493)&lt;17,"Afternoon",TRUE,"Evening")</f>
        <v>Morning</v>
      </c>
      <c r="K493" t="s">
        <v>12</v>
      </c>
      <c r="L493" t="str">
        <f t="shared" si="21"/>
        <v>Attended</v>
      </c>
      <c r="M493">
        <f t="shared" si="22"/>
        <v>0</v>
      </c>
      <c r="N493" t="str">
        <f t="shared" si="23"/>
        <v>Monday</v>
      </c>
      <c r="O4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94" spans="1:15" x14ac:dyDescent="0.25">
      <c r="A494">
        <v>5492</v>
      </c>
      <c r="B494">
        <v>762</v>
      </c>
      <c r="C494">
        <v>1027</v>
      </c>
      <c r="D494" t="s">
        <v>27</v>
      </c>
      <c r="E494" s="1">
        <v>45682</v>
      </c>
      <c r="F494">
        <v>1165</v>
      </c>
      <c r="G494" t="s">
        <v>10</v>
      </c>
      <c r="H494" t="s">
        <v>15</v>
      </c>
      <c r="I494" t="s">
        <v>1926</v>
      </c>
      <c r="J494" t="str" cm="1">
        <f t="array" ref="J494">_xlfn.IFS(HOUR(I494)&lt;12,"Morning",HOUR(I494)&lt;17,"Afternoon",TRUE,"Evening")</f>
        <v>Afternoon</v>
      </c>
      <c r="K494" t="s">
        <v>12</v>
      </c>
      <c r="L494" t="str">
        <f t="shared" si="21"/>
        <v>Attended</v>
      </c>
      <c r="M494">
        <f t="shared" si="22"/>
        <v>0</v>
      </c>
      <c r="N494" t="str">
        <f t="shared" si="23"/>
        <v>Saturday</v>
      </c>
      <c r="O49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95" spans="1:15" x14ac:dyDescent="0.25">
      <c r="A495">
        <v>5493</v>
      </c>
      <c r="B495">
        <v>318</v>
      </c>
      <c r="C495">
        <v>1027</v>
      </c>
      <c r="D495" t="s">
        <v>27</v>
      </c>
      <c r="E495" s="1">
        <v>45832</v>
      </c>
      <c r="F495">
        <v>1499</v>
      </c>
      <c r="G495" t="s">
        <v>14</v>
      </c>
      <c r="H495" t="s">
        <v>15</v>
      </c>
      <c r="I495" t="s">
        <v>1907</v>
      </c>
      <c r="J495" t="str" cm="1">
        <f t="array" ref="J495">_xlfn.IFS(HOUR(I495)&lt;12,"Morning",HOUR(I495)&lt;17,"Afternoon",TRUE,"Evening")</f>
        <v>Afternoon</v>
      </c>
      <c r="K495" t="s">
        <v>23</v>
      </c>
      <c r="L495" t="str">
        <f t="shared" si="21"/>
        <v>No Show</v>
      </c>
      <c r="M495">
        <f t="shared" si="22"/>
        <v>1</v>
      </c>
      <c r="N495" t="str">
        <f t="shared" si="23"/>
        <v>Tuesday</v>
      </c>
      <c r="O49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96" spans="1:15" x14ac:dyDescent="0.25">
      <c r="A496">
        <v>5494</v>
      </c>
      <c r="B496">
        <v>192</v>
      </c>
      <c r="C496">
        <v>1027</v>
      </c>
      <c r="D496" t="s">
        <v>22</v>
      </c>
      <c r="E496" s="1">
        <v>45601</v>
      </c>
      <c r="F496">
        <v>2169</v>
      </c>
      <c r="G496" t="s">
        <v>14</v>
      </c>
      <c r="H496" t="s">
        <v>19</v>
      </c>
      <c r="I496" t="s">
        <v>1913</v>
      </c>
      <c r="J496" t="str" cm="1">
        <f t="array" ref="J496">_xlfn.IFS(HOUR(I496)&lt;12,"Morning",HOUR(I496)&lt;17,"Afternoon",TRUE,"Evening")</f>
        <v>Morning</v>
      </c>
      <c r="K496" t="s">
        <v>20</v>
      </c>
      <c r="L496" t="str">
        <f t="shared" si="21"/>
        <v>No Show</v>
      </c>
      <c r="M496">
        <f t="shared" si="22"/>
        <v>1</v>
      </c>
      <c r="N496" t="str">
        <f t="shared" si="23"/>
        <v>Tuesday</v>
      </c>
      <c r="O49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97" spans="1:15" x14ac:dyDescent="0.25">
      <c r="A497">
        <v>5495</v>
      </c>
      <c r="B497">
        <v>442</v>
      </c>
      <c r="C497">
        <v>1024</v>
      </c>
      <c r="D497" t="s">
        <v>16</v>
      </c>
      <c r="E497" s="1">
        <v>45715</v>
      </c>
      <c r="F497">
        <v>1872</v>
      </c>
      <c r="G497" t="s">
        <v>25</v>
      </c>
      <c r="H497" t="s">
        <v>15</v>
      </c>
      <c r="I497" t="s">
        <v>1921</v>
      </c>
      <c r="J497" t="str" cm="1">
        <f t="array" ref="J497">_xlfn.IFS(HOUR(I497)&lt;12,"Morning",HOUR(I497)&lt;17,"Afternoon",TRUE,"Evening")</f>
        <v>Afternoon</v>
      </c>
      <c r="K497" t="s">
        <v>28</v>
      </c>
      <c r="L497" t="str">
        <f t="shared" si="21"/>
        <v>No Show</v>
      </c>
      <c r="M497">
        <f t="shared" si="22"/>
        <v>1</v>
      </c>
      <c r="N497" t="str">
        <f t="shared" si="23"/>
        <v>Thursday</v>
      </c>
      <c r="O49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498" spans="1:15" x14ac:dyDescent="0.25">
      <c r="A498">
        <v>5496</v>
      </c>
      <c r="B498">
        <v>196</v>
      </c>
      <c r="C498">
        <v>1008</v>
      </c>
      <c r="D498" t="s">
        <v>13</v>
      </c>
      <c r="E498" s="1">
        <v>45760</v>
      </c>
      <c r="F498">
        <v>2174</v>
      </c>
      <c r="G498" t="s">
        <v>17</v>
      </c>
      <c r="H498" t="s">
        <v>15</v>
      </c>
      <c r="I498" t="s">
        <v>1943</v>
      </c>
      <c r="J498" t="str" cm="1">
        <f t="array" ref="J498">_xlfn.IFS(HOUR(I498)&lt;12,"Morning",HOUR(I498)&lt;17,"Afternoon",TRUE,"Evening")</f>
        <v>Afternoon</v>
      </c>
      <c r="K498" t="s">
        <v>12</v>
      </c>
      <c r="L498" t="str">
        <f t="shared" si="21"/>
        <v>Attended</v>
      </c>
      <c r="M498">
        <f t="shared" si="22"/>
        <v>0</v>
      </c>
      <c r="N498" t="str">
        <f t="shared" si="23"/>
        <v>Sunday</v>
      </c>
      <c r="O49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499" spans="1:15" x14ac:dyDescent="0.25">
      <c r="A499">
        <v>5497</v>
      </c>
      <c r="B499">
        <v>788</v>
      </c>
      <c r="C499">
        <v>1027</v>
      </c>
      <c r="D499" t="s">
        <v>22</v>
      </c>
      <c r="E499" s="1">
        <v>45797</v>
      </c>
      <c r="F499">
        <v>2123</v>
      </c>
      <c r="G499" t="s">
        <v>17</v>
      </c>
      <c r="H499" t="s">
        <v>15</v>
      </c>
      <c r="I499" t="s">
        <v>1916</v>
      </c>
      <c r="J499" t="str" cm="1">
        <f t="array" ref="J499">_xlfn.IFS(HOUR(I499)&lt;12,"Morning",HOUR(I499)&lt;17,"Afternoon",TRUE,"Evening")</f>
        <v>Afternoon</v>
      </c>
      <c r="K499" t="s">
        <v>12</v>
      </c>
      <c r="L499" t="str">
        <f t="shared" si="21"/>
        <v>Attended</v>
      </c>
      <c r="M499">
        <f t="shared" si="22"/>
        <v>0</v>
      </c>
      <c r="N499" t="str">
        <f t="shared" si="23"/>
        <v>Tuesday</v>
      </c>
      <c r="O49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00" spans="1:15" x14ac:dyDescent="0.25">
      <c r="A500">
        <v>5498</v>
      </c>
      <c r="B500">
        <v>613</v>
      </c>
      <c r="C500">
        <v>1027</v>
      </c>
      <c r="D500" t="s">
        <v>24</v>
      </c>
      <c r="E500" s="1">
        <v>45541</v>
      </c>
      <c r="F500">
        <v>1059</v>
      </c>
      <c r="G500" t="s">
        <v>25</v>
      </c>
      <c r="H500" t="s">
        <v>19</v>
      </c>
      <c r="I500" t="s">
        <v>1905</v>
      </c>
      <c r="J500" t="str" cm="1">
        <f t="array" ref="J500">_xlfn.IFS(HOUR(I500)&lt;12,"Morning",HOUR(I500)&lt;17,"Afternoon",TRUE,"Evening")</f>
        <v>Morning</v>
      </c>
      <c r="K500" t="s">
        <v>12</v>
      </c>
      <c r="L500" t="str">
        <f t="shared" si="21"/>
        <v>Attended</v>
      </c>
      <c r="M500">
        <f t="shared" si="22"/>
        <v>0</v>
      </c>
      <c r="N500" t="str">
        <f t="shared" si="23"/>
        <v>Friday</v>
      </c>
      <c r="O50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01" spans="1:15" x14ac:dyDescent="0.25">
      <c r="A501">
        <v>5499</v>
      </c>
      <c r="B501">
        <v>768</v>
      </c>
      <c r="C501">
        <v>1027</v>
      </c>
      <c r="D501" t="s">
        <v>9</v>
      </c>
      <c r="E501" s="1">
        <v>45640</v>
      </c>
      <c r="F501">
        <v>2251</v>
      </c>
      <c r="G501" t="s">
        <v>25</v>
      </c>
      <c r="H501" t="s">
        <v>11</v>
      </c>
      <c r="I501" t="s">
        <v>1914</v>
      </c>
      <c r="J501" t="str" cm="1">
        <f t="array" ref="J501">_xlfn.IFS(HOUR(I501)&lt;12,"Morning",HOUR(I501)&lt;17,"Afternoon",TRUE,"Evening")</f>
        <v>Afternoon</v>
      </c>
      <c r="K501" t="s">
        <v>12</v>
      </c>
      <c r="L501" t="str">
        <f t="shared" si="21"/>
        <v>Attended</v>
      </c>
      <c r="M501">
        <f t="shared" si="22"/>
        <v>0</v>
      </c>
      <c r="N501" t="str">
        <f t="shared" si="23"/>
        <v>Saturday</v>
      </c>
      <c r="O50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02" spans="1:15" x14ac:dyDescent="0.25">
      <c r="A502">
        <v>5500</v>
      </c>
      <c r="B502">
        <v>1564</v>
      </c>
      <c r="C502">
        <v>1020</v>
      </c>
      <c r="D502" t="s">
        <v>26</v>
      </c>
      <c r="E502" s="1">
        <v>45715</v>
      </c>
      <c r="F502">
        <v>2445</v>
      </c>
      <c r="G502" t="s">
        <v>10</v>
      </c>
      <c r="H502" t="s">
        <v>15</v>
      </c>
      <c r="I502" t="s">
        <v>1913</v>
      </c>
      <c r="J502" t="str" cm="1">
        <f t="array" ref="J502">_xlfn.IFS(HOUR(I502)&lt;12,"Morning",HOUR(I502)&lt;17,"Afternoon",TRUE,"Evening")</f>
        <v>Morning</v>
      </c>
      <c r="K502" t="s">
        <v>12</v>
      </c>
      <c r="L502" t="str">
        <f t="shared" si="21"/>
        <v>Attended</v>
      </c>
      <c r="M502">
        <f t="shared" si="22"/>
        <v>0</v>
      </c>
      <c r="N502" t="str">
        <f t="shared" si="23"/>
        <v>Thursday</v>
      </c>
      <c r="O50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03" spans="1:15" x14ac:dyDescent="0.25">
      <c r="A503">
        <v>5501</v>
      </c>
      <c r="B503">
        <v>188</v>
      </c>
      <c r="C503">
        <v>1020</v>
      </c>
      <c r="D503" t="s">
        <v>26</v>
      </c>
      <c r="E503" s="1">
        <v>45779</v>
      </c>
      <c r="F503">
        <v>1123</v>
      </c>
      <c r="G503" t="s">
        <v>17</v>
      </c>
      <c r="H503" t="s">
        <v>11</v>
      </c>
      <c r="I503" t="s">
        <v>1925</v>
      </c>
      <c r="J503" t="str" cm="1">
        <f t="array" ref="J503">_xlfn.IFS(HOUR(I503)&lt;12,"Morning",HOUR(I503)&lt;17,"Afternoon",TRUE,"Evening")</f>
        <v>Afternoon</v>
      </c>
      <c r="K503" t="s">
        <v>28</v>
      </c>
      <c r="L503" t="str">
        <f t="shared" si="21"/>
        <v>No Show</v>
      </c>
      <c r="M503">
        <f t="shared" si="22"/>
        <v>1</v>
      </c>
      <c r="N503" t="str">
        <f t="shared" si="23"/>
        <v>Friday</v>
      </c>
      <c r="O50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04" spans="1:15" x14ac:dyDescent="0.25">
      <c r="A504">
        <v>5502</v>
      </c>
      <c r="B504">
        <v>104</v>
      </c>
      <c r="C504">
        <v>1001</v>
      </c>
      <c r="D504" t="s">
        <v>22</v>
      </c>
      <c r="E504" s="1">
        <v>45731</v>
      </c>
      <c r="F504">
        <v>2251</v>
      </c>
      <c r="G504" t="s">
        <v>17</v>
      </c>
      <c r="H504" t="s">
        <v>11</v>
      </c>
      <c r="I504" t="s">
        <v>1910</v>
      </c>
      <c r="J504" t="str" cm="1">
        <f t="array" ref="J504">_xlfn.IFS(HOUR(I504)&lt;12,"Morning",HOUR(I504)&lt;17,"Afternoon",TRUE,"Evening")</f>
        <v>Evening</v>
      </c>
      <c r="K504" t="s">
        <v>12</v>
      </c>
      <c r="L504" t="str">
        <f t="shared" si="21"/>
        <v>Attended</v>
      </c>
      <c r="M504">
        <f t="shared" si="22"/>
        <v>0</v>
      </c>
      <c r="N504" t="str">
        <f t="shared" si="23"/>
        <v>Saturday</v>
      </c>
      <c r="O50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05" spans="1:15" x14ac:dyDescent="0.25">
      <c r="A505">
        <v>5503</v>
      </c>
      <c r="B505">
        <v>607</v>
      </c>
      <c r="C505">
        <v>1024</v>
      </c>
      <c r="D505" t="s">
        <v>16</v>
      </c>
      <c r="E505" s="1">
        <v>45543</v>
      </c>
      <c r="F505">
        <v>1520</v>
      </c>
      <c r="G505" t="s">
        <v>25</v>
      </c>
      <c r="H505" t="s">
        <v>19</v>
      </c>
      <c r="I505" t="s">
        <v>1924</v>
      </c>
      <c r="J505" t="str" cm="1">
        <f t="array" ref="J505">_xlfn.IFS(HOUR(I505)&lt;12,"Morning",HOUR(I505)&lt;17,"Afternoon",TRUE,"Evening")</f>
        <v>Afternoon</v>
      </c>
      <c r="K505" t="s">
        <v>12</v>
      </c>
      <c r="L505" t="str">
        <f t="shared" si="21"/>
        <v>Attended</v>
      </c>
      <c r="M505">
        <f t="shared" si="22"/>
        <v>0</v>
      </c>
      <c r="N505" t="str">
        <f t="shared" si="23"/>
        <v>Sunday</v>
      </c>
      <c r="O50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06" spans="1:15" x14ac:dyDescent="0.25">
      <c r="A506">
        <v>5504</v>
      </c>
      <c r="B506">
        <v>322</v>
      </c>
      <c r="C506">
        <v>1001</v>
      </c>
      <c r="D506" t="s">
        <v>22</v>
      </c>
      <c r="E506" s="1">
        <v>45568</v>
      </c>
      <c r="F506">
        <v>2443</v>
      </c>
      <c r="G506" t="s">
        <v>10</v>
      </c>
      <c r="H506" t="s">
        <v>15</v>
      </c>
      <c r="I506" t="s">
        <v>1930</v>
      </c>
      <c r="J506" t="str" cm="1">
        <f t="array" ref="J506">_xlfn.IFS(HOUR(I506)&lt;12,"Morning",HOUR(I506)&lt;17,"Afternoon",TRUE,"Evening")</f>
        <v>Morning</v>
      </c>
      <c r="K506" t="s">
        <v>12</v>
      </c>
      <c r="L506" t="str">
        <f t="shared" si="21"/>
        <v>Attended</v>
      </c>
      <c r="M506">
        <f t="shared" si="22"/>
        <v>0</v>
      </c>
      <c r="N506" t="str">
        <f t="shared" si="23"/>
        <v>Thursday</v>
      </c>
      <c r="O50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07" spans="1:15" x14ac:dyDescent="0.25">
      <c r="A507">
        <v>5505</v>
      </c>
      <c r="B507">
        <v>1271</v>
      </c>
      <c r="C507">
        <v>1020</v>
      </c>
      <c r="D507" t="s">
        <v>26</v>
      </c>
      <c r="E507" s="1">
        <v>45745</v>
      </c>
      <c r="F507">
        <v>1092</v>
      </c>
      <c r="G507" t="s">
        <v>10</v>
      </c>
      <c r="H507" t="s">
        <v>11</v>
      </c>
      <c r="I507" t="s">
        <v>1933</v>
      </c>
      <c r="J507" t="str" cm="1">
        <f t="array" ref="J507">_xlfn.IFS(HOUR(I507)&lt;12,"Morning",HOUR(I507)&lt;17,"Afternoon",TRUE,"Evening")</f>
        <v>Evening</v>
      </c>
      <c r="K507" t="s">
        <v>28</v>
      </c>
      <c r="L507" t="str">
        <f t="shared" si="21"/>
        <v>No Show</v>
      </c>
      <c r="M507">
        <f t="shared" si="22"/>
        <v>1</v>
      </c>
      <c r="N507" t="str">
        <f t="shared" si="23"/>
        <v>Saturday</v>
      </c>
      <c r="O50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08" spans="1:15" x14ac:dyDescent="0.25">
      <c r="A508">
        <v>5506</v>
      </c>
      <c r="B508">
        <v>1063</v>
      </c>
      <c r="C508">
        <v>1027</v>
      </c>
      <c r="D508" t="s">
        <v>21</v>
      </c>
      <c r="E508" s="1">
        <v>45809</v>
      </c>
      <c r="F508">
        <v>1656</v>
      </c>
      <c r="G508" t="s">
        <v>14</v>
      </c>
      <c r="H508" t="s">
        <v>11</v>
      </c>
      <c r="I508" t="s">
        <v>1928</v>
      </c>
      <c r="J508" t="str" cm="1">
        <f t="array" ref="J508">_xlfn.IFS(HOUR(I508)&lt;12,"Morning",HOUR(I508)&lt;17,"Afternoon",TRUE,"Evening")</f>
        <v>Morning</v>
      </c>
      <c r="K508" t="s">
        <v>23</v>
      </c>
      <c r="L508" t="str">
        <f t="shared" si="21"/>
        <v>No Show</v>
      </c>
      <c r="M508">
        <f t="shared" si="22"/>
        <v>1</v>
      </c>
      <c r="N508" t="str">
        <f t="shared" si="23"/>
        <v>Sunday</v>
      </c>
      <c r="O50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09" spans="1:15" x14ac:dyDescent="0.25">
      <c r="A509">
        <v>5507</v>
      </c>
      <c r="B509">
        <v>194</v>
      </c>
      <c r="C509">
        <v>1027</v>
      </c>
      <c r="D509" t="s">
        <v>21</v>
      </c>
      <c r="E509" s="1">
        <v>45800</v>
      </c>
      <c r="F509">
        <v>1547</v>
      </c>
      <c r="G509" t="s">
        <v>14</v>
      </c>
      <c r="H509" t="s">
        <v>15</v>
      </c>
      <c r="I509" t="s">
        <v>1916</v>
      </c>
      <c r="J509" t="str" cm="1">
        <f t="array" ref="J509">_xlfn.IFS(HOUR(I509)&lt;12,"Morning",HOUR(I509)&lt;17,"Afternoon",TRUE,"Evening")</f>
        <v>Afternoon</v>
      </c>
      <c r="K509" t="s">
        <v>12</v>
      </c>
      <c r="L509" t="str">
        <f t="shared" si="21"/>
        <v>Attended</v>
      </c>
      <c r="M509">
        <f t="shared" si="22"/>
        <v>0</v>
      </c>
      <c r="N509" t="str">
        <f t="shared" si="23"/>
        <v>Friday</v>
      </c>
      <c r="O50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0" spans="1:15" x14ac:dyDescent="0.25">
      <c r="A510">
        <v>5508</v>
      </c>
      <c r="B510">
        <v>349</v>
      </c>
      <c r="C510">
        <v>1027</v>
      </c>
      <c r="D510" t="s">
        <v>21</v>
      </c>
      <c r="E510" s="1">
        <v>45566</v>
      </c>
      <c r="F510">
        <v>1644</v>
      </c>
      <c r="G510" t="s">
        <v>10</v>
      </c>
      <c r="H510" t="s">
        <v>11</v>
      </c>
      <c r="I510" t="s">
        <v>1932</v>
      </c>
      <c r="J510" t="str" cm="1">
        <f t="array" ref="J510">_xlfn.IFS(HOUR(I510)&lt;12,"Morning",HOUR(I510)&lt;17,"Afternoon",TRUE,"Evening")</f>
        <v>Evening</v>
      </c>
      <c r="K510" t="s">
        <v>12</v>
      </c>
      <c r="L510" t="str">
        <f t="shared" si="21"/>
        <v>Attended</v>
      </c>
      <c r="M510">
        <f t="shared" si="22"/>
        <v>0</v>
      </c>
      <c r="N510" t="str">
        <f t="shared" si="23"/>
        <v>Tuesday</v>
      </c>
      <c r="O51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1" spans="1:15" x14ac:dyDescent="0.25">
      <c r="A511">
        <v>5509</v>
      </c>
      <c r="B511">
        <v>1009</v>
      </c>
      <c r="C511">
        <v>1020</v>
      </c>
      <c r="D511" t="s">
        <v>26</v>
      </c>
      <c r="E511" s="1">
        <v>45579</v>
      </c>
      <c r="F511">
        <v>1370</v>
      </c>
      <c r="G511" t="s">
        <v>14</v>
      </c>
      <c r="H511" t="s">
        <v>15</v>
      </c>
      <c r="I511" t="s">
        <v>1930</v>
      </c>
      <c r="J511" t="str" cm="1">
        <f t="array" ref="J511">_xlfn.IFS(HOUR(I511)&lt;12,"Morning",HOUR(I511)&lt;17,"Afternoon",TRUE,"Evening")</f>
        <v>Morning</v>
      </c>
      <c r="K511" t="s">
        <v>12</v>
      </c>
      <c r="L511" t="str">
        <f t="shared" si="21"/>
        <v>Attended</v>
      </c>
      <c r="M511">
        <f t="shared" si="22"/>
        <v>0</v>
      </c>
      <c r="N511" t="str">
        <f t="shared" si="23"/>
        <v>Monday</v>
      </c>
      <c r="O51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2" spans="1:15" x14ac:dyDescent="0.25">
      <c r="A512">
        <v>5510</v>
      </c>
      <c r="B512">
        <v>929</v>
      </c>
      <c r="C512">
        <v>1027</v>
      </c>
      <c r="D512" t="s">
        <v>9</v>
      </c>
      <c r="E512" s="1">
        <v>45671</v>
      </c>
      <c r="F512">
        <v>1578</v>
      </c>
      <c r="G512" t="s">
        <v>14</v>
      </c>
      <c r="H512" t="s">
        <v>15</v>
      </c>
      <c r="I512" t="s">
        <v>1908</v>
      </c>
      <c r="J512" t="str" cm="1">
        <f t="array" ref="J512">_xlfn.IFS(HOUR(I512)&lt;12,"Morning",HOUR(I512)&lt;17,"Afternoon",TRUE,"Evening")</f>
        <v>Morning</v>
      </c>
      <c r="K512" t="s">
        <v>12</v>
      </c>
      <c r="L512" t="str">
        <f t="shared" si="21"/>
        <v>Attended</v>
      </c>
      <c r="M512">
        <f t="shared" si="22"/>
        <v>0</v>
      </c>
      <c r="N512" t="str">
        <f t="shared" si="23"/>
        <v>Tuesday</v>
      </c>
      <c r="O5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3" spans="1:15" x14ac:dyDescent="0.25">
      <c r="A513">
        <v>5511</v>
      </c>
      <c r="B513">
        <v>1195</v>
      </c>
      <c r="C513">
        <v>1027</v>
      </c>
      <c r="D513" t="s">
        <v>22</v>
      </c>
      <c r="E513" s="1">
        <v>45527</v>
      </c>
      <c r="F513">
        <v>1160</v>
      </c>
      <c r="G513" t="s">
        <v>10</v>
      </c>
      <c r="H513" t="s">
        <v>19</v>
      </c>
      <c r="I513" t="s">
        <v>1941</v>
      </c>
      <c r="J513" t="str" cm="1">
        <f t="array" ref="J513">_xlfn.IFS(HOUR(I513)&lt;12,"Morning",HOUR(I513)&lt;17,"Afternoon",TRUE,"Evening")</f>
        <v>Morning</v>
      </c>
      <c r="K513" t="s">
        <v>12</v>
      </c>
      <c r="L513" t="str">
        <f t="shared" si="21"/>
        <v>Attended</v>
      </c>
      <c r="M513">
        <f t="shared" si="22"/>
        <v>0</v>
      </c>
      <c r="N513" t="str">
        <f t="shared" si="23"/>
        <v>Friday</v>
      </c>
      <c r="O5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4" spans="1:15" x14ac:dyDescent="0.25">
      <c r="A514">
        <v>5512</v>
      </c>
      <c r="B514">
        <v>755</v>
      </c>
      <c r="C514">
        <v>1008</v>
      </c>
      <c r="D514" t="s">
        <v>13</v>
      </c>
      <c r="E514" s="1">
        <v>45565</v>
      </c>
      <c r="F514">
        <v>1291</v>
      </c>
      <c r="G514" t="s">
        <v>10</v>
      </c>
      <c r="H514" t="s">
        <v>11</v>
      </c>
      <c r="I514" t="s">
        <v>1911</v>
      </c>
      <c r="J514" t="str" cm="1">
        <f t="array" ref="J514">_xlfn.IFS(HOUR(I514)&lt;12,"Morning",HOUR(I514)&lt;17,"Afternoon",TRUE,"Evening")</f>
        <v>Morning</v>
      </c>
      <c r="K514" t="s">
        <v>12</v>
      </c>
      <c r="L514" t="str">
        <f t="shared" si="21"/>
        <v>Attended</v>
      </c>
      <c r="M514">
        <f t="shared" si="22"/>
        <v>0</v>
      </c>
      <c r="N514" t="str">
        <f t="shared" si="23"/>
        <v>Monday</v>
      </c>
      <c r="O51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5" spans="1:15" x14ac:dyDescent="0.25">
      <c r="A515">
        <v>5513</v>
      </c>
      <c r="B515">
        <v>1556</v>
      </c>
      <c r="C515">
        <v>1001</v>
      </c>
      <c r="D515" t="s">
        <v>22</v>
      </c>
      <c r="E515" s="1">
        <v>45717</v>
      </c>
      <c r="F515">
        <v>1243</v>
      </c>
      <c r="G515" t="s">
        <v>25</v>
      </c>
      <c r="H515" t="s">
        <v>19</v>
      </c>
      <c r="I515" t="s">
        <v>1931</v>
      </c>
      <c r="J515" t="str" cm="1">
        <f t="array" ref="J515">_xlfn.IFS(HOUR(I515)&lt;12,"Morning",HOUR(I515)&lt;17,"Afternoon",TRUE,"Evening")</f>
        <v>Afternoon</v>
      </c>
      <c r="K515" t="s">
        <v>28</v>
      </c>
      <c r="L515" t="str">
        <f t="shared" ref="L515:L578" si="24">IF(K515="completed","Attended","No Show")</f>
        <v>No Show</v>
      </c>
      <c r="M515">
        <f t="shared" ref="M515:M578" si="25">IF(L515="No Show",1,0)</f>
        <v>1</v>
      </c>
      <c r="N515" t="str">
        <f t="shared" ref="N515:N578" si="26">TEXT(E515,"dddd")</f>
        <v>Saturday</v>
      </c>
      <c r="O51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16" spans="1:15" x14ac:dyDescent="0.25">
      <c r="A516">
        <v>5514</v>
      </c>
      <c r="B516">
        <v>553</v>
      </c>
      <c r="C516">
        <v>1027</v>
      </c>
      <c r="D516" t="s">
        <v>9</v>
      </c>
      <c r="E516" s="1">
        <v>45563</v>
      </c>
      <c r="F516">
        <v>1038</v>
      </c>
      <c r="G516" t="s">
        <v>10</v>
      </c>
      <c r="H516" t="s">
        <v>11</v>
      </c>
      <c r="I516" t="s">
        <v>1930</v>
      </c>
      <c r="J516" t="str" cm="1">
        <f t="array" ref="J516">_xlfn.IFS(HOUR(I516)&lt;12,"Morning",HOUR(I516)&lt;17,"Afternoon",TRUE,"Evening")</f>
        <v>Morning</v>
      </c>
      <c r="K516" t="s">
        <v>12</v>
      </c>
      <c r="L516" t="str">
        <f t="shared" si="24"/>
        <v>Attended</v>
      </c>
      <c r="M516">
        <f t="shared" si="25"/>
        <v>0</v>
      </c>
      <c r="N516" t="str">
        <f t="shared" si="26"/>
        <v>Saturday</v>
      </c>
      <c r="O51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17" spans="1:15" x14ac:dyDescent="0.25">
      <c r="A517">
        <v>5515</v>
      </c>
      <c r="B517">
        <v>350</v>
      </c>
      <c r="C517">
        <v>1001</v>
      </c>
      <c r="D517" t="s">
        <v>22</v>
      </c>
      <c r="E517" s="1">
        <v>45785</v>
      </c>
      <c r="F517">
        <v>1688</v>
      </c>
      <c r="G517" t="s">
        <v>10</v>
      </c>
      <c r="H517" t="s">
        <v>15</v>
      </c>
      <c r="I517" t="s">
        <v>1919</v>
      </c>
      <c r="J517" t="str" cm="1">
        <f t="array" ref="J517">_xlfn.IFS(HOUR(I517)&lt;12,"Morning",HOUR(I517)&lt;17,"Afternoon",TRUE,"Evening")</f>
        <v>Evening</v>
      </c>
      <c r="K517" t="s">
        <v>12</v>
      </c>
      <c r="L517" t="str">
        <f t="shared" si="24"/>
        <v>Attended</v>
      </c>
      <c r="M517">
        <f t="shared" si="25"/>
        <v>0</v>
      </c>
      <c r="N517" t="str">
        <f t="shared" si="26"/>
        <v>Thursday</v>
      </c>
      <c r="O51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8" spans="1:15" x14ac:dyDescent="0.25">
      <c r="A518">
        <v>5516</v>
      </c>
      <c r="B518">
        <v>449</v>
      </c>
      <c r="C518">
        <v>1027</v>
      </c>
      <c r="D518" t="s">
        <v>27</v>
      </c>
      <c r="E518" s="1">
        <v>45653</v>
      </c>
      <c r="F518">
        <v>909</v>
      </c>
      <c r="G518" t="s">
        <v>25</v>
      </c>
      <c r="H518" t="s">
        <v>15</v>
      </c>
      <c r="I518" t="s">
        <v>1929</v>
      </c>
      <c r="J518" t="str" cm="1">
        <f t="array" ref="J518">_xlfn.IFS(HOUR(I518)&lt;12,"Morning",HOUR(I518)&lt;17,"Afternoon",TRUE,"Evening")</f>
        <v>Afternoon</v>
      </c>
      <c r="K518" t="s">
        <v>12</v>
      </c>
      <c r="L518" t="str">
        <f t="shared" si="24"/>
        <v>Attended</v>
      </c>
      <c r="M518">
        <f t="shared" si="25"/>
        <v>0</v>
      </c>
      <c r="N518" t="str">
        <f t="shared" si="26"/>
        <v>Friday</v>
      </c>
      <c r="O51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19" spans="1:15" x14ac:dyDescent="0.25">
      <c r="A519">
        <v>5517</v>
      </c>
      <c r="B519">
        <v>872</v>
      </c>
      <c r="C519">
        <v>1027</v>
      </c>
      <c r="D519" t="s">
        <v>24</v>
      </c>
      <c r="E519" s="1">
        <v>45670</v>
      </c>
      <c r="F519">
        <v>1417</v>
      </c>
      <c r="G519" t="s">
        <v>14</v>
      </c>
      <c r="H519" t="s">
        <v>15</v>
      </c>
      <c r="I519" t="s">
        <v>1939</v>
      </c>
      <c r="J519" t="str" cm="1">
        <f t="array" ref="J519">_xlfn.IFS(HOUR(I519)&lt;12,"Morning",HOUR(I519)&lt;17,"Afternoon",TRUE,"Evening")</f>
        <v>Afternoon</v>
      </c>
      <c r="K519" t="s">
        <v>12</v>
      </c>
      <c r="L519" t="str">
        <f t="shared" si="24"/>
        <v>Attended</v>
      </c>
      <c r="M519">
        <f t="shared" si="25"/>
        <v>0</v>
      </c>
      <c r="N519" t="str">
        <f t="shared" si="26"/>
        <v>Monday</v>
      </c>
      <c r="O51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20" spans="1:15" x14ac:dyDescent="0.25">
      <c r="A520">
        <v>5518</v>
      </c>
      <c r="B520">
        <v>686</v>
      </c>
      <c r="C520">
        <v>1027</v>
      </c>
      <c r="D520" t="s">
        <v>21</v>
      </c>
      <c r="E520" s="1">
        <v>45704</v>
      </c>
      <c r="F520">
        <v>2072</v>
      </c>
      <c r="G520" t="s">
        <v>25</v>
      </c>
      <c r="H520" t="s">
        <v>19</v>
      </c>
      <c r="I520" t="s">
        <v>1910</v>
      </c>
      <c r="J520" t="str" cm="1">
        <f t="array" ref="J520">_xlfn.IFS(HOUR(I520)&lt;12,"Morning",HOUR(I520)&lt;17,"Afternoon",TRUE,"Evening")</f>
        <v>Evening</v>
      </c>
      <c r="K520" t="s">
        <v>12</v>
      </c>
      <c r="L520" t="str">
        <f t="shared" si="24"/>
        <v>Attended</v>
      </c>
      <c r="M520">
        <f t="shared" si="25"/>
        <v>0</v>
      </c>
      <c r="N520" t="str">
        <f t="shared" si="26"/>
        <v>Sunday</v>
      </c>
      <c r="O52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21" spans="1:15" x14ac:dyDescent="0.25">
      <c r="A521">
        <v>5519</v>
      </c>
      <c r="B521">
        <v>894</v>
      </c>
      <c r="C521">
        <v>1009</v>
      </c>
      <c r="D521" t="s">
        <v>13</v>
      </c>
      <c r="E521" s="1">
        <v>45690</v>
      </c>
      <c r="F521">
        <v>1448</v>
      </c>
      <c r="G521" t="s">
        <v>17</v>
      </c>
      <c r="H521" t="s">
        <v>11</v>
      </c>
      <c r="I521" t="s">
        <v>1904</v>
      </c>
      <c r="J521" t="str" cm="1">
        <f t="array" ref="J521">_xlfn.IFS(HOUR(I521)&lt;12,"Morning",HOUR(I521)&lt;17,"Afternoon",TRUE,"Evening")</f>
        <v>Evening</v>
      </c>
      <c r="K521" t="s">
        <v>12</v>
      </c>
      <c r="L521" t="str">
        <f t="shared" si="24"/>
        <v>Attended</v>
      </c>
      <c r="M521">
        <f t="shared" si="25"/>
        <v>0</v>
      </c>
      <c r="N521" t="str">
        <f t="shared" si="26"/>
        <v>Sunday</v>
      </c>
      <c r="O52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22" spans="1:15" x14ac:dyDescent="0.25">
      <c r="A522">
        <v>5520</v>
      </c>
      <c r="B522">
        <v>596</v>
      </c>
      <c r="C522">
        <v>1001</v>
      </c>
      <c r="D522" t="s">
        <v>22</v>
      </c>
      <c r="E522" s="1">
        <v>45512</v>
      </c>
      <c r="F522">
        <v>2032</v>
      </c>
      <c r="G522" t="s">
        <v>17</v>
      </c>
      <c r="H522" t="s">
        <v>15</v>
      </c>
      <c r="I522" t="s">
        <v>1911</v>
      </c>
      <c r="J522" t="str" cm="1">
        <f t="array" ref="J522">_xlfn.IFS(HOUR(I522)&lt;12,"Morning",HOUR(I522)&lt;17,"Afternoon",TRUE,"Evening")</f>
        <v>Morning</v>
      </c>
      <c r="K522" t="s">
        <v>12</v>
      </c>
      <c r="L522" t="str">
        <f t="shared" si="24"/>
        <v>Attended</v>
      </c>
      <c r="M522">
        <f t="shared" si="25"/>
        <v>0</v>
      </c>
      <c r="N522" t="str">
        <f t="shared" si="26"/>
        <v>Thursday</v>
      </c>
      <c r="O5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23" spans="1:15" x14ac:dyDescent="0.25">
      <c r="A523">
        <v>5521</v>
      </c>
      <c r="B523">
        <v>548</v>
      </c>
      <c r="C523">
        <v>1002</v>
      </c>
      <c r="D523" t="s">
        <v>18</v>
      </c>
      <c r="E523" s="1">
        <v>45775</v>
      </c>
      <c r="F523">
        <v>837</v>
      </c>
      <c r="G523" t="s">
        <v>10</v>
      </c>
      <c r="H523" t="s">
        <v>11</v>
      </c>
      <c r="I523" t="s">
        <v>1928</v>
      </c>
      <c r="J523" t="str" cm="1">
        <f t="array" ref="J523">_xlfn.IFS(HOUR(I523)&lt;12,"Morning",HOUR(I523)&lt;17,"Afternoon",TRUE,"Evening")</f>
        <v>Morning</v>
      </c>
      <c r="K523" t="s">
        <v>12</v>
      </c>
      <c r="L523" t="str">
        <f t="shared" si="24"/>
        <v>Attended</v>
      </c>
      <c r="M523">
        <f t="shared" si="25"/>
        <v>0</v>
      </c>
      <c r="N523" t="str">
        <f t="shared" si="26"/>
        <v>Monday</v>
      </c>
      <c r="O5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24" spans="1:15" x14ac:dyDescent="0.25">
      <c r="A524">
        <v>5522</v>
      </c>
      <c r="B524">
        <v>527</v>
      </c>
      <c r="C524">
        <v>1027</v>
      </c>
      <c r="D524" t="s">
        <v>21</v>
      </c>
      <c r="E524" s="1">
        <v>45714</v>
      </c>
      <c r="F524">
        <v>2237</v>
      </c>
      <c r="G524" t="s">
        <v>25</v>
      </c>
      <c r="H524" t="s">
        <v>11</v>
      </c>
      <c r="I524" t="s">
        <v>1924</v>
      </c>
      <c r="J524" t="str" cm="1">
        <f t="array" ref="J524">_xlfn.IFS(HOUR(I524)&lt;12,"Morning",HOUR(I524)&lt;17,"Afternoon",TRUE,"Evening")</f>
        <v>Afternoon</v>
      </c>
      <c r="K524" t="s">
        <v>12</v>
      </c>
      <c r="L524" t="str">
        <f t="shared" si="24"/>
        <v>Attended</v>
      </c>
      <c r="M524">
        <f t="shared" si="25"/>
        <v>0</v>
      </c>
      <c r="N524" t="str">
        <f t="shared" si="26"/>
        <v>Wednesday</v>
      </c>
      <c r="O52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25" spans="1:15" x14ac:dyDescent="0.25">
      <c r="A525">
        <v>5523</v>
      </c>
      <c r="B525">
        <v>886</v>
      </c>
      <c r="C525">
        <v>1027</v>
      </c>
      <c r="D525" t="s">
        <v>27</v>
      </c>
      <c r="E525" s="1">
        <v>45494</v>
      </c>
      <c r="F525">
        <v>1306</v>
      </c>
      <c r="G525" t="s">
        <v>17</v>
      </c>
      <c r="H525" t="s">
        <v>19</v>
      </c>
      <c r="I525" t="s">
        <v>1917</v>
      </c>
      <c r="J525" t="str" cm="1">
        <f t="array" ref="J525">_xlfn.IFS(HOUR(I525)&lt;12,"Morning",HOUR(I525)&lt;17,"Afternoon",TRUE,"Evening")</f>
        <v>Afternoon</v>
      </c>
      <c r="K525" t="s">
        <v>28</v>
      </c>
      <c r="L525" t="str">
        <f t="shared" si="24"/>
        <v>No Show</v>
      </c>
      <c r="M525">
        <f t="shared" si="25"/>
        <v>1</v>
      </c>
      <c r="N525" t="str">
        <f t="shared" si="26"/>
        <v>Sunday</v>
      </c>
      <c r="O52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26" spans="1:15" x14ac:dyDescent="0.25">
      <c r="A526">
        <v>5524</v>
      </c>
      <c r="B526">
        <v>1284</v>
      </c>
      <c r="C526">
        <v>1027</v>
      </c>
      <c r="D526" t="s">
        <v>24</v>
      </c>
      <c r="E526" s="1">
        <v>45633</v>
      </c>
      <c r="F526">
        <v>1337</v>
      </c>
      <c r="G526" t="s">
        <v>17</v>
      </c>
      <c r="H526" t="s">
        <v>19</v>
      </c>
      <c r="I526" t="s">
        <v>1933</v>
      </c>
      <c r="J526" t="str" cm="1">
        <f t="array" ref="J526">_xlfn.IFS(HOUR(I526)&lt;12,"Morning",HOUR(I526)&lt;17,"Afternoon",TRUE,"Evening")</f>
        <v>Evening</v>
      </c>
      <c r="K526" t="s">
        <v>12</v>
      </c>
      <c r="L526" t="str">
        <f t="shared" si="24"/>
        <v>Attended</v>
      </c>
      <c r="M526">
        <f t="shared" si="25"/>
        <v>0</v>
      </c>
      <c r="N526" t="str">
        <f t="shared" si="26"/>
        <v>Saturday</v>
      </c>
      <c r="O52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27" spans="1:15" x14ac:dyDescent="0.25">
      <c r="A527">
        <v>5525</v>
      </c>
      <c r="B527">
        <v>1442</v>
      </c>
      <c r="C527">
        <v>1027</v>
      </c>
      <c r="D527" t="s">
        <v>27</v>
      </c>
      <c r="E527" s="1">
        <v>45497</v>
      </c>
      <c r="F527">
        <v>1361</v>
      </c>
      <c r="G527" t="s">
        <v>14</v>
      </c>
      <c r="H527" t="s">
        <v>15</v>
      </c>
      <c r="I527" t="s">
        <v>1918</v>
      </c>
      <c r="J527" t="str" cm="1">
        <f t="array" ref="J527">_xlfn.IFS(HOUR(I527)&lt;12,"Morning",HOUR(I527)&lt;17,"Afternoon",TRUE,"Evening")</f>
        <v>Evening</v>
      </c>
      <c r="K527" t="s">
        <v>12</v>
      </c>
      <c r="L527" t="str">
        <f t="shared" si="24"/>
        <v>Attended</v>
      </c>
      <c r="M527">
        <f t="shared" si="25"/>
        <v>0</v>
      </c>
      <c r="N527" t="str">
        <f t="shared" si="26"/>
        <v>Wednesday</v>
      </c>
      <c r="O5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28" spans="1:15" x14ac:dyDescent="0.25">
      <c r="A528">
        <v>5526</v>
      </c>
      <c r="B528">
        <v>886</v>
      </c>
      <c r="C528">
        <v>1027</v>
      </c>
      <c r="D528" t="s">
        <v>9</v>
      </c>
      <c r="E528" s="1">
        <v>45762</v>
      </c>
      <c r="F528">
        <v>1001</v>
      </c>
      <c r="G528" t="s">
        <v>25</v>
      </c>
      <c r="H528" t="s">
        <v>15</v>
      </c>
      <c r="I528" t="s">
        <v>1919</v>
      </c>
      <c r="J528" t="str" cm="1">
        <f t="array" ref="J528">_xlfn.IFS(HOUR(I528)&lt;12,"Morning",HOUR(I528)&lt;17,"Afternoon",TRUE,"Evening")</f>
        <v>Evening</v>
      </c>
      <c r="K528" t="s">
        <v>12</v>
      </c>
      <c r="L528" t="str">
        <f t="shared" si="24"/>
        <v>Attended</v>
      </c>
      <c r="M528">
        <f t="shared" si="25"/>
        <v>0</v>
      </c>
      <c r="N528" t="str">
        <f t="shared" si="26"/>
        <v>Tuesday</v>
      </c>
      <c r="O52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29" spans="1:15" x14ac:dyDescent="0.25">
      <c r="A529">
        <v>5527</v>
      </c>
      <c r="B529">
        <v>1160</v>
      </c>
      <c r="C529">
        <v>1027</v>
      </c>
      <c r="D529" t="s">
        <v>24</v>
      </c>
      <c r="E529" s="1">
        <v>45487</v>
      </c>
      <c r="F529">
        <v>1868</v>
      </c>
      <c r="G529" t="s">
        <v>17</v>
      </c>
      <c r="H529" t="s">
        <v>15</v>
      </c>
      <c r="I529" t="s">
        <v>1921</v>
      </c>
      <c r="J529" t="str" cm="1">
        <f t="array" ref="J529">_xlfn.IFS(HOUR(I529)&lt;12,"Morning",HOUR(I529)&lt;17,"Afternoon",TRUE,"Evening")</f>
        <v>Afternoon</v>
      </c>
      <c r="K529" t="s">
        <v>12</v>
      </c>
      <c r="L529" t="str">
        <f t="shared" si="24"/>
        <v>Attended</v>
      </c>
      <c r="M529">
        <f t="shared" si="25"/>
        <v>0</v>
      </c>
      <c r="N529" t="str">
        <f t="shared" si="26"/>
        <v>Sunday</v>
      </c>
      <c r="O52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30" spans="1:15" x14ac:dyDescent="0.25">
      <c r="A530">
        <v>5528</v>
      </c>
      <c r="B530">
        <v>945</v>
      </c>
      <c r="C530">
        <v>1024</v>
      </c>
      <c r="D530" t="s">
        <v>16</v>
      </c>
      <c r="E530" s="1">
        <v>45647</v>
      </c>
      <c r="F530">
        <v>820</v>
      </c>
      <c r="G530" t="s">
        <v>14</v>
      </c>
      <c r="H530" t="s">
        <v>15</v>
      </c>
      <c r="I530" t="s">
        <v>1908</v>
      </c>
      <c r="J530" t="str" cm="1">
        <f t="array" ref="J530">_xlfn.IFS(HOUR(I530)&lt;12,"Morning",HOUR(I530)&lt;17,"Afternoon",TRUE,"Evening")</f>
        <v>Morning</v>
      </c>
      <c r="K530" t="s">
        <v>12</v>
      </c>
      <c r="L530" t="str">
        <f t="shared" si="24"/>
        <v>Attended</v>
      </c>
      <c r="M530">
        <f t="shared" si="25"/>
        <v>0</v>
      </c>
      <c r="N530" t="str">
        <f t="shared" si="26"/>
        <v>Saturday</v>
      </c>
      <c r="O53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31" spans="1:15" x14ac:dyDescent="0.25">
      <c r="A531">
        <v>5529</v>
      </c>
      <c r="B531">
        <v>1384</v>
      </c>
      <c r="C531">
        <v>1027</v>
      </c>
      <c r="D531" t="s">
        <v>27</v>
      </c>
      <c r="E531" s="1">
        <v>45802</v>
      </c>
      <c r="F531">
        <v>2480</v>
      </c>
      <c r="G531" t="s">
        <v>17</v>
      </c>
      <c r="H531" t="s">
        <v>19</v>
      </c>
      <c r="I531" t="s">
        <v>1915</v>
      </c>
      <c r="J531" t="str" cm="1">
        <f t="array" ref="J531">_xlfn.IFS(HOUR(I531)&lt;12,"Morning",HOUR(I531)&lt;17,"Afternoon",TRUE,"Evening")</f>
        <v>Afternoon</v>
      </c>
      <c r="K531" t="s">
        <v>12</v>
      </c>
      <c r="L531" t="str">
        <f t="shared" si="24"/>
        <v>Attended</v>
      </c>
      <c r="M531">
        <f t="shared" si="25"/>
        <v>0</v>
      </c>
      <c r="N531" t="str">
        <f t="shared" si="26"/>
        <v>Sunday</v>
      </c>
      <c r="O53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32" spans="1:15" x14ac:dyDescent="0.25">
      <c r="A532">
        <v>5530</v>
      </c>
      <c r="B532">
        <v>1282</v>
      </c>
      <c r="C532">
        <v>1024</v>
      </c>
      <c r="D532" t="s">
        <v>16</v>
      </c>
      <c r="E532" s="1">
        <v>45806</v>
      </c>
      <c r="F532">
        <v>2462</v>
      </c>
      <c r="G532" t="s">
        <v>10</v>
      </c>
      <c r="H532" t="s">
        <v>19</v>
      </c>
      <c r="I532" t="s">
        <v>1935</v>
      </c>
      <c r="J532" t="str" cm="1">
        <f t="array" ref="J532">_xlfn.IFS(HOUR(I532)&lt;12,"Morning",HOUR(I532)&lt;17,"Afternoon",TRUE,"Evening")</f>
        <v>Afternoon</v>
      </c>
      <c r="K532" t="s">
        <v>20</v>
      </c>
      <c r="L532" t="str">
        <f t="shared" si="24"/>
        <v>No Show</v>
      </c>
      <c r="M532">
        <f t="shared" si="25"/>
        <v>1</v>
      </c>
      <c r="N532" t="str">
        <f t="shared" si="26"/>
        <v>Thursday</v>
      </c>
      <c r="O53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33" spans="1:15" x14ac:dyDescent="0.25">
      <c r="A533">
        <v>5531</v>
      </c>
      <c r="B533">
        <v>1177</v>
      </c>
      <c r="C533">
        <v>1027</v>
      </c>
      <c r="D533" t="s">
        <v>27</v>
      </c>
      <c r="E533" s="1">
        <v>45562</v>
      </c>
      <c r="F533">
        <v>958</v>
      </c>
      <c r="G533" t="s">
        <v>10</v>
      </c>
      <c r="H533" t="s">
        <v>19</v>
      </c>
      <c r="I533" t="s">
        <v>1941</v>
      </c>
      <c r="J533" t="str" cm="1">
        <f t="array" ref="J533">_xlfn.IFS(HOUR(I533)&lt;12,"Morning",HOUR(I533)&lt;17,"Afternoon",TRUE,"Evening")</f>
        <v>Morning</v>
      </c>
      <c r="K533" t="s">
        <v>12</v>
      </c>
      <c r="L533" t="str">
        <f t="shared" si="24"/>
        <v>Attended</v>
      </c>
      <c r="M533">
        <f t="shared" si="25"/>
        <v>0</v>
      </c>
      <c r="N533" t="str">
        <f t="shared" si="26"/>
        <v>Friday</v>
      </c>
      <c r="O53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34" spans="1:15" x14ac:dyDescent="0.25">
      <c r="A534">
        <v>5532</v>
      </c>
      <c r="B534">
        <v>471</v>
      </c>
      <c r="C534">
        <v>1027</v>
      </c>
      <c r="D534" t="s">
        <v>24</v>
      </c>
      <c r="E534" s="1">
        <v>45511</v>
      </c>
      <c r="F534">
        <v>1938</v>
      </c>
      <c r="G534" t="s">
        <v>17</v>
      </c>
      <c r="H534" t="s">
        <v>19</v>
      </c>
      <c r="I534" t="s">
        <v>1918</v>
      </c>
      <c r="J534" t="str" cm="1">
        <f t="array" ref="J534">_xlfn.IFS(HOUR(I534)&lt;12,"Morning",HOUR(I534)&lt;17,"Afternoon",TRUE,"Evening")</f>
        <v>Evening</v>
      </c>
      <c r="K534" t="s">
        <v>12</v>
      </c>
      <c r="L534" t="str">
        <f t="shared" si="24"/>
        <v>Attended</v>
      </c>
      <c r="M534">
        <f t="shared" si="25"/>
        <v>0</v>
      </c>
      <c r="N534" t="str">
        <f t="shared" si="26"/>
        <v>Wednesday</v>
      </c>
      <c r="O53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35" spans="1:15" x14ac:dyDescent="0.25">
      <c r="A535">
        <v>5533</v>
      </c>
      <c r="B535">
        <v>745</v>
      </c>
      <c r="C535">
        <v>1008</v>
      </c>
      <c r="D535" t="s">
        <v>13</v>
      </c>
      <c r="E535" s="1">
        <v>45534</v>
      </c>
      <c r="F535">
        <v>1998</v>
      </c>
      <c r="G535" t="s">
        <v>17</v>
      </c>
      <c r="H535" t="s">
        <v>19</v>
      </c>
      <c r="I535" t="s">
        <v>1914</v>
      </c>
      <c r="J535" t="str" cm="1">
        <f t="array" ref="J535">_xlfn.IFS(HOUR(I535)&lt;12,"Morning",HOUR(I535)&lt;17,"Afternoon",TRUE,"Evening")</f>
        <v>Afternoon</v>
      </c>
      <c r="K535" t="s">
        <v>12</v>
      </c>
      <c r="L535" t="str">
        <f t="shared" si="24"/>
        <v>Attended</v>
      </c>
      <c r="M535">
        <f t="shared" si="25"/>
        <v>0</v>
      </c>
      <c r="N535" t="str">
        <f t="shared" si="26"/>
        <v>Friday</v>
      </c>
      <c r="O5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36" spans="1:15" x14ac:dyDescent="0.25">
      <c r="A536">
        <v>5534</v>
      </c>
      <c r="B536">
        <v>381</v>
      </c>
      <c r="C536">
        <v>1027</v>
      </c>
      <c r="D536" t="s">
        <v>9</v>
      </c>
      <c r="E536" s="1">
        <v>45630</v>
      </c>
      <c r="F536">
        <v>2327</v>
      </c>
      <c r="G536" t="s">
        <v>14</v>
      </c>
      <c r="H536" t="s">
        <v>11</v>
      </c>
      <c r="I536" t="s">
        <v>1911</v>
      </c>
      <c r="J536" t="str" cm="1">
        <f t="array" ref="J536">_xlfn.IFS(HOUR(I536)&lt;12,"Morning",HOUR(I536)&lt;17,"Afternoon",TRUE,"Evening")</f>
        <v>Morning</v>
      </c>
      <c r="K536" t="s">
        <v>12</v>
      </c>
      <c r="L536" t="str">
        <f t="shared" si="24"/>
        <v>Attended</v>
      </c>
      <c r="M536">
        <f t="shared" si="25"/>
        <v>0</v>
      </c>
      <c r="N536" t="str">
        <f t="shared" si="26"/>
        <v>Wednesday</v>
      </c>
      <c r="O53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37" spans="1:15" x14ac:dyDescent="0.25">
      <c r="A537">
        <v>5535</v>
      </c>
      <c r="B537">
        <v>536</v>
      </c>
      <c r="C537">
        <v>1027</v>
      </c>
      <c r="D537" t="s">
        <v>9</v>
      </c>
      <c r="E537" s="1">
        <v>45537</v>
      </c>
      <c r="F537">
        <v>1461</v>
      </c>
      <c r="G537" t="s">
        <v>25</v>
      </c>
      <c r="H537" t="s">
        <v>11</v>
      </c>
      <c r="I537" t="s">
        <v>1924</v>
      </c>
      <c r="J537" t="str" cm="1">
        <f t="array" ref="J537">_xlfn.IFS(HOUR(I537)&lt;12,"Morning",HOUR(I537)&lt;17,"Afternoon",TRUE,"Evening")</f>
        <v>Afternoon</v>
      </c>
      <c r="K537" t="s">
        <v>12</v>
      </c>
      <c r="L537" t="str">
        <f t="shared" si="24"/>
        <v>Attended</v>
      </c>
      <c r="M537">
        <f t="shared" si="25"/>
        <v>0</v>
      </c>
      <c r="N537" t="str">
        <f t="shared" si="26"/>
        <v>Monday</v>
      </c>
      <c r="O53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38" spans="1:15" x14ac:dyDescent="0.25">
      <c r="A538">
        <v>5536</v>
      </c>
      <c r="B538">
        <v>690</v>
      </c>
      <c r="C538">
        <v>1020</v>
      </c>
      <c r="D538" t="s">
        <v>26</v>
      </c>
      <c r="E538" s="1">
        <v>45661</v>
      </c>
      <c r="F538">
        <v>2424</v>
      </c>
      <c r="G538" t="s">
        <v>10</v>
      </c>
      <c r="H538" t="s">
        <v>15</v>
      </c>
      <c r="I538" t="s">
        <v>1919</v>
      </c>
      <c r="J538" t="str" cm="1">
        <f t="array" ref="J538">_xlfn.IFS(HOUR(I538)&lt;12,"Morning",HOUR(I538)&lt;17,"Afternoon",TRUE,"Evening")</f>
        <v>Evening</v>
      </c>
      <c r="K538" t="s">
        <v>12</v>
      </c>
      <c r="L538" t="str">
        <f t="shared" si="24"/>
        <v>Attended</v>
      </c>
      <c r="M538">
        <f t="shared" si="25"/>
        <v>0</v>
      </c>
      <c r="N538" t="str">
        <f t="shared" si="26"/>
        <v>Saturday</v>
      </c>
      <c r="O53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39" spans="1:15" x14ac:dyDescent="0.25">
      <c r="A539">
        <v>5537</v>
      </c>
      <c r="B539">
        <v>350</v>
      </c>
      <c r="C539">
        <v>1003</v>
      </c>
      <c r="D539" t="s">
        <v>18</v>
      </c>
      <c r="E539" s="1">
        <v>45563</v>
      </c>
      <c r="F539">
        <v>2285</v>
      </c>
      <c r="G539" t="s">
        <v>17</v>
      </c>
      <c r="H539" t="s">
        <v>15</v>
      </c>
      <c r="I539" t="s">
        <v>1924</v>
      </c>
      <c r="J539" t="str" cm="1">
        <f t="array" ref="J539">_xlfn.IFS(HOUR(I539)&lt;12,"Morning",HOUR(I539)&lt;17,"Afternoon",TRUE,"Evening")</f>
        <v>Afternoon</v>
      </c>
      <c r="K539" t="s">
        <v>12</v>
      </c>
      <c r="L539" t="str">
        <f t="shared" si="24"/>
        <v>Attended</v>
      </c>
      <c r="M539">
        <f t="shared" si="25"/>
        <v>0</v>
      </c>
      <c r="N539" t="str">
        <f t="shared" si="26"/>
        <v>Saturday</v>
      </c>
      <c r="O53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40" spans="1:15" x14ac:dyDescent="0.25">
      <c r="A540">
        <v>5538</v>
      </c>
      <c r="B540">
        <v>663</v>
      </c>
      <c r="C540">
        <v>1024</v>
      </c>
      <c r="D540" t="s">
        <v>16</v>
      </c>
      <c r="E540" s="1">
        <v>45824</v>
      </c>
      <c r="F540">
        <v>1744</v>
      </c>
      <c r="G540" t="s">
        <v>14</v>
      </c>
      <c r="H540" t="s">
        <v>11</v>
      </c>
      <c r="I540" t="s">
        <v>1916</v>
      </c>
      <c r="J540" t="str" cm="1">
        <f t="array" ref="J540">_xlfn.IFS(HOUR(I540)&lt;12,"Morning",HOUR(I540)&lt;17,"Afternoon",TRUE,"Evening")</f>
        <v>Afternoon</v>
      </c>
      <c r="K540" t="s">
        <v>23</v>
      </c>
      <c r="L540" t="str">
        <f t="shared" si="24"/>
        <v>No Show</v>
      </c>
      <c r="M540">
        <f t="shared" si="25"/>
        <v>1</v>
      </c>
      <c r="N540" t="str">
        <f t="shared" si="26"/>
        <v>Monday</v>
      </c>
      <c r="O54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41" spans="1:15" x14ac:dyDescent="0.25">
      <c r="A541">
        <v>5539</v>
      </c>
      <c r="B541">
        <v>851</v>
      </c>
      <c r="C541">
        <v>1024</v>
      </c>
      <c r="D541" t="s">
        <v>16</v>
      </c>
      <c r="E541" s="1">
        <v>45675</v>
      </c>
      <c r="F541">
        <v>1099</v>
      </c>
      <c r="G541" t="s">
        <v>25</v>
      </c>
      <c r="H541" t="s">
        <v>15</v>
      </c>
      <c r="I541" t="s">
        <v>1935</v>
      </c>
      <c r="J541" t="str" cm="1">
        <f t="array" ref="J541">_xlfn.IFS(HOUR(I541)&lt;12,"Morning",HOUR(I541)&lt;17,"Afternoon",TRUE,"Evening")</f>
        <v>Afternoon</v>
      </c>
      <c r="K541" t="s">
        <v>20</v>
      </c>
      <c r="L541" t="str">
        <f t="shared" si="24"/>
        <v>No Show</v>
      </c>
      <c r="M541">
        <f t="shared" si="25"/>
        <v>1</v>
      </c>
      <c r="N541" t="str">
        <f t="shared" si="26"/>
        <v>Saturday</v>
      </c>
      <c r="O54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42" spans="1:15" x14ac:dyDescent="0.25">
      <c r="A542">
        <v>5540</v>
      </c>
      <c r="B542">
        <v>499</v>
      </c>
      <c r="C542">
        <v>1004</v>
      </c>
      <c r="D542" t="s">
        <v>18</v>
      </c>
      <c r="E542" s="1">
        <v>45799</v>
      </c>
      <c r="F542">
        <v>995</v>
      </c>
      <c r="G542" t="s">
        <v>14</v>
      </c>
      <c r="H542" t="s">
        <v>11</v>
      </c>
      <c r="I542" t="s">
        <v>1915</v>
      </c>
      <c r="J542" t="str" cm="1">
        <f t="array" ref="J542">_xlfn.IFS(HOUR(I542)&lt;12,"Morning",HOUR(I542)&lt;17,"Afternoon",TRUE,"Evening")</f>
        <v>Afternoon</v>
      </c>
      <c r="K542" t="s">
        <v>12</v>
      </c>
      <c r="L542" t="str">
        <f t="shared" si="24"/>
        <v>Attended</v>
      </c>
      <c r="M542">
        <f t="shared" si="25"/>
        <v>0</v>
      </c>
      <c r="N542" t="str">
        <f t="shared" si="26"/>
        <v>Thursday</v>
      </c>
      <c r="O5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43" spans="1:15" x14ac:dyDescent="0.25">
      <c r="A543">
        <v>5541</v>
      </c>
      <c r="B543">
        <v>977</v>
      </c>
      <c r="C543">
        <v>1027</v>
      </c>
      <c r="D543" t="s">
        <v>21</v>
      </c>
      <c r="E543" s="1">
        <v>45732</v>
      </c>
      <c r="F543">
        <v>1340</v>
      </c>
      <c r="G543" t="s">
        <v>10</v>
      </c>
      <c r="H543" t="s">
        <v>15</v>
      </c>
      <c r="I543" t="s">
        <v>1909</v>
      </c>
      <c r="J543" t="str" cm="1">
        <f t="array" ref="J543">_xlfn.IFS(HOUR(I543)&lt;12,"Morning",HOUR(I543)&lt;17,"Afternoon",TRUE,"Evening")</f>
        <v>Afternoon</v>
      </c>
      <c r="K543" t="s">
        <v>12</v>
      </c>
      <c r="L543" t="str">
        <f t="shared" si="24"/>
        <v>Attended</v>
      </c>
      <c r="M543">
        <f t="shared" si="25"/>
        <v>0</v>
      </c>
      <c r="N543" t="str">
        <f t="shared" si="26"/>
        <v>Sunday</v>
      </c>
      <c r="O54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44" spans="1:15" x14ac:dyDescent="0.25">
      <c r="A544">
        <v>5542</v>
      </c>
      <c r="B544">
        <v>534</v>
      </c>
      <c r="C544">
        <v>1020</v>
      </c>
      <c r="D544" t="s">
        <v>26</v>
      </c>
      <c r="E544" s="1">
        <v>45616</v>
      </c>
      <c r="F544">
        <v>1053</v>
      </c>
      <c r="G544" t="s">
        <v>17</v>
      </c>
      <c r="H544" t="s">
        <v>19</v>
      </c>
      <c r="I544" t="s">
        <v>1921</v>
      </c>
      <c r="J544" t="str" cm="1">
        <f t="array" ref="J544">_xlfn.IFS(HOUR(I544)&lt;12,"Morning",HOUR(I544)&lt;17,"Afternoon",TRUE,"Evening")</f>
        <v>Afternoon</v>
      </c>
      <c r="K544" t="s">
        <v>12</v>
      </c>
      <c r="L544" t="str">
        <f t="shared" si="24"/>
        <v>Attended</v>
      </c>
      <c r="M544">
        <f t="shared" si="25"/>
        <v>0</v>
      </c>
      <c r="N544" t="str">
        <f t="shared" si="26"/>
        <v>Wednesday</v>
      </c>
      <c r="O54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45" spans="1:15" x14ac:dyDescent="0.25">
      <c r="A545">
        <v>5543</v>
      </c>
      <c r="B545">
        <v>1130</v>
      </c>
      <c r="C545">
        <v>1027</v>
      </c>
      <c r="D545" t="s">
        <v>21</v>
      </c>
      <c r="E545" s="1">
        <v>45600</v>
      </c>
      <c r="F545">
        <v>1936</v>
      </c>
      <c r="G545" t="s">
        <v>14</v>
      </c>
      <c r="H545" t="s">
        <v>19</v>
      </c>
      <c r="I545" t="s">
        <v>1916</v>
      </c>
      <c r="J545" t="str" cm="1">
        <f t="array" ref="J545">_xlfn.IFS(HOUR(I545)&lt;12,"Morning",HOUR(I545)&lt;17,"Afternoon",TRUE,"Evening")</f>
        <v>Afternoon</v>
      </c>
      <c r="K545" t="s">
        <v>12</v>
      </c>
      <c r="L545" t="str">
        <f t="shared" si="24"/>
        <v>Attended</v>
      </c>
      <c r="M545">
        <f t="shared" si="25"/>
        <v>0</v>
      </c>
      <c r="N545" t="str">
        <f t="shared" si="26"/>
        <v>Monday</v>
      </c>
      <c r="O54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46" spans="1:15" x14ac:dyDescent="0.25">
      <c r="A546">
        <v>5544</v>
      </c>
      <c r="B546">
        <v>509</v>
      </c>
      <c r="C546">
        <v>1001</v>
      </c>
      <c r="D546" t="s">
        <v>22</v>
      </c>
      <c r="E546" s="1">
        <v>45775</v>
      </c>
      <c r="F546">
        <v>1558</v>
      </c>
      <c r="G546" t="s">
        <v>17</v>
      </c>
      <c r="H546" t="s">
        <v>19</v>
      </c>
      <c r="I546" t="s">
        <v>1906</v>
      </c>
      <c r="J546" t="str" cm="1">
        <f t="array" ref="J546">_xlfn.IFS(HOUR(I546)&lt;12,"Morning",HOUR(I546)&lt;17,"Afternoon",TRUE,"Evening")</f>
        <v>Afternoon</v>
      </c>
      <c r="K546" t="s">
        <v>28</v>
      </c>
      <c r="L546" t="str">
        <f t="shared" si="24"/>
        <v>No Show</v>
      </c>
      <c r="M546">
        <f t="shared" si="25"/>
        <v>1</v>
      </c>
      <c r="N546" t="str">
        <f t="shared" si="26"/>
        <v>Monday</v>
      </c>
      <c r="O54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47" spans="1:15" x14ac:dyDescent="0.25">
      <c r="A547">
        <v>5545</v>
      </c>
      <c r="B547">
        <v>1273</v>
      </c>
      <c r="C547">
        <v>1003</v>
      </c>
      <c r="D547" t="s">
        <v>18</v>
      </c>
      <c r="E547" s="1">
        <v>45754</v>
      </c>
      <c r="F547">
        <v>1748</v>
      </c>
      <c r="G547" t="s">
        <v>14</v>
      </c>
      <c r="H547" t="s">
        <v>15</v>
      </c>
      <c r="I547" t="s">
        <v>1907</v>
      </c>
      <c r="J547" t="str" cm="1">
        <f t="array" ref="J547">_xlfn.IFS(HOUR(I547)&lt;12,"Morning",HOUR(I547)&lt;17,"Afternoon",TRUE,"Evening")</f>
        <v>Afternoon</v>
      </c>
      <c r="K547" t="s">
        <v>12</v>
      </c>
      <c r="L547" t="str">
        <f t="shared" si="24"/>
        <v>Attended</v>
      </c>
      <c r="M547">
        <f t="shared" si="25"/>
        <v>0</v>
      </c>
      <c r="N547" t="str">
        <f t="shared" si="26"/>
        <v>Monday</v>
      </c>
      <c r="O54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48" spans="1:15" x14ac:dyDescent="0.25">
      <c r="A548">
        <v>5546</v>
      </c>
      <c r="B548">
        <v>1338</v>
      </c>
      <c r="C548">
        <v>1020</v>
      </c>
      <c r="D548" t="s">
        <v>26</v>
      </c>
      <c r="E548" s="1">
        <v>45725</v>
      </c>
      <c r="F548">
        <v>2467</v>
      </c>
      <c r="G548" t="s">
        <v>25</v>
      </c>
      <c r="H548" t="s">
        <v>11</v>
      </c>
      <c r="I548" t="s">
        <v>1910</v>
      </c>
      <c r="J548" t="str" cm="1">
        <f t="array" ref="J548">_xlfn.IFS(HOUR(I548)&lt;12,"Morning",HOUR(I548)&lt;17,"Afternoon",TRUE,"Evening")</f>
        <v>Evening</v>
      </c>
      <c r="K548" t="s">
        <v>12</v>
      </c>
      <c r="L548" t="str">
        <f t="shared" si="24"/>
        <v>Attended</v>
      </c>
      <c r="M548">
        <f t="shared" si="25"/>
        <v>0</v>
      </c>
      <c r="N548" t="str">
        <f t="shared" si="26"/>
        <v>Sunday</v>
      </c>
      <c r="O54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49" spans="1:15" x14ac:dyDescent="0.25">
      <c r="A549">
        <v>5547</v>
      </c>
      <c r="B549">
        <v>454</v>
      </c>
      <c r="C549">
        <v>1020</v>
      </c>
      <c r="D549" t="s">
        <v>26</v>
      </c>
      <c r="E549" s="1">
        <v>45617</v>
      </c>
      <c r="F549">
        <v>1949</v>
      </c>
      <c r="G549" t="s">
        <v>25</v>
      </c>
      <c r="H549" t="s">
        <v>19</v>
      </c>
      <c r="I549" t="s">
        <v>1921</v>
      </c>
      <c r="J549" t="str" cm="1">
        <f t="array" ref="J549">_xlfn.IFS(HOUR(I549)&lt;12,"Morning",HOUR(I549)&lt;17,"Afternoon",TRUE,"Evening")</f>
        <v>Afternoon</v>
      </c>
      <c r="K549" t="s">
        <v>12</v>
      </c>
      <c r="L549" t="str">
        <f t="shared" si="24"/>
        <v>Attended</v>
      </c>
      <c r="M549">
        <f t="shared" si="25"/>
        <v>0</v>
      </c>
      <c r="N549" t="str">
        <f t="shared" si="26"/>
        <v>Thursday</v>
      </c>
      <c r="O54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50" spans="1:15" x14ac:dyDescent="0.25">
      <c r="A550">
        <v>5548</v>
      </c>
      <c r="B550">
        <v>219</v>
      </c>
      <c r="C550">
        <v>1027</v>
      </c>
      <c r="D550" t="s">
        <v>21</v>
      </c>
      <c r="E550" s="1">
        <v>45568</v>
      </c>
      <c r="F550">
        <v>1843</v>
      </c>
      <c r="G550" t="s">
        <v>17</v>
      </c>
      <c r="H550" t="s">
        <v>11</v>
      </c>
      <c r="I550" t="s">
        <v>1939</v>
      </c>
      <c r="J550" t="str" cm="1">
        <f t="array" ref="J550">_xlfn.IFS(HOUR(I550)&lt;12,"Morning",HOUR(I550)&lt;17,"Afternoon",TRUE,"Evening")</f>
        <v>Afternoon</v>
      </c>
      <c r="K550" t="s">
        <v>12</v>
      </c>
      <c r="L550" t="str">
        <f t="shared" si="24"/>
        <v>Attended</v>
      </c>
      <c r="M550">
        <f t="shared" si="25"/>
        <v>0</v>
      </c>
      <c r="N550" t="str">
        <f t="shared" si="26"/>
        <v>Thursday</v>
      </c>
      <c r="O5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51" spans="1:15" x14ac:dyDescent="0.25">
      <c r="A551">
        <v>5549</v>
      </c>
      <c r="B551">
        <v>796</v>
      </c>
      <c r="C551">
        <v>1001</v>
      </c>
      <c r="D551" t="s">
        <v>18</v>
      </c>
      <c r="E551" s="1">
        <v>45594</v>
      </c>
      <c r="F551">
        <v>2443</v>
      </c>
      <c r="G551" t="s">
        <v>25</v>
      </c>
      <c r="H551" t="s">
        <v>11</v>
      </c>
      <c r="I551" t="s">
        <v>1929</v>
      </c>
      <c r="J551" t="str" cm="1">
        <f t="array" ref="J551">_xlfn.IFS(HOUR(I551)&lt;12,"Morning",HOUR(I551)&lt;17,"Afternoon",TRUE,"Evening")</f>
        <v>Afternoon</v>
      </c>
      <c r="K551" t="s">
        <v>12</v>
      </c>
      <c r="L551" t="str">
        <f t="shared" si="24"/>
        <v>Attended</v>
      </c>
      <c r="M551">
        <f t="shared" si="25"/>
        <v>0</v>
      </c>
      <c r="N551" t="str">
        <f t="shared" si="26"/>
        <v>Tuesday</v>
      </c>
      <c r="O55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52" spans="1:15" x14ac:dyDescent="0.25">
      <c r="A552">
        <v>5550</v>
      </c>
      <c r="B552">
        <v>229</v>
      </c>
      <c r="C552">
        <v>1027</v>
      </c>
      <c r="D552" t="s">
        <v>21</v>
      </c>
      <c r="E552" s="1">
        <v>45747</v>
      </c>
      <c r="F552">
        <v>2131</v>
      </c>
      <c r="G552" t="s">
        <v>17</v>
      </c>
      <c r="H552" t="s">
        <v>19</v>
      </c>
      <c r="I552" t="s">
        <v>1916</v>
      </c>
      <c r="J552" t="str" cm="1">
        <f t="array" ref="J552">_xlfn.IFS(HOUR(I552)&lt;12,"Morning",HOUR(I552)&lt;17,"Afternoon",TRUE,"Evening")</f>
        <v>Afternoon</v>
      </c>
      <c r="K552" t="s">
        <v>20</v>
      </c>
      <c r="L552" t="str">
        <f t="shared" si="24"/>
        <v>No Show</v>
      </c>
      <c r="M552">
        <f t="shared" si="25"/>
        <v>1</v>
      </c>
      <c r="N552" t="str">
        <f t="shared" si="26"/>
        <v>Monday</v>
      </c>
      <c r="O55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53" spans="1:15" x14ac:dyDescent="0.25">
      <c r="A553">
        <v>5551</v>
      </c>
      <c r="B553">
        <v>163</v>
      </c>
      <c r="C553">
        <v>1001</v>
      </c>
      <c r="D553" t="s">
        <v>22</v>
      </c>
      <c r="E553" s="1">
        <v>45689</v>
      </c>
      <c r="F553">
        <v>2438</v>
      </c>
      <c r="G553" t="s">
        <v>25</v>
      </c>
      <c r="H553" t="s">
        <v>19</v>
      </c>
      <c r="I553" t="s">
        <v>1926</v>
      </c>
      <c r="J553" t="str" cm="1">
        <f t="array" ref="J553">_xlfn.IFS(HOUR(I553)&lt;12,"Morning",HOUR(I553)&lt;17,"Afternoon",TRUE,"Evening")</f>
        <v>Afternoon</v>
      </c>
      <c r="K553" t="s">
        <v>28</v>
      </c>
      <c r="L553" t="str">
        <f t="shared" si="24"/>
        <v>No Show</v>
      </c>
      <c r="M553">
        <f t="shared" si="25"/>
        <v>1</v>
      </c>
      <c r="N553" t="str">
        <f t="shared" si="26"/>
        <v>Saturday</v>
      </c>
      <c r="O55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54" spans="1:15" x14ac:dyDescent="0.25">
      <c r="A554">
        <v>5552</v>
      </c>
      <c r="B554">
        <v>200</v>
      </c>
      <c r="C554">
        <v>1027</v>
      </c>
      <c r="D554" t="s">
        <v>21</v>
      </c>
      <c r="E554" s="1">
        <v>45612</v>
      </c>
      <c r="F554">
        <v>1490</v>
      </c>
      <c r="G554" t="s">
        <v>25</v>
      </c>
      <c r="H554" t="s">
        <v>19</v>
      </c>
      <c r="I554" t="s">
        <v>1916</v>
      </c>
      <c r="J554" t="str" cm="1">
        <f t="array" ref="J554">_xlfn.IFS(HOUR(I554)&lt;12,"Morning",HOUR(I554)&lt;17,"Afternoon",TRUE,"Evening")</f>
        <v>Afternoon</v>
      </c>
      <c r="K554" t="s">
        <v>12</v>
      </c>
      <c r="L554" t="str">
        <f t="shared" si="24"/>
        <v>Attended</v>
      </c>
      <c r="M554">
        <f t="shared" si="25"/>
        <v>0</v>
      </c>
      <c r="N554" t="str">
        <f t="shared" si="26"/>
        <v>Saturday</v>
      </c>
      <c r="O55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55" spans="1:15" x14ac:dyDescent="0.25">
      <c r="A555">
        <v>5553</v>
      </c>
      <c r="B555">
        <v>1500</v>
      </c>
      <c r="C555">
        <v>1027</v>
      </c>
      <c r="D555" t="s">
        <v>9</v>
      </c>
      <c r="E555" s="1">
        <v>45778</v>
      </c>
      <c r="F555">
        <v>1981</v>
      </c>
      <c r="G555" t="s">
        <v>10</v>
      </c>
      <c r="H555" t="s">
        <v>15</v>
      </c>
      <c r="I555" t="s">
        <v>1910</v>
      </c>
      <c r="J555" t="str" cm="1">
        <f t="array" ref="J555">_xlfn.IFS(HOUR(I555)&lt;12,"Morning",HOUR(I555)&lt;17,"Afternoon",TRUE,"Evening")</f>
        <v>Evening</v>
      </c>
      <c r="K555" t="s">
        <v>12</v>
      </c>
      <c r="L555" t="str">
        <f t="shared" si="24"/>
        <v>Attended</v>
      </c>
      <c r="M555">
        <f t="shared" si="25"/>
        <v>0</v>
      </c>
      <c r="N555" t="str">
        <f t="shared" si="26"/>
        <v>Thursday</v>
      </c>
      <c r="O55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56" spans="1:15" x14ac:dyDescent="0.25">
      <c r="A556">
        <v>5554</v>
      </c>
      <c r="B556">
        <v>1284</v>
      </c>
      <c r="C556">
        <v>1001</v>
      </c>
      <c r="D556" t="s">
        <v>18</v>
      </c>
      <c r="E556" s="1">
        <v>45597</v>
      </c>
      <c r="F556">
        <v>2116</v>
      </c>
      <c r="G556" t="s">
        <v>14</v>
      </c>
      <c r="H556" t="s">
        <v>15</v>
      </c>
      <c r="I556" t="s">
        <v>1923</v>
      </c>
      <c r="J556" t="str" cm="1">
        <f t="array" ref="J556">_xlfn.IFS(HOUR(I556)&lt;12,"Morning",HOUR(I556)&lt;17,"Afternoon",TRUE,"Evening")</f>
        <v>Evening</v>
      </c>
      <c r="K556" t="s">
        <v>12</v>
      </c>
      <c r="L556" t="str">
        <f t="shared" si="24"/>
        <v>Attended</v>
      </c>
      <c r="M556">
        <f t="shared" si="25"/>
        <v>0</v>
      </c>
      <c r="N556" t="str">
        <f t="shared" si="26"/>
        <v>Friday</v>
      </c>
      <c r="O5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57" spans="1:15" x14ac:dyDescent="0.25">
      <c r="A557">
        <v>5555</v>
      </c>
      <c r="B557">
        <v>401</v>
      </c>
      <c r="C557">
        <v>1008</v>
      </c>
      <c r="D557" t="s">
        <v>13</v>
      </c>
      <c r="E557" s="1">
        <v>45657</v>
      </c>
      <c r="F557">
        <v>1994</v>
      </c>
      <c r="G557" t="s">
        <v>17</v>
      </c>
      <c r="H557" t="s">
        <v>15</v>
      </c>
      <c r="I557" t="s">
        <v>1942</v>
      </c>
      <c r="J557" t="str" cm="1">
        <f t="array" ref="J557">_xlfn.IFS(HOUR(I557)&lt;12,"Morning",HOUR(I557)&lt;17,"Afternoon",TRUE,"Evening")</f>
        <v>Evening</v>
      </c>
      <c r="K557" t="s">
        <v>12</v>
      </c>
      <c r="L557" t="str">
        <f t="shared" si="24"/>
        <v>Attended</v>
      </c>
      <c r="M557">
        <f t="shared" si="25"/>
        <v>0</v>
      </c>
      <c r="N557" t="str">
        <f t="shared" si="26"/>
        <v>Tuesday</v>
      </c>
      <c r="O55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58" spans="1:15" x14ac:dyDescent="0.25">
      <c r="A558">
        <v>5556</v>
      </c>
      <c r="B558">
        <v>1026</v>
      </c>
      <c r="C558">
        <v>1020</v>
      </c>
      <c r="D558" t="s">
        <v>26</v>
      </c>
      <c r="E558" s="1">
        <v>45716</v>
      </c>
      <c r="F558">
        <v>998</v>
      </c>
      <c r="G558" t="s">
        <v>14</v>
      </c>
      <c r="H558" t="s">
        <v>19</v>
      </c>
      <c r="I558" t="s">
        <v>1922</v>
      </c>
      <c r="J558" t="str" cm="1">
        <f t="array" ref="J558">_xlfn.IFS(HOUR(I558)&lt;12,"Morning",HOUR(I558)&lt;17,"Afternoon",TRUE,"Evening")</f>
        <v>Afternoon</v>
      </c>
      <c r="K558" t="s">
        <v>12</v>
      </c>
      <c r="L558" t="str">
        <f t="shared" si="24"/>
        <v>Attended</v>
      </c>
      <c r="M558">
        <f t="shared" si="25"/>
        <v>0</v>
      </c>
      <c r="N558" t="str">
        <f t="shared" si="26"/>
        <v>Friday</v>
      </c>
      <c r="O55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59" spans="1:15" x14ac:dyDescent="0.25">
      <c r="A559">
        <v>5557</v>
      </c>
      <c r="B559">
        <v>268</v>
      </c>
      <c r="C559">
        <v>1027</v>
      </c>
      <c r="D559" t="s">
        <v>21</v>
      </c>
      <c r="E559" s="1">
        <v>45577</v>
      </c>
      <c r="F559">
        <v>2025</v>
      </c>
      <c r="G559" t="s">
        <v>25</v>
      </c>
      <c r="H559" t="s">
        <v>19</v>
      </c>
      <c r="I559" t="s">
        <v>1943</v>
      </c>
      <c r="J559" t="str" cm="1">
        <f t="array" ref="J559">_xlfn.IFS(HOUR(I559)&lt;12,"Morning",HOUR(I559)&lt;17,"Afternoon",TRUE,"Evening")</f>
        <v>Afternoon</v>
      </c>
      <c r="K559" t="s">
        <v>12</v>
      </c>
      <c r="L559" t="str">
        <f t="shared" si="24"/>
        <v>Attended</v>
      </c>
      <c r="M559">
        <f t="shared" si="25"/>
        <v>0</v>
      </c>
      <c r="N559" t="str">
        <f t="shared" si="26"/>
        <v>Saturday</v>
      </c>
      <c r="O55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60" spans="1:15" x14ac:dyDescent="0.25">
      <c r="A560">
        <v>5558</v>
      </c>
      <c r="B560">
        <v>815</v>
      </c>
      <c r="C560">
        <v>1027</v>
      </c>
      <c r="D560" t="s">
        <v>24</v>
      </c>
      <c r="E560" s="1">
        <v>45801</v>
      </c>
      <c r="F560">
        <v>879</v>
      </c>
      <c r="G560" t="s">
        <v>17</v>
      </c>
      <c r="H560" t="s">
        <v>11</v>
      </c>
      <c r="I560" t="s">
        <v>1931</v>
      </c>
      <c r="J560" t="str" cm="1">
        <f t="array" ref="J560">_xlfn.IFS(HOUR(I560)&lt;12,"Morning",HOUR(I560)&lt;17,"Afternoon",TRUE,"Evening")</f>
        <v>Afternoon</v>
      </c>
      <c r="K560" t="s">
        <v>12</v>
      </c>
      <c r="L560" t="str">
        <f t="shared" si="24"/>
        <v>Attended</v>
      </c>
      <c r="M560">
        <f t="shared" si="25"/>
        <v>0</v>
      </c>
      <c r="N560" t="str">
        <f t="shared" si="26"/>
        <v>Saturday</v>
      </c>
      <c r="O56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61" spans="1:15" x14ac:dyDescent="0.25">
      <c r="A561">
        <v>5559</v>
      </c>
      <c r="B561">
        <v>1455</v>
      </c>
      <c r="C561">
        <v>1008</v>
      </c>
      <c r="D561" t="s">
        <v>13</v>
      </c>
      <c r="E561" s="1">
        <v>45718</v>
      </c>
      <c r="F561">
        <v>1560</v>
      </c>
      <c r="G561" t="s">
        <v>14</v>
      </c>
      <c r="H561" t="s">
        <v>11</v>
      </c>
      <c r="I561" t="s">
        <v>1908</v>
      </c>
      <c r="J561" t="str" cm="1">
        <f t="array" ref="J561">_xlfn.IFS(HOUR(I561)&lt;12,"Morning",HOUR(I561)&lt;17,"Afternoon",TRUE,"Evening")</f>
        <v>Morning</v>
      </c>
      <c r="K561" t="s">
        <v>28</v>
      </c>
      <c r="L561" t="str">
        <f t="shared" si="24"/>
        <v>No Show</v>
      </c>
      <c r="M561">
        <f t="shared" si="25"/>
        <v>1</v>
      </c>
      <c r="N561" t="str">
        <f t="shared" si="26"/>
        <v>Sunday</v>
      </c>
      <c r="O56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62" spans="1:15" x14ac:dyDescent="0.25">
      <c r="A562">
        <v>5560</v>
      </c>
      <c r="B562">
        <v>1187</v>
      </c>
      <c r="C562">
        <v>1027</v>
      </c>
      <c r="D562" t="s">
        <v>9</v>
      </c>
      <c r="E562" s="1">
        <v>45561</v>
      </c>
      <c r="F562">
        <v>1678</v>
      </c>
      <c r="G562" t="s">
        <v>14</v>
      </c>
      <c r="H562" t="s">
        <v>11</v>
      </c>
      <c r="I562" t="s">
        <v>1925</v>
      </c>
      <c r="J562" t="str" cm="1">
        <f t="array" ref="J562">_xlfn.IFS(HOUR(I562)&lt;12,"Morning",HOUR(I562)&lt;17,"Afternoon",TRUE,"Evening")</f>
        <v>Afternoon</v>
      </c>
      <c r="K562" t="s">
        <v>12</v>
      </c>
      <c r="L562" t="str">
        <f t="shared" si="24"/>
        <v>Attended</v>
      </c>
      <c r="M562">
        <f t="shared" si="25"/>
        <v>0</v>
      </c>
      <c r="N562" t="str">
        <f t="shared" si="26"/>
        <v>Thursday</v>
      </c>
      <c r="O56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63" spans="1:15" x14ac:dyDescent="0.25">
      <c r="A563">
        <v>5561</v>
      </c>
      <c r="B563">
        <v>604</v>
      </c>
      <c r="C563">
        <v>1027</v>
      </c>
      <c r="D563" t="s">
        <v>21</v>
      </c>
      <c r="E563" s="1">
        <v>45611</v>
      </c>
      <c r="F563">
        <v>2382</v>
      </c>
      <c r="G563" t="s">
        <v>25</v>
      </c>
      <c r="H563" t="s">
        <v>11</v>
      </c>
      <c r="I563" t="s">
        <v>1907</v>
      </c>
      <c r="J563" t="str" cm="1">
        <f t="array" ref="J563">_xlfn.IFS(HOUR(I563)&lt;12,"Morning",HOUR(I563)&lt;17,"Afternoon",TRUE,"Evening")</f>
        <v>Afternoon</v>
      </c>
      <c r="K563" t="s">
        <v>12</v>
      </c>
      <c r="L563" t="str">
        <f t="shared" si="24"/>
        <v>Attended</v>
      </c>
      <c r="M563">
        <f t="shared" si="25"/>
        <v>0</v>
      </c>
      <c r="N563" t="str">
        <f t="shared" si="26"/>
        <v>Friday</v>
      </c>
      <c r="O56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64" spans="1:15" x14ac:dyDescent="0.25">
      <c r="A564">
        <v>5562</v>
      </c>
      <c r="B564">
        <v>1184</v>
      </c>
      <c r="C564">
        <v>1024</v>
      </c>
      <c r="D564" t="s">
        <v>16</v>
      </c>
      <c r="E564" s="1">
        <v>45479</v>
      </c>
      <c r="F564">
        <v>1486</v>
      </c>
      <c r="G564" t="s">
        <v>17</v>
      </c>
      <c r="H564" t="s">
        <v>11</v>
      </c>
      <c r="I564" t="s">
        <v>1907</v>
      </c>
      <c r="J564" t="str" cm="1">
        <f t="array" ref="J564">_xlfn.IFS(HOUR(I564)&lt;12,"Morning",HOUR(I564)&lt;17,"Afternoon",TRUE,"Evening")</f>
        <v>Afternoon</v>
      </c>
      <c r="K564" t="s">
        <v>12</v>
      </c>
      <c r="L564" t="str">
        <f t="shared" si="24"/>
        <v>Attended</v>
      </c>
      <c r="M564">
        <f t="shared" si="25"/>
        <v>0</v>
      </c>
      <c r="N564" t="str">
        <f t="shared" si="26"/>
        <v>Saturday</v>
      </c>
      <c r="O56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65" spans="1:15" x14ac:dyDescent="0.25">
      <c r="A565">
        <v>5563</v>
      </c>
      <c r="B565">
        <v>801</v>
      </c>
      <c r="C565">
        <v>1020</v>
      </c>
      <c r="D565" t="s">
        <v>26</v>
      </c>
      <c r="E565" s="1">
        <v>45645</v>
      </c>
      <c r="F565">
        <v>2424</v>
      </c>
      <c r="G565" t="s">
        <v>25</v>
      </c>
      <c r="H565" t="s">
        <v>11</v>
      </c>
      <c r="I565" t="s">
        <v>1931</v>
      </c>
      <c r="J565" t="str" cm="1">
        <f t="array" ref="J565">_xlfn.IFS(HOUR(I565)&lt;12,"Morning",HOUR(I565)&lt;17,"Afternoon",TRUE,"Evening")</f>
        <v>Afternoon</v>
      </c>
      <c r="K565" t="s">
        <v>12</v>
      </c>
      <c r="L565" t="str">
        <f t="shared" si="24"/>
        <v>Attended</v>
      </c>
      <c r="M565">
        <f t="shared" si="25"/>
        <v>0</v>
      </c>
      <c r="N565" t="str">
        <f t="shared" si="26"/>
        <v>Thursday</v>
      </c>
      <c r="O56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66" spans="1:15" x14ac:dyDescent="0.25">
      <c r="A566">
        <v>5564</v>
      </c>
      <c r="B566">
        <v>936</v>
      </c>
      <c r="C566">
        <v>1001</v>
      </c>
      <c r="D566" t="s">
        <v>18</v>
      </c>
      <c r="E566" s="1">
        <v>45708</v>
      </c>
      <c r="F566">
        <v>1015</v>
      </c>
      <c r="G566" t="s">
        <v>17</v>
      </c>
      <c r="H566" t="s">
        <v>11</v>
      </c>
      <c r="I566" t="s">
        <v>1905</v>
      </c>
      <c r="J566" t="str" cm="1">
        <f t="array" ref="J566">_xlfn.IFS(HOUR(I566)&lt;12,"Morning",HOUR(I566)&lt;17,"Afternoon",TRUE,"Evening")</f>
        <v>Morning</v>
      </c>
      <c r="K566" t="s">
        <v>12</v>
      </c>
      <c r="L566" t="str">
        <f t="shared" si="24"/>
        <v>Attended</v>
      </c>
      <c r="M566">
        <f t="shared" si="25"/>
        <v>0</v>
      </c>
      <c r="N566" t="str">
        <f t="shared" si="26"/>
        <v>Thursday</v>
      </c>
      <c r="O56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67" spans="1:15" x14ac:dyDescent="0.25">
      <c r="A567">
        <v>5565</v>
      </c>
      <c r="B567">
        <v>569</v>
      </c>
      <c r="C567">
        <v>1001</v>
      </c>
      <c r="D567" t="s">
        <v>18</v>
      </c>
      <c r="E567" s="1">
        <v>45714</v>
      </c>
      <c r="F567">
        <v>1997</v>
      </c>
      <c r="G567" t="s">
        <v>10</v>
      </c>
      <c r="H567" t="s">
        <v>19</v>
      </c>
      <c r="I567" t="s">
        <v>1909</v>
      </c>
      <c r="J567" t="str" cm="1">
        <f t="array" ref="J567">_xlfn.IFS(HOUR(I567)&lt;12,"Morning",HOUR(I567)&lt;17,"Afternoon",TRUE,"Evening")</f>
        <v>Afternoon</v>
      </c>
      <c r="K567" t="s">
        <v>12</v>
      </c>
      <c r="L567" t="str">
        <f t="shared" si="24"/>
        <v>Attended</v>
      </c>
      <c r="M567">
        <f t="shared" si="25"/>
        <v>0</v>
      </c>
      <c r="N567" t="str">
        <f t="shared" si="26"/>
        <v>Wednesday</v>
      </c>
      <c r="O56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68" spans="1:15" x14ac:dyDescent="0.25">
      <c r="A568">
        <v>5566</v>
      </c>
      <c r="B568">
        <v>748</v>
      </c>
      <c r="C568">
        <v>1004</v>
      </c>
      <c r="D568" t="s">
        <v>18</v>
      </c>
      <c r="E568" s="1">
        <v>45831</v>
      </c>
      <c r="F568">
        <v>1420</v>
      </c>
      <c r="G568" t="s">
        <v>17</v>
      </c>
      <c r="H568" t="s">
        <v>11</v>
      </c>
      <c r="I568" t="s">
        <v>1935</v>
      </c>
      <c r="J568" t="str" cm="1">
        <f t="array" ref="J568">_xlfn.IFS(HOUR(I568)&lt;12,"Morning",HOUR(I568)&lt;17,"Afternoon",TRUE,"Evening")</f>
        <v>Afternoon</v>
      </c>
      <c r="K568" t="s">
        <v>23</v>
      </c>
      <c r="L568" t="str">
        <f t="shared" si="24"/>
        <v>No Show</v>
      </c>
      <c r="M568">
        <f t="shared" si="25"/>
        <v>1</v>
      </c>
      <c r="N568" t="str">
        <f t="shared" si="26"/>
        <v>Monday</v>
      </c>
      <c r="O56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69" spans="1:15" x14ac:dyDescent="0.25">
      <c r="A569">
        <v>5567</v>
      </c>
      <c r="B569">
        <v>574</v>
      </c>
      <c r="C569">
        <v>1027</v>
      </c>
      <c r="D569" t="s">
        <v>21</v>
      </c>
      <c r="E569" s="1">
        <v>45634</v>
      </c>
      <c r="F569">
        <v>1262</v>
      </c>
      <c r="G569" t="s">
        <v>17</v>
      </c>
      <c r="H569" t="s">
        <v>15</v>
      </c>
      <c r="I569" t="s">
        <v>1927</v>
      </c>
      <c r="J569" t="str" cm="1">
        <f t="array" ref="J569">_xlfn.IFS(HOUR(I569)&lt;12,"Morning",HOUR(I569)&lt;17,"Afternoon",TRUE,"Evening")</f>
        <v>Afternoon</v>
      </c>
      <c r="K569" t="s">
        <v>12</v>
      </c>
      <c r="L569" t="str">
        <f t="shared" si="24"/>
        <v>Attended</v>
      </c>
      <c r="M569">
        <f t="shared" si="25"/>
        <v>0</v>
      </c>
      <c r="N569" t="str">
        <f t="shared" si="26"/>
        <v>Sunday</v>
      </c>
      <c r="O56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70" spans="1:15" x14ac:dyDescent="0.25">
      <c r="A570">
        <v>5568</v>
      </c>
      <c r="B570">
        <v>349</v>
      </c>
      <c r="C570">
        <v>1020</v>
      </c>
      <c r="D570" t="s">
        <v>26</v>
      </c>
      <c r="E570" s="1">
        <v>45754</v>
      </c>
      <c r="F570">
        <v>1784</v>
      </c>
      <c r="G570" t="s">
        <v>25</v>
      </c>
      <c r="H570" t="s">
        <v>19</v>
      </c>
      <c r="I570" t="s">
        <v>1910</v>
      </c>
      <c r="J570" t="str" cm="1">
        <f t="array" ref="J570">_xlfn.IFS(HOUR(I570)&lt;12,"Morning",HOUR(I570)&lt;17,"Afternoon",TRUE,"Evening")</f>
        <v>Evening</v>
      </c>
      <c r="K570" t="s">
        <v>12</v>
      </c>
      <c r="L570" t="str">
        <f t="shared" si="24"/>
        <v>Attended</v>
      </c>
      <c r="M570">
        <f t="shared" si="25"/>
        <v>0</v>
      </c>
      <c r="N570" t="str">
        <f t="shared" si="26"/>
        <v>Monday</v>
      </c>
      <c r="O57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71" spans="1:15" x14ac:dyDescent="0.25">
      <c r="A571">
        <v>5569</v>
      </c>
      <c r="B571">
        <v>388</v>
      </c>
      <c r="C571">
        <v>1027</v>
      </c>
      <c r="D571" t="s">
        <v>27</v>
      </c>
      <c r="E571" s="1">
        <v>45596</v>
      </c>
      <c r="F571">
        <v>1507</v>
      </c>
      <c r="G571" t="s">
        <v>17</v>
      </c>
      <c r="H571" t="s">
        <v>19</v>
      </c>
      <c r="I571" t="s">
        <v>1918</v>
      </c>
      <c r="J571" t="str" cm="1">
        <f t="array" ref="J571">_xlfn.IFS(HOUR(I571)&lt;12,"Morning",HOUR(I571)&lt;17,"Afternoon",TRUE,"Evening")</f>
        <v>Evening</v>
      </c>
      <c r="K571" t="s">
        <v>28</v>
      </c>
      <c r="L571" t="str">
        <f t="shared" si="24"/>
        <v>No Show</v>
      </c>
      <c r="M571">
        <f t="shared" si="25"/>
        <v>1</v>
      </c>
      <c r="N571" t="str">
        <f t="shared" si="26"/>
        <v>Thursday</v>
      </c>
      <c r="O57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72" spans="1:15" x14ac:dyDescent="0.25">
      <c r="A572">
        <v>5570</v>
      </c>
      <c r="B572">
        <v>490</v>
      </c>
      <c r="C572">
        <v>1020</v>
      </c>
      <c r="D572" t="s">
        <v>26</v>
      </c>
      <c r="E572" s="1">
        <v>45509</v>
      </c>
      <c r="F572">
        <v>1219</v>
      </c>
      <c r="G572" t="s">
        <v>14</v>
      </c>
      <c r="H572" t="s">
        <v>19</v>
      </c>
      <c r="I572" t="s">
        <v>1940</v>
      </c>
      <c r="J572" t="str" cm="1">
        <f t="array" ref="J572">_xlfn.IFS(HOUR(I572)&lt;12,"Morning",HOUR(I572)&lt;17,"Afternoon",TRUE,"Evening")</f>
        <v>Morning</v>
      </c>
      <c r="K572" t="s">
        <v>28</v>
      </c>
      <c r="L572" t="str">
        <f t="shared" si="24"/>
        <v>No Show</v>
      </c>
      <c r="M572">
        <f t="shared" si="25"/>
        <v>1</v>
      </c>
      <c r="N572" t="str">
        <f t="shared" si="26"/>
        <v>Monday</v>
      </c>
      <c r="O5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73" spans="1:15" x14ac:dyDescent="0.25">
      <c r="A573">
        <v>5571</v>
      </c>
      <c r="B573">
        <v>1098</v>
      </c>
      <c r="C573">
        <v>1027</v>
      </c>
      <c r="D573" t="s">
        <v>27</v>
      </c>
      <c r="E573" s="1">
        <v>45620</v>
      </c>
      <c r="F573">
        <v>1511</v>
      </c>
      <c r="G573" t="s">
        <v>17</v>
      </c>
      <c r="H573" t="s">
        <v>19</v>
      </c>
      <c r="I573" t="s">
        <v>1939</v>
      </c>
      <c r="J573" t="str" cm="1">
        <f t="array" ref="J573">_xlfn.IFS(HOUR(I573)&lt;12,"Morning",HOUR(I573)&lt;17,"Afternoon",TRUE,"Evening")</f>
        <v>Afternoon</v>
      </c>
      <c r="K573" t="s">
        <v>12</v>
      </c>
      <c r="L573" t="str">
        <f t="shared" si="24"/>
        <v>Attended</v>
      </c>
      <c r="M573">
        <f t="shared" si="25"/>
        <v>0</v>
      </c>
      <c r="N573" t="str">
        <f t="shared" si="26"/>
        <v>Sunday</v>
      </c>
      <c r="O57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74" spans="1:15" x14ac:dyDescent="0.25">
      <c r="A574">
        <v>5572</v>
      </c>
      <c r="B574">
        <v>1316</v>
      </c>
      <c r="C574">
        <v>1004</v>
      </c>
      <c r="D574" t="s">
        <v>18</v>
      </c>
      <c r="E574" s="1">
        <v>45603</v>
      </c>
      <c r="F574">
        <v>1387</v>
      </c>
      <c r="G574" t="s">
        <v>10</v>
      </c>
      <c r="H574" t="s">
        <v>19</v>
      </c>
      <c r="I574" t="s">
        <v>1940</v>
      </c>
      <c r="J574" t="str" cm="1">
        <f t="array" ref="J574">_xlfn.IFS(HOUR(I574)&lt;12,"Morning",HOUR(I574)&lt;17,"Afternoon",TRUE,"Evening")</f>
        <v>Morning</v>
      </c>
      <c r="K574" t="s">
        <v>12</v>
      </c>
      <c r="L574" t="str">
        <f t="shared" si="24"/>
        <v>Attended</v>
      </c>
      <c r="M574">
        <f t="shared" si="25"/>
        <v>0</v>
      </c>
      <c r="N574" t="str">
        <f t="shared" si="26"/>
        <v>Thursday</v>
      </c>
      <c r="O5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75" spans="1:15" x14ac:dyDescent="0.25">
      <c r="A575">
        <v>5573</v>
      </c>
      <c r="B575">
        <v>1008</v>
      </c>
      <c r="C575">
        <v>1001</v>
      </c>
      <c r="D575" t="s">
        <v>18</v>
      </c>
      <c r="E575" s="1">
        <v>45652</v>
      </c>
      <c r="F575">
        <v>2235</v>
      </c>
      <c r="G575" t="s">
        <v>14</v>
      </c>
      <c r="H575" t="s">
        <v>15</v>
      </c>
      <c r="I575" t="s">
        <v>1905</v>
      </c>
      <c r="J575" t="str" cm="1">
        <f t="array" ref="J575">_xlfn.IFS(HOUR(I575)&lt;12,"Morning",HOUR(I575)&lt;17,"Afternoon",TRUE,"Evening")</f>
        <v>Morning</v>
      </c>
      <c r="K575" t="s">
        <v>12</v>
      </c>
      <c r="L575" t="str">
        <f t="shared" si="24"/>
        <v>Attended</v>
      </c>
      <c r="M575">
        <f t="shared" si="25"/>
        <v>0</v>
      </c>
      <c r="N575" t="str">
        <f t="shared" si="26"/>
        <v>Thursday</v>
      </c>
      <c r="O57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76" spans="1:15" x14ac:dyDescent="0.25">
      <c r="A576">
        <v>5574</v>
      </c>
      <c r="B576">
        <v>499</v>
      </c>
      <c r="C576">
        <v>1027</v>
      </c>
      <c r="D576" t="s">
        <v>27</v>
      </c>
      <c r="E576" s="1">
        <v>45795</v>
      </c>
      <c r="F576">
        <v>1988</v>
      </c>
      <c r="G576" t="s">
        <v>10</v>
      </c>
      <c r="H576" t="s">
        <v>11</v>
      </c>
      <c r="I576" t="s">
        <v>1919</v>
      </c>
      <c r="J576" t="str" cm="1">
        <f t="array" ref="J576">_xlfn.IFS(HOUR(I576)&lt;12,"Morning",HOUR(I576)&lt;17,"Afternoon",TRUE,"Evening")</f>
        <v>Evening</v>
      </c>
      <c r="K576" t="s">
        <v>12</v>
      </c>
      <c r="L576" t="str">
        <f t="shared" si="24"/>
        <v>Attended</v>
      </c>
      <c r="M576">
        <f t="shared" si="25"/>
        <v>0</v>
      </c>
      <c r="N576" t="str">
        <f t="shared" si="26"/>
        <v>Sunday</v>
      </c>
      <c r="O57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77" spans="1:15" x14ac:dyDescent="0.25">
      <c r="A577">
        <v>5575</v>
      </c>
      <c r="B577">
        <v>483</v>
      </c>
      <c r="C577">
        <v>1009</v>
      </c>
      <c r="D577" t="s">
        <v>13</v>
      </c>
      <c r="E577" s="1">
        <v>45765</v>
      </c>
      <c r="F577">
        <v>1463</v>
      </c>
      <c r="G577" t="s">
        <v>17</v>
      </c>
      <c r="H577" t="s">
        <v>11</v>
      </c>
      <c r="I577" t="s">
        <v>1915</v>
      </c>
      <c r="J577" t="str" cm="1">
        <f t="array" ref="J577">_xlfn.IFS(HOUR(I577)&lt;12,"Morning",HOUR(I577)&lt;17,"Afternoon",TRUE,"Evening")</f>
        <v>Afternoon</v>
      </c>
      <c r="K577" t="s">
        <v>12</v>
      </c>
      <c r="L577" t="str">
        <f t="shared" si="24"/>
        <v>Attended</v>
      </c>
      <c r="M577">
        <f t="shared" si="25"/>
        <v>0</v>
      </c>
      <c r="N577" t="str">
        <f t="shared" si="26"/>
        <v>Friday</v>
      </c>
      <c r="O57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78" spans="1:15" x14ac:dyDescent="0.25">
      <c r="A578">
        <v>5576</v>
      </c>
      <c r="B578">
        <v>955</v>
      </c>
      <c r="C578">
        <v>1001</v>
      </c>
      <c r="D578" t="s">
        <v>22</v>
      </c>
      <c r="E578" s="1">
        <v>45504</v>
      </c>
      <c r="F578">
        <v>1022</v>
      </c>
      <c r="G578" t="s">
        <v>25</v>
      </c>
      <c r="H578" t="s">
        <v>15</v>
      </c>
      <c r="I578" t="s">
        <v>1927</v>
      </c>
      <c r="J578" t="str" cm="1">
        <f t="array" ref="J578">_xlfn.IFS(HOUR(I578)&lt;12,"Morning",HOUR(I578)&lt;17,"Afternoon",TRUE,"Evening")</f>
        <v>Afternoon</v>
      </c>
      <c r="K578" t="s">
        <v>12</v>
      </c>
      <c r="L578" t="str">
        <f t="shared" si="24"/>
        <v>Attended</v>
      </c>
      <c r="M578">
        <f t="shared" si="25"/>
        <v>0</v>
      </c>
      <c r="N578" t="str">
        <f t="shared" si="26"/>
        <v>Wednesday</v>
      </c>
      <c r="O57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79" spans="1:15" x14ac:dyDescent="0.25">
      <c r="A579">
        <v>5577</v>
      </c>
      <c r="B579">
        <v>1014</v>
      </c>
      <c r="C579">
        <v>1027</v>
      </c>
      <c r="D579" t="s">
        <v>9</v>
      </c>
      <c r="E579" s="1">
        <v>45568</v>
      </c>
      <c r="F579">
        <v>840</v>
      </c>
      <c r="G579" t="s">
        <v>10</v>
      </c>
      <c r="H579" t="s">
        <v>11</v>
      </c>
      <c r="I579" t="s">
        <v>1920</v>
      </c>
      <c r="J579" t="str" cm="1">
        <f t="array" ref="J579">_xlfn.IFS(HOUR(I579)&lt;12,"Morning",HOUR(I579)&lt;17,"Afternoon",TRUE,"Evening")</f>
        <v>Morning</v>
      </c>
      <c r="K579" t="s">
        <v>12</v>
      </c>
      <c r="L579" t="str">
        <f t="shared" ref="L579:L642" si="27">IF(K579="completed","Attended","No Show")</f>
        <v>Attended</v>
      </c>
      <c r="M579">
        <f t="shared" ref="M579:M642" si="28">IF(L579="No Show",1,0)</f>
        <v>0</v>
      </c>
      <c r="N579" t="str">
        <f t="shared" ref="N579:N642" si="29">TEXT(E579,"dddd")</f>
        <v>Thursday</v>
      </c>
      <c r="O57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0" spans="1:15" x14ac:dyDescent="0.25">
      <c r="A580">
        <v>5578</v>
      </c>
      <c r="B580">
        <v>1541</v>
      </c>
      <c r="C580">
        <v>1027</v>
      </c>
      <c r="D580" t="s">
        <v>24</v>
      </c>
      <c r="E580" s="1">
        <v>45758</v>
      </c>
      <c r="F580">
        <v>1100</v>
      </c>
      <c r="G580" t="s">
        <v>14</v>
      </c>
      <c r="H580" t="s">
        <v>19</v>
      </c>
      <c r="I580" t="s">
        <v>1909</v>
      </c>
      <c r="J580" t="str" cm="1">
        <f t="array" ref="J580">_xlfn.IFS(HOUR(I580)&lt;12,"Morning",HOUR(I580)&lt;17,"Afternoon",TRUE,"Evening")</f>
        <v>Afternoon</v>
      </c>
      <c r="K580" t="s">
        <v>12</v>
      </c>
      <c r="L580" t="str">
        <f t="shared" si="27"/>
        <v>Attended</v>
      </c>
      <c r="M580">
        <f t="shared" si="28"/>
        <v>0</v>
      </c>
      <c r="N580" t="str">
        <f t="shared" si="29"/>
        <v>Friday</v>
      </c>
      <c r="O58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1" spans="1:15" x14ac:dyDescent="0.25">
      <c r="A581">
        <v>5579</v>
      </c>
      <c r="B581">
        <v>1406</v>
      </c>
      <c r="C581">
        <v>1027</v>
      </c>
      <c r="D581" t="s">
        <v>21</v>
      </c>
      <c r="E581" s="1">
        <v>45817</v>
      </c>
      <c r="F581">
        <v>2371</v>
      </c>
      <c r="G581" t="s">
        <v>17</v>
      </c>
      <c r="H581" t="s">
        <v>15</v>
      </c>
      <c r="I581" t="s">
        <v>1927</v>
      </c>
      <c r="J581" t="str" cm="1">
        <f t="array" ref="J581">_xlfn.IFS(HOUR(I581)&lt;12,"Morning",HOUR(I581)&lt;17,"Afternoon",TRUE,"Evening")</f>
        <v>Afternoon</v>
      </c>
      <c r="K581" t="s">
        <v>23</v>
      </c>
      <c r="L581" t="str">
        <f t="shared" si="27"/>
        <v>No Show</v>
      </c>
      <c r="M581">
        <f t="shared" si="28"/>
        <v>1</v>
      </c>
      <c r="N581" t="str">
        <f t="shared" si="29"/>
        <v>Monday</v>
      </c>
      <c r="O5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2" spans="1:15" x14ac:dyDescent="0.25">
      <c r="A582">
        <v>5580</v>
      </c>
      <c r="B582">
        <v>1110</v>
      </c>
      <c r="C582">
        <v>1024</v>
      </c>
      <c r="D582" t="s">
        <v>16</v>
      </c>
      <c r="E582" s="1">
        <v>45646</v>
      </c>
      <c r="F582">
        <v>1817</v>
      </c>
      <c r="G582" t="s">
        <v>10</v>
      </c>
      <c r="H582" t="s">
        <v>15</v>
      </c>
      <c r="I582" t="s">
        <v>1925</v>
      </c>
      <c r="J582" t="str" cm="1">
        <f t="array" ref="J582">_xlfn.IFS(HOUR(I582)&lt;12,"Morning",HOUR(I582)&lt;17,"Afternoon",TRUE,"Evening")</f>
        <v>Afternoon</v>
      </c>
      <c r="K582" t="s">
        <v>12</v>
      </c>
      <c r="L582" t="str">
        <f t="shared" si="27"/>
        <v>Attended</v>
      </c>
      <c r="M582">
        <f t="shared" si="28"/>
        <v>0</v>
      </c>
      <c r="N582" t="str">
        <f t="shared" si="29"/>
        <v>Friday</v>
      </c>
      <c r="O5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3" spans="1:15" x14ac:dyDescent="0.25">
      <c r="A583">
        <v>5581</v>
      </c>
      <c r="B583">
        <v>1191</v>
      </c>
      <c r="C583">
        <v>1027</v>
      </c>
      <c r="D583" t="s">
        <v>27</v>
      </c>
      <c r="E583" s="1">
        <v>45768</v>
      </c>
      <c r="F583">
        <v>2422</v>
      </c>
      <c r="G583" t="s">
        <v>10</v>
      </c>
      <c r="H583" t="s">
        <v>19</v>
      </c>
      <c r="I583" t="s">
        <v>1906</v>
      </c>
      <c r="J583" t="str" cm="1">
        <f t="array" ref="J583">_xlfn.IFS(HOUR(I583)&lt;12,"Morning",HOUR(I583)&lt;17,"Afternoon",TRUE,"Evening")</f>
        <v>Afternoon</v>
      </c>
      <c r="K583" t="s">
        <v>12</v>
      </c>
      <c r="L583" t="str">
        <f t="shared" si="27"/>
        <v>Attended</v>
      </c>
      <c r="M583">
        <f t="shared" si="28"/>
        <v>0</v>
      </c>
      <c r="N583" t="str">
        <f t="shared" si="29"/>
        <v>Monday</v>
      </c>
      <c r="O58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4" spans="1:15" x14ac:dyDescent="0.25">
      <c r="A584">
        <v>5582</v>
      </c>
      <c r="B584">
        <v>614</v>
      </c>
      <c r="C584">
        <v>1027</v>
      </c>
      <c r="D584" t="s">
        <v>24</v>
      </c>
      <c r="E584" s="1">
        <v>45752</v>
      </c>
      <c r="F584">
        <v>997</v>
      </c>
      <c r="G584" t="s">
        <v>17</v>
      </c>
      <c r="H584" t="s">
        <v>11</v>
      </c>
      <c r="I584" t="s">
        <v>1921</v>
      </c>
      <c r="J584" t="str" cm="1">
        <f t="array" ref="J584">_xlfn.IFS(HOUR(I584)&lt;12,"Morning",HOUR(I584)&lt;17,"Afternoon",TRUE,"Evening")</f>
        <v>Afternoon</v>
      </c>
      <c r="K584" t="s">
        <v>12</v>
      </c>
      <c r="L584" t="str">
        <f t="shared" si="27"/>
        <v>Attended</v>
      </c>
      <c r="M584">
        <f t="shared" si="28"/>
        <v>0</v>
      </c>
      <c r="N584" t="str">
        <f t="shared" si="29"/>
        <v>Saturday</v>
      </c>
      <c r="O58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85" spans="1:15" x14ac:dyDescent="0.25">
      <c r="A585">
        <v>5583</v>
      </c>
      <c r="B585">
        <v>1115</v>
      </c>
      <c r="C585">
        <v>1020</v>
      </c>
      <c r="D585" t="s">
        <v>26</v>
      </c>
      <c r="E585" s="1">
        <v>45551</v>
      </c>
      <c r="F585">
        <v>1992</v>
      </c>
      <c r="G585" t="s">
        <v>17</v>
      </c>
      <c r="H585" t="s">
        <v>11</v>
      </c>
      <c r="I585" t="s">
        <v>1933</v>
      </c>
      <c r="J585" t="str" cm="1">
        <f t="array" ref="J585">_xlfn.IFS(HOUR(I585)&lt;12,"Morning",HOUR(I585)&lt;17,"Afternoon",TRUE,"Evening")</f>
        <v>Evening</v>
      </c>
      <c r="K585" t="s">
        <v>12</v>
      </c>
      <c r="L585" t="str">
        <f t="shared" si="27"/>
        <v>Attended</v>
      </c>
      <c r="M585">
        <f t="shared" si="28"/>
        <v>0</v>
      </c>
      <c r="N585" t="str">
        <f t="shared" si="29"/>
        <v>Monday</v>
      </c>
      <c r="O58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6" spans="1:15" x14ac:dyDescent="0.25">
      <c r="A586">
        <v>5584</v>
      </c>
      <c r="B586">
        <v>814</v>
      </c>
      <c r="C586">
        <v>1027</v>
      </c>
      <c r="D586" t="s">
        <v>24</v>
      </c>
      <c r="E586" s="1">
        <v>45601</v>
      </c>
      <c r="F586">
        <v>2110</v>
      </c>
      <c r="G586" t="s">
        <v>17</v>
      </c>
      <c r="H586" t="s">
        <v>15</v>
      </c>
      <c r="I586" t="s">
        <v>1935</v>
      </c>
      <c r="J586" t="str" cm="1">
        <f t="array" ref="J586">_xlfn.IFS(HOUR(I586)&lt;12,"Morning",HOUR(I586)&lt;17,"Afternoon",TRUE,"Evening")</f>
        <v>Afternoon</v>
      </c>
      <c r="K586" t="s">
        <v>12</v>
      </c>
      <c r="L586" t="str">
        <f t="shared" si="27"/>
        <v>Attended</v>
      </c>
      <c r="M586">
        <f t="shared" si="28"/>
        <v>0</v>
      </c>
      <c r="N586" t="str">
        <f t="shared" si="29"/>
        <v>Tuesday</v>
      </c>
      <c r="O58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7" spans="1:15" x14ac:dyDescent="0.25">
      <c r="A587">
        <v>5585</v>
      </c>
      <c r="B587">
        <v>277</v>
      </c>
      <c r="C587">
        <v>1027</v>
      </c>
      <c r="D587" t="s">
        <v>21</v>
      </c>
      <c r="E587" s="1">
        <v>45591</v>
      </c>
      <c r="F587">
        <v>1477</v>
      </c>
      <c r="G587" t="s">
        <v>25</v>
      </c>
      <c r="H587" t="s">
        <v>11</v>
      </c>
      <c r="I587" t="s">
        <v>1939</v>
      </c>
      <c r="J587" t="str" cm="1">
        <f t="array" ref="J587">_xlfn.IFS(HOUR(I587)&lt;12,"Morning",HOUR(I587)&lt;17,"Afternoon",TRUE,"Evening")</f>
        <v>Afternoon</v>
      </c>
      <c r="K587" t="s">
        <v>12</v>
      </c>
      <c r="L587" t="str">
        <f t="shared" si="27"/>
        <v>Attended</v>
      </c>
      <c r="M587">
        <f t="shared" si="28"/>
        <v>0</v>
      </c>
      <c r="N587" t="str">
        <f t="shared" si="29"/>
        <v>Saturday</v>
      </c>
      <c r="O58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88" spans="1:15" x14ac:dyDescent="0.25">
      <c r="A588">
        <v>5586</v>
      </c>
      <c r="B588">
        <v>1209</v>
      </c>
      <c r="C588">
        <v>1027</v>
      </c>
      <c r="D588" t="s">
        <v>21</v>
      </c>
      <c r="E588" s="1">
        <v>45601</v>
      </c>
      <c r="F588">
        <v>2115</v>
      </c>
      <c r="G588" t="s">
        <v>10</v>
      </c>
      <c r="H588" t="s">
        <v>19</v>
      </c>
      <c r="I588" t="s">
        <v>1912</v>
      </c>
      <c r="J588" t="str" cm="1">
        <f t="array" ref="J588">_xlfn.IFS(HOUR(I588)&lt;12,"Morning",HOUR(I588)&lt;17,"Afternoon",TRUE,"Evening")</f>
        <v>Morning</v>
      </c>
      <c r="K588" t="s">
        <v>12</v>
      </c>
      <c r="L588" t="str">
        <f t="shared" si="27"/>
        <v>Attended</v>
      </c>
      <c r="M588">
        <f t="shared" si="28"/>
        <v>0</v>
      </c>
      <c r="N588" t="str">
        <f t="shared" si="29"/>
        <v>Tuesday</v>
      </c>
      <c r="O58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89" spans="1:15" x14ac:dyDescent="0.25">
      <c r="A589">
        <v>5587</v>
      </c>
      <c r="B589">
        <v>305</v>
      </c>
      <c r="C589">
        <v>1020</v>
      </c>
      <c r="D589" t="s">
        <v>26</v>
      </c>
      <c r="E589" s="1">
        <v>45656</v>
      </c>
      <c r="F589">
        <v>1711</v>
      </c>
      <c r="G589" t="s">
        <v>14</v>
      </c>
      <c r="H589" t="s">
        <v>15</v>
      </c>
      <c r="I589" t="s">
        <v>1931</v>
      </c>
      <c r="J589" t="str" cm="1">
        <f t="array" ref="J589">_xlfn.IFS(HOUR(I589)&lt;12,"Morning",HOUR(I589)&lt;17,"Afternoon",TRUE,"Evening")</f>
        <v>Afternoon</v>
      </c>
      <c r="K589" t="s">
        <v>12</v>
      </c>
      <c r="L589" t="str">
        <f t="shared" si="27"/>
        <v>Attended</v>
      </c>
      <c r="M589">
        <f t="shared" si="28"/>
        <v>0</v>
      </c>
      <c r="N589" t="str">
        <f t="shared" si="29"/>
        <v>Monday</v>
      </c>
      <c r="O58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90" spans="1:15" x14ac:dyDescent="0.25">
      <c r="A590">
        <v>5588</v>
      </c>
      <c r="B590">
        <v>929</v>
      </c>
      <c r="C590">
        <v>1024</v>
      </c>
      <c r="D590" t="s">
        <v>16</v>
      </c>
      <c r="E590" s="1">
        <v>45520</v>
      </c>
      <c r="F590">
        <v>2201</v>
      </c>
      <c r="G590" t="s">
        <v>17</v>
      </c>
      <c r="H590" t="s">
        <v>19</v>
      </c>
      <c r="I590" t="s">
        <v>1933</v>
      </c>
      <c r="J590" t="str" cm="1">
        <f t="array" ref="J590">_xlfn.IFS(HOUR(I590)&lt;12,"Morning",HOUR(I590)&lt;17,"Afternoon",TRUE,"Evening")</f>
        <v>Evening</v>
      </c>
      <c r="K590" t="s">
        <v>12</v>
      </c>
      <c r="L590" t="str">
        <f t="shared" si="27"/>
        <v>Attended</v>
      </c>
      <c r="M590">
        <f t="shared" si="28"/>
        <v>0</v>
      </c>
      <c r="N590" t="str">
        <f t="shared" si="29"/>
        <v>Friday</v>
      </c>
      <c r="O59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91" spans="1:15" x14ac:dyDescent="0.25">
      <c r="A591">
        <v>5589</v>
      </c>
      <c r="B591">
        <v>1358</v>
      </c>
      <c r="C591">
        <v>1027</v>
      </c>
      <c r="D591" t="s">
        <v>24</v>
      </c>
      <c r="E591" s="1">
        <v>45647</v>
      </c>
      <c r="F591">
        <v>1889</v>
      </c>
      <c r="G591" t="s">
        <v>17</v>
      </c>
      <c r="H591" t="s">
        <v>19</v>
      </c>
      <c r="I591" t="s">
        <v>1941</v>
      </c>
      <c r="J591" t="str" cm="1">
        <f t="array" ref="J591">_xlfn.IFS(HOUR(I591)&lt;12,"Morning",HOUR(I591)&lt;17,"Afternoon",TRUE,"Evening")</f>
        <v>Morning</v>
      </c>
      <c r="K591" t="s">
        <v>12</v>
      </c>
      <c r="L591" t="str">
        <f t="shared" si="27"/>
        <v>Attended</v>
      </c>
      <c r="M591">
        <f t="shared" si="28"/>
        <v>0</v>
      </c>
      <c r="N591" t="str">
        <f t="shared" si="29"/>
        <v>Saturday</v>
      </c>
      <c r="O59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92" spans="1:15" x14ac:dyDescent="0.25">
      <c r="A592">
        <v>5590</v>
      </c>
      <c r="B592">
        <v>737</v>
      </c>
      <c r="C592">
        <v>1024</v>
      </c>
      <c r="D592" t="s">
        <v>16</v>
      </c>
      <c r="E592" s="1">
        <v>45674</v>
      </c>
      <c r="F592">
        <v>1680</v>
      </c>
      <c r="G592" t="s">
        <v>25</v>
      </c>
      <c r="H592" t="s">
        <v>11</v>
      </c>
      <c r="I592" t="s">
        <v>1909</v>
      </c>
      <c r="J592" t="str" cm="1">
        <f t="array" ref="J592">_xlfn.IFS(HOUR(I592)&lt;12,"Morning",HOUR(I592)&lt;17,"Afternoon",TRUE,"Evening")</f>
        <v>Afternoon</v>
      </c>
      <c r="K592" t="s">
        <v>12</v>
      </c>
      <c r="L592" t="str">
        <f t="shared" si="27"/>
        <v>Attended</v>
      </c>
      <c r="M592">
        <f t="shared" si="28"/>
        <v>0</v>
      </c>
      <c r="N592" t="str">
        <f t="shared" si="29"/>
        <v>Friday</v>
      </c>
      <c r="O59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93" spans="1:15" x14ac:dyDescent="0.25">
      <c r="A593">
        <v>5591</v>
      </c>
      <c r="B593">
        <v>1585</v>
      </c>
      <c r="C593">
        <v>1003</v>
      </c>
      <c r="D593" t="s">
        <v>18</v>
      </c>
      <c r="E593" s="1">
        <v>45650</v>
      </c>
      <c r="F593">
        <v>838</v>
      </c>
      <c r="G593" t="s">
        <v>10</v>
      </c>
      <c r="H593" t="s">
        <v>19</v>
      </c>
      <c r="I593" t="s">
        <v>1930</v>
      </c>
      <c r="J593" t="str" cm="1">
        <f t="array" ref="J593">_xlfn.IFS(HOUR(I593)&lt;12,"Morning",HOUR(I593)&lt;17,"Afternoon",TRUE,"Evening")</f>
        <v>Morning</v>
      </c>
      <c r="K593" t="s">
        <v>12</v>
      </c>
      <c r="L593" t="str">
        <f t="shared" si="27"/>
        <v>Attended</v>
      </c>
      <c r="M593">
        <f t="shared" si="28"/>
        <v>0</v>
      </c>
      <c r="N593" t="str">
        <f t="shared" si="29"/>
        <v>Tuesday</v>
      </c>
      <c r="O5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94" spans="1:15" x14ac:dyDescent="0.25">
      <c r="A594">
        <v>5592</v>
      </c>
      <c r="B594">
        <v>1168</v>
      </c>
      <c r="C594">
        <v>1020</v>
      </c>
      <c r="D594" t="s">
        <v>26</v>
      </c>
      <c r="E594" s="1">
        <v>45521</v>
      </c>
      <c r="F594">
        <v>1342</v>
      </c>
      <c r="G594" t="s">
        <v>14</v>
      </c>
      <c r="H594" t="s">
        <v>15</v>
      </c>
      <c r="I594" t="s">
        <v>1920</v>
      </c>
      <c r="J594" t="str" cm="1">
        <f t="array" ref="J594">_xlfn.IFS(HOUR(I594)&lt;12,"Morning",HOUR(I594)&lt;17,"Afternoon",TRUE,"Evening")</f>
        <v>Morning</v>
      </c>
      <c r="K594" t="s">
        <v>20</v>
      </c>
      <c r="L594" t="str">
        <f t="shared" si="27"/>
        <v>No Show</v>
      </c>
      <c r="M594">
        <f t="shared" si="28"/>
        <v>1</v>
      </c>
      <c r="N594" t="str">
        <f t="shared" si="29"/>
        <v>Saturday</v>
      </c>
      <c r="O59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95" spans="1:15" x14ac:dyDescent="0.25">
      <c r="A595">
        <v>5593</v>
      </c>
      <c r="B595">
        <v>1291</v>
      </c>
      <c r="C595">
        <v>1027</v>
      </c>
      <c r="D595" t="s">
        <v>9</v>
      </c>
      <c r="E595" s="1">
        <v>45753</v>
      </c>
      <c r="F595">
        <v>2479</v>
      </c>
      <c r="G595" t="s">
        <v>14</v>
      </c>
      <c r="H595" t="s">
        <v>19</v>
      </c>
      <c r="I595" t="s">
        <v>1914</v>
      </c>
      <c r="J595" t="str" cm="1">
        <f t="array" ref="J595">_xlfn.IFS(HOUR(I595)&lt;12,"Morning",HOUR(I595)&lt;17,"Afternoon",TRUE,"Evening")</f>
        <v>Afternoon</v>
      </c>
      <c r="K595" t="s">
        <v>12</v>
      </c>
      <c r="L595" t="str">
        <f t="shared" si="27"/>
        <v>Attended</v>
      </c>
      <c r="M595">
        <f t="shared" si="28"/>
        <v>0</v>
      </c>
      <c r="N595" t="str">
        <f t="shared" si="29"/>
        <v>Sunday</v>
      </c>
      <c r="O59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96" spans="1:15" x14ac:dyDescent="0.25">
      <c r="A596">
        <v>5594</v>
      </c>
      <c r="B596">
        <v>752</v>
      </c>
      <c r="C596">
        <v>1027</v>
      </c>
      <c r="D596" t="s">
        <v>21</v>
      </c>
      <c r="E596" s="1">
        <v>45836</v>
      </c>
      <c r="F596">
        <v>1033</v>
      </c>
      <c r="G596" t="s">
        <v>25</v>
      </c>
      <c r="H596" t="s">
        <v>11</v>
      </c>
      <c r="I596" t="s">
        <v>1906</v>
      </c>
      <c r="J596" t="str" cm="1">
        <f t="array" ref="J596">_xlfn.IFS(HOUR(I596)&lt;12,"Morning",HOUR(I596)&lt;17,"Afternoon",TRUE,"Evening")</f>
        <v>Afternoon</v>
      </c>
      <c r="K596" t="s">
        <v>23</v>
      </c>
      <c r="L596" t="str">
        <f t="shared" si="27"/>
        <v>No Show</v>
      </c>
      <c r="M596">
        <f t="shared" si="28"/>
        <v>1</v>
      </c>
      <c r="N596" t="str">
        <f t="shared" si="29"/>
        <v>Saturday</v>
      </c>
      <c r="O59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97" spans="1:15" x14ac:dyDescent="0.25">
      <c r="A597">
        <v>5595</v>
      </c>
      <c r="B597">
        <v>928</v>
      </c>
      <c r="C597">
        <v>1027</v>
      </c>
      <c r="D597" t="s">
        <v>24</v>
      </c>
      <c r="E597" s="1">
        <v>45613</v>
      </c>
      <c r="F597">
        <v>1889</v>
      </c>
      <c r="G597" t="s">
        <v>17</v>
      </c>
      <c r="H597" t="s">
        <v>15</v>
      </c>
      <c r="I597" t="s">
        <v>1931</v>
      </c>
      <c r="J597" t="str" cm="1">
        <f t="array" ref="J597">_xlfn.IFS(HOUR(I597)&lt;12,"Morning",HOUR(I597)&lt;17,"Afternoon",TRUE,"Evening")</f>
        <v>Afternoon</v>
      </c>
      <c r="K597" t="s">
        <v>12</v>
      </c>
      <c r="L597" t="str">
        <f t="shared" si="27"/>
        <v>Attended</v>
      </c>
      <c r="M597">
        <f t="shared" si="28"/>
        <v>0</v>
      </c>
      <c r="N597" t="str">
        <f t="shared" si="29"/>
        <v>Sunday</v>
      </c>
      <c r="O59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598" spans="1:15" x14ac:dyDescent="0.25">
      <c r="A598">
        <v>5596</v>
      </c>
      <c r="B598">
        <v>407</v>
      </c>
      <c r="C598">
        <v>1008</v>
      </c>
      <c r="D598" t="s">
        <v>13</v>
      </c>
      <c r="E598" s="1">
        <v>45700</v>
      </c>
      <c r="F598">
        <v>1561</v>
      </c>
      <c r="G598" t="s">
        <v>14</v>
      </c>
      <c r="H598" t="s">
        <v>19</v>
      </c>
      <c r="I598" t="s">
        <v>1921</v>
      </c>
      <c r="J598" t="str" cm="1">
        <f t="array" ref="J598">_xlfn.IFS(HOUR(I598)&lt;12,"Morning",HOUR(I598)&lt;17,"Afternoon",TRUE,"Evening")</f>
        <v>Afternoon</v>
      </c>
      <c r="K598" t="s">
        <v>12</v>
      </c>
      <c r="L598" t="str">
        <f t="shared" si="27"/>
        <v>Attended</v>
      </c>
      <c r="M598">
        <f t="shared" si="28"/>
        <v>0</v>
      </c>
      <c r="N598" t="str">
        <f t="shared" si="29"/>
        <v>Wednesday</v>
      </c>
      <c r="O59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599" spans="1:15" x14ac:dyDescent="0.25">
      <c r="A599">
        <v>5597</v>
      </c>
      <c r="B599">
        <v>809</v>
      </c>
      <c r="C599">
        <v>1008</v>
      </c>
      <c r="D599" t="s">
        <v>13</v>
      </c>
      <c r="E599" s="1">
        <v>45779</v>
      </c>
      <c r="F599">
        <v>1700</v>
      </c>
      <c r="G599" t="s">
        <v>17</v>
      </c>
      <c r="H599" t="s">
        <v>19</v>
      </c>
      <c r="I599" t="s">
        <v>1925</v>
      </c>
      <c r="J599" t="str" cm="1">
        <f t="array" ref="J599">_xlfn.IFS(HOUR(I599)&lt;12,"Morning",HOUR(I599)&lt;17,"Afternoon",TRUE,"Evening")</f>
        <v>Afternoon</v>
      </c>
      <c r="K599" t="s">
        <v>12</v>
      </c>
      <c r="L599" t="str">
        <f t="shared" si="27"/>
        <v>Attended</v>
      </c>
      <c r="M599">
        <f t="shared" si="28"/>
        <v>0</v>
      </c>
      <c r="N599" t="str">
        <f t="shared" si="29"/>
        <v>Friday</v>
      </c>
      <c r="O59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0" spans="1:15" x14ac:dyDescent="0.25">
      <c r="A600">
        <v>5598</v>
      </c>
      <c r="B600">
        <v>336</v>
      </c>
      <c r="C600">
        <v>1024</v>
      </c>
      <c r="D600" t="s">
        <v>16</v>
      </c>
      <c r="E600" s="1">
        <v>45670</v>
      </c>
      <c r="F600">
        <v>2427</v>
      </c>
      <c r="G600" t="s">
        <v>25</v>
      </c>
      <c r="H600" t="s">
        <v>15</v>
      </c>
      <c r="I600" t="s">
        <v>1907</v>
      </c>
      <c r="J600" t="str" cm="1">
        <f t="array" ref="J600">_xlfn.IFS(HOUR(I600)&lt;12,"Morning",HOUR(I600)&lt;17,"Afternoon",TRUE,"Evening")</f>
        <v>Afternoon</v>
      </c>
      <c r="K600" t="s">
        <v>12</v>
      </c>
      <c r="L600" t="str">
        <f t="shared" si="27"/>
        <v>Attended</v>
      </c>
      <c r="M600">
        <f t="shared" si="28"/>
        <v>0</v>
      </c>
      <c r="N600" t="str">
        <f t="shared" si="29"/>
        <v>Monday</v>
      </c>
      <c r="O60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1" spans="1:15" x14ac:dyDescent="0.25">
      <c r="A601">
        <v>5599</v>
      </c>
      <c r="B601">
        <v>1571</v>
      </c>
      <c r="C601">
        <v>1008</v>
      </c>
      <c r="D601" t="s">
        <v>13</v>
      </c>
      <c r="E601" s="1">
        <v>45747</v>
      </c>
      <c r="F601">
        <v>1198</v>
      </c>
      <c r="G601" t="s">
        <v>17</v>
      </c>
      <c r="H601" t="s">
        <v>15</v>
      </c>
      <c r="I601" t="s">
        <v>1904</v>
      </c>
      <c r="J601" t="str" cm="1">
        <f t="array" ref="J601">_xlfn.IFS(HOUR(I601)&lt;12,"Morning",HOUR(I601)&lt;17,"Afternoon",TRUE,"Evening")</f>
        <v>Evening</v>
      </c>
      <c r="K601" t="s">
        <v>12</v>
      </c>
      <c r="L601" t="str">
        <f t="shared" si="27"/>
        <v>Attended</v>
      </c>
      <c r="M601">
        <f t="shared" si="28"/>
        <v>0</v>
      </c>
      <c r="N601" t="str">
        <f t="shared" si="29"/>
        <v>Monday</v>
      </c>
      <c r="O60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2" spans="1:15" x14ac:dyDescent="0.25">
      <c r="A602">
        <v>5600</v>
      </c>
      <c r="B602">
        <v>678</v>
      </c>
      <c r="C602">
        <v>1008</v>
      </c>
      <c r="D602" t="s">
        <v>13</v>
      </c>
      <c r="E602" s="1">
        <v>45825</v>
      </c>
      <c r="F602">
        <v>1690</v>
      </c>
      <c r="G602" t="s">
        <v>25</v>
      </c>
      <c r="H602" t="s">
        <v>19</v>
      </c>
      <c r="I602" t="s">
        <v>1927</v>
      </c>
      <c r="J602" t="str" cm="1">
        <f t="array" ref="J602">_xlfn.IFS(HOUR(I602)&lt;12,"Morning",HOUR(I602)&lt;17,"Afternoon",TRUE,"Evening")</f>
        <v>Afternoon</v>
      </c>
      <c r="K602" t="s">
        <v>23</v>
      </c>
      <c r="L602" t="str">
        <f t="shared" si="27"/>
        <v>No Show</v>
      </c>
      <c r="M602">
        <f t="shared" si="28"/>
        <v>1</v>
      </c>
      <c r="N602" t="str">
        <f t="shared" si="29"/>
        <v>Tuesday</v>
      </c>
      <c r="O60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3" spans="1:15" x14ac:dyDescent="0.25">
      <c r="A603">
        <v>5601</v>
      </c>
      <c r="B603">
        <v>193</v>
      </c>
      <c r="C603">
        <v>1027</v>
      </c>
      <c r="D603" t="s">
        <v>27</v>
      </c>
      <c r="E603" s="1">
        <v>45526</v>
      </c>
      <c r="F603">
        <v>1010</v>
      </c>
      <c r="G603" t="s">
        <v>25</v>
      </c>
      <c r="H603" t="s">
        <v>11</v>
      </c>
      <c r="I603" t="s">
        <v>1934</v>
      </c>
      <c r="J603" t="str" cm="1">
        <f t="array" ref="J603">_xlfn.IFS(HOUR(I603)&lt;12,"Morning",HOUR(I603)&lt;17,"Afternoon",TRUE,"Evening")</f>
        <v>Afternoon</v>
      </c>
      <c r="K603" t="s">
        <v>12</v>
      </c>
      <c r="L603" t="str">
        <f t="shared" si="27"/>
        <v>Attended</v>
      </c>
      <c r="M603">
        <f t="shared" si="28"/>
        <v>0</v>
      </c>
      <c r="N603" t="str">
        <f t="shared" si="29"/>
        <v>Thursday</v>
      </c>
      <c r="O60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4" spans="1:15" x14ac:dyDescent="0.25">
      <c r="A604">
        <v>5602</v>
      </c>
      <c r="B604">
        <v>1037</v>
      </c>
      <c r="C604">
        <v>1009</v>
      </c>
      <c r="D604" t="s">
        <v>13</v>
      </c>
      <c r="E604" s="1">
        <v>45619</v>
      </c>
      <c r="F604">
        <v>2157</v>
      </c>
      <c r="G604" t="s">
        <v>17</v>
      </c>
      <c r="H604" t="s">
        <v>19</v>
      </c>
      <c r="I604" t="s">
        <v>1930</v>
      </c>
      <c r="J604" t="str" cm="1">
        <f t="array" ref="J604">_xlfn.IFS(HOUR(I604)&lt;12,"Morning",HOUR(I604)&lt;17,"Afternoon",TRUE,"Evening")</f>
        <v>Morning</v>
      </c>
      <c r="K604" t="s">
        <v>12</v>
      </c>
      <c r="L604" t="str">
        <f t="shared" si="27"/>
        <v>Attended</v>
      </c>
      <c r="M604">
        <f t="shared" si="28"/>
        <v>0</v>
      </c>
      <c r="N604" t="str">
        <f t="shared" si="29"/>
        <v>Saturday</v>
      </c>
      <c r="O60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05" spans="1:15" x14ac:dyDescent="0.25">
      <c r="A605">
        <v>5603</v>
      </c>
      <c r="B605">
        <v>692</v>
      </c>
      <c r="C605">
        <v>1027</v>
      </c>
      <c r="D605" t="s">
        <v>22</v>
      </c>
      <c r="E605" s="1">
        <v>45758</v>
      </c>
      <c r="F605">
        <v>1721</v>
      </c>
      <c r="G605" t="s">
        <v>25</v>
      </c>
      <c r="H605" t="s">
        <v>19</v>
      </c>
      <c r="I605" t="s">
        <v>1938</v>
      </c>
      <c r="J605" t="str" cm="1">
        <f t="array" ref="J605">_xlfn.IFS(HOUR(I605)&lt;12,"Morning",HOUR(I605)&lt;17,"Afternoon",TRUE,"Evening")</f>
        <v>Afternoon</v>
      </c>
      <c r="K605" t="s">
        <v>12</v>
      </c>
      <c r="L605" t="str">
        <f t="shared" si="27"/>
        <v>Attended</v>
      </c>
      <c r="M605">
        <f t="shared" si="28"/>
        <v>0</v>
      </c>
      <c r="N605" t="str">
        <f t="shared" si="29"/>
        <v>Friday</v>
      </c>
      <c r="O60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6" spans="1:15" x14ac:dyDescent="0.25">
      <c r="A606">
        <v>5604</v>
      </c>
      <c r="B606">
        <v>1094</v>
      </c>
      <c r="C606">
        <v>1001</v>
      </c>
      <c r="D606" t="s">
        <v>18</v>
      </c>
      <c r="E606" s="1">
        <v>45644</v>
      </c>
      <c r="F606">
        <v>2189</v>
      </c>
      <c r="G606" t="s">
        <v>17</v>
      </c>
      <c r="H606" t="s">
        <v>19</v>
      </c>
      <c r="I606" t="s">
        <v>1917</v>
      </c>
      <c r="J606" t="str" cm="1">
        <f t="array" ref="J606">_xlfn.IFS(HOUR(I606)&lt;12,"Morning",HOUR(I606)&lt;17,"Afternoon",TRUE,"Evening")</f>
        <v>Afternoon</v>
      </c>
      <c r="K606" t="s">
        <v>12</v>
      </c>
      <c r="L606" t="str">
        <f t="shared" si="27"/>
        <v>Attended</v>
      </c>
      <c r="M606">
        <f t="shared" si="28"/>
        <v>0</v>
      </c>
      <c r="N606" t="str">
        <f t="shared" si="29"/>
        <v>Wednesday</v>
      </c>
      <c r="O60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7" spans="1:15" x14ac:dyDescent="0.25">
      <c r="A607">
        <v>5605</v>
      </c>
      <c r="B607">
        <v>259</v>
      </c>
      <c r="C607">
        <v>1001</v>
      </c>
      <c r="D607" t="s">
        <v>22</v>
      </c>
      <c r="E607" s="1">
        <v>45719</v>
      </c>
      <c r="F607">
        <v>864</v>
      </c>
      <c r="G607" t="s">
        <v>25</v>
      </c>
      <c r="H607" t="s">
        <v>19</v>
      </c>
      <c r="I607" t="s">
        <v>1910</v>
      </c>
      <c r="J607" t="str" cm="1">
        <f t="array" ref="J607">_xlfn.IFS(HOUR(I607)&lt;12,"Morning",HOUR(I607)&lt;17,"Afternoon",TRUE,"Evening")</f>
        <v>Evening</v>
      </c>
      <c r="K607" t="s">
        <v>12</v>
      </c>
      <c r="L607" t="str">
        <f t="shared" si="27"/>
        <v>Attended</v>
      </c>
      <c r="M607">
        <f t="shared" si="28"/>
        <v>0</v>
      </c>
      <c r="N607" t="str">
        <f t="shared" si="29"/>
        <v>Monday</v>
      </c>
      <c r="O60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8" spans="1:15" x14ac:dyDescent="0.25">
      <c r="A608">
        <v>5606</v>
      </c>
      <c r="B608">
        <v>1218</v>
      </c>
      <c r="C608">
        <v>1027</v>
      </c>
      <c r="D608" t="s">
        <v>22</v>
      </c>
      <c r="E608" s="1">
        <v>45539</v>
      </c>
      <c r="F608">
        <v>2095</v>
      </c>
      <c r="G608" t="s">
        <v>14</v>
      </c>
      <c r="H608" t="s">
        <v>11</v>
      </c>
      <c r="I608" t="s">
        <v>1908</v>
      </c>
      <c r="J608" t="str" cm="1">
        <f t="array" ref="J608">_xlfn.IFS(HOUR(I608)&lt;12,"Morning",HOUR(I608)&lt;17,"Afternoon",TRUE,"Evening")</f>
        <v>Morning</v>
      </c>
      <c r="K608" t="s">
        <v>12</v>
      </c>
      <c r="L608" t="str">
        <f t="shared" si="27"/>
        <v>Attended</v>
      </c>
      <c r="M608">
        <f t="shared" si="28"/>
        <v>0</v>
      </c>
      <c r="N608" t="str">
        <f t="shared" si="29"/>
        <v>Wednesday</v>
      </c>
      <c r="O60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09" spans="1:15" x14ac:dyDescent="0.25">
      <c r="A609">
        <v>5607</v>
      </c>
      <c r="B609">
        <v>690</v>
      </c>
      <c r="C609">
        <v>1027</v>
      </c>
      <c r="D609" t="s">
        <v>21</v>
      </c>
      <c r="E609" s="1">
        <v>45687</v>
      </c>
      <c r="F609">
        <v>2375</v>
      </c>
      <c r="G609" t="s">
        <v>14</v>
      </c>
      <c r="H609" t="s">
        <v>15</v>
      </c>
      <c r="I609" t="s">
        <v>1911</v>
      </c>
      <c r="J609" t="str" cm="1">
        <f t="array" ref="J609">_xlfn.IFS(HOUR(I609)&lt;12,"Morning",HOUR(I609)&lt;17,"Afternoon",TRUE,"Evening")</f>
        <v>Morning</v>
      </c>
      <c r="K609" t="s">
        <v>28</v>
      </c>
      <c r="L609" t="str">
        <f t="shared" si="27"/>
        <v>No Show</v>
      </c>
      <c r="M609">
        <f t="shared" si="28"/>
        <v>1</v>
      </c>
      <c r="N609" t="str">
        <f t="shared" si="29"/>
        <v>Thursday</v>
      </c>
      <c r="O60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10" spans="1:15" x14ac:dyDescent="0.25">
      <c r="A610">
        <v>5608</v>
      </c>
      <c r="B610">
        <v>735</v>
      </c>
      <c r="C610">
        <v>1020</v>
      </c>
      <c r="D610" t="s">
        <v>26</v>
      </c>
      <c r="E610" s="1">
        <v>45661</v>
      </c>
      <c r="F610">
        <v>1075</v>
      </c>
      <c r="G610" t="s">
        <v>17</v>
      </c>
      <c r="H610" t="s">
        <v>11</v>
      </c>
      <c r="I610" t="s">
        <v>1920</v>
      </c>
      <c r="J610" t="str" cm="1">
        <f t="array" ref="J610">_xlfn.IFS(HOUR(I610)&lt;12,"Morning",HOUR(I610)&lt;17,"Afternoon",TRUE,"Evening")</f>
        <v>Morning</v>
      </c>
      <c r="K610" t="s">
        <v>12</v>
      </c>
      <c r="L610" t="str">
        <f t="shared" si="27"/>
        <v>Attended</v>
      </c>
      <c r="M610">
        <f t="shared" si="28"/>
        <v>0</v>
      </c>
      <c r="N610" t="str">
        <f t="shared" si="29"/>
        <v>Saturday</v>
      </c>
      <c r="O61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11" spans="1:15" x14ac:dyDescent="0.25">
      <c r="A611">
        <v>5609</v>
      </c>
      <c r="B611">
        <v>1521</v>
      </c>
      <c r="C611">
        <v>1020</v>
      </c>
      <c r="D611" t="s">
        <v>26</v>
      </c>
      <c r="E611" s="1">
        <v>45718</v>
      </c>
      <c r="F611">
        <v>1178</v>
      </c>
      <c r="G611" t="s">
        <v>10</v>
      </c>
      <c r="H611" t="s">
        <v>15</v>
      </c>
      <c r="I611" t="s">
        <v>1907</v>
      </c>
      <c r="J611" t="str" cm="1">
        <f t="array" ref="J611">_xlfn.IFS(HOUR(I611)&lt;12,"Morning",HOUR(I611)&lt;17,"Afternoon",TRUE,"Evening")</f>
        <v>Afternoon</v>
      </c>
      <c r="K611" t="s">
        <v>12</v>
      </c>
      <c r="L611" t="str">
        <f t="shared" si="27"/>
        <v>Attended</v>
      </c>
      <c r="M611">
        <f t="shared" si="28"/>
        <v>0</v>
      </c>
      <c r="N611" t="str">
        <f t="shared" si="29"/>
        <v>Sunday</v>
      </c>
      <c r="O61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12" spans="1:15" x14ac:dyDescent="0.25">
      <c r="A612">
        <v>5610</v>
      </c>
      <c r="B612">
        <v>755</v>
      </c>
      <c r="C612">
        <v>1001</v>
      </c>
      <c r="D612" t="s">
        <v>22</v>
      </c>
      <c r="E612" s="1">
        <v>45533</v>
      </c>
      <c r="F612">
        <v>1617</v>
      </c>
      <c r="G612" t="s">
        <v>25</v>
      </c>
      <c r="H612" t="s">
        <v>19</v>
      </c>
      <c r="I612" t="s">
        <v>1940</v>
      </c>
      <c r="J612" t="str" cm="1">
        <f t="array" ref="J612">_xlfn.IFS(HOUR(I612)&lt;12,"Morning",HOUR(I612)&lt;17,"Afternoon",TRUE,"Evening")</f>
        <v>Morning</v>
      </c>
      <c r="K612" t="s">
        <v>12</v>
      </c>
      <c r="L612" t="str">
        <f t="shared" si="27"/>
        <v>Attended</v>
      </c>
      <c r="M612">
        <f t="shared" si="28"/>
        <v>0</v>
      </c>
      <c r="N612" t="str">
        <f t="shared" si="29"/>
        <v>Thursday</v>
      </c>
      <c r="O6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13" spans="1:15" x14ac:dyDescent="0.25">
      <c r="A613">
        <v>5611</v>
      </c>
      <c r="B613">
        <v>189</v>
      </c>
      <c r="C613">
        <v>1027</v>
      </c>
      <c r="D613" t="s">
        <v>27</v>
      </c>
      <c r="E613" s="1">
        <v>45546</v>
      </c>
      <c r="F613">
        <v>1234</v>
      </c>
      <c r="G613" t="s">
        <v>10</v>
      </c>
      <c r="H613" t="s">
        <v>19</v>
      </c>
      <c r="I613" t="s">
        <v>1924</v>
      </c>
      <c r="J613" t="str" cm="1">
        <f t="array" ref="J613">_xlfn.IFS(HOUR(I613)&lt;12,"Morning",HOUR(I613)&lt;17,"Afternoon",TRUE,"Evening")</f>
        <v>Afternoon</v>
      </c>
      <c r="K613" t="s">
        <v>12</v>
      </c>
      <c r="L613" t="str">
        <f t="shared" si="27"/>
        <v>Attended</v>
      </c>
      <c r="M613">
        <f t="shared" si="28"/>
        <v>0</v>
      </c>
      <c r="N613" t="str">
        <f t="shared" si="29"/>
        <v>Wednesday</v>
      </c>
      <c r="O6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14" spans="1:15" x14ac:dyDescent="0.25">
      <c r="A614">
        <v>5612</v>
      </c>
      <c r="B614">
        <v>1068</v>
      </c>
      <c r="C614">
        <v>1027</v>
      </c>
      <c r="D614" t="s">
        <v>9</v>
      </c>
      <c r="E614" s="1">
        <v>45589</v>
      </c>
      <c r="F614">
        <v>2106</v>
      </c>
      <c r="G614" t="s">
        <v>10</v>
      </c>
      <c r="H614" t="s">
        <v>15</v>
      </c>
      <c r="I614" t="s">
        <v>1937</v>
      </c>
      <c r="J614" t="str" cm="1">
        <f t="array" ref="J614">_xlfn.IFS(HOUR(I614)&lt;12,"Morning",HOUR(I614)&lt;17,"Afternoon",TRUE,"Evening")</f>
        <v>Morning</v>
      </c>
      <c r="K614" t="s">
        <v>12</v>
      </c>
      <c r="L614" t="str">
        <f t="shared" si="27"/>
        <v>Attended</v>
      </c>
      <c r="M614">
        <f t="shared" si="28"/>
        <v>0</v>
      </c>
      <c r="N614" t="str">
        <f t="shared" si="29"/>
        <v>Thursday</v>
      </c>
      <c r="O61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15" spans="1:15" x14ac:dyDescent="0.25">
      <c r="A615">
        <v>5613</v>
      </c>
      <c r="B615">
        <v>1363</v>
      </c>
      <c r="C615">
        <v>1027</v>
      </c>
      <c r="D615" t="s">
        <v>21</v>
      </c>
      <c r="E615" s="1">
        <v>45538</v>
      </c>
      <c r="F615">
        <v>1499</v>
      </c>
      <c r="G615" t="s">
        <v>10</v>
      </c>
      <c r="H615" t="s">
        <v>15</v>
      </c>
      <c r="I615" t="s">
        <v>1909</v>
      </c>
      <c r="J615" t="str" cm="1">
        <f t="array" ref="J615">_xlfn.IFS(HOUR(I615)&lt;12,"Morning",HOUR(I615)&lt;17,"Afternoon",TRUE,"Evening")</f>
        <v>Afternoon</v>
      </c>
      <c r="K615" t="s">
        <v>12</v>
      </c>
      <c r="L615" t="str">
        <f t="shared" si="27"/>
        <v>Attended</v>
      </c>
      <c r="M615">
        <f t="shared" si="28"/>
        <v>0</v>
      </c>
      <c r="N615" t="str">
        <f t="shared" si="29"/>
        <v>Tuesday</v>
      </c>
      <c r="O61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16" spans="1:15" x14ac:dyDescent="0.25">
      <c r="A616">
        <v>5614</v>
      </c>
      <c r="B616">
        <v>160</v>
      </c>
      <c r="C616">
        <v>1027</v>
      </c>
      <c r="D616" t="s">
        <v>9</v>
      </c>
      <c r="E616" s="1">
        <v>45826</v>
      </c>
      <c r="F616">
        <v>2209</v>
      </c>
      <c r="G616" t="s">
        <v>10</v>
      </c>
      <c r="H616" t="s">
        <v>19</v>
      </c>
      <c r="I616" t="s">
        <v>1905</v>
      </c>
      <c r="J616" t="str" cm="1">
        <f t="array" ref="J616">_xlfn.IFS(HOUR(I616)&lt;12,"Morning",HOUR(I616)&lt;17,"Afternoon",TRUE,"Evening")</f>
        <v>Morning</v>
      </c>
      <c r="K616" t="s">
        <v>23</v>
      </c>
      <c r="L616" t="str">
        <f t="shared" si="27"/>
        <v>No Show</v>
      </c>
      <c r="M616">
        <f t="shared" si="28"/>
        <v>1</v>
      </c>
      <c r="N616" t="str">
        <f t="shared" si="29"/>
        <v>Wednesday</v>
      </c>
      <c r="O61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17" spans="1:15" x14ac:dyDescent="0.25">
      <c r="A617">
        <v>5615</v>
      </c>
      <c r="B617">
        <v>1074</v>
      </c>
      <c r="C617">
        <v>1027</v>
      </c>
      <c r="D617" t="s">
        <v>21</v>
      </c>
      <c r="E617" s="1">
        <v>45815</v>
      </c>
      <c r="F617">
        <v>2338</v>
      </c>
      <c r="G617" t="s">
        <v>25</v>
      </c>
      <c r="H617" t="s">
        <v>19</v>
      </c>
      <c r="I617" t="s">
        <v>1941</v>
      </c>
      <c r="J617" t="str" cm="1">
        <f t="array" ref="J617">_xlfn.IFS(HOUR(I617)&lt;12,"Morning",HOUR(I617)&lt;17,"Afternoon",TRUE,"Evening")</f>
        <v>Morning</v>
      </c>
      <c r="K617" t="s">
        <v>23</v>
      </c>
      <c r="L617" t="str">
        <f t="shared" si="27"/>
        <v>No Show</v>
      </c>
      <c r="M617">
        <f t="shared" si="28"/>
        <v>1</v>
      </c>
      <c r="N617" t="str">
        <f t="shared" si="29"/>
        <v>Saturday</v>
      </c>
      <c r="O61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18" spans="1:15" x14ac:dyDescent="0.25">
      <c r="A618">
        <v>5616</v>
      </c>
      <c r="B618">
        <v>1564</v>
      </c>
      <c r="C618">
        <v>1027</v>
      </c>
      <c r="D618" t="s">
        <v>27</v>
      </c>
      <c r="E618" s="1">
        <v>45765</v>
      </c>
      <c r="F618">
        <v>829</v>
      </c>
      <c r="G618" t="s">
        <v>25</v>
      </c>
      <c r="H618" t="s">
        <v>19</v>
      </c>
      <c r="I618" t="s">
        <v>1931</v>
      </c>
      <c r="J618" t="str" cm="1">
        <f t="array" ref="J618">_xlfn.IFS(HOUR(I618)&lt;12,"Morning",HOUR(I618)&lt;17,"Afternoon",TRUE,"Evening")</f>
        <v>Afternoon</v>
      </c>
      <c r="K618" t="s">
        <v>28</v>
      </c>
      <c r="L618" t="str">
        <f t="shared" si="27"/>
        <v>No Show</v>
      </c>
      <c r="M618">
        <f t="shared" si="28"/>
        <v>1</v>
      </c>
      <c r="N618" t="str">
        <f t="shared" si="29"/>
        <v>Friday</v>
      </c>
      <c r="O61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19" spans="1:15" x14ac:dyDescent="0.25">
      <c r="A619">
        <v>5617</v>
      </c>
      <c r="B619">
        <v>1259</v>
      </c>
      <c r="C619">
        <v>1020</v>
      </c>
      <c r="D619" t="s">
        <v>26</v>
      </c>
      <c r="E619" s="1">
        <v>45808</v>
      </c>
      <c r="F619">
        <v>1350</v>
      </c>
      <c r="G619" t="s">
        <v>17</v>
      </c>
      <c r="H619" t="s">
        <v>15</v>
      </c>
      <c r="I619" t="s">
        <v>1921</v>
      </c>
      <c r="J619" t="str" cm="1">
        <f t="array" ref="J619">_xlfn.IFS(HOUR(I619)&lt;12,"Morning",HOUR(I619)&lt;17,"Afternoon",TRUE,"Evening")</f>
        <v>Afternoon</v>
      </c>
      <c r="K619" t="s">
        <v>12</v>
      </c>
      <c r="L619" t="str">
        <f t="shared" si="27"/>
        <v>Attended</v>
      </c>
      <c r="M619">
        <f t="shared" si="28"/>
        <v>0</v>
      </c>
      <c r="N619" t="str">
        <f t="shared" si="29"/>
        <v>Saturday</v>
      </c>
      <c r="O61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20" spans="1:15" x14ac:dyDescent="0.25">
      <c r="A620">
        <v>5618</v>
      </c>
      <c r="B620">
        <v>416</v>
      </c>
      <c r="C620">
        <v>1020</v>
      </c>
      <c r="D620" t="s">
        <v>26</v>
      </c>
      <c r="E620" s="1">
        <v>45729</v>
      </c>
      <c r="F620">
        <v>1101</v>
      </c>
      <c r="G620" t="s">
        <v>10</v>
      </c>
      <c r="H620" t="s">
        <v>19</v>
      </c>
      <c r="I620" t="s">
        <v>1925</v>
      </c>
      <c r="J620" t="str" cm="1">
        <f t="array" ref="J620">_xlfn.IFS(HOUR(I620)&lt;12,"Morning",HOUR(I620)&lt;17,"Afternoon",TRUE,"Evening")</f>
        <v>Afternoon</v>
      </c>
      <c r="K620" t="s">
        <v>12</v>
      </c>
      <c r="L620" t="str">
        <f t="shared" si="27"/>
        <v>Attended</v>
      </c>
      <c r="M620">
        <f t="shared" si="28"/>
        <v>0</v>
      </c>
      <c r="N620" t="str">
        <f t="shared" si="29"/>
        <v>Thursday</v>
      </c>
      <c r="O62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21" spans="1:15" x14ac:dyDescent="0.25">
      <c r="A621">
        <v>5619</v>
      </c>
      <c r="B621">
        <v>1217</v>
      </c>
      <c r="C621">
        <v>1009</v>
      </c>
      <c r="D621" t="s">
        <v>13</v>
      </c>
      <c r="E621" s="1">
        <v>45767</v>
      </c>
      <c r="F621">
        <v>1853</v>
      </c>
      <c r="G621" t="s">
        <v>17</v>
      </c>
      <c r="H621" t="s">
        <v>15</v>
      </c>
      <c r="I621" t="s">
        <v>1941</v>
      </c>
      <c r="J621" t="str" cm="1">
        <f t="array" ref="J621">_xlfn.IFS(HOUR(I621)&lt;12,"Morning",HOUR(I621)&lt;17,"Afternoon",TRUE,"Evening")</f>
        <v>Morning</v>
      </c>
      <c r="K621" t="s">
        <v>12</v>
      </c>
      <c r="L621" t="str">
        <f t="shared" si="27"/>
        <v>Attended</v>
      </c>
      <c r="M621">
        <f t="shared" si="28"/>
        <v>0</v>
      </c>
      <c r="N621" t="str">
        <f t="shared" si="29"/>
        <v>Sunday</v>
      </c>
      <c r="O62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22" spans="1:15" x14ac:dyDescent="0.25">
      <c r="A622">
        <v>5620</v>
      </c>
      <c r="B622">
        <v>1008</v>
      </c>
      <c r="C622">
        <v>1024</v>
      </c>
      <c r="D622" t="s">
        <v>16</v>
      </c>
      <c r="E622" s="1">
        <v>45818</v>
      </c>
      <c r="F622">
        <v>1953</v>
      </c>
      <c r="G622" t="s">
        <v>14</v>
      </c>
      <c r="H622" t="s">
        <v>19</v>
      </c>
      <c r="I622" t="s">
        <v>1923</v>
      </c>
      <c r="J622" t="str" cm="1">
        <f t="array" ref="J622">_xlfn.IFS(HOUR(I622)&lt;12,"Morning",HOUR(I622)&lt;17,"Afternoon",TRUE,"Evening")</f>
        <v>Evening</v>
      </c>
      <c r="K622" t="s">
        <v>23</v>
      </c>
      <c r="L622" t="str">
        <f t="shared" si="27"/>
        <v>No Show</v>
      </c>
      <c r="M622">
        <f t="shared" si="28"/>
        <v>1</v>
      </c>
      <c r="N622" t="str">
        <f t="shared" si="29"/>
        <v>Tuesday</v>
      </c>
      <c r="O6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23" spans="1:15" x14ac:dyDescent="0.25">
      <c r="A623">
        <v>5621</v>
      </c>
      <c r="B623">
        <v>1161</v>
      </c>
      <c r="C623">
        <v>1027</v>
      </c>
      <c r="D623" t="s">
        <v>21</v>
      </c>
      <c r="E623" s="1">
        <v>45622</v>
      </c>
      <c r="F623">
        <v>1821</v>
      </c>
      <c r="G623" t="s">
        <v>10</v>
      </c>
      <c r="H623" t="s">
        <v>15</v>
      </c>
      <c r="I623" t="s">
        <v>1931</v>
      </c>
      <c r="J623" t="str" cm="1">
        <f t="array" ref="J623">_xlfn.IFS(HOUR(I623)&lt;12,"Morning",HOUR(I623)&lt;17,"Afternoon",TRUE,"Evening")</f>
        <v>Afternoon</v>
      </c>
      <c r="K623" t="s">
        <v>28</v>
      </c>
      <c r="L623" t="str">
        <f t="shared" si="27"/>
        <v>No Show</v>
      </c>
      <c r="M623">
        <f t="shared" si="28"/>
        <v>1</v>
      </c>
      <c r="N623" t="str">
        <f t="shared" si="29"/>
        <v>Tuesday</v>
      </c>
      <c r="O6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24" spans="1:15" x14ac:dyDescent="0.25">
      <c r="A624">
        <v>5622</v>
      </c>
      <c r="B624">
        <v>1049</v>
      </c>
      <c r="C624">
        <v>1020</v>
      </c>
      <c r="D624" t="s">
        <v>26</v>
      </c>
      <c r="E624" s="1">
        <v>45716</v>
      </c>
      <c r="F624">
        <v>2495</v>
      </c>
      <c r="G624" t="s">
        <v>10</v>
      </c>
      <c r="H624" t="s">
        <v>15</v>
      </c>
      <c r="I624" t="s">
        <v>1908</v>
      </c>
      <c r="J624" t="str" cm="1">
        <f t="array" ref="J624">_xlfn.IFS(HOUR(I624)&lt;12,"Morning",HOUR(I624)&lt;17,"Afternoon",TRUE,"Evening")</f>
        <v>Morning</v>
      </c>
      <c r="K624" t="s">
        <v>12</v>
      </c>
      <c r="L624" t="str">
        <f t="shared" si="27"/>
        <v>Attended</v>
      </c>
      <c r="M624">
        <f t="shared" si="28"/>
        <v>0</v>
      </c>
      <c r="N624" t="str">
        <f t="shared" si="29"/>
        <v>Friday</v>
      </c>
      <c r="O62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25" spans="1:15" x14ac:dyDescent="0.25">
      <c r="A625">
        <v>5623</v>
      </c>
      <c r="B625">
        <v>1514</v>
      </c>
      <c r="C625">
        <v>1027</v>
      </c>
      <c r="D625" t="s">
        <v>21</v>
      </c>
      <c r="E625" s="1">
        <v>45670</v>
      </c>
      <c r="F625">
        <v>1716</v>
      </c>
      <c r="G625" t="s">
        <v>10</v>
      </c>
      <c r="H625" t="s">
        <v>15</v>
      </c>
      <c r="I625" t="s">
        <v>1905</v>
      </c>
      <c r="J625" t="str" cm="1">
        <f t="array" ref="J625">_xlfn.IFS(HOUR(I625)&lt;12,"Morning",HOUR(I625)&lt;17,"Afternoon",TRUE,"Evening")</f>
        <v>Morning</v>
      </c>
      <c r="K625" t="s">
        <v>12</v>
      </c>
      <c r="L625" t="str">
        <f t="shared" si="27"/>
        <v>Attended</v>
      </c>
      <c r="M625">
        <f t="shared" si="28"/>
        <v>0</v>
      </c>
      <c r="N625" t="str">
        <f t="shared" si="29"/>
        <v>Monday</v>
      </c>
      <c r="O62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26" spans="1:15" x14ac:dyDescent="0.25">
      <c r="A626">
        <v>5624</v>
      </c>
      <c r="B626">
        <v>870</v>
      </c>
      <c r="C626">
        <v>1027</v>
      </c>
      <c r="D626" t="s">
        <v>27</v>
      </c>
      <c r="E626" s="1">
        <v>45762</v>
      </c>
      <c r="F626">
        <v>2475</v>
      </c>
      <c r="G626" t="s">
        <v>14</v>
      </c>
      <c r="H626" t="s">
        <v>19</v>
      </c>
      <c r="I626" t="s">
        <v>1939</v>
      </c>
      <c r="J626" t="str" cm="1">
        <f t="array" ref="J626">_xlfn.IFS(HOUR(I626)&lt;12,"Morning",HOUR(I626)&lt;17,"Afternoon",TRUE,"Evening")</f>
        <v>Afternoon</v>
      </c>
      <c r="K626" t="s">
        <v>28</v>
      </c>
      <c r="L626" t="str">
        <f t="shared" si="27"/>
        <v>No Show</v>
      </c>
      <c r="M626">
        <f t="shared" si="28"/>
        <v>1</v>
      </c>
      <c r="N626" t="str">
        <f t="shared" si="29"/>
        <v>Tuesday</v>
      </c>
      <c r="O62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27" spans="1:15" x14ac:dyDescent="0.25">
      <c r="A627">
        <v>5625</v>
      </c>
      <c r="B627">
        <v>271</v>
      </c>
      <c r="C627">
        <v>1004</v>
      </c>
      <c r="D627" t="s">
        <v>18</v>
      </c>
      <c r="E627" s="1">
        <v>45574</v>
      </c>
      <c r="F627">
        <v>1726</v>
      </c>
      <c r="G627" t="s">
        <v>25</v>
      </c>
      <c r="H627" t="s">
        <v>15</v>
      </c>
      <c r="I627" t="s">
        <v>1924</v>
      </c>
      <c r="J627" t="str" cm="1">
        <f t="array" ref="J627">_xlfn.IFS(HOUR(I627)&lt;12,"Morning",HOUR(I627)&lt;17,"Afternoon",TRUE,"Evening")</f>
        <v>Afternoon</v>
      </c>
      <c r="K627" t="s">
        <v>12</v>
      </c>
      <c r="L627" t="str">
        <f t="shared" si="27"/>
        <v>Attended</v>
      </c>
      <c r="M627">
        <f t="shared" si="28"/>
        <v>0</v>
      </c>
      <c r="N627" t="str">
        <f t="shared" si="29"/>
        <v>Wednesday</v>
      </c>
      <c r="O6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28" spans="1:15" x14ac:dyDescent="0.25">
      <c r="A628">
        <v>5626</v>
      </c>
      <c r="B628">
        <v>1006</v>
      </c>
      <c r="C628">
        <v>1024</v>
      </c>
      <c r="D628" t="s">
        <v>16</v>
      </c>
      <c r="E628" s="1">
        <v>45606</v>
      </c>
      <c r="F628">
        <v>2249</v>
      </c>
      <c r="G628" t="s">
        <v>14</v>
      </c>
      <c r="H628" t="s">
        <v>11</v>
      </c>
      <c r="I628" t="s">
        <v>1923</v>
      </c>
      <c r="J628" t="str" cm="1">
        <f t="array" ref="J628">_xlfn.IFS(HOUR(I628)&lt;12,"Morning",HOUR(I628)&lt;17,"Afternoon",TRUE,"Evening")</f>
        <v>Evening</v>
      </c>
      <c r="K628" t="s">
        <v>12</v>
      </c>
      <c r="L628" t="str">
        <f t="shared" si="27"/>
        <v>Attended</v>
      </c>
      <c r="M628">
        <f t="shared" si="28"/>
        <v>0</v>
      </c>
      <c r="N628" t="str">
        <f t="shared" si="29"/>
        <v>Sunday</v>
      </c>
      <c r="O62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29" spans="1:15" x14ac:dyDescent="0.25">
      <c r="A629">
        <v>5627</v>
      </c>
      <c r="B629">
        <v>781</v>
      </c>
      <c r="C629">
        <v>1001</v>
      </c>
      <c r="D629" t="s">
        <v>22</v>
      </c>
      <c r="E629" s="1">
        <v>45720</v>
      </c>
      <c r="F629">
        <v>2453</v>
      </c>
      <c r="G629" t="s">
        <v>14</v>
      </c>
      <c r="H629" t="s">
        <v>19</v>
      </c>
      <c r="I629" t="s">
        <v>1927</v>
      </c>
      <c r="J629" t="str" cm="1">
        <f t="array" ref="J629">_xlfn.IFS(HOUR(I629)&lt;12,"Morning",HOUR(I629)&lt;17,"Afternoon",TRUE,"Evening")</f>
        <v>Afternoon</v>
      </c>
      <c r="K629" t="s">
        <v>12</v>
      </c>
      <c r="L629" t="str">
        <f t="shared" si="27"/>
        <v>Attended</v>
      </c>
      <c r="M629">
        <f t="shared" si="28"/>
        <v>0</v>
      </c>
      <c r="N629" t="str">
        <f t="shared" si="29"/>
        <v>Tuesday</v>
      </c>
      <c r="O62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30" spans="1:15" x14ac:dyDescent="0.25">
      <c r="A630">
        <v>5628</v>
      </c>
      <c r="B630">
        <v>768</v>
      </c>
      <c r="C630">
        <v>1027</v>
      </c>
      <c r="D630" t="s">
        <v>9</v>
      </c>
      <c r="E630" s="1">
        <v>45756</v>
      </c>
      <c r="F630">
        <v>1551</v>
      </c>
      <c r="G630" t="s">
        <v>14</v>
      </c>
      <c r="H630" t="s">
        <v>11</v>
      </c>
      <c r="I630" t="s">
        <v>1918</v>
      </c>
      <c r="J630" t="str" cm="1">
        <f t="array" ref="J630">_xlfn.IFS(HOUR(I630)&lt;12,"Morning",HOUR(I630)&lt;17,"Afternoon",TRUE,"Evening")</f>
        <v>Evening</v>
      </c>
      <c r="K630" t="s">
        <v>12</v>
      </c>
      <c r="L630" t="str">
        <f t="shared" si="27"/>
        <v>Attended</v>
      </c>
      <c r="M630">
        <f t="shared" si="28"/>
        <v>0</v>
      </c>
      <c r="N630" t="str">
        <f t="shared" si="29"/>
        <v>Wednesday</v>
      </c>
      <c r="O63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31" spans="1:15" x14ac:dyDescent="0.25">
      <c r="A631">
        <v>5629</v>
      </c>
      <c r="B631">
        <v>786</v>
      </c>
      <c r="C631">
        <v>1027</v>
      </c>
      <c r="D631" t="s">
        <v>27</v>
      </c>
      <c r="E631" s="1">
        <v>45509</v>
      </c>
      <c r="F631">
        <v>959</v>
      </c>
      <c r="G631" t="s">
        <v>25</v>
      </c>
      <c r="H631" t="s">
        <v>11</v>
      </c>
      <c r="I631" t="s">
        <v>1918</v>
      </c>
      <c r="J631" t="str" cm="1">
        <f t="array" ref="J631">_xlfn.IFS(HOUR(I631)&lt;12,"Morning",HOUR(I631)&lt;17,"Afternoon",TRUE,"Evening")</f>
        <v>Evening</v>
      </c>
      <c r="K631" t="s">
        <v>12</v>
      </c>
      <c r="L631" t="str">
        <f t="shared" si="27"/>
        <v>Attended</v>
      </c>
      <c r="M631">
        <f t="shared" si="28"/>
        <v>0</v>
      </c>
      <c r="N631" t="str">
        <f t="shared" si="29"/>
        <v>Monday</v>
      </c>
      <c r="O63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32" spans="1:15" x14ac:dyDescent="0.25">
      <c r="A632">
        <v>5630</v>
      </c>
      <c r="B632">
        <v>324</v>
      </c>
      <c r="C632">
        <v>1027</v>
      </c>
      <c r="D632" t="s">
        <v>22</v>
      </c>
      <c r="E632" s="1">
        <v>45559</v>
      </c>
      <c r="F632">
        <v>1307</v>
      </c>
      <c r="G632" t="s">
        <v>10</v>
      </c>
      <c r="H632" t="s">
        <v>15</v>
      </c>
      <c r="I632" t="s">
        <v>1909</v>
      </c>
      <c r="J632" t="str" cm="1">
        <f t="array" ref="J632">_xlfn.IFS(HOUR(I632)&lt;12,"Morning",HOUR(I632)&lt;17,"Afternoon",TRUE,"Evening")</f>
        <v>Afternoon</v>
      </c>
      <c r="K632" t="s">
        <v>20</v>
      </c>
      <c r="L632" t="str">
        <f t="shared" si="27"/>
        <v>No Show</v>
      </c>
      <c r="M632">
        <f t="shared" si="28"/>
        <v>1</v>
      </c>
      <c r="N632" t="str">
        <f t="shared" si="29"/>
        <v>Tuesday</v>
      </c>
      <c r="O63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33" spans="1:15" x14ac:dyDescent="0.25">
      <c r="A633">
        <v>5631</v>
      </c>
      <c r="B633">
        <v>1450</v>
      </c>
      <c r="C633">
        <v>1027</v>
      </c>
      <c r="D633" t="s">
        <v>9</v>
      </c>
      <c r="E633" s="1">
        <v>45781</v>
      </c>
      <c r="F633">
        <v>1246</v>
      </c>
      <c r="G633" t="s">
        <v>17</v>
      </c>
      <c r="H633" t="s">
        <v>11</v>
      </c>
      <c r="I633" t="s">
        <v>1930</v>
      </c>
      <c r="J633" t="str" cm="1">
        <f t="array" ref="J633">_xlfn.IFS(HOUR(I633)&lt;12,"Morning",HOUR(I633)&lt;17,"Afternoon",TRUE,"Evening")</f>
        <v>Morning</v>
      </c>
      <c r="K633" t="s">
        <v>28</v>
      </c>
      <c r="L633" t="str">
        <f t="shared" si="27"/>
        <v>No Show</v>
      </c>
      <c r="M633">
        <f t="shared" si="28"/>
        <v>1</v>
      </c>
      <c r="N633" t="str">
        <f t="shared" si="29"/>
        <v>Sunday</v>
      </c>
      <c r="O63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34" spans="1:15" x14ac:dyDescent="0.25">
      <c r="A634">
        <v>5632</v>
      </c>
      <c r="B634">
        <v>1037</v>
      </c>
      <c r="C634">
        <v>1027</v>
      </c>
      <c r="D634" t="s">
        <v>24</v>
      </c>
      <c r="E634" s="1">
        <v>45692</v>
      </c>
      <c r="F634">
        <v>2467</v>
      </c>
      <c r="G634" t="s">
        <v>10</v>
      </c>
      <c r="H634" t="s">
        <v>15</v>
      </c>
      <c r="I634" t="s">
        <v>1913</v>
      </c>
      <c r="J634" t="str" cm="1">
        <f t="array" ref="J634">_xlfn.IFS(HOUR(I634)&lt;12,"Morning",HOUR(I634)&lt;17,"Afternoon",TRUE,"Evening")</f>
        <v>Morning</v>
      </c>
      <c r="K634" t="s">
        <v>12</v>
      </c>
      <c r="L634" t="str">
        <f t="shared" si="27"/>
        <v>Attended</v>
      </c>
      <c r="M634">
        <f t="shared" si="28"/>
        <v>0</v>
      </c>
      <c r="N634" t="str">
        <f t="shared" si="29"/>
        <v>Tuesday</v>
      </c>
      <c r="O63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35" spans="1:15" x14ac:dyDescent="0.25">
      <c r="A635">
        <v>5633</v>
      </c>
      <c r="B635">
        <v>411</v>
      </c>
      <c r="C635">
        <v>1027</v>
      </c>
      <c r="D635" t="s">
        <v>24</v>
      </c>
      <c r="E635" s="1">
        <v>45670</v>
      </c>
      <c r="F635">
        <v>1435</v>
      </c>
      <c r="G635" t="s">
        <v>14</v>
      </c>
      <c r="H635" t="s">
        <v>19</v>
      </c>
      <c r="I635" t="s">
        <v>1904</v>
      </c>
      <c r="J635" t="str" cm="1">
        <f t="array" ref="J635">_xlfn.IFS(HOUR(I635)&lt;12,"Morning",HOUR(I635)&lt;17,"Afternoon",TRUE,"Evening")</f>
        <v>Evening</v>
      </c>
      <c r="K635" t="s">
        <v>12</v>
      </c>
      <c r="L635" t="str">
        <f t="shared" si="27"/>
        <v>Attended</v>
      </c>
      <c r="M635">
        <f t="shared" si="28"/>
        <v>0</v>
      </c>
      <c r="N635" t="str">
        <f t="shared" si="29"/>
        <v>Monday</v>
      </c>
      <c r="O6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36" spans="1:15" x14ac:dyDescent="0.25">
      <c r="A636">
        <v>5634</v>
      </c>
      <c r="B636">
        <v>602</v>
      </c>
      <c r="C636">
        <v>1009</v>
      </c>
      <c r="D636" t="s">
        <v>13</v>
      </c>
      <c r="E636" s="1">
        <v>45655</v>
      </c>
      <c r="F636">
        <v>1548</v>
      </c>
      <c r="G636" t="s">
        <v>10</v>
      </c>
      <c r="H636" t="s">
        <v>15</v>
      </c>
      <c r="I636" t="s">
        <v>1913</v>
      </c>
      <c r="J636" t="str" cm="1">
        <f t="array" ref="J636">_xlfn.IFS(HOUR(I636)&lt;12,"Morning",HOUR(I636)&lt;17,"Afternoon",TRUE,"Evening")</f>
        <v>Morning</v>
      </c>
      <c r="K636" t="s">
        <v>12</v>
      </c>
      <c r="L636" t="str">
        <f t="shared" si="27"/>
        <v>Attended</v>
      </c>
      <c r="M636">
        <f t="shared" si="28"/>
        <v>0</v>
      </c>
      <c r="N636" t="str">
        <f t="shared" si="29"/>
        <v>Sunday</v>
      </c>
      <c r="O63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37" spans="1:15" x14ac:dyDescent="0.25">
      <c r="A637">
        <v>5635</v>
      </c>
      <c r="B637">
        <v>651</v>
      </c>
      <c r="C637">
        <v>1024</v>
      </c>
      <c r="D637" t="s">
        <v>16</v>
      </c>
      <c r="E637" s="1">
        <v>45543</v>
      </c>
      <c r="F637">
        <v>2230</v>
      </c>
      <c r="G637" t="s">
        <v>14</v>
      </c>
      <c r="H637" t="s">
        <v>11</v>
      </c>
      <c r="I637" t="s">
        <v>1921</v>
      </c>
      <c r="J637" t="str" cm="1">
        <f t="array" ref="J637">_xlfn.IFS(HOUR(I637)&lt;12,"Morning",HOUR(I637)&lt;17,"Afternoon",TRUE,"Evening")</f>
        <v>Afternoon</v>
      </c>
      <c r="K637" t="s">
        <v>12</v>
      </c>
      <c r="L637" t="str">
        <f t="shared" si="27"/>
        <v>Attended</v>
      </c>
      <c r="M637">
        <f t="shared" si="28"/>
        <v>0</v>
      </c>
      <c r="N637" t="str">
        <f t="shared" si="29"/>
        <v>Sunday</v>
      </c>
      <c r="O63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38" spans="1:15" x14ac:dyDescent="0.25">
      <c r="A638">
        <v>5636</v>
      </c>
      <c r="B638">
        <v>924</v>
      </c>
      <c r="C638">
        <v>1020</v>
      </c>
      <c r="D638" t="s">
        <v>26</v>
      </c>
      <c r="E638" s="1">
        <v>45792</v>
      </c>
      <c r="F638">
        <v>2469</v>
      </c>
      <c r="G638" t="s">
        <v>25</v>
      </c>
      <c r="H638" t="s">
        <v>15</v>
      </c>
      <c r="I638" t="s">
        <v>1926</v>
      </c>
      <c r="J638" t="str" cm="1">
        <f t="array" ref="J638">_xlfn.IFS(HOUR(I638)&lt;12,"Morning",HOUR(I638)&lt;17,"Afternoon",TRUE,"Evening")</f>
        <v>Afternoon</v>
      </c>
      <c r="K638" t="s">
        <v>12</v>
      </c>
      <c r="L638" t="str">
        <f t="shared" si="27"/>
        <v>Attended</v>
      </c>
      <c r="M638">
        <f t="shared" si="28"/>
        <v>0</v>
      </c>
      <c r="N638" t="str">
        <f t="shared" si="29"/>
        <v>Thursday</v>
      </c>
      <c r="O63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39" spans="1:15" x14ac:dyDescent="0.25">
      <c r="A639">
        <v>5637</v>
      </c>
      <c r="B639">
        <v>557</v>
      </c>
      <c r="C639">
        <v>1020</v>
      </c>
      <c r="D639" t="s">
        <v>26</v>
      </c>
      <c r="E639" s="1">
        <v>45631</v>
      </c>
      <c r="F639">
        <v>1966</v>
      </c>
      <c r="G639" t="s">
        <v>25</v>
      </c>
      <c r="H639" t="s">
        <v>19</v>
      </c>
      <c r="I639" t="s">
        <v>1918</v>
      </c>
      <c r="J639" t="str" cm="1">
        <f t="array" ref="J639">_xlfn.IFS(HOUR(I639)&lt;12,"Morning",HOUR(I639)&lt;17,"Afternoon",TRUE,"Evening")</f>
        <v>Evening</v>
      </c>
      <c r="K639" t="s">
        <v>12</v>
      </c>
      <c r="L639" t="str">
        <f t="shared" si="27"/>
        <v>Attended</v>
      </c>
      <c r="M639">
        <f t="shared" si="28"/>
        <v>0</v>
      </c>
      <c r="N639" t="str">
        <f t="shared" si="29"/>
        <v>Thursday</v>
      </c>
      <c r="O63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0" spans="1:15" x14ac:dyDescent="0.25">
      <c r="A640">
        <v>5638</v>
      </c>
      <c r="B640">
        <v>1527</v>
      </c>
      <c r="C640">
        <v>1027</v>
      </c>
      <c r="D640" t="s">
        <v>9</v>
      </c>
      <c r="E640" s="1">
        <v>45524</v>
      </c>
      <c r="F640">
        <v>1474</v>
      </c>
      <c r="G640" t="s">
        <v>10</v>
      </c>
      <c r="H640" t="s">
        <v>11</v>
      </c>
      <c r="I640" t="s">
        <v>1942</v>
      </c>
      <c r="J640" t="str" cm="1">
        <f t="array" ref="J640">_xlfn.IFS(HOUR(I640)&lt;12,"Morning",HOUR(I640)&lt;17,"Afternoon",TRUE,"Evening")</f>
        <v>Evening</v>
      </c>
      <c r="K640" t="s">
        <v>12</v>
      </c>
      <c r="L640" t="str">
        <f t="shared" si="27"/>
        <v>Attended</v>
      </c>
      <c r="M640">
        <f t="shared" si="28"/>
        <v>0</v>
      </c>
      <c r="N640" t="str">
        <f t="shared" si="29"/>
        <v>Tuesday</v>
      </c>
      <c r="O64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1" spans="1:15" x14ac:dyDescent="0.25">
      <c r="A641">
        <v>5639</v>
      </c>
      <c r="B641">
        <v>257</v>
      </c>
      <c r="C641">
        <v>1003</v>
      </c>
      <c r="D641" t="s">
        <v>18</v>
      </c>
      <c r="E641" s="1">
        <v>45644</v>
      </c>
      <c r="F641">
        <v>1509</v>
      </c>
      <c r="G641" t="s">
        <v>14</v>
      </c>
      <c r="H641" t="s">
        <v>19</v>
      </c>
      <c r="I641" t="s">
        <v>1943</v>
      </c>
      <c r="J641" t="str" cm="1">
        <f t="array" ref="J641">_xlfn.IFS(HOUR(I641)&lt;12,"Morning",HOUR(I641)&lt;17,"Afternoon",TRUE,"Evening")</f>
        <v>Afternoon</v>
      </c>
      <c r="K641" t="s">
        <v>12</v>
      </c>
      <c r="L641" t="str">
        <f t="shared" si="27"/>
        <v>Attended</v>
      </c>
      <c r="M641">
        <f t="shared" si="28"/>
        <v>0</v>
      </c>
      <c r="N641" t="str">
        <f t="shared" si="29"/>
        <v>Wednesday</v>
      </c>
      <c r="O64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2" spans="1:15" x14ac:dyDescent="0.25">
      <c r="A642">
        <v>5640</v>
      </c>
      <c r="B642">
        <v>593</v>
      </c>
      <c r="C642">
        <v>1027</v>
      </c>
      <c r="D642" t="s">
        <v>24</v>
      </c>
      <c r="E642" s="1">
        <v>45658</v>
      </c>
      <c r="F642">
        <v>841</v>
      </c>
      <c r="G642" t="s">
        <v>25</v>
      </c>
      <c r="H642" t="s">
        <v>11</v>
      </c>
      <c r="I642" t="s">
        <v>1909</v>
      </c>
      <c r="J642" t="str" cm="1">
        <f t="array" ref="J642">_xlfn.IFS(HOUR(I642)&lt;12,"Morning",HOUR(I642)&lt;17,"Afternoon",TRUE,"Evening")</f>
        <v>Afternoon</v>
      </c>
      <c r="K642" t="s">
        <v>12</v>
      </c>
      <c r="L642" t="str">
        <f t="shared" si="27"/>
        <v>Attended</v>
      </c>
      <c r="M642">
        <f t="shared" si="28"/>
        <v>0</v>
      </c>
      <c r="N642" t="str">
        <f t="shared" si="29"/>
        <v>Wednesday</v>
      </c>
      <c r="O6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3" spans="1:15" x14ac:dyDescent="0.25">
      <c r="A643">
        <v>5641</v>
      </c>
      <c r="B643">
        <v>432</v>
      </c>
      <c r="C643">
        <v>1008</v>
      </c>
      <c r="D643" t="s">
        <v>13</v>
      </c>
      <c r="E643" s="1">
        <v>45637</v>
      </c>
      <c r="F643">
        <v>2006</v>
      </c>
      <c r="G643" t="s">
        <v>14</v>
      </c>
      <c r="H643" t="s">
        <v>15</v>
      </c>
      <c r="I643" t="s">
        <v>1925</v>
      </c>
      <c r="J643" t="str" cm="1">
        <f t="array" ref="J643">_xlfn.IFS(HOUR(I643)&lt;12,"Morning",HOUR(I643)&lt;17,"Afternoon",TRUE,"Evening")</f>
        <v>Afternoon</v>
      </c>
      <c r="K643" t="s">
        <v>12</v>
      </c>
      <c r="L643" t="str">
        <f t="shared" ref="L643:L706" si="30">IF(K643="completed","Attended","No Show")</f>
        <v>Attended</v>
      </c>
      <c r="M643">
        <f t="shared" ref="M643:M706" si="31">IF(L643="No Show",1,0)</f>
        <v>0</v>
      </c>
      <c r="N643" t="str">
        <f t="shared" ref="N643:N706" si="32">TEXT(E643,"dddd")</f>
        <v>Wednesday</v>
      </c>
      <c r="O64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4" spans="1:15" x14ac:dyDescent="0.25">
      <c r="A644">
        <v>5642</v>
      </c>
      <c r="B644">
        <v>234</v>
      </c>
      <c r="C644">
        <v>1008</v>
      </c>
      <c r="D644" t="s">
        <v>13</v>
      </c>
      <c r="E644" s="1">
        <v>45788</v>
      </c>
      <c r="F644">
        <v>1811</v>
      </c>
      <c r="G644" t="s">
        <v>17</v>
      </c>
      <c r="H644" t="s">
        <v>11</v>
      </c>
      <c r="I644" t="s">
        <v>1916</v>
      </c>
      <c r="J644" t="str" cm="1">
        <f t="array" ref="J644">_xlfn.IFS(HOUR(I644)&lt;12,"Morning",HOUR(I644)&lt;17,"Afternoon",TRUE,"Evening")</f>
        <v>Afternoon</v>
      </c>
      <c r="K644" t="s">
        <v>12</v>
      </c>
      <c r="L644" t="str">
        <f t="shared" si="30"/>
        <v>Attended</v>
      </c>
      <c r="M644">
        <f t="shared" si="31"/>
        <v>0</v>
      </c>
      <c r="N644" t="str">
        <f t="shared" si="32"/>
        <v>Sunday</v>
      </c>
      <c r="O64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45" spans="1:15" x14ac:dyDescent="0.25">
      <c r="A645">
        <v>5643</v>
      </c>
      <c r="B645">
        <v>1429</v>
      </c>
      <c r="C645">
        <v>1009</v>
      </c>
      <c r="D645" t="s">
        <v>13</v>
      </c>
      <c r="E645" s="1">
        <v>45548</v>
      </c>
      <c r="F645">
        <v>2313</v>
      </c>
      <c r="G645" t="s">
        <v>17</v>
      </c>
      <c r="H645" t="s">
        <v>19</v>
      </c>
      <c r="I645" t="s">
        <v>1935</v>
      </c>
      <c r="J645" t="str" cm="1">
        <f t="array" ref="J645">_xlfn.IFS(HOUR(I645)&lt;12,"Morning",HOUR(I645)&lt;17,"Afternoon",TRUE,"Evening")</f>
        <v>Afternoon</v>
      </c>
      <c r="K645" t="s">
        <v>12</v>
      </c>
      <c r="L645" t="str">
        <f t="shared" si="30"/>
        <v>Attended</v>
      </c>
      <c r="M645">
        <f t="shared" si="31"/>
        <v>0</v>
      </c>
      <c r="N645" t="str">
        <f t="shared" si="32"/>
        <v>Friday</v>
      </c>
      <c r="O64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6" spans="1:15" x14ac:dyDescent="0.25">
      <c r="A646">
        <v>5644</v>
      </c>
      <c r="B646">
        <v>1250</v>
      </c>
      <c r="C646">
        <v>1027</v>
      </c>
      <c r="D646" t="s">
        <v>24</v>
      </c>
      <c r="E646" s="1">
        <v>45713</v>
      </c>
      <c r="F646">
        <v>2065</v>
      </c>
      <c r="G646" t="s">
        <v>17</v>
      </c>
      <c r="H646" t="s">
        <v>19</v>
      </c>
      <c r="I646" t="s">
        <v>1911</v>
      </c>
      <c r="J646" t="str" cm="1">
        <f t="array" ref="J646">_xlfn.IFS(HOUR(I646)&lt;12,"Morning",HOUR(I646)&lt;17,"Afternoon",TRUE,"Evening")</f>
        <v>Morning</v>
      </c>
      <c r="K646" t="s">
        <v>12</v>
      </c>
      <c r="L646" t="str">
        <f t="shared" si="30"/>
        <v>Attended</v>
      </c>
      <c r="M646">
        <f t="shared" si="31"/>
        <v>0</v>
      </c>
      <c r="N646" t="str">
        <f t="shared" si="32"/>
        <v>Tuesday</v>
      </c>
      <c r="O64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7" spans="1:15" x14ac:dyDescent="0.25">
      <c r="A647">
        <v>5645</v>
      </c>
      <c r="B647">
        <v>287</v>
      </c>
      <c r="C647">
        <v>1027</v>
      </c>
      <c r="D647" t="s">
        <v>27</v>
      </c>
      <c r="E647" s="1">
        <v>45776</v>
      </c>
      <c r="F647">
        <v>977</v>
      </c>
      <c r="G647" t="s">
        <v>10</v>
      </c>
      <c r="H647" t="s">
        <v>11</v>
      </c>
      <c r="I647" t="s">
        <v>1908</v>
      </c>
      <c r="J647" t="str" cm="1">
        <f t="array" ref="J647">_xlfn.IFS(HOUR(I647)&lt;12,"Morning",HOUR(I647)&lt;17,"Afternoon",TRUE,"Evening")</f>
        <v>Morning</v>
      </c>
      <c r="K647" t="s">
        <v>12</v>
      </c>
      <c r="L647" t="str">
        <f t="shared" si="30"/>
        <v>Attended</v>
      </c>
      <c r="M647">
        <f t="shared" si="31"/>
        <v>0</v>
      </c>
      <c r="N647" t="str">
        <f t="shared" si="32"/>
        <v>Tuesday</v>
      </c>
      <c r="O64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8" spans="1:15" x14ac:dyDescent="0.25">
      <c r="A648">
        <v>5646</v>
      </c>
      <c r="B648">
        <v>1181</v>
      </c>
      <c r="C648">
        <v>1027</v>
      </c>
      <c r="D648" t="s">
        <v>27</v>
      </c>
      <c r="E648" s="1">
        <v>45580</v>
      </c>
      <c r="F648">
        <v>2449</v>
      </c>
      <c r="G648" t="s">
        <v>25</v>
      </c>
      <c r="H648" t="s">
        <v>15</v>
      </c>
      <c r="I648" t="s">
        <v>1941</v>
      </c>
      <c r="J648" t="str" cm="1">
        <f t="array" ref="J648">_xlfn.IFS(HOUR(I648)&lt;12,"Morning",HOUR(I648)&lt;17,"Afternoon",TRUE,"Evening")</f>
        <v>Morning</v>
      </c>
      <c r="K648" t="s">
        <v>12</v>
      </c>
      <c r="L648" t="str">
        <f t="shared" si="30"/>
        <v>Attended</v>
      </c>
      <c r="M648">
        <f t="shared" si="31"/>
        <v>0</v>
      </c>
      <c r="N648" t="str">
        <f t="shared" si="32"/>
        <v>Tuesday</v>
      </c>
      <c r="O6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49" spans="1:15" x14ac:dyDescent="0.25">
      <c r="A649">
        <v>5647</v>
      </c>
      <c r="B649">
        <v>183</v>
      </c>
      <c r="C649">
        <v>1027</v>
      </c>
      <c r="D649" t="s">
        <v>9</v>
      </c>
      <c r="E649" s="1">
        <v>45707</v>
      </c>
      <c r="F649">
        <v>1788</v>
      </c>
      <c r="G649" t="s">
        <v>10</v>
      </c>
      <c r="H649" t="s">
        <v>19</v>
      </c>
      <c r="I649" t="s">
        <v>1929</v>
      </c>
      <c r="J649" t="str" cm="1">
        <f t="array" ref="J649">_xlfn.IFS(HOUR(I649)&lt;12,"Morning",HOUR(I649)&lt;17,"Afternoon",TRUE,"Evening")</f>
        <v>Afternoon</v>
      </c>
      <c r="K649" t="s">
        <v>12</v>
      </c>
      <c r="L649" t="str">
        <f t="shared" si="30"/>
        <v>Attended</v>
      </c>
      <c r="M649">
        <f t="shared" si="31"/>
        <v>0</v>
      </c>
      <c r="N649" t="str">
        <f t="shared" si="32"/>
        <v>Wednesday</v>
      </c>
      <c r="O64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0" spans="1:15" x14ac:dyDescent="0.25">
      <c r="A650">
        <v>5648</v>
      </c>
      <c r="B650">
        <v>1437</v>
      </c>
      <c r="C650">
        <v>1002</v>
      </c>
      <c r="D650" t="s">
        <v>18</v>
      </c>
      <c r="E650" s="1">
        <v>45609</v>
      </c>
      <c r="F650">
        <v>1786</v>
      </c>
      <c r="G650" t="s">
        <v>17</v>
      </c>
      <c r="H650" t="s">
        <v>11</v>
      </c>
      <c r="I650" t="s">
        <v>1938</v>
      </c>
      <c r="J650" t="str" cm="1">
        <f t="array" ref="J650">_xlfn.IFS(HOUR(I650)&lt;12,"Morning",HOUR(I650)&lt;17,"Afternoon",TRUE,"Evening")</f>
        <v>Afternoon</v>
      </c>
      <c r="K650" t="s">
        <v>12</v>
      </c>
      <c r="L650" t="str">
        <f t="shared" si="30"/>
        <v>Attended</v>
      </c>
      <c r="M650">
        <f t="shared" si="31"/>
        <v>0</v>
      </c>
      <c r="N650" t="str">
        <f t="shared" si="32"/>
        <v>Wednesday</v>
      </c>
      <c r="O6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1" spans="1:15" x14ac:dyDescent="0.25">
      <c r="A651">
        <v>5649</v>
      </c>
      <c r="B651">
        <v>1511</v>
      </c>
      <c r="C651">
        <v>1008</v>
      </c>
      <c r="D651" t="s">
        <v>13</v>
      </c>
      <c r="E651" s="1">
        <v>45506</v>
      </c>
      <c r="F651">
        <v>1930</v>
      </c>
      <c r="G651" t="s">
        <v>14</v>
      </c>
      <c r="H651" t="s">
        <v>11</v>
      </c>
      <c r="I651" t="s">
        <v>1913</v>
      </c>
      <c r="J651" t="str" cm="1">
        <f t="array" ref="J651">_xlfn.IFS(HOUR(I651)&lt;12,"Morning",HOUR(I651)&lt;17,"Afternoon",TRUE,"Evening")</f>
        <v>Morning</v>
      </c>
      <c r="K651" t="s">
        <v>12</v>
      </c>
      <c r="L651" t="str">
        <f t="shared" si="30"/>
        <v>Attended</v>
      </c>
      <c r="M651">
        <f t="shared" si="31"/>
        <v>0</v>
      </c>
      <c r="N651" t="str">
        <f t="shared" si="32"/>
        <v>Friday</v>
      </c>
      <c r="O65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2" spans="1:15" x14ac:dyDescent="0.25">
      <c r="A652">
        <v>5650</v>
      </c>
      <c r="B652">
        <v>678</v>
      </c>
      <c r="C652">
        <v>1008</v>
      </c>
      <c r="D652" t="s">
        <v>13</v>
      </c>
      <c r="E652" s="1">
        <v>45532</v>
      </c>
      <c r="F652">
        <v>2233</v>
      </c>
      <c r="G652" t="s">
        <v>10</v>
      </c>
      <c r="H652" t="s">
        <v>19</v>
      </c>
      <c r="I652" t="s">
        <v>1940</v>
      </c>
      <c r="J652" t="str" cm="1">
        <f t="array" ref="J652">_xlfn.IFS(HOUR(I652)&lt;12,"Morning",HOUR(I652)&lt;17,"Afternoon",TRUE,"Evening")</f>
        <v>Morning</v>
      </c>
      <c r="K652" t="s">
        <v>12</v>
      </c>
      <c r="L652" t="str">
        <f t="shared" si="30"/>
        <v>Attended</v>
      </c>
      <c r="M652">
        <f t="shared" si="31"/>
        <v>0</v>
      </c>
      <c r="N652" t="str">
        <f t="shared" si="32"/>
        <v>Wednesday</v>
      </c>
      <c r="O65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3" spans="1:15" x14ac:dyDescent="0.25">
      <c r="A653">
        <v>5651</v>
      </c>
      <c r="B653">
        <v>177</v>
      </c>
      <c r="C653">
        <v>1020</v>
      </c>
      <c r="D653" t="s">
        <v>26</v>
      </c>
      <c r="E653" s="1">
        <v>45559</v>
      </c>
      <c r="F653">
        <v>1040</v>
      </c>
      <c r="G653" t="s">
        <v>17</v>
      </c>
      <c r="H653" t="s">
        <v>15</v>
      </c>
      <c r="I653" t="s">
        <v>1927</v>
      </c>
      <c r="J653" t="str" cm="1">
        <f t="array" ref="J653">_xlfn.IFS(HOUR(I653)&lt;12,"Morning",HOUR(I653)&lt;17,"Afternoon",TRUE,"Evening")</f>
        <v>Afternoon</v>
      </c>
      <c r="K653" t="s">
        <v>28</v>
      </c>
      <c r="L653" t="str">
        <f t="shared" si="30"/>
        <v>No Show</v>
      </c>
      <c r="M653">
        <f t="shared" si="31"/>
        <v>1</v>
      </c>
      <c r="N653" t="str">
        <f t="shared" si="32"/>
        <v>Tuesday</v>
      </c>
      <c r="O65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4" spans="1:15" x14ac:dyDescent="0.25">
      <c r="A654">
        <v>5652</v>
      </c>
      <c r="B654">
        <v>710</v>
      </c>
      <c r="C654">
        <v>1027</v>
      </c>
      <c r="D654" t="s">
        <v>24</v>
      </c>
      <c r="E654" s="1">
        <v>45639</v>
      </c>
      <c r="F654">
        <v>1254</v>
      </c>
      <c r="G654" t="s">
        <v>17</v>
      </c>
      <c r="H654" t="s">
        <v>11</v>
      </c>
      <c r="I654" t="s">
        <v>1921</v>
      </c>
      <c r="J654" t="str" cm="1">
        <f t="array" ref="J654">_xlfn.IFS(HOUR(I654)&lt;12,"Morning",HOUR(I654)&lt;17,"Afternoon",TRUE,"Evening")</f>
        <v>Afternoon</v>
      </c>
      <c r="K654" t="s">
        <v>20</v>
      </c>
      <c r="L654" t="str">
        <f t="shared" si="30"/>
        <v>No Show</v>
      </c>
      <c r="M654">
        <f t="shared" si="31"/>
        <v>1</v>
      </c>
      <c r="N654" t="str">
        <f t="shared" si="32"/>
        <v>Friday</v>
      </c>
      <c r="O65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5" spans="1:15" x14ac:dyDescent="0.25">
      <c r="A655">
        <v>5653</v>
      </c>
      <c r="B655">
        <v>935</v>
      </c>
      <c r="C655">
        <v>1027</v>
      </c>
      <c r="D655" t="s">
        <v>22</v>
      </c>
      <c r="E655" s="1">
        <v>45561</v>
      </c>
      <c r="F655">
        <v>1092</v>
      </c>
      <c r="G655" t="s">
        <v>17</v>
      </c>
      <c r="H655" t="s">
        <v>15</v>
      </c>
      <c r="I655" t="s">
        <v>1911</v>
      </c>
      <c r="J655" t="str" cm="1">
        <f t="array" ref="J655">_xlfn.IFS(HOUR(I655)&lt;12,"Morning",HOUR(I655)&lt;17,"Afternoon",TRUE,"Evening")</f>
        <v>Morning</v>
      </c>
      <c r="K655" t="s">
        <v>12</v>
      </c>
      <c r="L655" t="str">
        <f t="shared" si="30"/>
        <v>Attended</v>
      </c>
      <c r="M655">
        <f t="shared" si="31"/>
        <v>0</v>
      </c>
      <c r="N655" t="str">
        <f t="shared" si="32"/>
        <v>Thursday</v>
      </c>
      <c r="O65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6" spans="1:15" x14ac:dyDescent="0.25">
      <c r="A656">
        <v>5654</v>
      </c>
      <c r="B656">
        <v>510</v>
      </c>
      <c r="C656">
        <v>1008</v>
      </c>
      <c r="D656" t="s">
        <v>13</v>
      </c>
      <c r="E656" s="1">
        <v>45797</v>
      </c>
      <c r="F656">
        <v>1982</v>
      </c>
      <c r="G656" t="s">
        <v>10</v>
      </c>
      <c r="H656" t="s">
        <v>11</v>
      </c>
      <c r="I656" t="s">
        <v>1914</v>
      </c>
      <c r="J656" t="str" cm="1">
        <f t="array" ref="J656">_xlfn.IFS(HOUR(I656)&lt;12,"Morning",HOUR(I656)&lt;17,"Afternoon",TRUE,"Evening")</f>
        <v>Afternoon</v>
      </c>
      <c r="K656" t="s">
        <v>12</v>
      </c>
      <c r="L656" t="str">
        <f t="shared" si="30"/>
        <v>Attended</v>
      </c>
      <c r="M656">
        <f t="shared" si="31"/>
        <v>0</v>
      </c>
      <c r="N656" t="str">
        <f t="shared" si="32"/>
        <v>Tuesday</v>
      </c>
      <c r="O6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7" spans="1:15" x14ac:dyDescent="0.25">
      <c r="A657">
        <v>5655</v>
      </c>
      <c r="B657">
        <v>410</v>
      </c>
      <c r="C657">
        <v>1001</v>
      </c>
      <c r="D657" t="s">
        <v>18</v>
      </c>
      <c r="E657" s="1">
        <v>45690</v>
      </c>
      <c r="F657">
        <v>2472</v>
      </c>
      <c r="G657" t="s">
        <v>10</v>
      </c>
      <c r="H657" t="s">
        <v>11</v>
      </c>
      <c r="I657" t="s">
        <v>1927</v>
      </c>
      <c r="J657" t="str" cm="1">
        <f t="array" ref="J657">_xlfn.IFS(HOUR(I657)&lt;12,"Morning",HOUR(I657)&lt;17,"Afternoon",TRUE,"Evening")</f>
        <v>Afternoon</v>
      </c>
      <c r="K657" t="s">
        <v>12</v>
      </c>
      <c r="L657" t="str">
        <f t="shared" si="30"/>
        <v>Attended</v>
      </c>
      <c r="M657">
        <f t="shared" si="31"/>
        <v>0</v>
      </c>
      <c r="N657" t="str">
        <f t="shared" si="32"/>
        <v>Sunday</v>
      </c>
      <c r="O65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58" spans="1:15" x14ac:dyDescent="0.25">
      <c r="A658">
        <v>5656</v>
      </c>
      <c r="B658">
        <v>483</v>
      </c>
      <c r="C658">
        <v>1027</v>
      </c>
      <c r="D658" t="s">
        <v>27</v>
      </c>
      <c r="E658" s="1">
        <v>45744</v>
      </c>
      <c r="F658">
        <v>1653</v>
      </c>
      <c r="G658" t="s">
        <v>10</v>
      </c>
      <c r="H658" t="s">
        <v>19</v>
      </c>
      <c r="I658" t="s">
        <v>1926</v>
      </c>
      <c r="J658" t="str" cm="1">
        <f t="array" ref="J658">_xlfn.IFS(HOUR(I658)&lt;12,"Morning",HOUR(I658)&lt;17,"Afternoon",TRUE,"Evening")</f>
        <v>Afternoon</v>
      </c>
      <c r="K658" t="s">
        <v>12</v>
      </c>
      <c r="L658" t="str">
        <f t="shared" si="30"/>
        <v>Attended</v>
      </c>
      <c r="M658">
        <f t="shared" si="31"/>
        <v>0</v>
      </c>
      <c r="N658" t="str">
        <f t="shared" si="32"/>
        <v>Friday</v>
      </c>
      <c r="O65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59" spans="1:15" x14ac:dyDescent="0.25">
      <c r="A659">
        <v>5657</v>
      </c>
      <c r="B659">
        <v>548</v>
      </c>
      <c r="C659">
        <v>1027</v>
      </c>
      <c r="D659" t="s">
        <v>27</v>
      </c>
      <c r="E659" s="1">
        <v>45662</v>
      </c>
      <c r="F659">
        <v>2126</v>
      </c>
      <c r="G659" t="s">
        <v>25</v>
      </c>
      <c r="H659" t="s">
        <v>11</v>
      </c>
      <c r="I659" t="s">
        <v>1943</v>
      </c>
      <c r="J659" t="str" cm="1">
        <f t="array" ref="J659">_xlfn.IFS(HOUR(I659)&lt;12,"Morning",HOUR(I659)&lt;17,"Afternoon",TRUE,"Evening")</f>
        <v>Afternoon</v>
      </c>
      <c r="K659" t="s">
        <v>12</v>
      </c>
      <c r="L659" t="str">
        <f t="shared" si="30"/>
        <v>Attended</v>
      </c>
      <c r="M659">
        <f t="shared" si="31"/>
        <v>0</v>
      </c>
      <c r="N659" t="str">
        <f t="shared" si="32"/>
        <v>Sunday</v>
      </c>
      <c r="O65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60" spans="1:15" x14ac:dyDescent="0.25">
      <c r="A660">
        <v>5658</v>
      </c>
      <c r="B660">
        <v>680</v>
      </c>
      <c r="C660">
        <v>1024</v>
      </c>
      <c r="D660" t="s">
        <v>16</v>
      </c>
      <c r="E660" s="1">
        <v>45581</v>
      </c>
      <c r="F660">
        <v>1855</v>
      </c>
      <c r="G660" t="s">
        <v>10</v>
      </c>
      <c r="H660" t="s">
        <v>19</v>
      </c>
      <c r="I660" t="s">
        <v>1930</v>
      </c>
      <c r="J660" t="str" cm="1">
        <f t="array" ref="J660">_xlfn.IFS(HOUR(I660)&lt;12,"Morning",HOUR(I660)&lt;17,"Afternoon",TRUE,"Evening")</f>
        <v>Morning</v>
      </c>
      <c r="K660" t="s">
        <v>12</v>
      </c>
      <c r="L660" t="str">
        <f t="shared" si="30"/>
        <v>Attended</v>
      </c>
      <c r="M660">
        <f t="shared" si="31"/>
        <v>0</v>
      </c>
      <c r="N660" t="str">
        <f t="shared" si="32"/>
        <v>Wednesday</v>
      </c>
      <c r="O66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61" spans="1:15" x14ac:dyDescent="0.25">
      <c r="A661">
        <v>5659</v>
      </c>
      <c r="B661">
        <v>1124</v>
      </c>
      <c r="C661">
        <v>1027</v>
      </c>
      <c r="D661" t="s">
        <v>22</v>
      </c>
      <c r="E661" s="1">
        <v>45640</v>
      </c>
      <c r="F661">
        <v>1136</v>
      </c>
      <c r="G661" t="s">
        <v>25</v>
      </c>
      <c r="H661" t="s">
        <v>15</v>
      </c>
      <c r="I661" t="s">
        <v>1920</v>
      </c>
      <c r="J661" t="str" cm="1">
        <f t="array" ref="J661">_xlfn.IFS(HOUR(I661)&lt;12,"Morning",HOUR(I661)&lt;17,"Afternoon",TRUE,"Evening")</f>
        <v>Morning</v>
      </c>
      <c r="K661" t="s">
        <v>28</v>
      </c>
      <c r="L661" t="str">
        <f t="shared" si="30"/>
        <v>No Show</v>
      </c>
      <c r="M661">
        <f t="shared" si="31"/>
        <v>1</v>
      </c>
      <c r="N661" t="str">
        <f t="shared" si="32"/>
        <v>Saturday</v>
      </c>
      <c r="O66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62" spans="1:15" x14ac:dyDescent="0.25">
      <c r="A662">
        <v>5660</v>
      </c>
      <c r="B662">
        <v>1341</v>
      </c>
      <c r="C662">
        <v>1020</v>
      </c>
      <c r="D662" t="s">
        <v>26</v>
      </c>
      <c r="E662" s="1">
        <v>45686</v>
      </c>
      <c r="F662">
        <v>1328</v>
      </c>
      <c r="G662" t="s">
        <v>17</v>
      </c>
      <c r="H662" t="s">
        <v>15</v>
      </c>
      <c r="I662" t="s">
        <v>1906</v>
      </c>
      <c r="J662" t="str" cm="1">
        <f t="array" ref="J662">_xlfn.IFS(HOUR(I662)&lt;12,"Morning",HOUR(I662)&lt;17,"Afternoon",TRUE,"Evening")</f>
        <v>Afternoon</v>
      </c>
      <c r="K662" t="s">
        <v>12</v>
      </c>
      <c r="L662" t="str">
        <f t="shared" si="30"/>
        <v>Attended</v>
      </c>
      <c r="M662">
        <f t="shared" si="31"/>
        <v>0</v>
      </c>
      <c r="N662" t="str">
        <f t="shared" si="32"/>
        <v>Wednesday</v>
      </c>
      <c r="O66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63" spans="1:15" x14ac:dyDescent="0.25">
      <c r="A663">
        <v>5661</v>
      </c>
      <c r="B663">
        <v>188</v>
      </c>
      <c r="C663">
        <v>1027</v>
      </c>
      <c r="D663" t="s">
        <v>21</v>
      </c>
      <c r="E663" s="1">
        <v>45822</v>
      </c>
      <c r="F663">
        <v>1474</v>
      </c>
      <c r="G663" t="s">
        <v>14</v>
      </c>
      <c r="H663" t="s">
        <v>11</v>
      </c>
      <c r="I663" t="s">
        <v>1918</v>
      </c>
      <c r="J663" t="str" cm="1">
        <f t="array" ref="J663">_xlfn.IFS(HOUR(I663)&lt;12,"Morning",HOUR(I663)&lt;17,"Afternoon",TRUE,"Evening")</f>
        <v>Evening</v>
      </c>
      <c r="K663" t="s">
        <v>23</v>
      </c>
      <c r="L663" t="str">
        <f t="shared" si="30"/>
        <v>No Show</v>
      </c>
      <c r="M663">
        <f t="shared" si="31"/>
        <v>1</v>
      </c>
      <c r="N663" t="str">
        <f t="shared" si="32"/>
        <v>Saturday</v>
      </c>
      <c r="O66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64" spans="1:15" x14ac:dyDescent="0.25">
      <c r="A664">
        <v>5662</v>
      </c>
      <c r="B664">
        <v>1467</v>
      </c>
      <c r="C664">
        <v>1001</v>
      </c>
      <c r="D664" t="s">
        <v>18</v>
      </c>
      <c r="E664" s="1">
        <v>45835</v>
      </c>
      <c r="F664">
        <v>1385</v>
      </c>
      <c r="G664" t="s">
        <v>25</v>
      </c>
      <c r="H664" t="s">
        <v>19</v>
      </c>
      <c r="I664" t="s">
        <v>1908</v>
      </c>
      <c r="J664" t="str" cm="1">
        <f t="array" ref="J664">_xlfn.IFS(HOUR(I664)&lt;12,"Morning",HOUR(I664)&lt;17,"Afternoon",TRUE,"Evening")</f>
        <v>Morning</v>
      </c>
      <c r="K664" t="s">
        <v>23</v>
      </c>
      <c r="L664" t="str">
        <f t="shared" si="30"/>
        <v>No Show</v>
      </c>
      <c r="M664">
        <f t="shared" si="31"/>
        <v>1</v>
      </c>
      <c r="N664" t="str">
        <f t="shared" si="32"/>
        <v>Friday</v>
      </c>
      <c r="O66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65" spans="1:15" x14ac:dyDescent="0.25">
      <c r="A665">
        <v>5663</v>
      </c>
      <c r="B665">
        <v>662</v>
      </c>
      <c r="C665">
        <v>1024</v>
      </c>
      <c r="D665" t="s">
        <v>16</v>
      </c>
      <c r="E665" s="1">
        <v>45689</v>
      </c>
      <c r="F665">
        <v>1222</v>
      </c>
      <c r="G665" t="s">
        <v>17</v>
      </c>
      <c r="H665" t="s">
        <v>15</v>
      </c>
      <c r="I665" t="s">
        <v>1928</v>
      </c>
      <c r="J665" t="str" cm="1">
        <f t="array" ref="J665">_xlfn.IFS(HOUR(I665)&lt;12,"Morning",HOUR(I665)&lt;17,"Afternoon",TRUE,"Evening")</f>
        <v>Morning</v>
      </c>
      <c r="K665" t="s">
        <v>12</v>
      </c>
      <c r="L665" t="str">
        <f t="shared" si="30"/>
        <v>Attended</v>
      </c>
      <c r="M665">
        <f t="shared" si="31"/>
        <v>0</v>
      </c>
      <c r="N665" t="str">
        <f t="shared" si="32"/>
        <v>Saturday</v>
      </c>
      <c r="O66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66" spans="1:15" x14ac:dyDescent="0.25">
      <c r="A666">
        <v>5664</v>
      </c>
      <c r="B666">
        <v>1416</v>
      </c>
      <c r="C666">
        <v>1003</v>
      </c>
      <c r="D666" t="s">
        <v>18</v>
      </c>
      <c r="E666" s="1">
        <v>45515</v>
      </c>
      <c r="F666">
        <v>971</v>
      </c>
      <c r="G666" t="s">
        <v>14</v>
      </c>
      <c r="H666" t="s">
        <v>15</v>
      </c>
      <c r="I666" t="s">
        <v>1926</v>
      </c>
      <c r="J666" t="str" cm="1">
        <f t="array" ref="J666">_xlfn.IFS(HOUR(I666)&lt;12,"Morning",HOUR(I666)&lt;17,"Afternoon",TRUE,"Evening")</f>
        <v>Afternoon</v>
      </c>
      <c r="K666" t="s">
        <v>28</v>
      </c>
      <c r="L666" t="str">
        <f t="shared" si="30"/>
        <v>No Show</v>
      </c>
      <c r="M666">
        <f t="shared" si="31"/>
        <v>1</v>
      </c>
      <c r="N666" t="str">
        <f t="shared" si="32"/>
        <v>Sunday</v>
      </c>
      <c r="O66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67" spans="1:15" x14ac:dyDescent="0.25">
      <c r="A667">
        <v>5665</v>
      </c>
      <c r="B667">
        <v>921</v>
      </c>
      <c r="C667">
        <v>1027</v>
      </c>
      <c r="D667" t="s">
        <v>22</v>
      </c>
      <c r="E667" s="1">
        <v>45696</v>
      </c>
      <c r="F667">
        <v>1791</v>
      </c>
      <c r="G667" t="s">
        <v>17</v>
      </c>
      <c r="H667" t="s">
        <v>19</v>
      </c>
      <c r="I667" t="s">
        <v>1931</v>
      </c>
      <c r="J667" t="str" cm="1">
        <f t="array" ref="J667">_xlfn.IFS(HOUR(I667)&lt;12,"Morning",HOUR(I667)&lt;17,"Afternoon",TRUE,"Evening")</f>
        <v>Afternoon</v>
      </c>
      <c r="K667" t="s">
        <v>28</v>
      </c>
      <c r="L667" t="str">
        <f t="shared" si="30"/>
        <v>No Show</v>
      </c>
      <c r="M667">
        <f t="shared" si="31"/>
        <v>1</v>
      </c>
      <c r="N667" t="str">
        <f t="shared" si="32"/>
        <v>Saturday</v>
      </c>
      <c r="O66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68" spans="1:15" x14ac:dyDescent="0.25">
      <c r="A668">
        <v>5666</v>
      </c>
      <c r="B668">
        <v>334</v>
      </c>
      <c r="C668">
        <v>1003</v>
      </c>
      <c r="D668" t="s">
        <v>18</v>
      </c>
      <c r="E668" s="1">
        <v>45693</v>
      </c>
      <c r="F668">
        <v>1817</v>
      </c>
      <c r="G668" t="s">
        <v>10</v>
      </c>
      <c r="H668" t="s">
        <v>19</v>
      </c>
      <c r="I668" t="s">
        <v>1907</v>
      </c>
      <c r="J668" t="str" cm="1">
        <f t="array" ref="J668">_xlfn.IFS(HOUR(I668)&lt;12,"Morning",HOUR(I668)&lt;17,"Afternoon",TRUE,"Evening")</f>
        <v>Afternoon</v>
      </c>
      <c r="K668" t="s">
        <v>28</v>
      </c>
      <c r="L668" t="str">
        <f t="shared" si="30"/>
        <v>No Show</v>
      </c>
      <c r="M668">
        <f t="shared" si="31"/>
        <v>1</v>
      </c>
      <c r="N668" t="str">
        <f t="shared" si="32"/>
        <v>Wednesday</v>
      </c>
      <c r="O66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69" spans="1:15" x14ac:dyDescent="0.25">
      <c r="A669">
        <v>5667</v>
      </c>
      <c r="B669">
        <v>104</v>
      </c>
      <c r="C669">
        <v>1027</v>
      </c>
      <c r="D669" t="s">
        <v>27</v>
      </c>
      <c r="E669" s="1">
        <v>45739</v>
      </c>
      <c r="F669">
        <v>1767</v>
      </c>
      <c r="G669" t="s">
        <v>17</v>
      </c>
      <c r="H669" t="s">
        <v>11</v>
      </c>
      <c r="I669" t="s">
        <v>1943</v>
      </c>
      <c r="J669" t="str" cm="1">
        <f t="array" ref="J669">_xlfn.IFS(HOUR(I669)&lt;12,"Morning",HOUR(I669)&lt;17,"Afternoon",TRUE,"Evening")</f>
        <v>Afternoon</v>
      </c>
      <c r="K669" t="s">
        <v>12</v>
      </c>
      <c r="L669" t="str">
        <f t="shared" si="30"/>
        <v>Attended</v>
      </c>
      <c r="M669">
        <f t="shared" si="31"/>
        <v>0</v>
      </c>
      <c r="N669" t="str">
        <f t="shared" si="32"/>
        <v>Sunday</v>
      </c>
      <c r="O66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70" spans="1:15" x14ac:dyDescent="0.25">
      <c r="A670">
        <v>5668</v>
      </c>
      <c r="B670">
        <v>823</v>
      </c>
      <c r="C670">
        <v>1020</v>
      </c>
      <c r="D670" t="s">
        <v>26</v>
      </c>
      <c r="E670" s="1">
        <v>45813</v>
      </c>
      <c r="F670">
        <v>2294</v>
      </c>
      <c r="G670" t="s">
        <v>14</v>
      </c>
      <c r="H670" t="s">
        <v>19</v>
      </c>
      <c r="I670" t="s">
        <v>1907</v>
      </c>
      <c r="J670" t="str" cm="1">
        <f t="array" ref="J670">_xlfn.IFS(HOUR(I670)&lt;12,"Morning",HOUR(I670)&lt;17,"Afternoon",TRUE,"Evening")</f>
        <v>Afternoon</v>
      </c>
      <c r="K670" t="s">
        <v>23</v>
      </c>
      <c r="L670" t="str">
        <f t="shared" si="30"/>
        <v>No Show</v>
      </c>
      <c r="M670">
        <f t="shared" si="31"/>
        <v>1</v>
      </c>
      <c r="N670" t="str">
        <f t="shared" si="32"/>
        <v>Thursday</v>
      </c>
      <c r="O67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71" spans="1:15" x14ac:dyDescent="0.25">
      <c r="A671">
        <v>5669</v>
      </c>
      <c r="B671">
        <v>565</v>
      </c>
      <c r="C671">
        <v>1027</v>
      </c>
      <c r="D671" t="s">
        <v>27</v>
      </c>
      <c r="E671" s="1">
        <v>45617</v>
      </c>
      <c r="F671">
        <v>848</v>
      </c>
      <c r="G671" t="s">
        <v>10</v>
      </c>
      <c r="H671" t="s">
        <v>15</v>
      </c>
      <c r="I671" t="s">
        <v>1925</v>
      </c>
      <c r="J671" t="str" cm="1">
        <f t="array" ref="J671">_xlfn.IFS(HOUR(I671)&lt;12,"Morning",HOUR(I671)&lt;17,"Afternoon",TRUE,"Evening")</f>
        <v>Afternoon</v>
      </c>
      <c r="K671" t="s">
        <v>12</v>
      </c>
      <c r="L671" t="str">
        <f t="shared" si="30"/>
        <v>Attended</v>
      </c>
      <c r="M671">
        <f t="shared" si="31"/>
        <v>0</v>
      </c>
      <c r="N671" t="str">
        <f t="shared" si="32"/>
        <v>Thursday</v>
      </c>
      <c r="O67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72" spans="1:15" x14ac:dyDescent="0.25">
      <c r="A672">
        <v>5670</v>
      </c>
      <c r="B672">
        <v>1302</v>
      </c>
      <c r="C672">
        <v>1027</v>
      </c>
      <c r="D672" t="s">
        <v>24</v>
      </c>
      <c r="E672" s="1">
        <v>45645</v>
      </c>
      <c r="F672">
        <v>1849</v>
      </c>
      <c r="G672" t="s">
        <v>17</v>
      </c>
      <c r="H672" t="s">
        <v>15</v>
      </c>
      <c r="I672" t="s">
        <v>1911</v>
      </c>
      <c r="J672" t="str" cm="1">
        <f t="array" ref="J672">_xlfn.IFS(HOUR(I672)&lt;12,"Morning",HOUR(I672)&lt;17,"Afternoon",TRUE,"Evening")</f>
        <v>Morning</v>
      </c>
      <c r="K672" t="s">
        <v>12</v>
      </c>
      <c r="L672" t="str">
        <f t="shared" si="30"/>
        <v>Attended</v>
      </c>
      <c r="M672">
        <f t="shared" si="31"/>
        <v>0</v>
      </c>
      <c r="N672" t="str">
        <f t="shared" si="32"/>
        <v>Thursday</v>
      </c>
      <c r="O6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73" spans="1:15" x14ac:dyDescent="0.25">
      <c r="A673">
        <v>5671</v>
      </c>
      <c r="B673">
        <v>869</v>
      </c>
      <c r="C673">
        <v>1027</v>
      </c>
      <c r="D673" t="s">
        <v>22</v>
      </c>
      <c r="E673" s="1">
        <v>45799</v>
      </c>
      <c r="F673">
        <v>2325</v>
      </c>
      <c r="G673" t="s">
        <v>17</v>
      </c>
      <c r="H673" t="s">
        <v>11</v>
      </c>
      <c r="I673" t="s">
        <v>1909</v>
      </c>
      <c r="J673" t="str" cm="1">
        <f t="array" ref="J673">_xlfn.IFS(HOUR(I673)&lt;12,"Morning",HOUR(I673)&lt;17,"Afternoon",TRUE,"Evening")</f>
        <v>Afternoon</v>
      </c>
      <c r="K673" t="s">
        <v>20</v>
      </c>
      <c r="L673" t="str">
        <f t="shared" si="30"/>
        <v>No Show</v>
      </c>
      <c r="M673">
        <f t="shared" si="31"/>
        <v>1</v>
      </c>
      <c r="N673" t="str">
        <f t="shared" si="32"/>
        <v>Thursday</v>
      </c>
      <c r="O67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74" spans="1:15" x14ac:dyDescent="0.25">
      <c r="A674">
        <v>5672</v>
      </c>
      <c r="B674">
        <v>838</v>
      </c>
      <c r="C674">
        <v>1027</v>
      </c>
      <c r="D674" t="s">
        <v>9</v>
      </c>
      <c r="E674" s="1">
        <v>45576</v>
      </c>
      <c r="F674">
        <v>2093</v>
      </c>
      <c r="G674" t="s">
        <v>17</v>
      </c>
      <c r="H674" t="s">
        <v>19</v>
      </c>
      <c r="I674" t="s">
        <v>1935</v>
      </c>
      <c r="J674" t="str" cm="1">
        <f t="array" ref="J674">_xlfn.IFS(HOUR(I674)&lt;12,"Morning",HOUR(I674)&lt;17,"Afternoon",TRUE,"Evening")</f>
        <v>Afternoon</v>
      </c>
      <c r="K674" t="s">
        <v>12</v>
      </c>
      <c r="L674" t="str">
        <f t="shared" si="30"/>
        <v>Attended</v>
      </c>
      <c r="M674">
        <f t="shared" si="31"/>
        <v>0</v>
      </c>
      <c r="N674" t="str">
        <f t="shared" si="32"/>
        <v>Friday</v>
      </c>
      <c r="O6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75" spans="1:15" x14ac:dyDescent="0.25">
      <c r="A675">
        <v>5673</v>
      </c>
      <c r="B675">
        <v>942</v>
      </c>
      <c r="C675">
        <v>1027</v>
      </c>
      <c r="D675" t="s">
        <v>21</v>
      </c>
      <c r="E675" s="1">
        <v>45688</v>
      </c>
      <c r="F675">
        <v>1600</v>
      </c>
      <c r="G675" t="s">
        <v>25</v>
      </c>
      <c r="H675" t="s">
        <v>19</v>
      </c>
      <c r="I675" t="s">
        <v>1941</v>
      </c>
      <c r="J675" t="str" cm="1">
        <f t="array" ref="J675">_xlfn.IFS(HOUR(I675)&lt;12,"Morning",HOUR(I675)&lt;17,"Afternoon",TRUE,"Evening")</f>
        <v>Morning</v>
      </c>
      <c r="K675" t="s">
        <v>12</v>
      </c>
      <c r="L675" t="str">
        <f t="shared" si="30"/>
        <v>Attended</v>
      </c>
      <c r="M675">
        <f t="shared" si="31"/>
        <v>0</v>
      </c>
      <c r="N675" t="str">
        <f t="shared" si="32"/>
        <v>Friday</v>
      </c>
      <c r="O67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76" spans="1:15" x14ac:dyDescent="0.25">
      <c r="A676">
        <v>5674</v>
      </c>
      <c r="B676">
        <v>981</v>
      </c>
      <c r="C676">
        <v>1009</v>
      </c>
      <c r="D676" t="s">
        <v>13</v>
      </c>
      <c r="E676" s="1">
        <v>45815</v>
      </c>
      <c r="F676">
        <v>2484</v>
      </c>
      <c r="G676" t="s">
        <v>25</v>
      </c>
      <c r="H676" t="s">
        <v>11</v>
      </c>
      <c r="I676" t="s">
        <v>1936</v>
      </c>
      <c r="J676" t="str" cm="1">
        <f t="array" ref="J676">_xlfn.IFS(HOUR(I676)&lt;12,"Morning",HOUR(I676)&lt;17,"Afternoon",TRUE,"Evening")</f>
        <v>Morning</v>
      </c>
      <c r="K676" t="s">
        <v>23</v>
      </c>
      <c r="L676" t="str">
        <f t="shared" si="30"/>
        <v>No Show</v>
      </c>
      <c r="M676">
        <f t="shared" si="31"/>
        <v>1</v>
      </c>
      <c r="N676" t="str">
        <f t="shared" si="32"/>
        <v>Saturday</v>
      </c>
      <c r="O67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77" spans="1:15" x14ac:dyDescent="0.25">
      <c r="A677">
        <v>5675</v>
      </c>
      <c r="B677">
        <v>1092</v>
      </c>
      <c r="C677">
        <v>1027</v>
      </c>
      <c r="D677" t="s">
        <v>21</v>
      </c>
      <c r="E677" s="1">
        <v>45552</v>
      </c>
      <c r="F677">
        <v>2140</v>
      </c>
      <c r="G677" t="s">
        <v>17</v>
      </c>
      <c r="H677" t="s">
        <v>15</v>
      </c>
      <c r="I677" t="s">
        <v>1914</v>
      </c>
      <c r="J677" t="str" cm="1">
        <f t="array" ref="J677">_xlfn.IFS(HOUR(I677)&lt;12,"Morning",HOUR(I677)&lt;17,"Afternoon",TRUE,"Evening")</f>
        <v>Afternoon</v>
      </c>
      <c r="K677" t="s">
        <v>12</v>
      </c>
      <c r="L677" t="str">
        <f t="shared" si="30"/>
        <v>Attended</v>
      </c>
      <c r="M677">
        <f t="shared" si="31"/>
        <v>0</v>
      </c>
      <c r="N677" t="str">
        <f t="shared" si="32"/>
        <v>Tuesday</v>
      </c>
      <c r="O67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78" spans="1:15" x14ac:dyDescent="0.25">
      <c r="A678">
        <v>5676</v>
      </c>
      <c r="B678">
        <v>464</v>
      </c>
      <c r="C678">
        <v>1004</v>
      </c>
      <c r="D678" t="s">
        <v>18</v>
      </c>
      <c r="E678" s="1">
        <v>45813</v>
      </c>
      <c r="F678">
        <v>1715</v>
      </c>
      <c r="G678" t="s">
        <v>25</v>
      </c>
      <c r="H678" t="s">
        <v>19</v>
      </c>
      <c r="I678" t="s">
        <v>1937</v>
      </c>
      <c r="J678" t="str" cm="1">
        <f t="array" ref="J678">_xlfn.IFS(HOUR(I678)&lt;12,"Morning",HOUR(I678)&lt;17,"Afternoon",TRUE,"Evening")</f>
        <v>Morning</v>
      </c>
      <c r="K678" t="s">
        <v>23</v>
      </c>
      <c r="L678" t="str">
        <f t="shared" si="30"/>
        <v>No Show</v>
      </c>
      <c r="M678">
        <f t="shared" si="31"/>
        <v>1</v>
      </c>
      <c r="N678" t="str">
        <f t="shared" si="32"/>
        <v>Thursday</v>
      </c>
      <c r="O67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79" spans="1:15" x14ac:dyDescent="0.25">
      <c r="A679">
        <v>5677</v>
      </c>
      <c r="B679">
        <v>888</v>
      </c>
      <c r="C679">
        <v>1027</v>
      </c>
      <c r="D679" t="s">
        <v>9</v>
      </c>
      <c r="E679" s="1">
        <v>45522</v>
      </c>
      <c r="F679">
        <v>1862</v>
      </c>
      <c r="G679" t="s">
        <v>25</v>
      </c>
      <c r="H679" t="s">
        <v>15</v>
      </c>
      <c r="I679" t="s">
        <v>1929</v>
      </c>
      <c r="J679" t="str" cm="1">
        <f t="array" ref="J679">_xlfn.IFS(HOUR(I679)&lt;12,"Morning",HOUR(I679)&lt;17,"Afternoon",TRUE,"Evening")</f>
        <v>Afternoon</v>
      </c>
      <c r="K679" t="s">
        <v>28</v>
      </c>
      <c r="L679" t="str">
        <f t="shared" si="30"/>
        <v>No Show</v>
      </c>
      <c r="M679">
        <f t="shared" si="31"/>
        <v>1</v>
      </c>
      <c r="N679" t="str">
        <f t="shared" si="32"/>
        <v>Sunday</v>
      </c>
      <c r="O67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80" spans="1:15" x14ac:dyDescent="0.25">
      <c r="A680">
        <v>5678</v>
      </c>
      <c r="B680">
        <v>856</v>
      </c>
      <c r="C680">
        <v>1027</v>
      </c>
      <c r="D680" t="s">
        <v>9</v>
      </c>
      <c r="E680" s="1">
        <v>45743</v>
      </c>
      <c r="F680">
        <v>982</v>
      </c>
      <c r="G680" t="s">
        <v>14</v>
      </c>
      <c r="H680" t="s">
        <v>19</v>
      </c>
      <c r="I680" t="s">
        <v>1922</v>
      </c>
      <c r="J680" t="str" cm="1">
        <f t="array" ref="J680">_xlfn.IFS(HOUR(I680)&lt;12,"Morning",HOUR(I680)&lt;17,"Afternoon",TRUE,"Evening")</f>
        <v>Afternoon</v>
      </c>
      <c r="K680" t="s">
        <v>12</v>
      </c>
      <c r="L680" t="str">
        <f t="shared" si="30"/>
        <v>Attended</v>
      </c>
      <c r="M680">
        <f t="shared" si="31"/>
        <v>0</v>
      </c>
      <c r="N680" t="str">
        <f t="shared" si="32"/>
        <v>Thursday</v>
      </c>
      <c r="O68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1" spans="1:15" x14ac:dyDescent="0.25">
      <c r="A681">
        <v>5679</v>
      </c>
      <c r="B681">
        <v>742</v>
      </c>
      <c r="C681">
        <v>1009</v>
      </c>
      <c r="D681" t="s">
        <v>13</v>
      </c>
      <c r="E681" s="1">
        <v>45792</v>
      </c>
      <c r="F681">
        <v>1379</v>
      </c>
      <c r="G681" t="s">
        <v>17</v>
      </c>
      <c r="H681" t="s">
        <v>19</v>
      </c>
      <c r="I681" t="s">
        <v>1933</v>
      </c>
      <c r="J681" t="str" cm="1">
        <f t="array" ref="J681">_xlfn.IFS(HOUR(I681)&lt;12,"Morning",HOUR(I681)&lt;17,"Afternoon",TRUE,"Evening")</f>
        <v>Evening</v>
      </c>
      <c r="K681" t="s">
        <v>20</v>
      </c>
      <c r="L681" t="str">
        <f t="shared" si="30"/>
        <v>No Show</v>
      </c>
      <c r="M681">
        <f t="shared" si="31"/>
        <v>1</v>
      </c>
      <c r="N681" t="str">
        <f t="shared" si="32"/>
        <v>Thursday</v>
      </c>
      <c r="O6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2" spans="1:15" x14ac:dyDescent="0.25">
      <c r="A682">
        <v>5680</v>
      </c>
      <c r="B682">
        <v>1316</v>
      </c>
      <c r="C682">
        <v>1027</v>
      </c>
      <c r="D682" t="s">
        <v>24</v>
      </c>
      <c r="E682" s="1">
        <v>45503</v>
      </c>
      <c r="F682">
        <v>2405</v>
      </c>
      <c r="G682" t="s">
        <v>14</v>
      </c>
      <c r="H682" t="s">
        <v>19</v>
      </c>
      <c r="I682" t="s">
        <v>1938</v>
      </c>
      <c r="J682" t="str" cm="1">
        <f t="array" ref="J682">_xlfn.IFS(HOUR(I682)&lt;12,"Morning",HOUR(I682)&lt;17,"Afternoon",TRUE,"Evening")</f>
        <v>Afternoon</v>
      </c>
      <c r="K682" t="s">
        <v>12</v>
      </c>
      <c r="L682" t="str">
        <f t="shared" si="30"/>
        <v>Attended</v>
      </c>
      <c r="M682">
        <f t="shared" si="31"/>
        <v>0</v>
      </c>
      <c r="N682" t="str">
        <f t="shared" si="32"/>
        <v>Tuesday</v>
      </c>
      <c r="O6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3" spans="1:15" x14ac:dyDescent="0.25">
      <c r="A683">
        <v>5681</v>
      </c>
      <c r="B683">
        <v>963</v>
      </c>
      <c r="C683">
        <v>1027</v>
      </c>
      <c r="D683" t="s">
        <v>9</v>
      </c>
      <c r="E683" s="1">
        <v>45583</v>
      </c>
      <c r="F683">
        <v>1351</v>
      </c>
      <c r="G683" t="s">
        <v>14</v>
      </c>
      <c r="H683" t="s">
        <v>19</v>
      </c>
      <c r="I683" t="s">
        <v>1936</v>
      </c>
      <c r="J683" t="str" cm="1">
        <f t="array" ref="J683">_xlfn.IFS(HOUR(I683)&lt;12,"Morning",HOUR(I683)&lt;17,"Afternoon",TRUE,"Evening")</f>
        <v>Morning</v>
      </c>
      <c r="K683" t="s">
        <v>12</v>
      </c>
      <c r="L683" t="str">
        <f t="shared" si="30"/>
        <v>Attended</v>
      </c>
      <c r="M683">
        <f t="shared" si="31"/>
        <v>0</v>
      </c>
      <c r="N683" t="str">
        <f t="shared" si="32"/>
        <v>Friday</v>
      </c>
      <c r="O68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4" spans="1:15" x14ac:dyDescent="0.25">
      <c r="A684">
        <v>5682</v>
      </c>
      <c r="B684">
        <v>964</v>
      </c>
      <c r="C684">
        <v>1027</v>
      </c>
      <c r="D684" t="s">
        <v>9</v>
      </c>
      <c r="E684" s="1">
        <v>45632</v>
      </c>
      <c r="F684">
        <v>987</v>
      </c>
      <c r="G684" t="s">
        <v>14</v>
      </c>
      <c r="H684" t="s">
        <v>19</v>
      </c>
      <c r="I684" t="s">
        <v>1941</v>
      </c>
      <c r="J684" t="str" cm="1">
        <f t="array" ref="J684">_xlfn.IFS(HOUR(I684)&lt;12,"Morning",HOUR(I684)&lt;17,"Afternoon",TRUE,"Evening")</f>
        <v>Morning</v>
      </c>
      <c r="K684" t="s">
        <v>12</v>
      </c>
      <c r="L684" t="str">
        <f t="shared" si="30"/>
        <v>Attended</v>
      </c>
      <c r="M684">
        <f t="shared" si="31"/>
        <v>0</v>
      </c>
      <c r="N684" t="str">
        <f t="shared" si="32"/>
        <v>Friday</v>
      </c>
      <c r="O68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5" spans="1:15" x14ac:dyDescent="0.25">
      <c r="A685">
        <v>5683</v>
      </c>
      <c r="B685">
        <v>1301</v>
      </c>
      <c r="C685">
        <v>1024</v>
      </c>
      <c r="D685" t="s">
        <v>16</v>
      </c>
      <c r="E685" s="1">
        <v>45763</v>
      </c>
      <c r="F685">
        <v>1474</v>
      </c>
      <c r="G685" t="s">
        <v>17</v>
      </c>
      <c r="H685" t="s">
        <v>11</v>
      </c>
      <c r="I685" t="s">
        <v>1928</v>
      </c>
      <c r="J685" t="str" cm="1">
        <f t="array" ref="J685">_xlfn.IFS(HOUR(I685)&lt;12,"Morning",HOUR(I685)&lt;17,"Afternoon",TRUE,"Evening")</f>
        <v>Morning</v>
      </c>
      <c r="K685" t="s">
        <v>12</v>
      </c>
      <c r="L685" t="str">
        <f t="shared" si="30"/>
        <v>Attended</v>
      </c>
      <c r="M685">
        <f t="shared" si="31"/>
        <v>0</v>
      </c>
      <c r="N685" t="str">
        <f t="shared" si="32"/>
        <v>Wednesday</v>
      </c>
      <c r="O68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6" spans="1:15" x14ac:dyDescent="0.25">
      <c r="A686">
        <v>5684</v>
      </c>
      <c r="B686">
        <v>1212</v>
      </c>
      <c r="C686">
        <v>1027</v>
      </c>
      <c r="D686" t="s">
        <v>9</v>
      </c>
      <c r="E686" s="1">
        <v>45745</v>
      </c>
      <c r="F686">
        <v>890</v>
      </c>
      <c r="G686" t="s">
        <v>17</v>
      </c>
      <c r="H686" t="s">
        <v>19</v>
      </c>
      <c r="I686" t="s">
        <v>1916</v>
      </c>
      <c r="J686" t="str" cm="1">
        <f t="array" ref="J686">_xlfn.IFS(HOUR(I686)&lt;12,"Morning",HOUR(I686)&lt;17,"Afternoon",TRUE,"Evening")</f>
        <v>Afternoon</v>
      </c>
      <c r="K686" t="s">
        <v>12</v>
      </c>
      <c r="L686" t="str">
        <f t="shared" si="30"/>
        <v>Attended</v>
      </c>
      <c r="M686">
        <f t="shared" si="31"/>
        <v>0</v>
      </c>
      <c r="N686" t="str">
        <f t="shared" si="32"/>
        <v>Saturday</v>
      </c>
      <c r="O68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87" spans="1:15" x14ac:dyDescent="0.25">
      <c r="A687">
        <v>5685</v>
      </c>
      <c r="B687">
        <v>1053</v>
      </c>
      <c r="C687">
        <v>1027</v>
      </c>
      <c r="D687" t="s">
        <v>22</v>
      </c>
      <c r="E687" s="1">
        <v>45727</v>
      </c>
      <c r="F687">
        <v>1385</v>
      </c>
      <c r="G687" t="s">
        <v>14</v>
      </c>
      <c r="H687" t="s">
        <v>11</v>
      </c>
      <c r="I687" t="s">
        <v>1915</v>
      </c>
      <c r="J687" t="str" cm="1">
        <f t="array" ref="J687">_xlfn.IFS(HOUR(I687)&lt;12,"Morning",HOUR(I687)&lt;17,"Afternoon",TRUE,"Evening")</f>
        <v>Afternoon</v>
      </c>
      <c r="K687" t="s">
        <v>12</v>
      </c>
      <c r="L687" t="str">
        <f t="shared" si="30"/>
        <v>Attended</v>
      </c>
      <c r="M687">
        <f t="shared" si="31"/>
        <v>0</v>
      </c>
      <c r="N687" t="str">
        <f t="shared" si="32"/>
        <v>Tuesday</v>
      </c>
      <c r="O68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8" spans="1:15" x14ac:dyDescent="0.25">
      <c r="A688">
        <v>5686</v>
      </c>
      <c r="B688">
        <v>1059</v>
      </c>
      <c r="C688">
        <v>1008</v>
      </c>
      <c r="D688" t="s">
        <v>13</v>
      </c>
      <c r="E688" s="1">
        <v>45665</v>
      </c>
      <c r="F688">
        <v>1041</v>
      </c>
      <c r="G688" t="s">
        <v>25</v>
      </c>
      <c r="H688" t="s">
        <v>19</v>
      </c>
      <c r="I688" t="s">
        <v>1925</v>
      </c>
      <c r="J688" t="str" cm="1">
        <f t="array" ref="J688">_xlfn.IFS(HOUR(I688)&lt;12,"Morning",HOUR(I688)&lt;17,"Afternoon",TRUE,"Evening")</f>
        <v>Afternoon</v>
      </c>
      <c r="K688" t="s">
        <v>12</v>
      </c>
      <c r="L688" t="str">
        <f t="shared" si="30"/>
        <v>Attended</v>
      </c>
      <c r="M688">
        <f t="shared" si="31"/>
        <v>0</v>
      </c>
      <c r="N688" t="str">
        <f t="shared" si="32"/>
        <v>Wednesday</v>
      </c>
      <c r="O68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89" spans="1:15" x14ac:dyDescent="0.25">
      <c r="A689">
        <v>5687</v>
      </c>
      <c r="B689">
        <v>929</v>
      </c>
      <c r="C689">
        <v>1009</v>
      </c>
      <c r="D689" t="s">
        <v>13</v>
      </c>
      <c r="E689" s="1">
        <v>45801</v>
      </c>
      <c r="F689">
        <v>1703</v>
      </c>
      <c r="G689" t="s">
        <v>17</v>
      </c>
      <c r="H689" t="s">
        <v>11</v>
      </c>
      <c r="I689" t="s">
        <v>1919</v>
      </c>
      <c r="J689" t="str" cm="1">
        <f t="array" ref="J689">_xlfn.IFS(HOUR(I689)&lt;12,"Morning",HOUR(I689)&lt;17,"Afternoon",TRUE,"Evening")</f>
        <v>Evening</v>
      </c>
      <c r="K689" t="s">
        <v>12</v>
      </c>
      <c r="L689" t="str">
        <f t="shared" si="30"/>
        <v>Attended</v>
      </c>
      <c r="M689">
        <f t="shared" si="31"/>
        <v>0</v>
      </c>
      <c r="N689" t="str">
        <f t="shared" si="32"/>
        <v>Saturday</v>
      </c>
      <c r="O68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90" spans="1:15" x14ac:dyDescent="0.25">
      <c r="A690">
        <v>5688</v>
      </c>
      <c r="B690">
        <v>340</v>
      </c>
      <c r="C690">
        <v>1027</v>
      </c>
      <c r="D690" t="s">
        <v>24</v>
      </c>
      <c r="E690" s="1">
        <v>45736</v>
      </c>
      <c r="F690">
        <v>1559</v>
      </c>
      <c r="G690" t="s">
        <v>25</v>
      </c>
      <c r="H690" t="s">
        <v>19</v>
      </c>
      <c r="I690" t="s">
        <v>1922</v>
      </c>
      <c r="J690" t="str" cm="1">
        <f t="array" ref="J690">_xlfn.IFS(HOUR(I690)&lt;12,"Morning",HOUR(I690)&lt;17,"Afternoon",TRUE,"Evening")</f>
        <v>Afternoon</v>
      </c>
      <c r="K690" t="s">
        <v>12</v>
      </c>
      <c r="L690" t="str">
        <f t="shared" si="30"/>
        <v>Attended</v>
      </c>
      <c r="M690">
        <f t="shared" si="31"/>
        <v>0</v>
      </c>
      <c r="N690" t="str">
        <f t="shared" si="32"/>
        <v>Thursday</v>
      </c>
      <c r="O69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91" spans="1:15" x14ac:dyDescent="0.25">
      <c r="A691">
        <v>5689</v>
      </c>
      <c r="B691">
        <v>502</v>
      </c>
      <c r="C691">
        <v>1020</v>
      </c>
      <c r="D691" t="s">
        <v>26</v>
      </c>
      <c r="E691" s="1">
        <v>45538</v>
      </c>
      <c r="F691">
        <v>822</v>
      </c>
      <c r="G691" t="s">
        <v>25</v>
      </c>
      <c r="H691" t="s">
        <v>11</v>
      </c>
      <c r="I691" t="s">
        <v>1907</v>
      </c>
      <c r="J691" t="str" cm="1">
        <f t="array" ref="J691">_xlfn.IFS(HOUR(I691)&lt;12,"Morning",HOUR(I691)&lt;17,"Afternoon",TRUE,"Evening")</f>
        <v>Afternoon</v>
      </c>
      <c r="K691" t="s">
        <v>12</v>
      </c>
      <c r="L691" t="str">
        <f t="shared" si="30"/>
        <v>Attended</v>
      </c>
      <c r="M691">
        <f t="shared" si="31"/>
        <v>0</v>
      </c>
      <c r="N691" t="str">
        <f t="shared" si="32"/>
        <v>Tuesday</v>
      </c>
      <c r="O69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92" spans="1:15" x14ac:dyDescent="0.25">
      <c r="A692">
        <v>5690</v>
      </c>
      <c r="B692">
        <v>642</v>
      </c>
      <c r="C692">
        <v>1027</v>
      </c>
      <c r="D692" t="s">
        <v>24</v>
      </c>
      <c r="E692" s="1">
        <v>45715</v>
      </c>
      <c r="F692">
        <v>2088</v>
      </c>
      <c r="G692" t="s">
        <v>25</v>
      </c>
      <c r="H692" t="s">
        <v>19</v>
      </c>
      <c r="I692" t="s">
        <v>1918</v>
      </c>
      <c r="J692" t="str" cm="1">
        <f t="array" ref="J692">_xlfn.IFS(HOUR(I692)&lt;12,"Morning",HOUR(I692)&lt;17,"Afternoon",TRUE,"Evening")</f>
        <v>Evening</v>
      </c>
      <c r="K692" t="s">
        <v>12</v>
      </c>
      <c r="L692" t="str">
        <f t="shared" si="30"/>
        <v>Attended</v>
      </c>
      <c r="M692">
        <f t="shared" si="31"/>
        <v>0</v>
      </c>
      <c r="N692" t="str">
        <f t="shared" si="32"/>
        <v>Thursday</v>
      </c>
      <c r="O69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93" spans="1:15" x14ac:dyDescent="0.25">
      <c r="A693">
        <v>5691</v>
      </c>
      <c r="B693">
        <v>1244</v>
      </c>
      <c r="C693">
        <v>1027</v>
      </c>
      <c r="D693" t="s">
        <v>21</v>
      </c>
      <c r="E693" s="1">
        <v>45482</v>
      </c>
      <c r="F693">
        <v>2437</v>
      </c>
      <c r="G693" t="s">
        <v>14</v>
      </c>
      <c r="H693" t="s">
        <v>11</v>
      </c>
      <c r="I693" t="s">
        <v>1909</v>
      </c>
      <c r="J693" t="str" cm="1">
        <f t="array" ref="J693">_xlfn.IFS(HOUR(I693)&lt;12,"Morning",HOUR(I693)&lt;17,"Afternoon",TRUE,"Evening")</f>
        <v>Afternoon</v>
      </c>
      <c r="K693" t="s">
        <v>12</v>
      </c>
      <c r="L693" t="str">
        <f t="shared" si="30"/>
        <v>Attended</v>
      </c>
      <c r="M693">
        <f t="shared" si="31"/>
        <v>0</v>
      </c>
      <c r="N693" t="str">
        <f t="shared" si="32"/>
        <v>Tuesday</v>
      </c>
      <c r="O6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94" spans="1:15" x14ac:dyDescent="0.25">
      <c r="A694">
        <v>5692</v>
      </c>
      <c r="B694">
        <v>223</v>
      </c>
      <c r="C694">
        <v>1001</v>
      </c>
      <c r="D694" t="s">
        <v>18</v>
      </c>
      <c r="E694" s="1">
        <v>45571</v>
      </c>
      <c r="F694">
        <v>925</v>
      </c>
      <c r="G694" t="s">
        <v>14</v>
      </c>
      <c r="H694" t="s">
        <v>11</v>
      </c>
      <c r="I694" t="s">
        <v>1917</v>
      </c>
      <c r="J694" t="str" cm="1">
        <f t="array" ref="J694">_xlfn.IFS(HOUR(I694)&lt;12,"Morning",HOUR(I694)&lt;17,"Afternoon",TRUE,"Evening")</f>
        <v>Afternoon</v>
      </c>
      <c r="K694" t="s">
        <v>12</v>
      </c>
      <c r="L694" t="str">
        <f t="shared" si="30"/>
        <v>Attended</v>
      </c>
      <c r="M694">
        <f t="shared" si="31"/>
        <v>0</v>
      </c>
      <c r="N694" t="str">
        <f t="shared" si="32"/>
        <v>Sunday</v>
      </c>
      <c r="O69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95" spans="1:15" x14ac:dyDescent="0.25">
      <c r="A695">
        <v>5693</v>
      </c>
      <c r="B695">
        <v>184</v>
      </c>
      <c r="C695">
        <v>1027</v>
      </c>
      <c r="D695" t="s">
        <v>24</v>
      </c>
      <c r="E695" s="1">
        <v>45649</v>
      </c>
      <c r="F695">
        <v>1896</v>
      </c>
      <c r="G695" t="s">
        <v>14</v>
      </c>
      <c r="H695" t="s">
        <v>19</v>
      </c>
      <c r="I695" t="s">
        <v>1933</v>
      </c>
      <c r="J695" t="str" cm="1">
        <f t="array" ref="J695">_xlfn.IFS(HOUR(I695)&lt;12,"Morning",HOUR(I695)&lt;17,"Afternoon",TRUE,"Evening")</f>
        <v>Evening</v>
      </c>
      <c r="K695" t="s">
        <v>28</v>
      </c>
      <c r="L695" t="str">
        <f t="shared" si="30"/>
        <v>No Show</v>
      </c>
      <c r="M695">
        <f t="shared" si="31"/>
        <v>1</v>
      </c>
      <c r="N695" t="str">
        <f t="shared" si="32"/>
        <v>Monday</v>
      </c>
      <c r="O69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96" spans="1:15" x14ac:dyDescent="0.25">
      <c r="A696">
        <v>5694</v>
      </c>
      <c r="B696">
        <v>1371</v>
      </c>
      <c r="C696">
        <v>1027</v>
      </c>
      <c r="D696" t="s">
        <v>24</v>
      </c>
      <c r="E696" s="1">
        <v>45614</v>
      </c>
      <c r="F696">
        <v>1665</v>
      </c>
      <c r="G696" t="s">
        <v>17</v>
      </c>
      <c r="H696" t="s">
        <v>15</v>
      </c>
      <c r="I696" t="s">
        <v>1928</v>
      </c>
      <c r="J696" t="str" cm="1">
        <f t="array" ref="J696">_xlfn.IFS(HOUR(I696)&lt;12,"Morning",HOUR(I696)&lt;17,"Afternoon",TRUE,"Evening")</f>
        <v>Morning</v>
      </c>
      <c r="K696" t="s">
        <v>12</v>
      </c>
      <c r="L696" t="str">
        <f t="shared" si="30"/>
        <v>Attended</v>
      </c>
      <c r="M696">
        <f t="shared" si="31"/>
        <v>0</v>
      </c>
      <c r="N696" t="str">
        <f t="shared" si="32"/>
        <v>Monday</v>
      </c>
      <c r="O69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97" spans="1:15" x14ac:dyDescent="0.25">
      <c r="A697">
        <v>5695</v>
      </c>
      <c r="B697">
        <v>192</v>
      </c>
      <c r="C697">
        <v>1027</v>
      </c>
      <c r="D697" t="s">
        <v>24</v>
      </c>
      <c r="E697" s="1">
        <v>45681</v>
      </c>
      <c r="F697">
        <v>2090</v>
      </c>
      <c r="G697" t="s">
        <v>10</v>
      </c>
      <c r="H697" t="s">
        <v>15</v>
      </c>
      <c r="I697" t="s">
        <v>1914</v>
      </c>
      <c r="J697" t="str" cm="1">
        <f t="array" ref="J697">_xlfn.IFS(HOUR(I697)&lt;12,"Morning",HOUR(I697)&lt;17,"Afternoon",TRUE,"Evening")</f>
        <v>Afternoon</v>
      </c>
      <c r="K697" t="s">
        <v>12</v>
      </c>
      <c r="L697" t="str">
        <f t="shared" si="30"/>
        <v>Attended</v>
      </c>
      <c r="M697">
        <f t="shared" si="31"/>
        <v>0</v>
      </c>
      <c r="N697" t="str">
        <f t="shared" si="32"/>
        <v>Friday</v>
      </c>
      <c r="O69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698" spans="1:15" x14ac:dyDescent="0.25">
      <c r="A698">
        <v>5696</v>
      </c>
      <c r="B698">
        <v>166</v>
      </c>
      <c r="C698">
        <v>1008</v>
      </c>
      <c r="D698" t="s">
        <v>13</v>
      </c>
      <c r="E698" s="1">
        <v>45654</v>
      </c>
      <c r="F698">
        <v>2243</v>
      </c>
      <c r="G698" t="s">
        <v>14</v>
      </c>
      <c r="H698" t="s">
        <v>15</v>
      </c>
      <c r="I698" t="s">
        <v>1921</v>
      </c>
      <c r="J698" t="str" cm="1">
        <f t="array" ref="J698">_xlfn.IFS(HOUR(I698)&lt;12,"Morning",HOUR(I698)&lt;17,"Afternoon",TRUE,"Evening")</f>
        <v>Afternoon</v>
      </c>
      <c r="K698" t="s">
        <v>12</v>
      </c>
      <c r="L698" t="str">
        <f t="shared" si="30"/>
        <v>Attended</v>
      </c>
      <c r="M698">
        <f t="shared" si="31"/>
        <v>0</v>
      </c>
      <c r="N698" t="str">
        <f t="shared" si="32"/>
        <v>Saturday</v>
      </c>
      <c r="O69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699" spans="1:15" x14ac:dyDescent="0.25">
      <c r="A699">
        <v>5697</v>
      </c>
      <c r="B699">
        <v>1073</v>
      </c>
      <c r="C699">
        <v>1020</v>
      </c>
      <c r="D699" t="s">
        <v>26</v>
      </c>
      <c r="E699" s="1">
        <v>45517</v>
      </c>
      <c r="F699">
        <v>1465</v>
      </c>
      <c r="G699" t="s">
        <v>10</v>
      </c>
      <c r="H699" t="s">
        <v>15</v>
      </c>
      <c r="I699" t="s">
        <v>1920</v>
      </c>
      <c r="J699" t="str" cm="1">
        <f t="array" ref="J699">_xlfn.IFS(HOUR(I699)&lt;12,"Morning",HOUR(I699)&lt;17,"Afternoon",TRUE,"Evening")</f>
        <v>Morning</v>
      </c>
      <c r="K699" t="s">
        <v>12</v>
      </c>
      <c r="L699" t="str">
        <f t="shared" si="30"/>
        <v>Attended</v>
      </c>
      <c r="M699">
        <f t="shared" si="31"/>
        <v>0</v>
      </c>
      <c r="N699" t="str">
        <f t="shared" si="32"/>
        <v>Tuesday</v>
      </c>
      <c r="O69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00" spans="1:15" x14ac:dyDescent="0.25">
      <c r="A700">
        <v>5698</v>
      </c>
      <c r="B700">
        <v>141</v>
      </c>
      <c r="C700">
        <v>1003</v>
      </c>
      <c r="D700" t="s">
        <v>18</v>
      </c>
      <c r="E700" s="1">
        <v>45558</v>
      </c>
      <c r="F700">
        <v>2194</v>
      </c>
      <c r="G700" t="s">
        <v>10</v>
      </c>
      <c r="H700" t="s">
        <v>11</v>
      </c>
      <c r="I700" t="s">
        <v>1941</v>
      </c>
      <c r="J700" t="str" cm="1">
        <f t="array" ref="J700">_xlfn.IFS(HOUR(I700)&lt;12,"Morning",HOUR(I700)&lt;17,"Afternoon",TRUE,"Evening")</f>
        <v>Morning</v>
      </c>
      <c r="K700" t="s">
        <v>12</v>
      </c>
      <c r="L700" t="str">
        <f t="shared" si="30"/>
        <v>Attended</v>
      </c>
      <c r="M700">
        <f t="shared" si="31"/>
        <v>0</v>
      </c>
      <c r="N700" t="str">
        <f t="shared" si="32"/>
        <v>Monday</v>
      </c>
      <c r="O70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01" spans="1:15" x14ac:dyDescent="0.25">
      <c r="A701">
        <v>5699</v>
      </c>
      <c r="B701">
        <v>1207</v>
      </c>
      <c r="C701">
        <v>1027</v>
      </c>
      <c r="D701" t="s">
        <v>22</v>
      </c>
      <c r="E701" s="1">
        <v>45717</v>
      </c>
      <c r="F701">
        <v>2337</v>
      </c>
      <c r="G701" t="s">
        <v>14</v>
      </c>
      <c r="H701" t="s">
        <v>15</v>
      </c>
      <c r="I701" t="s">
        <v>1922</v>
      </c>
      <c r="J701" t="str" cm="1">
        <f t="array" ref="J701">_xlfn.IFS(HOUR(I701)&lt;12,"Morning",HOUR(I701)&lt;17,"Afternoon",TRUE,"Evening")</f>
        <v>Afternoon</v>
      </c>
      <c r="K701" t="s">
        <v>12</v>
      </c>
      <c r="L701" t="str">
        <f t="shared" si="30"/>
        <v>Attended</v>
      </c>
      <c r="M701">
        <f t="shared" si="31"/>
        <v>0</v>
      </c>
      <c r="N701" t="str">
        <f t="shared" si="32"/>
        <v>Saturday</v>
      </c>
      <c r="O70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02" spans="1:15" x14ac:dyDescent="0.25">
      <c r="A702">
        <v>5700</v>
      </c>
      <c r="B702">
        <v>1487</v>
      </c>
      <c r="C702">
        <v>1009</v>
      </c>
      <c r="D702" t="s">
        <v>13</v>
      </c>
      <c r="E702" s="1">
        <v>45664</v>
      </c>
      <c r="F702">
        <v>1441</v>
      </c>
      <c r="G702" t="s">
        <v>14</v>
      </c>
      <c r="H702" t="s">
        <v>11</v>
      </c>
      <c r="I702" t="s">
        <v>1910</v>
      </c>
      <c r="J702" t="str" cm="1">
        <f t="array" ref="J702">_xlfn.IFS(HOUR(I702)&lt;12,"Morning",HOUR(I702)&lt;17,"Afternoon",TRUE,"Evening")</f>
        <v>Evening</v>
      </c>
      <c r="K702" t="s">
        <v>28</v>
      </c>
      <c r="L702" t="str">
        <f t="shared" si="30"/>
        <v>No Show</v>
      </c>
      <c r="M702">
        <f t="shared" si="31"/>
        <v>1</v>
      </c>
      <c r="N702" t="str">
        <f t="shared" si="32"/>
        <v>Tuesday</v>
      </c>
      <c r="O70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03" spans="1:15" x14ac:dyDescent="0.25">
      <c r="A703">
        <v>5701</v>
      </c>
      <c r="B703">
        <v>664</v>
      </c>
      <c r="C703">
        <v>1020</v>
      </c>
      <c r="D703" t="s">
        <v>26</v>
      </c>
      <c r="E703" s="1">
        <v>45682</v>
      </c>
      <c r="F703">
        <v>945</v>
      </c>
      <c r="G703" t="s">
        <v>10</v>
      </c>
      <c r="H703" t="s">
        <v>15</v>
      </c>
      <c r="I703" t="s">
        <v>1934</v>
      </c>
      <c r="J703" t="str" cm="1">
        <f t="array" ref="J703">_xlfn.IFS(HOUR(I703)&lt;12,"Morning",HOUR(I703)&lt;17,"Afternoon",TRUE,"Evening")</f>
        <v>Afternoon</v>
      </c>
      <c r="K703" t="s">
        <v>12</v>
      </c>
      <c r="L703" t="str">
        <f t="shared" si="30"/>
        <v>Attended</v>
      </c>
      <c r="M703">
        <f t="shared" si="31"/>
        <v>0</v>
      </c>
      <c r="N703" t="str">
        <f t="shared" si="32"/>
        <v>Saturday</v>
      </c>
      <c r="O70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04" spans="1:15" x14ac:dyDescent="0.25">
      <c r="A704">
        <v>5702</v>
      </c>
      <c r="B704">
        <v>1553</v>
      </c>
      <c r="C704">
        <v>1004</v>
      </c>
      <c r="D704" t="s">
        <v>18</v>
      </c>
      <c r="E704" s="1">
        <v>45699</v>
      </c>
      <c r="F704">
        <v>2391</v>
      </c>
      <c r="G704" t="s">
        <v>25</v>
      </c>
      <c r="H704" t="s">
        <v>19</v>
      </c>
      <c r="I704" t="s">
        <v>1922</v>
      </c>
      <c r="J704" t="str" cm="1">
        <f t="array" ref="J704">_xlfn.IFS(HOUR(I704)&lt;12,"Morning",HOUR(I704)&lt;17,"Afternoon",TRUE,"Evening")</f>
        <v>Afternoon</v>
      </c>
      <c r="K704" t="s">
        <v>12</v>
      </c>
      <c r="L704" t="str">
        <f t="shared" si="30"/>
        <v>Attended</v>
      </c>
      <c r="M704">
        <f t="shared" si="31"/>
        <v>0</v>
      </c>
      <c r="N704" t="str">
        <f t="shared" si="32"/>
        <v>Tuesday</v>
      </c>
      <c r="O70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05" spans="1:15" x14ac:dyDescent="0.25">
      <c r="A705">
        <v>5703</v>
      </c>
      <c r="B705">
        <v>1509</v>
      </c>
      <c r="C705">
        <v>1009</v>
      </c>
      <c r="D705" t="s">
        <v>13</v>
      </c>
      <c r="E705" s="1">
        <v>45834</v>
      </c>
      <c r="F705">
        <v>952</v>
      </c>
      <c r="G705" t="s">
        <v>14</v>
      </c>
      <c r="H705" t="s">
        <v>19</v>
      </c>
      <c r="I705" t="s">
        <v>1938</v>
      </c>
      <c r="J705" t="str" cm="1">
        <f t="array" ref="J705">_xlfn.IFS(HOUR(I705)&lt;12,"Morning",HOUR(I705)&lt;17,"Afternoon",TRUE,"Evening")</f>
        <v>Afternoon</v>
      </c>
      <c r="K705" t="s">
        <v>23</v>
      </c>
      <c r="L705" t="str">
        <f t="shared" si="30"/>
        <v>No Show</v>
      </c>
      <c r="M705">
        <f t="shared" si="31"/>
        <v>1</v>
      </c>
      <c r="N705" t="str">
        <f t="shared" si="32"/>
        <v>Thursday</v>
      </c>
      <c r="O70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06" spans="1:15" x14ac:dyDescent="0.25">
      <c r="A706">
        <v>5704</v>
      </c>
      <c r="B706">
        <v>1317</v>
      </c>
      <c r="C706">
        <v>1027</v>
      </c>
      <c r="D706" t="s">
        <v>24</v>
      </c>
      <c r="E706" s="1">
        <v>45550</v>
      </c>
      <c r="F706">
        <v>2164</v>
      </c>
      <c r="G706" t="s">
        <v>17</v>
      </c>
      <c r="H706" t="s">
        <v>15</v>
      </c>
      <c r="I706" t="s">
        <v>1924</v>
      </c>
      <c r="J706" t="str" cm="1">
        <f t="array" ref="J706">_xlfn.IFS(HOUR(I706)&lt;12,"Morning",HOUR(I706)&lt;17,"Afternoon",TRUE,"Evening")</f>
        <v>Afternoon</v>
      </c>
      <c r="K706" t="s">
        <v>12</v>
      </c>
      <c r="L706" t="str">
        <f t="shared" si="30"/>
        <v>Attended</v>
      </c>
      <c r="M706">
        <f t="shared" si="31"/>
        <v>0</v>
      </c>
      <c r="N706" t="str">
        <f t="shared" si="32"/>
        <v>Sunday</v>
      </c>
      <c r="O70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07" spans="1:15" x14ac:dyDescent="0.25">
      <c r="A707">
        <v>5705</v>
      </c>
      <c r="B707">
        <v>181</v>
      </c>
      <c r="C707">
        <v>1027</v>
      </c>
      <c r="D707" t="s">
        <v>9</v>
      </c>
      <c r="E707" s="1">
        <v>45817</v>
      </c>
      <c r="F707">
        <v>854</v>
      </c>
      <c r="G707" t="s">
        <v>10</v>
      </c>
      <c r="H707" t="s">
        <v>11</v>
      </c>
      <c r="I707" t="s">
        <v>1916</v>
      </c>
      <c r="J707" t="str" cm="1">
        <f t="array" ref="J707">_xlfn.IFS(HOUR(I707)&lt;12,"Morning",HOUR(I707)&lt;17,"Afternoon",TRUE,"Evening")</f>
        <v>Afternoon</v>
      </c>
      <c r="K707" t="s">
        <v>23</v>
      </c>
      <c r="L707" t="str">
        <f t="shared" ref="L707:L770" si="33">IF(K707="completed","Attended","No Show")</f>
        <v>No Show</v>
      </c>
      <c r="M707">
        <f t="shared" ref="M707:M770" si="34">IF(L707="No Show",1,0)</f>
        <v>1</v>
      </c>
      <c r="N707" t="str">
        <f t="shared" ref="N707:N770" si="35">TEXT(E707,"dddd")</f>
        <v>Monday</v>
      </c>
      <c r="O70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08" spans="1:15" x14ac:dyDescent="0.25">
      <c r="A708">
        <v>5706</v>
      </c>
      <c r="B708">
        <v>460</v>
      </c>
      <c r="C708">
        <v>1027</v>
      </c>
      <c r="D708" t="s">
        <v>22</v>
      </c>
      <c r="E708" s="1">
        <v>45575</v>
      </c>
      <c r="F708">
        <v>1800</v>
      </c>
      <c r="G708" t="s">
        <v>10</v>
      </c>
      <c r="H708" t="s">
        <v>19</v>
      </c>
      <c r="I708" t="s">
        <v>1929</v>
      </c>
      <c r="J708" t="str" cm="1">
        <f t="array" ref="J708">_xlfn.IFS(HOUR(I708)&lt;12,"Morning",HOUR(I708)&lt;17,"Afternoon",TRUE,"Evening")</f>
        <v>Afternoon</v>
      </c>
      <c r="K708" t="s">
        <v>12</v>
      </c>
      <c r="L708" t="str">
        <f t="shared" si="33"/>
        <v>Attended</v>
      </c>
      <c r="M708">
        <f t="shared" si="34"/>
        <v>0</v>
      </c>
      <c r="N708" t="str">
        <f t="shared" si="35"/>
        <v>Thursday</v>
      </c>
      <c r="O70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09" spans="1:15" x14ac:dyDescent="0.25">
      <c r="A709">
        <v>5707</v>
      </c>
      <c r="B709">
        <v>1438</v>
      </c>
      <c r="C709">
        <v>1027</v>
      </c>
      <c r="D709" t="s">
        <v>27</v>
      </c>
      <c r="E709" s="1">
        <v>45538</v>
      </c>
      <c r="F709">
        <v>1559</v>
      </c>
      <c r="G709" t="s">
        <v>14</v>
      </c>
      <c r="H709" t="s">
        <v>19</v>
      </c>
      <c r="I709" t="s">
        <v>1938</v>
      </c>
      <c r="J709" t="str" cm="1">
        <f t="array" ref="J709">_xlfn.IFS(HOUR(I709)&lt;12,"Morning",HOUR(I709)&lt;17,"Afternoon",TRUE,"Evening")</f>
        <v>Afternoon</v>
      </c>
      <c r="K709" t="s">
        <v>12</v>
      </c>
      <c r="L709" t="str">
        <f t="shared" si="33"/>
        <v>Attended</v>
      </c>
      <c r="M709">
        <f t="shared" si="34"/>
        <v>0</v>
      </c>
      <c r="N709" t="str">
        <f t="shared" si="35"/>
        <v>Tuesday</v>
      </c>
      <c r="O70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10" spans="1:15" x14ac:dyDescent="0.25">
      <c r="A710">
        <v>5708</v>
      </c>
      <c r="B710">
        <v>796</v>
      </c>
      <c r="C710">
        <v>1027</v>
      </c>
      <c r="D710" t="s">
        <v>22</v>
      </c>
      <c r="E710" s="1">
        <v>45619</v>
      </c>
      <c r="F710">
        <v>1128</v>
      </c>
      <c r="G710" t="s">
        <v>25</v>
      </c>
      <c r="H710" t="s">
        <v>19</v>
      </c>
      <c r="I710" t="s">
        <v>1911</v>
      </c>
      <c r="J710" t="str" cm="1">
        <f t="array" ref="J710">_xlfn.IFS(HOUR(I710)&lt;12,"Morning",HOUR(I710)&lt;17,"Afternoon",TRUE,"Evening")</f>
        <v>Morning</v>
      </c>
      <c r="K710" t="s">
        <v>12</v>
      </c>
      <c r="L710" t="str">
        <f t="shared" si="33"/>
        <v>Attended</v>
      </c>
      <c r="M710">
        <f t="shared" si="34"/>
        <v>0</v>
      </c>
      <c r="N710" t="str">
        <f t="shared" si="35"/>
        <v>Saturday</v>
      </c>
      <c r="O71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11" spans="1:15" x14ac:dyDescent="0.25">
      <c r="A711">
        <v>5709</v>
      </c>
      <c r="B711">
        <v>1162</v>
      </c>
      <c r="C711">
        <v>1001</v>
      </c>
      <c r="D711" t="s">
        <v>22</v>
      </c>
      <c r="E711" s="1">
        <v>45710</v>
      </c>
      <c r="F711">
        <v>2031</v>
      </c>
      <c r="G711" t="s">
        <v>25</v>
      </c>
      <c r="H711" t="s">
        <v>11</v>
      </c>
      <c r="I711" t="s">
        <v>1910</v>
      </c>
      <c r="J711" t="str" cm="1">
        <f t="array" ref="J711">_xlfn.IFS(HOUR(I711)&lt;12,"Morning",HOUR(I711)&lt;17,"Afternoon",TRUE,"Evening")</f>
        <v>Evening</v>
      </c>
      <c r="K711" t="s">
        <v>12</v>
      </c>
      <c r="L711" t="str">
        <f t="shared" si="33"/>
        <v>Attended</v>
      </c>
      <c r="M711">
        <f t="shared" si="34"/>
        <v>0</v>
      </c>
      <c r="N711" t="str">
        <f t="shared" si="35"/>
        <v>Saturday</v>
      </c>
      <c r="O71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12" spans="1:15" x14ac:dyDescent="0.25">
      <c r="A712">
        <v>5710</v>
      </c>
      <c r="B712">
        <v>978</v>
      </c>
      <c r="C712">
        <v>1027</v>
      </c>
      <c r="D712" t="s">
        <v>27</v>
      </c>
      <c r="E712" s="1">
        <v>45706</v>
      </c>
      <c r="F712">
        <v>2374</v>
      </c>
      <c r="G712" t="s">
        <v>17</v>
      </c>
      <c r="H712" t="s">
        <v>15</v>
      </c>
      <c r="I712" t="s">
        <v>1908</v>
      </c>
      <c r="J712" t="str" cm="1">
        <f t="array" ref="J712">_xlfn.IFS(HOUR(I712)&lt;12,"Morning",HOUR(I712)&lt;17,"Afternoon",TRUE,"Evening")</f>
        <v>Morning</v>
      </c>
      <c r="K712" t="s">
        <v>12</v>
      </c>
      <c r="L712" t="str">
        <f t="shared" si="33"/>
        <v>Attended</v>
      </c>
      <c r="M712">
        <f t="shared" si="34"/>
        <v>0</v>
      </c>
      <c r="N712" t="str">
        <f t="shared" si="35"/>
        <v>Tuesday</v>
      </c>
      <c r="O7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13" spans="1:15" x14ac:dyDescent="0.25">
      <c r="A713">
        <v>5711</v>
      </c>
      <c r="B713">
        <v>1392</v>
      </c>
      <c r="C713">
        <v>1027</v>
      </c>
      <c r="D713" t="s">
        <v>21</v>
      </c>
      <c r="E713" s="1">
        <v>45785</v>
      </c>
      <c r="F713">
        <v>2112</v>
      </c>
      <c r="G713" t="s">
        <v>10</v>
      </c>
      <c r="H713" t="s">
        <v>19</v>
      </c>
      <c r="I713" t="s">
        <v>1921</v>
      </c>
      <c r="J713" t="str" cm="1">
        <f t="array" ref="J713">_xlfn.IFS(HOUR(I713)&lt;12,"Morning",HOUR(I713)&lt;17,"Afternoon",TRUE,"Evening")</f>
        <v>Afternoon</v>
      </c>
      <c r="K713" t="s">
        <v>28</v>
      </c>
      <c r="L713" t="str">
        <f t="shared" si="33"/>
        <v>No Show</v>
      </c>
      <c r="M713">
        <f t="shared" si="34"/>
        <v>1</v>
      </c>
      <c r="N713" t="str">
        <f t="shared" si="35"/>
        <v>Thursday</v>
      </c>
      <c r="O7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14" spans="1:15" x14ac:dyDescent="0.25">
      <c r="A714">
        <v>5712</v>
      </c>
      <c r="B714">
        <v>591</v>
      </c>
      <c r="C714">
        <v>1027</v>
      </c>
      <c r="D714" t="s">
        <v>27</v>
      </c>
      <c r="E714" s="1">
        <v>45704</v>
      </c>
      <c r="F714">
        <v>2499</v>
      </c>
      <c r="G714" t="s">
        <v>10</v>
      </c>
      <c r="H714" t="s">
        <v>19</v>
      </c>
      <c r="I714" t="s">
        <v>1917</v>
      </c>
      <c r="J714" t="str" cm="1">
        <f t="array" ref="J714">_xlfn.IFS(HOUR(I714)&lt;12,"Morning",HOUR(I714)&lt;17,"Afternoon",TRUE,"Evening")</f>
        <v>Afternoon</v>
      </c>
      <c r="K714" t="s">
        <v>12</v>
      </c>
      <c r="L714" t="str">
        <f t="shared" si="33"/>
        <v>Attended</v>
      </c>
      <c r="M714">
        <f t="shared" si="34"/>
        <v>0</v>
      </c>
      <c r="N714" t="str">
        <f t="shared" si="35"/>
        <v>Sunday</v>
      </c>
      <c r="O71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15" spans="1:15" x14ac:dyDescent="0.25">
      <c r="A715">
        <v>5713</v>
      </c>
      <c r="B715">
        <v>909</v>
      </c>
      <c r="C715">
        <v>1027</v>
      </c>
      <c r="D715" t="s">
        <v>22</v>
      </c>
      <c r="E715" s="1">
        <v>45778</v>
      </c>
      <c r="F715">
        <v>1150</v>
      </c>
      <c r="G715" t="s">
        <v>14</v>
      </c>
      <c r="H715" t="s">
        <v>19</v>
      </c>
      <c r="I715" t="s">
        <v>1921</v>
      </c>
      <c r="J715" t="str" cm="1">
        <f t="array" ref="J715">_xlfn.IFS(HOUR(I715)&lt;12,"Morning",HOUR(I715)&lt;17,"Afternoon",TRUE,"Evening")</f>
        <v>Afternoon</v>
      </c>
      <c r="K715" t="s">
        <v>12</v>
      </c>
      <c r="L715" t="str">
        <f t="shared" si="33"/>
        <v>Attended</v>
      </c>
      <c r="M715">
        <f t="shared" si="34"/>
        <v>0</v>
      </c>
      <c r="N715" t="str">
        <f t="shared" si="35"/>
        <v>Thursday</v>
      </c>
      <c r="O71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16" spans="1:15" x14ac:dyDescent="0.25">
      <c r="A716">
        <v>5714</v>
      </c>
      <c r="B716">
        <v>649</v>
      </c>
      <c r="C716">
        <v>1027</v>
      </c>
      <c r="D716" t="s">
        <v>21</v>
      </c>
      <c r="E716" s="1">
        <v>45821</v>
      </c>
      <c r="F716">
        <v>2499</v>
      </c>
      <c r="G716" t="s">
        <v>25</v>
      </c>
      <c r="H716" t="s">
        <v>11</v>
      </c>
      <c r="I716" t="s">
        <v>1926</v>
      </c>
      <c r="J716" t="str" cm="1">
        <f t="array" ref="J716">_xlfn.IFS(HOUR(I716)&lt;12,"Morning",HOUR(I716)&lt;17,"Afternoon",TRUE,"Evening")</f>
        <v>Afternoon</v>
      </c>
      <c r="K716" t="s">
        <v>23</v>
      </c>
      <c r="L716" t="str">
        <f t="shared" si="33"/>
        <v>No Show</v>
      </c>
      <c r="M716">
        <f t="shared" si="34"/>
        <v>1</v>
      </c>
      <c r="N716" t="str">
        <f t="shared" si="35"/>
        <v>Friday</v>
      </c>
      <c r="O71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17" spans="1:15" x14ac:dyDescent="0.25">
      <c r="A717">
        <v>5715</v>
      </c>
      <c r="B717">
        <v>307</v>
      </c>
      <c r="C717">
        <v>1027</v>
      </c>
      <c r="D717" t="s">
        <v>21</v>
      </c>
      <c r="E717" s="1">
        <v>45519</v>
      </c>
      <c r="F717">
        <v>1607</v>
      </c>
      <c r="G717" t="s">
        <v>17</v>
      </c>
      <c r="H717" t="s">
        <v>11</v>
      </c>
      <c r="I717" t="s">
        <v>1932</v>
      </c>
      <c r="J717" t="str" cm="1">
        <f t="array" ref="J717">_xlfn.IFS(HOUR(I717)&lt;12,"Morning",HOUR(I717)&lt;17,"Afternoon",TRUE,"Evening")</f>
        <v>Evening</v>
      </c>
      <c r="K717" t="s">
        <v>12</v>
      </c>
      <c r="L717" t="str">
        <f t="shared" si="33"/>
        <v>Attended</v>
      </c>
      <c r="M717">
        <f t="shared" si="34"/>
        <v>0</v>
      </c>
      <c r="N717" t="str">
        <f t="shared" si="35"/>
        <v>Thursday</v>
      </c>
      <c r="O71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18" spans="1:15" x14ac:dyDescent="0.25">
      <c r="A718">
        <v>5716</v>
      </c>
      <c r="B718">
        <v>570</v>
      </c>
      <c r="C718">
        <v>1001</v>
      </c>
      <c r="D718" t="s">
        <v>18</v>
      </c>
      <c r="E718" s="1">
        <v>45600</v>
      </c>
      <c r="F718">
        <v>1804</v>
      </c>
      <c r="G718" t="s">
        <v>25</v>
      </c>
      <c r="H718" t="s">
        <v>19</v>
      </c>
      <c r="I718" t="s">
        <v>1908</v>
      </c>
      <c r="J718" t="str" cm="1">
        <f t="array" ref="J718">_xlfn.IFS(HOUR(I718)&lt;12,"Morning",HOUR(I718)&lt;17,"Afternoon",TRUE,"Evening")</f>
        <v>Morning</v>
      </c>
      <c r="K718" t="s">
        <v>12</v>
      </c>
      <c r="L718" t="str">
        <f t="shared" si="33"/>
        <v>Attended</v>
      </c>
      <c r="M718">
        <f t="shared" si="34"/>
        <v>0</v>
      </c>
      <c r="N718" t="str">
        <f t="shared" si="35"/>
        <v>Monday</v>
      </c>
      <c r="O71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19" spans="1:15" x14ac:dyDescent="0.25">
      <c r="A719">
        <v>5717</v>
      </c>
      <c r="B719">
        <v>1032</v>
      </c>
      <c r="C719">
        <v>1027</v>
      </c>
      <c r="D719" t="s">
        <v>27</v>
      </c>
      <c r="E719" s="1">
        <v>45745</v>
      </c>
      <c r="F719">
        <v>1644</v>
      </c>
      <c r="G719" t="s">
        <v>10</v>
      </c>
      <c r="H719" t="s">
        <v>15</v>
      </c>
      <c r="I719" t="s">
        <v>1909</v>
      </c>
      <c r="J719" t="str" cm="1">
        <f t="array" ref="J719">_xlfn.IFS(HOUR(I719)&lt;12,"Morning",HOUR(I719)&lt;17,"Afternoon",TRUE,"Evening")</f>
        <v>Afternoon</v>
      </c>
      <c r="K719" t="s">
        <v>12</v>
      </c>
      <c r="L719" t="str">
        <f t="shared" si="33"/>
        <v>Attended</v>
      </c>
      <c r="M719">
        <f t="shared" si="34"/>
        <v>0</v>
      </c>
      <c r="N719" t="str">
        <f t="shared" si="35"/>
        <v>Saturday</v>
      </c>
      <c r="O71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20" spans="1:15" x14ac:dyDescent="0.25">
      <c r="A720">
        <v>5718</v>
      </c>
      <c r="B720">
        <v>608</v>
      </c>
      <c r="C720">
        <v>1027</v>
      </c>
      <c r="D720" t="s">
        <v>27</v>
      </c>
      <c r="E720" s="1">
        <v>45499</v>
      </c>
      <c r="F720">
        <v>2317</v>
      </c>
      <c r="G720" t="s">
        <v>10</v>
      </c>
      <c r="H720" t="s">
        <v>15</v>
      </c>
      <c r="I720" t="s">
        <v>1910</v>
      </c>
      <c r="J720" t="str" cm="1">
        <f t="array" ref="J720">_xlfn.IFS(HOUR(I720)&lt;12,"Morning",HOUR(I720)&lt;17,"Afternoon",TRUE,"Evening")</f>
        <v>Evening</v>
      </c>
      <c r="K720" t="s">
        <v>12</v>
      </c>
      <c r="L720" t="str">
        <f t="shared" si="33"/>
        <v>Attended</v>
      </c>
      <c r="M720">
        <f t="shared" si="34"/>
        <v>0</v>
      </c>
      <c r="N720" t="str">
        <f t="shared" si="35"/>
        <v>Friday</v>
      </c>
      <c r="O72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1" spans="1:15" x14ac:dyDescent="0.25">
      <c r="A721">
        <v>5719</v>
      </c>
      <c r="B721">
        <v>1505</v>
      </c>
      <c r="C721">
        <v>1003</v>
      </c>
      <c r="D721" t="s">
        <v>18</v>
      </c>
      <c r="E721" s="1">
        <v>45694</v>
      </c>
      <c r="F721">
        <v>2273</v>
      </c>
      <c r="G721" t="s">
        <v>25</v>
      </c>
      <c r="H721" t="s">
        <v>19</v>
      </c>
      <c r="I721" t="s">
        <v>1909</v>
      </c>
      <c r="J721" t="str" cm="1">
        <f t="array" ref="J721">_xlfn.IFS(HOUR(I721)&lt;12,"Morning",HOUR(I721)&lt;17,"Afternoon",TRUE,"Evening")</f>
        <v>Afternoon</v>
      </c>
      <c r="K721" t="s">
        <v>12</v>
      </c>
      <c r="L721" t="str">
        <f t="shared" si="33"/>
        <v>Attended</v>
      </c>
      <c r="M721">
        <f t="shared" si="34"/>
        <v>0</v>
      </c>
      <c r="N721" t="str">
        <f t="shared" si="35"/>
        <v>Thursday</v>
      </c>
      <c r="O72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2" spans="1:15" x14ac:dyDescent="0.25">
      <c r="A722">
        <v>5720</v>
      </c>
      <c r="B722">
        <v>1193</v>
      </c>
      <c r="C722">
        <v>1027</v>
      </c>
      <c r="D722" t="s">
        <v>22</v>
      </c>
      <c r="E722" s="1">
        <v>45826</v>
      </c>
      <c r="F722">
        <v>1682</v>
      </c>
      <c r="G722" t="s">
        <v>25</v>
      </c>
      <c r="H722" t="s">
        <v>19</v>
      </c>
      <c r="I722" t="s">
        <v>1920</v>
      </c>
      <c r="J722" t="str" cm="1">
        <f t="array" ref="J722">_xlfn.IFS(HOUR(I722)&lt;12,"Morning",HOUR(I722)&lt;17,"Afternoon",TRUE,"Evening")</f>
        <v>Morning</v>
      </c>
      <c r="K722" t="s">
        <v>23</v>
      </c>
      <c r="L722" t="str">
        <f t="shared" si="33"/>
        <v>No Show</v>
      </c>
      <c r="M722">
        <f t="shared" si="34"/>
        <v>1</v>
      </c>
      <c r="N722" t="str">
        <f t="shared" si="35"/>
        <v>Wednesday</v>
      </c>
      <c r="O7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3" spans="1:15" x14ac:dyDescent="0.25">
      <c r="A723">
        <v>5721</v>
      </c>
      <c r="B723">
        <v>536</v>
      </c>
      <c r="C723">
        <v>1001</v>
      </c>
      <c r="D723" t="s">
        <v>18</v>
      </c>
      <c r="E723" s="1">
        <v>45617</v>
      </c>
      <c r="F723">
        <v>1430</v>
      </c>
      <c r="G723" t="s">
        <v>14</v>
      </c>
      <c r="H723" t="s">
        <v>19</v>
      </c>
      <c r="I723" t="s">
        <v>1928</v>
      </c>
      <c r="J723" t="str" cm="1">
        <f t="array" ref="J723">_xlfn.IFS(HOUR(I723)&lt;12,"Morning",HOUR(I723)&lt;17,"Afternoon",TRUE,"Evening")</f>
        <v>Morning</v>
      </c>
      <c r="K723" t="s">
        <v>12</v>
      </c>
      <c r="L723" t="str">
        <f t="shared" si="33"/>
        <v>Attended</v>
      </c>
      <c r="M723">
        <f t="shared" si="34"/>
        <v>0</v>
      </c>
      <c r="N723" t="str">
        <f t="shared" si="35"/>
        <v>Thursday</v>
      </c>
      <c r="O7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4" spans="1:15" x14ac:dyDescent="0.25">
      <c r="A724">
        <v>5722</v>
      </c>
      <c r="B724">
        <v>1460</v>
      </c>
      <c r="C724">
        <v>1027</v>
      </c>
      <c r="D724" t="s">
        <v>27</v>
      </c>
      <c r="E724" s="1">
        <v>45597</v>
      </c>
      <c r="F724">
        <v>1512</v>
      </c>
      <c r="G724" t="s">
        <v>25</v>
      </c>
      <c r="H724" t="s">
        <v>11</v>
      </c>
      <c r="I724" t="s">
        <v>1931</v>
      </c>
      <c r="J724" t="str" cm="1">
        <f t="array" ref="J724">_xlfn.IFS(HOUR(I724)&lt;12,"Morning",HOUR(I724)&lt;17,"Afternoon",TRUE,"Evening")</f>
        <v>Afternoon</v>
      </c>
      <c r="K724" t="s">
        <v>12</v>
      </c>
      <c r="L724" t="str">
        <f t="shared" si="33"/>
        <v>Attended</v>
      </c>
      <c r="M724">
        <f t="shared" si="34"/>
        <v>0</v>
      </c>
      <c r="N724" t="str">
        <f t="shared" si="35"/>
        <v>Friday</v>
      </c>
      <c r="O72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5" spans="1:15" x14ac:dyDescent="0.25">
      <c r="A725">
        <v>5723</v>
      </c>
      <c r="B725">
        <v>1266</v>
      </c>
      <c r="C725">
        <v>1027</v>
      </c>
      <c r="D725" t="s">
        <v>22</v>
      </c>
      <c r="E725" s="1">
        <v>45516</v>
      </c>
      <c r="F725">
        <v>1522</v>
      </c>
      <c r="G725" t="s">
        <v>25</v>
      </c>
      <c r="H725" t="s">
        <v>19</v>
      </c>
      <c r="I725" t="s">
        <v>1934</v>
      </c>
      <c r="J725" t="str" cm="1">
        <f t="array" ref="J725">_xlfn.IFS(HOUR(I725)&lt;12,"Morning",HOUR(I725)&lt;17,"Afternoon",TRUE,"Evening")</f>
        <v>Afternoon</v>
      </c>
      <c r="K725" t="s">
        <v>12</v>
      </c>
      <c r="L725" t="str">
        <f t="shared" si="33"/>
        <v>Attended</v>
      </c>
      <c r="M725">
        <f t="shared" si="34"/>
        <v>0</v>
      </c>
      <c r="N725" t="str">
        <f t="shared" si="35"/>
        <v>Monday</v>
      </c>
      <c r="O72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6" spans="1:15" x14ac:dyDescent="0.25">
      <c r="A726">
        <v>5724</v>
      </c>
      <c r="B726">
        <v>1306</v>
      </c>
      <c r="C726">
        <v>1003</v>
      </c>
      <c r="D726" t="s">
        <v>18</v>
      </c>
      <c r="E726" s="1">
        <v>45749</v>
      </c>
      <c r="F726">
        <v>1552</v>
      </c>
      <c r="G726" t="s">
        <v>17</v>
      </c>
      <c r="H726" t="s">
        <v>11</v>
      </c>
      <c r="I726" t="s">
        <v>1927</v>
      </c>
      <c r="J726" t="str" cm="1">
        <f t="array" ref="J726">_xlfn.IFS(HOUR(I726)&lt;12,"Morning",HOUR(I726)&lt;17,"Afternoon",TRUE,"Evening")</f>
        <v>Afternoon</v>
      </c>
      <c r="K726" t="s">
        <v>12</v>
      </c>
      <c r="L726" t="str">
        <f t="shared" si="33"/>
        <v>Attended</v>
      </c>
      <c r="M726">
        <f t="shared" si="34"/>
        <v>0</v>
      </c>
      <c r="N726" t="str">
        <f t="shared" si="35"/>
        <v>Wednesday</v>
      </c>
      <c r="O72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7" spans="1:15" x14ac:dyDescent="0.25">
      <c r="A727">
        <v>5725</v>
      </c>
      <c r="B727">
        <v>127</v>
      </c>
      <c r="C727">
        <v>1024</v>
      </c>
      <c r="D727" t="s">
        <v>16</v>
      </c>
      <c r="E727" s="1">
        <v>45595</v>
      </c>
      <c r="F727">
        <v>1659</v>
      </c>
      <c r="G727" t="s">
        <v>17</v>
      </c>
      <c r="H727" t="s">
        <v>11</v>
      </c>
      <c r="I727" t="s">
        <v>1943</v>
      </c>
      <c r="J727" t="str" cm="1">
        <f t="array" ref="J727">_xlfn.IFS(HOUR(I727)&lt;12,"Morning",HOUR(I727)&lt;17,"Afternoon",TRUE,"Evening")</f>
        <v>Afternoon</v>
      </c>
      <c r="K727" t="s">
        <v>12</v>
      </c>
      <c r="L727" t="str">
        <f t="shared" si="33"/>
        <v>Attended</v>
      </c>
      <c r="M727">
        <f t="shared" si="34"/>
        <v>0</v>
      </c>
      <c r="N727" t="str">
        <f t="shared" si="35"/>
        <v>Wednesday</v>
      </c>
      <c r="O7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8" spans="1:15" x14ac:dyDescent="0.25">
      <c r="A728">
        <v>5726</v>
      </c>
      <c r="B728">
        <v>884</v>
      </c>
      <c r="C728">
        <v>1027</v>
      </c>
      <c r="D728" t="s">
        <v>27</v>
      </c>
      <c r="E728" s="1">
        <v>45805</v>
      </c>
      <c r="F728">
        <v>1025</v>
      </c>
      <c r="G728" t="s">
        <v>25</v>
      </c>
      <c r="H728" t="s">
        <v>11</v>
      </c>
      <c r="I728" t="s">
        <v>1927</v>
      </c>
      <c r="J728" t="str" cm="1">
        <f t="array" ref="J728">_xlfn.IFS(HOUR(I728)&lt;12,"Morning",HOUR(I728)&lt;17,"Afternoon",TRUE,"Evening")</f>
        <v>Afternoon</v>
      </c>
      <c r="K728" t="s">
        <v>28</v>
      </c>
      <c r="L728" t="str">
        <f t="shared" si="33"/>
        <v>No Show</v>
      </c>
      <c r="M728">
        <f t="shared" si="34"/>
        <v>1</v>
      </c>
      <c r="N728" t="str">
        <f t="shared" si="35"/>
        <v>Wednesday</v>
      </c>
      <c r="O72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29" spans="1:15" x14ac:dyDescent="0.25">
      <c r="A729">
        <v>5727</v>
      </c>
      <c r="B729">
        <v>478</v>
      </c>
      <c r="C729">
        <v>1027</v>
      </c>
      <c r="D729" t="s">
        <v>24</v>
      </c>
      <c r="E729" s="1">
        <v>45514</v>
      </c>
      <c r="F729">
        <v>2404</v>
      </c>
      <c r="G729" t="s">
        <v>17</v>
      </c>
      <c r="H729" t="s">
        <v>11</v>
      </c>
      <c r="I729" t="s">
        <v>1907</v>
      </c>
      <c r="J729" t="str" cm="1">
        <f t="array" ref="J729">_xlfn.IFS(HOUR(I729)&lt;12,"Morning",HOUR(I729)&lt;17,"Afternoon",TRUE,"Evening")</f>
        <v>Afternoon</v>
      </c>
      <c r="K729" t="s">
        <v>12</v>
      </c>
      <c r="L729" t="str">
        <f t="shared" si="33"/>
        <v>Attended</v>
      </c>
      <c r="M729">
        <f t="shared" si="34"/>
        <v>0</v>
      </c>
      <c r="N729" t="str">
        <f t="shared" si="35"/>
        <v>Saturday</v>
      </c>
      <c r="O72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30" spans="1:15" x14ac:dyDescent="0.25">
      <c r="A730">
        <v>5728</v>
      </c>
      <c r="B730">
        <v>1420</v>
      </c>
      <c r="C730">
        <v>1027</v>
      </c>
      <c r="D730" t="s">
        <v>24</v>
      </c>
      <c r="E730" s="1">
        <v>45616</v>
      </c>
      <c r="F730">
        <v>820</v>
      </c>
      <c r="G730" t="s">
        <v>14</v>
      </c>
      <c r="H730" t="s">
        <v>11</v>
      </c>
      <c r="I730" t="s">
        <v>1919</v>
      </c>
      <c r="J730" t="str" cm="1">
        <f t="array" ref="J730">_xlfn.IFS(HOUR(I730)&lt;12,"Morning",HOUR(I730)&lt;17,"Afternoon",TRUE,"Evening")</f>
        <v>Evening</v>
      </c>
      <c r="K730" t="s">
        <v>12</v>
      </c>
      <c r="L730" t="str">
        <f t="shared" si="33"/>
        <v>Attended</v>
      </c>
      <c r="M730">
        <f t="shared" si="34"/>
        <v>0</v>
      </c>
      <c r="N730" t="str">
        <f t="shared" si="35"/>
        <v>Wednesday</v>
      </c>
      <c r="O73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31" spans="1:15" x14ac:dyDescent="0.25">
      <c r="A731">
        <v>5729</v>
      </c>
      <c r="B731">
        <v>240</v>
      </c>
      <c r="C731">
        <v>1027</v>
      </c>
      <c r="D731" t="s">
        <v>21</v>
      </c>
      <c r="E731" s="1">
        <v>45491</v>
      </c>
      <c r="F731">
        <v>1717</v>
      </c>
      <c r="G731" t="s">
        <v>17</v>
      </c>
      <c r="H731" t="s">
        <v>15</v>
      </c>
      <c r="I731" t="s">
        <v>1931</v>
      </c>
      <c r="J731" t="str" cm="1">
        <f t="array" ref="J731">_xlfn.IFS(HOUR(I731)&lt;12,"Morning",HOUR(I731)&lt;17,"Afternoon",TRUE,"Evening")</f>
        <v>Afternoon</v>
      </c>
      <c r="K731" t="s">
        <v>12</v>
      </c>
      <c r="L731" t="str">
        <f t="shared" si="33"/>
        <v>Attended</v>
      </c>
      <c r="M731">
        <f t="shared" si="34"/>
        <v>0</v>
      </c>
      <c r="N731" t="str">
        <f t="shared" si="35"/>
        <v>Thursday</v>
      </c>
      <c r="O73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32" spans="1:15" x14ac:dyDescent="0.25">
      <c r="A732">
        <v>5730</v>
      </c>
      <c r="B732">
        <v>529</v>
      </c>
      <c r="C732">
        <v>1027</v>
      </c>
      <c r="D732" t="s">
        <v>9</v>
      </c>
      <c r="E732" s="1">
        <v>45816</v>
      </c>
      <c r="F732">
        <v>858</v>
      </c>
      <c r="G732" t="s">
        <v>14</v>
      </c>
      <c r="H732" t="s">
        <v>19</v>
      </c>
      <c r="I732" t="s">
        <v>1933</v>
      </c>
      <c r="J732" t="str" cm="1">
        <f t="array" ref="J732">_xlfn.IFS(HOUR(I732)&lt;12,"Morning",HOUR(I732)&lt;17,"Afternoon",TRUE,"Evening")</f>
        <v>Evening</v>
      </c>
      <c r="K732" t="s">
        <v>23</v>
      </c>
      <c r="L732" t="str">
        <f t="shared" si="33"/>
        <v>No Show</v>
      </c>
      <c r="M732">
        <f t="shared" si="34"/>
        <v>1</v>
      </c>
      <c r="N732" t="str">
        <f t="shared" si="35"/>
        <v>Sunday</v>
      </c>
      <c r="O73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33" spans="1:15" x14ac:dyDescent="0.25">
      <c r="A733">
        <v>5731</v>
      </c>
      <c r="B733">
        <v>1308</v>
      </c>
      <c r="C733">
        <v>1009</v>
      </c>
      <c r="D733" t="s">
        <v>13</v>
      </c>
      <c r="E733" s="1">
        <v>45697</v>
      </c>
      <c r="F733">
        <v>1772</v>
      </c>
      <c r="G733" t="s">
        <v>10</v>
      </c>
      <c r="H733" t="s">
        <v>15</v>
      </c>
      <c r="I733" t="s">
        <v>1928</v>
      </c>
      <c r="J733" t="str" cm="1">
        <f t="array" ref="J733">_xlfn.IFS(HOUR(I733)&lt;12,"Morning",HOUR(I733)&lt;17,"Afternoon",TRUE,"Evening")</f>
        <v>Morning</v>
      </c>
      <c r="K733" t="s">
        <v>12</v>
      </c>
      <c r="L733" t="str">
        <f t="shared" si="33"/>
        <v>Attended</v>
      </c>
      <c r="M733">
        <f t="shared" si="34"/>
        <v>0</v>
      </c>
      <c r="N733" t="str">
        <f t="shared" si="35"/>
        <v>Sunday</v>
      </c>
      <c r="O73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34" spans="1:15" x14ac:dyDescent="0.25">
      <c r="A734">
        <v>5732</v>
      </c>
      <c r="B734">
        <v>944</v>
      </c>
      <c r="C734">
        <v>1027</v>
      </c>
      <c r="D734" t="s">
        <v>27</v>
      </c>
      <c r="E734" s="1">
        <v>45691</v>
      </c>
      <c r="F734">
        <v>2100</v>
      </c>
      <c r="G734" t="s">
        <v>14</v>
      </c>
      <c r="H734" t="s">
        <v>15</v>
      </c>
      <c r="I734" t="s">
        <v>1938</v>
      </c>
      <c r="J734" t="str" cm="1">
        <f t="array" ref="J734">_xlfn.IFS(HOUR(I734)&lt;12,"Morning",HOUR(I734)&lt;17,"Afternoon",TRUE,"Evening")</f>
        <v>Afternoon</v>
      </c>
      <c r="K734" t="s">
        <v>12</v>
      </c>
      <c r="L734" t="str">
        <f t="shared" si="33"/>
        <v>Attended</v>
      </c>
      <c r="M734">
        <f t="shared" si="34"/>
        <v>0</v>
      </c>
      <c r="N734" t="str">
        <f t="shared" si="35"/>
        <v>Monday</v>
      </c>
      <c r="O73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35" spans="1:15" x14ac:dyDescent="0.25">
      <c r="A735">
        <v>5733</v>
      </c>
      <c r="B735">
        <v>740</v>
      </c>
      <c r="C735">
        <v>1027</v>
      </c>
      <c r="D735" t="s">
        <v>24</v>
      </c>
      <c r="E735" s="1">
        <v>45791</v>
      </c>
      <c r="F735">
        <v>1803</v>
      </c>
      <c r="G735" t="s">
        <v>14</v>
      </c>
      <c r="H735" t="s">
        <v>15</v>
      </c>
      <c r="I735" t="s">
        <v>1926</v>
      </c>
      <c r="J735" t="str" cm="1">
        <f t="array" ref="J735">_xlfn.IFS(HOUR(I735)&lt;12,"Morning",HOUR(I735)&lt;17,"Afternoon",TRUE,"Evening")</f>
        <v>Afternoon</v>
      </c>
      <c r="K735" t="s">
        <v>12</v>
      </c>
      <c r="L735" t="str">
        <f t="shared" si="33"/>
        <v>Attended</v>
      </c>
      <c r="M735">
        <f t="shared" si="34"/>
        <v>0</v>
      </c>
      <c r="N735" t="str">
        <f t="shared" si="35"/>
        <v>Wednesday</v>
      </c>
      <c r="O7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36" spans="1:15" x14ac:dyDescent="0.25">
      <c r="A736">
        <v>5734</v>
      </c>
      <c r="B736">
        <v>1318</v>
      </c>
      <c r="C736">
        <v>1027</v>
      </c>
      <c r="D736" t="s">
        <v>9</v>
      </c>
      <c r="E736" s="1">
        <v>45706</v>
      </c>
      <c r="F736">
        <v>1221</v>
      </c>
      <c r="G736" t="s">
        <v>14</v>
      </c>
      <c r="H736" t="s">
        <v>11</v>
      </c>
      <c r="I736" t="s">
        <v>1909</v>
      </c>
      <c r="J736" t="str" cm="1">
        <f t="array" ref="J736">_xlfn.IFS(HOUR(I736)&lt;12,"Morning",HOUR(I736)&lt;17,"Afternoon",TRUE,"Evening")</f>
        <v>Afternoon</v>
      </c>
      <c r="K736" t="s">
        <v>12</v>
      </c>
      <c r="L736" t="str">
        <f t="shared" si="33"/>
        <v>Attended</v>
      </c>
      <c r="M736">
        <f t="shared" si="34"/>
        <v>0</v>
      </c>
      <c r="N736" t="str">
        <f t="shared" si="35"/>
        <v>Tuesday</v>
      </c>
      <c r="O73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37" spans="1:15" x14ac:dyDescent="0.25">
      <c r="A737">
        <v>5735</v>
      </c>
      <c r="B737">
        <v>1089</v>
      </c>
      <c r="C737">
        <v>1008</v>
      </c>
      <c r="D737" t="s">
        <v>13</v>
      </c>
      <c r="E737" s="1">
        <v>45774</v>
      </c>
      <c r="F737">
        <v>1106</v>
      </c>
      <c r="G737" t="s">
        <v>25</v>
      </c>
      <c r="H737" t="s">
        <v>19</v>
      </c>
      <c r="I737" t="s">
        <v>1932</v>
      </c>
      <c r="J737" t="str" cm="1">
        <f t="array" ref="J737">_xlfn.IFS(HOUR(I737)&lt;12,"Morning",HOUR(I737)&lt;17,"Afternoon",TRUE,"Evening")</f>
        <v>Evening</v>
      </c>
      <c r="K737" t="s">
        <v>12</v>
      </c>
      <c r="L737" t="str">
        <f t="shared" si="33"/>
        <v>Attended</v>
      </c>
      <c r="M737">
        <f t="shared" si="34"/>
        <v>0</v>
      </c>
      <c r="N737" t="str">
        <f t="shared" si="35"/>
        <v>Sunday</v>
      </c>
      <c r="O73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38" spans="1:15" x14ac:dyDescent="0.25">
      <c r="A738">
        <v>5736</v>
      </c>
      <c r="B738">
        <v>1331</v>
      </c>
      <c r="C738">
        <v>1009</v>
      </c>
      <c r="D738" t="s">
        <v>13</v>
      </c>
      <c r="E738" s="1">
        <v>45637</v>
      </c>
      <c r="F738">
        <v>2325</v>
      </c>
      <c r="G738" t="s">
        <v>14</v>
      </c>
      <c r="H738" t="s">
        <v>11</v>
      </c>
      <c r="I738" t="s">
        <v>1933</v>
      </c>
      <c r="J738" t="str" cm="1">
        <f t="array" ref="J738">_xlfn.IFS(HOUR(I738)&lt;12,"Morning",HOUR(I738)&lt;17,"Afternoon",TRUE,"Evening")</f>
        <v>Evening</v>
      </c>
      <c r="K738" t="s">
        <v>12</v>
      </c>
      <c r="L738" t="str">
        <f t="shared" si="33"/>
        <v>Attended</v>
      </c>
      <c r="M738">
        <f t="shared" si="34"/>
        <v>0</v>
      </c>
      <c r="N738" t="str">
        <f t="shared" si="35"/>
        <v>Wednesday</v>
      </c>
      <c r="O73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39" spans="1:15" x14ac:dyDescent="0.25">
      <c r="A739">
        <v>5737</v>
      </c>
      <c r="B739">
        <v>780</v>
      </c>
      <c r="C739">
        <v>1020</v>
      </c>
      <c r="D739" t="s">
        <v>26</v>
      </c>
      <c r="E739" s="1">
        <v>45718</v>
      </c>
      <c r="F739">
        <v>974</v>
      </c>
      <c r="G739" t="s">
        <v>25</v>
      </c>
      <c r="H739" t="s">
        <v>15</v>
      </c>
      <c r="I739" t="s">
        <v>1943</v>
      </c>
      <c r="J739" t="str" cm="1">
        <f t="array" ref="J739">_xlfn.IFS(HOUR(I739)&lt;12,"Morning",HOUR(I739)&lt;17,"Afternoon",TRUE,"Evening")</f>
        <v>Afternoon</v>
      </c>
      <c r="K739" t="s">
        <v>12</v>
      </c>
      <c r="L739" t="str">
        <f t="shared" si="33"/>
        <v>Attended</v>
      </c>
      <c r="M739">
        <f t="shared" si="34"/>
        <v>0</v>
      </c>
      <c r="N739" t="str">
        <f t="shared" si="35"/>
        <v>Sunday</v>
      </c>
      <c r="O73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40" spans="1:15" x14ac:dyDescent="0.25">
      <c r="A740">
        <v>5738</v>
      </c>
      <c r="B740">
        <v>1245</v>
      </c>
      <c r="C740">
        <v>1008</v>
      </c>
      <c r="D740" t="s">
        <v>13</v>
      </c>
      <c r="E740" s="1">
        <v>45725</v>
      </c>
      <c r="F740">
        <v>2402</v>
      </c>
      <c r="G740" t="s">
        <v>25</v>
      </c>
      <c r="H740" t="s">
        <v>11</v>
      </c>
      <c r="I740" t="s">
        <v>1929</v>
      </c>
      <c r="J740" t="str" cm="1">
        <f t="array" ref="J740">_xlfn.IFS(HOUR(I740)&lt;12,"Morning",HOUR(I740)&lt;17,"Afternoon",TRUE,"Evening")</f>
        <v>Afternoon</v>
      </c>
      <c r="K740" t="s">
        <v>12</v>
      </c>
      <c r="L740" t="str">
        <f t="shared" si="33"/>
        <v>Attended</v>
      </c>
      <c r="M740">
        <f t="shared" si="34"/>
        <v>0</v>
      </c>
      <c r="N740" t="str">
        <f t="shared" si="35"/>
        <v>Sunday</v>
      </c>
      <c r="O74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41" spans="1:15" x14ac:dyDescent="0.25">
      <c r="A741">
        <v>5739</v>
      </c>
      <c r="B741">
        <v>625</v>
      </c>
      <c r="C741">
        <v>1027</v>
      </c>
      <c r="D741" t="s">
        <v>9</v>
      </c>
      <c r="E741" s="1">
        <v>45559</v>
      </c>
      <c r="F741">
        <v>2015</v>
      </c>
      <c r="G741" t="s">
        <v>25</v>
      </c>
      <c r="H741" t="s">
        <v>19</v>
      </c>
      <c r="I741" t="s">
        <v>1907</v>
      </c>
      <c r="J741" t="str" cm="1">
        <f t="array" ref="J741">_xlfn.IFS(HOUR(I741)&lt;12,"Morning",HOUR(I741)&lt;17,"Afternoon",TRUE,"Evening")</f>
        <v>Afternoon</v>
      </c>
      <c r="K741" t="s">
        <v>12</v>
      </c>
      <c r="L741" t="str">
        <f t="shared" si="33"/>
        <v>Attended</v>
      </c>
      <c r="M741">
        <f t="shared" si="34"/>
        <v>0</v>
      </c>
      <c r="N741" t="str">
        <f t="shared" si="35"/>
        <v>Tuesday</v>
      </c>
      <c r="O74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42" spans="1:15" x14ac:dyDescent="0.25">
      <c r="A742">
        <v>5740</v>
      </c>
      <c r="B742">
        <v>1221</v>
      </c>
      <c r="C742">
        <v>1003</v>
      </c>
      <c r="D742" t="s">
        <v>18</v>
      </c>
      <c r="E742" s="1">
        <v>45504</v>
      </c>
      <c r="F742">
        <v>1792</v>
      </c>
      <c r="G742" t="s">
        <v>14</v>
      </c>
      <c r="H742" t="s">
        <v>15</v>
      </c>
      <c r="I742" t="s">
        <v>1935</v>
      </c>
      <c r="J742" t="str" cm="1">
        <f t="array" ref="J742">_xlfn.IFS(HOUR(I742)&lt;12,"Morning",HOUR(I742)&lt;17,"Afternoon",TRUE,"Evening")</f>
        <v>Afternoon</v>
      </c>
      <c r="K742" t="s">
        <v>12</v>
      </c>
      <c r="L742" t="str">
        <f t="shared" si="33"/>
        <v>Attended</v>
      </c>
      <c r="M742">
        <f t="shared" si="34"/>
        <v>0</v>
      </c>
      <c r="N742" t="str">
        <f t="shared" si="35"/>
        <v>Wednesday</v>
      </c>
      <c r="O7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43" spans="1:15" x14ac:dyDescent="0.25">
      <c r="A743">
        <v>5741</v>
      </c>
      <c r="B743">
        <v>1297</v>
      </c>
      <c r="C743">
        <v>1027</v>
      </c>
      <c r="D743" t="s">
        <v>21</v>
      </c>
      <c r="E743" s="1">
        <v>45483</v>
      </c>
      <c r="F743">
        <v>1688</v>
      </c>
      <c r="G743" t="s">
        <v>14</v>
      </c>
      <c r="H743" t="s">
        <v>11</v>
      </c>
      <c r="I743" t="s">
        <v>1929</v>
      </c>
      <c r="J743" t="str" cm="1">
        <f t="array" ref="J743">_xlfn.IFS(HOUR(I743)&lt;12,"Morning",HOUR(I743)&lt;17,"Afternoon",TRUE,"Evening")</f>
        <v>Afternoon</v>
      </c>
      <c r="K743" t="s">
        <v>12</v>
      </c>
      <c r="L743" t="str">
        <f t="shared" si="33"/>
        <v>Attended</v>
      </c>
      <c r="M743">
        <f t="shared" si="34"/>
        <v>0</v>
      </c>
      <c r="N743" t="str">
        <f t="shared" si="35"/>
        <v>Wednesday</v>
      </c>
      <c r="O74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44" spans="1:15" x14ac:dyDescent="0.25">
      <c r="A744">
        <v>5742</v>
      </c>
      <c r="B744">
        <v>257</v>
      </c>
      <c r="C744">
        <v>1004</v>
      </c>
      <c r="D744" t="s">
        <v>18</v>
      </c>
      <c r="E744" s="1">
        <v>45722</v>
      </c>
      <c r="F744">
        <v>2127</v>
      </c>
      <c r="G744" t="s">
        <v>25</v>
      </c>
      <c r="H744" t="s">
        <v>15</v>
      </c>
      <c r="I744" t="s">
        <v>1927</v>
      </c>
      <c r="J744" t="str" cm="1">
        <f t="array" ref="J744">_xlfn.IFS(HOUR(I744)&lt;12,"Morning",HOUR(I744)&lt;17,"Afternoon",TRUE,"Evening")</f>
        <v>Afternoon</v>
      </c>
      <c r="K744" t="s">
        <v>12</v>
      </c>
      <c r="L744" t="str">
        <f t="shared" si="33"/>
        <v>Attended</v>
      </c>
      <c r="M744">
        <f t="shared" si="34"/>
        <v>0</v>
      </c>
      <c r="N744" t="str">
        <f t="shared" si="35"/>
        <v>Thursday</v>
      </c>
      <c r="O74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45" spans="1:15" x14ac:dyDescent="0.25">
      <c r="A745">
        <v>5743</v>
      </c>
      <c r="B745">
        <v>695</v>
      </c>
      <c r="C745">
        <v>1027</v>
      </c>
      <c r="D745" t="s">
        <v>27</v>
      </c>
      <c r="E745" s="1">
        <v>45725</v>
      </c>
      <c r="F745">
        <v>2212</v>
      </c>
      <c r="G745" t="s">
        <v>14</v>
      </c>
      <c r="H745" t="s">
        <v>19</v>
      </c>
      <c r="I745" t="s">
        <v>1922</v>
      </c>
      <c r="J745" t="str" cm="1">
        <f t="array" ref="J745">_xlfn.IFS(HOUR(I745)&lt;12,"Morning",HOUR(I745)&lt;17,"Afternoon",TRUE,"Evening")</f>
        <v>Afternoon</v>
      </c>
      <c r="K745" t="s">
        <v>12</v>
      </c>
      <c r="L745" t="str">
        <f t="shared" si="33"/>
        <v>Attended</v>
      </c>
      <c r="M745">
        <f t="shared" si="34"/>
        <v>0</v>
      </c>
      <c r="N745" t="str">
        <f t="shared" si="35"/>
        <v>Sunday</v>
      </c>
      <c r="O74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46" spans="1:15" x14ac:dyDescent="0.25">
      <c r="A746">
        <v>5744</v>
      </c>
      <c r="B746">
        <v>1432</v>
      </c>
      <c r="C746">
        <v>1027</v>
      </c>
      <c r="D746" t="s">
        <v>9</v>
      </c>
      <c r="E746" s="1">
        <v>45580</v>
      </c>
      <c r="F746">
        <v>2493</v>
      </c>
      <c r="G746" t="s">
        <v>17</v>
      </c>
      <c r="H746" t="s">
        <v>15</v>
      </c>
      <c r="I746" t="s">
        <v>1918</v>
      </c>
      <c r="J746" t="str" cm="1">
        <f t="array" ref="J746">_xlfn.IFS(HOUR(I746)&lt;12,"Morning",HOUR(I746)&lt;17,"Afternoon",TRUE,"Evening")</f>
        <v>Evening</v>
      </c>
      <c r="K746" t="s">
        <v>12</v>
      </c>
      <c r="L746" t="str">
        <f t="shared" si="33"/>
        <v>Attended</v>
      </c>
      <c r="M746">
        <f t="shared" si="34"/>
        <v>0</v>
      </c>
      <c r="N746" t="str">
        <f t="shared" si="35"/>
        <v>Tuesday</v>
      </c>
      <c r="O74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47" spans="1:15" x14ac:dyDescent="0.25">
      <c r="A747">
        <v>5745</v>
      </c>
      <c r="B747">
        <v>698</v>
      </c>
      <c r="C747">
        <v>1027</v>
      </c>
      <c r="D747" t="s">
        <v>21</v>
      </c>
      <c r="E747" s="1">
        <v>45675</v>
      </c>
      <c r="F747">
        <v>2481</v>
      </c>
      <c r="G747" t="s">
        <v>10</v>
      </c>
      <c r="H747" t="s">
        <v>11</v>
      </c>
      <c r="I747" t="s">
        <v>1923</v>
      </c>
      <c r="J747" t="str" cm="1">
        <f t="array" ref="J747">_xlfn.IFS(HOUR(I747)&lt;12,"Morning",HOUR(I747)&lt;17,"Afternoon",TRUE,"Evening")</f>
        <v>Evening</v>
      </c>
      <c r="K747" t="s">
        <v>12</v>
      </c>
      <c r="L747" t="str">
        <f t="shared" si="33"/>
        <v>Attended</v>
      </c>
      <c r="M747">
        <f t="shared" si="34"/>
        <v>0</v>
      </c>
      <c r="N747" t="str">
        <f t="shared" si="35"/>
        <v>Saturday</v>
      </c>
      <c r="O74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48" spans="1:15" x14ac:dyDescent="0.25">
      <c r="A748">
        <v>5746</v>
      </c>
      <c r="B748">
        <v>238</v>
      </c>
      <c r="C748">
        <v>1027</v>
      </c>
      <c r="D748" t="s">
        <v>22</v>
      </c>
      <c r="E748" s="1">
        <v>45804</v>
      </c>
      <c r="F748">
        <v>1695</v>
      </c>
      <c r="G748" t="s">
        <v>17</v>
      </c>
      <c r="H748" t="s">
        <v>11</v>
      </c>
      <c r="I748" t="s">
        <v>1920</v>
      </c>
      <c r="J748" t="str" cm="1">
        <f t="array" ref="J748">_xlfn.IFS(HOUR(I748)&lt;12,"Morning",HOUR(I748)&lt;17,"Afternoon",TRUE,"Evening")</f>
        <v>Morning</v>
      </c>
      <c r="K748" t="s">
        <v>12</v>
      </c>
      <c r="L748" t="str">
        <f t="shared" si="33"/>
        <v>Attended</v>
      </c>
      <c r="M748">
        <f t="shared" si="34"/>
        <v>0</v>
      </c>
      <c r="N748" t="str">
        <f t="shared" si="35"/>
        <v>Tuesday</v>
      </c>
      <c r="O7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49" spans="1:15" x14ac:dyDescent="0.25">
      <c r="A749">
        <v>5747</v>
      </c>
      <c r="B749">
        <v>622</v>
      </c>
      <c r="C749">
        <v>1002</v>
      </c>
      <c r="D749" t="s">
        <v>18</v>
      </c>
      <c r="E749" s="1">
        <v>45546</v>
      </c>
      <c r="F749">
        <v>1391</v>
      </c>
      <c r="G749" t="s">
        <v>14</v>
      </c>
      <c r="H749" t="s">
        <v>11</v>
      </c>
      <c r="I749" t="s">
        <v>1907</v>
      </c>
      <c r="J749" t="str" cm="1">
        <f t="array" ref="J749">_xlfn.IFS(HOUR(I749)&lt;12,"Morning",HOUR(I749)&lt;17,"Afternoon",TRUE,"Evening")</f>
        <v>Afternoon</v>
      </c>
      <c r="K749" t="s">
        <v>12</v>
      </c>
      <c r="L749" t="str">
        <f t="shared" si="33"/>
        <v>Attended</v>
      </c>
      <c r="M749">
        <f t="shared" si="34"/>
        <v>0</v>
      </c>
      <c r="N749" t="str">
        <f t="shared" si="35"/>
        <v>Wednesday</v>
      </c>
      <c r="O74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0" spans="1:15" x14ac:dyDescent="0.25">
      <c r="A750">
        <v>5748</v>
      </c>
      <c r="B750">
        <v>595</v>
      </c>
      <c r="C750">
        <v>1008</v>
      </c>
      <c r="D750" t="s">
        <v>13</v>
      </c>
      <c r="E750" s="1">
        <v>45835</v>
      </c>
      <c r="F750">
        <v>1556</v>
      </c>
      <c r="G750" t="s">
        <v>10</v>
      </c>
      <c r="H750" t="s">
        <v>11</v>
      </c>
      <c r="I750" t="s">
        <v>1941</v>
      </c>
      <c r="J750" t="str" cm="1">
        <f t="array" ref="J750">_xlfn.IFS(HOUR(I750)&lt;12,"Morning",HOUR(I750)&lt;17,"Afternoon",TRUE,"Evening")</f>
        <v>Morning</v>
      </c>
      <c r="K750" t="s">
        <v>23</v>
      </c>
      <c r="L750" t="str">
        <f t="shared" si="33"/>
        <v>No Show</v>
      </c>
      <c r="M750">
        <f t="shared" si="34"/>
        <v>1</v>
      </c>
      <c r="N750" t="str">
        <f t="shared" si="35"/>
        <v>Friday</v>
      </c>
      <c r="O7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1" spans="1:15" x14ac:dyDescent="0.25">
      <c r="A751">
        <v>5749</v>
      </c>
      <c r="B751">
        <v>1068</v>
      </c>
      <c r="C751">
        <v>1027</v>
      </c>
      <c r="D751" t="s">
        <v>24</v>
      </c>
      <c r="E751" s="1">
        <v>45768</v>
      </c>
      <c r="F751">
        <v>2099</v>
      </c>
      <c r="G751" t="s">
        <v>17</v>
      </c>
      <c r="H751" t="s">
        <v>19</v>
      </c>
      <c r="I751" t="s">
        <v>1913</v>
      </c>
      <c r="J751" t="str" cm="1">
        <f t="array" ref="J751">_xlfn.IFS(HOUR(I751)&lt;12,"Morning",HOUR(I751)&lt;17,"Afternoon",TRUE,"Evening")</f>
        <v>Morning</v>
      </c>
      <c r="K751" t="s">
        <v>12</v>
      </c>
      <c r="L751" t="str">
        <f t="shared" si="33"/>
        <v>Attended</v>
      </c>
      <c r="M751">
        <f t="shared" si="34"/>
        <v>0</v>
      </c>
      <c r="N751" t="str">
        <f t="shared" si="35"/>
        <v>Monday</v>
      </c>
      <c r="O75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2" spans="1:15" x14ac:dyDescent="0.25">
      <c r="A752">
        <v>5750</v>
      </c>
      <c r="B752">
        <v>531</v>
      </c>
      <c r="C752">
        <v>1027</v>
      </c>
      <c r="D752" t="s">
        <v>27</v>
      </c>
      <c r="E752" s="1">
        <v>45664</v>
      </c>
      <c r="F752">
        <v>1426</v>
      </c>
      <c r="G752" t="s">
        <v>17</v>
      </c>
      <c r="H752" t="s">
        <v>19</v>
      </c>
      <c r="I752" t="s">
        <v>1927</v>
      </c>
      <c r="J752" t="str" cm="1">
        <f t="array" ref="J752">_xlfn.IFS(HOUR(I752)&lt;12,"Morning",HOUR(I752)&lt;17,"Afternoon",TRUE,"Evening")</f>
        <v>Afternoon</v>
      </c>
      <c r="K752" t="s">
        <v>12</v>
      </c>
      <c r="L752" t="str">
        <f t="shared" si="33"/>
        <v>Attended</v>
      </c>
      <c r="M752">
        <f t="shared" si="34"/>
        <v>0</v>
      </c>
      <c r="N752" t="str">
        <f t="shared" si="35"/>
        <v>Tuesday</v>
      </c>
      <c r="O75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3" spans="1:15" x14ac:dyDescent="0.25">
      <c r="A753">
        <v>5751</v>
      </c>
      <c r="B753">
        <v>465</v>
      </c>
      <c r="C753">
        <v>1027</v>
      </c>
      <c r="D753" t="s">
        <v>24</v>
      </c>
      <c r="E753" s="1">
        <v>45786</v>
      </c>
      <c r="F753">
        <v>1461</v>
      </c>
      <c r="G753" t="s">
        <v>17</v>
      </c>
      <c r="H753" t="s">
        <v>11</v>
      </c>
      <c r="I753" t="s">
        <v>1930</v>
      </c>
      <c r="J753" t="str" cm="1">
        <f t="array" ref="J753">_xlfn.IFS(HOUR(I753)&lt;12,"Morning",HOUR(I753)&lt;17,"Afternoon",TRUE,"Evening")</f>
        <v>Morning</v>
      </c>
      <c r="K753" t="s">
        <v>12</v>
      </c>
      <c r="L753" t="str">
        <f t="shared" si="33"/>
        <v>Attended</v>
      </c>
      <c r="M753">
        <f t="shared" si="34"/>
        <v>0</v>
      </c>
      <c r="N753" t="str">
        <f t="shared" si="35"/>
        <v>Friday</v>
      </c>
      <c r="O75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4" spans="1:15" x14ac:dyDescent="0.25">
      <c r="A754">
        <v>5752</v>
      </c>
      <c r="B754">
        <v>1087</v>
      </c>
      <c r="C754">
        <v>1003</v>
      </c>
      <c r="D754" t="s">
        <v>18</v>
      </c>
      <c r="E754" s="1">
        <v>45642</v>
      </c>
      <c r="F754">
        <v>1160</v>
      </c>
      <c r="G754" t="s">
        <v>10</v>
      </c>
      <c r="H754" t="s">
        <v>19</v>
      </c>
      <c r="I754" t="s">
        <v>1935</v>
      </c>
      <c r="J754" t="str" cm="1">
        <f t="array" ref="J754">_xlfn.IFS(HOUR(I754)&lt;12,"Morning",HOUR(I754)&lt;17,"Afternoon",TRUE,"Evening")</f>
        <v>Afternoon</v>
      </c>
      <c r="K754" t="s">
        <v>12</v>
      </c>
      <c r="L754" t="str">
        <f t="shared" si="33"/>
        <v>Attended</v>
      </c>
      <c r="M754">
        <f t="shared" si="34"/>
        <v>0</v>
      </c>
      <c r="N754" t="str">
        <f t="shared" si="35"/>
        <v>Monday</v>
      </c>
      <c r="O75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5" spans="1:15" x14ac:dyDescent="0.25">
      <c r="A755">
        <v>5753</v>
      </c>
      <c r="B755">
        <v>277</v>
      </c>
      <c r="C755">
        <v>1001</v>
      </c>
      <c r="D755" t="s">
        <v>22</v>
      </c>
      <c r="E755" s="1">
        <v>45813</v>
      </c>
      <c r="F755">
        <v>1651</v>
      </c>
      <c r="G755" t="s">
        <v>14</v>
      </c>
      <c r="H755" t="s">
        <v>19</v>
      </c>
      <c r="I755" t="s">
        <v>1912</v>
      </c>
      <c r="J755" t="str" cm="1">
        <f t="array" ref="J755">_xlfn.IFS(HOUR(I755)&lt;12,"Morning",HOUR(I755)&lt;17,"Afternoon",TRUE,"Evening")</f>
        <v>Morning</v>
      </c>
      <c r="K755" t="s">
        <v>23</v>
      </c>
      <c r="L755" t="str">
        <f t="shared" si="33"/>
        <v>No Show</v>
      </c>
      <c r="M755">
        <f t="shared" si="34"/>
        <v>1</v>
      </c>
      <c r="N755" t="str">
        <f t="shared" si="35"/>
        <v>Thursday</v>
      </c>
      <c r="O75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6" spans="1:15" x14ac:dyDescent="0.25">
      <c r="A756">
        <v>5754</v>
      </c>
      <c r="B756">
        <v>653</v>
      </c>
      <c r="C756">
        <v>1027</v>
      </c>
      <c r="D756" t="s">
        <v>21</v>
      </c>
      <c r="E756" s="1">
        <v>45555</v>
      </c>
      <c r="F756">
        <v>1146</v>
      </c>
      <c r="G756" t="s">
        <v>14</v>
      </c>
      <c r="H756" t="s">
        <v>19</v>
      </c>
      <c r="I756" t="s">
        <v>1930</v>
      </c>
      <c r="J756" t="str" cm="1">
        <f t="array" ref="J756">_xlfn.IFS(HOUR(I756)&lt;12,"Morning",HOUR(I756)&lt;17,"Afternoon",TRUE,"Evening")</f>
        <v>Morning</v>
      </c>
      <c r="K756" t="s">
        <v>12</v>
      </c>
      <c r="L756" t="str">
        <f t="shared" si="33"/>
        <v>Attended</v>
      </c>
      <c r="M756">
        <f t="shared" si="34"/>
        <v>0</v>
      </c>
      <c r="N756" t="str">
        <f t="shared" si="35"/>
        <v>Friday</v>
      </c>
      <c r="O7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7" spans="1:15" x14ac:dyDescent="0.25">
      <c r="A757">
        <v>5755</v>
      </c>
      <c r="B757">
        <v>647</v>
      </c>
      <c r="C757">
        <v>1001</v>
      </c>
      <c r="D757" t="s">
        <v>18</v>
      </c>
      <c r="E757" s="1">
        <v>45526</v>
      </c>
      <c r="F757">
        <v>2282</v>
      </c>
      <c r="G757" t="s">
        <v>17</v>
      </c>
      <c r="H757" t="s">
        <v>11</v>
      </c>
      <c r="I757" t="s">
        <v>1923</v>
      </c>
      <c r="J757" t="str" cm="1">
        <f t="array" ref="J757">_xlfn.IFS(HOUR(I757)&lt;12,"Morning",HOUR(I757)&lt;17,"Afternoon",TRUE,"Evening")</f>
        <v>Evening</v>
      </c>
      <c r="K757" t="s">
        <v>28</v>
      </c>
      <c r="L757" t="str">
        <f t="shared" si="33"/>
        <v>No Show</v>
      </c>
      <c r="M757">
        <f t="shared" si="34"/>
        <v>1</v>
      </c>
      <c r="N757" t="str">
        <f t="shared" si="35"/>
        <v>Thursday</v>
      </c>
      <c r="O75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8" spans="1:15" x14ac:dyDescent="0.25">
      <c r="A758">
        <v>5756</v>
      </c>
      <c r="B758">
        <v>1094</v>
      </c>
      <c r="C758">
        <v>1027</v>
      </c>
      <c r="D758" t="s">
        <v>9</v>
      </c>
      <c r="E758" s="1">
        <v>45824</v>
      </c>
      <c r="F758">
        <v>828</v>
      </c>
      <c r="G758" t="s">
        <v>14</v>
      </c>
      <c r="H758" t="s">
        <v>15</v>
      </c>
      <c r="I758" t="s">
        <v>1921</v>
      </c>
      <c r="J758" t="str" cm="1">
        <f t="array" ref="J758">_xlfn.IFS(HOUR(I758)&lt;12,"Morning",HOUR(I758)&lt;17,"Afternoon",TRUE,"Evening")</f>
        <v>Afternoon</v>
      </c>
      <c r="K758" t="s">
        <v>23</v>
      </c>
      <c r="L758" t="str">
        <f t="shared" si="33"/>
        <v>No Show</v>
      </c>
      <c r="M758">
        <f t="shared" si="34"/>
        <v>1</v>
      </c>
      <c r="N758" t="str">
        <f t="shared" si="35"/>
        <v>Monday</v>
      </c>
      <c r="O75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59" spans="1:15" x14ac:dyDescent="0.25">
      <c r="A759">
        <v>5757</v>
      </c>
      <c r="B759">
        <v>461</v>
      </c>
      <c r="C759">
        <v>1020</v>
      </c>
      <c r="D759" t="s">
        <v>26</v>
      </c>
      <c r="E759" s="1">
        <v>45824</v>
      </c>
      <c r="F759">
        <v>1759</v>
      </c>
      <c r="G759" t="s">
        <v>10</v>
      </c>
      <c r="H759" t="s">
        <v>15</v>
      </c>
      <c r="I759" t="s">
        <v>1926</v>
      </c>
      <c r="J759" t="str" cm="1">
        <f t="array" ref="J759">_xlfn.IFS(HOUR(I759)&lt;12,"Morning",HOUR(I759)&lt;17,"Afternoon",TRUE,"Evening")</f>
        <v>Afternoon</v>
      </c>
      <c r="K759" t="s">
        <v>23</v>
      </c>
      <c r="L759" t="str">
        <f t="shared" si="33"/>
        <v>No Show</v>
      </c>
      <c r="M759">
        <f t="shared" si="34"/>
        <v>1</v>
      </c>
      <c r="N759" t="str">
        <f t="shared" si="35"/>
        <v>Monday</v>
      </c>
      <c r="O75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0" spans="1:15" x14ac:dyDescent="0.25">
      <c r="A760">
        <v>5758</v>
      </c>
      <c r="B760">
        <v>121</v>
      </c>
      <c r="C760">
        <v>1027</v>
      </c>
      <c r="D760" t="s">
        <v>9</v>
      </c>
      <c r="E760" s="1">
        <v>45558</v>
      </c>
      <c r="F760">
        <v>1860</v>
      </c>
      <c r="G760" t="s">
        <v>14</v>
      </c>
      <c r="H760" t="s">
        <v>11</v>
      </c>
      <c r="I760" t="s">
        <v>1933</v>
      </c>
      <c r="J760" t="str" cm="1">
        <f t="array" ref="J760">_xlfn.IFS(HOUR(I760)&lt;12,"Morning",HOUR(I760)&lt;17,"Afternoon",TRUE,"Evening")</f>
        <v>Evening</v>
      </c>
      <c r="K760" t="s">
        <v>12</v>
      </c>
      <c r="L760" t="str">
        <f t="shared" si="33"/>
        <v>Attended</v>
      </c>
      <c r="M760">
        <f t="shared" si="34"/>
        <v>0</v>
      </c>
      <c r="N760" t="str">
        <f t="shared" si="35"/>
        <v>Monday</v>
      </c>
      <c r="O76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1" spans="1:15" x14ac:dyDescent="0.25">
      <c r="A761">
        <v>5759</v>
      </c>
      <c r="B761">
        <v>1474</v>
      </c>
      <c r="C761">
        <v>1020</v>
      </c>
      <c r="D761" t="s">
        <v>26</v>
      </c>
      <c r="E761" s="1">
        <v>45639</v>
      </c>
      <c r="F761">
        <v>1595</v>
      </c>
      <c r="G761" t="s">
        <v>17</v>
      </c>
      <c r="H761" t="s">
        <v>15</v>
      </c>
      <c r="I761" t="s">
        <v>1915</v>
      </c>
      <c r="J761" t="str" cm="1">
        <f t="array" ref="J761">_xlfn.IFS(HOUR(I761)&lt;12,"Morning",HOUR(I761)&lt;17,"Afternoon",TRUE,"Evening")</f>
        <v>Afternoon</v>
      </c>
      <c r="K761" t="s">
        <v>12</v>
      </c>
      <c r="L761" t="str">
        <f t="shared" si="33"/>
        <v>Attended</v>
      </c>
      <c r="M761">
        <f t="shared" si="34"/>
        <v>0</v>
      </c>
      <c r="N761" t="str">
        <f t="shared" si="35"/>
        <v>Friday</v>
      </c>
      <c r="O76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2" spans="1:15" x14ac:dyDescent="0.25">
      <c r="A762">
        <v>5760</v>
      </c>
      <c r="B762">
        <v>379</v>
      </c>
      <c r="C762">
        <v>1008</v>
      </c>
      <c r="D762" t="s">
        <v>13</v>
      </c>
      <c r="E762" s="1">
        <v>45749</v>
      </c>
      <c r="F762">
        <v>1388</v>
      </c>
      <c r="G762" t="s">
        <v>10</v>
      </c>
      <c r="H762" t="s">
        <v>11</v>
      </c>
      <c r="I762" t="s">
        <v>1942</v>
      </c>
      <c r="J762" t="str" cm="1">
        <f t="array" ref="J762">_xlfn.IFS(HOUR(I762)&lt;12,"Morning",HOUR(I762)&lt;17,"Afternoon",TRUE,"Evening")</f>
        <v>Evening</v>
      </c>
      <c r="K762" t="s">
        <v>28</v>
      </c>
      <c r="L762" t="str">
        <f t="shared" si="33"/>
        <v>No Show</v>
      </c>
      <c r="M762">
        <f t="shared" si="34"/>
        <v>1</v>
      </c>
      <c r="N762" t="str">
        <f t="shared" si="35"/>
        <v>Wednesday</v>
      </c>
      <c r="O76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3" spans="1:15" x14ac:dyDescent="0.25">
      <c r="A763">
        <v>5761</v>
      </c>
      <c r="B763">
        <v>1299</v>
      </c>
      <c r="C763">
        <v>1009</v>
      </c>
      <c r="D763" t="s">
        <v>13</v>
      </c>
      <c r="E763" s="1">
        <v>45696</v>
      </c>
      <c r="F763">
        <v>2012</v>
      </c>
      <c r="G763" t="s">
        <v>10</v>
      </c>
      <c r="H763" t="s">
        <v>15</v>
      </c>
      <c r="I763" t="s">
        <v>1929</v>
      </c>
      <c r="J763" t="str" cm="1">
        <f t="array" ref="J763">_xlfn.IFS(HOUR(I763)&lt;12,"Morning",HOUR(I763)&lt;17,"Afternoon",TRUE,"Evening")</f>
        <v>Afternoon</v>
      </c>
      <c r="K763" t="s">
        <v>12</v>
      </c>
      <c r="L763" t="str">
        <f t="shared" si="33"/>
        <v>Attended</v>
      </c>
      <c r="M763">
        <f t="shared" si="34"/>
        <v>0</v>
      </c>
      <c r="N763" t="str">
        <f t="shared" si="35"/>
        <v>Saturday</v>
      </c>
      <c r="O76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64" spans="1:15" x14ac:dyDescent="0.25">
      <c r="A764">
        <v>5762</v>
      </c>
      <c r="B764">
        <v>433</v>
      </c>
      <c r="C764">
        <v>1027</v>
      </c>
      <c r="D764" t="s">
        <v>21</v>
      </c>
      <c r="E764" s="1">
        <v>45686</v>
      </c>
      <c r="F764">
        <v>836</v>
      </c>
      <c r="G764" t="s">
        <v>17</v>
      </c>
      <c r="H764" t="s">
        <v>15</v>
      </c>
      <c r="I764" t="s">
        <v>1905</v>
      </c>
      <c r="J764" t="str" cm="1">
        <f t="array" ref="J764">_xlfn.IFS(HOUR(I764)&lt;12,"Morning",HOUR(I764)&lt;17,"Afternoon",TRUE,"Evening")</f>
        <v>Morning</v>
      </c>
      <c r="K764" t="s">
        <v>12</v>
      </c>
      <c r="L764" t="str">
        <f t="shared" si="33"/>
        <v>Attended</v>
      </c>
      <c r="M764">
        <f t="shared" si="34"/>
        <v>0</v>
      </c>
      <c r="N764" t="str">
        <f t="shared" si="35"/>
        <v>Wednesday</v>
      </c>
      <c r="O76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5" spans="1:15" x14ac:dyDescent="0.25">
      <c r="A765">
        <v>5763</v>
      </c>
      <c r="B765">
        <v>341</v>
      </c>
      <c r="C765">
        <v>1004</v>
      </c>
      <c r="D765" t="s">
        <v>18</v>
      </c>
      <c r="E765" s="1">
        <v>45742</v>
      </c>
      <c r="F765">
        <v>1274</v>
      </c>
      <c r="G765" t="s">
        <v>25</v>
      </c>
      <c r="H765" t="s">
        <v>15</v>
      </c>
      <c r="I765" t="s">
        <v>1916</v>
      </c>
      <c r="J765" t="str" cm="1">
        <f t="array" ref="J765">_xlfn.IFS(HOUR(I765)&lt;12,"Morning",HOUR(I765)&lt;17,"Afternoon",TRUE,"Evening")</f>
        <v>Afternoon</v>
      </c>
      <c r="K765" t="s">
        <v>12</v>
      </c>
      <c r="L765" t="str">
        <f t="shared" si="33"/>
        <v>Attended</v>
      </c>
      <c r="M765">
        <f t="shared" si="34"/>
        <v>0</v>
      </c>
      <c r="N765" t="str">
        <f t="shared" si="35"/>
        <v>Wednesday</v>
      </c>
      <c r="O76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6" spans="1:15" x14ac:dyDescent="0.25">
      <c r="A766">
        <v>5764</v>
      </c>
      <c r="B766">
        <v>118</v>
      </c>
      <c r="C766">
        <v>1002</v>
      </c>
      <c r="D766" t="s">
        <v>18</v>
      </c>
      <c r="E766" s="1">
        <v>45742</v>
      </c>
      <c r="F766">
        <v>2288</v>
      </c>
      <c r="G766" t="s">
        <v>25</v>
      </c>
      <c r="H766" t="s">
        <v>11</v>
      </c>
      <c r="I766" t="s">
        <v>1936</v>
      </c>
      <c r="J766" t="str" cm="1">
        <f t="array" ref="J766">_xlfn.IFS(HOUR(I766)&lt;12,"Morning",HOUR(I766)&lt;17,"Afternoon",TRUE,"Evening")</f>
        <v>Morning</v>
      </c>
      <c r="K766" t="s">
        <v>12</v>
      </c>
      <c r="L766" t="str">
        <f t="shared" si="33"/>
        <v>Attended</v>
      </c>
      <c r="M766">
        <f t="shared" si="34"/>
        <v>0</v>
      </c>
      <c r="N766" t="str">
        <f t="shared" si="35"/>
        <v>Wednesday</v>
      </c>
      <c r="O76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7" spans="1:15" x14ac:dyDescent="0.25">
      <c r="A767">
        <v>5765</v>
      </c>
      <c r="B767">
        <v>281</v>
      </c>
      <c r="C767">
        <v>1027</v>
      </c>
      <c r="D767" t="s">
        <v>24</v>
      </c>
      <c r="E767" s="1">
        <v>45727</v>
      </c>
      <c r="F767">
        <v>2061</v>
      </c>
      <c r="G767" t="s">
        <v>17</v>
      </c>
      <c r="H767" t="s">
        <v>15</v>
      </c>
      <c r="I767" t="s">
        <v>1922</v>
      </c>
      <c r="J767" t="str" cm="1">
        <f t="array" ref="J767">_xlfn.IFS(HOUR(I767)&lt;12,"Morning",HOUR(I767)&lt;17,"Afternoon",TRUE,"Evening")</f>
        <v>Afternoon</v>
      </c>
      <c r="K767" t="s">
        <v>12</v>
      </c>
      <c r="L767" t="str">
        <f t="shared" si="33"/>
        <v>Attended</v>
      </c>
      <c r="M767">
        <f t="shared" si="34"/>
        <v>0</v>
      </c>
      <c r="N767" t="str">
        <f t="shared" si="35"/>
        <v>Tuesday</v>
      </c>
      <c r="O76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8" spans="1:15" x14ac:dyDescent="0.25">
      <c r="A768">
        <v>5766</v>
      </c>
      <c r="B768">
        <v>877</v>
      </c>
      <c r="C768">
        <v>1002</v>
      </c>
      <c r="D768" t="s">
        <v>18</v>
      </c>
      <c r="E768" s="1">
        <v>45698</v>
      </c>
      <c r="F768">
        <v>1247</v>
      </c>
      <c r="G768" t="s">
        <v>17</v>
      </c>
      <c r="H768" t="s">
        <v>15</v>
      </c>
      <c r="I768" t="s">
        <v>1942</v>
      </c>
      <c r="J768" t="str" cm="1">
        <f t="array" ref="J768">_xlfn.IFS(HOUR(I768)&lt;12,"Morning",HOUR(I768)&lt;17,"Afternoon",TRUE,"Evening")</f>
        <v>Evening</v>
      </c>
      <c r="K768" t="s">
        <v>28</v>
      </c>
      <c r="L768" t="str">
        <f t="shared" si="33"/>
        <v>No Show</v>
      </c>
      <c r="M768">
        <f t="shared" si="34"/>
        <v>1</v>
      </c>
      <c r="N768" t="str">
        <f t="shared" si="35"/>
        <v>Monday</v>
      </c>
      <c r="O76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69" spans="1:15" x14ac:dyDescent="0.25">
      <c r="A769">
        <v>5767</v>
      </c>
      <c r="B769">
        <v>1258</v>
      </c>
      <c r="C769">
        <v>1008</v>
      </c>
      <c r="D769" t="s">
        <v>13</v>
      </c>
      <c r="E769" s="1">
        <v>45748</v>
      </c>
      <c r="F769">
        <v>1856</v>
      </c>
      <c r="G769" t="s">
        <v>10</v>
      </c>
      <c r="H769" t="s">
        <v>19</v>
      </c>
      <c r="I769" t="s">
        <v>1924</v>
      </c>
      <c r="J769" t="str" cm="1">
        <f t="array" ref="J769">_xlfn.IFS(HOUR(I769)&lt;12,"Morning",HOUR(I769)&lt;17,"Afternoon",TRUE,"Evening")</f>
        <v>Afternoon</v>
      </c>
      <c r="K769" t="s">
        <v>12</v>
      </c>
      <c r="L769" t="str">
        <f t="shared" si="33"/>
        <v>Attended</v>
      </c>
      <c r="M769">
        <f t="shared" si="34"/>
        <v>0</v>
      </c>
      <c r="N769" t="str">
        <f t="shared" si="35"/>
        <v>Tuesday</v>
      </c>
      <c r="O76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70" spans="1:15" x14ac:dyDescent="0.25">
      <c r="A770">
        <v>5768</v>
      </c>
      <c r="B770">
        <v>797</v>
      </c>
      <c r="C770">
        <v>1027</v>
      </c>
      <c r="D770" t="s">
        <v>27</v>
      </c>
      <c r="E770" s="1">
        <v>45772</v>
      </c>
      <c r="F770">
        <v>2431</v>
      </c>
      <c r="G770" t="s">
        <v>25</v>
      </c>
      <c r="H770" t="s">
        <v>15</v>
      </c>
      <c r="I770" t="s">
        <v>1913</v>
      </c>
      <c r="J770" t="str" cm="1">
        <f t="array" ref="J770">_xlfn.IFS(HOUR(I770)&lt;12,"Morning",HOUR(I770)&lt;17,"Afternoon",TRUE,"Evening")</f>
        <v>Morning</v>
      </c>
      <c r="K770" t="s">
        <v>12</v>
      </c>
      <c r="L770" t="str">
        <f t="shared" si="33"/>
        <v>Attended</v>
      </c>
      <c r="M770">
        <f t="shared" si="34"/>
        <v>0</v>
      </c>
      <c r="N770" t="str">
        <f t="shared" si="35"/>
        <v>Friday</v>
      </c>
      <c r="O77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71" spans="1:15" x14ac:dyDescent="0.25">
      <c r="A771">
        <v>5769</v>
      </c>
      <c r="B771">
        <v>590</v>
      </c>
      <c r="C771">
        <v>1001</v>
      </c>
      <c r="D771" t="s">
        <v>18</v>
      </c>
      <c r="E771" s="1">
        <v>45553</v>
      </c>
      <c r="F771">
        <v>1181</v>
      </c>
      <c r="G771" t="s">
        <v>17</v>
      </c>
      <c r="H771" t="s">
        <v>15</v>
      </c>
      <c r="I771" t="s">
        <v>1943</v>
      </c>
      <c r="J771" t="str" cm="1">
        <f t="array" ref="J771">_xlfn.IFS(HOUR(I771)&lt;12,"Morning",HOUR(I771)&lt;17,"Afternoon",TRUE,"Evening")</f>
        <v>Afternoon</v>
      </c>
      <c r="K771" t="s">
        <v>20</v>
      </c>
      <c r="L771" t="str">
        <f t="shared" ref="L771:L834" si="36">IF(K771="completed","Attended","No Show")</f>
        <v>No Show</v>
      </c>
      <c r="M771">
        <f t="shared" ref="M771:M834" si="37">IF(L771="No Show",1,0)</f>
        <v>1</v>
      </c>
      <c r="N771" t="str">
        <f t="shared" ref="N771:N834" si="38">TEXT(E771,"dddd")</f>
        <v>Wednesday</v>
      </c>
      <c r="O77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72" spans="1:15" x14ac:dyDescent="0.25">
      <c r="A772">
        <v>5770</v>
      </c>
      <c r="B772">
        <v>1349</v>
      </c>
      <c r="C772">
        <v>1009</v>
      </c>
      <c r="D772" t="s">
        <v>13</v>
      </c>
      <c r="E772" s="1">
        <v>45672</v>
      </c>
      <c r="F772">
        <v>834</v>
      </c>
      <c r="G772" t="s">
        <v>25</v>
      </c>
      <c r="H772" t="s">
        <v>15</v>
      </c>
      <c r="I772" t="s">
        <v>1921</v>
      </c>
      <c r="J772" t="str" cm="1">
        <f t="array" ref="J772">_xlfn.IFS(HOUR(I772)&lt;12,"Morning",HOUR(I772)&lt;17,"Afternoon",TRUE,"Evening")</f>
        <v>Afternoon</v>
      </c>
      <c r="K772" t="s">
        <v>12</v>
      </c>
      <c r="L772" t="str">
        <f t="shared" si="36"/>
        <v>Attended</v>
      </c>
      <c r="M772">
        <f t="shared" si="37"/>
        <v>0</v>
      </c>
      <c r="N772" t="str">
        <f t="shared" si="38"/>
        <v>Wednesday</v>
      </c>
      <c r="O7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73" spans="1:15" x14ac:dyDescent="0.25">
      <c r="A773">
        <v>5771</v>
      </c>
      <c r="B773">
        <v>698</v>
      </c>
      <c r="C773">
        <v>1027</v>
      </c>
      <c r="D773" t="s">
        <v>24</v>
      </c>
      <c r="E773" s="1">
        <v>45504</v>
      </c>
      <c r="F773">
        <v>1695</v>
      </c>
      <c r="G773" t="s">
        <v>10</v>
      </c>
      <c r="H773" t="s">
        <v>15</v>
      </c>
      <c r="I773" t="s">
        <v>1910</v>
      </c>
      <c r="J773" t="str" cm="1">
        <f t="array" ref="J773">_xlfn.IFS(HOUR(I773)&lt;12,"Morning",HOUR(I773)&lt;17,"Afternoon",TRUE,"Evening")</f>
        <v>Evening</v>
      </c>
      <c r="K773" t="s">
        <v>12</v>
      </c>
      <c r="L773" t="str">
        <f t="shared" si="36"/>
        <v>Attended</v>
      </c>
      <c r="M773">
        <f t="shared" si="37"/>
        <v>0</v>
      </c>
      <c r="N773" t="str">
        <f t="shared" si="38"/>
        <v>Wednesday</v>
      </c>
      <c r="O77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74" spans="1:15" x14ac:dyDescent="0.25">
      <c r="A774">
        <v>5772</v>
      </c>
      <c r="B774">
        <v>1150</v>
      </c>
      <c r="C774">
        <v>1002</v>
      </c>
      <c r="D774" t="s">
        <v>18</v>
      </c>
      <c r="E774" s="1">
        <v>45780</v>
      </c>
      <c r="F774">
        <v>1730</v>
      </c>
      <c r="G774" t="s">
        <v>25</v>
      </c>
      <c r="H774" t="s">
        <v>15</v>
      </c>
      <c r="I774" t="s">
        <v>1908</v>
      </c>
      <c r="J774" t="str" cm="1">
        <f t="array" ref="J774">_xlfn.IFS(HOUR(I774)&lt;12,"Morning",HOUR(I774)&lt;17,"Afternoon",TRUE,"Evening")</f>
        <v>Morning</v>
      </c>
      <c r="K774" t="s">
        <v>12</v>
      </c>
      <c r="L774" t="str">
        <f t="shared" si="36"/>
        <v>Attended</v>
      </c>
      <c r="M774">
        <f t="shared" si="37"/>
        <v>0</v>
      </c>
      <c r="N774" t="str">
        <f t="shared" si="38"/>
        <v>Saturday</v>
      </c>
      <c r="O77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75" spans="1:15" x14ac:dyDescent="0.25">
      <c r="A775">
        <v>5773</v>
      </c>
      <c r="B775">
        <v>1231</v>
      </c>
      <c r="C775">
        <v>1024</v>
      </c>
      <c r="D775" t="s">
        <v>16</v>
      </c>
      <c r="E775" s="1">
        <v>45586</v>
      </c>
      <c r="F775">
        <v>1494</v>
      </c>
      <c r="G775" t="s">
        <v>17</v>
      </c>
      <c r="H775" t="s">
        <v>19</v>
      </c>
      <c r="I775" t="s">
        <v>1936</v>
      </c>
      <c r="J775" t="str" cm="1">
        <f t="array" ref="J775">_xlfn.IFS(HOUR(I775)&lt;12,"Morning",HOUR(I775)&lt;17,"Afternoon",TRUE,"Evening")</f>
        <v>Morning</v>
      </c>
      <c r="K775" t="s">
        <v>28</v>
      </c>
      <c r="L775" t="str">
        <f t="shared" si="36"/>
        <v>No Show</v>
      </c>
      <c r="M775">
        <f t="shared" si="37"/>
        <v>1</v>
      </c>
      <c r="N775" t="str">
        <f t="shared" si="38"/>
        <v>Monday</v>
      </c>
      <c r="O77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76" spans="1:15" x14ac:dyDescent="0.25">
      <c r="A776">
        <v>5774</v>
      </c>
      <c r="B776">
        <v>1213</v>
      </c>
      <c r="C776">
        <v>1008</v>
      </c>
      <c r="D776" t="s">
        <v>13</v>
      </c>
      <c r="E776" s="1">
        <v>45831</v>
      </c>
      <c r="F776">
        <v>1747</v>
      </c>
      <c r="G776" t="s">
        <v>10</v>
      </c>
      <c r="H776" t="s">
        <v>19</v>
      </c>
      <c r="I776" t="s">
        <v>1919</v>
      </c>
      <c r="J776" t="str" cm="1">
        <f t="array" ref="J776">_xlfn.IFS(HOUR(I776)&lt;12,"Morning",HOUR(I776)&lt;17,"Afternoon",TRUE,"Evening")</f>
        <v>Evening</v>
      </c>
      <c r="K776" t="s">
        <v>23</v>
      </c>
      <c r="L776" t="str">
        <f t="shared" si="36"/>
        <v>No Show</v>
      </c>
      <c r="M776">
        <f t="shared" si="37"/>
        <v>1</v>
      </c>
      <c r="N776" t="str">
        <f t="shared" si="38"/>
        <v>Monday</v>
      </c>
      <c r="O77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77" spans="1:15" x14ac:dyDescent="0.25">
      <c r="A777">
        <v>5775</v>
      </c>
      <c r="B777">
        <v>824</v>
      </c>
      <c r="C777">
        <v>1020</v>
      </c>
      <c r="D777" t="s">
        <v>26</v>
      </c>
      <c r="E777" s="1">
        <v>45564</v>
      </c>
      <c r="F777">
        <v>2254</v>
      </c>
      <c r="G777" t="s">
        <v>14</v>
      </c>
      <c r="H777" t="s">
        <v>15</v>
      </c>
      <c r="I777" t="s">
        <v>1938</v>
      </c>
      <c r="J777" t="str" cm="1">
        <f t="array" ref="J777">_xlfn.IFS(HOUR(I777)&lt;12,"Morning",HOUR(I777)&lt;17,"Afternoon",TRUE,"Evening")</f>
        <v>Afternoon</v>
      </c>
      <c r="K777" t="s">
        <v>12</v>
      </c>
      <c r="L777" t="str">
        <f t="shared" si="36"/>
        <v>Attended</v>
      </c>
      <c r="M777">
        <f t="shared" si="37"/>
        <v>0</v>
      </c>
      <c r="N777" t="str">
        <f t="shared" si="38"/>
        <v>Sunday</v>
      </c>
      <c r="O77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78" spans="1:15" x14ac:dyDescent="0.25">
      <c r="A778">
        <v>5776</v>
      </c>
      <c r="B778">
        <v>232</v>
      </c>
      <c r="C778">
        <v>1027</v>
      </c>
      <c r="D778" t="s">
        <v>24</v>
      </c>
      <c r="E778" s="1">
        <v>45740</v>
      </c>
      <c r="F778">
        <v>2343</v>
      </c>
      <c r="G778" t="s">
        <v>14</v>
      </c>
      <c r="H778" t="s">
        <v>19</v>
      </c>
      <c r="I778" t="s">
        <v>1936</v>
      </c>
      <c r="J778" t="str" cm="1">
        <f t="array" ref="J778">_xlfn.IFS(HOUR(I778)&lt;12,"Morning",HOUR(I778)&lt;17,"Afternoon",TRUE,"Evening")</f>
        <v>Morning</v>
      </c>
      <c r="K778" t="s">
        <v>12</v>
      </c>
      <c r="L778" t="str">
        <f t="shared" si="36"/>
        <v>Attended</v>
      </c>
      <c r="M778">
        <f t="shared" si="37"/>
        <v>0</v>
      </c>
      <c r="N778" t="str">
        <f t="shared" si="38"/>
        <v>Monday</v>
      </c>
      <c r="O77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79" spans="1:15" x14ac:dyDescent="0.25">
      <c r="A779">
        <v>5777</v>
      </c>
      <c r="B779">
        <v>284</v>
      </c>
      <c r="C779">
        <v>1027</v>
      </c>
      <c r="D779" t="s">
        <v>21</v>
      </c>
      <c r="E779" s="1">
        <v>45615</v>
      </c>
      <c r="F779">
        <v>2430</v>
      </c>
      <c r="G779" t="s">
        <v>17</v>
      </c>
      <c r="H779" t="s">
        <v>15</v>
      </c>
      <c r="I779" t="s">
        <v>1920</v>
      </c>
      <c r="J779" t="str" cm="1">
        <f t="array" ref="J779">_xlfn.IFS(HOUR(I779)&lt;12,"Morning",HOUR(I779)&lt;17,"Afternoon",TRUE,"Evening")</f>
        <v>Morning</v>
      </c>
      <c r="K779" t="s">
        <v>12</v>
      </c>
      <c r="L779" t="str">
        <f t="shared" si="36"/>
        <v>Attended</v>
      </c>
      <c r="M779">
        <f t="shared" si="37"/>
        <v>0</v>
      </c>
      <c r="N779" t="str">
        <f t="shared" si="38"/>
        <v>Tuesday</v>
      </c>
      <c r="O77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80" spans="1:15" x14ac:dyDescent="0.25">
      <c r="A780">
        <v>5778</v>
      </c>
      <c r="B780">
        <v>1242</v>
      </c>
      <c r="C780">
        <v>1003</v>
      </c>
      <c r="D780" t="s">
        <v>18</v>
      </c>
      <c r="E780" s="1">
        <v>45785</v>
      </c>
      <c r="F780">
        <v>1159</v>
      </c>
      <c r="G780" t="s">
        <v>10</v>
      </c>
      <c r="H780" t="s">
        <v>19</v>
      </c>
      <c r="I780" t="s">
        <v>1933</v>
      </c>
      <c r="J780" t="str" cm="1">
        <f t="array" ref="J780">_xlfn.IFS(HOUR(I780)&lt;12,"Morning",HOUR(I780)&lt;17,"Afternoon",TRUE,"Evening")</f>
        <v>Evening</v>
      </c>
      <c r="K780" t="s">
        <v>28</v>
      </c>
      <c r="L780" t="str">
        <f t="shared" si="36"/>
        <v>No Show</v>
      </c>
      <c r="M780">
        <f t="shared" si="37"/>
        <v>1</v>
      </c>
      <c r="N780" t="str">
        <f t="shared" si="38"/>
        <v>Thursday</v>
      </c>
      <c r="O78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81" spans="1:15" x14ac:dyDescent="0.25">
      <c r="A781">
        <v>5779</v>
      </c>
      <c r="B781">
        <v>680</v>
      </c>
      <c r="C781">
        <v>1001</v>
      </c>
      <c r="D781" t="s">
        <v>22</v>
      </c>
      <c r="E781" s="1">
        <v>45653</v>
      </c>
      <c r="F781">
        <v>1314</v>
      </c>
      <c r="G781" t="s">
        <v>17</v>
      </c>
      <c r="H781" t="s">
        <v>15</v>
      </c>
      <c r="I781" t="s">
        <v>1937</v>
      </c>
      <c r="J781" t="str" cm="1">
        <f t="array" ref="J781">_xlfn.IFS(HOUR(I781)&lt;12,"Morning",HOUR(I781)&lt;17,"Afternoon",TRUE,"Evening")</f>
        <v>Morning</v>
      </c>
      <c r="K781" t="s">
        <v>28</v>
      </c>
      <c r="L781" t="str">
        <f t="shared" si="36"/>
        <v>No Show</v>
      </c>
      <c r="M781">
        <f t="shared" si="37"/>
        <v>1</v>
      </c>
      <c r="N781" t="str">
        <f t="shared" si="38"/>
        <v>Friday</v>
      </c>
      <c r="O7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82" spans="1:15" x14ac:dyDescent="0.25">
      <c r="A782">
        <v>5780</v>
      </c>
      <c r="B782">
        <v>1309</v>
      </c>
      <c r="C782">
        <v>1024</v>
      </c>
      <c r="D782" t="s">
        <v>16</v>
      </c>
      <c r="E782" s="1">
        <v>45753</v>
      </c>
      <c r="F782">
        <v>2280</v>
      </c>
      <c r="G782" t="s">
        <v>14</v>
      </c>
      <c r="H782" t="s">
        <v>11</v>
      </c>
      <c r="I782" t="s">
        <v>1911</v>
      </c>
      <c r="J782" t="str" cm="1">
        <f t="array" ref="J782">_xlfn.IFS(HOUR(I782)&lt;12,"Morning",HOUR(I782)&lt;17,"Afternoon",TRUE,"Evening")</f>
        <v>Morning</v>
      </c>
      <c r="K782" t="s">
        <v>12</v>
      </c>
      <c r="L782" t="str">
        <f t="shared" si="36"/>
        <v>Attended</v>
      </c>
      <c r="M782">
        <f t="shared" si="37"/>
        <v>0</v>
      </c>
      <c r="N782" t="str">
        <f t="shared" si="38"/>
        <v>Sunday</v>
      </c>
      <c r="O78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83" spans="1:15" x14ac:dyDescent="0.25">
      <c r="A783">
        <v>5781</v>
      </c>
      <c r="B783">
        <v>1274</v>
      </c>
      <c r="C783">
        <v>1024</v>
      </c>
      <c r="D783" t="s">
        <v>16</v>
      </c>
      <c r="E783" s="1">
        <v>45801</v>
      </c>
      <c r="F783">
        <v>2167</v>
      </c>
      <c r="G783" t="s">
        <v>10</v>
      </c>
      <c r="H783" t="s">
        <v>19</v>
      </c>
      <c r="I783" t="s">
        <v>1928</v>
      </c>
      <c r="J783" t="str" cm="1">
        <f t="array" ref="J783">_xlfn.IFS(HOUR(I783)&lt;12,"Morning",HOUR(I783)&lt;17,"Afternoon",TRUE,"Evening")</f>
        <v>Morning</v>
      </c>
      <c r="K783" t="s">
        <v>12</v>
      </c>
      <c r="L783" t="str">
        <f t="shared" si="36"/>
        <v>Attended</v>
      </c>
      <c r="M783">
        <f t="shared" si="37"/>
        <v>0</v>
      </c>
      <c r="N783" t="str">
        <f t="shared" si="38"/>
        <v>Saturday</v>
      </c>
      <c r="O78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84" spans="1:15" x14ac:dyDescent="0.25">
      <c r="A784">
        <v>5782</v>
      </c>
      <c r="B784">
        <v>433</v>
      </c>
      <c r="C784">
        <v>1027</v>
      </c>
      <c r="D784" t="s">
        <v>22</v>
      </c>
      <c r="E784" s="1">
        <v>45732</v>
      </c>
      <c r="F784">
        <v>1829</v>
      </c>
      <c r="G784" t="s">
        <v>14</v>
      </c>
      <c r="H784" t="s">
        <v>15</v>
      </c>
      <c r="I784" t="s">
        <v>1913</v>
      </c>
      <c r="J784" t="str" cm="1">
        <f t="array" ref="J784">_xlfn.IFS(HOUR(I784)&lt;12,"Morning",HOUR(I784)&lt;17,"Afternoon",TRUE,"Evening")</f>
        <v>Morning</v>
      </c>
      <c r="K784" t="s">
        <v>12</v>
      </c>
      <c r="L784" t="str">
        <f t="shared" si="36"/>
        <v>Attended</v>
      </c>
      <c r="M784">
        <f t="shared" si="37"/>
        <v>0</v>
      </c>
      <c r="N784" t="str">
        <f t="shared" si="38"/>
        <v>Sunday</v>
      </c>
      <c r="O78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85" spans="1:15" x14ac:dyDescent="0.25">
      <c r="A785">
        <v>5783</v>
      </c>
      <c r="B785">
        <v>810</v>
      </c>
      <c r="C785">
        <v>1027</v>
      </c>
      <c r="D785" t="s">
        <v>27</v>
      </c>
      <c r="E785" s="1">
        <v>45611</v>
      </c>
      <c r="F785">
        <v>1871</v>
      </c>
      <c r="G785" t="s">
        <v>25</v>
      </c>
      <c r="H785" t="s">
        <v>15</v>
      </c>
      <c r="I785" t="s">
        <v>1908</v>
      </c>
      <c r="J785" t="str" cm="1">
        <f t="array" ref="J785">_xlfn.IFS(HOUR(I785)&lt;12,"Morning",HOUR(I785)&lt;17,"Afternoon",TRUE,"Evening")</f>
        <v>Morning</v>
      </c>
      <c r="K785" t="s">
        <v>12</v>
      </c>
      <c r="L785" t="str">
        <f t="shared" si="36"/>
        <v>Attended</v>
      </c>
      <c r="M785">
        <f t="shared" si="37"/>
        <v>0</v>
      </c>
      <c r="N785" t="str">
        <f t="shared" si="38"/>
        <v>Friday</v>
      </c>
      <c r="O78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86" spans="1:15" x14ac:dyDescent="0.25">
      <c r="A786">
        <v>5784</v>
      </c>
      <c r="B786">
        <v>1455</v>
      </c>
      <c r="C786">
        <v>1009</v>
      </c>
      <c r="D786" t="s">
        <v>13</v>
      </c>
      <c r="E786" s="1">
        <v>45801</v>
      </c>
      <c r="F786">
        <v>2395</v>
      </c>
      <c r="G786" t="s">
        <v>10</v>
      </c>
      <c r="H786" t="s">
        <v>11</v>
      </c>
      <c r="I786" t="s">
        <v>1936</v>
      </c>
      <c r="J786" t="str" cm="1">
        <f t="array" ref="J786">_xlfn.IFS(HOUR(I786)&lt;12,"Morning",HOUR(I786)&lt;17,"Afternoon",TRUE,"Evening")</f>
        <v>Morning</v>
      </c>
      <c r="K786" t="s">
        <v>12</v>
      </c>
      <c r="L786" t="str">
        <f t="shared" si="36"/>
        <v>Attended</v>
      </c>
      <c r="M786">
        <f t="shared" si="37"/>
        <v>0</v>
      </c>
      <c r="N786" t="str">
        <f t="shared" si="38"/>
        <v>Saturday</v>
      </c>
      <c r="O78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87" spans="1:15" x14ac:dyDescent="0.25">
      <c r="A787">
        <v>5785</v>
      </c>
      <c r="B787">
        <v>1569</v>
      </c>
      <c r="C787">
        <v>1027</v>
      </c>
      <c r="D787" t="s">
        <v>27</v>
      </c>
      <c r="E787" s="1">
        <v>45588</v>
      </c>
      <c r="F787">
        <v>969</v>
      </c>
      <c r="G787" t="s">
        <v>14</v>
      </c>
      <c r="H787" t="s">
        <v>11</v>
      </c>
      <c r="I787" t="s">
        <v>1917</v>
      </c>
      <c r="J787" t="str" cm="1">
        <f t="array" ref="J787">_xlfn.IFS(HOUR(I787)&lt;12,"Morning",HOUR(I787)&lt;17,"Afternoon",TRUE,"Evening")</f>
        <v>Afternoon</v>
      </c>
      <c r="K787" t="s">
        <v>12</v>
      </c>
      <c r="L787" t="str">
        <f t="shared" si="36"/>
        <v>Attended</v>
      </c>
      <c r="M787">
        <f t="shared" si="37"/>
        <v>0</v>
      </c>
      <c r="N787" t="str">
        <f t="shared" si="38"/>
        <v>Wednesday</v>
      </c>
      <c r="O78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88" spans="1:15" x14ac:dyDescent="0.25">
      <c r="A788">
        <v>5786</v>
      </c>
      <c r="B788">
        <v>110</v>
      </c>
      <c r="C788">
        <v>1027</v>
      </c>
      <c r="D788" t="s">
        <v>21</v>
      </c>
      <c r="E788" s="1">
        <v>45614</v>
      </c>
      <c r="F788">
        <v>1483</v>
      </c>
      <c r="G788" t="s">
        <v>10</v>
      </c>
      <c r="H788" t="s">
        <v>11</v>
      </c>
      <c r="I788" t="s">
        <v>1940</v>
      </c>
      <c r="J788" t="str" cm="1">
        <f t="array" ref="J788">_xlfn.IFS(HOUR(I788)&lt;12,"Morning",HOUR(I788)&lt;17,"Afternoon",TRUE,"Evening")</f>
        <v>Morning</v>
      </c>
      <c r="K788" t="s">
        <v>12</v>
      </c>
      <c r="L788" t="str">
        <f t="shared" si="36"/>
        <v>Attended</v>
      </c>
      <c r="M788">
        <f t="shared" si="37"/>
        <v>0</v>
      </c>
      <c r="N788" t="str">
        <f t="shared" si="38"/>
        <v>Monday</v>
      </c>
      <c r="O78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89" spans="1:15" x14ac:dyDescent="0.25">
      <c r="A789">
        <v>5787</v>
      </c>
      <c r="B789">
        <v>499</v>
      </c>
      <c r="C789">
        <v>1027</v>
      </c>
      <c r="D789" t="s">
        <v>24</v>
      </c>
      <c r="E789" s="1">
        <v>45738</v>
      </c>
      <c r="F789">
        <v>1351</v>
      </c>
      <c r="G789" t="s">
        <v>10</v>
      </c>
      <c r="H789" t="s">
        <v>19</v>
      </c>
      <c r="I789" t="s">
        <v>1935</v>
      </c>
      <c r="J789" t="str" cm="1">
        <f t="array" ref="J789">_xlfn.IFS(HOUR(I789)&lt;12,"Morning",HOUR(I789)&lt;17,"Afternoon",TRUE,"Evening")</f>
        <v>Afternoon</v>
      </c>
      <c r="K789" t="s">
        <v>12</v>
      </c>
      <c r="L789" t="str">
        <f t="shared" si="36"/>
        <v>Attended</v>
      </c>
      <c r="M789">
        <f t="shared" si="37"/>
        <v>0</v>
      </c>
      <c r="N789" t="str">
        <f t="shared" si="38"/>
        <v>Saturday</v>
      </c>
      <c r="O78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90" spans="1:15" x14ac:dyDescent="0.25">
      <c r="A790">
        <v>5788</v>
      </c>
      <c r="B790">
        <v>796</v>
      </c>
      <c r="C790">
        <v>1024</v>
      </c>
      <c r="D790" t="s">
        <v>16</v>
      </c>
      <c r="E790" s="1">
        <v>45816</v>
      </c>
      <c r="F790">
        <v>1758</v>
      </c>
      <c r="G790" t="s">
        <v>10</v>
      </c>
      <c r="H790" t="s">
        <v>19</v>
      </c>
      <c r="I790" t="s">
        <v>1914</v>
      </c>
      <c r="J790" t="str" cm="1">
        <f t="array" ref="J790">_xlfn.IFS(HOUR(I790)&lt;12,"Morning",HOUR(I790)&lt;17,"Afternoon",TRUE,"Evening")</f>
        <v>Afternoon</v>
      </c>
      <c r="K790" t="s">
        <v>23</v>
      </c>
      <c r="L790" t="str">
        <f t="shared" si="36"/>
        <v>No Show</v>
      </c>
      <c r="M790">
        <f t="shared" si="37"/>
        <v>1</v>
      </c>
      <c r="N790" t="str">
        <f t="shared" si="38"/>
        <v>Sunday</v>
      </c>
      <c r="O79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91" spans="1:15" x14ac:dyDescent="0.25">
      <c r="A791">
        <v>5789</v>
      </c>
      <c r="B791">
        <v>904</v>
      </c>
      <c r="C791">
        <v>1004</v>
      </c>
      <c r="D791" t="s">
        <v>18</v>
      </c>
      <c r="E791" s="1">
        <v>45823</v>
      </c>
      <c r="F791">
        <v>1382</v>
      </c>
      <c r="G791" t="s">
        <v>25</v>
      </c>
      <c r="H791" t="s">
        <v>19</v>
      </c>
      <c r="I791" t="s">
        <v>1935</v>
      </c>
      <c r="J791" t="str" cm="1">
        <f t="array" ref="J791">_xlfn.IFS(HOUR(I791)&lt;12,"Morning",HOUR(I791)&lt;17,"Afternoon",TRUE,"Evening")</f>
        <v>Afternoon</v>
      </c>
      <c r="K791" t="s">
        <v>23</v>
      </c>
      <c r="L791" t="str">
        <f t="shared" si="36"/>
        <v>No Show</v>
      </c>
      <c r="M791">
        <f t="shared" si="37"/>
        <v>1</v>
      </c>
      <c r="N791" t="str">
        <f t="shared" si="38"/>
        <v>Sunday</v>
      </c>
      <c r="O79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92" spans="1:15" x14ac:dyDescent="0.25">
      <c r="A792">
        <v>5790</v>
      </c>
      <c r="B792">
        <v>1263</v>
      </c>
      <c r="C792">
        <v>1027</v>
      </c>
      <c r="D792" t="s">
        <v>24</v>
      </c>
      <c r="E792" s="1">
        <v>45696</v>
      </c>
      <c r="F792">
        <v>2369</v>
      </c>
      <c r="G792" t="s">
        <v>25</v>
      </c>
      <c r="H792" t="s">
        <v>19</v>
      </c>
      <c r="I792" t="s">
        <v>1917</v>
      </c>
      <c r="J792" t="str" cm="1">
        <f t="array" ref="J792">_xlfn.IFS(HOUR(I792)&lt;12,"Morning",HOUR(I792)&lt;17,"Afternoon",TRUE,"Evening")</f>
        <v>Afternoon</v>
      </c>
      <c r="K792" t="s">
        <v>12</v>
      </c>
      <c r="L792" t="str">
        <f t="shared" si="36"/>
        <v>Attended</v>
      </c>
      <c r="M792">
        <f t="shared" si="37"/>
        <v>0</v>
      </c>
      <c r="N792" t="str">
        <f t="shared" si="38"/>
        <v>Saturday</v>
      </c>
      <c r="O79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93" spans="1:15" x14ac:dyDescent="0.25">
      <c r="A793">
        <v>5791</v>
      </c>
      <c r="B793">
        <v>1461</v>
      </c>
      <c r="C793">
        <v>1027</v>
      </c>
      <c r="D793" t="s">
        <v>9</v>
      </c>
      <c r="E793" s="1">
        <v>45766</v>
      </c>
      <c r="F793">
        <v>1550</v>
      </c>
      <c r="G793" t="s">
        <v>25</v>
      </c>
      <c r="H793" t="s">
        <v>11</v>
      </c>
      <c r="I793" t="s">
        <v>1915</v>
      </c>
      <c r="J793" t="str" cm="1">
        <f t="array" ref="J793">_xlfn.IFS(HOUR(I793)&lt;12,"Morning",HOUR(I793)&lt;17,"Afternoon",TRUE,"Evening")</f>
        <v>Afternoon</v>
      </c>
      <c r="K793" t="s">
        <v>12</v>
      </c>
      <c r="L793" t="str">
        <f t="shared" si="36"/>
        <v>Attended</v>
      </c>
      <c r="M793">
        <f t="shared" si="37"/>
        <v>0</v>
      </c>
      <c r="N793" t="str">
        <f t="shared" si="38"/>
        <v>Saturday</v>
      </c>
      <c r="O79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94" spans="1:15" x14ac:dyDescent="0.25">
      <c r="A794">
        <v>5792</v>
      </c>
      <c r="B794">
        <v>1270</v>
      </c>
      <c r="C794">
        <v>1024</v>
      </c>
      <c r="D794" t="s">
        <v>16</v>
      </c>
      <c r="E794" s="1">
        <v>45575</v>
      </c>
      <c r="F794">
        <v>1915</v>
      </c>
      <c r="G794" t="s">
        <v>17</v>
      </c>
      <c r="H794" t="s">
        <v>19</v>
      </c>
      <c r="I794" t="s">
        <v>1925</v>
      </c>
      <c r="J794" t="str" cm="1">
        <f t="array" ref="J794">_xlfn.IFS(HOUR(I794)&lt;12,"Morning",HOUR(I794)&lt;17,"Afternoon",TRUE,"Evening")</f>
        <v>Afternoon</v>
      </c>
      <c r="K794" t="s">
        <v>12</v>
      </c>
      <c r="L794" t="str">
        <f t="shared" si="36"/>
        <v>Attended</v>
      </c>
      <c r="M794">
        <f t="shared" si="37"/>
        <v>0</v>
      </c>
      <c r="N794" t="str">
        <f t="shared" si="38"/>
        <v>Thursday</v>
      </c>
      <c r="O79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95" spans="1:15" x14ac:dyDescent="0.25">
      <c r="A795">
        <v>5793</v>
      </c>
      <c r="B795">
        <v>1072</v>
      </c>
      <c r="C795">
        <v>1027</v>
      </c>
      <c r="D795" t="s">
        <v>24</v>
      </c>
      <c r="E795" s="1">
        <v>45641</v>
      </c>
      <c r="F795">
        <v>1810</v>
      </c>
      <c r="G795" t="s">
        <v>17</v>
      </c>
      <c r="H795" t="s">
        <v>11</v>
      </c>
      <c r="I795" t="s">
        <v>1939</v>
      </c>
      <c r="J795" t="str" cm="1">
        <f t="array" ref="J795">_xlfn.IFS(HOUR(I795)&lt;12,"Morning",HOUR(I795)&lt;17,"Afternoon",TRUE,"Evening")</f>
        <v>Afternoon</v>
      </c>
      <c r="K795" t="s">
        <v>12</v>
      </c>
      <c r="L795" t="str">
        <f t="shared" si="36"/>
        <v>Attended</v>
      </c>
      <c r="M795">
        <f t="shared" si="37"/>
        <v>0</v>
      </c>
      <c r="N795" t="str">
        <f t="shared" si="38"/>
        <v>Sunday</v>
      </c>
      <c r="O79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96" spans="1:15" x14ac:dyDescent="0.25">
      <c r="A796">
        <v>5794</v>
      </c>
      <c r="B796">
        <v>847</v>
      </c>
      <c r="C796">
        <v>1027</v>
      </c>
      <c r="D796" t="s">
        <v>21</v>
      </c>
      <c r="E796" s="1">
        <v>45710</v>
      </c>
      <c r="F796">
        <v>1344</v>
      </c>
      <c r="G796" t="s">
        <v>10</v>
      </c>
      <c r="H796" t="s">
        <v>11</v>
      </c>
      <c r="I796" t="s">
        <v>1923</v>
      </c>
      <c r="J796" t="str" cm="1">
        <f t="array" ref="J796">_xlfn.IFS(HOUR(I796)&lt;12,"Morning",HOUR(I796)&lt;17,"Afternoon",TRUE,"Evening")</f>
        <v>Evening</v>
      </c>
      <c r="K796" t="s">
        <v>12</v>
      </c>
      <c r="L796" t="str">
        <f t="shared" si="36"/>
        <v>Attended</v>
      </c>
      <c r="M796">
        <f t="shared" si="37"/>
        <v>0</v>
      </c>
      <c r="N796" t="str">
        <f t="shared" si="38"/>
        <v>Saturday</v>
      </c>
      <c r="O79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797" spans="1:15" x14ac:dyDescent="0.25">
      <c r="A797">
        <v>5795</v>
      </c>
      <c r="B797">
        <v>707</v>
      </c>
      <c r="C797">
        <v>1027</v>
      </c>
      <c r="D797" t="s">
        <v>9</v>
      </c>
      <c r="E797" s="1">
        <v>45523</v>
      </c>
      <c r="F797">
        <v>1914</v>
      </c>
      <c r="G797" t="s">
        <v>14</v>
      </c>
      <c r="H797" t="s">
        <v>15</v>
      </c>
      <c r="I797" t="s">
        <v>1930</v>
      </c>
      <c r="J797" t="str" cm="1">
        <f t="array" ref="J797">_xlfn.IFS(HOUR(I797)&lt;12,"Morning",HOUR(I797)&lt;17,"Afternoon",TRUE,"Evening")</f>
        <v>Morning</v>
      </c>
      <c r="K797" t="s">
        <v>12</v>
      </c>
      <c r="L797" t="str">
        <f t="shared" si="36"/>
        <v>Attended</v>
      </c>
      <c r="M797">
        <f t="shared" si="37"/>
        <v>0</v>
      </c>
      <c r="N797" t="str">
        <f t="shared" si="38"/>
        <v>Monday</v>
      </c>
      <c r="O79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98" spans="1:15" x14ac:dyDescent="0.25">
      <c r="A798">
        <v>5796</v>
      </c>
      <c r="B798">
        <v>1169</v>
      </c>
      <c r="C798">
        <v>1020</v>
      </c>
      <c r="D798" t="s">
        <v>26</v>
      </c>
      <c r="E798" s="1">
        <v>45679</v>
      </c>
      <c r="F798">
        <v>1497</v>
      </c>
      <c r="G798" t="s">
        <v>25</v>
      </c>
      <c r="H798" t="s">
        <v>11</v>
      </c>
      <c r="I798" t="s">
        <v>1918</v>
      </c>
      <c r="J798" t="str" cm="1">
        <f t="array" ref="J798">_xlfn.IFS(HOUR(I798)&lt;12,"Morning",HOUR(I798)&lt;17,"Afternoon",TRUE,"Evening")</f>
        <v>Evening</v>
      </c>
      <c r="K798" t="s">
        <v>12</v>
      </c>
      <c r="L798" t="str">
        <f t="shared" si="36"/>
        <v>Attended</v>
      </c>
      <c r="M798">
        <f t="shared" si="37"/>
        <v>0</v>
      </c>
      <c r="N798" t="str">
        <f t="shared" si="38"/>
        <v>Wednesday</v>
      </c>
      <c r="O79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799" spans="1:15" x14ac:dyDescent="0.25">
      <c r="A799">
        <v>5797</v>
      </c>
      <c r="B799">
        <v>853</v>
      </c>
      <c r="C799">
        <v>1027</v>
      </c>
      <c r="D799" t="s">
        <v>27</v>
      </c>
      <c r="E799" s="1">
        <v>45603</v>
      </c>
      <c r="F799">
        <v>1659</v>
      </c>
      <c r="G799" t="s">
        <v>25</v>
      </c>
      <c r="H799" t="s">
        <v>15</v>
      </c>
      <c r="I799" t="s">
        <v>1926</v>
      </c>
      <c r="J799" t="str" cm="1">
        <f t="array" ref="J799">_xlfn.IFS(HOUR(I799)&lt;12,"Morning",HOUR(I799)&lt;17,"Afternoon",TRUE,"Evening")</f>
        <v>Afternoon</v>
      </c>
      <c r="K799" t="s">
        <v>28</v>
      </c>
      <c r="L799" t="str">
        <f t="shared" si="36"/>
        <v>No Show</v>
      </c>
      <c r="M799">
        <f t="shared" si="37"/>
        <v>1</v>
      </c>
      <c r="N799" t="str">
        <f t="shared" si="38"/>
        <v>Thursday</v>
      </c>
      <c r="O79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00" spans="1:15" x14ac:dyDescent="0.25">
      <c r="A800">
        <v>5798</v>
      </c>
      <c r="B800">
        <v>338</v>
      </c>
      <c r="C800">
        <v>1020</v>
      </c>
      <c r="D800" t="s">
        <v>26</v>
      </c>
      <c r="E800" s="1">
        <v>45818</v>
      </c>
      <c r="F800">
        <v>1586</v>
      </c>
      <c r="G800" t="s">
        <v>10</v>
      </c>
      <c r="H800" t="s">
        <v>15</v>
      </c>
      <c r="I800" t="s">
        <v>1907</v>
      </c>
      <c r="J800" t="str" cm="1">
        <f t="array" ref="J800">_xlfn.IFS(HOUR(I800)&lt;12,"Morning",HOUR(I800)&lt;17,"Afternoon",TRUE,"Evening")</f>
        <v>Afternoon</v>
      </c>
      <c r="K800" t="s">
        <v>23</v>
      </c>
      <c r="L800" t="str">
        <f t="shared" si="36"/>
        <v>No Show</v>
      </c>
      <c r="M800">
        <f t="shared" si="37"/>
        <v>1</v>
      </c>
      <c r="N800" t="str">
        <f t="shared" si="38"/>
        <v>Tuesday</v>
      </c>
      <c r="O80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01" spans="1:15" x14ac:dyDescent="0.25">
      <c r="A801">
        <v>5799</v>
      </c>
      <c r="B801">
        <v>871</v>
      </c>
      <c r="C801">
        <v>1027</v>
      </c>
      <c r="D801" t="s">
        <v>27</v>
      </c>
      <c r="E801" s="1">
        <v>45619</v>
      </c>
      <c r="F801">
        <v>1827</v>
      </c>
      <c r="G801" t="s">
        <v>14</v>
      </c>
      <c r="H801" t="s">
        <v>19</v>
      </c>
      <c r="I801" t="s">
        <v>1915</v>
      </c>
      <c r="J801" t="str" cm="1">
        <f t="array" ref="J801">_xlfn.IFS(HOUR(I801)&lt;12,"Morning",HOUR(I801)&lt;17,"Afternoon",TRUE,"Evening")</f>
        <v>Afternoon</v>
      </c>
      <c r="K801" t="s">
        <v>12</v>
      </c>
      <c r="L801" t="str">
        <f t="shared" si="36"/>
        <v>Attended</v>
      </c>
      <c r="M801">
        <f t="shared" si="37"/>
        <v>0</v>
      </c>
      <c r="N801" t="str">
        <f t="shared" si="38"/>
        <v>Saturday</v>
      </c>
      <c r="O80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02" spans="1:15" x14ac:dyDescent="0.25">
      <c r="A802">
        <v>5800</v>
      </c>
      <c r="B802">
        <v>1567</v>
      </c>
      <c r="C802">
        <v>1027</v>
      </c>
      <c r="D802" t="s">
        <v>24</v>
      </c>
      <c r="E802" s="1">
        <v>45507</v>
      </c>
      <c r="F802">
        <v>2260</v>
      </c>
      <c r="G802" t="s">
        <v>14</v>
      </c>
      <c r="H802" t="s">
        <v>15</v>
      </c>
      <c r="I802" t="s">
        <v>1904</v>
      </c>
      <c r="J802" t="str" cm="1">
        <f t="array" ref="J802">_xlfn.IFS(HOUR(I802)&lt;12,"Morning",HOUR(I802)&lt;17,"Afternoon",TRUE,"Evening")</f>
        <v>Evening</v>
      </c>
      <c r="K802" t="s">
        <v>12</v>
      </c>
      <c r="L802" t="str">
        <f t="shared" si="36"/>
        <v>Attended</v>
      </c>
      <c r="M802">
        <f t="shared" si="37"/>
        <v>0</v>
      </c>
      <c r="N802" t="str">
        <f t="shared" si="38"/>
        <v>Saturday</v>
      </c>
      <c r="O80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03" spans="1:15" x14ac:dyDescent="0.25">
      <c r="A803">
        <v>5801</v>
      </c>
      <c r="B803">
        <v>356</v>
      </c>
      <c r="C803">
        <v>1027</v>
      </c>
      <c r="D803" t="s">
        <v>27</v>
      </c>
      <c r="E803" s="1">
        <v>45682</v>
      </c>
      <c r="F803">
        <v>1721</v>
      </c>
      <c r="G803" t="s">
        <v>10</v>
      </c>
      <c r="H803" t="s">
        <v>11</v>
      </c>
      <c r="I803" t="s">
        <v>1905</v>
      </c>
      <c r="J803" t="str" cm="1">
        <f t="array" ref="J803">_xlfn.IFS(HOUR(I803)&lt;12,"Morning",HOUR(I803)&lt;17,"Afternoon",TRUE,"Evening")</f>
        <v>Morning</v>
      </c>
      <c r="K803" t="s">
        <v>28</v>
      </c>
      <c r="L803" t="str">
        <f t="shared" si="36"/>
        <v>No Show</v>
      </c>
      <c r="M803">
        <f t="shared" si="37"/>
        <v>1</v>
      </c>
      <c r="N803" t="str">
        <f t="shared" si="38"/>
        <v>Saturday</v>
      </c>
      <c r="O80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04" spans="1:15" x14ac:dyDescent="0.25">
      <c r="A804">
        <v>5802</v>
      </c>
      <c r="B804">
        <v>1259</v>
      </c>
      <c r="C804">
        <v>1027</v>
      </c>
      <c r="D804" t="s">
        <v>22</v>
      </c>
      <c r="E804" s="1">
        <v>45600</v>
      </c>
      <c r="F804">
        <v>2458</v>
      </c>
      <c r="G804" t="s">
        <v>17</v>
      </c>
      <c r="H804" t="s">
        <v>15</v>
      </c>
      <c r="I804" t="s">
        <v>1906</v>
      </c>
      <c r="J804" t="str" cm="1">
        <f t="array" ref="J804">_xlfn.IFS(HOUR(I804)&lt;12,"Morning",HOUR(I804)&lt;17,"Afternoon",TRUE,"Evening")</f>
        <v>Afternoon</v>
      </c>
      <c r="K804" t="s">
        <v>12</v>
      </c>
      <c r="L804" t="str">
        <f t="shared" si="36"/>
        <v>Attended</v>
      </c>
      <c r="M804">
        <f t="shared" si="37"/>
        <v>0</v>
      </c>
      <c r="N804" t="str">
        <f t="shared" si="38"/>
        <v>Monday</v>
      </c>
      <c r="O80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05" spans="1:15" x14ac:dyDescent="0.25">
      <c r="A805">
        <v>5803</v>
      </c>
      <c r="B805">
        <v>1113</v>
      </c>
      <c r="C805">
        <v>1027</v>
      </c>
      <c r="D805" t="s">
        <v>24</v>
      </c>
      <c r="E805" s="1">
        <v>45700</v>
      </c>
      <c r="F805">
        <v>1161</v>
      </c>
      <c r="G805" t="s">
        <v>17</v>
      </c>
      <c r="H805" t="s">
        <v>11</v>
      </c>
      <c r="I805" t="s">
        <v>1907</v>
      </c>
      <c r="J805" t="str" cm="1">
        <f t="array" ref="J805">_xlfn.IFS(HOUR(I805)&lt;12,"Morning",HOUR(I805)&lt;17,"Afternoon",TRUE,"Evening")</f>
        <v>Afternoon</v>
      </c>
      <c r="K805" t="s">
        <v>12</v>
      </c>
      <c r="L805" t="str">
        <f t="shared" si="36"/>
        <v>Attended</v>
      </c>
      <c r="M805">
        <f t="shared" si="37"/>
        <v>0</v>
      </c>
      <c r="N805" t="str">
        <f t="shared" si="38"/>
        <v>Wednesday</v>
      </c>
      <c r="O80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06" spans="1:15" x14ac:dyDescent="0.25">
      <c r="A806">
        <v>5804</v>
      </c>
      <c r="B806">
        <v>1283</v>
      </c>
      <c r="C806">
        <v>1027</v>
      </c>
      <c r="D806" t="s">
        <v>21</v>
      </c>
      <c r="E806" s="1">
        <v>45698</v>
      </c>
      <c r="F806">
        <v>2245</v>
      </c>
      <c r="G806" t="s">
        <v>17</v>
      </c>
      <c r="H806" t="s">
        <v>15</v>
      </c>
      <c r="I806" t="s">
        <v>1908</v>
      </c>
      <c r="J806" t="str" cm="1">
        <f t="array" ref="J806">_xlfn.IFS(HOUR(I806)&lt;12,"Morning",HOUR(I806)&lt;17,"Afternoon",TRUE,"Evening")</f>
        <v>Morning</v>
      </c>
      <c r="K806" t="s">
        <v>12</v>
      </c>
      <c r="L806" t="str">
        <f t="shared" si="36"/>
        <v>Attended</v>
      </c>
      <c r="M806">
        <f t="shared" si="37"/>
        <v>0</v>
      </c>
      <c r="N806" t="str">
        <f t="shared" si="38"/>
        <v>Monday</v>
      </c>
      <c r="O80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07" spans="1:15" x14ac:dyDescent="0.25">
      <c r="A807">
        <v>5805</v>
      </c>
      <c r="B807">
        <v>561</v>
      </c>
      <c r="C807">
        <v>1024</v>
      </c>
      <c r="D807" t="s">
        <v>16</v>
      </c>
      <c r="E807" s="1">
        <v>45493</v>
      </c>
      <c r="F807">
        <v>2231</v>
      </c>
      <c r="G807" t="s">
        <v>17</v>
      </c>
      <c r="H807" t="s">
        <v>15</v>
      </c>
      <c r="I807" t="s">
        <v>1909</v>
      </c>
      <c r="J807" t="str" cm="1">
        <f t="array" ref="J807">_xlfn.IFS(HOUR(I807)&lt;12,"Morning",HOUR(I807)&lt;17,"Afternoon",TRUE,"Evening")</f>
        <v>Afternoon</v>
      </c>
      <c r="K807" t="s">
        <v>12</v>
      </c>
      <c r="L807" t="str">
        <f t="shared" si="36"/>
        <v>Attended</v>
      </c>
      <c r="M807">
        <f t="shared" si="37"/>
        <v>0</v>
      </c>
      <c r="N807" t="str">
        <f t="shared" si="38"/>
        <v>Saturday</v>
      </c>
      <c r="O80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08" spans="1:15" x14ac:dyDescent="0.25">
      <c r="A808">
        <v>5806</v>
      </c>
      <c r="B808">
        <v>1193</v>
      </c>
      <c r="C808">
        <v>1027</v>
      </c>
      <c r="D808" t="s">
        <v>24</v>
      </c>
      <c r="E808" s="1">
        <v>45575</v>
      </c>
      <c r="F808">
        <v>1341</v>
      </c>
      <c r="G808" t="s">
        <v>25</v>
      </c>
      <c r="H808" t="s">
        <v>11</v>
      </c>
      <c r="I808" t="s">
        <v>1910</v>
      </c>
      <c r="J808" t="str" cm="1">
        <f t="array" ref="J808">_xlfn.IFS(HOUR(I808)&lt;12,"Morning",HOUR(I808)&lt;17,"Afternoon",TRUE,"Evening")</f>
        <v>Evening</v>
      </c>
      <c r="K808" t="s">
        <v>12</v>
      </c>
      <c r="L808" t="str">
        <f t="shared" si="36"/>
        <v>Attended</v>
      </c>
      <c r="M808">
        <f t="shared" si="37"/>
        <v>0</v>
      </c>
      <c r="N808" t="str">
        <f t="shared" si="38"/>
        <v>Thursday</v>
      </c>
      <c r="O80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09" spans="1:15" x14ac:dyDescent="0.25">
      <c r="A809">
        <v>5807</v>
      </c>
      <c r="B809">
        <v>1221</v>
      </c>
      <c r="C809">
        <v>1020</v>
      </c>
      <c r="D809" t="s">
        <v>26</v>
      </c>
      <c r="E809" s="1">
        <v>45739</v>
      </c>
      <c r="F809">
        <v>2437</v>
      </c>
      <c r="G809" t="s">
        <v>17</v>
      </c>
      <c r="H809" t="s">
        <v>19</v>
      </c>
      <c r="I809" t="s">
        <v>1911</v>
      </c>
      <c r="J809" t="str" cm="1">
        <f t="array" ref="J809">_xlfn.IFS(HOUR(I809)&lt;12,"Morning",HOUR(I809)&lt;17,"Afternoon",TRUE,"Evening")</f>
        <v>Morning</v>
      </c>
      <c r="K809" t="s">
        <v>12</v>
      </c>
      <c r="L809" t="str">
        <f t="shared" si="36"/>
        <v>Attended</v>
      </c>
      <c r="M809">
        <f t="shared" si="37"/>
        <v>0</v>
      </c>
      <c r="N809" t="str">
        <f t="shared" si="38"/>
        <v>Sunday</v>
      </c>
      <c r="O80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10" spans="1:15" x14ac:dyDescent="0.25">
      <c r="A810">
        <v>5808</v>
      </c>
      <c r="B810">
        <v>279</v>
      </c>
      <c r="C810">
        <v>1027</v>
      </c>
      <c r="D810" t="s">
        <v>27</v>
      </c>
      <c r="E810" s="1">
        <v>45516</v>
      </c>
      <c r="F810">
        <v>1024</v>
      </c>
      <c r="G810" t="s">
        <v>25</v>
      </c>
      <c r="H810" t="s">
        <v>11</v>
      </c>
      <c r="I810" t="s">
        <v>1912</v>
      </c>
      <c r="J810" t="str" cm="1">
        <f t="array" ref="J810">_xlfn.IFS(HOUR(I810)&lt;12,"Morning",HOUR(I810)&lt;17,"Afternoon",TRUE,"Evening")</f>
        <v>Morning</v>
      </c>
      <c r="K810" t="s">
        <v>20</v>
      </c>
      <c r="L810" t="str">
        <f t="shared" si="36"/>
        <v>No Show</v>
      </c>
      <c r="M810">
        <f t="shared" si="37"/>
        <v>1</v>
      </c>
      <c r="N810" t="str">
        <f t="shared" si="38"/>
        <v>Monday</v>
      </c>
      <c r="O81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1" spans="1:15" x14ac:dyDescent="0.25">
      <c r="A811">
        <v>5809</v>
      </c>
      <c r="B811">
        <v>943</v>
      </c>
      <c r="C811">
        <v>1027</v>
      </c>
      <c r="D811" t="s">
        <v>24</v>
      </c>
      <c r="E811" s="1">
        <v>45561</v>
      </c>
      <c r="F811">
        <v>1257</v>
      </c>
      <c r="G811" t="s">
        <v>17</v>
      </c>
      <c r="H811" t="s">
        <v>11</v>
      </c>
      <c r="I811" t="s">
        <v>1913</v>
      </c>
      <c r="J811" t="str" cm="1">
        <f t="array" ref="J811">_xlfn.IFS(HOUR(I811)&lt;12,"Morning",HOUR(I811)&lt;17,"Afternoon",TRUE,"Evening")</f>
        <v>Morning</v>
      </c>
      <c r="K811" t="s">
        <v>12</v>
      </c>
      <c r="L811" t="str">
        <f t="shared" si="36"/>
        <v>Attended</v>
      </c>
      <c r="M811">
        <f t="shared" si="37"/>
        <v>0</v>
      </c>
      <c r="N811" t="str">
        <f t="shared" si="38"/>
        <v>Thursday</v>
      </c>
      <c r="O81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2" spans="1:15" x14ac:dyDescent="0.25">
      <c r="A812">
        <v>5810</v>
      </c>
      <c r="B812">
        <v>1526</v>
      </c>
      <c r="C812">
        <v>1027</v>
      </c>
      <c r="D812" t="s">
        <v>22</v>
      </c>
      <c r="E812" s="1">
        <v>45691</v>
      </c>
      <c r="F812">
        <v>2402</v>
      </c>
      <c r="G812" t="s">
        <v>10</v>
      </c>
      <c r="H812" t="s">
        <v>11</v>
      </c>
      <c r="I812" t="s">
        <v>1914</v>
      </c>
      <c r="J812" t="str" cm="1">
        <f t="array" ref="J812">_xlfn.IFS(HOUR(I812)&lt;12,"Morning",HOUR(I812)&lt;17,"Afternoon",TRUE,"Evening")</f>
        <v>Afternoon</v>
      </c>
      <c r="K812" t="s">
        <v>28</v>
      </c>
      <c r="L812" t="str">
        <f t="shared" si="36"/>
        <v>No Show</v>
      </c>
      <c r="M812">
        <f t="shared" si="37"/>
        <v>1</v>
      </c>
      <c r="N812" t="str">
        <f t="shared" si="38"/>
        <v>Monday</v>
      </c>
      <c r="O8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3" spans="1:15" x14ac:dyDescent="0.25">
      <c r="A813">
        <v>5811</v>
      </c>
      <c r="B813">
        <v>1499</v>
      </c>
      <c r="C813">
        <v>1020</v>
      </c>
      <c r="D813" t="s">
        <v>26</v>
      </c>
      <c r="E813" s="1">
        <v>45656</v>
      </c>
      <c r="F813">
        <v>818</v>
      </c>
      <c r="G813" t="s">
        <v>17</v>
      </c>
      <c r="H813" t="s">
        <v>15</v>
      </c>
      <c r="I813" t="s">
        <v>1904</v>
      </c>
      <c r="J813" t="str" cm="1">
        <f t="array" ref="J813">_xlfn.IFS(HOUR(I813)&lt;12,"Morning",HOUR(I813)&lt;17,"Afternoon",TRUE,"Evening")</f>
        <v>Evening</v>
      </c>
      <c r="K813" t="s">
        <v>12</v>
      </c>
      <c r="L813" t="str">
        <f t="shared" si="36"/>
        <v>Attended</v>
      </c>
      <c r="M813">
        <f t="shared" si="37"/>
        <v>0</v>
      </c>
      <c r="N813" t="str">
        <f t="shared" si="38"/>
        <v>Monday</v>
      </c>
      <c r="O8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4" spans="1:15" x14ac:dyDescent="0.25">
      <c r="A814">
        <v>5812</v>
      </c>
      <c r="B814">
        <v>1441</v>
      </c>
      <c r="C814">
        <v>1024</v>
      </c>
      <c r="D814" t="s">
        <v>16</v>
      </c>
      <c r="E814" s="1">
        <v>45587</v>
      </c>
      <c r="F814">
        <v>917</v>
      </c>
      <c r="G814" t="s">
        <v>10</v>
      </c>
      <c r="H814" t="s">
        <v>15</v>
      </c>
      <c r="I814" t="s">
        <v>1915</v>
      </c>
      <c r="J814" t="str" cm="1">
        <f t="array" ref="J814">_xlfn.IFS(HOUR(I814)&lt;12,"Morning",HOUR(I814)&lt;17,"Afternoon",TRUE,"Evening")</f>
        <v>Afternoon</v>
      </c>
      <c r="K814" t="s">
        <v>12</v>
      </c>
      <c r="L814" t="str">
        <f t="shared" si="36"/>
        <v>Attended</v>
      </c>
      <c r="M814">
        <f t="shared" si="37"/>
        <v>0</v>
      </c>
      <c r="N814" t="str">
        <f t="shared" si="38"/>
        <v>Tuesday</v>
      </c>
      <c r="O81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5" spans="1:15" x14ac:dyDescent="0.25">
      <c r="A815">
        <v>5813</v>
      </c>
      <c r="B815">
        <v>1226</v>
      </c>
      <c r="C815">
        <v>1004</v>
      </c>
      <c r="D815" t="s">
        <v>18</v>
      </c>
      <c r="E815" s="1">
        <v>45679</v>
      </c>
      <c r="F815">
        <v>900</v>
      </c>
      <c r="G815" t="s">
        <v>10</v>
      </c>
      <c r="H815" t="s">
        <v>19</v>
      </c>
      <c r="I815" t="s">
        <v>1907</v>
      </c>
      <c r="J815" t="str" cm="1">
        <f t="array" ref="J815">_xlfn.IFS(HOUR(I815)&lt;12,"Morning",HOUR(I815)&lt;17,"Afternoon",TRUE,"Evening")</f>
        <v>Afternoon</v>
      </c>
      <c r="K815" t="s">
        <v>12</v>
      </c>
      <c r="L815" t="str">
        <f t="shared" si="36"/>
        <v>Attended</v>
      </c>
      <c r="M815">
        <f t="shared" si="37"/>
        <v>0</v>
      </c>
      <c r="N815" t="str">
        <f t="shared" si="38"/>
        <v>Wednesday</v>
      </c>
      <c r="O81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6" spans="1:15" x14ac:dyDescent="0.25">
      <c r="A816">
        <v>5814</v>
      </c>
      <c r="B816">
        <v>849</v>
      </c>
      <c r="C816">
        <v>1009</v>
      </c>
      <c r="D816" t="s">
        <v>13</v>
      </c>
      <c r="E816" s="1">
        <v>45588</v>
      </c>
      <c r="F816">
        <v>1795</v>
      </c>
      <c r="G816" t="s">
        <v>17</v>
      </c>
      <c r="H816" t="s">
        <v>11</v>
      </c>
      <c r="I816" t="s">
        <v>1916</v>
      </c>
      <c r="J816" t="str" cm="1">
        <f t="array" ref="J816">_xlfn.IFS(HOUR(I816)&lt;12,"Morning",HOUR(I816)&lt;17,"Afternoon",TRUE,"Evening")</f>
        <v>Afternoon</v>
      </c>
      <c r="K816" t="s">
        <v>12</v>
      </c>
      <c r="L816" t="str">
        <f t="shared" si="36"/>
        <v>Attended</v>
      </c>
      <c r="M816">
        <f t="shared" si="37"/>
        <v>0</v>
      </c>
      <c r="N816" t="str">
        <f t="shared" si="38"/>
        <v>Wednesday</v>
      </c>
      <c r="O81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7" spans="1:15" x14ac:dyDescent="0.25">
      <c r="A817">
        <v>5815</v>
      </c>
      <c r="B817">
        <v>906</v>
      </c>
      <c r="C817">
        <v>1027</v>
      </c>
      <c r="D817" t="s">
        <v>9</v>
      </c>
      <c r="E817" s="1">
        <v>45773</v>
      </c>
      <c r="F817">
        <v>1165</v>
      </c>
      <c r="G817" t="s">
        <v>25</v>
      </c>
      <c r="H817" t="s">
        <v>11</v>
      </c>
      <c r="I817" t="s">
        <v>1917</v>
      </c>
      <c r="J817" t="str" cm="1">
        <f t="array" ref="J817">_xlfn.IFS(HOUR(I817)&lt;12,"Morning",HOUR(I817)&lt;17,"Afternoon",TRUE,"Evening")</f>
        <v>Afternoon</v>
      </c>
      <c r="K817" t="s">
        <v>12</v>
      </c>
      <c r="L817" t="str">
        <f t="shared" si="36"/>
        <v>Attended</v>
      </c>
      <c r="M817">
        <f t="shared" si="37"/>
        <v>0</v>
      </c>
      <c r="N817" t="str">
        <f t="shared" si="38"/>
        <v>Saturday</v>
      </c>
      <c r="O81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18" spans="1:15" x14ac:dyDescent="0.25">
      <c r="A818">
        <v>5816</v>
      </c>
      <c r="B818">
        <v>1135</v>
      </c>
      <c r="C818">
        <v>1008</v>
      </c>
      <c r="D818" t="s">
        <v>13</v>
      </c>
      <c r="E818" s="1">
        <v>45779</v>
      </c>
      <c r="F818">
        <v>2397</v>
      </c>
      <c r="G818" t="s">
        <v>25</v>
      </c>
      <c r="H818" t="s">
        <v>11</v>
      </c>
      <c r="I818" t="s">
        <v>1918</v>
      </c>
      <c r="J818" t="str" cm="1">
        <f t="array" ref="J818">_xlfn.IFS(HOUR(I818)&lt;12,"Morning",HOUR(I818)&lt;17,"Afternoon",TRUE,"Evening")</f>
        <v>Evening</v>
      </c>
      <c r="K818" t="s">
        <v>28</v>
      </c>
      <c r="L818" t="str">
        <f t="shared" si="36"/>
        <v>No Show</v>
      </c>
      <c r="M818">
        <f t="shared" si="37"/>
        <v>1</v>
      </c>
      <c r="N818" t="str">
        <f t="shared" si="38"/>
        <v>Friday</v>
      </c>
      <c r="O81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19" spans="1:15" x14ac:dyDescent="0.25">
      <c r="A819">
        <v>5817</v>
      </c>
      <c r="B819">
        <v>152</v>
      </c>
      <c r="C819">
        <v>1008</v>
      </c>
      <c r="D819" t="s">
        <v>13</v>
      </c>
      <c r="E819" s="1">
        <v>45509</v>
      </c>
      <c r="F819">
        <v>1313</v>
      </c>
      <c r="G819" t="s">
        <v>25</v>
      </c>
      <c r="H819" t="s">
        <v>15</v>
      </c>
      <c r="I819" t="s">
        <v>1919</v>
      </c>
      <c r="J819" t="str" cm="1">
        <f t="array" ref="J819">_xlfn.IFS(HOUR(I819)&lt;12,"Morning",HOUR(I819)&lt;17,"Afternoon",TRUE,"Evening")</f>
        <v>Evening</v>
      </c>
      <c r="K819" t="s">
        <v>12</v>
      </c>
      <c r="L819" t="str">
        <f t="shared" si="36"/>
        <v>Attended</v>
      </c>
      <c r="M819">
        <f t="shared" si="37"/>
        <v>0</v>
      </c>
      <c r="N819" t="str">
        <f t="shared" si="38"/>
        <v>Monday</v>
      </c>
      <c r="O81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20" spans="1:15" x14ac:dyDescent="0.25">
      <c r="A820">
        <v>5818</v>
      </c>
      <c r="B820">
        <v>957</v>
      </c>
      <c r="C820">
        <v>1027</v>
      </c>
      <c r="D820" t="s">
        <v>9</v>
      </c>
      <c r="E820" s="1">
        <v>45806</v>
      </c>
      <c r="F820">
        <v>1098</v>
      </c>
      <c r="G820" t="s">
        <v>17</v>
      </c>
      <c r="H820" t="s">
        <v>11</v>
      </c>
      <c r="I820" t="s">
        <v>1919</v>
      </c>
      <c r="J820" t="str" cm="1">
        <f t="array" ref="J820">_xlfn.IFS(HOUR(I820)&lt;12,"Morning",HOUR(I820)&lt;17,"Afternoon",TRUE,"Evening")</f>
        <v>Evening</v>
      </c>
      <c r="K820" t="s">
        <v>12</v>
      </c>
      <c r="L820" t="str">
        <f t="shared" si="36"/>
        <v>Attended</v>
      </c>
      <c r="M820">
        <f t="shared" si="37"/>
        <v>0</v>
      </c>
      <c r="N820" t="str">
        <f t="shared" si="38"/>
        <v>Thursday</v>
      </c>
      <c r="O82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21" spans="1:15" x14ac:dyDescent="0.25">
      <c r="A821">
        <v>5819</v>
      </c>
      <c r="B821">
        <v>853</v>
      </c>
      <c r="C821">
        <v>1027</v>
      </c>
      <c r="D821" t="s">
        <v>21</v>
      </c>
      <c r="E821" s="1">
        <v>45787</v>
      </c>
      <c r="F821">
        <v>1951</v>
      </c>
      <c r="G821" t="s">
        <v>17</v>
      </c>
      <c r="H821" t="s">
        <v>19</v>
      </c>
      <c r="I821" t="s">
        <v>1920</v>
      </c>
      <c r="J821" t="str" cm="1">
        <f t="array" ref="J821">_xlfn.IFS(HOUR(I821)&lt;12,"Morning",HOUR(I821)&lt;17,"Afternoon",TRUE,"Evening")</f>
        <v>Morning</v>
      </c>
      <c r="K821" t="s">
        <v>28</v>
      </c>
      <c r="L821" t="str">
        <f t="shared" si="36"/>
        <v>No Show</v>
      </c>
      <c r="M821">
        <f t="shared" si="37"/>
        <v>1</v>
      </c>
      <c r="N821" t="str">
        <f t="shared" si="38"/>
        <v>Saturday</v>
      </c>
      <c r="O82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22" spans="1:15" x14ac:dyDescent="0.25">
      <c r="A822">
        <v>5820</v>
      </c>
      <c r="B822">
        <v>597</v>
      </c>
      <c r="C822">
        <v>1020</v>
      </c>
      <c r="D822" t="s">
        <v>26</v>
      </c>
      <c r="E822" s="1">
        <v>45490</v>
      </c>
      <c r="F822">
        <v>1902</v>
      </c>
      <c r="G822" t="s">
        <v>25</v>
      </c>
      <c r="H822" t="s">
        <v>11</v>
      </c>
      <c r="I822" t="s">
        <v>1921</v>
      </c>
      <c r="J822" t="str" cm="1">
        <f t="array" ref="J822">_xlfn.IFS(HOUR(I822)&lt;12,"Morning",HOUR(I822)&lt;17,"Afternoon",TRUE,"Evening")</f>
        <v>Afternoon</v>
      </c>
      <c r="K822" t="s">
        <v>12</v>
      </c>
      <c r="L822" t="str">
        <f t="shared" si="36"/>
        <v>Attended</v>
      </c>
      <c r="M822">
        <f t="shared" si="37"/>
        <v>0</v>
      </c>
      <c r="N822" t="str">
        <f t="shared" si="38"/>
        <v>Wednesday</v>
      </c>
      <c r="O8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23" spans="1:15" x14ac:dyDescent="0.25">
      <c r="A823">
        <v>5821</v>
      </c>
      <c r="B823">
        <v>694</v>
      </c>
      <c r="C823">
        <v>1008</v>
      </c>
      <c r="D823" t="s">
        <v>13</v>
      </c>
      <c r="E823" s="1">
        <v>45486</v>
      </c>
      <c r="F823">
        <v>1138</v>
      </c>
      <c r="G823" t="s">
        <v>25</v>
      </c>
      <c r="H823" t="s">
        <v>15</v>
      </c>
      <c r="I823" t="s">
        <v>1921</v>
      </c>
      <c r="J823" t="str" cm="1">
        <f t="array" ref="J823">_xlfn.IFS(HOUR(I823)&lt;12,"Morning",HOUR(I823)&lt;17,"Afternoon",TRUE,"Evening")</f>
        <v>Afternoon</v>
      </c>
      <c r="K823" t="s">
        <v>12</v>
      </c>
      <c r="L823" t="str">
        <f t="shared" si="36"/>
        <v>Attended</v>
      </c>
      <c r="M823">
        <f t="shared" si="37"/>
        <v>0</v>
      </c>
      <c r="N823" t="str">
        <f t="shared" si="38"/>
        <v>Saturday</v>
      </c>
      <c r="O82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24" spans="1:15" x14ac:dyDescent="0.25">
      <c r="A824">
        <v>5822</v>
      </c>
      <c r="B824">
        <v>1446</v>
      </c>
      <c r="C824">
        <v>1027</v>
      </c>
      <c r="D824" t="s">
        <v>21</v>
      </c>
      <c r="E824" s="1">
        <v>45517</v>
      </c>
      <c r="F824">
        <v>2125</v>
      </c>
      <c r="G824" t="s">
        <v>17</v>
      </c>
      <c r="H824" t="s">
        <v>19</v>
      </c>
      <c r="I824" t="s">
        <v>1922</v>
      </c>
      <c r="J824" t="str" cm="1">
        <f t="array" ref="J824">_xlfn.IFS(HOUR(I824)&lt;12,"Morning",HOUR(I824)&lt;17,"Afternoon",TRUE,"Evening")</f>
        <v>Afternoon</v>
      </c>
      <c r="K824" t="s">
        <v>12</v>
      </c>
      <c r="L824" t="str">
        <f t="shared" si="36"/>
        <v>Attended</v>
      </c>
      <c r="M824">
        <f t="shared" si="37"/>
        <v>0</v>
      </c>
      <c r="N824" t="str">
        <f t="shared" si="38"/>
        <v>Tuesday</v>
      </c>
      <c r="O82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25" spans="1:15" x14ac:dyDescent="0.25">
      <c r="A825">
        <v>5823</v>
      </c>
      <c r="B825">
        <v>569</v>
      </c>
      <c r="C825">
        <v>1008</v>
      </c>
      <c r="D825" t="s">
        <v>13</v>
      </c>
      <c r="E825" s="1">
        <v>45505</v>
      </c>
      <c r="F825">
        <v>1930</v>
      </c>
      <c r="G825" t="s">
        <v>14</v>
      </c>
      <c r="H825" t="s">
        <v>15</v>
      </c>
      <c r="I825" t="s">
        <v>1922</v>
      </c>
      <c r="J825" t="str" cm="1">
        <f t="array" ref="J825">_xlfn.IFS(HOUR(I825)&lt;12,"Morning",HOUR(I825)&lt;17,"Afternoon",TRUE,"Evening")</f>
        <v>Afternoon</v>
      </c>
      <c r="K825" t="s">
        <v>12</v>
      </c>
      <c r="L825" t="str">
        <f t="shared" si="36"/>
        <v>Attended</v>
      </c>
      <c r="M825">
        <f t="shared" si="37"/>
        <v>0</v>
      </c>
      <c r="N825" t="str">
        <f t="shared" si="38"/>
        <v>Thursday</v>
      </c>
      <c r="O82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26" spans="1:15" x14ac:dyDescent="0.25">
      <c r="A826">
        <v>5824</v>
      </c>
      <c r="B826">
        <v>1586</v>
      </c>
      <c r="C826">
        <v>1027</v>
      </c>
      <c r="D826" t="s">
        <v>27</v>
      </c>
      <c r="E826" s="1">
        <v>45545</v>
      </c>
      <c r="F826">
        <v>1032</v>
      </c>
      <c r="G826" t="s">
        <v>14</v>
      </c>
      <c r="H826" t="s">
        <v>15</v>
      </c>
      <c r="I826" t="s">
        <v>1907</v>
      </c>
      <c r="J826" t="str" cm="1">
        <f t="array" ref="J826">_xlfn.IFS(HOUR(I826)&lt;12,"Morning",HOUR(I826)&lt;17,"Afternoon",TRUE,"Evening")</f>
        <v>Afternoon</v>
      </c>
      <c r="K826" t="s">
        <v>28</v>
      </c>
      <c r="L826" t="str">
        <f t="shared" si="36"/>
        <v>No Show</v>
      </c>
      <c r="M826">
        <f t="shared" si="37"/>
        <v>1</v>
      </c>
      <c r="N826" t="str">
        <f t="shared" si="38"/>
        <v>Tuesday</v>
      </c>
      <c r="O82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27" spans="1:15" x14ac:dyDescent="0.25">
      <c r="A827">
        <v>5825</v>
      </c>
      <c r="B827">
        <v>1559</v>
      </c>
      <c r="C827">
        <v>1001</v>
      </c>
      <c r="D827" t="s">
        <v>18</v>
      </c>
      <c r="E827" s="1">
        <v>45509</v>
      </c>
      <c r="F827">
        <v>1366</v>
      </c>
      <c r="G827" t="s">
        <v>25</v>
      </c>
      <c r="H827" t="s">
        <v>19</v>
      </c>
      <c r="I827" t="s">
        <v>1923</v>
      </c>
      <c r="J827" t="str" cm="1">
        <f t="array" ref="J827">_xlfn.IFS(HOUR(I827)&lt;12,"Morning",HOUR(I827)&lt;17,"Afternoon",TRUE,"Evening")</f>
        <v>Evening</v>
      </c>
      <c r="K827" t="s">
        <v>12</v>
      </c>
      <c r="L827" t="str">
        <f t="shared" si="36"/>
        <v>Attended</v>
      </c>
      <c r="M827">
        <f t="shared" si="37"/>
        <v>0</v>
      </c>
      <c r="N827" t="str">
        <f t="shared" si="38"/>
        <v>Monday</v>
      </c>
      <c r="O8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28" spans="1:15" x14ac:dyDescent="0.25">
      <c r="A828">
        <v>5826</v>
      </c>
      <c r="B828">
        <v>896</v>
      </c>
      <c r="C828">
        <v>1002</v>
      </c>
      <c r="D828" t="s">
        <v>18</v>
      </c>
      <c r="E828" s="1">
        <v>45647</v>
      </c>
      <c r="F828">
        <v>2059</v>
      </c>
      <c r="G828" t="s">
        <v>14</v>
      </c>
      <c r="H828" t="s">
        <v>19</v>
      </c>
      <c r="I828" t="s">
        <v>1924</v>
      </c>
      <c r="J828" t="str" cm="1">
        <f t="array" ref="J828">_xlfn.IFS(HOUR(I828)&lt;12,"Morning",HOUR(I828)&lt;17,"Afternoon",TRUE,"Evening")</f>
        <v>Afternoon</v>
      </c>
      <c r="K828" t="s">
        <v>12</v>
      </c>
      <c r="L828" t="str">
        <f t="shared" si="36"/>
        <v>Attended</v>
      </c>
      <c r="M828">
        <f t="shared" si="37"/>
        <v>0</v>
      </c>
      <c r="N828" t="str">
        <f t="shared" si="38"/>
        <v>Saturday</v>
      </c>
      <c r="O82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29" spans="1:15" x14ac:dyDescent="0.25">
      <c r="A829">
        <v>5827</v>
      </c>
      <c r="B829">
        <v>1098</v>
      </c>
      <c r="C829">
        <v>1002</v>
      </c>
      <c r="D829" t="s">
        <v>18</v>
      </c>
      <c r="E829" s="1">
        <v>45757</v>
      </c>
      <c r="F829">
        <v>972</v>
      </c>
      <c r="G829" t="s">
        <v>25</v>
      </c>
      <c r="H829" t="s">
        <v>19</v>
      </c>
      <c r="I829" t="s">
        <v>1914</v>
      </c>
      <c r="J829" t="str" cm="1">
        <f t="array" ref="J829">_xlfn.IFS(HOUR(I829)&lt;12,"Morning",HOUR(I829)&lt;17,"Afternoon",TRUE,"Evening")</f>
        <v>Afternoon</v>
      </c>
      <c r="K829" t="s">
        <v>12</v>
      </c>
      <c r="L829" t="str">
        <f t="shared" si="36"/>
        <v>Attended</v>
      </c>
      <c r="M829">
        <f t="shared" si="37"/>
        <v>0</v>
      </c>
      <c r="N829" t="str">
        <f t="shared" si="38"/>
        <v>Thursday</v>
      </c>
      <c r="O82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0" spans="1:15" x14ac:dyDescent="0.25">
      <c r="A830">
        <v>5828</v>
      </c>
      <c r="B830">
        <v>728</v>
      </c>
      <c r="C830">
        <v>1027</v>
      </c>
      <c r="D830" t="s">
        <v>9</v>
      </c>
      <c r="E830" s="1">
        <v>45480</v>
      </c>
      <c r="F830">
        <v>1898</v>
      </c>
      <c r="G830" t="s">
        <v>25</v>
      </c>
      <c r="H830" t="s">
        <v>19</v>
      </c>
      <c r="I830" t="s">
        <v>1925</v>
      </c>
      <c r="J830" t="str" cm="1">
        <f t="array" ref="J830">_xlfn.IFS(HOUR(I830)&lt;12,"Morning",HOUR(I830)&lt;17,"Afternoon",TRUE,"Evening")</f>
        <v>Afternoon</v>
      </c>
      <c r="K830" t="s">
        <v>12</v>
      </c>
      <c r="L830" t="str">
        <f t="shared" si="36"/>
        <v>Attended</v>
      </c>
      <c r="M830">
        <f t="shared" si="37"/>
        <v>0</v>
      </c>
      <c r="N830" t="str">
        <f t="shared" si="38"/>
        <v>Sunday</v>
      </c>
      <c r="O83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31" spans="1:15" x14ac:dyDescent="0.25">
      <c r="A831">
        <v>5829</v>
      </c>
      <c r="B831">
        <v>422</v>
      </c>
      <c r="C831">
        <v>1027</v>
      </c>
      <c r="D831" t="s">
        <v>24</v>
      </c>
      <c r="E831" s="1">
        <v>45559</v>
      </c>
      <c r="F831">
        <v>1989</v>
      </c>
      <c r="G831" t="s">
        <v>14</v>
      </c>
      <c r="H831" t="s">
        <v>11</v>
      </c>
      <c r="I831" t="s">
        <v>1926</v>
      </c>
      <c r="J831" t="str" cm="1">
        <f t="array" ref="J831">_xlfn.IFS(HOUR(I831)&lt;12,"Morning",HOUR(I831)&lt;17,"Afternoon",TRUE,"Evening")</f>
        <v>Afternoon</v>
      </c>
      <c r="K831" t="s">
        <v>12</v>
      </c>
      <c r="L831" t="str">
        <f t="shared" si="36"/>
        <v>Attended</v>
      </c>
      <c r="M831">
        <f t="shared" si="37"/>
        <v>0</v>
      </c>
      <c r="N831" t="str">
        <f t="shared" si="38"/>
        <v>Tuesday</v>
      </c>
      <c r="O83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2" spans="1:15" x14ac:dyDescent="0.25">
      <c r="A832">
        <v>5830</v>
      </c>
      <c r="B832">
        <v>1592</v>
      </c>
      <c r="C832">
        <v>1027</v>
      </c>
      <c r="D832" t="s">
        <v>21</v>
      </c>
      <c r="E832" s="1">
        <v>45557</v>
      </c>
      <c r="F832">
        <v>1426</v>
      </c>
      <c r="G832" t="s">
        <v>10</v>
      </c>
      <c r="H832" t="s">
        <v>15</v>
      </c>
      <c r="I832" t="s">
        <v>1927</v>
      </c>
      <c r="J832" t="str" cm="1">
        <f t="array" ref="J832">_xlfn.IFS(HOUR(I832)&lt;12,"Morning",HOUR(I832)&lt;17,"Afternoon",TRUE,"Evening")</f>
        <v>Afternoon</v>
      </c>
      <c r="K832" t="s">
        <v>12</v>
      </c>
      <c r="L832" t="str">
        <f t="shared" si="36"/>
        <v>Attended</v>
      </c>
      <c r="M832">
        <f t="shared" si="37"/>
        <v>0</v>
      </c>
      <c r="N832" t="str">
        <f t="shared" si="38"/>
        <v>Sunday</v>
      </c>
      <c r="O83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33" spans="1:15" x14ac:dyDescent="0.25">
      <c r="A833">
        <v>5831</v>
      </c>
      <c r="B833">
        <v>674</v>
      </c>
      <c r="C833">
        <v>1027</v>
      </c>
      <c r="D833" t="s">
        <v>24</v>
      </c>
      <c r="E833" s="1">
        <v>45498</v>
      </c>
      <c r="F833">
        <v>1920</v>
      </c>
      <c r="G833" t="s">
        <v>14</v>
      </c>
      <c r="H833" t="s">
        <v>19</v>
      </c>
      <c r="I833" t="s">
        <v>1909</v>
      </c>
      <c r="J833" t="str" cm="1">
        <f t="array" ref="J833">_xlfn.IFS(HOUR(I833)&lt;12,"Morning",HOUR(I833)&lt;17,"Afternoon",TRUE,"Evening")</f>
        <v>Afternoon</v>
      </c>
      <c r="K833" t="s">
        <v>28</v>
      </c>
      <c r="L833" t="str">
        <f t="shared" si="36"/>
        <v>No Show</v>
      </c>
      <c r="M833">
        <f t="shared" si="37"/>
        <v>1</v>
      </c>
      <c r="N833" t="str">
        <f t="shared" si="38"/>
        <v>Thursday</v>
      </c>
      <c r="O83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4" spans="1:15" x14ac:dyDescent="0.25">
      <c r="A834">
        <v>5832</v>
      </c>
      <c r="B834">
        <v>1266</v>
      </c>
      <c r="C834">
        <v>1024</v>
      </c>
      <c r="D834" t="s">
        <v>16</v>
      </c>
      <c r="E834" s="1">
        <v>45595</v>
      </c>
      <c r="F834">
        <v>2073</v>
      </c>
      <c r="G834" t="s">
        <v>25</v>
      </c>
      <c r="H834" t="s">
        <v>15</v>
      </c>
      <c r="I834" t="s">
        <v>1925</v>
      </c>
      <c r="J834" t="str" cm="1">
        <f t="array" ref="J834">_xlfn.IFS(HOUR(I834)&lt;12,"Morning",HOUR(I834)&lt;17,"Afternoon",TRUE,"Evening")</f>
        <v>Afternoon</v>
      </c>
      <c r="K834" t="s">
        <v>12</v>
      </c>
      <c r="L834" t="str">
        <f t="shared" si="36"/>
        <v>Attended</v>
      </c>
      <c r="M834">
        <f t="shared" si="37"/>
        <v>0</v>
      </c>
      <c r="N834" t="str">
        <f t="shared" si="38"/>
        <v>Wednesday</v>
      </c>
      <c r="O83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5" spans="1:15" x14ac:dyDescent="0.25">
      <c r="A835">
        <v>5833</v>
      </c>
      <c r="B835">
        <v>611</v>
      </c>
      <c r="C835">
        <v>1027</v>
      </c>
      <c r="D835" t="s">
        <v>24</v>
      </c>
      <c r="E835" s="1">
        <v>45636</v>
      </c>
      <c r="F835">
        <v>1159</v>
      </c>
      <c r="G835" t="s">
        <v>25</v>
      </c>
      <c r="H835" t="s">
        <v>11</v>
      </c>
      <c r="I835" t="s">
        <v>1928</v>
      </c>
      <c r="J835" t="str" cm="1">
        <f t="array" ref="J835">_xlfn.IFS(HOUR(I835)&lt;12,"Morning",HOUR(I835)&lt;17,"Afternoon",TRUE,"Evening")</f>
        <v>Morning</v>
      </c>
      <c r="K835" t="s">
        <v>12</v>
      </c>
      <c r="L835" t="str">
        <f t="shared" ref="L835:L898" si="39">IF(K835="completed","Attended","No Show")</f>
        <v>Attended</v>
      </c>
      <c r="M835">
        <f t="shared" ref="M835:M898" si="40">IF(L835="No Show",1,0)</f>
        <v>0</v>
      </c>
      <c r="N835" t="str">
        <f t="shared" ref="N835:N898" si="41">TEXT(E835,"dddd")</f>
        <v>Tuesday</v>
      </c>
      <c r="O8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6" spans="1:15" x14ac:dyDescent="0.25">
      <c r="A836">
        <v>5834</v>
      </c>
      <c r="B836">
        <v>1192</v>
      </c>
      <c r="C836">
        <v>1027</v>
      </c>
      <c r="D836" t="s">
        <v>24</v>
      </c>
      <c r="E836" s="1">
        <v>45827</v>
      </c>
      <c r="F836">
        <v>1123</v>
      </c>
      <c r="G836" t="s">
        <v>10</v>
      </c>
      <c r="H836" t="s">
        <v>19</v>
      </c>
      <c r="I836" t="s">
        <v>1913</v>
      </c>
      <c r="J836" t="str" cm="1">
        <f t="array" ref="J836">_xlfn.IFS(HOUR(I836)&lt;12,"Morning",HOUR(I836)&lt;17,"Afternoon",TRUE,"Evening")</f>
        <v>Morning</v>
      </c>
      <c r="K836" t="s">
        <v>23</v>
      </c>
      <c r="L836" t="str">
        <f t="shared" si="39"/>
        <v>No Show</v>
      </c>
      <c r="M836">
        <f t="shared" si="40"/>
        <v>1</v>
      </c>
      <c r="N836" t="str">
        <f t="shared" si="41"/>
        <v>Thursday</v>
      </c>
      <c r="O83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7" spans="1:15" x14ac:dyDescent="0.25">
      <c r="A837">
        <v>5835</v>
      </c>
      <c r="B837">
        <v>1056</v>
      </c>
      <c r="C837">
        <v>1020</v>
      </c>
      <c r="D837" t="s">
        <v>26</v>
      </c>
      <c r="E837" s="1">
        <v>45610</v>
      </c>
      <c r="F837">
        <v>1802</v>
      </c>
      <c r="G837" t="s">
        <v>10</v>
      </c>
      <c r="H837" t="s">
        <v>19</v>
      </c>
      <c r="I837" t="s">
        <v>1921</v>
      </c>
      <c r="J837" t="str" cm="1">
        <f t="array" ref="J837">_xlfn.IFS(HOUR(I837)&lt;12,"Morning",HOUR(I837)&lt;17,"Afternoon",TRUE,"Evening")</f>
        <v>Afternoon</v>
      </c>
      <c r="K837" t="s">
        <v>28</v>
      </c>
      <c r="L837" t="str">
        <f t="shared" si="39"/>
        <v>No Show</v>
      </c>
      <c r="M837">
        <f t="shared" si="40"/>
        <v>1</v>
      </c>
      <c r="N837" t="str">
        <f t="shared" si="41"/>
        <v>Thursday</v>
      </c>
      <c r="O83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8" spans="1:15" x14ac:dyDescent="0.25">
      <c r="A838">
        <v>5836</v>
      </c>
      <c r="B838">
        <v>279</v>
      </c>
      <c r="C838">
        <v>1009</v>
      </c>
      <c r="D838" t="s">
        <v>13</v>
      </c>
      <c r="E838" s="1">
        <v>45565</v>
      </c>
      <c r="F838">
        <v>1909</v>
      </c>
      <c r="G838" t="s">
        <v>17</v>
      </c>
      <c r="H838" t="s">
        <v>11</v>
      </c>
      <c r="I838" t="s">
        <v>1929</v>
      </c>
      <c r="J838" t="str" cm="1">
        <f t="array" ref="J838">_xlfn.IFS(HOUR(I838)&lt;12,"Morning",HOUR(I838)&lt;17,"Afternoon",TRUE,"Evening")</f>
        <v>Afternoon</v>
      </c>
      <c r="K838" t="s">
        <v>12</v>
      </c>
      <c r="L838" t="str">
        <f t="shared" si="39"/>
        <v>Attended</v>
      </c>
      <c r="M838">
        <f t="shared" si="40"/>
        <v>0</v>
      </c>
      <c r="N838" t="str">
        <f t="shared" si="41"/>
        <v>Monday</v>
      </c>
      <c r="O83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39" spans="1:15" x14ac:dyDescent="0.25">
      <c r="A839">
        <v>5837</v>
      </c>
      <c r="B839">
        <v>1123</v>
      </c>
      <c r="C839">
        <v>1027</v>
      </c>
      <c r="D839" t="s">
        <v>21</v>
      </c>
      <c r="E839" s="1">
        <v>45679</v>
      </c>
      <c r="F839">
        <v>1902</v>
      </c>
      <c r="G839" t="s">
        <v>14</v>
      </c>
      <c r="H839" t="s">
        <v>15</v>
      </c>
      <c r="I839" t="s">
        <v>1920</v>
      </c>
      <c r="J839" t="str" cm="1">
        <f t="array" ref="J839">_xlfn.IFS(HOUR(I839)&lt;12,"Morning",HOUR(I839)&lt;17,"Afternoon",TRUE,"Evening")</f>
        <v>Morning</v>
      </c>
      <c r="K839" t="s">
        <v>12</v>
      </c>
      <c r="L839" t="str">
        <f t="shared" si="39"/>
        <v>Attended</v>
      </c>
      <c r="M839">
        <f t="shared" si="40"/>
        <v>0</v>
      </c>
      <c r="N839" t="str">
        <f t="shared" si="41"/>
        <v>Wednesday</v>
      </c>
      <c r="O83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40" spans="1:15" x14ac:dyDescent="0.25">
      <c r="A840">
        <v>5838</v>
      </c>
      <c r="B840">
        <v>1125</v>
      </c>
      <c r="C840">
        <v>1024</v>
      </c>
      <c r="D840" t="s">
        <v>16</v>
      </c>
      <c r="E840" s="1">
        <v>45690</v>
      </c>
      <c r="F840">
        <v>2268</v>
      </c>
      <c r="G840" t="s">
        <v>17</v>
      </c>
      <c r="H840" t="s">
        <v>19</v>
      </c>
      <c r="I840" t="s">
        <v>1930</v>
      </c>
      <c r="J840" t="str" cm="1">
        <f t="array" ref="J840">_xlfn.IFS(HOUR(I840)&lt;12,"Morning",HOUR(I840)&lt;17,"Afternoon",TRUE,"Evening")</f>
        <v>Morning</v>
      </c>
      <c r="K840" t="s">
        <v>12</v>
      </c>
      <c r="L840" t="str">
        <f t="shared" si="39"/>
        <v>Attended</v>
      </c>
      <c r="M840">
        <f t="shared" si="40"/>
        <v>0</v>
      </c>
      <c r="N840" t="str">
        <f t="shared" si="41"/>
        <v>Sunday</v>
      </c>
      <c r="O84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41" spans="1:15" x14ac:dyDescent="0.25">
      <c r="A841">
        <v>5839</v>
      </c>
      <c r="B841">
        <v>497</v>
      </c>
      <c r="C841">
        <v>1027</v>
      </c>
      <c r="D841" t="s">
        <v>21</v>
      </c>
      <c r="E841" s="1">
        <v>45747</v>
      </c>
      <c r="F841">
        <v>1362</v>
      </c>
      <c r="G841" t="s">
        <v>14</v>
      </c>
      <c r="H841" t="s">
        <v>15</v>
      </c>
      <c r="I841" t="s">
        <v>1918</v>
      </c>
      <c r="J841" t="str" cm="1">
        <f t="array" ref="J841">_xlfn.IFS(HOUR(I841)&lt;12,"Morning",HOUR(I841)&lt;17,"Afternoon",TRUE,"Evening")</f>
        <v>Evening</v>
      </c>
      <c r="K841" t="s">
        <v>12</v>
      </c>
      <c r="L841" t="str">
        <f t="shared" si="39"/>
        <v>Attended</v>
      </c>
      <c r="M841">
        <f t="shared" si="40"/>
        <v>0</v>
      </c>
      <c r="N841" t="str">
        <f t="shared" si="41"/>
        <v>Monday</v>
      </c>
      <c r="O84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42" spans="1:15" x14ac:dyDescent="0.25">
      <c r="A842">
        <v>5840</v>
      </c>
      <c r="B842">
        <v>754</v>
      </c>
      <c r="C842">
        <v>1027</v>
      </c>
      <c r="D842" t="s">
        <v>21</v>
      </c>
      <c r="E842" s="1">
        <v>45738</v>
      </c>
      <c r="F842">
        <v>2238</v>
      </c>
      <c r="G842" t="s">
        <v>25</v>
      </c>
      <c r="H842" t="s">
        <v>11</v>
      </c>
      <c r="I842" t="s">
        <v>1920</v>
      </c>
      <c r="J842" t="str" cm="1">
        <f t="array" ref="J842">_xlfn.IFS(HOUR(I842)&lt;12,"Morning",HOUR(I842)&lt;17,"Afternoon",TRUE,"Evening")</f>
        <v>Morning</v>
      </c>
      <c r="K842" t="s">
        <v>12</v>
      </c>
      <c r="L842" t="str">
        <f t="shared" si="39"/>
        <v>Attended</v>
      </c>
      <c r="M842">
        <f t="shared" si="40"/>
        <v>0</v>
      </c>
      <c r="N842" t="str">
        <f t="shared" si="41"/>
        <v>Saturday</v>
      </c>
      <c r="O84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43" spans="1:15" x14ac:dyDescent="0.25">
      <c r="A843">
        <v>5841</v>
      </c>
      <c r="B843">
        <v>166</v>
      </c>
      <c r="C843">
        <v>1027</v>
      </c>
      <c r="D843" t="s">
        <v>24</v>
      </c>
      <c r="E843" s="1">
        <v>45641</v>
      </c>
      <c r="F843">
        <v>937</v>
      </c>
      <c r="G843" t="s">
        <v>10</v>
      </c>
      <c r="H843" t="s">
        <v>19</v>
      </c>
      <c r="I843" t="s">
        <v>1914</v>
      </c>
      <c r="J843" t="str" cm="1">
        <f t="array" ref="J843">_xlfn.IFS(HOUR(I843)&lt;12,"Morning",HOUR(I843)&lt;17,"Afternoon",TRUE,"Evening")</f>
        <v>Afternoon</v>
      </c>
      <c r="K843" t="s">
        <v>12</v>
      </c>
      <c r="L843" t="str">
        <f t="shared" si="39"/>
        <v>Attended</v>
      </c>
      <c r="M843">
        <f t="shared" si="40"/>
        <v>0</v>
      </c>
      <c r="N843" t="str">
        <f t="shared" si="41"/>
        <v>Sunday</v>
      </c>
      <c r="O84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44" spans="1:15" x14ac:dyDescent="0.25">
      <c r="A844">
        <v>5842</v>
      </c>
      <c r="B844">
        <v>806</v>
      </c>
      <c r="C844">
        <v>1027</v>
      </c>
      <c r="D844" t="s">
        <v>9</v>
      </c>
      <c r="E844" s="1">
        <v>45626</v>
      </c>
      <c r="F844">
        <v>1568</v>
      </c>
      <c r="G844" t="s">
        <v>10</v>
      </c>
      <c r="H844" t="s">
        <v>11</v>
      </c>
      <c r="I844" t="s">
        <v>1915</v>
      </c>
      <c r="J844" t="str" cm="1">
        <f t="array" ref="J844">_xlfn.IFS(HOUR(I844)&lt;12,"Morning",HOUR(I844)&lt;17,"Afternoon",TRUE,"Evening")</f>
        <v>Afternoon</v>
      </c>
      <c r="K844" t="s">
        <v>12</v>
      </c>
      <c r="L844" t="str">
        <f t="shared" si="39"/>
        <v>Attended</v>
      </c>
      <c r="M844">
        <f t="shared" si="40"/>
        <v>0</v>
      </c>
      <c r="N844" t="str">
        <f t="shared" si="41"/>
        <v>Saturday</v>
      </c>
      <c r="O84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45" spans="1:15" x14ac:dyDescent="0.25">
      <c r="A845">
        <v>5843</v>
      </c>
      <c r="B845">
        <v>101</v>
      </c>
      <c r="C845">
        <v>1027</v>
      </c>
      <c r="D845" t="s">
        <v>27</v>
      </c>
      <c r="E845" s="1">
        <v>45571</v>
      </c>
      <c r="F845">
        <v>800</v>
      </c>
      <c r="G845" t="s">
        <v>25</v>
      </c>
      <c r="H845" t="s">
        <v>15</v>
      </c>
      <c r="I845" t="s">
        <v>1928</v>
      </c>
      <c r="J845" t="str" cm="1">
        <f t="array" ref="J845">_xlfn.IFS(HOUR(I845)&lt;12,"Morning",HOUR(I845)&lt;17,"Afternoon",TRUE,"Evening")</f>
        <v>Morning</v>
      </c>
      <c r="K845" t="s">
        <v>20</v>
      </c>
      <c r="L845" t="str">
        <f t="shared" si="39"/>
        <v>No Show</v>
      </c>
      <c r="M845">
        <f t="shared" si="40"/>
        <v>1</v>
      </c>
      <c r="N845" t="str">
        <f t="shared" si="41"/>
        <v>Sunday</v>
      </c>
      <c r="O84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46" spans="1:15" x14ac:dyDescent="0.25">
      <c r="A846">
        <v>5844</v>
      </c>
      <c r="B846">
        <v>667</v>
      </c>
      <c r="C846">
        <v>1020</v>
      </c>
      <c r="D846" t="s">
        <v>26</v>
      </c>
      <c r="E846" s="1">
        <v>45589</v>
      </c>
      <c r="F846">
        <v>1231</v>
      </c>
      <c r="G846" t="s">
        <v>14</v>
      </c>
      <c r="H846" t="s">
        <v>19</v>
      </c>
      <c r="I846" t="s">
        <v>1931</v>
      </c>
      <c r="J846" t="str" cm="1">
        <f t="array" ref="J846">_xlfn.IFS(HOUR(I846)&lt;12,"Morning",HOUR(I846)&lt;17,"Afternoon",TRUE,"Evening")</f>
        <v>Afternoon</v>
      </c>
      <c r="K846" t="s">
        <v>12</v>
      </c>
      <c r="L846" t="str">
        <f t="shared" si="39"/>
        <v>Attended</v>
      </c>
      <c r="M846">
        <f t="shared" si="40"/>
        <v>0</v>
      </c>
      <c r="N846" t="str">
        <f t="shared" si="41"/>
        <v>Thursday</v>
      </c>
      <c r="O84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47" spans="1:15" x14ac:dyDescent="0.25">
      <c r="A847">
        <v>5845</v>
      </c>
      <c r="B847">
        <v>430</v>
      </c>
      <c r="C847">
        <v>1027</v>
      </c>
      <c r="D847" t="s">
        <v>21</v>
      </c>
      <c r="E847" s="1">
        <v>45631</v>
      </c>
      <c r="F847">
        <v>1785</v>
      </c>
      <c r="G847" t="s">
        <v>10</v>
      </c>
      <c r="H847" t="s">
        <v>15</v>
      </c>
      <c r="I847" t="s">
        <v>1932</v>
      </c>
      <c r="J847" t="str" cm="1">
        <f t="array" ref="J847">_xlfn.IFS(HOUR(I847)&lt;12,"Morning",HOUR(I847)&lt;17,"Afternoon",TRUE,"Evening")</f>
        <v>Evening</v>
      </c>
      <c r="K847" t="s">
        <v>12</v>
      </c>
      <c r="L847" t="str">
        <f t="shared" si="39"/>
        <v>Attended</v>
      </c>
      <c r="M847">
        <f t="shared" si="40"/>
        <v>0</v>
      </c>
      <c r="N847" t="str">
        <f t="shared" si="41"/>
        <v>Thursday</v>
      </c>
      <c r="O84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48" spans="1:15" x14ac:dyDescent="0.25">
      <c r="A848">
        <v>5846</v>
      </c>
      <c r="B848">
        <v>1496</v>
      </c>
      <c r="C848">
        <v>1024</v>
      </c>
      <c r="D848" t="s">
        <v>16</v>
      </c>
      <c r="E848" s="1">
        <v>45667</v>
      </c>
      <c r="F848">
        <v>2098</v>
      </c>
      <c r="G848" t="s">
        <v>25</v>
      </c>
      <c r="H848" t="s">
        <v>15</v>
      </c>
      <c r="I848" t="s">
        <v>1915</v>
      </c>
      <c r="J848" t="str" cm="1">
        <f t="array" ref="J848">_xlfn.IFS(HOUR(I848)&lt;12,"Morning",HOUR(I848)&lt;17,"Afternoon",TRUE,"Evening")</f>
        <v>Afternoon</v>
      </c>
      <c r="K848" t="s">
        <v>12</v>
      </c>
      <c r="L848" t="str">
        <f t="shared" si="39"/>
        <v>Attended</v>
      </c>
      <c r="M848">
        <f t="shared" si="40"/>
        <v>0</v>
      </c>
      <c r="N848" t="str">
        <f t="shared" si="41"/>
        <v>Friday</v>
      </c>
      <c r="O8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49" spans="1:15" x14ac:dyDescent="0.25">
      <c r="A849">
        <v>5847</v>
      </c>
      <c r="B849">
        <v>918</v>
      </c>
      <c r="C849">
        <v>1001</v>
      </c>
      <c r="D849" t="s">
        <v>22</v>
      </c>
      <c r="E849" s="1">
        <v>45635</v>
      </c>
      <c r="F849">
        <v>2060</v>
      </c>
      <c r="G849" t="s">
        <v>25</v>
      </c>
      <c r="H849" t="s">
        <v>15</v>
      </c>
      <c r="I849" t="s">
        <v>1933</v>
      </c>
      <c r="J849" t="str" cm="1">
        <f t="array" ref="J849">_xlfn.IFS(HOUR(I849)&lt;12,"Morning",HOUR(I849)&lt;17,"Afternoon",TRUE,"Evening")</f>
        <v>Evening</v>
      </c>
      <c r="K849" t="s">
        <v>12</v>
      </c>
      <c r="L849" t="str">
        <f t="shared" si="39"/>
        <v>Attended</v>
      </c>
      <c r="M849">
        <f t="shared" si="40"/>
        <v>0</v>
      </c>
      <c r="N849" t="str">
        <f t="shared" si="41"/>
        <v>Monday</v>
      </c>
      <c r="O84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50" spans="1:15" x14ac:dyDescent="0.25">
      <c r="A850">
        <v>5848</v>
      </c>
      <c r="B850">
        <v>1530</v>
      </c>
      <c r="C850">
        <v>1027</v>
      </c>
      <c r="D850" t="s">
        <v>27</v>
      </c>
      <c r="E850" s="1">
        <v>45695</v>
      </c>
      <c r="F850">
        <v>1335</v>
      </c>
      <c r="G850" t="s">
        <v>17</v>
      </c>
      <c r="H850" t="s">
        <v>11</v>
      </c>
      <c r="I850" t="s">
        <v>1934</v>
      </c>
      <c r="J850" t="str" cm="1">
        <f t="array" ref="J850">_xlfn.IFS(HOUR(I850)&lt;12,"Morning",HOUR(I850)&lt;17,"Afternoon",TRUE,"Evening")</f>
        <v>Afternoon</v>
      </c>
      <c r="K850" t="s">
        <v>12</v>
      </c>
      <c r="L850" t="str">
        <f t="shared" si="39"/>
        <v>Attended</v>
      </c>
      <c r="M850">
        <f t="shared" si="40"/>
        <v>0</v>
      </c>
      <c r="N850" t="str">
        <f t="shared" si="41"/>
        <v>Friday</v>
      </c>
      <c r="O8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51" spans="1:15" x14ac:dyDescent="0.25">
      <c r="A851">
        <v>5849</v>
      </c>
      <c r="B851">
        <v>720</v>
      </c>
      <c r="C851">
        <v>1009</v>
      </c>
      <c r="D851" t="s">
        <v>13</v>
      </c>
      <c r="E851" s="1">
        <v>45836</v>
      </c>
      <c r="F851">
        <v>1884</v>
      </c>
      <c r="G851" t="s">
        <v>25</v>
      </c>
      <c r="H851" t="s">
        <v>19</v>
      </c>
      <c r="I851" t="s">
        <v>1935</v>
      </c>
      <c r="J851" t="str" cm="1">
        <f t="array" ref="J851">_xlfn.IFS(HOUR(I851)&lt;12,"Morning",HOUR(I851)&lt;17,"Afternoon",TRUE,"Evening")</f>
        <v>Afternoon</v>
      </c>
      <c r="K851" t="s">
        <v>23</v>
      </c>
      <c r="L851" t="str">
        <f t="shared" si="39"/>
        <v>No Show</v>
      </c>
      <c r="M851">
        <f t="shared" si="40"/>
        <v>1</v>
      </c>
      <c r="N851" t="str">
        <f t="shared" si="41"/>
        <v>Saturday</v>
      </c>
      <c r="O85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52" spans="1:15" x14ac:dyDescent="0.25">
      <c r="A852">
        <v>5850</v>
      </c>
      <c r="B852">
        <v>544</v>
      </c>
      <c r="C852">
        <v>1027</v>
      </c>
      <c r="D852" t="s">
        <v>24</v>
      </c>
      <c r="E852" s="1">
        <v>45823</v>
      </c>
      <c r="F852">
        <v>1054</v>
      </c>
      <c r="G852" t="s">
        <v>17</v>
      </c>
      <c r="H852" t="s">
        <v>19</v>
      </c>
      <c r="I852" t="s">
        <v>1926</v>
      </c>
      <c r="J852" t="str" cm="1">
        <f t="array" ref="J852">_xlfn.IFS(HOUR(I852)&lt;12,"Morning",HOUR(I852)&lt;17,"Afternoon",TRUE,"Evening")</f>
        <v>Afternoon</v>
      </c>
      <c r="K852" t="s">
        <v>23</v>
      </c>
      <c r="L852" t="str">
        <f t="shared" si="39"/>
        <v>No Show</v>
      </c>
      <c r="M852">
        <f t="shared" si="40"/>
        <v>1</v>
      </c>
      <c r="N852" t="str">
        <f t="shared" si="41"/>
        <v>Sunday</v>
      </c>
      <c r="O85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53" spans="1:15" x14ac:dyDescent="0.25">
      <c r="A853">
        <v>5851</v>
      </c>
      <c r="B853">
        <v>269</v>
      </c>
      <c r="C853">
        <v>1024</v>
      </c>
      <c r="D853" t="s">
        <v>16</v>
      </c>
      <c r="E853" s="1">
        <v>45711</v>
      </c>
      <c r="F853">
        <v>913</v>
      </c>
      <c r="G853" t="s">
        <v>10</v>
      </c>
      <c r="H853" t="s">
        <v>15</v>
      </c>
      <c r="I853" t="s">
        <v>1911</v>
      </c>
      <c r="J853" t="str" cm="1">
        <f t="array" ref="J853">_xlfn.IFS(HOUR(I853)&lt;12,"Morning",HOUR(I853)&lt;17,"Afternoon",TRUE,"Evening")</f>
        <v>Morning</v>
      </c>
      <c r="K853" t="s">
        <v>12</v>
      </c>
      <c r="L853" t="str">
        <f t="shared" si="39"/>
        <v>Attended</v>
      </c>
      <c r="M853">
        <f t="shared" si="40"/>
        <v>0</v>
      </c>
      <c r="N853" t="str">
        <f t="shared" si="41"/>
        <v>Sunday</v>
      </c>
      <c r="O85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54" spans="1:15" x14ac:dyDescent="0.25">
      <c r="A854">
        <v>5852</v>
      </c>
      <c r="B854">
        <v>1062</v>
      </c>
      <c r="C854">
        <v>1008</v>
      </c>
      <c r="D854" t="s">
        <v>13</v>
      </c>
      <c r="E854" s="1">
        <v>45526</v>
      </c>
      <c r="F854">
        <v>2410</v>
      </c>
      <c r="G854" t="s">
        <v>17</v>
      </c>
      <c r="H854" t="s">
        <v>15</v>
      </c>
      <c r="I854" t="s">
        <v>1936</v>
      </c>
      <c r="J854" t="str" cm="1">
        <f t="array" ref="J854">_xlfn.IFS(HOUR(I854)&lt;12,"Morning",HOUR(I854)&lt;17,"Afternoon",TRUE,"Evening")</f>
        <v>Morning</v>
      </c>
      <c r="K854" t="s">
        <v>12</v>
      </c>
      <c r="L854" t="str">
        <f t="shared" si="39"/>
        <v>Attended</v>
      </c>
      <c r="M854">
        <f t="shared" si="40"/>
        <v>0</v>
      </c>
      <c r="N854" t="str">
        <f t="shared" si="41"/>
        <v>Thursday</v>
      </c>
      <c r="O85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55" spans="1:15" x14ac:dyDescent="0.25">
      <c r="A855">
        <v>5853</v>
      </c>
      <c r="B855">
        <v>349</v>
      </c>
      <c r="C855">
        <v>1027</v>
      </c>
      <c r="D855" t="s">
        <v>9</v>
      </c>
      <c r="E855" s="1">
        <v>45680</v>
      </c>
      <c r="F855">
        <v>1415</v>
      </c>
      <c r="G855" t="s">
        <v>25</v>
      </c>
      <c r="H855" t="s">
        <v>11</v>
      </c>
      <c r="I855" t="s">
        <v>1937</v>
      </c>
      <c r="J855" t="str" cm="1">
        <f t="array" ref="J855">_xlfn.IFS(HOUR(I855)&lt;12,"Morning",HOUR(I855)&lt;17,"Afternoon",TRUE,"Evening")</f>
        <v>Morning</v>
      </c>
      <c r="K855" t="s">
        <v>12</v>
      </c>
      <c r="L855" t="str">
        <f t="shared" si="39"/>
        <v>Attended</v>
      </c>
      <c r="M855">
        <f t="shared" si="40"/>
        <v>0</v>
      </c>
      <c r="N855" t="str">
        <f t="shared" si="41"/>
        <v>Thursday</v>
      </c>
      <c r="O85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56" spans="1:15" x14ac:dyDescent="0.25">
      <c r="A856">
        <v>5854</v>
      </c>
      <c r="B856">
        <v>1540</v>
      </c>
      <c r="C856">
        <v>1027</v>
      </c>
      <c r="D856" t="s">
        <v>9</v>
      </c>
      <c r="E856" s="1">
        <v>45636</v>
      </c>
      <c r="F856">
        <v>2274</v>
      </c>
      <c r="G856" t="s">
        <v>25</v>
      </c>
      <c r="H856" t="s">
        <v>19</v>
      </c>
      <c r="I856" t="s">
        <v>1936</v>
      </c>
      <c r="J856" t="str" cm="1">
        <f t="array" ref="J856">_xlfn.IFS(HOUR(I856)&lt;12,"Morning",HOUR(I856)&lt;17,"Afternoon",TRUE,"Evening")</f>
        <v>Morning</v>
      </c>
      <c r="K856" t="s">
        <v>12</v>
      </c>
      <c r="L856" t="str">
        <f t="shared" si="39"/>
        <v>Attended</v>
      </c>
      <c r="M856">
        <f t="shared" si="40"/>
        <v>0</v>
      </c>
      <c r="N856" t="str">
        <f t="shared" si="41"/>
        <v>Tuesday</v>
      </c>
      <c r="O8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57" spans="1:15" x14ac:dyDescent="0.25">
      <c r="A857">
        <v>5855</v>
      </c>
      <c r="B857">
        <v>1230</v>
      </c>
      <c r="C857">
        <v>1027</v>
      </c>
      <c r="D857" t="s">
        <v>24</v>
      </c>
      <c r="E857" s="1">
        <v>45580</v>
      </c>
      <c r="F857">
        <v>1124</v>
      </c>
      <c r="G857" t="s">
        <v>14</v>
      </c>
      <c r="H857" t="s">
        <v>15</v>
      </c>
      <c r="I857" t="s">
        <v>1923</v>
      </c>
      <c r="J857" t="str" cm="1">
        <f t="array" ref="J857">_xlfn.IFS(HOUR(I857)&lt;12,"Morning",HOUR(I857)&lt;17,"Afternoon",TRUE,"Evening")</f>
        <v>Evening</v>
      </c>
      <c r="K857" t="s">
        <v>12</v>
      </c>
      <c r="L857" t="str">
        <f t="shared" si="39"/>
        <v>Attended</v>
      </c>
      <c r="M857">
        <f t="shared" si="40"/>
        <v>0</v>
      </c>
      <c r="N857" t="str">
        <f t="shared" si="41"/>
        <v>Tuesday</v>
      </c>
      <c r="O85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58" spans="1:15" x14ac:dyDescent="0.25">
      <c r="A858">
        <v>5856</v>
      </c>
      <c r="B858">
        <v>1293</v>
      </c>
      <c r="C858">
        <v>1027</v>
      </c>
      <c r="D858" t="s">
        <v>27</v>
      </c>
      <c r="E858" s="1">
        <v>45823</v>
      </c>
      <c r="F858">
        <v>1527</v>
      </c>
      <c r="G858" t="s">
        <v>25</v>
      </c>
      <c r="H858" t="s">
        <v>11</v>
      </c>
      <c r="I858" t="s">
        <v>1934</v>
      </c>
      <c r="J858" t="str" cm="1">
        <f t="array" ref="J858">_xlfn.IFS(HOUR(I858)&lt;12,"Morning",HOUR(I858)&lt;17,"Afternoon",TRUE,"Evening")</f>
        <v>Afternoon</v>
      </c>
      <c r="K858" t="s">
        <v>23</v>
      </c>
      <c r="L858" t="str">
        <f t="shared" si="39"/>
        <v>No Show</v>
      </c>
      <c r="M858">
        <f t="shared" si="40"/>
        <v>1</v>
      </c>
      <c r="N858" t="str">
        <f t="shared" si="41"/>
        <v>Sunday</v>
      </c>
      <c r="O85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59" spans="1:15" x14ac:dyDescent="0.25">
      <c r="A859">
        <v>5857</v>
      </c>
      <c r="B859">
        <v>1446</v>
      </c>
      <c r="C859">
        <v>1027</v>
      </c>
      <c r="D859" t="s">
        <v>21</v>
      </c>
      <c r="E859" s="1">
        <v>45573</v>
      </c>
      <c r="F859">
        <v>960</v>
      </c>
      <c r="G859" t="s">
        <v>14</v>
      </c>
      <c r="H859" t="s">
        <v>19</v>
      </c>
      <c r="I859" t="s">
        <v>1925</v>
      </c>
      <c r="J859" t="str" cm="1">
        <f t="array" ref="J859">_xlfn.IFS(HOUR(I859)&lt;12,"Morning",HOUR(I859)&lt;17,"Afternoon",TRUE,"Evening")</f>
        <v>Afternoon</v>
      </c>
      <c r="K859" t="s">
        <v>12</v>
      </c>
      <c r="L859" t="str">
        <f t="shared" si="39"/>
        <v>Attended</v>
      </c>
      <c r="M859">
        <f t="shared" si="40"/>
        <v>0</v>
      </c>
      <c r="N859" t="str">
        <f t="shared" si="41"/>
        <v>Tuesday</v>
      </c>
      <c r="O85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60" spans="1:15" x14ac:dyDescent="0.25">
      <c r="A860">
        <v>5858</v>
      </c>
      <c r="B860">
        <v>1416</v>
      </c>
      <c r="C860">
        <v>1024</v>
      </c>
      <c r="D860" t="s">
        <v>16</v>
      </c>
      <c r="E860" s="1">
        <v>45811</v>
      </c>
      <c r="F860">
        <v>1255</v>
      </c>
      <c r="G860" t="s">
        <v>17</v>
      </c>
      <c r="H860" t="s">
        <v>15</v>
      </c>
      <c r="I860" t="s">
        <v>1905</v>
      </c>
      <c r="J860" t="str" cm="1">
        <f t="array" ref="J860">_xlfn.IFS(HOUR(I860)&lt;12,"Morning",HOUR(I860)&lt;17,"Afternoon",TRUE,"Evening")</f>
        <v>Morning</v>
      </c>
      <c r="K860" t="s">
        <v>23</v>
      </c>
      <c r="L860" t="str">
        <f t="shared" si="39"/>
        <v>No Show</v>
      </c>
      <c r="M860">
        <f t="shared" si="40"/>
        <v>1</v>
      </c>
      <c r="N860" t="str">
        <f t="shared" si="41"/>
        <v>Tuesday</v>
      </c>
      <c r="O86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61" spans="1:15" x14ac:dyDescent="0.25">
      <c r="A861">
        <v>5859</v>
      </c>
      <c r="B861">
        <v>785</v>
      </c>
      <c r="C861">
        <v>1027</v>
      </c>
      <c r="D861" t="s">
        <v>27</v>
      </c>
      <c r="E861" s="1">
        <v>45753</v>
      </c>
      <c r="F861">
        <v>1154</v>
      </c>
      <c r="G861" t="s">
        <v>10</v>
      </c>
      <c r="H861" t="s">
        <v>19</v>
      </c>
      <c r="I861" t="s">
        <v>1937</v>
      </c>
      <c r="J861" t="str" cm="1">
        <f t="array" ref="J861">_xlfn.IFS(HOUR(I861)&lt;12,"Morning",HOUR(I861)&lt;17,"Afternoon",TRUE,"Evening")</f>
        <v>Morning</v>
      </c>
      <c r="K861" t="s">
        <v>12</v>
      </c>
      <c r="L861" t="str">
        <f t="shared" si="39"/>
        <v>Attended</v>
      </c>
      <c r="M861">
        <f t="shared" si="40"/>
        <v>0</v>
      </c>
      <c r="N861" t="str">
        <f t="shared" si="41"/>
        <v>Sunday</v>
      </c>
      <c r="O86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62" spans="1:15" x14ac:dyDescent="0.25">
      <c r="A862">
        <v>5860</v>
      </c>
      <c r="B862">
        <v>479</v>
      </c>
      <c r="C862">
        <v>1004</v>
      </c>
      <c r="D862" t="s">
        <v>18</v>
      </c>
      <c r="E862" s="1">
        <v>45655</v>
      </c>
      <c r="F862">
        <v>2225</v>
      </c>
      <c r="G862" t="s">
        <v>17</v>
      </c>
      <c r="H862" t="s">
        <v>11</v>
      </c>
      <c r="I862" t="s">
        <v>1933</v>
      </c>
      <c r="J862" t="str" cm="1">
        <f t="array" ref="J862">_xlfn.IFS(HOUR(I862)&lt;12,"Morning",HOUR(I862)&lt;17,"Afternoon",TRUE,"Evening")</f>
        <v>Evening</v>
      </c>
      <c r="K862" t="s">
        <v>12</v>
      </c>
      <c r="L862" t="str">
        <f t="shared" si="39"/>
        <v>Attended</v>
      </c>
      <c r="M862">
        <f t="shared" si="40"/>
        <v>0</v>
      </c>
      <c r="N862" t="str">
        <f t="shared" si="41"/>
        <v>Sunday</v>
      </c>
      <c r="O86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63" spans="1:15" x14ac:dyDescent="0.25">
      <c r="A863">
        <v>5861</v>
      </c>
      <c r="B863">
        <v>1458</v>
      </c>
      <c r="C863">
        <v>1004</v>
      </c>
      <c r="D863" t="s">
        <v>18</v>
      </c>
      <c r="E863" s="1">
        <v>45520</v>
      </c>
      <c r="F863">
        <v>2004</v>
      </c>
      <c r="G863" t="s">
        <v>14</v>
      </c>
      <c r="H863" t="s">
        <v>11</v>
      </c>
      <c r="I863" t="s">
        <v>1922</v>
      </c>
      <c r="J863" t="str" cm="1">
        <f t="array" ref="J863">_xlfn.IFS(HOUR(I863)&lt;12,"Morning",HOUR(I863)&lt;17,"Afternoon",TRUE,"Evening")</f>
        <v>Afternoon</v>
      </c>
      <c r="K863" t="s">
        <v>12</v>
      </c>
      <c r="L863" t="str">
        <f t="shared" si="39"/>
        <v>Attended</v>
      </c>
      <c r="M863">
        <f t="shared" si="40"/>
        <v>0</v>
      </c>
      <c r="N863" t="str">
        <f t="shared" si="41"/>
        <v>Friday</v>
      </c>
      <c r="O86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64" spans="1:15" x14ac:dyDescent="0.25">
      <c r="A864">
        <v>5862</v>
      </c>
      <c r="B864">
        <v>803</v>
      </c>
      <c r="C864">
        <v>1027</v>
      </c>
      <c r="D864" t="s">
        <v>9</v>
      </c>
      <c r="E864" s="1">
        <v>45752</v>
      </c>
      <c r="F864">
        <v>1031</v>
      </c>
      <c r="G864" t="s">
        <v>17</v>
      </c>
      <c r="H864" t="s">
        <v>19</v>
      </c>
      <c r="I864" t="s">
        <v>1933</v>
      </c>
      <c r="J864" t="str" cm="1">
        <f t="array" ref="J864">_xlfn.IFS(HOUR(I864)&lt;12,"Morning",HOUR(I864)&lt;17,"Afternoon",TRUE,"Evening")</f>
        <v>Evening</v>
      </c>
      <c r="K864" t="s">
        <v>12</v>
      </c>
      <c r="L864" t="str">
        <f t="shared" si="39"/>
        <v>Attended</v>
      </c>
      <c r="M864">
        <f t="shared" si="40"/>
        <v>0</v>
      </c>
      <c r="N864" t="str">
        <f t="shared" si="41"/>
        <v>Saturday</v>
      </c>
      <c r="O86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65" spans="1:15" x14ac:dyDescent="0.25">
      <c r="A865">
        <v>5863</v>
      </c>
      <c r="B865">
        <v>1468</v>
      </c>
      <c r="C865">
        <v>1020</v>
      </c>
      <c r="D865" t="s">
        <v>26</v>
      </c>
      <c r="E865" s="1">
        <v>45480</v>
      </c>
      <c r="F865">
        <v>1142</v>
      </c>
      <c r="G865" t="s">
        <v>10</v>
      </c>
      <c r="H865" t="s">
        <v>15</v>
      </c>
      <c r="I865" t="s">
        <v>1914</v>
      </c>
      <c r="J865" t="str" cm="1">
        <f t="array" ref="J865">_xlfn.IFS(HOUR(I865)&lt;12,"Morning",HOUR(I865)&lt;17,"Afternoon",TRUE,"Evening")</f>
        <v>Afternoon</v>
      </c>
      <c r="K865" t="s">
        <v>12</v>
      </c>
      <c r="L865" t="str">
        <f t="shared" si="39"/>
        <v>Attended</v>
      </c>
      <c r="M865">
        <f t="shared" si="40"/>
        <v>0</v>
      </c>
      <c r="N865" t="str">
        <f t="shared" si="41"/>
        <v>Sunday</v>
      </c>
      <c r="O86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66" spans="1:15" x14ac:dyDescent="0.25">
      <c r="A866">
        <v>5864</v>
      </c>
      <c r="B866">
        <v>207</v>
      </c>
      <c r="C866">
        <v>1009</v>
      </c>
      <c r="D866" t="s">
        <v>13</v>
      </c>
      <c r="E866" s="1">
        <v>45574</v>
      </c>
      <c r="F866">
        <v>1841</v>
      </c>
      <c r="G866" t="s">
        <v>14</v>
      </c>
      <c r="H866" t="s">
        <v>11</v>
      </c>
      <c r="I866" t="s">
        <v>1916</v>
      </c>
      <c r="J866" t="str" cm="1">
        <f t="array" ref="J866">_xlfn.IFS(HOUR(I866)&lt;12,"Morning",HOUR(I866)&lt;17,"Afternoon",TRUE,"Evening")</f>
        <v>Afternoon</v>
      </c>
      <c r="K866" t="s">
        <v>12</v>
      </c>
      <c r="L866" t="str">
        <f t="shared" si="39"/>
        <v>Attended</v>
      </c>
      <c r="M866">
        <f t="shared" si="40"/>
        <v>0</v>
      </c>
      <c r="N866" t="str">
        <f t="shared" si="41"/>
        <v>Wednesday</v>
      </c>
      <c r="O86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67" spans="1:15" x14ac:dyDescent="0.25">
      <c r="A867">
        <v>5865</v>
      </c>
      <c r="B867">
        <v>330</v>
      </c>
      <c r="C867">
        <v>1027</v>
      </c>
      <c r="D867" t="s">
        <v>9</v>
      </c>
      <c r="E867" s="1">
        <v>45585</v>
      </c>
      <c r="F867">
        <v>1321</v>
      </c>
      <c r="G867" t="s">
        <v>17</v>
      </c>
      <c r="H867" t="s">
        <v>15</v>
      </c>
      <c r="I867" t="s">
        <v>1928</v>
      </c>
      <c r="J867" t="str" cm="1">
        <f t="array" ref="J867">_xlfn.IFS(HOUR(I867)&lt;12,"Morning",HOUR(I867)&lt;17,"Afternoon",TRUE,"Evening")</f>
        <v>Morning</v>
      </c>
      <c r="K867" t="s">
        <v>28</v>
      </c>
      <c r="L867" t="str">
        <f t="shared" si="39"/>
        <v>No Show</v>
      </c>
      <c r="M867">
        <f t="shared" si="40"/>
        <v>1</v>
      </c>
      <c r="N867" t="str">
        <f t="shared" si="41"/>
        <v>Sunday</v>
      </c>
      <c r="O86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68" spans="1:15" x14ac:dyDescent="0.25">
      <c r="A868">
        <v>5866</v>
      </c>
      <c r="B868">
        <v>456</v>
      </c>
      <c r="C868">
        <v>1027</v>
      </c>
      <c r="D868" t="s">
        <v>24</v>
      </c>
      <c r="E868" s="1">
        <v>45537</v>
      </c>
      <c r="F868">
        <v>1021</v>
      </c>
      <c r="G868" t="s">
        <v>10</v>
      </c>
      <c r="H868" t="s">
        <v>19</v>
      </c>
      <c r="I868" t="s">
        <v>1938</v>
      </c>
      <c r="J868" t="str" cm="1">
        <f t="array" ref="J868">_xlfn.IFS(HOUR(I868)&lt;12,"Morning",HOUR(I868)&lt;17,"Afternoon",TRUE,"Evening")</f>
        <v>Afternoon</v>
      </c>
      <c r="K868" t="s">
        <v>12</v>
      </c>
      <c r="L868" t="str">
        <f t="shared" si="39"/>
        <v>Attended</v>
      </c>
      <c r="M868">
        <f t="shared" si="40"/>
        <v>0</v>
      </c>
      <c r="N868" t="str">
        <f t="shared" si="41"/>
        <v>Monday</v>
      </c>
      <c r="O86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69" spans="1:15" x14ac:dyDescent="0.25">
      <c r="A869">
        <v>5867</v>
      </c>
      <c r="B869">
        <v>1430</v>
      </c>
      <c r="C869">
        <v>1024</v>
      </c>
      <c r="D869" t="s">
        <v>16</v>
      </c>
      <c r="E869" s="1">
        <v>45607</v>
      </c>
      <c r="F869">
        <v>1653</v>
      </c>
      <c r="G869" t="s">
        <v>25</v>
      </c>
      <c r="H869" t="s">
        <v>19</v>
      </c>
      <c r="I869" t="s">
        <v>1930</v>
      </c>
      <c r="J869" t="str" cm="1">
        <f t="array" ref="J869">_xlfn.IFS(HOUR(I869)&lt;12,"Morning",HOUR(I869)&lt;17,"Afternoon",TRUE,"Evening")</f>
        <v>Morning</v>
      </c>
      <c r="K869" t="s">
        <v>12</v>
      </c>
      <c r="L869" t="str">
        <f t="shared" si="39"/>
        <v>Attended</v>
      </c>
      <c r="M869">
        <f t="shared" si="40"/>
        <v>0</v>
      </c>
      <c r="N869" t="str">
        <f t="shared" si="41"/>
        <v>Monday</v>
      </c>
      <c r="O86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0" spans="1:15" x14ac:dyDescent="0.25">
      <c r="A870">
        <v>5868</v>
      </c>
      <c r="B870">
        <v>1420</v>
      </c>
      <c r="C870">
        <v>1020</v>
      </c>
      <c r="D870" t="s">
        <v>26</v>
      </c>
      <c r="E870" s="1">
        <v>45688</v>
      </c>
      <c r="F870">
        <v>1444</v>
      </c>
      <c r="G870" t="s">
        <v>25</v>
      </c>
      <c r="H870" t="s">
        <v>11</v>
      </c>
      <c r="I870" t="s">
        <v>1939</v>
      </c>
      <c r="J870" t="str" cm="1">
        <f t="array" ref="J870">_xlfn.IFS(HOUR(I870)&lt;12,"Morning",HOUR(I870)&lt;17,"Afternoon",TRUE,"Evening")</f>
        <v>Afternoon</v>
      </c>
      <c r="K870" t="s">
        <v>12</v>
      </c>
      <c r="L870" t="str">
        <f t="shared" si="39"/>
        <v>Attended</v>
      </c>
      <c r="M870">
        <f t="shared" si="40"/>
        <v>0</v>
      </c>
      <c r="N870" t="str">
        <f t="shared" si="41"/>
        <v>Friday</v>
      </c>
      <c r="O87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1" spans="1:15" x14ac:dyDescent="0.25">
      <c r="A871">
        <v>5869</v>
      </c>
      <c r="B871">
        <v>585</v>
      </c>
      <c r="C871">
        <v>1024</v>
      </c>
      <c r="D871" t="s">
        <v>16</v>
      </c>
      <c r="E871" s="1">
        <v>45724</v>
      </c>
      <c r="F871">
        <v>2209</v>
      </c>
      <c r="G871" t="s">
        <v>14</v>
      </c>
      <c r="H871" t="s">
        <v>19</v>
      </c>
      <c r="I871" t="s">
        <v>1904</v>
      </c>
      <c r="J871" t="str" cm="1">
        <f t="array" ref="J871">_xlfn.IFS(HOUR(I871)&lt;12,"Morning",HOUR(I871)&lt;17,"Afternoon",TRUE,"Evening")</f>
        <v>Evening</v>
      </c>
      <c r="K871" t="s">
        <v>12</v>
      </c>
      <c r="L871" t="str">
        <f t="shared" si="39"/>
        <v>Attended</v>
      </c>
      <c r="M871">
        <f t="shared" si="40"/>
        <v>0</v>
      </c>
      <c r="N871" t="str">
        <f t="shared" si="41"/>
        <v>Saturday</v>
      </c>
      <c r="O87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72" spans="1:15" x14ac:dyDescent="0.25">
      <c r="A872">
        <v>5870</v>
      </c>
      <c r="B872">
        <v>1482</v>
      </c>
      <c r="C872">
        <v>1027</v>
      </c>
      <c r="D872" t="s">
        <v>24</v>
      </c>
      <c r="E872" s="1">
        <v>45657</v>
      </c>
      <c r="F872">
        <v>2310</v>
      </c>
      <c r="G872" t="s">
        <v>17</v>
      </c>
      <c r="H872" t="s">
        <v>15</v>
      </c>
      <c r="I872" t="s">
        <v>1932</v>
      </c>
      <c r="J872" t="str" cm="1">
        <f t="array" ref="J872">_xlfn.IFS(HOUR(I872)&lt;12,"Morning",HOUR(I872)&lt;17,"Afternoon",TRUE,"Evening")</f>
        <v>Evening</v>
      </c>
      <c r="K872" t="s">
        <v>12</v>
      </c>
      <c r="L872" t="str">
        <f t="shared" si="39"/>
        <v>Attended</v>
      </c>
      <c r="M872">
        <f t="shared" si="40"/>
        <v>0</v>
      </c>
      <c r="N872" t="str">
        <f t="shared" si="41"/>
        <v>Tuesday</v>
      </c>
      <c r="O8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3" spans="1:15" x14ac:dyDescent="0.25">
      <c r="A873">
        <v>5871</v>
      </c>
      <c r="B873">
        <v>1076</v>
      </c>
      <c r="C873">
        <v>1002</v>
      </c>
      <c r="D873" t="s">
        <v>18</v>
      </c>
      <c r="E873" s="1">
        <v>45531</v>
      </c>
      <c r="F873">
        <v>2317</v>
      </c>
      <c r="G873" t="s">
        <v>10</v>
      </c>
      <c r="H873" t="s">
        <v>19</v>
      </c>
      <c r="I873" t="s">
        <v>1937</v>
      </c>
      <c r="J873" t="str" cm="1">
        <f t="array" ref="J873">_xlfn.IFS(HOUR(I873)&lt;12,"Morning",HOUR(I873)&lt;17,"Afternoon",TRUE,"Evening")</f>
        <v>Morning</v>
      </c>
      <c r="K873" t="s">
        <v>28</v>
      </c>
      <c r="L873" t="str">
        <f t="shared" si="39"/>
        <v>No Show</v>
      </c>
      <c r="M873">
        <f t="shared" si="40"/>
        <v>1</v>
      </c>
      <c r="N873" t="str">
        <f t="shared" si="41"/>
        <v>Tuesday</v>
      </c>
      <c r="O87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4" spans="1:15" x14ac:dyDescent="0.25">
      <c r="A874">
        <v>5872</v>
      </c>
      <c r="B874">
        <v>1043</v>
      </c>
      <c r="C874">
        <v>1024</v>
      </c>
      <c r="D874" t="s">
        <v>16</v>
      </c>
      <c r="E874" s="1">
        <v>45685</v>
      </c>
      <c r="F874">
        <v>1538</v>
      </c>
      <c r="G874" t="s">
        <v>10</v>
      </c>
      <c r="H874" t="s">
        <v>15</v>
      </c>
      <c r="I874" t="s">
        <v>1937</v>
      </c>
      <c r="J874" t="str" cm="1">
        <f t="array" ref="J874">_xlfn.IFS(HOUR(I874)&lt;12,"Morning",HOUR(I874)&lt;17,"Afternoon",TRUE,"Evening")</f>
        <v>Morning</v>
      </c>
      <c r="K874" t="s">
        <v>12</v>
      </c>
      <c r="L874" t="str">
        <f t="shared" si="39"/>
        <v>Attended</v>
      </c>
      <c r="M874">
        <f t="shared" si="40"/>
        <v>0</v>
      </c>
      <c r="N874" t="str">
        <f t="shared" si="41"/>
        <v>Tuesday</v>
      </c>
      <c r="O8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5" spans="1:15" x14ac:dyDescent="0.25">
      <c r="A875">
        <v>5873</v>
      </c>
      <c r="B875">
        <v>1203</v>
      </c>
      <c r="C875">
        <v>1027</v>
      </c>
      <c r="D875" t="s">
        <v>27</v>
      </c>
      <c r="E875" s="1">
        <v>45695</v>
      </c>
      <c r="F875">
        <v>2035</v>
      </c>
      <c r="G875" t="s">
        <v>17</v>
      </c>
      <c r="H875" t="s">
        <v>11</v>
      </c>
      <c r="I875" t="s">
        <v>1916</v>
      </c>
      <c r="J875" t="str" cm="1">
        <f t="array" ref="J875">_xlfn.IFS(HOUR(I875)&lt;12,"Morning",HOUR(I875)&lt;17,"Afternoon",TRUE,"Evening")</f>
        <v>Afternoon</v>
      </c>
      <c r="K875" t="s">
        <v>12</v>
      </c>
      <c r="L875" t="str">
        <f t="shared" si="39"/>
        <v>Attended</v>
      </c>
      <c r="M875">
        <f t="shared" si="40"/>
        <v>0</v>
      </c>
      <c r="N875" t="str">
        <f t="shared" si="41"/>
        <v>Friday</v>
      </c>
      <c r="O87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6" spans="1:15" x14ac:dyDescent="0.25">
      <c r="A876">
        <v>5874</v>
      </c>
      <c r="B876">
        <v>754</v>
      </c>
      <c r="C876">
        <v>1020</v>
      </c>
      <c r="D876" t="s">
        <v>26</v>
      </c>
      <c r="E876" s="1">
        <v>45483</v>
      </c>
      <c r="F876">
        <v>1371</v>
      </c>
      <c r="G876" t="s">
        <v>25</v>
      </c>
      <c r="H876" t="s">
        <v>19</v>
      </c>
      <c r="I876" t="s">
        <v>1935</v>
      </c>
      <c r="J876" t="str" cm="1">
        <f t="array" ref="J876">_xlfn.IFS(HOUR(I876)&lt;12,"Morning",HOUR(I876)&lt;17,"Afternoon",TRUE,"Evening")</f>
        <v>Afternoon</v>
      </c>
      <c r="K876" t="s">
        <v>12</v>
      </c>
      <c r="L876" t="str">
        <f t="shared" si="39"/>
        <v>Attended</v>
      </c>
      <c r="M876">
        <f t="shared" si="40"/>
        <v>0</v>
      </c>
      <c r="N876" t="str">
        <f t="shared" si="41"/>
        <v>Wednesday</v>
      </c>
      <c r="O87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7" spans="1:15" x14ac:dyDescent="0.25">
      <c r="A877">
        <v>5875</v>
      </c>
      <c r="B877">
        <v>376</v>
      </c>
      <c r="C877">
        <v>1027</v>
      </c>
      <c r="D877" t="s">
        <v>22</v>
      </c>
      <c r="E877" s="1">
        <v>45707</v>
      </c>
      <c r="F877">
        <v>1307</v>
      </c>
      <c r="G877" t="s">
        <v>17</v>
      </c>
      <c r="H877" t="s">
        <v>11</v>
      </c>
      <c r="I877" t="s">
        <v>1924</v>
      </c>
      <c r="J877" t="str" cm="1">
        <f t="array" ref="J877">_xlfn.IFS(HOUR(I877)&lt;12,"Morning",HOUR(I877)&lt;17,"Afternoon",TRUE,"Evening")</f>
        <v>Afternoon</v>
      </c>
      <c r="K877" t="s">
        <v>12</v>
      </c>
      <c r="L877" t="str">
        <f t="shared" si="39"/>
        <v>Attended</v>
      </c>
      <c r="M877">
        <f t="shared" si="40"/>
        <v>0</v>
      </c>
      <c r="N877" t="str">
        <f t="shared" si="41"/>
        <v>Wednesday</v>
      </c>
      <c r="O87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78" spans="1:15" x14ac:dyDescent="0.25">
      <c r="A878">
        <v>5876</v>
      </c>
      <c r="B878">
        <v>195</v>
      </c>
      <c r="C878">
        <v>1008</v>
      </c>
      <c r="D878" t="s">
        <v>13</v>
      </c>
      <c r="E878" s="1">
        <v>45767</v>
      </c>
      <c r="F878">
        <v>1600</v>
      </c>
      <c r="G878" t="s">
        <v>10</v>
      </c>
      <c r="H878" t="s">
        <v>15</v>
      </c>
      <c r="I878" t="s">
        <v>1940</v>
      </c>
      <c r="J878" t="str" cm="1">
        <f t="array" ref="J878">_xlfn.IFS(HOUR(I878)&lt;12,"Morning",HOUR(I878)&lt;17,"Afternoon",TRUE,"Evening")</f>
        <v>Morning</v>
      </c>
      <c r="K878" t="s">
        <v>12</v>
      </c>
      <c r="L878" t="str">
        <f t="shared" si="39"/>
        <v>Attended</v>
      </c>
      <c r="M878">
        <f t="shared" si="40"/>
        <v>0</v>
      </c>
      <c r="N878" t="str">
        <f t="shared" si="41"/>
        <v>Sunday</v>
      </c>
      <c r="O87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79" spans="1:15" x14ac:dyDescent="0.25">
      <c r="A879">
        <v>5877</v>
      </c>
      <c r="B879">
        <v>137</v>
      </c>
      <c r="C879">
        <v>1008</v>
      </c>
      <c r="D879" t="s">
        <v>13</v>
      </c>
      <c r="E879" s="1">
        <v>45728</v>
      </c>
      <c r="F879">
        <v>1655</v>
      </c>
      <c r="G879" t="s">
        <v>17</v>
      </c>
      <c r="H879" t="s">
        <v>11</v>
      </c>
      <c r="I879" t="s">
        <v>1911</v>
      </c>
      <c r="J879" t="str" cm="1">
        <f t="array" ref="J879">_xlfn.IFS(HOUR(I879)&lt;12,"Morning",HOUR(I879)&lt;17,"Afternoon",TRUE,"Evening")</f>
        <v>Morning</v>
      </c>
      <c r="K879" t="s">
        <v>12</v>
      </c>
      <c r="L879" t="str">
        <f t="shared" si="39"/>
        <v>Attended</v>
      </c>
      <c r="M879">
        <f t="shared" si="40"/>
        <v>0</v>
      </c>
      <c r="N879" t="str">
        <f t="shared" si="41"/>
        <v>Wednesday</v>
      </c>
      <c r="O87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0" spans="1:15" x14ac:dyDescent="0.25">
      <c r="A880">
        <v>5878</v>
      </c>
      <c r="B880">
        <v>849</v>
      </c>
      <c r="C880">
        <v>1027</v>
      </c>
      <c r="D880" t="s">
        <v>24</v>
      </c>
      <c r="E880" s="1">
        <v>45696</v>
      </c>
      <c r="F880">
        <v>1579</v>
      </c>
      <c r="G880" t="s">
        <v>25</v>
      </c>
      <c r="H880" t="s">
        <v>19</v>
      </c>
      <c r="I880" t="s">
        <v>1941</v>
      </c>
      <c r="J880" t="str" cm="1">
        <f t="array" ref="J880">_xlfn.IFS(HOUR(I880)&lt;12,"Morning",HOUR(I880)&lt;17,"Afternoon",TRUE,"Evening")</f>
        <v>Morning</v>
      </c>
      <c r="K880" t="s">
        <v>12</v>
      </c>
      <c r="L880" t="str">
        <f t="shared" si="39"/>
        <v>Attended</v>
      </c>
      <c r="M880">
        <f t="shared" si="40"/>
        <v>0</v>
      </c>
      <c r="N880" t="str">
        <f t="shared" si="41"/>
        <v>Saturday</v>
      </c>
      <c r="O88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81" spans="1:15" x14ac:dyDescent="0.25">
      <c r="A881">
        <v>5879</v>
      </c>
      <c r="B881">
        <v>870</v>
      </c>
      <c r="C881">
        <v>1027</v>
      </c>
      <c r="D881" t="s">
        <v>9</v>
      </c>
      <c r="E881" s="1">
        <v>45543</v>
      </c>
      <c r="F881">
        <v>2475</v>
      </c>
      <c r="G881" t="s">
        <v>14</v>
      </c>
      <c r="H881" t="s">
        <v>15</v>
      </c>
      <c r="I881" t="s">
        <v>1923</v>
      </c>
      <c r="J881" t="str" cm="1">
        <f t="array" ref="J881">_xlfn.IFS(HOUR(I881)&lt;12,"Morning",HOUR(I881)&lt;17,"Afternoon",TRUE,"Evening")</f>
        <v>Evening</v>
      </c>
      <c r="K881" t="s">
        <v>28</v>
      </c>
      <c r="L881" t="str">
        <f t="shared" si="39"/>
        <v>No Show</v>
      </c>
      <c r="M881">
        <f t="shared" si="40"/>
        <v>1</v>
      </c>
      <c r="N881" t="str">
        <f t="shared" si="41"/>
        <v>Sunday</v>
      </c>
      <c r="O88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82" spans="1:15" x14ac:dyDescent="0.25">
      <c r="A882">
        <v>5880</v>
      </c>
      <c r="B882">
        <v>1466</v>
      </c>
      <c r="C882">
        <v>1027</v>
      </c>
      <c r="D882" t="s">
        <v>24</v>
      </c>
      <c r="E882" s="1">
        <v>45720</v>
      </c>
      <c r="F882">
        <v>1523</v>
      </c>
      <c r="G882" t="s">
        <v>14</v>
      </c>
      <c r="H882" t="s">
        <v>19</v>
      </c>
      <c r="I882" t="s">
        <v>1927</v>
      </c>
      <c r="J882" t="str" cm="1">
        <f t="array" ref="J882">_xlfn.IFS(HOUR(I882)&lt;12,"Morning",HOUR(I882)&lt;17,"Afternoon",TRUE,"Evening")</f>
        <v>Afternoon</v>
      </c>
      <c r="K882" t="s">
        <v>12</v>
      </c>
      <c r="L882" t="str">
        <f t="shared" si="39"/>
        <v>Attended</v>
      </c>
      <c r="M882">
        <f t="shared" si="40"/>
        <v>0</v>
      </c>
      <c r="N882" t="str">
        <f t="shared" si="41"/>
        <v>Tuesday</v>
      </c>
      <c r="O8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3" spans="1:15" x14ac:dyDescent="0.25">
      <c r="A883">
        <v>5881</v>
      </c>
      <c r="B883">
        <v>527</v>
      </c>
      <c r="C883">
        <v>1001</v>
      </c>
      <c r="D883" t="s">
        <v>18</v>
      </c>
      <c r="E883" s="1">
        <v>45741</v>
      </c>
      <c r="F883">
        <v>1061</v>
      </c>
      <c r="G883" t="s">
        <v>14</v>
      </c>
      <c r="H883" t="s">
        <v>19</v>
      </c>
      <c r="I883" t="s">
        <v>1942</v>
      </c>
      <c r="J883" t="str" cm="1">
        <f t="array" ref="J883">_xlfn.IFS(HOUR(I883)&lt;12,"Morning",HOUR(I883)&lt;17,"Afternoon",TRUE,"Evening")</f>
        <v>Evening</v>
      </c>
      <c r="K883" t="s">
        <v>12</v>
      </c>
      <c r="L883" t="str">
        <f t="shared" si="39"/>
        <v>Attended</v>
      </c>
      <c r="M883">
        <f t="shared" si="40"/>
        <v>0</v>
      </c>
      <c r="N883" t="str">
        <f t="shared" si="41"/>
        <v>Tuesday</v>
      </c>
      <c r="O88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4" spans="1:15" x14ac:dyDescent="0.25">
      <c r="A884">
        <v>5882</v>
      </c>
      <c r="B884">
        <v>216</v>
      </c>
      <c r="C884">
        <v>1009</v>
      </c>
      <c r="D884" t="s">
        <v>13</v>
      </c>
      <c r="E884" s="1">
        <v>45699</v>
      </c>
      <c r="F884">
        <v>991</v>
      </c>
      <c r="G884" t="s">
        <v>25</v>
      </c>
      <c r="H884" t="s">
        <v>15</v>
      </c>
      <c r="I884" t="s">
        <v>1935</v>
      </c>
      <c r="J884" t="str" cm="1">
        <f t="array" ref="J884">_xlfn.IFS(HOUR(I884)&lt;12,"Morning",HOUR(I884)&lt;17,"Afternoon",TRUE,"Evening")</f>
        <v>Afternoon</v>
      </c>
      <c r="K884" t="s">
        <v>12</v>
      </c>
      <c r="L884" t="str">
        <f t="shared" si="39"/>
        <v>Attended</v>
      </c>
      <c r="M884">
        <f t="shared" si="40"/>
        <v>0</v>
      </c>
      <c r="N884" t="str">
        <f t="shared" si="41"/>
        <v>Tuesday</v>
      </c>
      <c r="O88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5" spans="1:15" x14ac:dyDescent="0.25">
      <c r="A885">
        <v>5883</v>
      </c>
      <c r="B885">
        <v>1344</v>
      </c>
      <c r="C885">
        <v>1020</v>
      </c>
      <c r="D885" t="s">
        <v>26</v>
      </c>
      <c r="E885" s="1">
        <v>45763</v>
      </c>
      <c r="F885">
        <v>1555</v>
      </c>
      <c r="G885" t="s">
        <v>17</v>
      </c>
      <c r="H885" t="s">
        <v>15</v>
      </c>
      <c r="I885" t="s">
        <v>1924</v>
      </c>
      <c r="J885" t="str" cm="1">
        <f t="array" ref="J885">_xlfn.IFS(HOUR(I885)&lt;12,"Morning",HOUR(I885)&lt;17,"Afternoon",TRUE,"Evening")</f>
        <v>Afternoon</v>
      </c>
      <c r="K885" t="s">
        <v>12</v>
      </c>
      <c r="L885" t="str">
        <f t="shared" si="39"/>
        <v>Attended</v>
      </c>
      <c r="M885">
        <f t="shared" si="40"/>
        <v>0</v>
      </c>
      <c r="N885" t="str">
        <f t="shared" si="41"/>
        <v>Wednesday</v>
      </c>
      <c r="O88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6" spans="1:15" x14ac:dyDescent="0.25">
      <c r="A886">
        <v>5884</v>
      </c>
      <c r="B886">
        <v>605</v>
      </c>
      <c r="C886">
        <v>1001</v>
      </c>
      <c r="D886" t="s">
        <v>18</v>
      </c>
      <c r="E886" s="1">
        <v>45636</v>
      </c>
      <c r="F886">
        <v>1395</v>
      </c>
      <c r="G886" t="s">
        <v>17</v>
      </c>
      <c r="H886" t="s">
        <v>11</v>
      </c>
      <c r="I886" t="s">
        <v>1910</v>
      </c>
      <c r="J886" t="str" cm="1">
        <f t="array" ref="J886">_xlfn.IFS(HOUR(I886)&lt;12,"Morning",HOUR(I886)&lt;17,"Afternoon",TRUE,"Evening")</f>
        <v>Evening</v>
      </c>
      <c r="K886" t="s">
        <v>12</v>
      </c>
      <c r="L886" t="str">
        <f t="shared" si="39"/>
        <v>Attended</v>
      </c>
      <c r="M886">
        <f t="shared" si="40"/>
        <v>0</v>
      </c>
      <c r="N886" t="str">
        <f t="shared" si="41"/>
        <v>Tuesday</v>
      </c>
      <c r="O88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7" spans="1:15" x14ac:dyDescent="0.25">
      <c r="A887">
        <v>5885</v>
      </c>
      <c r="B887">
        <v>245</v>
      </c>
      <c r="C887">
        <v>1027</v>
      </c>
      <c r="D887" t="s">
        <v>9</v>
      </c>
      <c r="E887" s="1">
        <v>45667</v>
      </c>
      <c r="F887">
        <v>2491</v>
      </c>
      <c r="G887" t="s">
        <v>25</v>
      </c>
      <c r="H887" t="s">
        <v>11</v>
      </c>
      <c r="I887" t="s">
        <v>1940</v>
      </c>
      <c r="J887" t="str" cm="1">
        <f t="array" ref="J887">_xlfn.IFS(HOUR(I887)&lt;12,"Morning",HOUR(I887)&lt;17,"Afternoon",TRUE,"Evening")</f>
        <v>Morning</v>
      </c>
      <c r="K887" t="s">
        <v>12</v>
      </c>
      <c r="L887" t="str">
        <f t="shared" si="39"/>
        <v>Attended</v>
      </c>
      <c r="M887">
        <f t="shared" si="40"/>
        <v>0</v>
      </c>
      <c r="N887" t="str">
        <f t="shared" si="41"/>
        <v>Friday</v>
      </c>
      <c r="O88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8" spans="1:15" x14ac:dyDescent="0.25">
      <c r="A888">
        <v>5886</v>
      </c>
      <c r="B888">
        <v>465</v>
      </c>
      <c r="C888">
        <v>1020</v>
      </c>
      <c r="D888" t="s">
        <v>26</v>
      </c>
      <c r="E888" s="1">
        <v>45743</v>
      </c>
      <c r="F888">
        <v>960</v>
      </c>
      <c r="G888" t="s">
        <v>14</v>
      </c>
      <c r="H888" t="s">
        <v>15</v>
      </c>
      <c r="I888" t="s">
        <v>1916</v>
      </c>
      <c r="J888" t="str" cm="1">
        <f t="array" ref="J888">_xlfn.IFS(HOUR(I888)&lt;12,"Morning",HOUR(I888)&lt;17,"Afternoon",TRUE,"Evening")</f>
        <v>Afternoon</v>
      </c>
      <c r="K888" t="s">
        <v>28</v>
      </c>
      <c r="L888" t="str">
        <f t="shared" si="39"/>
        <v>No Show</v>
      </c>
      <c r="M888">
        <f t="shared" si="40"/>
        <v>1</v>
      </c>
      <c r="N888" t="str">
        <f t="shared" si="41"/>
        <v>Thursday</v>
      </c>
      <c r="O88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89" spans="1:15" x14ac:dyDescent="0.25">
      <c r="A889">
        <v>5887</v>
      </c>
      <c r="B889">
        <v>1192</v>
      </c>
      <c r="C889">
        <v>1001</v>
      </c>
      <c r="D889" t="s">
        <v>22</v>
      </c>
      <c r="E889" s="1">
        <v>45609</v>
      </c>
      <c r="F889">
        <v>1589</v>
      </c>
      <c r="G889" t="s">
        <v>14</v>
      </c>
      <c r="H889" t="s">
        <v>15</v>
      </c>
      <c r="I889" t="s">
        <v>1914</v>
      </c>
      <c r="J889" t="str" cm="1">
        <f t="array" ref="J889">_xlfn.IFS(HOUR(I889)&lt;12,"Morning",HOUR(I889)&lt;17,"Afternoon",TRUE,"Evening")</f>
        <v>Afternoon</v>
      </c>
      <c r="K889" t="s">
        <v>12</v>
      </c>
      <c r="L889" t="str">
        <f t="shared" si="39"/>
        <v>Attended</v>
      </c>
      <c r="M889">
        <f t="shared" si="40"/>
        <v>0</v>
      </c>
      <c r="N889" t="str">
        <f t="shared" si="41"/>
        <v>Wednesday</v>
      </c>
      <c r="O88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0" spans="1:15" x14ac:dyDescent="0.25">
      <c r="A890">
        <v>5888</v>
      </c>
      <c r="B890">
        <v>311</v>
      </c>
      <c r="C890">
        <v>1027</v>
      </c>
      <c r="D890" t="s">
        <v>24</v>
      </c>
      <c r="E890" s="1">
        <v>45837</v>
      </c>
      <c r="F890">
        <v>1213</v>
      </c>
      <c r="G890" t="s">
        <v>14</v>
      </c>
      <c r="H890" t="s">
        <v>19</v>
      </c>
      <c r="I890" t="s">
        <v>1940</v>
      </c>
      <c r="J890" t="str" cm="1">
        <f t="array" ref="J890">_xlfn.IFS(HOUR(I890)&lt;12,"Morning",HOUR(I890)&lt;17,"Afternoon",TRUE,"Evening")</f>
        <v>Morning</v>
      </c>
      <c r="K890" t="s">
        <v>23</v>
      </c>
      <c r="L890" t="str">
        <f t="shared" si="39"/>
        <v>No Show</v>
      </c>
      <c r="M890">
        <f t="shared" si="40"/>
        <v>1</v>
      </c>
      <c r="N890" t="str">
        <f t="shared" si="41"/>
        <v>Sunday</v>
      </c>
      <c r="O89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91" spans="1:15" x14ac:dyDescent="0.25">
      <c r="A891">
        <v>5889</v>
      </c>
      <c r="B891">
        <v>894</v>
      </c>
      <c r="C891">
        <v>1020</v>
      </c>
      <c r="D891" t="s">
        <v>26</v>
      </c>
      <c r="E891" s="1">
        <v>45774</v>
      </c>
      <c r="F891">
        <v>1930</v>
      </c>
      <c r="G891" t="s">
        <v>25</v>
      </c>
      <c r="H891" t="s">
        <v>19</v>
      </c>
      <c r="I891" t="s">
        <v>1913</v>
      </c>
      <c r="J891" t="str" cm="1">
        <f t="array" ref="J891">_xlfn.IFS(HOUR(I891)&lt;12,"Morning",HOUR(I891)&lt;17,"Afternoon",TRUE,"Evening")</f>
        <v>Morning</v>
      </c>
      <c r="K891" t="s">
        <v>12</v>
      </c>
      <c r="L891" t="str">
        <f t="shared" si="39"/>
        <v>Attended</v>
      </c>
      <c r="M891">
        <f t="shared" si="40"/>
        <v>0</v>
      </c>
      <c r="N891" t="str">
        <f t="shared" si="41"/>
        <v>Sunday</v>
      </c>
      <c r="O89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892" spans="1:15" x14ac:dyDescent="0.25">
      <c r="A892">
        <v>5890</v>
      </c>
      <c r="B892">
        <v>1227</v>
      </c>
      <c r="C892">
        <v>1002</v>
      </c>
      <c r="D892" t="s">
        <v>18</v>
      </c>
      <c r="E892" s="1">
        <v>45708</v>
      </c>
      <c r="F892">
        <v>996</v>
      </c>
      <c r="G892" t="s">
        <v>25</v>
      </c>
      <c r="H892" t="s">
        <v>15</v>
      </c>
      <c r="I892" t="s">
        <v>1919</v>
      </c>
      <c r="J892" t="str" cm="1">
        <f t="array" ref="J892">_xlfn.IFS(HOUR(I892)&lt;12,"Morning",HOUR(I892)&lt;17,"Afternoon",TRUE,"Evening")</f>
        <v>Evening</v>
      </c>
      <c r="K892" t="s">
        <v>12</v>
      </c>
      <c r="L892" t="str">
        <f t="shared" si="39"/>
        <v>Attended</v>
      </c>
      <c r="M892">
        <f t="shared" si="40"/>
        <v>0</v>
      </c>
      <c r="N892" t="str">
        <f t="shared" si="41"/>
        <v>Thursday</v>
      </c>
      <c r="O89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3" spans="1:15" x14ac:dyDescent="0.25">
      <c r="A893">
        <v>5891</v>
      </c>
      <c r="B893">
        <v>1447</v>
      </c>
      <c r="C893">
        <v>1003</v>
      </c>
      <c r="D893" t="s">
        <v>18</v>
      </c>
      <c r="E893" s="1">
        <v>45705</v>
      </c>
      <c r="F893">
        <v>1152</v>
      </c>
      <c r="G893" t="s">
        <v>10</v>
      </c>
      <c r="H893" t="s">
        <v>15</v>
      </c>
      <c r="I893" t="s">
        <v>1913</v>
      </c>
      <c r="J893" t="str" cm="1">
        <f t="array" ref="J893">_xlfn.IFS(HOUR(I893)&lt;12,"Morning",HOUR(I893)&lt;17,"Afternoon",TRUE,"Evening")</f>
        <v>Morning</v>
      </c>
      <c r="K893" t="s">
        <v>28</v>
      </c>
      <c r="L893" t="str">
        <f t="shared" si="39"/>
        <v>No Show</v>
      </c>
      <c r="M893">
        <f t="shared" si="40"/>
        <v>1</v>
      </c>
      <c r="N893" t="str">
        <f t="shared" si="41"/>
        <v>Monday</v>
      </c>
      <c r="O8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4" spans="1:15" x14ac:dyDescent="0.25">
      <c r="A894">
        <v>5892</v>
      </c>
      <c r="B894">
        <v>320</v>
      </c>
      <c r="C894">
        <v>1027</v>
      </c>
      <c r="D894" t="s">
        <v>24</v>
      </c>
      <c r="E894" s="1">
        <v>45693</v>
      </c>
      <c r="F894">
        <v>1399</v>
      </c>
      <c r="G894" t="s">
        <v>14</v>
      </c>
      <c r="H894" t="s">
        <v>11</v>
      </c>
      <c r="I894" t="s">
        <v>1926</v>
      </c>
      <c r="J894" t="str" cm="1">
        <f t="array" ref="J894">_xlfn.IFS(HOUR(I894)&lt;12,"Morning",HOUR(I894)&lt;17,"Afternoon",TRUE,"Evening")</f>
        <v>Afternoon</v>
      </c>
      <c r="K894" t="s">
        <v>12</v>
      </c>
      <c r="L894" t="str">
        <f t="shared" si="39"/>
        <v>Attended</v>
      </c>
      <c r="M894">
        <f t="shared" si="40"/>
        <v>0</v>
      </c>
      <c r="N894" t="str">
        <f t="shared" si="41"/>
        <v>Wednesday</v>
      </c>
      <c r="O89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5" spans="1:15" x14ac:dyDescent="0.25">
      <c r="A895">
        <v>5893</v>
      </c>
      <c r="B895">
        <v>479</v>
      </c>
      <c r="C895">
        <v>1027</v>
      </c>
      <c r="D895" t="s">
        <v>9</v>
      </c>
      <c r="E895" s="1">
        <v>45623</v>
      </c>
      <c r="F895">
        <v>1411</v>
      </c>
      <c r="G895" t="s">
        <v>14</v>
      </c>
      <c r="H895" t="s">
        <v>19</v>
      </c>
      <c r="I895" t="s">
        <v>1907</v>
      </c>
      <c r="J895" t="str" cm="1">
        <f t="array" ref="J895">_xlfn.IFS(HOUR(I895)&lt;12,"Morning",HOUR(I895)&lt;17,"Afternoon",TRUE,"Evening")</f>
        <v>Afternoon</v>
      </c>
      <c r="K895" t="s">
        <v>12</v>
      </c>
      <c r="L895" t="str">
        <f t="shared" si="39"/>
        <v>Attended</v>
      </c>
      <c r="M895">
        <f t="shared" si="40"/>
        <v>0</v>
      </c>
      <c r="N895" t="str">
        <f t="shared" si="41"/>
        <v>Wednesday</v>
      </c>
      <c r="O89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6" spans="1:15" x14ac:dyDescent="0.25">
      <c r="A896">
        <v>5894</v>
      </c>
      <c r="B896">
        <v>1416</v>
      </c>
      <c r="C896">
        <v>1024</v>
      </c>
      <c r="D896" t="s">
        <v>16</v>
      </c>
      <c r="E896" s="1">
        <v>45490</v>
      </c>
      <c r="F896">
        <v>1392</v>
      </c>
      <c r="G896" t="s">
        <v>17</v>
      </c>
      <c r="H896" t="s">
        <v>11</v>
      </c>
      <c r="I896" t="s">
        <v>1913</v>
      </c>
      <c r="J896" t="str" cm="1">
        <f t="array" ref="J896">_xlfn.IFS(HOUR(I896)&lt;12,"Morning",HOUR(I896)&lt;17,"Afternoon",TRUE,"Evening")</f>
        <v>Morning</v>
      </c>
      <c r="K896" t="s">
        <v>12</v>
      </c>
      <c r="L896" t="str">
        <f t="shared" si="39"/>
        <v>Attended</v>
      </c>
      <c r="M896">
        <f t="shared" si="40"/>
        <v>0</v>
      </c>
      <c r="N896" t="str">
        <f t="shared" si="41"/>
        <v>Wednesday</v>
      </c>
      <c r="O89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7" spans="1:15" x14ac:dyDescent="0.25">
      <c r="A897">
        <v>5895</v>
      </c>
      <c r="B897">
        <v>257</v>
      </c>
      <c r="C897">
        <v>1027</v>
      </c>
      <c r="D897" t="s">
        <v>24</v>
      </c>
      <c r="E897" s="1">
        <v>45828</v>
      </c>
      <c r="F897">
        <v>1066</v>
      </c>
      <c r="G897" t="s">
        <v>14</v>
      </c>
      <c r="H897" t="s">
        <v>11</v>
      </c>
      <c r="I897" t="s">
        <v>1921</v>
      </c>
      <c r="J897" t="str" cm="1">
        <f t="array" ref="J897">_xlfn.IFS(HOUR(I897)&lt;12,"Morning",HOUR(I897)&lt;17,"Afternoon",TRUE,"Evening")</f>
        <v>Afternoon</v>
      </c>
      <c r="K897" t="s">
        <v>23</v>
      </c>
      <c r="L897" t="str">
        <f t="shared" si="39"/>
        <v>No Show</v>
      </c>
      <c r="M897">
        <f t="shared" si="40"/>
        <v>1</v>
      </c>
      <c r="N897" t="str">
        <f t="shared" si="41"/>
        <v>Friday</v>
      </c>
      <c r="O89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8" spans="1:15" x14ac:dyDescent="0.25">
      <c r="A898">
        <v>5896</v>
      </c>
      <c r="B898">
        <v>560</v>
      </c>
      <c r="C898">
        <v>1027</v>
      </c>
      <c r="D898" t="s">
        <v>9</v>
      </c>
      <c r="E898" s="1">
        <v>45630</v>
      </c>
      <c r="F898">
        <v>1594</v>
      </c>
      <c r="G898" t="s">
        <v>10</v>
      </c>
      <c r="H898" t="s">
        <v>15</v>
      </c>
      <c r="I898" t="s">
        <v>1943</v>
      </c>
      <c r="J898" t="str" cm="1">
        <f t="array" ref="J898">_xlfn.IFS(HOUR(I898)&lt;12,"Morning",HOUR(I898)&lt;17,"Afternoon",TRUE,"Evening")</f>
        <v>Afternoon</v>
      </c>
      <c r="K898" t="s">
        <v>12</v>
      </c>
      <c r="L898" t="str">
        <f t="shared" si="39"/>
        <v>Attended</v>
      </c>
      <c r="M898">
        <f t="shared" si="40"/>
        <v>0</v>
      </c>
      <c r="N898" t="str">
        <f t="shared" si="41"/>
        <v>Wednesday</v>
      </c>
      <c r="O89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899" spans="1:15" x14ac:dyDescent="0.25">
      <c r="A899">
        <v>5897</v>
      </c>
      <c r="B899">
        <v>267</v>
      </c>
      <c r="C899">
        <v>1004</v>
      </c>
      <c r="D899" t="s">
        <v>18</v>
      </c>
      <c r="E899" s="1">
        <v>45608</v>
      </c>
      <c r="F899">
        <v>813</v>
      </c>
      <c r="G899" t="s">
        <v>25</v>
      </c>
      <c r="H899" t="s">
        <v>19</v>
      </c>
      <c r="I899" t="s">
        <v>1916</v>
      </c>
      <c r="J899" t="str" cm="1">
        <f t="array" ref="J899">_xlfn.IFS(HOUR(I899)&lt;12,"Morning",HOUR(I899)&lt;17,"Afternoon",TRUE,"Evening")</f>
        <v>Afternoon</v>
      </c>
      <c r="K899" t="s">
        <v>12</v>
      </c>
      <c r="L899" t="str">
        <f t="shared" ref="L899:L962" si="42">IF(K899="completed","Attended","No Show")</f>
        <v>Attended</v>
      </c>
      <c r="M899">
        <f t="shared" ref="M899:M962" si="43">IF(L899="No Show",1,0)</f>
        <v>0</v>
      </c>
      <c r="N899" t="str">
        <f t="shared" ref="N899:N962" si="44">TEXT(E899,"dddd")</f>
        <v>Tuesday</v>
      </c>
      <c r="O89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0" spans="1:15" x14ac:dyDescent="0.25">
      <c r="A900">
        <v>5898</v>
      </c>
      <c r="B900">
        <v>430</v>
      </c>
      <c r="C900">
        <v>1002</v>
      </c>
      <c r="D900" t="s">
        <v>18</v>
      </c>
      <c r="E900" s="1">
        <v>45606</v>
      </c>
      <c r="F900">
        <v>804</v>
      </c>
      <c r="G900" t="s">
        <v>10</v>
      </c>
      <c r="H900" t="s">
        <v>19</v>
      </c>
      <c r="I900" t="s">
        <v>1905</v>
      </c>
      <c r="J900" t="str" cm="1">
        <f t="array" ref="J900">_xlfn.IFS(HOUR(I900)&lt;12,"Morning",HOUR(I900)&lt;17,"Afternoon",TRUE,"Evening")</f>
        <v>Morning</v>
      </c>
      <c r="K900" t="s">
        <v>20</v>
      </c>
      <c r="L900" t="str">
        <f t="shared" si="42"/>
        <v>No Show</v>
      </c>
      <c r="M900">
        <f t="shared" si="43"/>
        <v>1</v>
      </c>
      <c r="N900" t="str">
        <f t="shared" si="44"/>
        <v>Sunday</v>
      </c>
      <c r="O90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01" spans="1:15" x14ac:dyDescent="0.25">
      <c r="A901">
        <v>5899</v>
      </c>
      <c r="B901">
        <v>1549</v>
      </c>
      <c r="C901">
        <v>1027</v>
      </c>
      <c r="D901" t="s">
        <v>24</v>
      </c>
      <c r="E901" s="1">
        <v>45517</v>
      </c>
      <c r="F901">
        <v>2107</v>
      </c>
      <c r="G901" t="s">
        <v>25</v>
      </c>
      <c r="H901" t="s">
        <v>11</v>
      </c>
      <c r="I901" t="s">
        <v>1914</v>
      </c>
      <c r="J901" t="str" cm="1">
        <f t="array" ref="J901">_xlfn.IFS(HOUR(I901)&lt;12,"Morning",HOUR(I901)&lt;17,"Afternoon",TRUE,"Evening")</f>
        <v>Afternoon</v>
      </c>
      <c r="K901" t="s">
        <v>12</v>
      </c>
      <c r="L901" t="str">
        <f t="shared" si="42"/>
        <v>Attended</v>
      </c>
      <c r="M901">
        <f t="shared" si="43"/>
        <v>0</v>
      </c>
      <c r="N901" t="str">
        <f t="shared" si="44"/>
        <v>Tuesday</v>
      </c>
      <c r="O90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2" spans="1:15" x14ac:dyDescent="0.25">
      <c r="A902">
        <v>5900</v>
      </c>
      <c r="B902">
        <v>934</v>
      </c>
      <c r="C902">
        <v>1020</v>
      </c>
      <c r="D902" t="s">
        <v>26</v>
      </c>
      <c r="E902" s="1">
        <v>45664</v>
      </c>
      <c r="F902">
        <v>1709</v>
      </c>
      <c r="G902" t="s">
        <v>17</v>
      </c>
      <c r="H902" t="s">
        <v>19</v>
      </c>
      <c r="I902" t="s">
        <v>1913</v>
      </c>
      <c r="J902" t="str" cm="1">
        <f t="array" ref="J902">_xlfn.IFS(HOUR(I902)&lt;12,"Morning",HOUR(I902)&lt;17,"Afternoon",TRUE,"Evening")</f>
        <v>Morning</v>
      </c>
      <c r="K902" t="s">
        <v>12</v>
      </c>
      <c r="L902" t="str">
        <f t="shared" si="42"/>
        <v>Attended</v>
      </c>
      <c r="M902">
        <f t="shared" si="43"/>
        <v>0</v>
      </c>
      <c r="N902" t="str">
        <f t="shared" si="44"/>
        <v>Tuesday</v>
      </c>
      <c r="O90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3" spans="1:15" x14ac:dyDescent="0.25">
      <c r="A903">
        <v>5901</v>
      </c>
      <c r="B903">
        <v>535</v>
      </c>
      <c r="C903">
        <v>1027</v>
      </c>
      <c r="D903" t="s">
        <v>21</v>
      </c>
      <c r="E903" s="1">
        <v>45663</v>
      </c>
      <c r="F903">
        <v>1323</v>
      </c>
      <c r="G903" t="s">
        <v>25</v>
      </c>
      <c r="H903" t="s">
        <v>15</v>
      </c>
      <c r="I903" t="s">
        <v>1925</v>
      </c>
      <c r="J903" t="str" cm="1">
        <f t="array" ref="J903">_xlfn.IFS(HOUR(I903)&lt;12,"Morning",HOUR(I903)&lt;17,"Afternoon",TRUE,"Evening")</f>
        <v>Afternoon</v>
      </c>
      <c r="K903" t="s">
        <v>28</v>
      </c>
      <c r="L903" t="str">
        <f t="shared" si="42"/>
        <v>No Show</v>
      </c>
      <c r="M903">
        <f t="shared" si="43"/>
        <v>1</v>
      </c>
      <c r="N903" t="str">
        <f t="shared" si="44"/>
        <v>Monday</v>
      </c>
      <c r="O90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4" spans="1:15" x14ac:dyDescent="0.25">
      <c r="A904">
        <v>5902</v>
      </c>
      <c r="B904">
        <v>1017</v>
      </c>
      <c r="C904">
        <v>1020</v>
      </c>
      <c r="D904" t="s">
        <v>26</v>
      </c>
      <c r="E904" s="1">
        <v>45768</v>
      </c>
      <c r="F904">
        <v>1799</v>
      </c>
      <c r="G904" t="s">
        <v>10</v>
      </c>
      <c r="H904" t="s">
        <v>15</v>
      </c>
      <c r="I904" t="s">
        <v>1910</v>
      </c>
      <c r="J904" t="str" cm="1">
        <f t="array" ref="J904">_xlfn.IFS(HOUR(I904)&lt;12,"Morning",HOUR(I904)&lt;17,"Afternoon",TRUE,"Evening")</f>
        <v>Evening</v>
      </c>
      <c r="K904" t="s">
        <v>12</v>
      </c>
      <c r="L904" t="str">
        <f t="shared" si="42"/>
        <v>Attended</v>
      </c>
      <c r="M904">
        <f t="shared" si="43"/>
        <v>0</v>
      </c>
      <c r="N904" t="str">
        <f t="shared" si="44"/>
        <v>Monday</v>
      </c>
      <c r="O90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5" spans="1:15" x14ac:dyDescent="0.25">
      <c r="A905">
        <v>5903</v>
      </c>
      <c r="B905">
        <v>159</v>
      </c>
      <c r="C905">
        <v>1009</v>
      </c>
      <c r="D905" t="s">
        <v>13</v>
      </c>
      <c r="E905" s="1">
        <v>45835</v>
      </c>
      <c r="F905">
        <v>2374</v>
      </c>
      <c r="G905" t="s">
        <v>14</v>
      </c>
      <c r="H905" t="s">
        <v>19</v>
      </c>
      <c r="I905" t="s">
        <v>1924</v>
      </c>
      <c r="J905" t="str" cm="1">
        <f t="array" ref="J905">_xlfn.IFS(HOUR(I905)&lt;12,"Morning",HOUR(I905)&lt;17,"Afternoon",TRUE,"Evening")</f>
        <v>Afternoon</v>
      </c>
      <c r="K905" t="s">
        <v>23</v>
      </c>
      <c r="L905" t="str">
        <f t="shared" si="42"/>
        <v>No Show</v>
      </c>
      <c r="M905">
        <f t="shared" si="43"/>
        <v>1</v>
      </c>
      <c r="N905" t="str">
        <f t="shared" si="44"/>
        <v>Friday</v>
      </c>
      <c r="O90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6" spans="1:15" x14ac:dyDescent="0.25">
      <c r="A906">
        <v>5904</v>
      </c>
      <c r="B906">
        <v>797</v>
      </c>
      <c r="C906">
        <v>1001</v>
      </c>
      <c r="D906" t="s">
        <v>22</v>
      </c>
      <c r="E906" s="1">
        <v>45698</v>
      </c>
      <c r="F906">
        <v>2189</v>
      </c>
      <c r="G906" t="s">
        <v>10</v>
      </c>
      <c r="H906" t="s">
        <v>15</v>
      </c>
      <c r="I906" t="s">
        <v>1930</v>
      </c>
      <c r="J906" t="str" cm="1">
        <f t="array" ref="J906">_xlfn.IFS(HOUR(I906)&lt;12,"Morning",HOUR(I906)&lt;17,"Afternoon",TRUE,"Evening")</f>
        <v>Morning</v>
      </c>
      <c r="K906" t="s">
        <v>12</v>
      </c>
      <c r="L906" t="str">
        <f t="shared" si="42"/>
        <v>Attended</v>
      </c>
      <c r="M906">
        <f t="shared" si="43"/>
        <v>0</v>
      </c>
      <c r="N906" t="str">
        <f t="shared" si="44"/>
        <v>Monday</v>
      </c>
      <c r="O90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7" spans="1:15" x14ac:dyDescent="0.25">
      <c r="A907">
        <v>5905</v>
      </c>
      <c r="B907">
        <v>196</v>
      </c>
      <c r="C907">
        <v>1027</v>
      </c>
      <c r="D907" t="s">
        <v>9</v>
      </c>
      <c r="E907" s="1">
        <v>45697</v>
      </c>
      <c r="F907">
        <v>1185</v>
      </c>
      <c r="G907" t="s">
        <v>10</v>
      </c>
      <c r="H907" t="s">
        <v>11</v>
      </c>
      <c r="I907" t="s">
        <v>1933</v>
      </c>
      <c r="J907" t="str" cm="1">
        <f t="array" ref="J907">_xlfn.IFS(HOUR(I907)&lt;12,"Morning",HOUR(I907)&lt;17,"Afternoon",TRUE,"Evening")</f>
        <v>Evening</v>
      </c>
      <c r="K907" t="s">
        <v>28</v>
      </c>
      <c r="L907" t="str">
        <f t="shared" si="42"/>
        <v>No Show</v>
      </c>
      <c r="M907">
        <f t="shared" si="43"/>
        <v>1</v>
      </c>
      <c r="N907" t="str">
        <f t="shared" si="44"/>
        <v>Sunday</v>
      </c>
      <c r="O90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08" spans="1:15" x14ac:dyDescent="0.25">
      <c r="A908">
        <v>5906</v>
      </c>
      <c r="B908">
        <v>122</v>
      </c>
      <c r="C908">
        <v>1027</v>
      </c>
      <c r="D908" t="s">
        <v>22</v>
      </c>
      <c r="E908" s="1">
        <v>45743</v>
      </c>
      <c r="F908">
        <v>2246</v>
      </c>
      <c r="G908" t="s">
        <v>10</v>
      </c>
      <c r="H908" t="s">
        <v>19</v>
      </c>
      <c r="I908" t="s">
        <v>1928</v>
      </c>
      <c r="J908" t="str" cm="1">
        <f t="array" ref="J908">_xlfn.IFS(HOUR(I908)&lt;12,"Morning",HOUR(I908)&lt;17,"Afternoon",TRUE,"Evening")</f>
        <v>Morning</v>
      </c>
      <c r="K908" t="s">
        <v>28</v>
      </c>
      <c r="L908" t="str">
        <f t="shared" si="42"/>
        <v>No Show</v>
      </c>
      <c r="M908">
        <f t="shared" si="43"/>
        <v>1</v>
      </c>
      <c r="N908" t="str">
        <f t="shared" si="44"/>
        <v>Thursday</v>
      </c>
      <c r="O90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09" spans="1:15" x14ac:dyDescent="0.25">
      <c r="A909">
        <v>5907</v>
      </c>
      <c r="B909">
        <v>766</v>
      </c>
      <c r="C909">
        <v>1027</v>
      </c>
      <c r="D909" t="s">
        <v>24</v>
      </c>
      <c r="E909" s="1">
        <v>45773</v>
      </c>
      <c r="F909">
        <v>1656</v>
      </c>
      <c r="G909" t="s">
        <v>25</v>
      </c>
      <c r="H909" t="s">
        <v>11</v>
      </c>
      <c r="I909" t="s">
        <v>1916</v>
      </c>
      <c r="J909" t="str" cm="1">
        <f t="array" ref="J909">_xlfn.IFS(HOUR(I909)&lt;12,"Morning",HOUR(I909)&lt;17,"Afternoon",TRUE,"Evening")</f>
        <v>Afternoon</v>
      </c>
      <c r="K909" t="s">
        <v>12</v>
      </c>
      <c r="L909" t="str">
        <f t="shared" si="42"/>
        <v>Attended</v>
      </c>
      <c r="M909">
        <f t="shared" si="43"/>
        <v>0</v>
      </c>
      <c r="N909" t="str">
        <f t="shared" si="44"/>
        <v>Saturday</v>
      </c>
      <c r="O90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10" spans="1:15" x14ac:dyDescent="0.25">
      <c r="A910">
        <v>5908</v>
      </c>
      <c r="B910">
        <v>193</v>
      </c>
      <c r="C910">
        <v>1001</v>
      </c>
      <c r="D910" t="s">
        <v>22</v>
      </c>
      <c r="E910" s="1">
        <v>45521</v>
      </c>
      <c r="F910">
        <v>926</v>
      </c>
      <c r="G910" t="s">
        <v>25</v>
      </c>
      <c r="H910" t="s">
        <v>15</v>
      </c>
      <c r="I910" t="s">
        <v>1932</v>
      </c>
      <c r="J910" t="str" cm="1">
        <f t="array" ref="J910">_xlfn.IFS(HOUR(I910)&lt;12,"Morning",HOUR(I910)&lt;17,"Afternoon",TRUE,"Evening")</f>
        <v>Evening</v>
      </c>
      <c r="K910" t="s">
        <v>12</v>
      </c>
      <c r="L910" t="str">
        <f t="shared" si="42"/>
        <v>Attended</v>
      </c>
      <c r="M910">
        <f t="shared" si="43"/>
        <v>0</v>
      </c>
      <c r="N910" t="str">
        <f t="shared" si="44"/>
        <v>Saturday</v>
      </c>
      <c r="O91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11" spans="1:15" x14ac:dyDescent="0.25">
      <c r="A911">
        <v>5909</v>
      </c>
      <c r="B911">
        <v>428</v>
      </c>
      <c r="C911">
        <v>1027</v>
      </c>
      <c r="D911" t="s">
        <v>27</v>
      </c>
      <c r="E911" s="1">
        <v>45652</v>
      </c>
      <c r="F911">
        <v>1883</v>
      </c>
      <c r="G911" t="s">
        <v>14</v>
      </c>
      <c r="H911" t="s">
        <v>19</v>
      </c>
      <c r="I911" t="s">
        <v>1930</v>
      </c>
      <c r="J911" t="str" cm="1">
        <f t="array" ref="J911">_xlfn.IFS(HOUR(I911)&lt;12,"Morning",HOUR(I911)&lt;17,"Afternoon",TRUE,"Evening")</f>
        <v>Morning</v>
      </c>
      <c r="K911" t="s">
        <v>12</v>
      </c>
      <c r="L911" t="str">
        <f t="shared" si="42"/>
        <v>Attended</v>
      </c>
      <c r="M911">
        <f t="shared" si="43"/>
        <v>0</v>
      </c>
      <c r="N911" t="str">
        <f t="shared" si="44"/>
        <v>Thursday</v>
      </c>
      <c r="O91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12" spans="1:15" x14ac:dyDescent="0.25">
      <c r="A912">
        <v>5910</v>
      </c>
      <c r="B912">
        <v>126</v>
      </c>
      <c r="C912">
        <v>1008</v>
      </c>
      <c r="D912" t="s">
        <v>13</v>
      </c>
      <c r="E912" s="1">
        <v>45805</v>
      </c>
      <c r="F912">
        <v>2357</v>
      </c>
      <c r="G912" t="s">
        <v>17</v>
      </c>
      <c r="H912" t="s">
        <v>11</v>
      </c>
      <c r="I912" t="s">
        <v>1908</v>
      </c>
      <c r="J912" t="str" cm="1">
        <f t="array" ref="J912">_xlfn.IFS(HOUR(I912)&lt;12,"Morning",HOUR(I912)&lt;17,"Afternoon",TRUE,"Evening")</f>
        <v>Morning</v>
      </c>
      <c r="K912" t="s">
        <v>12</v>
      </c>
      <c r="L912" t="str">
        <f t="shared" si="42"/>
        <v>Attended</v>
      </c>
      <c r="M912">
        <f t="shared" si="43"/>
        <v>0</v>
      </c>
      <c r="N912" t="str">
        <f t="shared" si="44"/>
        <v>Wednesday</v>
      </c>
      <c r="O91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13" spans="1:15" x14ac:dyDescent="0.25">
      <c r="A913">
        <v>5911</v>
      </c>
      <c r="B913">
        <v>533</v>
      </c>
      <c r="C913">
        <v>1020</v>
      </c>
      <c r="D913" t="s">
        <v>26</v>
      </c>
      <c r="E913" s="1">
        <v>45807</v>
      </c>
      <c r="F913">
        <v>1459</v>
      </c>
      <c r="G913" t="s">
        <v>10</v>
      </c>
      <c r="H913" t="s">
        <v>15</v>
      </c>
      <c r="I913" t="s">
        <v>1941</v>
      </c>
      <c r="J913" t="str" cm="1">
        <f t="array" ref="J913">_xlfn.IFS(HOUR(I913)&lt;12,"Morning",HOUR(I913)&lt;17,"Afternoon",TRUE,"Evening")</f>
        <v>Morning</v>
      </c>
      <c r="K913" t="s">
        <v>12</v>
      </c>
      <c r="L913" t="str">
        <f t="shared" si="42"/>
        <v>Attended</v>
      </c>
      <c r="M913">
        <f t="shared" si="43"/>
        <v>0</v>
      </c>
      <c r="N913" t="str">
        <f t="shared" si="44"/>
        <v>Friday</v>
      </c>
      <c r="O91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14" spans="1:15" x14ac:dyDescent="0.25">
      <c r="A914">
        <v>5912</v>
      </c>
      <c r="B914">
        <v>980</v>
      </c>
      <c r="C914">
        <v>1001</v>
      </c>
      <c r="D914" t="s">
        <v>22</v>
      </c>
      <c r="E914" s="1">
        <v>45725</v>
      </c>
      <c r="F914">
        <v>949</v>
      </c>
      <c r="G914" t="s">
        <v>10</v>
      </c>
      <c r="H914" t="s">
        <v>19</v>
      </c>
      <c r="I914" t="s">
        <v>1911</v>
      </c>
      <c r="J914" t="str" cm="1">
        <f t="array" ref="J914">_xlfn.IFS(HOUR(I914)&lt;12,"Morning",HOUR(I914)&lt;17,"Afternoon",TRUE,"Evening")</f>
        <v>Morning</v>
      </c>
      <c r="K914" t="s">
        <v>12</v>
      </c>
      <c r="L914" t="str">
        <f t="shared" si="42"/>
        <v>Attended</v>
      </c>
      <c r="M914">
        <f t="shared" si="43"/>
        <v>0</v>
      </c>
      <c r="N914" t="str">
        <f t="shared" si="44"/>
        <v>Sunday</v>
      </c>
      <c r="O91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15" spans="1:15" x14ac:dyDescent="0.25">
      <c r="A915">
        <v>5913</v>
      </c>
      <c r="B915">
        <v>975</v>
      </c>
      <c r="C915">
        <v>1020</v>
      </c>
      <c r="D915" t="s">
        <v>26</v>
      </c>
      <c r="E915" s="1">
        <v>45608</v>
      </c>
      <c r="F915">
        <v>2106</v>
      </c>
      <c r="G915" t="s">
        <v>17</v>
      </c>
      <c r="H915" t="s">
        <v>19</v>
      </c>
      <c r="I915" t="s">
        <v>1931</v>
      </c>
      <c r="J915" t="str" cm="1">
        <f t="array" ref="J915">_xlfn.IFS(HOUR(I915)&lt;12,"Morning",HOUR(I915)&lt;17,"Afternoon",TRUE,"Evening")</f>
        <v>Afternoon</v>
      </c>
      <c r="K915" t="s">
        <v>12</v>
      </c>
      <c r="L915" t="str">
        <f t="shared" si="42"/>
        <v>Attended</v>
      </c>
      <c r="M915">
        <f t="shared" si="43"/>
        <v>0</v>
      </c>
      <c r="N915" t="str">
        <f t="shared" si="44"/>
        <v>Tuesday</v>
      </c>
      <c r="O91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16" spans="1:15" x14ac:dyDescent="0.25">
      <c r="A916">
        <v>5914</v>
      </c>
      <c r="B916">
        <v>644</v>
      </c>
      <c r="C916">
        <v>1027</v>
      </c>
      <c r="D916" t="s">
        <v>27</v>
      </c>
      <c r="E916" s="1">
        <v>45611</v>
      </c>
      <c r="F916">
        <v>2256</v>
      </c>
      <c r="G916" t="s">
        <v>10</v>
      </c>
      <c r="H916" t="s">
        <v>19</v>
      </c>
      <c r="I916" t="s">
        <v>1930</v>
      </c>
      <c r="J916" t="str" cm="1">
        <f t="array" ref="J916">_xlfn.IFS(HOUR(I916)&lt;12,"Morning",HOUR(I916)&lt;17,"Afternoon",TRUE,"Evening")</f>
        <v>Morning</v>
      </c>
      <c r="K916" t="s">
        <v>12</v>
      </c>
      <c r="L916" t="str">
        <f t="shared" si="42"/>
        <v>Attended</v>
      </c>
      <c r="M916">
        <f t="shared" si="43"/>
        <v>0</v>
      </c>
      <c r="N916" t="str">
        <f t="shared" si="44"/>
        <v>Friday</v>
      </c>
      <c r="O91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17" spans="1:15" x14ac:dyDescent="0.25">
      <c r="A917">
        <v>5915</v>
      </c>
      <c r="B917">
        <v>642</v>
      </c>
      <c r="C917">
        <v>1027</v>
      </c>
      <c r="D917" t="s">
        <v>24</v>
      </c>
      <c r="E917" s="1">
        <v>45695</v>
      </c>
      <c r="F917">
        <v>2008</v>
      </c>
      <c r="G917" t="s">
        <v>10</v>
      </c>
      <c r="H917" t="s">
        <v>15</v>
      </c>
      <c r="I917" t="s">
        <v>1919</v>
      </c>
      <c r="J917" t="str" cm="1">
        <f t="array" ref="J917">_xlfn.IFS(HOUR(I917)&lt;12,"Morning",HOUR(I917)&lt;17,"Afternoon",TRUE,"Evening")</f>
        <v>Evening</v>
      </c>
      <c r="K917" t="s">
        <v>12</v>
      </c>
      <c r="L917" t="str">
        <f t="shared" si="42"/>
        <v>Attended</v>
      </c>
      <c r="M917">
        <f t="shared" si="43"/>
        <v>0</v>
      </c>
      <c r="N917" t="str">
        <f t="shared" si="44"/>
        <v>Friday</v>
      </c>
      <c r="O91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18" spans="1:15" x14ac:dyDescent="0.25">
      <c r="A918">
        <v>5916</v>
      </c>
      <c r="B918">
        <v>336</v>
      </c>
      <c r="C918">
        <v>1001</v>
      </c>
      <c r="D918" t="s">
        <v>22</v>
      </c>
      <c r="E918" s="1">
        <v>45805</v>
      </c>
      <c r="F918">
        <v>2375</v>
      </c>
      <c r="G918" t="s">
        <v>10</v>
      </c>
      <c r="H918" t="s">
        <v>19</v>
      </c>
      <c r="I918" t="s">
        <v>1929</v>
      </c>
      <c r="J918" t="str" cm="1">
        <f t="array" ref="J918">_xlfn.IFS(HOUR(I918)&lt;12,"Morning",HOUR(I918)&lt;17,"Afternoon",TRUE,"Evening")</f>
        <v>Afternoon</v>
      </c>
      <c r="K918" t="s">
        <v>12</v>
      </c>
      <c r="L918" t="str">
        <f t="shared" si="42"/>
        <v>Attended</v>
      </c>
      <c r="M918">
        <f t="shared" si="43"/>
        <v>0</v>
      </c>
      <c r="N918" t="str">
        <f t="shared" si="44"/>
        <v>Wednesday</v>
      </c>
      <c r="O91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19" spans="1:15" x14ac:dyDescent="0.25">
      <c r="A919">
        <v>5917</v>
      </c>
      <c r="B919">
        <v>376</v>
      </c>
      <c r="C919">
        <v>1001</v>
      </c>
      <c r="D919" t="s">
        <v>22</v>
      </c>
      <c r="E919" s="1">
        <v>45494</v>
      </c>
      <c r="F919">
        <v>2112</v>
      </c>
      <c r="G919" t="s">
        <v>10</v>
      </c>
      <c r="H919" t="s">
        <v>15</v>
      </c>
      <c r="I919" t="s">
        <v>1939</v>
      </c>
      <c r="J919" t="str" cm="1">
        <f t="array" ref="J919">_xlfn.IFS(HOUR(I919)&lt;12,"Morning",HOUR(I919)&lt;17,"Afternoon",TRUE,"Evening")</f>
        <v>Afternoon</v>
      </c>
      <c r="K919" t="s">
        <v>20</v>
      </c>
      <c r="L919" t="str">
        <f t="shared" si="42"/>
        <v>No Show</v>
      </c>
      <c r="M919">
        <f t="shared" si="43"/>
        <v>1</v>
      </c>
      <c r="N919" t="str">
        <f t="shared" si="44"/>
        <v>Sunday</v>
      </c>
      <c r="O91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20" spans="1:15" x14ac:dyDescent="0.25">
      <c r="A920">
        <v>5918</v>
      </c>
      <c r="B920">
        <v>159</v>
      </c>
      <c r="C920">
        <v>1027</v>
      </c>
      <c r="D920" t="s">
        <v>24</v>
      </c>
      <c r="E920" s="1">
        <v>45573</v>
      </c>
      <c r="F920">
        <v>1376</v>
      </c>
      <c r="G920" t="s">
        <v>25</v>
      </c>
      <c r="H920" t="s">
        <v>15</v>
      </c>
      <c r="I920" t="s">
        <v>1910</v>
      </c>
      <c r="J920" t="str" cm="1">
        <f t="array" ref="J920">_xlfn.IFS(HOUR(I920)&lt;12,"Morning",HOUR(I920)&lt;17,"Afternoon",TRUE,"Evening")</f>
        <v>Evening</v>
      </c>
      <c r="K920" t="s">
        <v>12</v>
      </c>
      <c r="L920" t="str">
        <f t="shared" si="42"/>
        <v>Attended</v>
      </c>
      <c r="M920">
        <f t="shared" si="43"/>
        <v>0</v>
      </c>
      <c r="N920" t="str">
        <f t="shared" si="44"/>
        <v>Tuesday</v>
      </c>
      <c r="O92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21" spans="1:15" x14ac:dyDescent="0.25">
      <c r="A921">
        <v>5919</v>
      </c>
      <c r="B921">
        <v>1390</v>
      </c>
      <c r="C921">
        <v>1027</v>
      </c>
      <c r="D921" t="s">
        <v>21</v>
      </c>
      <c r="E921" s="1">
        <v>45753</v>
      </c>
      <c r="F921">
        <v>901</v>
      </c>
      <c r="G921" t="s">
        <v>17</v>
      </c>
      <c r="H921" t="s">
        <v>15</v>
      </c>
      <c r="I921" t="s">
        <v>1904</v>
      </c>
      <c r="J921" t="str" cm="1">
        <f t="array" ref="J921">_xlfn.IFS(HOUR(I921)&lt;12,"Morning",HOUR(I921)&lt;17,"Afternoon",TRUE,"Evening")</f>
        <v>Evening</v>
      </c>
      <c r="K921" t="s">
        <v>12</v>
      </c>
      <c r="L921" t="str">
        <f t="shared" si="42"/>
        <v>Attended</v>
      </c>
      <c r="M921">
        <f t="shared" si="43"/>
        <v>0</v>
      </c>
      <c r="N921" t="str">
        <f t="shared" si="44"/>
        <v>Sunday</v>
      </c>
      <c r="O92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22" spans="1:15" x14ac:dyDescent="0.25">
      <c r="A922">
        <v>5920</v>
      </c>
      <c r="B922">
        <v>1006</v>
      </c>
      <c r="C922">
        <v>1024</v>
      </c>
      <c r="D922" t="s">
        <v>16</v>
      </c>
      <c r="E922" s="1">
        <v>45747</v>
      </c>
      <c r="F922">
        <v>1850</v>
      </c>
      <c r="G922" t="s">
        <v>17</v>
      </c>
      <c r="H922" t="s">
        <v>19</v>
      </c>
      <c r="I922" t="s">
        <v>1911</v>
      </c>
      <c r="J922" t="str" cm="1">
        <f t="array" ref="J922">_xlfn.IFS(HOUR(I922)&lt;12,"Morning",HOUR(I922)&lt;17,"Afternoon",TRUE,"Evening")</f>
        <v>Morning</v>
      </c>
      <c r="K922" t="s">
        <v>12</v>
      </c>
      <c r="L922" t="str">
        <f t="shared" si="42"/>
        <v>Attended</v>
      </c>
      <c r="M922">
        <f t="shared" si="43"/>
        <v>0</v>
      </c>
      <c r="N922" t="str">
        <f t="shared" si="44"/>
        <v>Monday</v>
      </c>
      <c r="O92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23" spans="1:15" x14ac:dyDescent="0.25">
      <c r="A923">
        <v>5921</v>
      </c>
      <c r="B923">
        <v>779</v>
      </c>
      <c r="C923">
        <v>1027</v>
      </c>
      <c r="D923" t="s">
        <v>24</v>
      </c>
      <c r="E923" s="1">
        <v>45828</v>
      </c>
      <c r="F923">
        <v>1041</v>
      </c>
      <c r="G923" t="s">
        <v>14</v>
      </c>
      <c r="H923" t="s">
        <v>15</v>
      </c>
      <c r="I923" t="s">
        <v>1928</v>
      </c>
      <c r="J923" t="str" cm="1">
        <f t="array" ref="J923">_xlfn.IFS(HOUR(I923)&lt;12,"Morning",HOUR(I923)&lt;17,"Afternoon",TRUE,"Evening")</f>
        <v>Morning</v>
      </c>
      <c r="K923" t="s">
        <v>23</v>
      </c>
      <c r="L923" t="str">
        <f t="shared" si="42"/>
        <v>No Show</v>
      </c>
      <c r="M923">
        <f t="shared" si="43"/>
        <v>1</v>
      </c>
      <c r="N923" t="str">
        <f t="shared" si="44"/>
        <v>Friday</v>
      </c>
      <c r="O92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24" spans="1:15" x14ac:dyDescent="0.25">
      <c r="A924">
        <v>5922</v>
      </c>
      <c r="B924">
        <v>752</v>
      </c>
      <c r="C924">
        <v>1020</v>
      </c>
      <c r="D924" t="s">
        <v>26</v>
      </c>
      <c r="E924" s="1">
        <v>45804</v>
      </c>
      <c r="F924">
        <v>1477</v>
      </c>
      <c r="G924" t="s">
        <v>25</v>
      </c>
      <c r="H924" t="s">
        <v>15</v>
      </c>
      <c r="I924" t="s">
        <v>1924</v>
      </c>
      <c r="J924" t="str" cm="1">
        <f t="array" ref="J924">_xlfn.IFS(HOUR(I924)&lt;12,"Morning",HOUR(I924)&lt;17,"Afternoon",TRUE,"Evening")</f>
        <v>Afternoon</v>
      </c>
      <c r="K924" t="s">
        <v>12</v>
      </c>
      <c r="L924" t="str">
        <f t="shared" si="42"/>
        <v>Attended</v>
      </c>
      <c r="M924">
        <f t="shared" si="43"/>
        <v>0</v>
      </c>
      <c r="N924" t="str">
        <f t="shared" si="44"/>
        <v>Tuesday</v>
      </c>
      <c r="O92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25" spans="1:15" x14ac:dyDescent="0.25">
      <c r="A925">
        <v>5923</v>
      </c>
      <c r="B925">
        <v>1060</v>
      </c>
      <c r="C925">
        <v>1009</v>
      </c>
      <c r="D925" t="s">
        <v>13</v>
      </c>
      <c r="E925" s="1">
        <v>45676</v>
      </c>
      <c r="F925">
        <v>2377</v>
      </c>
      <c r="G925" t="s">
        <v>17</v>
      </c>
      <c r="H925" t="s">
        <v>15</v>
      </c>
      <c r="I925" t="s">
        <v>1917</v>
      </c>
      <c r="J925" t="str" cm="1">
        <f t="array" ref="J925">_xlfn.IFS(HOUR(I925)&lt;12,"Morning",HOUR(I925)&lt;17,"Afternoon",TRUE,"Evening")</f>
        <v>Afternoon</v>
      </c>
      <c r="K925" t="s">
        <v>12</v>
      </c>
      <c r="L925" t="str">
        <f t="shared" si="42"/>
        <v>Attended</v>
      </c>
      <c r="M925">
        <f t="shared" si="43"/>
        <v>0</v>
      </c>
      <c r="N925" t="str">
        <f t="shared" si="44"/>
        <v>Sunday</v>
      </c>
      <c r="O925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26" spans="1:15" x14ac:dyDescent="0.25">
      <c r="A926">
        <v>5924</v>
      </c>
      <c r="B926">
        <v>1313</v>
      </c>
      <c r="C926">
        <v>1027</v>
      </c>
      <c r="D926" t="s">
        <v>9</v>
      </c>
      <c r="E926" s="1">
        <v>45572</v>
      </c>
      <c r="F926">
        <v>1387</v>
      </c>
      <c r="G926" t="s">
        <v>10</v>
      </c>
      <c r="H926" t="s">
        <v>19</v>
      </c>
      <c r="I926" t="s">
        <v>1933</v>
      </c>
      <c r="J926" t="str" cm="1">
        <f t="array" ref="J926">_xlfn.IFS(HOUR(I926)&lt;12,"Morning",HOUR(I926)&lt;17,"Afternoon",TRUE,"Evening")</f>
        <v>Evening</v>
      </c>
      <c r="K926" t="s">
        <v>28</v>
      </c>
      <c r="L926" t="str">
        <f t="shared" si="42"/>
        <v>No Show</v>
      </c>
      <c r="M926">
        <f t="shared" si="43"/>
        <v>1</v>
      </c>
      <c r="N926" t="str">
        <f t="shared" si="44"/>
        <v>Monday</v>
      </c>
      <c r="O92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27" spans="1:15" x14ac:dyDescent="0.25">
      <c r="A927">
        <v>5925</v>
      </c>
      <c r="B927">
        <v>181</v>
      </c>
      <c r="C927">
        <v>1027</v>
      </c>
      <c r="D927" t="s">
        <v>21</v>
      </c>
      <c r="E927" s="1">
        <v>45735</v>
      </c>
      <c r="F927">
        <v>1282</v>
      </c>
      <c r="G927" t="s">
        <v>17</v>
      </c>
      <c r="H927" t="s">
        <v>19</v>
      </c>
      <c r="I927" t="s">
        <v>1918</v>
      </c>
      <c r="J927" t="str" cm="1">
        <f t="array" ref="J927">_xlfn.IFS(HOUR(I927)&lt;12,"Morning",HOUR(I927)&lt;17,"Afternoon",TRUE,"Evening")</f>
        <v>Evening</v>
      </c>
      <c r="K927" t="s">
        <v>12</v>
      </c>
      <c r="L927" t="str">
        <f t="shared" si="42"/>
        <v>Attended</v>
      </c>
      <c r="M927">
        <f t="shared" si="43"/>
        <v>0</v>
      </c>
      <c r="N927" t="str">
        <f t="shared" si="44"/>
        <v>Wednesday</v>
      </c>
      <c r="O92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28" spans="1:15" x14ac:dyDescent="0.25">
      <c r="A928">
        <v>5926</v>
      </c>
      <c r="B928">
        <v>1575</v>
      </c>
      <c r="C928">
        <v>1002</v>
      </c>
      <c r="D928" t="s">
        <v>18</v>
      </c>
      <c r="E928" s="1">
        <v>45575</v>
      </c>
      <c r="F928">
        <v>1036</v>
      </c>
      <c r="G928" t="s">
        <v>14</v>
      </c>
      <c r="H928" t="s">
        <v>11</v>
      </c>
      <c r="I928" t="s">
        <v>1919</v>
      </c>
      <c r="J928" t="str" cm="1">
        <f t="array" ref="J928">_xlfn.IFS(HOUR(I928)&lt;12,"Morning",HOUR(I928)&lt;17,"Afternoon",TRUE,"Evening")</f>
        <v>Evening</v>
      </c>
      <c r="K928" t="s">
        <v>12</v>
      </c>
      <c r="L928" t="str">
        <f t="shared" si="42"/>
        <v>Attended</v>
      </c>
      <c r="M928">
        <f t="shared" si="43"/>
        <v>0</v>
      </c>
      <c r="N928" t="str">
        <f t="shared" si="44"/>
        <v>Thursday</v>
      </c>
      <c r="O92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29" spans="1:15" x14ac:dyDescent="0.25">
      <c r="A929">
        <v>5927</v>
      </c>
      <c r="B929">
        <v>108</v>
      </c>
      <c r="C929">
        <v>1027</v>
      </c>
      <c r="D929" t="s">
        <v>9</v>
      </c>
      <c r="E929" s="1">
        <v>45574</v>
      </c>
      <c r="F929">
        <v>1805</v>
      </c>
      <c r="G929" t="s">
        <v>10</v>
      </c>
      <c r="H929" t="s">
        <v>11</v>
      </c>
      <c r="I929" t="s">
        <v>1921</v>
      </c>
      <c r="J929" t="str" cm="1">
        <f t="array" ref="J929">_xlfn.IFS(HOUR(I929)&lt;12,"Morning",HOUR(I929)&lt;17,"Afternoon",TRUE,"Evening")</f>
        <v>Afternoon</v>
      </c>
      <c r="K929" t="s">
        <v>12</v>
      </c>
      <c r="L929" t="str">
        <f t="shared" si="42"/>
        <v>Attended</v>
      </c>
      <c r="M929">
        <f t="shared" si="43"/>
        <v>0</v>
      </c>
      <c r="N929" t="str">
        <f t="shared" si="44"/>
        <v>Wednesday</v>
      </c>
      <c r="O92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30" spans="1:15" x14ac:dyDescent="0.25">
      <c r="A930">
        <v>5928</v>
      </c>
      <c r="B930">
        <v>402</v>
      </c>
      <c r="C930">
        <v>1008</v>
      </c>
      <c r="D930" t="s">
        <v>13</v>
      </c>
      <c r="E930" s="1">
        <v>45833</v>
      </c>
      <c r="F930">
        <v>1331</v>
      </c>
      <c r="G930" t="s">
        <v>14</v>
      </c>
      <c r="H930" t="s">
        <v>11</v>
      </c>
      <c r="I930" t="s">
        <v>1908</v>
      </c>
      <c r="J930" t="str" cm="1">
        <f t="array" ref="J930">_xlfn.IFS(HOUR(I930)&lt;12,"Morning",HOUR(I930)&lt;17,"Afternoon",TRUE,"Evening")</f>
        <v>Morning</v>
      </c>
      <c r="K930" t="s">
        <v>23</v>
      </c>
      <c r="L930" t="str">
        <f t="shared" si="42"/>
        <v>No Show</v>
      </c>
      <c r="M930">
        <f t="shared" si="43"/>
        <v>1</v>
      </c>
      <c r="N930" t="str">
        <f t="shared" si="44"/>
        <v>Wednesday</v>
      </c>
      <c r="O93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31" spans="1:15" x14ac:dyDescent="0.25">
      <c r="A931">
        <v>5929</v>
      </c>
      <c r="B931">
        <v>238</v>
      </c>
      <c r="C931">
        <v>1027</v>
      </c>
      <c r="D931" t="s">
        <v>27</v>
      </c>
      <c r="E931" s="1">
        <v>45732</v>
      </c>
      <c r="F931">
        <v>2072</v>
      </c>
      <c r="G931" t="s">
        <v>14</v>
      </c>
      <c r="H931" t="s">
        <v>11</v>
      </c>
      <c r="I931" t="s">
        <v>1915</v>
      </c>
      <c r="J931" t="str" cm="1">
        <f t="array" ref="J931">_xlfn.IFS(HOUR(I931)&lt;12,"Morning",HOUR(I931)&lt;17,"Afternoon",TRUE,"Evening")</f>
        <v>Afternoon</v>
      </c>
      <c r="K931" t="s">
        <v>12</v>
      </c>
      <c r="L931" t="str">
        <f t="shared" si="42"/>
        <v>Attended</v>
      </c>
      <c r="M931">
        <f t="shared" si="43"/>
        <v>0</v>
      </c>
      <c r="N931" t="str">
        <f t="shared" si="44"/>
        <v>Sunday</v>
      </c>
      <c r="O93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32" spans="1:15" x14ac:dyDescent="0.25">
      <c r="A932">
        <v>5930</v>
      </c>
      <c r="B932">
        <v>816</v>
      </c>
      <c r="C932">
        <v>1024</v>
      </c>
      <c r="D932" t="s">
        <v>16</v>
      </c>
      <c r="E932" s="1">
        <v>45610</v>
      </c>
      <c r="F932">
        <v>2231</v>
      </c>
      <c r="G932" t="s">
        <v>10</v>
      </c>
      <c r="H932" t="s">
        <v>15</v>
      </c>
      <c r="I932" t="s">
        <v>1935</v>
      </c>
      <c r="J932" t="str" cm="1">
        <f t="array" ref="J932">_xlfn.IFS(HOUR(I932)&lt;12,"Morning",HOUR(I932)&lt;17,"Afternoon",TRUE,"Evening")</f>
        <v>Afternoon</v>
      </c>
      <c r="K932" t="s">
        <v>28</v>
      </c>
      <c r="L932" t="str">
        <f t="shared" si="42"/>
        <v>No Show</v>
      </c>
      <c r="M932">
        <f t="shared" si="43"/>
        <v>1</v>
      </c>
      <c r="N932" t="str">
        <f t="shared" si="44"/>
        <v>Thursday</v>
      </c>
      <c r="O93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33" spans="1:15" x14ac:dyDescent="0.25">
      <c r="A933">
        <v>5931</v>
      </c>
      <c r="B933">
        <v>1258</v>
      </c>
      <c r="C933">
        <v>1020</v>
      </c>
      <c r="D933" t="s">
        <v>26</v>
      </c>
      <c r="E933" s="1">
        <v>45545</v>
      </c>
      <c r="F933">
        <v>1041</v>
      </c>
      <c r="G933" t="s">
        <v>14</v>
      </c>
      <c r="H933" t="s">
        <v>15</v>
      </c>
      <c r="I933" t="s">
        <v>1941</v>
      </c>
      <c r="J933" t="str" cm="1">
        <f t="array" ref="J933">_xlfn.IFS(HOUR(I933)&lt;12,"Morning",HOUR(I933)&lt;17,"Afternoon",TRUE,"Evening")</f>
        <v>Morning</v>
      </c>
      <c r="K933" t="s">
        <v>12</v>
      </c>
      <c r="L933" t="str">
        <f t="shared" si="42"/>
        <v>Attended</v>
      </c>
      <c r="M933">
        <f t="shared" si="43"/>
        <v>0</v>
      </c>
      <c r="N933" t="str">
        <f t="shared" si="44"/>
        <v>Tuesday</v>
      </c>
      <c r="O93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34" spans="1:15" x14ac:dyDescent="0.25">
      <c r="A934">
        <v>5932</v>
      </c>
      <c r="B934">
        <v>451</v>
      </c>
      <c r="C934">
        <v>1020</v>
      </c>
      <c r="D934" t="s">
        <v>26</v>
      </c>
      <c r="E934" s="1">
        <v>45676</v>
      </c>
      <c r="F934">
        <v>1188</v>
      </c>
      <c r="G934" t="s">
        <v>25</v>
      </c>
      <c r="H934" t="s">
        <v>15</v>
      </c>
      <c r="I934" t="s">
        <v>1918</v>
      </c>
      <c r="J934" t="str" cm="1">
        <f t="array" ref="J934">_xlfn.IFS(HOUR(I934)&lt;12,"Morning",HOUR(I934)&lt;17,"Afternoon",TRUE,"Evening")</f>
        <v>Evening</v>
      </c>
      <c r="K934" t="s">
        <v>12</v>
      </c>
      <c r="L934" t="str">
        <f t="shared" si="42"/>
        <v>Attended</v>
      </c>
      <c r="M934">
        <f t="shared" si="43"/>
        <v>0</v>
      </c>
      <c r="N934" t="str">
        <f t="shared" si="44"/>
        <v>Sunday</v>
      </c>
      <c r="O93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35" spans="1:15" x14ac:dyDescent="0.25">
      <c r="A935">
        <v>5933</v>
      </c>
      <c r="B935">
        <v>249</v>
      </c>
      <c r="C935">
        <v>1020</v>
      </c>
      <c r="D935" t="s">
        <v>26</v>
      </c>
      <c r="E935" s="1">
        <v>45713</v>
      </c>
      <c r="F935">
        <v>1494</v>
      </c>
      <c r="G935" t="s">
        <v>25</v>
      </c>
      <c r="H935" t="s">
        <v>11</v>
      </c>
      <c r="I935" t="s">
        <v>1914</v>
      </c>
      <c r="J935" t="str" cm="1">
        <f t="array" ref="J935">_xlfn.IFS(HOUR(I935)&lt;12,"Morning",HOUR(I935)&lt;17,"Afternoon",TRUE,"Evening")</f>
        <v>Afternoon</v>
      </c>
      <c r="K935" t="s">
        <v>12</v>
      </c>
      <c r="L935" t="str">
        <f t="shared" si="42"/>
        <v>Attended</v>
      </c>
      <c r="M935">
        <f t="shared" si="43"/>
        <v>0</v>
      </c>
      <c r="N935" t="str">
        <f t="shared" si="44"/>
        <v>Tuesday</v>
      </c>
      <c r="O93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36" spans="1:15" x14ac:dyDescent="0.25">
      <c r="A936">
        <v>5934</v>
      </c>
      <c r="B936">
        <v>1293</v>
      </c>
      <c r="C936">
        <v>1027</v>
      </c>
      <c r="D936" t="s">
        <v>9</v>
      </c>
      <c r="E936" s="1">
        <v>45676</v>
      </c>
      <c r="F936">
        <v>995</v>
      </c>
      <c r="G936" t="s">
        <v>10</v>
      </c>
      <c r="H936" t="s">
        <v>19</v>
      </c>
      <c r="I936" t="s">
        <v>1911</v>
      </c>
      <c r="J936" t="str" cm="1">
        <f t="array" ref="J936">_xlfn.IFS(HOUR(I936)&lt;12,"Morning",HOUR(I936)&lt;17,"Afternoon",TRUE,"Evening")</f>
        <v>Morning</v>
      </c>
      <c r="K936" t="s">
        <v>12</v>
      </c>
      <c r="L936" t="str">
        <f t="shared" si="42"/>
        <v>Attended</v>
      </c>
      <c r="M936">
        <f t="shared" si="43"/>
        <v>0</v>
      </c>
      <c r="N936" t="str">
        <f t="shared" si="44"/>
        <v>Sunday</v>
      </c>
      <c r="O93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37" spans="1:15" x14ac:dyDescent="0.25">
      <c r="A937">
        <v>5935</v>
      </c>
      <c r="B937">
        <v>551</v>
      </c>
      <c r="C937">
        <v>1002</v>
      </c>
      <c r="D937" t="s">
        <v>18</v>
      </c>
      <c r="E937" s="1">
        <v>45725</v>
      </c>
      <c r="F937">
        <v>859</v>
      </c>
      <c r="G937" t="s">
        <v>25</v>
      </c>
      <c r="H937" t="s">
        <v>15</v>
      </c>
      <c r="I937" t="s">
        <v>1924</v>
      </c>
      <c r="J937" t="str" cm="1">
        <f t="array" ref="J937">_xlfn.IFS(HOUR(I937)&lt;12,"Morning",HOUR(I937)&lt;17,"Afternoon",TRUE,"Evening")</f>
        <v>Afternoon</v>
      </c>
      <c r="K937" t="s">
        <v>12</v>
      </c>
      <c r="L937" t="str">
        <f t="shared" si="42"/>
        <v>Attended</v>
      </c>
      <c r="M937">
        <f t="shared" si="43"/>
        <v>0</v>
      </c>
      <c r="N937" t="str">
        <f t="shared" si="44"/>
        <v>Sunday</v>
      </c>
      <c r="O937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38" spans="1:15" x14ac:dyDescent="0.25">
      <c r="A938">
        <v>5936</v>
      </c>
      <c r="B938">
        <v>539</v>
      </c>
      <c r="C938">
        <v>1001</v>
      </c>
      <c r="D938" t="s">
        <v>18</v>
      </c>
      <c r="E938" s="1">
        <v>45528</v>
      </c>
      <c r="F938">
        <v>1762</v>
      </c>
      <c r="G938" t="s">
        <v>25</v>
      </c>
      <c r="H938" t="s">
        <v>19</v>
      </c>
      <c r="I938" t="s">
        <v>1919</v>
      </c>
      <c r="J938" t="str" cm="1">
        <f t="array" ref="J938">_xlfn.IFS(HOUR(I938)&lt;12,"Morning",HOUR(I938)&lt;17,"Afternoon",TRUE,"Evening")</f>
        <v>Evening</v>
      </c>
      <c r="K938" t="s">
        <v>12</v>
      </c>
      <c r="L938" t="str">
        <f t="shared" si="42"/>
        <v>Attended</v>
      </c>
      <c r="M938">
        <f t="shared" si="43"/>
        <v>0</v>
      </c>
      <c r="N938" t="str">
        <f t="shared" si="44"/>
        <v>Saturday</v>
      </c>
      <c r="O93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39" spans="1:15" x14ac:dyDescent="0.25">
      <c r="A939">
        <v>5937</v>
      </c>
      <c r="B939">
        <v>178</v>
      </c>
      <c r="C939">
        <v>1027</v>
      </c>
      <c r="D939" t="s">
        <v>22</v>
      </c>
      <c r="E939" s="1">
        <v>45542</v>
      </c>
      <c r="F939">
        <v>2074</v>
      </c>
      <c r="G939" t="s">
        <v>25</v>
      </c>
      <c r="H939" t="s">
        <v>11</v>
      </c>
      <c r="I939" t="s">
        <v>1924</v>
      </c>
      <c r="J939" t="str" cm="1">
        <f t="array" ref="J939">_xlfn.IFS(HOUR(I939)&lt;12,"Morning",HOUR(I939)&lt;17,"Afternoon",TRUE,"Evening")</f>
        <v>Afternoon</v>
      </c>
      <c r="K939" t="s">
        <v>12</v>
      </c>
      <c r="L939" t="str">
        <f t="shared" si="42"/>
        <v>Attended</v>
      </c>
      <c r="M939">
        <f t="shared" si="43"/>
        <v>0</v>
      </c>
      <c r="N939" t="str">
        <f t="shared" si="44"/>
        <v>Saturday</v>
      </c>
      <c r="O93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40" spans="1:15" x14ac:dyDescent="0.25">
      <c r="A940">
        <v>5938</v>
      </c>
      <c r="B940">
        <v>469</v>
      </c>
      <c r="C940">
        <v>1027</v>
      </c>
      <c r="D940" t="s">
        <v>9</v>
      </c>
      <c r="E940" s="1">
        <v>45592</v>
      </c>
      <c r="F940">
        <v>1497</v>
      </c>
      <c r="G940" t="s">
        <v>17</v>
      </c>
      <c r="H940" t="s">
        <v>19</v>
      </c>
      <c r="I940" t="s">
        <v>1916</v>
      </c>
      <c r="J940" t="str" cm="1">
        <f t="array" ref="J940">_xlfn.IFS(HOUR(I940)&lt;12,"Morning",HOUR(I940)&lt;17,"Afternoon",TRUE,"Evening")</f>
        <v>Afternoon</v>
      </c>
      <c r="K940" t="s">
        <v>12</v>
      </c>
      <c r="L940" t="str">
        <f t="shared" si="42"/>
        <v>Attended</v>
      </c>
      <c r="M940">
        <f t="shared" si="43"/>
        <v>0</v>
      </c>
      <c r="N940" t="str">
        <f t="shared" si="44"/>
        <v>Sunday</v>
      </c>
      <c r="O940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41" spans="1:15" x14ac:dyDescent="0.25">
      <c r="A941">
        <v>5939</v>
      </c>
      <c r="B941">
        <v>311</v>
      </c>
      <c r="C941">
        <v>1001</v>
      </c>
      <c r="D941" t="s">
        <v>18</v>
      </c>
      <c r="E941" s="1">
        <v>45529</v>
      </c>
      <c r="F941">
        <v>1559</v>
      </c>
      <c r="G941" t="s">
        <v>25</v>
      </c>
      <c r="H941" t="s">
        <v>15</v>
      </c>
      <c r="I941" t="s">
        <v>1935</v>
      </c>
      <c r="J941" t="str" cm="1">
        <f t="array" ref="J941">_xlfn.IFS(HOUR(I941)&lt;12,"Morning",HOUR(I941)&lt;17,"Afternoon",TRUE,"Evening")</f>
        <v>Afternoon</v>
      </c>
      <c r="K941" t="s">
        <v>12</v>
      </c>
      <c r="L941" t="str">
        <f t="shared" si="42"/>
        <v>Attended</v>
      </c>
      <c r="M941">
        <f t="shared" si="43"/>
        <v>0</v>
      </c>
      <c r="N941" t="str">
        <f t="shared" si="44"/>
        <v>Sunday</v>
      </c>
      <c r="O941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42" spans="1:15" x14ac:dyDescent="0.25">
      <c r="A942">
        <v>5940</v>
      </c>
      <c r="B942">
        <v>1482</v>
      </c>
      <c r="C942">
        <v>1027</v>
      </c>
      <c r="D942" t="s">
        <v>21</v>
      </c>
      <c r="E942" s="1">
        <v>45638</v>
      </c>
      <c r="F942">
        <v>1828</v>
      </c>
      <c r="G942" t="s">
        <v>14</v>
      </c>
      <c r="H942" t="s">
        <v>19</v>
      </c>
      <c r="I942" t="s">
        <v>1915</v>
      </c>
      <c r="J942" t="str" cm="1">
        <f t="array" ref="J942">_xlfn.IFS(HOUR(I942)&lt;12,"Morning",HOUR(I942)&lt;17,"Afternoon",TRUE,"Evening")</f>
        <v>Afternoon</v>
      </c>
      <c r="K942" t="s">
        <v>20</v>
      </c>
      <c r="L942" t="str">
        <f t="shared" si="42"/>
        <v>No Show</v>
      </c>
      <c r="M942">
        <f t="shared" si="43"/>
        <v>1</v>
      </c>
      <c r="N942" t="str">
        <f t="shared" si="44"/>
        <v>Thursday</v>
      </c>
      <c r="O94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43" spans="1:15" x14ac:dyDescent="0.25">
      <c r="A943">
        <v>5941</v>
      </c>
      <c r="B943">
        <v>345</v>
      </c>
      <c r="C943">
        <v>1024</v>
      </c>
      <c r="D943" t="s">
        <v>16</v>
      </c>
      <c r="E943" s="1">
        <v>45487</v>
      </c>
      <c r="F943">
        <v>2361</v>
      </c>
      <c r="G943" t="s">
        <v>10</v>
      </c>
      <c r="H943" t="s">
        <v>19</v>
      </c>
      <c r="I943" t="s">
        <v>1909</v>
      </c>
      <c r="J943" t="str" cm="1">
        <f t="array" ref="J943">_xlfn.IFS(HOUR(I943)&lt;12,"Morning",HOUR(I943)&lt;17,"Afternoon",TRUE,"Evening")</f>
        <v>Afternoon</v>
      </c>
      <c r="K943" t="s">
        <v>12</v>
      </c>
      <c r="L943" t="str">
        <f t="shared" si="42"/>
        <v>Attended</v>
      </c>
      <c r="M943">
        <f t="shared" si="43"/>
        <v>0</v>
      </c>
      <c r="N943" t="str">
        <f t="shared" si="44"/>
        <v>Sunday</v>
      </c>
      <c r="O94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44" spans="1:15" x14ac:dyDescent="0.25">
      <c r="A944">
        <v>5942</v>
      </c>
      <c r="B944">
        <v>514</v>
      </c>
      <c r="C944">
        <v>1002</v>
      </c>
      <c r="D944" t="s">
        <v>18</v>
      </c>
      <c r="E944" s="1">
        <v>45489</v>
      </c>
      <c r="F944">
        <v>1822</v>
      </c>
      <c r="G944" t="s">
        <v>14</v>
      </c>
      <c r="H944" t="s">
        <v>15</v>
      </c>
      <c r="I944" t="s">
        <v>1921</v>
      </c>
      <c r="J944" t="str" cm="1">
        <f t="array" ref="J944">_xlfn.IFS(HOUR(I944)&lt;12,"Morning",HOUR(I944)&lt;17,"Afternoon",TRUE,"Evening")</f>
        <v>Afternoon</v>
      </c>
      <c r="K944" t="s">
        <v>12</v>
      </c>
      <c r="L944" t="str">
        <f t="shared" si="42"/>
        <v>Attended</v>
      </c>
      <c r="M944">
        <f t="shared" si="43"/>
        <v>0</v>
      </c>
      <c r="N944" t="str">
        <f t="shared" si="44"/>
        <v>Tuesday</v>
      </c>
      <c r="O94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45" spans="1:15" x14ac:dyDescent="0.25">
      <c r="A945">
        <v>5943</v>
      </c>
      <c r="B945">
        <v>160</v>
      </c>
      <c r="C945">
        <v>1027</v>
      </c>
      <c r="D945" t="s">
        <v>9</v>
      </c>
      <c r="E945" s="1">
        <v>45747</v>
      </c>
      <c r="F945">
        <v>2232</v>
      </c>
      <c r="G945" t="s">
        <v>14</v>
      </c>
      <c r="H945" t="s">
        <v>19</v>
      </c>
      <c r="I945" t="s">
        <v>1916</v>
      </c>
      <c r="J945" t="str" cm="1">
        <f t="array" ref="J945">_xlfn.IFS(HOUR(I945)&lt;12,"Morning",HOUR(I945)&lt;17,"Afternoon",TRUE,"Evening")</f>
        <v>Afternoon</v>
      </c>
      <c r="K945" t="s">
        <v>12</v>
      </c>
      <c r="L945" t="str">
        <f t="shared" si="42"/>
        <v>Attended</v>
      </c>
      <c r="M945">
        <f t="shared" si="43"/>
        <v>0</v>
      </c>
      <c r="N945" t="str">
        <f t="shared" si="44"/>
        <v>Monday</v>
      </c>
      <c r="O94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46" spans="1:15" x14ac:dyDescent="0.25">
      <c r="A946">
        <v>5944</v>
      </c>
      <c r="B946">
        <v>764</v>
      </c>
      <c r="C946">
        <v>1008</v>
      </c>
      <c r="D946" t="s">
        <v>13</v>
      </c>
      <c r="E946" s="1">
        <v>45606</v>
      </c>
      <c r="F946">
        <v>1154</v>
      </c>
      <c r="G946" t="s">
        <v>14</v>
      </c>
      <c r="H946" t="s">
        <v>11</v>
      </c>
      <c r="I946" t="s">
        <v>1906</v>
      </c>
      <c r="J946" t="str" cm="1">
        <f t="array" ref="J946">_xlfn.IFS(HOUR(I946)&lt;12,"Morning",HOUR(I946)&lt;17,"Afternoon",TRUE,"Evening")</f>
        <v>Afternoon</v>
      </c>
      <c r="K946" t="s">
        <v>12</v>
      </c>
      <c r="L946" t="str">
        <f t="shared" si="42"/>
        <v>Attended</v>
      </c>
      <c r="M946">
        <f t="shared" si="43"/>
        <v>0</v>
      </c>
      <c r="N946" t="str">
        <f t="shared" si="44"/>
        <v>Sunday</v>
      </c>
      <c r="O946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47" spans="1:15" x14ac:dyDescent="0.25">
      <c r="A947">
        <v>5945</v>
      </c>
      <c r="B947">
        <v>989</v>
      </c>
      <c r="C947">
        <v>1027</v>
      </c>
      <c r="D947" t="s">
        <v>24</v>
      </c>
      <c r="E947" s="1">
        <v>45527</v>
      </c>
      <c r="F947">
        <v>1350</v>
      </c>
      <c r="G947" t="s">
        <v>10</v>
      </c>
      <c r="H947" t="s">
        <v>19</v>
      </c>
      <c r="I947" t="s">
        <v>1907</v>
      </c>
      <c r="J947" t="str" cm="1">
        <f t="array" ref="J947">_xlfn.IFS(HOUR(I947)&lt;12,"Morning",HOUR(I947)&lt;17,"Afternoon",TRUE,"Evening")</f>
        <v>Afternoon</v>
      </c>
      <c r="K947" t="s">
        <v>12</v>
      </c>
      <c r="L947" t="str">
        <f t="shared" si="42"/>
        <v>Attended</v>
      </c>
      <c r="M947">
        <f t="shared" si="43"/>
        <v>0</v>
      </c>
      <c r="N947" t="str">
        <f t="shared" si="44"/>
        <v>Friday</v>
      </c>
      <c r="O94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48" spans="1:15" x14ac:dyDescent="0.25">
      <c r="A948">
        <v>5946</v>
      </c>
      <c r="B948">
        <v>1033</v>
      </c>
      <c r="C948">
        <v>1027</v>
      </c>
      <c r="D948" t="s">
        <v>24</v>
      </c>
      <c r="E948" s="1">
        <v>45695</v>
      </c>
      <c r="F948">
        <v>1903</v>
      </c>
      <c r="G948" t="s">
        <v>25</v>
      </c>
      <c r="H948" t="s">
        <v>11</v>
      </c>
      <c r="I948" t="s">
        <v>1910</v>
      </c>
      <c r="J948" t="str" cm="1">
        <f t="array" ref="J948">_xlfn.IFS(HOUR(I948)&lt;12,"Morning",HOUR(I948)&lt;17,"Afternoon",TRUE,"Evening")</f>
        <v>Evening</v>
      </c>
      <c r="K948" t="s">
        <v>12</v>
      </c>
      <c r="L948" t="str">
        <f t="shared" si="42"/>
        <v>Attended</v>
      </c>
      <c r="M948">
        <f t="shared" si="43"/>
        <v>0</v>
      </c>
      <c r="N948" t="str">
        <f t="shared" si="44"/>
        <v>Friday</v>
      </c>
      <c r="O94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49" spans="1:15" x14ac:dyDescent="0.25">
      <c r="A949">
        <v>5947</v>
      </c>
      <c r="B949">
        <v>121</v>
      </c>
      <c r="C949">
        <v>1024</v>
      </c>
      <c r="D949" t="s">
        <v>16</v>
      </c>
      <c r="E949" s="1">
        <v>45738</v>
      </c>
      <c r="F949">
        <v>842</v>
      </c>
      <c r="G949" t="s">
        <v>14</v>
      </c>
      <c r="H949" t="s">
        <v>19</v>
      </c>
      <c r="I949" t="s">
        <v>1921</v>
      </c>
      <c r="J949" t="str" cm="1">
        <f t="array" ref="J949">_xlfn.IFS(HOUR(I949)&lt;12,"Morning",HOUR(I949)&lt;17,"Afternoon",TRUE,"Evening")</f>
        <v>Afternoon</v>
      </c>
      <c r="K949" t="s">
        <v>12</v>
      </c>
      <c r="L949" t="str">
        <f t="shared" si="42"/>
        <v>Attended</v>
      </c>
      <c r="M949">
        <f t="shared" si="43"/>
        <v>0</v>
      </c>
      <c r="N949" t="str">
        <f t="shared" si="44"/>
        <v>Saturday</v>
      </c>
      <c r="O94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50" spans="1:15" x14ac:dyDescent="0.25">
      <c r="A950">
        <v>5948</v>
      </c>
      <c r="B950">
        <v>483</v>
      </c>
      <c r="C950">
        <v>1027</v>
      </c>
      <c r="D950" t="s">
        <v>9</v>
      </c>
      <c r="E950" s="1">
        <v>45530</v>
      </c>
      <c r="F950">
        <v>1958</v>
      </c>
      <c r="G950" t="s">
        <v>25</v>
      </c>
      <c r="H950" t="s">
        <v>19</v>
      </c>
      <c r="I950" t="s">
        <v>1939</v>
      </c>
      <c r="J950" t="str" cm="1">
        <f t="array" ref="J950">_xlfn.IFS(HOUR(I950)&lt;12,"Morning",HOUR(I950)&lt;17,"Afternoon",TRUE,"Evening")</f>
        <v>Afternoon</v>
      </c>
      <c r="K950" t="s">
        <v>12</v>
      </c>
      <c r="L950" t="str">
        <f t="shared" si="42"/>
        <v>Attended</v>
      </c>
      <c r="M950">
        <f t="shared" si="43"/>
        <v>0</v>
      </c>
      <c r="N950" t="str">
        <f t="shared" si="44"/>
        <v>Monday</v>
      </c>
      <c r="O95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51" spans="1:15" x14ac:dyDescent="0.25">
      <c r="A951">
        <v>5949</v>
      </c>
      <c r="B951">
        <v>1354</v>
      </c>
      <c r="C951">
        <v>1027</v>
      </c>
      <c r="D951" t="s">
        <v>9</v>
      </c>
      <c r="E951" s="1">
        <v>45525</v>
      </c>
      <c r="F951">
        <v>1801</v>
      </c>
      <c r="G951" t="s">
        <v>25</v>
      </c>
      <c r="H951" t="s">
        <v>15</v>
      </c>
      <c r="I951" t="s">
        <v>1929</v>
      </c>
      <c r="J951" t="str" cm="1">
        <f t="array" ref="J951">_xlfn.IFS(HOUR(I951)&lt;12,"Morning",HOUR(I951)&lt;17,"Afternoon",TRUE,"Evening")</f>
        <v>Afternoon</v>
      </c>
      <c r="K951" t="s">
        <v>12</v>
      </c>
      <c r="L951" t="str">
        <f t="shared" si="42"/>
        <v>Attended</v>
      </c>
      <c r="M951">
        <f t="shared" si="43"/>
        <v>0</v>
      </c>
      <c r="N951" t="str">
        <f t="shared" si="44"/>
        <v>Wednesday</v>
      </c>
      <c r="O95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52" spans="1:15" x14ac:dyDescent="0.25">
      <c r="A952">
        <v>5950</v>
      </c>
      <c r="B952">
        <v>658</v>
      </c>
      <c r="C952">
        <v>1001</v>
      </c>
      <c r="D952" t="s">
        <v>18</v>
      </c>
      <c r="E952" s="1">
        <v>45668</v>
      </c>
      <c r="F952">
        <v>2034</v>
      </c>
      <c r="G952" t="s">
        <v>10</v>
      </c>
      <c r="H952" t="s">
        <v>19</v>
      </c>
      <c r="I952" t="s">
        <v>1916</v>
      </c>
      <c r="J952" t="str" cm="1">
        <f t="array" ref="J952">_xlfn.IFS(HOUR(I952)&lt;12,"Morning",HOUR(I952)&lt;17,"Afternoon",TRUE,"Evening")</f>
        <v>Afternoon</v>
      </c>
      <c r="K952" t="s">
        <v>12</v>
      </c>
      <c r="L952" t="str">
        <f t="shared" si="42"/>
        <v>Attended</v>
      </c>
      <c r="M952">
        <f t="shared" si="43"/>
        <v>0</v>
      </c>
      <c r="N952" t="str">
        <f t="shared" si="44"/>
        <v>Saturday</v>
      </c>
      <c r="O95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53" spans="1:15" x14ac:dyDescent="0.25">
      <c r="A953">
        <v>5951</v>
      </c>
      <c r="B953">
        <v>525</v>
      </c>
      <c r="C953">
        <v>1027</v>
      </c>
      <c r="D953" t="s">
        <v>9</v>
      </c>
      <c r="E953" s="1">
        <v>45779</v>
      </c>
      <c r="F953">
        <v>1062</v>
      </c>
      <c r="G953" t="s">
        <v>17</v>
      </c>
      <c r="H953" t="s">
        <v>19</v>
      </c>
      <c r="I953" t="s">
        <v>1926</v>
      </c>
      <c r="J953" t="str" cm="1">
        <f t="array" ref="J953">_xlfn.IFS(HOUR(I953)&lt;12,"Morning",HOUR(I953)&lt;17,"Afternoon",TRUE,"Evening")</f>
        <v>Afternoon</v>
      </c>
      <c r="K953" t="s">
        <v>12</v>
      </c>
      <c r="L953" t="str">
        <f t="shared" si="42"/>
        <v>Attended</v>
      </c>
      <c r="M953">
        <f t="shared" si="43"/>
        <v>0</v>
      </c>
      <c r="N953" t="str">
        <f t="shared" si="44"/>
        <v>Friday</v>
      </c>
      <c r="O95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54" spans="1:15" x14ac:dyDescent="0.25">
      <c r="A954">
        <v>5952</v>
      </c>
      <c r="B954">
        <v>249</v>
      </c>
      <c r="C954">
        <v>1027</v>
      </c>
      <c r="D954" t="s">
        <v>9</v>
      </c>
      <c r="E954" s="1">
        <v>45546</v>
      </c>
      <c r="F954">
        <v>1739</v>
      </c>
      <c r="G954" t="s">
        <v>25</v>
      </c>
      <c r="H954" t="s">
        <v>11</v>
      </c>
      <c r="I954" t="s">
        <v>1916</v>
      </c>
      <c r="J954" t="str" cm="1">
        <f t="array" ref="J954">_xlfn.IFS(HOUR(I954)&lt;12,"Morning",HOUR(I954)&lt;17,"Afternoon",TRUE,"Evening")</f>
        <v>Afternoon</v>
      </c>
      <c r="K954" t="s">
        <v>12</v>
      </c>
      <c r="L954" t="str">
        <f t="shared" si="42"/>
        <v>Attended</v>
      </c>
      <c r="M954">
        <f t="shared" si="43"/>
        <v>0</v>
      </c>
      <c r="N954" t="str">
        <f t="shared" si="44"/>
        <v>Wednesday</v>
      </c>
      <c r="O95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55" spans="1:15" x14ac:dyDescent="0.25">
      <c r="A955">
        <v>5953</v>
      </c>
      <c r="B955">
        <v>113</v>
      </c>
      <c r="C955">
        <v>1027</v>
      </c>
      <c r="D955" t="s">
        <v>22</v>
      </c>
      <c r="E955" s="1">
        <v>45513</v>
      </c>
      <c r="F955">
        <v>1038</v>
      </c>
      <c r="G955" t="s">
        <v>17</v>
      </c>
      <c r="H955" t="s">
        <v>15</v>
      </c>
      <c r="I955" t="s">
        <v>1910</v>
      </c>
      <c r="J955" t="str" cm="1">
        <f t="array" ref="J955">_xlfn.IFS(HOUR(I955)&lt;12,"Morning",HOUR(I955)&lt;17,"Afternoon",TRUE,"Evening")</f>
        <v>Evening</v>
      </c>
      <c r="K955" t="s">
        <v>28</v>
      </c>
      <c r="L955" t="str">
        <f t="shared" si="42"/>
        <v>No Show</v>
      </c>
      <c r="M955">
        <f t="shared" si="43"/>
        <v>1</v>
      </c>
      <c r="N955" t="str">
        <f t="shared" si="44"/>
        <v>Friday</v>
      </c>
      <c r="O95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56" spans="1:15" x14ac:dyDescent="0.25">
      <c r="A956">
        <v>5954</v>
      </c>
      <c r="B956">
        <v>518</v>
      </c>
      <c r="C956">
        <v>1002</v>
      </c>
      <c r="D956" t="s">
        <v>18</v>
      </c>
      <c r="E956" s="1">
        <v>45705</v>
      </c>
      <c r="F956">
        <v>1380</v>
      </c>
      <c r="G956" t="s">
        <v>17</v>
      </c>
      <c r="H956" t="s">
        <v>19</v>
      </c>
      <c r="I956" t="s">
        <v>1923</v>
      </c>
      <c r="J956" t="str" cm="1">
        <f t="array" ref="J956">_xlfn.IFS(HOUR(I956)&lt;12,"Morning",HOUR(I956)&lt;17,"Afternoon",TRUE,"Evening")</f>
        <v>Evening</v>
      </c>
      <c r="K956" t="s">
        <v>12</v>
      </c>
      <c r="L956" t="str">
        <f t="shared" si="42"/>
        <v>Attended</v>
      </c>
      <c r="M956">
        <f t="shared" si="43"/>
        <v>0</v>
      </c>
      <c r="N956" t="str">
        <f t="shared" si="44"/>
        <v>Monday</v>
      </c>
      <c r="O95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57" spans="1:15" x14ac:dyDescent="0.25">
      <c r="A957">
        <v>5955</v>
      </c>
      <c r="B957">
        <v>1001</v>
      </c>
      <c r="C957">
        <v>1027</v>
      </c>
      <c r="D957" t="s">
        <v>9</v>
      </c>
      <c r="E957" s="1">
        <v>45512</v>
      </c>
      <c r="F957">
        <v>1440</v>
      </c>
      <c r="G957" t="s">
        <v>10</v>
      </c>
      <c r="H957" t="s">
        <v>15</v>
      </c>
      <c r="I957" t="s">
        <v>1942</v>
      </c>
      <c r="J957" t="str" cm="1">
        <f t="array" ref="J957">_xlfn.IFS(HOUR(I957)&lt;12,"Morning",HOUR(I957)&lt;17,"Afternoon",TRUE,"Evening")</f>
        <v>Evening</v>
      </c>
      <c r="K957" t="s">
        <v>12</v>
      </c>
      <c r="L957" t="str">
        <f t="shared" si="42"/>
        <v>Attended</v>
      </c>
      <c r="M957">
        <f t="shared" si="43"/>
        <v>0</v>
      </c>
      <c r="N957" t="str">
        <f t="shared" si="44"/>
        <v>Thursday</v>
      </c>
      <c r="O95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58" spans="1:15" x14ac:dyDescent="0.25">
      <c r="A958">
        <v>5956</v>
      </c>
      <c r="B958">
        <v>706</v>
      </c>
      <c r="C958">
        <v>1027</v>
      </c>
      <c r="D958" t="s">
        <v>24</v>
      </c>
      <c r="E958" s="1">
        <v>45662</v>
      </c>
      <c r="F958">
        <v>2018</v>
      </c>
      <c r="G958" t="s">
        <v>10</v>
      </c>
      <c r="H958" t="s">
        <v>15</v>
      </c>
      <c r="I958" t="s">
        <v>1922</v>
      </c>
      <c r="J958" t="str" cm="1">
        <f t="array" ref="J958">_xlfn.IFS(HOUR(I958)&lt;12,"Morning",HOUR(I958)&lt;17,"Afternoon",TRUE,"Evening")</f>
        <v>Afternoon</v>
      </c>
      <c r="K958" t="s">
        <v>12</v>
      </c>
      <c r="L958" t="str">
        <f t="shared" si="42"/>
        <v>Attended</v>
      </c>
      <c r="M958">
        <f t="shared" si="43"/>
        <v>0</v>
      </c>
      <c r="N958" t="str">
        <f t="shared" si="44"/>
        <v>Sunday</v>
      </c>
      <c r="O95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59" spans="1:15" x14ac:dyDescent="0.25">
      <c r="A959">
        <v>5957</v>
      </c>
      <c r="B959">
        <v>933</v>
      </c>
      <c r="C959">
        <v>1020</v>
      </c>
      <c r="D959" t="s">
        <v>26</v>
      </c>
      <c r="E959" s="1">
        <v>45569</v>
      </c>
      <c r="F959">
        <v>1825</v>
      </c>
      <c r="G959" t="s">
        <v>25</v>
      </c>
      <c r="H959" t="s">
        <v>11</v>
      </c>
      <c r="I959" t="s">
        <v>1943</v>
      </c>
      <c r="J959" t="str" cm="1">
        <f t="array" ref="J959">_xlfn.IFS(HOUR(I959)&lt;12,"Morning",HOUR(I959)&lt;17,"Afternoon",TRUE,"Evening")</f>
        <v>Afternoon</v>
      </c>
      <c r="K959" t="s">
        <v>12</v>
      </c>
      <c r="L959" t="str">
        <f t="shared" si="42"/>
        <v>Attended</v>
      </c>
      <c r="M959">
        <f t="shared" si="43"/>
        <v>0</v>
      </c>
      <c r="N959" t="str">
        <f t="shared" si="44"/>
        <v>Friday</v>
      </c>
      <c r="O95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0" spans="1:15" x14ac:dyDescent="0.25">
      <c r="A960">
        <v>5958</v>
      </c>
      <c r="B960">
        <v>1163</v>
      </c>
      <c r="C960">
        <v>1008</v>
      </c>
      <c r="D960" t="s">
        <v>13</v>
      </c>
      <c r="E960" s="1">
        <v>45525</v>
      </c>
      <c r="F960">
        <v>1508</v>
      </c>
      <c r="G960" t="s">
        <v>17</v>
      </c>
      <c r="H960" t="s">
        <v>11</v>
      </c>
      <c r="I960" t="s">
        <v>1931</v>
      </c>
      <c r="J960" t="str" cm="1">
        <f t="array" ref="J960">_xlfn.IFS(HOUR(I960)&lt;12,"Morning",HOUR(I960)&lt;17,"Afternoon",TRUE,"Evening")</f>
        <v>Afternoon</v>
      </c>
      <c r="K960" t="s">
        <v>12</v>
      </c>
      <c r="L960" t="str">
        <f t="shared" si="42"/>
        <v>Attended</v>
      </c>
      <c r="M960">
        <f t="shared" si="43"/>
        <v>0</v>
      </c>
      <c r="N960" t="str">
        <f t="shared" si="44"/>
        <v>Wednesday</v>
      </c>
      <c r="O96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1" spans="1:15" x14ac:dyDescent="0.25">
      <c r="A961">
        <v>5959</v>
      </c>
      <c r="B961">
        <v>1135</v>
      </c>
      <c r="C961">
        <v>1027</v>
      </c>
      <c r="D961" t="s">
        <v>21</v>
      </c>
      <c r="E961" s="1">
        <v>45692</v>
      </c>
      <c r="F961">
        <v>821</v>
      </c>
      <c r="G961" t="s">
        <v>14</v>
      </c>
      <c r="H961" t="s">
        <v>15</v>
      </c>
      <c r="I961" t="s">
        <v>1908</v>
      </c>
      <c r="J961" t="str" cm="1">
        <f t="array" ref="J961">_xlfn.IFS(HOUR(I961)&lt;12,"Morning",HOUR(I961)&lt;17,"Afternoon",TRUE,"Evening")</f>
        <v>Morning</v>
      </c>
      <c r="K961" t="s">
        <v>28</v>
      </c>
      <c r="L961" t="str">
        <f t="shared" si="42"/>
        <v>No Show</v>
      </c>
      <c r="M961">
        <f t="shared" si="43"/>
        <v>1</v>
      </c>
      <c r="N961" t="str">
        <f t="shared" si="44"/>
        <v>Tuesday</v>
      </c>
      <c r="O96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2" spans="1:15" x14ac:dyDescent="0.25">
      <c r="A962">
        <v>5960</v>
      </c>
      <c r="B962">
        <v>543</v>
      </c>
      <c r="C962">
        <v>1027</v>
      </c>
      <c r="D962" t="s">
        <v>9</v>
      </c>
      <c r="E962" s="1">
        <v>45816</v>
      </c>
      <c r="F962">
        <v>941</v>
      </c>
      <c r="G962" t="s">
        <v>17</v>
      </c>
      <c r="H962" t="s">
        <v>15</v>
      </c>
      <c r="I962" t="s">
        <v>1925</v>
      </c>
      <c r="J962" t="str" cm="1">
        <f t="array" ref="J962">_xlfn.IFS(HOUR(I962)&lt;12,"Morning",HOUR(I962)&lt;17,"Afternoon",TRUE,"Evening")</f>
        <v>Afternoon</v>
      </c>
      <c r="K962" t="s">
        <v>23</v>
      </c>
      <c r="L962" t="str">
        <f t="shared" si="42"/>
        <v>No Show</v>
      </c>
      <c r="M962">
        <f t="shared" si="43"/>
        <v>1</v>
      </c>
      <c r="N962" t="str">
        <f t="shared" si="44"/>
        <v>Sunday</v>
      </c>
      <c r="O962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63" spans="1:15" x14ac:dyDescent="0.25">
      <c r="A963">
        <v>5961</v>
      </c>
      <c r="B963">
        <v>301</v>
      </c>
      <c r="C963">
        <v>1027</v>
      </c>
      <c r="D963" t="s">
        <v>24</v>
      </c>
      <c r="E963" s="1">
        <v>45581</v>
      </c>
      <c r="F963">
        <v>1734</v>
      </c>
      <c r="G963" t="s">
        <v>17</v>
      </c>
      <c r="H963" t="s">
        <v>19</v>
      </c>
      <c r="I963" t="s">
        <v>1907</v>
      </c>
      <c r="J963" t="str" cm="1">
        <f t="array" ref="J963">_xlfn.IFS(HOUR(I963)&lt;12,"Morning",HOUR(I963)&lt;17,"Afternoon",TRUE,"Evening")</f>
        <v>Afternoon</v>
      </c>
      <c r="K963" t="s">
        <v>12</v>
      </c>
      <c r="L963" t="str">
        <f t="shared" ref="L963:L1001" si="45">IF(K963="completed","Attended","No Show")</f>
        <v>Attended</v>
      </c>
      <c r="M963">
        <f t="shared" ref="M963:M1001" si="46">IF(L963="No Show",1,0)</f>
        <v>0</v>
      </c>
      <c r="N963" t="str">
        <f t="shared" ref="N963:N1001" si="47">TEXT(E963,"dddd")</f>
        <v>Wednesday</v>
      </c>
      <c r="O96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4" spans="1:15" x14ac:dyDescent="0.25">
      <c r="A964">
        <v>5962</v>
      </c>
      <c r="B964">
        <v>909</v>
      </c>
      <c r="C964">
        <v>1002</v>
      </c>
      <c r="D964" t="s">
        <v>18</v>
      </c>
      <c r="E964" s="1">
        <v>45712</v>
      </c>
      <c r="F964">
        <v>1862</v>
      </c>
      <c r="G964" t="s">
        <v>10</v>
      </c>
      <c r="H964" t="s">
        <v>19</v>
      </c>
      <c r="I964" t="s">
        <v>1907</v>
      </c>
      <c r="J964" t="str" cm="1">
        <f t="array" ref="J964">_xlfn.IFS(HOUR(I964)&lt;12,"Morning",HOUR(I964)&lt;17,"Afternoon",TRUE,"Evening")</f>
        <v>Afternoon</v>
      </c>
      <c r="K964" t="s">
        <v>12</v>
      </c>
      <c r="L964" t="str">
        <f t="shared" si="45"/>
        <v>Attended</v>
      </c>
      <c r="M964">
        <f t="shared" si="46"/>
        <v>0</v>
      </c>
      <c r="N964" t="str">
        <f t="shared" si="47"/>
        <v>Monday</v>
      </c>
      <c r="O96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5" spans="1:15" x14ac:dyDescent="0.25">
      <c r="A965">
        <v>5963</v>
      </c>
      <c r="B965">
        <v>282</v>
      </c>
      <c r="C965">
        <v>1027</v>
      </c>
      <c r="D965" t="s">
        <v>27</v>
      </c>
      <c r="E965" s="1">
        <v>45692</v>
      </c>
      <c r="F965">
        <v>2170</v>
      </c>
      <c r="G965" t="s">
        <v>10</v>
      </c>
      <c r="H965" t="s">
        <v>15</v>
      </c>
      <c r="I965" t="s">
        <v>1931</v>
      </c>
      <c r="J965" t="str" cm="1">
        <f t="array" ref="J965">_xlfn.IFS(HOUR(I965)&lt;12,"Morning",HOUR(I965)&lt;17,"Afternoon",TRUE,"Evening")</f>
        <v>Afternoon</v>
      </c>
      <c r="K965" t="s">
        <v>12</v>
      </c>
      <c r="L965" t="str">
        <f t="shared" si="45"/>
        <v>Attended</v>
      </c>
      <c r="M965">
        <f t="shared" si="46"/>
        <v>0</v>
      </c>
      <c r="N965" t="str">
        <f t="shared" si="47"/>
        <v>Tuesday</v>
      </c>
      <c r="O96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6" spans="1:15" x14ac:dyDescent="0.25">
      <c r="A966">
        <v>5964</v>
      </c>
      <c r="B966">
        <v>1508</v>
      </c>
      <c r="C966">
        <v>1027</v>
      </c>
      <c r="D966" t="s">
        <v>27</v>
      </c>
      <c r="E966" s="1">
        <v>45534</v>
      </c>
      <c r="F966">
        <v>1754</v>
      </c>
      <c r="G966" t="s">
        <v>14</v>
      </c>
      <c r="H966" t="s">
        <v>15</v>
      </c>
      <c r="I966" t="s">
        <v>1905</v>
      </c>
      <c r="J966" t="str" cm="1">
        <f t="array" ref="J966">_xlfn.IFS(HOUR(I966)&lt;12,"Morning",HOUR(I966)&lt;17,"Afternoon",TRUE,"Evening")</f>
        <v>Morning</v>
      </c>
      <c r="K966" t="s">
        <v>12</v>
      </c>
      <c r="L966" t="str">
        <f t="shared" si="45"/>
        <v>Attended</v>
      </c>
      <c r="M966">
        <f t="shared" si="46"/>
        <v>0</v>
      </c>
      <c r="N966" t="str">
        <f t="shared" si="47"/>
        <v>Friday</v>
      </c>
      <c r="O96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7" spans="1:15" x14ac:dyDescent="0.25">
      <c r="A967">
        <v>5965</v>
      </c>
      <c r="B967">
        <v>1036</v>
      </c>
      <c r="C967">
        <v>1009</v>
      </c>
      <c r="D967" t="s">
        <v>13</v>
      </c>
      <c r="E967" s="1">
        <v>45482</v>
      </c>
      <c r="F967">
        <v>1401</v>
      </c>
      <c r="G967" t="s">
        <v>10</v>
      </c>
      <c r="H967" t="s">
        <v>11</v>
      </c>
      <c r="I967" t="s">
        <v>1909</v>
      </c>
      <c r="J967" t="str" cm="1">
        <f t="array" ref="J967">_xlfn.IFS(HOUR(I967)&lt;12,"Morning",HOUR(I967)&lt;17,"Afternoon",TRUE,"Evening")</f>
        <v>Afternoon</v>
      </c>
      <c r="K967" t="s">
        <v>12</v>
      </c>
      <c r="L967" t="str">
        <f t="shared" si="45"/>
        <v>Attended</v>
      </c>
      <c r="M967">
        <f t="shared" si="46"/>
        <v>0</v>
      </c>
      <c r="N967" t="str">
        <f t="shared" si="47"/>
        <v>Tuesday</v>
      </c>
      <c r="O96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68" spans="1:15" x14ac:dyDescent="0.25">
      <c r="A968">
        <v>5966</v>
      </c>
      <c r="B968">
        <v>1572</v>
      </c>
      <c r="C968">
        <v>1024</v>
      </c>
      <c r="D968" t="s">
        <v>16</v>
      </c>
      <c r="E968" s="1">
        <v>45479</v>
      </c>
      <c r="F968">
        <v>989</v>
      </c>
      <c r="G968" t="s">
        <v>17</v>
      </c>
      <c r="H968" t="s">
        <v>19</v>
      </c>
      <c r="I968" t="s">
        <v>1935</v>
      </c>
      <c r="J968" t="str" cm="1">
        <f t="array" ref="J968">_xlfn.IFS(HOUR(I968)&lt;12,"Morning",HOUR(I968)&lt;17,"Afternoon",TRUE,"Evening")</f>
        <v>Afternoon</v>
      </c>
      <c r="K968" t="s">
        <v>12</v>
      </c>
      <c r="L968" t="str">
        <f t="shared" si="45"/>
        <v>Attended</v>
      </c>
      <c r="M968">
        <f t="shared" si="46"/>
        <v>0</v>
      </c>
      <c r="N968" t="str">
        <f t="shared" si="47"/>
        <v>Saturday</v>
      </c>
      <c r="O96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69" spans="1:15" x14ac:dyDescent="0.25">
      <c r="A969">
        <v>5967</v>
      </c>
      <c r="B969">
        <v>259</v>
      </c>
      <c r="C969">
        <v>1024</v>
      </c>
      <c r="D969" t="s">
        <v>16</v>
      </c>
      <c r="E969" s="1">
        <v>45611</v>
      </c>
      <c r="F969">
        <v>1711</v>
      </c>
      <c r="G969" t="s">
        <v>14</v>
      </c>
      <c r="H969" t="s">
        <v>19</v>
      </c>
      <c r="I969" t="s">
        <v>1927</v>
      </c>
      <c r="J969" t="str" cm="1">
        <f t="array" ref="J969">_xlfn.IFS(HOUR(I969)&lt;12,"Morning",HOUR(I969)&lt;17,"Afternoon",TRUE,"Evening")</f>
        <v>Afternoon</v>
      </c>
      <c r="K969" t="s">
        <v>12</v>
      </c>
      <c r="L969" t="str">
        <f t="shared" si="45"/>
        <v>Attended</v>
      </c>
      <c r="M969">
        <f t="shared" si="46"/>
        <v>0</v>
      </c>
      <c r="N969" t="str">
        <f t="shared" si="47"/>
        <v>Friday</v>
      </c>
      <c r="O96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0" spans="1:15" x14ac:dyDescent="0.25">
      <c r="A970">
        <v>5968</v>
      </c>
      <c r="B970">
        <v>1387</v>
      </c>
      <c r="C970">
        <v>1027</v>
      </c>
      <c r="D970" t="s">
        <v>27</v>
      </c>
      <c r="E970" s="1">
        <v>45482</v>
      </c>
      <c r="F970">
        <v>2465</v>
      </c>
      <c r="G970" t="s">
        <v>10</v>
      </c>
      <c r="H970" t="s">
        <v>19</v>
      </c>
      <c r="I970" t="s">
        <v>1910</v>
      </c>
      <c r="J970" t="str" cm="1">
        <f t="array" ref="J970">_xlfn.IFS(HOUR(I970)&lt;12,"Morning",HOUR(I970)&lt;17,"Afternoon",TRUE,"Evening")</f>
        <v>Evening</v>
      </c>
      <c r="K970" t="s">
        <v>28</v>
      </c>
      <c r="L970" t="str">
        <f t="shared" si="45"/>
        <v>No Show</v>
      </c>
      <c r="M970">
        <f t="shared" si="46"/>
        <v>1</v>
      </c>
      <c r="N970" t="str">
        <f t="shared" si="47"/>
        <v>Tuesday</v>
      </c>
      <c r="O97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1" spans="1:15" x14ac:dyDescent="0.25">
      <c r="A971">
        <v>5969</v>
      </c>
      <c r="B971">
        <v>1276</v>
      </c>
      <c r="C971">
        <v>1027</v>
      </c>
      <c r="D971" t="s">
        <v>21</v>
      </c>
      <c r="E971" s="1">
        <v>45518</v>
      </c>
      <c r="F971">
        <v>2333</v>
      </c>
      <c r="G971" t="s">
        <v>17</v>
      </c>
      <c r="H971" t="s">
        <v>15</v>
      </c>
      <c r="I971" t="s">
        <v>1918</v>
      </c>
      <c r="J971" t="str" cm="1">
        <f t="array" ref="J971">_xlfn.IFS(HOUR(I971)&lt;12,"Morning",HOUR(I971)&lt;17,"Afternoon",TRUE,"Evening")</f>
        <v>Evening</v>
      </c>
      <c r="K971" t="s">
        <v>12</v>
      </c>
      <c r="L971" t="str">
        <f t="shared" si="45"/>
        <v>Attended</v>
      </c>
      <c r="M971">
        <f t="shared" si="46"/>
        <v>0</v>
      </c>
      <c r="N971" t="str">
        <f t="shared" si="47"/>
        <v>Wednesday</v>
      </c>
      <c r="O97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2" spans="1:15" x14ac:dyDescent="0.25">
      <c r="A972">
        <v>5970</v>
      </c>
      <c r="B972">
        <v>679</v>
      </c>
      <c r="C972">
        <v>1020</v>
      </c>
      <c r="D972" t="s">
        <v>26</v>
      </c>
      <c r="E972" s="1">
        <v>45785</v>
      </c>
      <c r="F972">
        <v>2457</v>
      </c>
      <c r="G972" t="s">
        <v>25</v>
      </c>
      <c r="H972" t="s">
        <v>11</v>
      </c>
      <c r="I972" t="s">
        <v>1940</v>
      </c>
      <c r="J972" t="str" cm="1">
        <f t="array" ref="J972">_xlfn.IFS(HOUR(I972)&lt;12,"Morning",HOUR(I972)&lt;17,"Afternoon",TRUE,"Evening")</f>
        <v>Morning</v>
      </c>
      <c r="K972" t="s">
        <v>12</v>
      </c>
      <c r="L972" t="str">
        <f t="shared" si="45"/>
        <v>Attended</v>
      </c>
      <c r="M972">
        <f t="shared" si="46"/>
        <v>0</v>
      </c>
      <c r="N972" t="str">
        <f t="shared" si="47"/>
        <v>Thursday</v>
      </c>
      <c r="O97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3" spans="1:15" x14ac:dyDescent="0.25">
      <c r="A973">
        <v>5971</v>
      </c>
      <c r="B973">
        <v>1320</v>
      </c>
      <c r="C973">
        <v>1008</v>
      </c>
      <c r="D973" t="s">
        <v>13</v>
      </c>
      <c r="E973" s="1">
        <v>45724</v>
      </c>
      <c r="F973">
        <v>1298</v>
      </c>
      <c r="G973" t="s">
        <v>17</v>
      </c>
      <c r="H973" t="s">
        <v>11</v>
      </c>
      <c r="I973" t="s">
        <v>1939</v>
      </c>
      <c r="J973" t="str" cm="1">
        <f t="array" ref="J973">_xlfn.IFS(HOUR(I973)&lt;12,"Morning",HOUR(I973)&lt;17,"Afternoon",TRUE,"Evening")</f>
        <v>Afternoon</v>
      </c>
      <c r="K973" t="s">
        <v>12</v>
      </c>
      <c r="L973" t="str">
        <f t="shared" si="45"/>
        <v>Attended</v>
      </c>
      <c r="M973">
        <f t="shared" si="46"/>
        <v>0</v>
      </c>
      <c r="N973" t="str">
        <f t="shared" si="47"/>
        <v>Saturday</v>
      </c>
      <c r="O97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74" spans="1:15" x14ac:dyDescent="0.25">
      <c r="A974">
        <v>5972</v>
      </c>
      <c r="B974">
        <v>1293</v>
      </c>
      <c r="C974">
        <v>1027</v>
      </c>
      <c r="D974" t="s">
        <v>22</v>
      </c>
      <c r="E974" s="1">
        <v>45576</v>
      </c>
      <c r="F974">
        <v>1332</v>
      </c>
      <c r="G974" t="s">
        <v>14</v>
      </c>
      <c r="H974" t="s">
        <v>15</v>
      </c>
      <c r="I974" t="s">
        <v>1940</v>
      </c>
      <c r="J974" t="str" cm="1">
        <f t="array" ref="J974">_xlfn.IFS(HOUR(I974)&lt;12,"Morning",HOUR(I974)&lt;17,"Afternoon",TRUE,"Evening")</f>
        <v>Morning</v>
      </c>
      <c r="K974" t="s">
        <v>12</v>
      </c>
      <c r="L974" t="str">
        <f t="shared" si="45"/>
        <v>Attended</v>
      </c>
      <c r="M974">
        <f t="shared" si="46"/>
        <v>0</v>
      </c>
      <c r="N974" t="str">
        <f t="shared" si="47"/>
        <v>Friday</v>
      </c>
      <c r="O97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5" spans="1:15" x14ac:dyDescent="0.25">
      <c r="A975">
        <v>5973</v>
      </c>
      <c r="B975">
        <v>1032</v>
      </c>
      <c r="C975">
        <v>1020</v>
      </c>
      <c r="D975" t="s">
        <v>26</v>
      </c>
      <c r="E975" s="1">
        <v>45720</v>
      </c>
      <c r="F975">
        <v>1449</v>
      </c>
      <c r="G975" t="s">
        <v>14</v>
      </c>
      <c r="H975" t="s">
        <v>15</v>
      </c>
      <c r="I975" t="s">
        <v>1905</v>
      </c>
      <c r="J975" t="str" cm="1">
        <f t="array" ref="J975">_xlfn.IFS(HOUR(I975)&lt;12,"Morning",HOUR(I975)&lt;17,"Afternoon",TRUE,"Evening")</f>
        <v>Morning</v>
      </c>
      <c r="K975" t="s">
        <v>12</v>
      </c>
      <c r="L975" t="str">
        <f t="shared" si="45"/>
        <v>Attended</v>
      </c>
      <c r="M975">
        <f t="shared" si="46"/>
        <v>0</v>
      </c>
      <c r="N975" t="str">
        <f t="shared" si="47"/>
        <v>Tuesday</v>
      </c>
      <c r="O97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6" spans="1:15" x14ac:dyDescent="0.25">
      <c r="A976">
        <v>5974</v>
      </c>
      <c r="B976">
        <v>1224</v>
      </c>
      <c r="C976">
        <v>1001</v>
      </c>
      <c r="D976" t="s">
        <v>22</v>
      </c>
      <c r="E976" s="1">
        <v>45786</v>
      </c>
      <c r="F976">
        <v>2359</v>
      </c>
      <c r="G976" t="s">
        <v>25</v>
      </c>
      <c r="H976" t="s">
        <v>19</v>
      </c>
      <c r="I976" t="s">
        <v>1919</v>
      </c>
      <c r="J976" t="str" cm="1">
        <f t="array" ref="J976">_xlfn.IFS(HOUR(I976)&lt;12,"Morning",HOUR(I976)&lt;17,"Afternoon",TRUE,"Evening")</f>
        <v>Evening</v>
      </c>
      <c r="K976" t="s">
        <v>12</v>
      </c>
      <c r="L976" t="str">
        <f t="shared" si="45"/>
        <v>Attended</v>
      </c>
      <c r="M976">
        <f t="shared" si="46"/>
        <v>0</v>
      </c>
      <c r="N976" t="str">
        <f t="shared" si="47"/>
        <v>Friday</v>
      </c>
      <c r="O97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7" spans="1:15" x14ac:dyDescent="0.25">
      <c r="A977">
        <v>5975</v>
      </c>
      <c r="B977">
        <v>968</v>
      </c>
      <c r="C977">
        <v>1027</v>
      </c>
      <c r="D977" t="s">
        <v>27</v>
      </c>
      <c r="E977" s="1">
        <v>45777</v>
      </c>
      <c r="F977">
        <v>2140</v>
      </c>
      <c r="G977" t="s">
        <v>14</v>
      </c>
      <c r="H977" t="s">
        <v>19</v>
      </c>
      <c r="I977" t="s">
        <v>1915</v>
      </c>
      <c r="J977" t="str" cm="1">
        <f t="array" ref="J977">_xlfn.IFS(HOUR(I977)&lt;12,"Morning",HOUR(I977)&lt;17,"Afternoon",TRUE,"Evening")</f>
        <v>Afternoon</v>
      </c>
      <c r="K977" t="s">
        <v>12</v>
      </c>
      <c r="L977" t="str">
        <f t="shared" si="45"/>
        <v>Attended</v>
      </c>
      <c r="M977">
        <f t="shared" si="46"/>
        <v>0</v>
      </c>
      <c r="N977" t="str">
        <f t="shared" si="47"/>
        <v>Wednesday</v>
      </c>
      <c r="O97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78" spans="1:15" x14ac:dyDescent="0.25">
      <c r="A978">
        <v>5976</v>
      </c>
      <c r="B978">
        <v>120</v>
      </c>
      <c r="C978">
        <v>1024</v>
      </c>
      <c r="D978" t="s">
        <v>16</v>
      </c>
      <c r="E978" s="1">
        <v>45598</v>
      </c>
      <c r="F978">
        <v>2455</v>
      </c>
      <c r="G978" t="s">
        <v>25</v>
      </c>
      <c r="H978" t="s">
        <v>19</v>
      </c>
      <c r="I978" t="s">
        <v>1927</v>
      </c>
      <c r="J978" t="str" cm="1">
        <f t="array" ref="J978">_xlfn.IFS(HOUR(I978)&lt;12,"Morning",HOUR(I978)&lt;17,"Afternoon",TRUE,"Evening")</f>
        <v>Afternoon</v>
      </c>
      <c r="K978" t="s">
        <v>28</v>
      </c>
      <c r="L978" t="str">
        <f t="shared" si="45"/>
        <v>No Show</v>
      </c>
      <c r="M978">
        <f t="shared" si="46"/>
        <v>1</v>
      </c>
      <c r="N978" t="str">
        <f t="shared" si="47"/>
        <v>Saturday</v>
      </c>
      <c r="O978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79" spans="1:15" x14ac:dyDescent="0.25">
      <c r="A979">
        <v>5977</v>
      </c>
      <c r="B979">
        <v>1531</v>
      </c>
      <c r="C979">
        <v>1027</v>
      </c>
      <c r="D979" t="s">
        <v>9</v>
      </c>
      <c r="E979" s="1">
        <v>45813</v>
      </c>
      <c r="F979">
        <v>1738</v>
      </c>
      <c r="G979" t="s">
        <v>14</v>
      </c>
      <c r="H979" t="s">
        <v>11</v>
      </c>
      <c r="I979" t="s">
        <v>1920</v>
      </c>
      <c r="J979" t="str" cm="1">
        <f t="array" ref="J979">_xlfn.IFS(HOUR(I979)&lt;12,"Morning",HOUR(I979)&lt;17,"Afternoon",TRUE,"Evening")</f>
        <v>Morning</v>
      </c>
      <c r="K979" t="s">
        <v>23</v>
      </c>
      <c r="L979" t="str">
        <f t="shared" si="45"/>
        <v>No Show</v>
      </c>
      <c r="M979">
        <f t="shared" si="46"/>
        <v>1</v>
      </c>
      <c r="N979" t="str">
        <f t="shared" si="47"/>
        <v>Thursday</v>
      </c>
      <c r="O979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0" spans="1:15" x14ac:dyDescent="0.25">
      <c r="A980">
        <v>5978</v>
      </c>
      <c r="B980">
        <v>579</v>
      </c>
      <c r="C980">
        <v>1001</v>
      </c>
      <c r="D980" t="s">
        <v>22</v>
      </c>
      <c r="E980" s="1">
        <v>45646</v>
      </c>
      <c r="F980">
        <v>1731</v>
      </c>
      <c r="G980" t="s">
        <v>14</v>
      </c>
      <c r="H980" t="s">
        <v>15</v>
      </c>
      <c r="I980" t="s">
        <v>1909</v>
      </c>
      <c r="J980" t="str" cm="1">
        <f t="array" ref="J980">_xlfn.IFS(HOUR(I980)&lt;12,"Morning",HOUR(I980)&lt;17,"Afternoon",TRUE,"Evening")</f>
        <v>Afternoon</v>
      </c>
      <c r="K980" t="s">
        <v>12</v>
      </c>
      <c r="L980" t="str">
        <f t="shared" si="45"/>
        <v>Attended</v>
      </c>
      <c r="M980">
        <f t="shared" si="46"/>
        <v>0</v>
      </c>
      <c r="N980" t="str">
        <f t="shared" si="47"/>
        <v>Friday</v>
      </c>
      <c r="O98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1" spans="1:15" x14ac:dyDescent="0.25">
      <c r="A981">
        <v>5979</v>
      </c>
      <c r="B981">
        <v>160</v>
      </c>
      <c r="C981">
        <v>1027</v>
      </c>
      <c r="D981" t="s">
        <v>9</v>
      </c>
      <c r="E981" s="1">
        <v>45596</v>
      </c>
      <c r="F981">
        <v>1282</v>
      </c>
      <c r="G981" t="s">
        <v>25</v>
      </c>
      <c r="H981" t="s">
        <v>11</v>
      </c>
      <c r="I981" t="s">
        <v>1927</v>
      </c>
      <c r="J981" t="str" cm="1">
        <f t="array" ref="J981">_xlfn.IFS(HOUR(I981)&lt;12,"Morning",HOUR(I981)&lt;17,"Afternoon",TRUE,"Evening")</f>
        <v>Afternoon</v>
      </c>
      <c r="K981" t="s">
        <v>12</v>
      </c>
      <c r="L981" t="str">
        <f t="shared" si="45"/>
        <v>Attended</v>
      </c>
      <c r="M981">
        <f t="shared" si="46"/>
        <v>0</v>
      </c>
      <c r="N981" t="str">
        <f t="shared" si="47"/>
        <v>Thursday</v>
      </c>
      <c r="O98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2" spans="1:15" x14ac:dyDescent="0.25">
      <c r="A982">
        <v>5980</v>
      </c>
      <c r="B982">
        <v>1134</v>
      </c>
      <c r="C982">
        <v>1024</v>
      </c>
      <c r="D982" t="s">
        <v>16</v>
      </c>
      <c r="E982" s="1">
        <v>45775</v>
      </c>
      <c r="F982">
        <v>861</v>
      </c>
      <c r="G982" t="s">
        <v>17</v>
      </c>
      <c r="H982" t="s">
        <v>15</v>
      </c>
      <c r="I982" t="s">
        <v>1925</v>
      </c>
      <c r="J982" t="str" cm="1">
        <f t="array" ref="J982">_xlfn.IFS(HOUR(I982)&lt;12,"Morning",HOUR(I982)&lt;17,"Afternoon",TRUE,"Evening")</f>
        <v>Afternoon</v>
      </c>
      <c r="K982" t="s">
        <v>12</v>
      </c>
      <c r="L982" t="str">
        <f t="shared" si="45"/>
        <v>Attended</v>
      </c>
      <c r="M982">
        <f t="shared" si="46"/>
        <v>0</v>
      </c>
      <c r="N982" t="str">
        <f t="shared" si="47"/>
        <v>Monday</v>
      </c>
      <c r="O98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3" spans="1:15" x14ac:dyDescent="0.25">
      <c r="A983">
        <v>5981</v>
      </c>
      <c r="B983">
        <v>1088</v>
      </c>
      <c r="C983">
        <v>1027</v>
      </c>
      <c r="D983" t="s">
        <v>22</v>
      </c>
      <c r="E983" s="1">
        <v>45571</v>
      </c>
      <c r="F983">
        <v>1803</v>
      </c>
      <c r="G983" t="s">
        <v>14</v>
      </c>
      <c r="H983" t="s">
        <v>11</v>
      </c>
      <c r="I983" t="s">
        <v>1906</v>
      </c>
      <c r="J983" t="str" cm="1">
        <f t="array" ref="J983">_xlfn.IFS(HOUR(I983)&lt;12,"Morning",HOUR(I983)&lt;17,"Afternoon",TRUE,"Evening")</f>
        <v>Afternoon</v>
      </c>
      <c r="K983" t="s">
        <v>12</v>
      </c>
      <c r="L983" t="str">
        <f t="shared" si="45"/>
        <v>Attended</v>
      </c>
      <c r="M983">
        <f t="shared" si="46"/>
        <v>0</v>
      </c>
      <c r="N983" t="str">
        <f t="shared" si="47"/>
        <v>Sunday</v>
      </c>
      <c r="O983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84" spans="1:15" x14ac:dyDescent="0.25">
      <c r="A984">
        <v>5982</v>
      </c>
      <c r="B984">
        <v>231</v>
      </c>
      <c r="C984">
        <v>1009</v>
      </c>
      <c r="D984" t="s">
        <v>13</v>
      </c>
      <c r="E984" s="1">
        <v>45731</v>
      </c>
      <c r="F984">
        <v>1299</v>
      </c>
      <c r="G984" t="s">
        <v>25</v>
      </c>
      <c r="H984" t="s">
        <v>15</v>
      </c>
      <c r="I984" t="s">
        <v>1921</v>
      </c>
      <c r="J984" t="str" cm="1">
        <f t="array" ref="J984">_xlfn.IFS(HOUR(I984)&lt;12,"Morning",HOUR(I984)&lt;17,"Afternoon",TRUE,"Evening")</f>
        <v>Afternoon</v>
      </c>
      <c r="K984" t="s">
        <v>12</v>
      </c>
      <c r="L984" t="str">
        <f t="shared" si="45"/>
        <v>Attended</v>
      </c>
      <c r="M984">
        <f t="shared" si="46"/>
        <v>0</v>
      </c>
      <c r="N984" t="str">
        <f t="shared" si="47"/>
        <v>Saturday</v>
      </c>
      <c r="O984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85" spans="1:15" x14ac:dyDescent="0.25">
      <c r="A985">
        <v>5983</v>
      </c>
      <c r="B985">
        <v>1332</v>
      </c>
      <c r="C985">
        <v>1027</v>
      </c>
      <c r="D985" t="s">
        <v>21</v>
      </c>
      <c r="E985" s="1">
        <v>45586</v>
      </c>
      <c r="F985">
        <v>1697</v>
      </c>
      <c r="G985" t="s">
        <v>25</v>
      </c>
      <c r="H985" t="s">
        <v>15</v>
      </c>
      <c r="I985" t="s">
        <v>1933</v>
      </c>
      <c r="J985" t="str" cm="1">
        <f t="array" ref="J985">_xlfn.IFS(HOUR(I985)&lt;12,"Morning",HOUR(I985)&lt;17,"Afternoon",TRUE,"Evening")</f>
        <v>Evening</v>
      </c>
      <c r="K985" t="s">
        <v>12</v>
      </c>
      <c r="L985" t="str">
        <f t="shared" si="45"/>
        <v>Attended</v>
      </c>
      <c r="M985">
        <f t="shared" si="46"/>
        <v>0</v>
      </c>
      <c r="N985" t="str">
        <f t="shared" si="47"/>
        <v>Monday</v>
      </c>
      <c r="O98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6" spans="1:15" x14ac:dyDescent="0.25">
      <c r="A986">
        <v>5984</v>
      </c>
      <c r="B986">
        <v>314</v>
      </c>
      <c r="C986">
        <v>1027</v>
      </c>
      <c r="D986" t="s">
        <v>22</v>
      </c>
      <c r="E986" s="1">
        <v>45558</v>
      </c>
      <c r="F986">
        <v>808</v>
      </c>
      <c r="G986" t="s">
        <v>25</v>
      </c>
      <c r="H986" t="s">
        <v>15</v>
      </c>
      <c r="I986" t="s">
        <v>1935</v>
      </c>
      <c r="J986" t="str" cm="1">
        <f t="array" ref="J986">_xlfn.IFS(HOUR(I986)&lt;12,"Morning",HOUR(I986)&lt;17,"Afternoon",TRUE,"Evening")</f>
        <v>Afternoon</v>
      </c>
      <c r="K986" t="s">
        <v>12</v>
      </c>
      <c r="L986" t="str">
        <f t="shared" si="45"/>
        <v>Attended</v>
      </c>
      <c r="M986">
        <f t="shared" si="46"/>
        <v>0</v>
      </c>
      <c r="N986" t="str">
        <f t="shared" si="47"/>
        <v>Monday</v>
      </c>
      <c r="O98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7" spans="1:15" x14ac:dyDescent="0.25">
      <c r="A987">
        <v>5985</v>
      </c>
      <c r="B987">
        <v>1078</v>
      </c>
      <c r="C987">
        <v>1003</v>
      </c>
      <c r="D987" t="s">
        <v>18</v>
      </c>
      <c r="E987" s="1">
        <v>45803</v>
      </c>
      <c r="F987">
        <v>2105</v>
      </c>
      <c r="G987" t="s">
        <v>14</v>
      </c>
      <c r="H987" t="s">
        <v>15</v>
      </c>
      <c r="I987" t="s">
        <v>1939</v>
      </c>
      <c r="J987" t="str" cm="1">
        <f t="array" ref="J987">_xlfn.IFS(HOUR(I987)&lt;12,"Morning",HOUR(I987)&lt;17,"Afternoon",TRUE,"Evening")</f>
        <v>Afternoon</v>
      </c>
      <c r="K987" t="s">
        <v>28</v>
      </c>
      <c r="L987" t="str">
        <f t="shared" si="45"/>
        <v>No Show</v>
      </c>
      <c r="M987">
        <f t="shared" si="46"/>
        <v>1</v>
      </c>
      <c r="N987" t="str">
        <f t="shared" si="47"/>
        <v>Monday</v>
      </c>
      <c r="O98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8" spans="1:15" x14ac:dyDescent="0.25">
      <c r="A988">
        <v>5986</v>
      </c>
      <c r="B988">
        <v>487</v>
      </c>
      <c r="C988">
        <v>1027</v>
      </c>
      <c r="D988" t="s">
        <v>27</v>
      </c>
      <c r="E988" s="1">
        <v>45776</v>
      </c>
      <c r="F988">
        <v>2124</v>
      </c>
      <c r="G988" t="s">
        <v>10</v>
      </c>
      <c r="H988" t="s">
        <v>11</v>
      </c>
      <c r="I988" t="s">
        <v>1912</v>
      </c>
      <c r="J988" t="str" cm="1">
        <f t="array" ref="J988">_xlfn.IFS(HOUR(I988)&lt;12,"Morning",HOUR(I988)&lt;17,"Afternoon",TRUE,"Evening")</f>
        <v>Morning</v>
      </c>
      <c r="K988" t="s">
        <v>12</v>
      </c>
      <c r="L988" t="str">
        <f t="shared" si="45"/>
        <v>Attended</v>
      </c>
      <c r="M988">
        <f t="shared" si="46"/>
        <v>0</v>
      </c>
      <c r="N988" t="str">
        <f t="shared" si="47"/>
        <v>Tuesday</v>
      </c>
      <c r="O98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89" spans="1:15" x14ac:dyDescent="0.25">
      <c r="A989">
        <v>5987</v>
      </c>
      <c r="B989">
        <v>459</v>
      </c>
      <c r="C989">
        <v>1008</v>
      </c>
      <c r="D989" t="s">
        <v>13</v>
      </c>
      <c r="E989" s="1">
        <v>45794</v>
      </c>
      <c r="F989">
        <v>1230</v>
      </c>
      <c r="G989" t="s">
        <v>17</v>
      </c>
      <c r="H989" t="s">
        <v>15</v>
      </c>
      <c r="I989" t="s">
        <v>1931</v>
      </c>
      <c r="J989" t="str" cm="1">
        <f t="array" ref="J989">_xlfn.IFS(HOUR(I989)&lt;12,"Morning",HOUR(I989)&lt;17,"Afternoon",TRUE,"Evening")</f>
        <v>Afternoon</v>
      </c>
      <c r="K989" t="s">
        <v>12</v>
      </c>
      <c r="L989" t="str">
        <f t="shared" si="45"/>
        <v>Attended</v>
      </c>
      <c r="M989">
        <f t="shared" si="46"/>
        <v>0</v>
      </c>
      <c r="N989" t="str">
        <f t="shared" si="47"/>
        <v>Saturday</v>
      </c>
      <c r="O98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990" spans="1:15" x14ac:dyDescent="0.25">
      <c r="A990">
        <v>5988</v>
      </c>
      <c r="B990">
        <v>1506</v>
      </c>
      <c r="C990">
        <v>1008</v>
      </c>
      <c r="D990" t="s">
        <v>13</v>
      </c>
      <c r="E990" s="1">
        <v>45616</v>
      </c>
      <c r="F990">
        <v>1231</v>
      </c>
      <c r="G990" t="s">
        <v>14</v>
      </c>
      <c r="H990" t="s">
        <v>11</v>
      </c>
      <c r="I990" t="s">
        <v>1933</v>
      </c>
      <c r="J990" t="str" cm="1">
        <f t="array" ref="J990">_xlfn.IFS(HOUR(I990)&lt;12,"Morning",HOUR(I990)&lt;17,"Afternoon",TRUE,"Evening")</f>
        <v>Evening</v>
      </c>
      <c r="K990" t="s">
        <v>12</v>
      </c>
      <c r="L990" t="str">
        <f t="shared" si="45"/>
        <v>Attended</v>
      </c>
      <c r="M990">
        <f t="shared" si="46"/>
        <v>0</v>
      </c>
      <c r="N990" t="str">
        <f t="shared" si="47"/>
        <v>Wednesday</v>
      </c>
      <c r="O99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1" spans="1:15" x14ac:dyDescent="0.25">
      <c r="A991">
        <v>5989</v>
      </c>
      <c r="B991">
        <v>615</v>
      </c>
      <c r="C991">
        <v>1009</v>
      </c>
      <c r="D991" t="s">
        <v>13</v>
      </c>
      <c r="E991" s="1">
        <v>45572</v>
      </c>
      <c r="F991">
        <v>1602</v>
      </c>
      <c r="G991" t="s">
        <v>14</v>
      </c>
      <c r="H991" t="s">
        <v>11</v>
      </c>
      <c r="I991" t="s">
        <v>1941</v>
      </c>
      <c r="J991" t="str" cm="1">
        <f t="array" ref="J991">_xlfn.IFS(HOUR(I991)&lt;12,"Morning",HOUR(I991)&lt;17,"Afternoon",TRUE,"Evening")</f>
        <v>Morning</v>
      </c>
      <c r="K991" t="s">
        <v>12</v>
      </c>
      <c r="L991" t="str">
        <f t="shared" si="45"/>
        <v>Attended</v>
      </c>
      <c r="M991">
        <f t="shared" si="46"/>
        <v>0</v>
      </c>
      <c r="N991" t="str">
        <f t="shared" si="47"/>
        <v>Monday</v>
      </c>
      <c r="O99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2" spans="1:15" x14ac:dyDescent="0.25">
      <c r="A992">
        <v>5990</v>
      </c>
      <c r="B992">
        <v>231</v>
      </c>
      <c r="C992">
        <v>1004</v>
      </c>
      <c r="D992" t="s">
        <v>18</v>
      </c>
      <c r="E992" s="1">
        <v>45567</v>
      </c>
      <c r="F992">
        <v>2256</v>
      </c>
      <c r="G992" t="s">
        <v>10</v>
      </c>
      <c r="H992" t="s">
        <v>19</v>
      </c>
      <c r="I992" t="s">
        <v>1909</v>
      </c>
      <c r="J992" t="str" cm="1">
        <f t="array" ref="J992">_xlfn.IFS(HOUR(I992)&lt;12,"Morning",HOUR(I992)&lt;17,"Afternoon",TRUE,"Evening")</f>
        <v>Afternoon</v>
      </c>
      <c r="K992" t="s">
        <v>12</v>
      </c>
      <c r="L992" t="str">
        <f t="shared" si="45"/>
        <v>Attended</v>
      </c>
      <c r="M992">
        <f t="shared" si="46"/>
        <v>0</v>
      </c>
      <c r="N992" t="str">
        <f t="shared" si="47"/>
        <v>Wednesday</v>
      </c>
      <c r="O992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3" spans="1:15" x14ac:dyDescent="0.25">
      <c r="A993">
        <v>5991</v>
      </c>
      <c r="B993">
        <v>1343</v>
      </c>
      <c r="C993">
        <v>1027</v>
      </c>
      <c r="D993" t="s">
        <v>24</v>
      </c>
      <c r="E993" s="1">
        <v>45733</v>
      </c>
      <c r="F993">
        <v>1063</v>
      </c>
      <c r="G993" t="s">
        <v>14</v>
      </c>
      <c r="H993" t="s">
        <v>15</v>
      </c>
      <c r="I993" t="s">
        <v>1930</v>
      </c>
      <c r="J993" t="str" cm="1">
        <f t="array" ref="J993">_xlfn.IFS(HOUR(I993)&lt;12,"Morning",HOUR(I993)&lt;17,"Afternoon",TRUE,"Evening")</f>
        <v>Morning</v>
      </c>
      <c r="K993" t="s">
        <v>28</v>
      </c>
      <c r="L993" t="str">
        <f t="shared" si="45"/>
        <v>No Show</v>
      </c>
      <c r="M993">
        <f t="shared" si="46"/>
        <v>1</v>
      </c>
      <c r="N993" t="str">
        <f t="shared" si="47"/>
        <v>Monday</v>
      </c>
      <c r="O993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4" spans="1:15" x14ac:dyDescent="0.25">
      <c r="A994">
        <v>5992</v>
      </c>
      <c r="B994">
        <v>1239</v>
      </c>
      <c r="C994">
        <v>1027</v>
      </c>
      <c r="D994" t="s">
        <v>9</v>
      </c>
      <c r="E994" s="1">
        <v>45806</v>
      </c>
      <c r="F994">
        <v>1930</v>
      </c>
      <c r="G994" t="s">
        <v>25</v>
      </c>
      <c r="H994" t="s">
        <v>11</v>
      </c>
      <c r="I994" t="s">
        <v>1920</v>
      </c>
      <c r="J994" t="str" cm="1">
        <f t="array" ref="J994">_xlfn.IFS(HOUR(I994)&lt;12,"Morning",HOUR(I994)&lt;17,"Afternoon",TRUE,"Evening")</f>
        <v>Morning</v>
      </c>
      <c r="K994" t="s">
        <v>12</v>
      </c>
      <c r="L994" t="str">
        <f t="shared" si="45"/>
        <v>Attended</v>
      </c>
      <c r="M994">
        <f t="shared" si="46"/>
        <v>0</v>
      </c>
      <c r="N994" t="str">
        <f t="shared" si="47"/>
        <v>Thursday</v>
      </c>
      <c r="O994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5" spans="1:15" x14ac:dyDescent="0.25">
      <c r="A995">
        <v>5993</v>
      </c>
      <c r="B995">
        <v>347</v>
      </c>
      <c r="C995">
        <v>1003</v>
      </c>
      <c r="D995" t="s">
        <v>18</v>
      </c>
      <c r="E995" s="1">
        <v>45771</v>
      </c>
      <c r="F995">
        <v>2433</v>
      </c>
      <c r="G995" t="s">
        <v>25</v>
      </c>
      <c r="H995" t="s">
        <v>15</v>
      </c>
      <c r="I995" t="s">
        <v>1914</v>
      </c>
      <c r="J995" t="str" cm="1">
        <f t="array" ref="J995">_xlfn.IFS(HOUR(I995)&lt;12,"Morning",HOUR(I995)&lt;17,"Afternoon",TRUE,"Evening")</f>
        <v>Afternoon</v>
      </c>
      <c r="K995" t="s">
        <v>28</v>
      </c>
      <c r="L995" t="str">
        <f t="shared" si="45"/>
        <v>No Show</v>
      </c>
      <c r="M995">
        <f t="shared" si="46"/>
        <v>1</v>
      </c>
      <c r="N995" t="str">
        <f t="shared" si="47"/>
        <v>Thursday</v>
      </c>
      <c r="O995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6" spans="1:15" x14ac:dyDescent="0.25">
      <c r="A996">
        <v>5994</v>
      </c>
      <c r="B996">
        <v>920</v>
      </c>
      <c r="C996">
        <v>1020</v>
      </c>
      <c r="D996" t="s">
        <v>26</v>
      </c>
      <c r="E996" s="1">
        <v>45742</v>
      </c>
      <c r="F996">
        <v>1831</v>
      </c>
      <c r="G996" t="s">
        <v>17</v>
      </c>
      <c r="H996" t="s">
        <v>11</v>
      </c>
      <c r="I996" t="s">
        <v>1906</v>
      </c>
      <c r="J996" t="str" cm="1">
        <f t="array" ref="J996">_xlfn.IFS(HOUR(I996)&lt;12,"Morning",HOUR(I996)&lt;17,"Afternoon",TRUE,"Evening")</f>
        <v>Afternoon</v>
      </c>
      <c r="K996" t="s">
        <v>12</v>
      </c>
      <c r="L996" t="str">
        <f t="shared" si="45"/>
        <v>Attended</v>
      </c>
      <c r="M996">
        <f t="shared" si="46"/>
        <v>0</v>
      </c>
      <c r="N996" t="str">
        <f t="shared" si="47"/>
        <v>Wednesday</v>
      </c>
      <c r="O996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7" spans="1:15" x14ac:dyDescent="0.25">
      <c r="A997">
        <v>5995</v>
      </c>
      <c r="B997">
        <v>1105</v>
      </c>
      <c r="C997">
        <v>1027</v>
      </c>
      <c r="D997" t="s">
        <v>22</v>
      </c>
      <c r="E997" s="1">
        <v>45560</v>
      </c>
      <c r="F997">
        <v>2073</v>
      </c>
      <c r="G997" t="s">
        <v>25</v>
      </c>
      <c r="H997" t="s">
        <v>11</v>
      </c>
      <c r="I997" t="s">
        <v>1931</v>
      </c>
      <c r="J997" t="str" cm="1">
        <f t="array" ref="J997">_xlfn.IFS(HOUR(I997)&lt;12,"Morning",HOUR(I997)&lt;17,"Afternoon",TRUE,"Evening")</f>
        <v>Afternoon</v>
      </c>
      <c r="K997" t="s">
        <v>12</v>
      </c>
      <c r="L997" t="str">
        <f t="shared" si="45"/>
        <v>Attended</v>
      </c>
      <c r="M997">
        <f t="shared" si="46"/>
        <v>0</v>
      </c>
      <c r="N997" t="str">
        <f t="shared" si="47"/>
        <v>Wednesday</v>
      </c>
      <c r="O997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8" spans="1:15" x14ac:dyDescent="0.25">
      <c r="A998">
        <v>5996</v>
      </c>
      <c r="B998">
        <v>422</v>
      </c>
      <c r="C998">
        <v>1001</v>
      </c>
      <c r="D998" t="s">
        <v>22</v>
      </c>
      <c r="E998" s="1">
        <v>45628</v>
      </c>
      <c r="F998">
        <v>1703</v>
      </c>
      <c r="G998" t="s">
        <v>25</v>
      </c>
      <c r="H998" t="s">
        <v>15</v>
      </c>
      <c r="I998" t="s">
        <v>1921</v>
      </c>
      <c r="J998" t="str" cm="1">
        <f t="array" ref="J998">_xlfn.IFS(HOUR(I998)&lt;12,"Morning",HOUR(I998)&lt;17,"Afternoon",TRUE,"Evening")</f>
        <v>Afternoon</v>
      </c>
      <c r="K998" t="s">
        <v>12</v>
      </c>
      <c r="L998" t="str">
        <f t="shared" si="45"/>
        <v>Attended</v>
      </c>
      <c r="M998">
        <f t="shared" si="46"/>
        <v>0</v>
      </c>
      <c r="N998" t="str">
        <f t="shared" si="47"/>
        <v>Monday</v>
      </c>
      <c r="O998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999" spans="1:15" x14ac:dyDescent="0.25">
      <c r="A999">
        <v>5997</v>
      </c>
      <c r="B999">
        <v>884</v>
      </c>
      <c r="C999">
        <v>1027</v>
      </c>
      <c r="D999" t="s">
        <v>27</v>
      </c>
      <c r="E999" s="1">
        <v>45781</v>
      </c>
      <c r="F999">
        <v>998</v>
      </c>
      <c r="G999" t="s">
        <v>14</v>
      </c>
      <c r="H999" t="s">
        <v>19</v>
      </c>
      <c r="I999" t="s">
        <v>1925</v>
      </c>
      <c r="J999" t="str" cm="1">
        <f t="array" ref="J999">_xlfn.IFS(HOUR(I999)&lt;12,"Morning",HOUR(I999)&lt;17,"Afternoon",TRUE,"Evening")</f>
        <v>Afternoon</v>
      </c>
      <c r="K999" t="s">
        <v>12</v>
      </c>
      <c r="L999" t="str">
        <f t="shared" si="45"/>
        <v>Attended</v>
      </c>
      <c r="M999">
        <f t="shared" si="46"/>
        <v>0</v>
      </c>
      <c r="N999" t="str">
        <f t="shared" si="47"/>
        <v>Sunday</v>
      </c>
      <c r="O999" t="str">
        <f>IF(OR(Table2[[#This Row],[Weekday]]="Monday",Table2[[#This Row],[Weekday]]="Tuesday",Table2[[#This Row],[Weekday]]="Wednesday",Table2[[#This Row],[Weekday]]="Thursday",Table2[[#This Row],[Weekday]]="Friday"),"Weekday","Weekend")</f>
        <v>Weekend</v>
      </c>
    </row>
    <row r="1000" spans="1:15" x14ac:dyDescent="0.25">
      <c r="A1000">
        <v>5998</v>
      </c>
      <c r="B1000">
        <v>1486</v>
      </c>
      <c r="C1000">
        <v>1008</v>
      </c>
      <c r="D1000" t="s">
        <v>13</v>
      </c>
      <c r="E1000" s="1">
        <v>45832</v>
      </c>
      <c r="F1000">
        <v>2378</v>
      </c>
      <c r="G1000" t="s">
        <v>10</v>
      </c>
      <c r="H1000" t="s">
        <v>19</v>
      </c>
      <c r="I1000" t="s">
        <v>1907</v>
      </c>
      <c r="J1000" t="str" cm="1">
        <f t="array" ref="J1000">_xlfn.IFS(HOUR(I1000)&lt;12,"Morning",HOUR(I1000)&lt;17,"Afternoon",TRUE,"Evening")</f>
        <v>Afternoon</v>
      </c>
      <c r="K1000" t="s">
        <v>23</v>
      </c>
      <c r="L1000" t="str">
        <f t="shared" si="45"/>
        <v>No Show</v>
      </c>
      <c r="M1000">
        <f t="shared" si="46"/>
        <v>1</v>
      </c>
      <c r="N1000" t="str">
        <f t="shared" si="47"/>
        <v>Tuesday</v>
      </c>
      <c r="O1000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  <row r="1001" spans="1:15" x14ac:dyDescent="0.25">
      <c r="A1001">
        <v>5999</v>
      </c>
      <c r="B1001">
        <v>1412</v>
      </c>
      <c r="C1001">
        <v>1027</v>
      </c>
      <c r="D1001" t="s">
        <v>21</v>
      </c>
      <c r="E1001" s="1">
        <v>45826</v>
      </c>
      <c r="F1001">
        <v>2287</v>
      </c>
      <c r="G1001" t="s">
        <v>10</v>
      </c>
      <c r="H1001" t="s">
        <v>19</v>
      </c>
      <c r="I1001" t="s">
        <v>1904</v>
      </c>
      <c r="J1001" t="str" cm="1">
        <f t="array" ref="J1001">_xlfn.IFS(HOUR(I1001)&lt;12,"Morning",HOUR(I1001)&lt;17,"Afternoon",TRUE,"Evening")</f>
        <v>Evening</v>
      </c>
      <c r="K1001" t="s">
        <v>23</v>
      </c>
      <c r="L1001" t="str">
        <f t="shared" si="45"/>
        <v>No Show</v>
      </c>
      <c r="M1001">
        <f t="shared" si="46"/>
        <v>1</v>
      </c>
      <c r="N1001" t="str">
        <f t="shared" si="47"/>
        <v>Wednesday</v>
      </c>
      <c r="O1001" t="str">
        <f>IF(OR(Table2[[#This Row],[Weekday]]="Monday",Table2[[#This Row],[Weekday]]="Tuesday",Table2[[#This Row],[Weekday]]="Wednesday",Table2[[#This Row],[Weekday]]="Thursday",Table2[[#This Row],[Weekday]]="Friday"),"Weekday","Weekend")</f>
        <v>Weekday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zoomScale="172" zoomScaleNormal="115" workbookViewId="0">
      <selection activeCell="A19" sqref="A19"/>
    </sheetView>
  </sheetViews>
  <sheetFormatPr defaultRowHeight="15" x14ac:dyDescent="0.25"/>
  <cols>
    <col min="1" max="1" width="9.7109375" bestFit="1" customWidth="1"/>
    <col min="2" max="2" width="18" bestFit="1" customWidth="1"/>
  </cols>
  <sheetData>
    <row r="1" spans="1:2" x14ac:dyDescent="0.25">
      <c r="A1" s="2" t="s">
        <v>36</v>
      </c>
      <c r="B1" s="2" t="s">
        <v>37</v>
      </c>
    </row>
    <row r="2" spans="1:2" x14ac:dyDescent="0.25">
      <c r="A2">
        <v>101</v>
      </c>
      <c r="B2" t="s">
        <v>38</v>
      </c>
    </row>
    <row r="3" spans="1:2" x14ac:dyDescent="0.25">
      <c r="A3">
        <v>102</v>
      </c>
      <c r="B3" t="s">
        <v>39</v>
      </c>
    </row>
    <row r="4" spans="1:2" x14ac:dyDescent="0.25">
      <c r="A4">
        <v>103</v>
      </c>
      <c r="B4" t="s">
        <v>40</v>
      </c>
    </row>
    <row r="5" spans="1:2" x14ac:dyDescent="0.25">
      <c r="A5">
        <v>104</v>
      </c>
      <c r="B5" t="s">
        <v>41</v>
      </c>
    </row>
    <row r="6" spans="1:2" x14ac:dyDescent="0.25">
      <c r="A6">
        <v>105</v>
      </c>
      <c r="B6" t="s">
        <v>42</v>
      </c>
    </row>
    <row r="7" spans="1:2" x14ac:dyDescent="0.25">
      <c r="A7">
        <v>106</v>
      </c>
      <c r="B7" t="s">
        <v>43</v>
      </c>
    </row>
    <row r="8" spans="1:2" x14ac:dyDescent="0.25">
      <c r="A8">
        <v>107</v>
      </c>
      <c r="B8" t="s">
        <v>44</v>
      </c>
    </row>
    <row r="9" spans="1:2" x14ac:dyDescent="0.25">
      <c r="A9">
        <v>108</v>
      </c>
      <c r="B9" t="s">
        <v>45</v>
      </c>
    </row>
    <row r="10" spans="1:2" x14ac:dyDescent="0.25">
      <c r="A10">
        <v>109</v>
      </c>
      <c r="B10" t="s">
        <v>46</v>
      </c>
    </row>
    <row r="11" spans="1:2" x14ac:dyDescent="0.25">
      <c r="A11">
        <v>110</v>
      </c>
      <c r="B11" t="s">
        <v>47</v>
      </c>
    </row>
    <row r="12" spans="1:2" x14ac:dyDescent="0.25">
      <c r="A12">
        <v>111</v>
      </c>
      <c r="B12" t="s">
        <v>48</v>
      </c>
    </row>
    <row r="13" spans="1:2" x14ac:dyDescent="0.25">
      <c r="A13">
        <v>112</v>
      </c>
      <c r="B13" t="s">
        <v>49</v>
      </c>
    </row>
    <row r="14" spans="1:2" x14ac:dyDescent="0.25">
      <c r="A14">
        <v>113</v>
      </c>
      <c r="B14" t="s">
        <v>50</v>
      </c>
    </row>
    <row r="15" spans="1:2" x14ac:dyDescent="0.25">
      <c r="A15">
        <v>114</v>
      </c>
      <c r="B15" t="s">
        <v>51</v>
      </c>
    </row>
    <row r="16" spans="1:2" x14ac:dyDescent="0.25">
      <c r="A16">
        <v>115</v>
      </c>
      <c r="B16" t="s">
        <v>52</v>
      </c>
    </row>
    <row r="17" spans="1:2" x14ac:dyDescent="0.25">
      <c r="A17">
        <v>116</v>
      </c>
      <c r="B17" t="s">
        <v>53</v>
      </c>
    </row>
    <row r="18" spans="1:2" x14ac:dyDescent="0.25">
      <c r="A18">
        <v>117</v>
      </c>
      <c r="B18" t="s">
        <v>54</v>
      </c>
    </row>
    <row r="19" spans="1:2" x14ac:dyDescent="0.25">
      <c r="A19">
        <v>118</v>
      </c>
      <c r="B19" t="s">
        <v>55</v>
      </c>
    </row>
    <row r="20" spans="1:2" x14ac:dyDescent="0.25">
      <c r="A20">
        <v>119</v>
      </c>
      <c r="B20" t="s">
        <v>56</v>
      </c>
    </row>
    <row r="21" spans="1:2" x14ac:dyDescent="0.25">
      <c r="A21">
        <v>120</v>
      </c>
      <c r="B21" t="s">
        <v>57</v>
      </c>
    </row>
    <row r="22" spans="1:2" x14ac:dyDescent="0.25">
      <c r="A22">
        <v>121</v>
      </c>
      <c r="B22" t="s">
        <v>58</v>
      </c>
    </row>
    <row r="23" spans="1:2" x14ac:dyDescent="0.25">
      <c r="A23">
        <v>122</v>
      </c>
      <c r="B23" t="s">
        <v>59</v>
      </c>
    </row>
    <row r="24" spans="1:2" x14ac:dyDescent="0.25">
      <c r="A24">
        <v>123</v>
      </c>
      <c r="B24" t="s">
        <v>60</v>
      </c>
    </row>
    <row r="25" spans="1:2" x14ac:dyDescent="0.25">
      <c r="A25">
        <v>124</v>
      </c>
      <c r="B25" t="s">
        <v>61</v>
      </c>
    </row>
    <row r="26" spans="1:2" x14ac:dyDescent="0.25">
      <c r="A26">
        <v>125</v>
      </c>
      <c r="B26" t="s">
        <v>62</v>
      </c>
    </row>
    <row r="27" spans="1:2" x14ac:dyDescent="0.25">
      <c r="A27">
        <v>126</v>
      </c>
      <c r="B27" t="s">
        <v>63</v>
      </c>
    </row>
    <row r="28" spans="1:2" x14ac:dyDescent="0.25">
      <c r="A28">
        <v>127</v>
      </c>
      <c r="B28" t="s">
        <v>64</v>
      </c>
    </row>
    <row r="29" spans="1:2" x14ac:dyDescent="0.25">
      <c r="A29">
        <v>128</v>
      </c>
      <c r="B29" t="s">
        <v>65</v>
      </c>
    </row>
    <row r="30" spans="1:2" x14ac:dyDescent="0.25">
      <c r="A30">
        <v>129</v>
      </c>
      <c r="B30" t="s">
        <v>66</v>
      </c>
    </row>
    <row r="31" spans="1:2" x14ac:dyDescent="0.25">
      <c r="A31">
        <v>130</v>
      </c>
      <c r="B31" t="s">
        <v>67</v>
      </c>
    </row>
    <row r="32" spans="1:2" x14ac:dyDescent="0.25">
      <c r="A32">
        <v>131</v>
      </c>
      <c r="B32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9"/>
  <sheetViews>
    <sheetView tabSelected="1" zoomScale="153" workbookViewId="0">
      <selection activeCell="I2" sqref="I2"/>
    </sheetView>
  </sheetViews>
  <sheetFormatPr defaultRowHeight="15" x14ac:dyDescent="0.25"/>
  <cols>
    <col min="1" max="2" width="9.7109375" bestFit="1" customWidth="1"/>
    <col min="3" max="3" width="19.85546875" bestFit="1" customWidth="1"/>
    <col min="4" max="4" width="9.28515625" bestFit="1" customWidth="1"/>
    <col min="5" max="5" width="14.5703125" bestFit="1" customWidth="1"/>
  </cols>
  <sheetData>
    <row r="1" spans="1:7" x14ac:dyDescent="0.25">
      <c r="A1" s="2" t="s">
        <v>2</v>
      </c>
      <c r="B1" s="2" t="s">
        <v>36</v>
      </c>
      <c r="C1" s="2" t="s">
        <v>69</v>
      </c>
      <c r="D1" s="2" t="s">
        <v>70</v>
      </c>
      <c r="E1" s="2" t="s">
        <v>71</v>
      </c>
      <c r="F1" s="2" t="s">
        <v>2009</v>
      </c>
      <c r="G1" s="2" t="s">
        <v>1946</v>
      </c>
    </row>
    <row r="2" spans="1:7" x14ac:dyDescent="0.25">
      <c r="A2">
        <v>1001</v>
      </c>
      <c r="B2">
        <v>101</v>
      </c>
      <c r="C2" t="s">
        <v>72</v>
      </c>
      <c r="D2" t="s">
        <v>73</v>
      </c>
      <c r="E2" t="s">
        <v>74</v>
      </c>
      <c r="F2">
        <v>22</v>
      </c>
      <c r="G2">
        <v>97704</v>
      </c>
    </row>
    <row r="3" spans="1:7" x14ac:dyDescent="0.25">
      <c r="A3">
        <v>1002</v>
      </c>
      <c r="B3">
        <v>101</v>
      </c>
      <c r="C3" t="s">
        <v>75</v>
      </c>
      <c r="D3" t="s">
        <v>76</v>
      </c>
      <c r="E3" t="s">
        <v>77</v>
      </c>
      <c r="F3">
        <v>20</v>
      </c>
      <c r="G3">
        <v>98756</v>
      </c>
    </row>
    <row r="4" spans="1:7" x14ac:dyDescent="0.25">
      <c r="A4">
        <v>1003</v>
      </c>
      <c r="B4">
        <v>101</v>
      </c>
      <c r="C4" t="s">
        <v>78</v>
      </c>
      <c r="D4" t="s">
        <v>73</v>
      </c>
      <c r="E4" t="s">
        <v>79</v>
      </c>
      <c r="F4">
        <v>29</v>
      </c>
      <c r="G4">
        <v>98656</v>
      </c>
    </row>
    <row r="5" spans="1:7" x14ac:dyDescent="0.25">
      <c r="A5">
        <v>1004</v>
      </c>
      <c r="B5">
        <v>101</v>
      </c>
      <c r="C5" t="s">
        <v>80</v>
      </c>
      <c r="D5" t="s">
        <v>73</v>
      </c>
      <c r="E5" t="s">
        <v>81</v>
      </c>
      <c r="F5">
        <v>27</v>
      </c>
      <c r="G5">
        <v>76709</v>
      </c>
    </row>
    <row r="6" spans="1:7" x14ac:dyDescent="0.25">
      <c r="A6">
        <v>1006</v>
      </c>
      <c r="B6">
        <v>101</v>
      </c>
      <c r="C6" t="s">
        <v>82</v>
      </c>
      <c r="D6" t="s">
        <v>73</v>
      </c>
      <c r="E6" t="s">
        <v>83</v>
      </c>
      <c r="F6">
        <v>8</v>
      </c>
      <c r="G6">
        <v>143987</v>
      </c>
    </row>
    <row r="7" spans="1:7" x14ac:dyDescent="0.25">
      <c r="A7">
        <v>1008</v>
      </c>
      <c r="B7">
        <v>102</v>
      </c>
      <c r="C7" t="s">
        <v>84</v>
      </c>
      <c r="D7" t="s">
        <v>73</v>
      </c>
      <c r="E7" t="s">
        <v>85</v>
      </c>
      <c r="F7">
        <v>12</v>
      </c>
      <c r="G7">
        <v>114017</v>
      </c>
    </row>
    <row r="8" spans="1:7" x14ac:dyDescent="0.25">
      <c r="A8">
        <v>1009</v>
      </c>
      <c r="B8">
        <v>102</v>
      </c>
      <c r="C8" t="s">
        <v>86</v>
      </c>
      <c r="D8" t="s">
        <v>76</v>
      </c>
      <c r="E8" t="s">
        <v>87</v>
      </c>
      <c r="F8">
        <v>25</v>
      </c>
      <c r="G8">
        <v>116783</v>
      </c>
    </row>
    <row r="9" spans="1:7" x14ac:dyDescent="0.25">
      <c r="A9">
        <v>1010</v>
      </c>
      <c r="B9">
        <v>102</v>
      </c>
      <c r="C9" t="s">
        <v>75</v>
      </c>
      <c r="D9" t="s">
        <v>76</v>
      </c>
      <c r="E9" t="s">
        <v>88</v>
      </c>
      <c r="F9">
        <v>14</v>
      </c>
      <c r="G9">
        <v>76148</v>
      </c>
    </row>
    <row r="10" spans="1:7" x14ac:dyDescent="0.25">
      <c r="A10">
        <v>1011</v>
      </c>
      <c r="B10">
        <v>102</v>
      </c>
      <c r="C10" t="s">
        <v>89</v>
      </c>
      <c r="D10" t="s">
        <v>76</v>
      </c>
      <c r="E10" t="s">
        <v>90</v>
      </c>
      <c r="F10">
        <v>9</v>
      </c>
      <c r="G10">
        <v>56761</v>
      </c>
    </row>
    <row r="11" spans="1:7" x14ac:dyDescent="0.25">
      <c r="A11">
        <v>1012</v>
      </c>
      <c r="B11">
        <v>102</v>
      </c>
      <c r="C11" t="s">
        <v>80</v>
      </c>
      <c r="D11" t="s">
        <v>73</v>
      </c>
      <c r="E11" t="s">
        <v>91</v>
      </c>
      <c r="F11">
        <v>11</v>
      </c>
      <c r="G11">
        <v>108349</v>
      </c>
    </row>
    <row r="12" spans="1:7" x14ac:dyDescent="0.25">
      <c r="A12">
        <v>1013</v>
      </c>
      <c r="B12">
        <v>103</v>
      </c>
      <c r="C12" t="s">
        <v>92</v>
      </c>
      <c r="D12" t="s">
        <v>76</v>
      </c>
      <c r="E12" t="s">
        <v>93</v>
      </c>
      <c r="F12">
        <v>25</v>
      </c>
      <c r="G12">
        <v>123242</v>
      </c>
    </row>
    <row r="13" spans="1:7" x14ac:dyDescent="0.25">
      <c r="A13">
        <v>1014</v>
      </c>
      <c r="B13">
        <v>103</v>
      </c>
      <c r="C13" t="s">
        <v>94</v>
      </c>
      <c r="D13" t="s">
        <v>73</v>
      </c>
      <c r="E13" t="s">
        <v>95</v>
      </c>
      <c r="F13">
        <v>29</v>
      </c>
      <c r="G13">
        <v>97091</v>
      </c>
    </row>
    <row r="14" spans="1:7" x14ac:dyDescent="0.25">
      <c r="A14">
        <v>1015</v>
      </c>
      <c r="B14">
        <v>103</v>
      </c>
      <c r="C14" t="s">
        <v>72</v>
      </c>
      <c r="D14" t="s">
        <v>73</v>
      </c>
      <c r="E14" t="s">
        <v>96</v>
      </c>
      <c r="F14">
        <v>8</v>
      </c>
      <c r="G14">
        <v>138570</v>
      </c>
    </row>
    <row r="15" spans="1:7" x14ac:dyDescent="0.25">
      <c r="A15">
        <v>1016</v>
      </c>
      <c r="B15">
        <v>104</v>
      </c>
      <c r="C15" t="s">
        <v>92</v>
      </c>
      <c r="D15" t="s">
        <v>76</v>
      </c>
      <c r="E15" t="s">
        <v>97</v>
      </c>
      <c r="F15">
        <v>7</v>
      </c>
      <c r="G15">
        <v>59307</v>
      </c>
    </row>
    <row r="16" spans="1:7" x14ac:dyDescent="0.25">
      <c r="A16">
        <v>1017</v>
      </c>
      <c r="B16">
        <v>104</v>
      </c>
      <c r="C16" t="s">
        <v>78</v>
      </c>
      <c r="D16" t="s">
        <v>73</v>
      </c>
      <c r="E16" t="s">
        <v>98</v>
      </c>
      <c r="F16">
        <v>14</v>
      </c>
      <c r="G16">
        <v>92821</v>
      </c>
    </row>
    <row r="17" spans="1:7" x14ac:dyDescent="0.25">
      <c r="A17">
        <v>1018</v>
      </c>
      <c r="B17">
        <v>104</v>
      </c>
      <c r="C17" t="s">
        <v>99</v>
      </c>
      <c r="D17" t="s">
        <v>76</v>
      </c>
      <c r="E17" t="s">
        <v>100</v>
      </c>
      <c r="F17">
        <v>4</v>
      </c>
      <c r="G17">
        <v>81021</v>
      </c>
    </row>
    <row r="18" spans="1:7" x14ac:dyDescent="0.25">
      <c r="A18">
        <v>1019</v>
      </c>
      <c r="B18">
        <v>104</v>
      </c>
      <c r="C18" t="s">
        <v>75</v>
      </c>
      <c r="D18" t="s">
        <v>76</v>
      </c>
      <c r="E18" t="s">
        <v>101</v>
      </c>
      <c r="F18">
        <v>10</v>
      </c>
      <c r="G18">
        <v>94929</v>
      </c>
    </row>
    <row r="19" spans="1:7" x14ac:dyDescent="0.25">
      <c r="A19">
        <v>1020</v>
      </c>
      <c r="B19">
        <v>105</v>
      </c>
      <c r="C19" t="s">
        <v>82</v>
      </c>
      <c r="D19" t="s">
        <v>73</v>
      </c>
      <c r="E19" t="s">
        <v>102</v>
      </c>
      <c r="F19">
        <v>16</v>
      </c>
      <c r="G19">
        <v>88170</v>
      </c>
    </row>
    <row r="20" spans="1:7" x14ac:dyDescent="0.25">
      <c r="A20">
        <v>1021</v>
      </c>
      <c r="B20">
        <v>105</v>
      </c>
      <c r="C20" t="s">
        <v>99</v>
      </c>
      <c r="D20" t="s">
        <v>76</v>
      </c>
      <c r="E20" t="s">
        <v>103</v>
      </c>
      <c r="F20">
        <v>10</v>
      </c>
      <c r="G20">
        <v>139288</v>
      </c>
    </row>
    <row r="21" spans="1:7" x14ac:dyDescent="0.25">
      <c r="A21">
        <v>1022</v>
      </c>
      <c r="B21">
        <v>105</v>
      </c>
      <c r="C21" t="s">
        <v>104</v>
      </c>
      <c r="D21" t="s">
        <v>76</v>
      </c>
      <c r="E21" t="s">
        <v>105</v>
      </c>
      <c r="F21">
        <v>14</v>
      </c>
      <c r="G21">
        <v>92195</v>
      </c>
    </row>
    <row r="22" spans="1:7" x14ac:dyDescent="0.25">
      <c r="A22">
        <v>1023</v>
      </c>
      <c r="B22">
        <v>105</v>
      </c>
      <c r="C22" t="s">
        <v>92</v>
      </c>
      <c r="D22" t="s">
        <v>76</v>
      </c>
      <c r="E22" t="s">
        <v>106</v>
      </c>
      <c r="F22">
        <v>22</v>
      </c>
      <c r="G22">
        <v>81048</v>
      </c>
    </row>
    <row r="23" spans="1:7" x14ac:dyDescent="0.25">
      <c r="A23">
        <v>1024</v>
      </c>
      <c r="B23">
        <v>106</v>
      </c>
      <c r="C23" t="s">
        <v>89</v>
      </c>
      <c r="D23" t="s">
        <v>76</v>
      </c>
      <c r="E23" t="s">
        <v>107</v>
      </c>
      <c r="F23">
        <v>18</v>
      </c>
      <c r="G23">
        <v>83693</v>
      </c>
    </row>
    <row r="24" spans="1:7" x14ac:dyDescent="0.25">
      <c r="A24">
        <v>1025</v>
      </c>
      <c r="B24">
        <v>106</v>
      </c>
      <c r="C24" t="s">
        <v>82</v>
      </c>
      <c r="D24" t="s">
        <v>73</v>
      </c>
      <c r="E24" t="s">
        <v>108</v>
      </c>
      <c r="F24">
        <v>11</v>
      </c>
      <c r="G24">
        <v>82098</v>
      </c>
    </row>
    <row r="25" spans="1:7" x14ac:dyDescent="0.25">
      <c r="A25">
        <v>1026</v>
      </c>
      <c r="B25">
        <v>106</v>
      </c>
      <c r="C25" t="s">
        <v>99</v>
      </c>
      <c r="D25" t="s">
        <v>76</v>
      </c>
      <c r="E25" t="s">
        <v>109</v>
      </c>
      <c r="F25">
        <v>25</v>
      </c>
      <c r="G25">
        <v>147771</v>
      </c>
    </row>
    <row r="26" spans="1:7" x14ac:dyDescent="0.25">
      <c r="A26">
        <v>1027</v>
      </c>
      <c r="B26">
        <v>107</v>
      </c>
      <c r="C26" t="s">
        <v>104</v>
      </c>
      <c r="D26" t="s">
        <v>76</v>
      </c>
      <c r="E26" t="s">
        <v>110</v>
      </c>
      <c r="F26">
        <v>8</v>
      </c>
      <c r="G26">
        <v>128437</v>
      </c>
    </row>
    <row r="27" spans="1:7" x14ac:dyDescent="0.25">
      <c r="A27">
        <v>1028</v>
      </c>
      <c r="B27">
        <v>107</v>
      </c>
      <c r="C27" t="s">
        <v>86</v>
      </c>
      <c r="D27" t="s">
        <v>76</v>
      </c>
      <c r="E27" t="s">
        <v>111</v>
      </c>
      <c r="F27">
        <v>14</v>
      </c>
      <c r="G27">
        <v>77662</v>
      </c>
    </row>
    <row r="28" spans="1:7" x14ac:dyDescent="0.25">
      <c r="A28">
        <v>1029</v>
      </c>
      <c r="B28">
        <v>107</v>
      </c>
      <c r="C28" t="s">
        <v>82</v>
      </c>
      <c r="D28" t="s">
        <v>73</v>
      </c>
      <c r="E28" t="s">
        <v>112</v>
      </c>
      <c r="F28">
        <v>21</v>
      </c>
      <c r="G28">
        <v>67674</v>
      </c>
    </row>
    <row r="29" spans="1:7" x14ac:dyDescent="0.25">
      <c r="A29">
        <v>1031</v>
      </c>
      <c r="B29">
        <v>107</v>
      </c>
      <c r="C29" t="s">
        <v>78</v>
      </c>
      <c r="D29" t="s">
        <v>73</v>
      </c>
      <c r="E29" t="s">
        <v>113</v>
      </c>
      <c r="F29">
        <v>14</v>
      </c>
      <c r="G29">
        <v>102673</v>
      </c>
    </row>
    <row r="30" spans="1:7" x14ac:dyDescent="0.25">
      <c r="A30">
        <v>1032</v>
      </c>
      <c r="B30">
        <v>107</v>
      </c>
      <c r="C30" t="s">
        <v>92</v>
      </c>
      <c r="D30" t="s">
        <v>76</v>
      </c>
      <c r="E30" t="s">
        <v>114</v>
      </c>
      <c r="F30">
        <v>22</v>
      </c>
      <c r="G30">
        <v>126044</v>
      </c>
    </row>
    <row r="31" spans="1:7" x14ac:dyDescent="0.25">
      <c r="A31">
        <v>1033</v>
      </c>
      <c r="B31">
        <v>107</v>
      </c>
      <c r="C31" t="s">
        <v>89</v>
      </c>
      <c r="D31" t="s">
        <v>76</v>
      </c>
      <c r="E31" t="s">
        <v>115</v>
      </c>
      <c r="F31">
        <v>20</v>
      </c>
      <c r="G31">
        <v>75243</v>
      </c>
    </row>
    <row r="32" spans="1:7" x14ac:dyDescent="0.25">
      <c r="A32">
        <v>1035</v>
      </c>
      <c r="B32">
        <v>107</v>
      </c>
      <c r="C32" t="s">
        <v>80</v>
      </c>
      <c r="D32" t="s">
        <v>73</v>
      </c>
      <c r="E32" t="s">
        <v>116</v>
      </c>
      <c r="F32">
        <v>7</v>
      </c>
      <c r="G32">
        <v>116591</v>
      </c>
    </row>
    <row r="33" spans="1:7" x14ac:dyDescent="0.25">
      <c r="A33">
        <v>1042</v>
      </c>
      <c r="B33">
        <v>107</v>
      </c>
      <c r="C33" t="s">
        <v>72</v>
      </c>
      <c r="D33" t="s">
        <v>73</v>
      </c>
      <c r="E33" t="s">
        <v>117</v>
      </c>
      <c r="F33">
        <v>15</v>
      </c>
      <c r="G33">
        <v>122167</v>
      </c>
    </row>
    <row r="34" spans="1:7" x14ac:dyDescent="0.25">
      <c r="A34">
        <v>1043</v>
      </c>
      <c r="B34">
        <v>107</v>
      </c>
      <c r="C34" t="s">
        <v>99</v>
      </c>
      <c r="D34" t="s">
        <v>76</v>
      </c>
      <c r="E34" t="s">
        <v>118</v>
      </c>
      <c r="F34">
        <v>12</v>
      </c>
      <c r="G34">
        <v>123188</v>
      </c>
    </row>
    <row r="35" spans="1:7" x14ac:dyDescent="0.25">
      <c r="A35">
        <v>1050</v>
      </c>
      <c r="B35">
        <v>107</v>
      </c>
      <c r="C35" t="s">
        <v>84</v>
      </c>
      <c r="D35" t="s">
        <v>73</v>
      </c>
      <c r="E35" t="s">
        <v>119</v>
      </c>
      <c r="F35">
        <v>16</v>
      </c>
      <c r="G35">
        <v>134957</v>
      </c>
    </row>
    <row r="36" spans="1:7" x14ac:dyDescent="0.25">
      <c r="A36">
        <v>1055</v>
      </c>
      <c r="B36">
        <v>107</v>
      </c>
      <c r="C36" t="s">
        <v>120</v>
      </c>
      <c r="D36" t="s">
        <v>73</v>
      </c>
      <c r="E36" t="s">
        <v>121</v>
      </c>
      <c r="F36">
        <v>22</v>
      </c>
      <c r="G36">
        <v>113967</v>
      </c>
    </row>
    <row r="37" spans="1:7" x14ac:dyDescent="0.25">
      <c r="A37">
        <v>1060</v>
      </c>
      <c r="B37">
        <v>107</v>
      </c>
      <c r="C37" t="s">
        <v>122</v>
      </c>
      <c r="D37" t="s">
        <v>73</v>
      </c>
      <c r="E37" t="s">
        <v>123</v>
      </c>
      <c r="F37">
        <v>16</v>
      </c>
      <c r="G37">
        <v>102886</v>
      </c>
    </row>
    <row r="38" spans="1:7" x14ac:dyDescent="0.25">
      <c r="A38">
        <v>1062</v>
      </c>
      <c r="B38">
        <v>107</v>
      </c>
      <c r="C38" t="s">
        <v>75</v>
      </c>
      <c r="D38" t="s">
        <v>76</v>
      </c>
      <c r="E38" t="s">
        <v>124</v>
      </c>
      <c r="F38">
        <v>28</v>
      </c>
      <c r="G38">
        <v>75813</v>
      </c>
    </row>
    <row r="39" spans="1:7" x14ac:dyDescent="0.25">
      <c r="A39">
        <v>1068</v>
      </c>
      <c r="B39">
        <v>107</v>
      </c>
      <c r="C39" t="s">
        <v>125</v>
      </c>
      <c r="D39" t="s">
        <v>76</v>
      </c>
      <c r="E39" t="s">
        <v>126</v>
      </c>
      <c r="F39">
        <v>11</v>
      </c>
      <c r="G39">
        <v>139749</v>
      </c>
    </row>
    <row r="40" spans="1:7" x14ac:dyDescent="0.25">
      <c r="A40">
        <v>1070</v>
      </c>
      <c r="B40">
        <v>107</v>
      </c>
      <c r="C40" t="s">
        <v>127</v>
      </c>
      <c r="D40" t="s">
        <v>76</v>
      </c>
      <c r="E40" t="s">
        <v>128</v>
      </c>
      <c r="F40">
        <v>24</v>
      </c>
      <c r="G40">
        <v>82371</v>
      </c>
    </row>
    <row r="41" spans="1:7" x14ac:dyDescent="0.25">
      <c r="A41">
        <v>1079</v>
      </c>
      <c r="B41">
        <v>108</v>
      </c>
      <c r="C41" t="s">
        <v>94</v>
      </c>
      <c r="D41" t="s">
        <v>73</v>
      </c>
      <c r="E41" t="s">
        <v>129</v>
      </c>
      <c r="F41">
        <v>4</v>
      </c>
      <c r="G41">
        <v>101931</v>
      </c>
    </row>
    <row r="42" spans="1:7" x14ac:dyDescent="0.25">
      <c r="A42">
        <v>1080</v>
      </c>
      <c r="B42">
        <v>108</v>
      </c>
      <c r="C42" t="s">
        <v>125</v>
      </c>
      <c r="D42" t="s">
        <v>76</v>
      </c>
      <c r="E42" t="s">
        <v>130</v>
      </c>
      <c r="F42">
        <v>5</v>
      </c>
      <c r="G42">
        <v>143753</v>
      </c>
    </row>
    <row r="43" spans="1:7" x14ac:dyDescent="0.25">
      <c r="A43">
        <v>1081</v>
      </c>
      <c r="B43">
        <v>108</v>
      </c>
      <c r="C43" t="s">
        <v>92</v>
      </c>
      <c r="D43" t="s">
        <v>76</v>
      </c>
      <c r="E43" t="s">
        <v>131</v>
      </c>
      <c r="F43">
        <v>7</v>
      </c>
      <c r="G43">
        <v>102973</v>
      </c>
    </row>
    <row r="44" spans="1:7" x14ac:dyDescent="0.25">
      <c r="A44">
        <v>1082</v>
      </c>
      <c r="B44">
        <v>108</v>
      </c>
      <c r="C44" t="s">
        <v>120</v>
      </c>
      <c r="D44" t="s">
        <v>73</v>
      </c>
      <c r="E44" t="s">
        <v>132</v>
      </c>
      <c r="F44">
        <v>7</v>
      </c>
      <c r="G44">
        <v>90124</v>
      </c>
    </row>
    <row r="45" spans="1:7" x14ac:dyDescent="0.25">
      <c r="A45">
        <v>1085</v>
      </c>
      <c r="B45">
        <v>108</v>
      </c>
      <c r="C45" t="s">
        <v>78</v>
      </c>
      <c r="D45" t="s">
        <v>73</v>
      </c>
      <c r="E45" t="s">
        <v>133</v>
      </c>
      <c r="F45">
        <v>25</v>
      </c>
      <c r="G45">
        <v>55339</v>
      </c>
    </row>
    <row r="46" spans="1:7" x14ac:dyDescent="0.25">
      <c r="A46">
        <v>1086</v>
      </c>
      <c r="B46">
        <v>108</v>
      </c>
      <c r="C46" t="s">
        <v>82</v>
      </c>
      <c r="D46" t="s">
        <v>73</v>
      </c>
      <c r="E46" t="s">
        <v>134</v>
      </c>
      <c r="F46">
        <v>6</v>
      </c>
      <c r="G46">
        <v>137524</v>
      </c>
    </row>
    <row r="47" spans="1:7" x14ac:dyDescent="0.25">
      <c r="A47">
        <v>1087</v>
      </c>
      <c r="B47">
        <v>108</v>
      </c>
      <c r="C47" t="s">
        <v>75</v>
      </c>
      <c r="D47" t="s">
        <v>76</v>
      </c>
      <c r="E47" t="s">
        <v>135</v>
      </c>
      <c r="F47">
        <v>28</v>
      </c>
      <c r="G47">
        <v>111184</v>
      </c>
    </row>
    <row r="48" spans="1:7" x14ac:dyDescent="0.25">
      <c r="A48">
        <v>1088</v>
      </c>
      <c r="B48">
        <v>108</v>
      </c>
      <c r="C48" t="s">
        <v>72</v>
      </c>
      <c r="D48" t="s">
        <v>73</v>
      </c>
      <c r="E48" t="s">
        <v>136</v>
      </c>
      <c r="F48">
        <v>5</v>
      </c>
      <c r="G48">
        <v>123240</v>
      </c>
    </row>
    <row r="49" spans="1:7" x14ac:dyDescent="0.25">
      <c r="A49">
        <v>1089</v>
      </c>
      <c r="B49">
        <v>108</v>
      </c>
      <c r="C49" t="s">
        <v>99</v>
      </c>
      <c r="D49" t="s">
        <v>76</v>
      </c>
      <c r="E49" t="s">
        <v>137</v>
      </c>
      <c r="F49">
        <v>30</v>
      </c>
      <c r="G49">
        <v>67413</v>
      </c>
    </row>
    <row r="50" spans="1:7" x14ac:dyDescent="0.25">
      <c r="A50">
        <v>1091</v>
      </c>
      <c r="B50">
        <v>108</v>
      </c>
      <c r="C50" t="s">
        <v>127</v>
      </c>
      <c r="D50" t="s">
        <v>76</v>
      </c>
      <c r="E50" t="s">
        <v>138</v>
      </c>
      <c r="F50">
        <v>11</v>
      </c>
      <c r="G50">
        <v>81920</v>
      </c>
    </row>
    <row r="51" spans="1:7" x14ac:dyDescent="0.25">
      <c r="A51">
        <v>1093</v>
      </c>
      <c r="B51">
        <v>109</v>
      </c>
      <c r="C51" t="s">
        <v>75</v>
      </c>
      <c r="D51" t="s">
        <v>76</v>
      </c>
      <c r="E51" t="s">
        <v>139</v>
      </c>
      <c r="F51">
        <v>25</v>
      </c>
      <c r="G51">
        <v>69294</v>
      </c>
    </row>
    <row r="52" spans="1:7" x14ac:dyDescent="0.25">
      <c r="A52">
        <v>1094</v>
      </c>
      <c r="B52">
        <v>109</v>
      </c>
      <c r="C52" t="s">
        <v>80</v>
      </c>
      <c r="D52" t="s">
        <v>73</v>
      </c>
      <c r="E52" t="s">
        <v>140</v>
      </c>
      <c r="F52">
        <v>17</v>
      </c>
      <c r="G52">
        <v>149343</v>
      </c>
    </row>
    <row r="53" spans="1:7" x14ac:dyDescent="0.25">
      <c r="A53">
        <v>1095</v>
      </c>
      <c r="B53">
        <v>109</v>
      </c>
      <c r="C53" t="s">
        <v>122</v>
      </c>
      <c r="D53" t="s">
        <v>73</v>
      </c>
      <c r="E53" t="s">
        <v>141</v>
      </c>
      <c r="F53">
        <v>13</v>
      </c>
      <c r="G53">
        <v>85244</v>
      </c>
    </row>
    <row r="54" spans="1:7" x14ac:dyDescent="0.25">
      <c r="A54">
        <v>1096</v>
      </c>
      <c r="B54">
        <v>109</v>
      </c>
      <c r="C54" t="s">
        <v>72</v>
      </c>
      <c r="D54" t="s">
        <v>73</v>
      </c>
      <c r="E54" t="s">
        <v>142</v>
      </c>
      <c r="F54">
        <v>6</v>
      </c>
      <c r="G54">
        <v>95195</v>
      </c>
    </row>
    <row r="55" spans="1:7" x14ac:dyDescent="0.25">
      <c r="A55">
        <v>1097</v>
      </c>
      <c r="B55">
        <v>109</v>
      </c>
      <c r="C55" t="s">
        <v>120</v>
      </c>
      <c r="D55" t="s">
        <v>73</v>
      </c>
      <c r="E55" t="s">
        <v>143</v>
      </c>
      <c r="F55">
        <v>7</v>
      </c>
      <c r="G55">
        <v>124981</v>
      </c>
    </row>
    <row r="56" spans="1:7" x14ac:dyDescent="0.25">
      <c r="A56">
        <v>1098</v>
      </c>
      <c r="B56">
        <v>110</v>
      </c>
      <c r="C56" t="s">
        <v>122</v>
      </c>
      <c r="D56" t="s">
        <v>73</v>
      </c>
      <c r="E56" t="s">
        <v>144</v>
      </c>
      <c r="F56">
        <v>28</v>
      </c>
      <c r="G56">
        <v>66500</v>
      </c>
    </row>
    <row r="57" spans="1:7" x14ac:dyDescent="0.25">
      <c r="A57">
        <v>1099</v>
      </c>
      <c r="B57">
        <v>110</v>
      </c>
      <c r="C57" t="s">
        <v>82</v>
      </c>
      <c r="D57" t="s">
        <v>73</v>
      </c>
      <c r="E57" t="s">
        <v>145</v>
      </c>
      <c r="F57">
        <v>16</v>
      </c>
      <c r="G57">
        <v>132545</v>
      </c>
    </row>
    <row r="58" spans="1:7" x14ac:dyDescent="0.25">
      <c r="A58">
        <v>1100</v>
      </c>
      <c r="B58">
        <v>110</v>
      </c>
      <c r="C58" t="s">
        <v>78</v>
      </c>
      <c r="D58" t="s">
        <v>73</v>
      </c>
      <c r="E58" t="s">
        <v>146</v>
      </c>
      <c r="F58">
        <v>29</v>
      </c>
      <c r="G58">
        <v>88831</v>
      </c>
    </row>
    <row r="59" spans="1:7" x14ac:dyDescent="0.25">
      <c r="A59">
        <v>1101</v>
      </c>
      <c r="B59">
        <v>110</v>
      </c>
      <c r="C59" t="s">
        <v>75</v>
      </c>
      <c r="D59" t="s">
        <v>76</v>
      </c>
      <c r="E59" t="s">
        <v>147</v>
      </c>
      <c r="F59">
        <v>14</v>
      </c>
      <c r="G59">
        <v>86281</v>
      </c>
    </row>
    <row r="60" spans="1:7" x14ac:dyDescent="0.25">
      <c r="A60">
        <v>1102</v>
      </c>
      <c r="B60">
        <v>110</v>
      </c>
      <c r="C60" t="s">
        <v>72</v>
      </c>
      <c r="D60" t="s">
        <v>73</v>
      </c>
      <c r="E60" t="s">
        <v>148</v>
      </c>
      <c r="F60">
        <v>9</v>
      </c>
      <c r="G60">
        <v>92144</v>
      </c>
    </row>
    <row r="61" spans="1:7" x14ac:dyDescent="0.25">
      <c r="A61">
        <v>1106</v>
      </c>
      <c r="B61">
        <v>111</v>
      </c>
      <c r="C61" t="s">
        <v>78</v>
      </c>
      <c r="D61" t="s">
        <v>73</v>
      </c>
      <c r="E61" t="s">
        <v>149</v>
      </c>
      <c r="F61">
        <v>15</v>
      </c>
      <c r="G61">
        <v>97396</v>
      </c>
    </row>
    <row r="62" spans="1:7" x14ac:dyDescent="0.25">
      <c r="A62">
        <v>1107</v>
      </c>
      <c r="B62">
        <v>111</v>
      </c>
      <c r="C62" t="s">
        <v>82</v>
      </c>
      <c r="D62" t="s">
        <v>73</v>
      </c>
      <c r="E62" t="s">
        <v>150</v>
      </c>
      <c r="F62">
        <v>6</v>
      </c>
      <c r="G62">
        <v>61020</v>
      </c>
    </row>
    <row r="63" spans="1:7" x14ac:dyDescent="0.25">
      <c r="A63">
        <v>1108</v>
      </c>
      <c r="B63">
        <v>111</v>
      </c>
      <c r="C63" t="s">
        <v>122</v>
      </c>
      <c r="D63" t="s">
        <v>73</v>
      </c>
      <c r="E63" t="s">
        <v>151</v>
      </c>
      <c r="F63">
        <v>18</v>
      </c>
      <c r="G63">
        <v>131716</v>
      </c>
    </row>
    <row r="64" spans="1:7" x14ac:dyDescent="0.25">
      <c r="A64">
        <v>1109</v>
      </c>
      <c r="B64">
        <v>111</v>
      </c>
      <c r="C64" t="s">
        <v>127</v>
      </c>
      <c r="D64" t="s">
        <v>76</v>
      </c>
      <c r="E64" t="s">
        <v>152</v>
      </c>
      <c r="F64">
        <v>24</v>
      </c>
      <c r="G64">
        <v>100936</v>
      </c>
    </row>
    <row r="65" spans="1:7" x14ac:dyDescent="0.25">
      <c r="A65">
        <v>1111</v>
      </c>
      <c r="B65">
        <v>112</v>
      </c>
      <c r="C65" t="s">
        <v>75</v>
      </c>
      <c r="D65" t="s">
        <v>76</v>
      </c>
      <c r="E65" t="s">
        <v>153</v>
      </c>
      <c r="F65">
        <v>25</v>
      </c>
      <c r="G65">
        <v>121070</v>
      </c>
    </row>
    <row r="66" spans="1:7" x14ac:dyDescent="0.25">
      <c r="A66">
        <v>1112</v>
      </c>
      <c r="B66">
        <v>112</v>
      </c>
      <c r="C66" t="s">
        <v>94</v>
      </c>
      <c r="D66" t="s">
        <v>73</v>
      </c>
      <c r="E66" t="s">
        <v>154</v>
      </c>
      <c r="F66">
        <v>14</v>
      </c>
      <c r="G66">
        <v>102508</v>
      </c>
    </row>
    <row r="67" spans="1:7" x14ac:dyDescent="0.25">
      <c r="A67">
        <v>1113</v>
      </c>
      <c r="B67">
        <v>112</v>
      </c>
      <c r="C67" t="s">
        <v>99</v>
      </c>
      <c r="D67" t="s">
        <v>76</v>
      </c>
      <c r="E67" t="s">
        <v>155</v>
      </c>
      <c r="F67">
        <v>13</v>
      </c>
      <c r="G67">
        <v>70640</v>
      </c>
    </row>
    <row r="68" spans="1:7" x14ac:dyDescent="0.25">
      <c r="A68">
        <v>1114</v>
      </c>
      <c r="B68">
        <v>112</v>
      </c>
      <c r="C68" t="s">
        <v>120</v>
      </c>
      <c r="D68" t="s">
        <v>73</v>
      </c>
      <c r="E68" t="s">
        <v>156</v>
      </c>
      <c r="F68">
        <v>10</v>
      </c>
      <c r="G68">
        <v>115261</v>
      </c>
    </row>
    <row r="69" spans="1:7" x14ac:dyDescent="0.25">
      <c r="A69">
        <v>1117</v>
      </c>
      <c r="B69">
        <v>113</v>
      </c>
      <c r="C69" t="s">
        <v>99</v>
      </c>
      <c r="D69" t="s">
        <v>76</v>
      </c>
      <c r="E69" t="s">
        <v>157</v>
      </c>
      <c r="F69">
        <v>6</v>
      </c>
      <c r="G69">
        <v>94520</v>
      </c>
    </row>
    <row r="70" spans="1:7" x14ac:dyDescent="0.25">
      <c r="A70">
        <v>1118</v>
      </c>
      <c r="B70">
        <v>113</v>
      </c>
      <c r="C70" t="s">
        <v>80</v>
      </c>
      <c r="D70" t="s">
        <v>73</v>
      </c>
      <c r="E70" t="s">
        <v>158</v>
      </c>
      <c r="F70">
        <v>18</v>
      </c>
      <c r="G70">
        <v>136771</v>
      </c>
    </row>
    <row r="71" spans="1:7" x14ac:dyDescent="0.25">
      <c r="A71">
        <v>1119</v>
      </c>
      <c r="B71">
        <v>113</v>
      </c>
      <c r="C71" t="s">
        <v>122</v>
      </c>
      <c r="D71" t="s">
        <v>73</v>
      </c>
      <c r="E71" t="s">
        <v>159</v>
      </c>
      <c r="F71">
        <v>23</v>
      </c>
      <c r="G71">
        <v>89925</v>
      </c>
    </row>
    <row r="72" spans="1:7" x14ac:dyDescent="0.25">
      <c r="A72">
        <v>1120</v>
      </c>
      <c r="B72">
        <v>113</v>
      </c>
      <c r="C72" t="s">
        <v>120</v>
      </c>
      <c r="D72" t="s">
        <v>73</v>
      </c>
      <c r="E72" t="s">
        <v>160</v>
      </c>
      <c r="F72">
        <v>4</v>
      </c>
      <c r="G72">
        <v>103351</v>
      </c>
    </row>
    <row r="73" spans="1:7" x14ac:dyDescent="0.25">
      <c r="A73">
        <v>1121</v>
      </c>
      <c r="B73">
        <v>113</v>
      </c>
      <c r="C73" t="s">
        <v>75</v>
      </c>
      <c r="D73" t="s">
        <v>76</v>
      </c>
      <c r="E73" t="s">
        <v>161</v>
      </c>
      <c r="F73">
        <v>28</v>
      </c>
      <c r="G73">
        <v>111024</v>
      </c>
    </row>
    <row r="74" spans="1:7" x14ac:dyDescent="0.25">
      <c r="A74">
        <v>1122</v>
      </c>
      <c r="B74">
        <v>114</v>
      </c>
      <c r="C74" t="s">
        <v>104</v>
      </c>
      <c r="D74" t="s">
        <v>76</v>
      </c>
      <c r="E74" t="s">
        <v>162</v>
      </c>
      <c r="F74">
        <v>6</v>
      </c>
      <c r="G74">
        <v>87328</v>
      </c>
    </row>
    <row r="75" spans="1:7" x14ac:dyDescent="0.25">
      <c r="A75">
        <v>1123</v>
      </c>
      <c r="B75">
        <v>114</v>
      </c>
      <c r="C75" t="s">
        <v>127</v>
      </c>
      <c r="D75" t="s">
        <v>76</v>
      </c>
      <c r="E75" t="s">
        <v>163</v>
      </c>
      <c r="F75">
        <v>13</v>
      </c>
      <c r="G75">
        <v>102859</v>
      </c>
    </row>
    <row r="76" spans="1:7" x14ac:dyDescent="0.25">
      <c r="A76">
        <v>1124</v>
      </c>
      <c r="B76">
        <v>114</v>
      </c>
      <c r="C76" t="s">
        <v>120</v>
      </c>
      <c r="D76" t="s">
        <v>73</v>
      </c>
      <c r="E76" t="s">
        <v>164</v>
      </c>
      <c r="F76">
        <v>8</v>
      </c>
      <c r="G76">
        <v>73552</v>
      </c>
    </row>
    <row r="77" spans="1:7" x14ac:dyDescent="0.25">
      <c r="A77">
        <v>1125</v>
      </c>
      <c r="B77">
        <v>114</v>
      </c>
      <c r="C77" t="s">
        <v>99</v>
      </c>
      <c r="D77" t="s">
        <v>76</v>
      </c>
      <c r="E77" t="s">
        <v>165</v>
      </c>
      <c r="F77">
        <v>23</v>
      </c>
      <c r="G77">
        <v>129485</v>
      </c>
    </row>
    <row r="78" spans="1:7" x14ac:dyDescent="0.25">
      <c r="A78">
        <v>1126</v>
      </c>
      <c r="B78">
        <v>115</v>
      </c>
      <c r="C78" t="s">
        <v>125</v>
      </c>
      <c r="D78" t="s">
        <v>76</v>
      </c>
      <c r="E78" t="s">
        <v>166</v>
      </c>
      <c r="F78">
        <v>4</v>
      </c>
      <c r="G78">
        <v>100429</v>
      </c>
    </row>
    <row r="79" spans="1:7" x14ac:dyDescent="0.25">
      <c r="A79">
        <v>1127</v>
      </c>
      <c r="B79">
        <v>115</v>
      </c>
      <c r="C79" t="s">
        <v>99</v>
      </c>
      <c r="D79" t="s">
        <v>76</v>
      </c>
      <c r="E79" t="s">
        <v>167</v>
      </c>
      <c r="F79">
        <v>12</v>
      </c>
      <c r="G79">
        <v>77530</v>
      </c>
    </row>
    <row r="80" spans="1:7" x14ac:dyDescent="0.25">
      <c r="A80">
        <v>1128</v>
      </c>
      <c r="B80">
        <v>115</v>
      </c>
      <c r="C80" t="s">
        <v>120</v>
      </c>
      <c r="D80" t="s">
        <v>73</v>
      </c>
      <c r="E80" t="s">
        <v>168</v>
      </c>
      <c r="F80">
        <v>14</v>
      </c>
      <c r="G80">
        <v>146320</v>
      </c>
    </row>
    <row r="81" spans="1:7" x14ac:dyDescent="0.25">
      <c r="A81">
        <v>1129</v>
      </c>
      <c r="B81">
        <v>115</v>
      </c>
      <c r="C81" t="s">
        <v>94</v>
      </c>
      <c r="D81" t="s">
        <v>73</v>
      </c>
      <c r="E81" t="s">
        <v>169</v>
      </c>
      <c r="F81">
        <v>21</v>
      </c>
      <c r="G81">
        <v>61727</v>
      </c>
    </row>
    <row r="82" spans="1:7" x14ac:dyDescent="0.25">
      <c r="A82">
        <v>1131</v>
      </c>
      <c r="B82">
        <v>116</v>
      </c>
      <c r="C82" t="s">
        <v>80</v>
      </c>
      <c r="D82" t="s">
        <v>73</v>
      </c>
      <c r="E82" t="s">
        <v>170</v>
      </c>
      <c r="F82">
        <v>10</v>
      </c>
      <c r="G82">
        <v>112801</v>
      </c>
    </row>
    <row r="83" spans="1:7" x14ac:dyDescent="0.25">
      <c r="A83">
        <v>1132</v>
      </c>
      <c r="B83">
        <v>116</v>
      </c>
      <c r="C83" t="s">
        <v>92</v>
      </c>
      <c r="D83" t="s">
        <v>76</v>
      </c>
      <c r="E83" t="s">
        <v>171</v>
      </c>
      <c r="F83">
        <v>27</v>
      </c>
      <c r="G83">
        <v>132308</v>
      </c>
    </row>
    <row r="84" spans="1:7" x14ac:dyDescent="0.25">
      <c r="A84">
        <v>1133</v>
      </c>
      <c r="B84">
        <v>116</v>
      </c>
      <c r="C84" t="s">
        <v>89</v>
      </c>
      <c r="D84" t="s">
        <v>76</v>
      </c>
      <c r="E84" t="s">
        <v>172</v>
      </c>
      <c r="F84">
        <v>29</v>
      </c>
      <c r="G84">
        <v>69247</v>
      </c>
    </row>
    <row r="85" spans="1:7" x14ac:dyDescent="0.25">
      <c r="A85">
        <v>1134</v>
      </c>
      <c r="B85">
        <v>116</v>
      </c>
      <c r="C85" t="s">
        <v>125</v>
      </c>
      <c r="D85" t="s">
        <v>76</v>
      </c>
      <c r="E85" t="s">
        <v>173</v>
      </c>
      <c r="F85">
        <v>10</v>
      </c>
      <c r="G85">
        <v>101213</v>
      </c>
    </row>
    <row r="86" spans="1:7" x14ac:dyDescent="0.25">
      <c r="A86">
        <v>1135</v>
      </c>
      <c r="B86">
        <v>116</v>
      </c>
      <c r="C86" t="s">
        <v>120</v>
      </c>
      <c r="D86" t="s">
        <v>73</v>
      </c>
      <c r="E86" t="s">
        <v>174</v>
      </c>
      <c r="F86">
        <v>4</v>
      </c>
      <c r="G86">
        <v>145171</v>
      </c>
    </row>
    <row r="87" spans="1:7" x14ac:dyDescent="0.25">
      <c r="A87">
        <v>1136</v>
      </c>
      <c r="B87">
        <v>116</v>
      </c>
      <c r="C87" t="s">
        <v>82</v>
      </c>
      <c r="D87" t="s">
        <v>73</v>
      </c>
      <c r="E87" t="s">
        <v>175</v>
      </c>
      <c r="F87">
        <v>29</v>
      </c>
      <c r="G87">
        <v>111894</v>
      </c>
    </row>
    <row r="88" spans="1:7" x14ac:dyDescent="0.25">
      <c r="A88">
        <v>1137</v>
      </c>
      <c r="B88">
        <v>116</v>
      </c>
      <c r="C88" t="s">
        <v>99</v>
      </c>
      <c r="D88" t="s">
        <v>76</v>
      </c>
      <c r="E88" t="s">
        <v>176</v>
      </c>
      <c r="F88">
        <v>27</v>
      </c>
      <c r="G88">
        <v>130056</v>
      </c>
    </row>
    <row r="89" spans="1:7" x14ac:dyDescent="0.25">
      <c r="A89">
        <v>1138</v>
      </c>
      <c r="B89">
        <v>116</v>
      </c>
      <c r="C89" t="s">
        <v>75</v>
      </c>
      <c r="D89" t="s">
        <v>76</v>
      </c>
      <c r="E89" t="s">
        <v>177</v>
      </c>
      <c r="F89">
        <v>22</v>
      </c>
      <c r="G89">
        <v>146023</v>
      </c>
    </row>
    <row r="90" spans="1:7" x14ac:dyDescent="0.25">
      <c r="A90">
        <v>1139</v>
      </c>
      <c r="B90">
        <v>116</v>
      </c>
      <c r="C90" t="s">
        <v>72</v>
      </c>
      <c r="D90" t="s">
        <v>73</v>
      </c>
      <c r="E90" t="s">
        <v>178</v>
      </c>
      <c r="F90">
        <v>20</v>
      </c>
      <c r="G90">
        <v>64154</v>
      </c>
    </row>
    <row r="91" spans="1:7" x14ac:dyDescent="0.25">
      <c r="A91">
        <v>1142</v>
      </c>
      <c r="B91">
        <v>116</v>
      </c>
      <c r="C91" t="s">
        <v>104</v>
      </c>
      <c r="D91" t="s">
        <v>76</v>
      </c>
      <c r="E91" t="s">
        <v>179</v>
      </c>
      <c r="F91">
        <v>28</v>
      </c>
      <c r="G91">
        <v>76280</v>
      </c>
    </row>
    <row r="92" spans="1:7" x14ac:dyDescent="0.25">
      <c r="A92">
        <v>1143</v>
      </c>
      <c r="B92">
        <v>116</v>
      </c>
      <c r="C92" t="s">
        <v>86</v>
      </c>
      <c r="D92" t="s">
        <v>76</v>
      </c>
      <c r="E92" t="s">
        <v>180</v>
      </c>
      <c r="F92">
        <v>29</v>
      </c>
      <c r="G92">
        <v>135056</v>
      </c>
    </row>
    <row r="93" spans="1:7" x14ac:dyDescent="0.25">
      <c r="A93">
        <v>1147</v>
      </c>
      <c r="B93">
        <v>117</v>
      </c>
      <c r="C93" t="s">
        <v>89</v>
      </c>
      <c r="D93" t="s">
        <v>76</v>
      </c>
      <c r="E93" t="s">
        <v>181</v>
      </c>
      <c r="F93">
        <v>15</v>
      </c>
      <c r="G93">
        <v>84797</v>
      </c>
    </row>
    <row r="94" spans="1:7" x14ac:dyDescent="0.25">
      <c r="A94">
        <v>1148</v>
      </c>
      <c r="B94">
        <v>117</v>
      </c>
      <c r="C94" t="s">
        <v>86</v>
      </c>
      <c r="D94" t="s">
        <v>76</v>
      </c>
      <c r="E94" t="s">
        <v>182</v>
      </c>
      <c r="F94">
        <v>19</v>
      </c>
      <c r="G94">
        <v>124904</v>
      </c>
    </row>
    <row r="95" spans="1:7" x14ac:dyDescent="0.25">
      <c r="A95">
        <v>1149</v>
      </c>
      <c r="B95">
        <v>117</v>
      </c>
      <c r="C95" t="s">
        <v>78</v>
      </c>
      <c r="D95" t="s">
        <v>73</v>
      </c>
      <c r="E95" t="s">
        <v>183</v>
      </c>
      <c r="F95">
        <v>10</v>
      </c>
      <c r="G95">
        <v>78805</v>
      </c>
    </row>
    <row r="96" spans="1:7" x14ac:dyDescent="0.25">
      <c r="A96">
        <v>1150</v>
      </c>
      <c r="B96">
        <v>117</v>
      </c>
      <c r="C96" t="s">
        <v>125</v>
      </c>
      <c r="D96" t="s">
        <v>76</v>
      </c>
      <c r="E96" t="s">
        <v>184</v>
      </c>
      <c r="F96">
        <v>29</v>
      </c>
      <c r="G96">
        <v>77235</v>
      </c>
    </row>
    <row r="97" spans="1:7" x14ac:dyDescent="0.25">
      <c r="A97">
        <v>1151</v>
      </c>
      <c r="B97">
        <v>117</v>
      </c>
      <c r="C97" t="s">
        <v>82</v>
      </c>
      <c r="D97" t="s">
        <v>73</v>
      </c>
      <c r="E97" t="s">
        <v>185</v>
      </c>
      <c r="F97">
        <v>17</v>
      </c>
      <c r="G97">
        <v>114470</v>
      </c>
    </row>
    <row r="98" spans="1:7" x14ac:dyDescent="0.25">
      <c r="A98">
        <v>1153</v>
      </c>
      <c r="B98">
        <v>117</v>
      </c>
      <c r="C98" t="s">
        <v>104</v>
      </c>
      <c r="D98" t="s">
        <v>76</v>
      </c>
      <c r="E98" t="s">
        <v>186</v>
      </c>
      <c r="F98">
        <v>20</v>
      </c>
      <c r="G98">
        <v>73825</v>
      </c>
    </row>
    <row r="99" spans="1:7" x14ac:dyDescent="0.25">
      <c r="A99">
        <v>1154</v>
      </c>
      <c r="B99">
        <v>117</v>
      </c>
      <c r="C99" t="s">
        <v>72</v>
      </c>
      <c r="D99" t="s">
        <v>73</v>
      </c>
      <c r="E99" t="s">
        <v>187</v>
      </c>
      <c r="F99">
        <v>4</v>
      </c>
      <c r="G99">
        <v>138858</v>
      </c>
    </row>
    <row r="100" spans="1:7" x14ac:dyDescent="0.25">
      <c r="A100">
        <v>1156</v>
      </c>
      <c r="B100">
        <v>117</v>
      </c>
      <c r="C100" t="s">
        <v>127</v>
      </c>
      <c r="D100" t="s">
        <v>76</v>
      </c>
      <c r="E100" t="s">
        <v>188</v>
      </c>
      <c r="F100">
        <v>4</v>
      </c>
      <c r="G100">
        <v>56431</v>
      </c>
    </row>
    <row r="101" spans="1:7" x14ac:dyDescent="0.25">
      <c r="A101">
        <v>1157</v>
      </c>
      <c r="B101">
        <v>117</v>
      </c>
      <c r="C101" t="s">
        <v>99</v>
      </c>
      <c r="D101" t="s">
        <v>76</v>
      </c>
      <c r="E101" t="s">
        <v>189</v>
      </c>
      <c r="F101">
        <v>4</v>
      </c>
      <c r="G101">
        <v>125711</v>
      </c>
    </row>
    <row r="102" spans="1:7" x14ac:dyDescent="0.25">
      <c r="A102">
        <v>1158</v>
      </c>
      <c r="B102">
        <v>117</v>
      </c>
      <c r="C102" t="s">
        <v>94</v>
      </c>
      <c r="D102" t="s">
        <v>73</v>
      </c>
      <c r="E102" t="s">
        <v>190</v>
      </c>
      <c r="F102">
        <v>21</v>
      </c>
      <c r="G102">
        <v>143166</v>
      </c>
    </row>
    <row r="103" spans="1:7" x14ac:dyDescent="0.25">
      <c r="A103">
        <v>1162</v>
      </c>
      <c r="B103">
        <v>117</v>
      </c>
      <c r="C103" t="s">
        <v>75</v>
      </c>
      <c r="D103" t="s">
        <v>76</v>
      </c>
      <c r="E103" t="s">
        <v>191</v>
      </c>
      <c r="F103">
        <v>20</v>
      </c>
      <c r="G103">
        <v>77048</v>
      </c>
    </row>
    <row r="104" spans="1:7" x14ac:dyDescent="0.25">
      <c r="A104">
        <v>1165</v>
      </c>
      <c r="B104">
        <v>117</v>
      </c>
      <c r="C104" t="s">
        <v>122</v>
      </c>
      <c r="D104" t="s">
        <v>73</v>
      </c>
      <c r="E104" t="s">
        <v>192</v>
      </c>
      <c r="F104">
        <v>12</v>
      </c>
      <c r="G104">
        <v>98800</v>
      </c>
    </row>
    <row r="105" spans="1:7" x14ac:dyDescent="0.25">
      <c r="A105">
        <v>1166</v>
      </c>
      <c r="B105">
        <v>117</v>
      </c>
      <c r="C105" t="s">
        <v>84</v>
      </c>
      <c r="D105" t="s">
        <v>73</v>
      </c>
      <c r="E105" t="s">
        <v>193</v>
      </c>
      <c r="F105">
        <v>14</v>
      </c>
      <c r="G105">
        <v>108309</v>
      </c>
    </row>
    <row r="106" spans="1:7" x14ac:dyDescent="0.25">
      <c r="A106">
        <v>1167</v>
      </c>
      <c r="B106">
        <v>117</v>
      </c>
      <c r="C106" t="s">
        <v>92</v>
      </c>
      <c r="D106" t="s">
        <v>76</v>
      </c>
      <c r="E106" t="s">
        <v>194</v>
      </c>
      <c r="F106">
        <v>19</v>
      </c>
      <c r="G106">
        <v>74830</v>
      </c>
    </row>
    <row r="107" spans="1:7" x14ac:dyDescent="0.25">
      <c r="A107">
        <v>1168</v>
      </c>
      <c r="B107">
        <v>117</v>
      </c>
      <c r="C107" t="s">
        <v>120</v>
      </c>
      <c r="D107" t="s">
        <v>73</v>
      </c>
      <c r="E107" t="s">
        <v>195</v>
      </c>
      <c r="F107">
        <v>10</v>
      </c>
      <c r="G107">
        <v>99177</v>
      </c>
    </row>
    <row r="108" spans="1:7" x14ac:dyDescent="0.25">
      <c r="A108">
        <v>1183</v>
      </c>
      <c r="B108">
        <v>117</v>
      </c>
      <c r="C108" t="s">
        <v>80</v>
      </c>
      <c r="D108" t="s">
        <v>73</v>
      </c>
      <c r="E108" t="s">
        <v>196</v>
      </c>
      <c r="F108">
        <v>24</v>
      </c>
      <c r="G108">
        <v>72620</v>
      </c>
    </row>
    <row r="109" spans="1:7" x14ac:dyDescent="0.25">
      <c r="A109">
        <v>1185</v>
      </c>
      <c r="B109">
        <v>118</v>
      </c>
      <c r="C109" t="s">
        <v>122</v>
      </c>
      <c r="D109" t="s">
        <v>73</v>
      </c>
      <c r="E109" t="s">
        <v>197</v>
      </c>
      <c r="F109">
        <v>5</v>
      </c>
      <c r="G109">
        <v>145054</v>
      </c>
    </row>
    <row r="110" spans="1:7" x14ac:dyDescent="0.25">
      <c r="A110">
        <v>1186</v>
      </c>
      <c r="B110">
        <v>118</v>
      </c>
      <c r="C110" t="s">
        <v>99</v>
      </c>
      <c r="D110" t="s">
        <v>76</v>
      </c>
      <c r="E110" t="s">
        <v>198</v>
      </c>
      <c r="F110">
        <v>27</v>
      </c>
      <c r="G110">
        <v>148095</v>
      </c>
    </row>
    <row r="111" spans="1:7" x14ac:dyDescent="0.25">
      <c r="A111">
        <v>1187</v>
      </c>
      <c r="B111">
        <v>118</v>
      </c>
      <c r="C111" t="s">
        <v>78</v>
      </c>
      <c r="D111" t="s">
        <v>73</v>
      </c>
      <c r="E111" t="s">
        <v>199</v>
      </c>
      <c r="F111">
        <v>10</v>
      </c>
      <c r="G111">
        <v>59472</v>
      </c>
    </row>
    <row r="112" spans="1:7" x14ac:dyDescent="0.25">
      <c r="A112">
        <v>1188</v>
      </c>
      <c r="B112">
        <v>118</v>
      </c>
      <c r="C112" t="s">
        <v>75</v>
      </c>
      <c r="D112" t="s">
        <v>76</v>
      </c>
      <c r="E112" t="s">
        <v>200</v>
      </c>
      <c r="F112">
        <v>24</v>
      </c>
      <c r="G112">
        <v>147117</v>
      </c>
    </row>
    <row r="113" spans="1:7" x14ac:dyDescent="0.25">
      <c r="A113">
        <v>1189</v>
      </c>
      <c r="B113">
        <v>118</v>
      </c>
      <c r="C113" t="s">
        <v>89</v>
      </c>
      <c r="D113" t="s">
        <v>76</v>
      </c>
      <c r="E113" t="s">
        <v>201</v>
      </c>
      <c r="F113">
        <v>25</v>
      </c>
      <c r="G113">
        <v>57516</v>
      </c>
    </row>
    <row r="114" spans="1:7" x14ac:dyDescent="0.25">
      <c r="A114">
        <v>1190</v>
      </c>
      <c r="B114">
        <v>119</v>
      </c>
      <c r="C114" t="s">
        <v>89</v>
      </c>
      <c r="D114" t="s">
        <v>76</v>
      </c>
      <c r="E114" t="s">
        <v>202</v>
      </c>
      <c r="F114">
        <v>27</v>
      </c>
      <c r="G114">
        <v>123713</v>
      </c>
    </row>
    <row r="115" spans="1:7" x14ac:dyDescent="0.25">
      <c r="A115">
        <v>1191</v>
      </c>
      <c r="B115">
        <v>119</v>
      </c>
      <c r="C115" t="s">
        <v>78</v>
      </c>
      <c r="D115" t="s">
        <v>73</v>
      </c>
      <c r="E115" t="s">
        <v>203</v>
      </c>
      <c r="F115">
        <v>5</v>
      </c>
      <c r="G115">
        <v>67679</v>
      </c>
    </row>
    <row r="116" spans="1:7" x14ac:dyDescent="0.25">
      <c r="A116">
        <v>1192</v>
      </c>
      <c r="B116">
        <v>119</v>
      </c>
      <c r="C116" t="s">
        <v>92</v>
      </c>
      <c r="D116" t="s">
        <v>76</v>
      </c>
      <c r="E116" t="s">
        <v>204</v>
      </c>
      <c r="F116">
        <v>28</v>
      </c>
      <c r="G116">
        <v>98668</v>
      </c>
    </row>
    <row r="117" spans="1:7" x14ac:dyDescent="0.25">
      <c r="A117">
        <v>1193</v>
      </c>
      <c r="B117">
        <v>119</v>
      </c>
      <c r="C117" t="s">
        <v>80</v>
      </c>
      <c r="D117" t="s">
        <v>73</v>
      </c>
      <c r="E117" t="s">
        <v>205</v>
      </c>
      <c r="F117">
        <v>12</v>
      </c>
      <c r="G117">
        <v>82146</v>
      </c>
    </row>
    <row r="118" spans="1:7" x14ac:dyDescent="0.25">
      <c r="A118">
        <v>1194</v>
      </c>
      <c r="B118">
        <v>119</v>
      </c>
      <c r="C118" t="s">
        <v>86</v>
      </c>
      <c r="D118" t="s">
        <v>76</v>
      </c>
      <c r="E118" t="s">
        <v>206</v>
      </c>
      <c r="F118">
        <v>30</v>
      </c>
      <c r="G118">
        <v>88487</v>
      </c>
    </row>
    <row r="119" spans="1:7" x14ac:dyDescent="0.25">
      <c r="A119">
        <v>1195</v>
      </c>
      <c r="B119">
        <v>119</v>
      </c>
      <c r="C119" t="s">
        <v>122</v>
      </c>
      <c r="D119" t="s">
        <v>73</v>
      </c>
      <c r="E119" t="s">
        <v>207</v>
      </c>
      <c r="F119">
        <v>12</v>
      </c>
      <c r="G119">
        <v>144772</v>
      </c>
    </row>
    <row r="120" spans="1:7" x14ac:dyDescent="0.25">
      <c r="A120">
        <v>1196</v>
      </c>
      <c r="B120">
        <v>120</v>
      </c>
      <c r="C120" t="s">
        <v>72</v>
      </c>
      <c r="D120" t="s">
        <v>73</v>
      </c>
      <c r="E120" t="s">
        <v>208</v>
      </c>
      <c r="F120">
        <v>27</v>
      </c>
      <c r="G120">
        <v>96716</v>
      </c>
    </row>
    <row r="121" spans="1:7" x14ac:dyDescent="0.25">
      <c r="A121">
        <v>1197</v>
      </c>
      <c r="B121">
        <v>120</v>
      </c>
      <c r="C121" t="s">
        <v>89</v>
      </c>
      <c r="D121" t="s">
        <v>76</v>
      </c>
      <c r="E121" t="s">
        <v>209</v>
      </c>
      <c r="F121">
        <v>20</v>
      </c>
      <c r="G121">
        <v>57819</v>
      </c>
    </row>
    <row r="122" spans="1:7" x14ac:dyDescent="0.25">
      <c r="A122">
        <v>1198</v>
      </c>
      <c r="B122">
        <v>120</v>
      </c>
      <c r="C122" t="s">
        <v>99</v>
      </c>
      <c r="D122" t="s">
        <v>76</v>
      </c>
      <c r="E122" t="s">
        <v>210</v>
      </c>
      <c r="F122">
        <v>20</v>
      </c>
      <c r="G122">
        <v>107735</v>
      </c>
    </row>
    <row r="123" spans="1:7" x14ac:dyDescent="0.25">
      <c r="A123">
        <v>1199</v>
      </c>
      <c r="B123">
        <v>120</v>
      </c>
      <c r="C123" t="s">
        <v>80</v>
      </c>
      <c r="D123" t="s">
        <v>73</v>
      </c>
      <c r="E123" t="s">
        <v>211</v>
      </c>
      <c r="F123">
        <v>25</v>
      </c>
      <c r="G123">
        <v>113294</v>
      </c>
    </row>
    <row r="124" spans="1:7" x14ac:dyDescent="0.25">
      <c r="A124">
        <v>1200</v>
      </c>
      <c r="B124">
        <v>120</v>
      </c>
      <c r="C124" t="s">
        <v>82</v>
      </c>
      <c r="D124" t="s">
        <v>73</v>
      </c>
      <c r="E124" t="s">
        <v>212</v>
      </c>
      <c r="F124">
        <v>4</v>
      </c>
      <c r="G124">
        <v>122703</v>
      </c>
    </row>
    <row r="125" spans="1:7" x14ac:dyDescent="0.25">
      <c r="A125">
        <v>1201</v>
      </c>
      <c r="B125">
        <v>120</v>
      </c>
      <c r="C125" t="s">
        <v>120</v>
      </c>
      <c r="D125" t="s">
        <v>73</v>
      </c>
      <c r="E125" t="s">
        <v>213</v>
      </c>
      <c r="F125">
        <v>18</v>
      </c>
      <c r="G125">
        <v>136602</v>
      </c>
    </row>
    <row r="126" spans="1:7" x14ac:dyDescent="0.25">
      <c r="A126">
        <v>1202</v>
      </c>
      <c r="B126">
        <v>121</v>
      </c>
      <c r="C126" t="s">
        <v>127</v>
      </c>
      <c r="D126" t="s">
        <v>76</v>
      </c>
      <c r="E126" t="s">
        <v>214</v>
      </c>
      <c r="F126">
        <v>21</v>
      </c>
      <c r="G126">
        <v>87605</v>
      </c>
    </row>
    <row r="127" spans="1:7" x14ac:dyDescent="0.25">
      <c r="A127">
        <v>1203</v>
      </c>
      <c r="B127">
        <v>121</v>
      </c>
      <c r="C127" t="s">
        <v>125</v>
      </c>
      <c r="D127" t="s">
        <v>76</v>
      </c>
      <c r="E127" t="s">
        <v>215</v>
      </c>
      <c r="F127">
        <v>6</v>
      </c>
      <c r="G127">
        <v>127242</v>
      </c>
    </row>
    <row r="128" spans="1:7" x14ac:dyDescent="0.25">
      <c r="A128">
        <v>1204</v>
      </c>
      <c r="B128">
        <v>121</v>
      </c>
      <c r="C128" t="s">
        <v>75</v>
      </c>
      <c r="D128" t="s">
        <v>76</v>
      </c>
      <c r="E128" t="s">
        <v>216</v>
      </c>
      <c r="F128">
        <v>17</v>
      </c>
      <c r="G128">
        <v>136837</v>
      </c>
    </row>
    <row r="129" spans="1:7" x14ac:dyDescent="0.25">
      <c r="A129">
        <v>1205</v>
      </c>
      <c r="B129">
        <v>121</v>
      </c>
      <c r="C129" t="s">
        <v>78</v>
      </c>
      <c r="D129" t="s">
        <v>73</v>
      </c>
      <c r="E129" t="s">
        <v>217</v>
      </c>
      <c r="F129">
        <v>17</v>
      </c>
      <c r="G129">
        <v>114988</v>
      </c>
    </row>
    <row r="130" spans="1:7" x14ac:dyDescent="0.25">
      <c r="A130">
        <v>1206</v>
      </c>
      <c r="B130">
        <v>121</v>
      </c>
      <c r="C130" t="s">
        <v>84</v>
      </c>
      <c r="D130" t="s">
        <v>73</v>
      </c>
      <c r="E130" t="s">
        <v>218</v>
      </c>
      <c r="F130">
        <v>9</v>
      </c>
      <c r="G130">
        <v>94405</v>
      </c>
    </row>
    <row r="131" spans="1:7" x14ac:dyDescent="0.25">
      <c r="A131">
        <v>1207</v>
      </c>
      <c r="B131">
        <v>121</v>
      </c>
      <c r="C131" t="s">
        <v>92</v>
      </c>
      <c r="D131" t="s">
        <v>76</v>
      </c>
      <c r="E131" t="s">
        <v>219</v>
      </c>
      <c r="F131">
        <v>17</v>
      </c>
      <c r="G131">
        <v>122126</v>
      </c>
    </row>
    <row r="132" spans="1:7" x14ac:dyDescent="0.25">
      <c r="A132">
        <v>1209</v>
      </c>
      <c r="B132">
        <v>121</v>
      </c>
      <c r="C132" t="s">
        <v>104</v>
      </c>
      <c r="D132" t="s">
        <v>76</v>
      </c>
      <c r="E132" t="s">
        <v>220</v>
      </c>
      <c r="F132">
        <v>13</v>
      </c>
      <c r="G132">
        <v>56581</v>
      </c>
    </row>
    <row r="133" spans="1:7" x14ac:dyDescent="0.25">
      <c r="A133">
        <v>1213</v>
      </c>
      <c r="B133">
        <v>121</v>
      </c>
      <c r="C133" t="s">
        <v>80</v>
      </c>
      <c r="D133" t="s">
        <v>73</v>
      </c>
      <c r="E133" t="s">
        <v>221</v>
      </c>
      <c r="F133">
        <v>19</v>
      </c>
      <c r="G133">
        <v>145446</v>
      </c>
    </row>
    <row r="134" spans="1:7" x14ac:dyDescent="0.25">
      <c r="A134">
        <v>1214</v>
      </c>
      <c r="B134">
        <v>121</v>
      </c>
      <c r="C134" t="s">
        <v>122</v>
      </c>
      <c r="D134" t="s">
        <v>73</v>
      </c>
      <c r="E134" t="s">
        <v>222</v>
      </c>
      <c r="F134">
        <v>27</v>
      </c>
      <c r="G134">
        <v>70494</v>
      </c>
    </row>
    <row r="135" spans="1:7" x14ac:dyDescent="0.25">
      <c r="A135">
        <v>1215</v>
      </c>
      <c r="B135">
        <v>121</v>
      </c>
      <c r="C135" t="s">
        <v>120</v>
      </c>
      <c r="D135" t="s">
        <v>73</v>
      </c>
      <c r="E135" t="s">
        <v>223</v>
      </c>
      <c r="F135">
        <v>23</v>
      </c>
      <c r="G135">
        <v>129212</v>
      </c>
    </row>
    <row r="136" spans="1:7" x14ac:dyDescent="0.25">
      <c r="A136">
        <v>1216</v>
      </c>
      <c r="B136">
        <v>121</v>
      </c>
      <c r="C136" t="s">
        <v>89</v>
      </c>
      <c r="D136" t="s">
        <v>76</v>
      </c>
      <c r="E136" t="s">
        <v>224</v>
      </c>
      <c r="F136">
        <v>14</v>
      </c>
      <c r="G136">
        <v>143592</v>
      </c>
    </row>
    <row r="137" spans="1:7" x14ac:dyDescent="0.25">
      <c r="A137">
        <v>1218</v>
      </c>
      <c r="B137">
        <v>121</v>
      </c>
      <c r="C137" t="s">
        <v>72</v>
      </c>
      <c r="D137" t="s">
        <v>73</v>
      </c>
      <c r="E137" t="s">
        <v>225</v>
      </c>
      <c r="F137">
        <v>18</v>
      </c>
      <c r="G137">
        <v>98181</v>
      </c>
    </row>
    <row r="138" spans="1:7" x14ac:dyDescent="0.25">
      <c r="A138">
        <v>1221</v>
      </c>
      <c r="B138">
        <v>121</v>
      </c>
      <c r="C138" t="s">
        <v>82</v>
      </c>
      <c r="D138" t="s">
        <v>73</v>
      </c>
      <c r="E138" t="s">
        <v>226</v>
      </c>
      <c r="F138">
        <v>13</v>
      </c>
      <c r="G138">
        <v>144995</v>
      </c>
    </row>
    <row r="139" spans="1:7" x14ac:dyDescent="0.25">
      <c r="A139">
        <v>1224</v>
      </c>
      <c r="B139">
        <v>121</v>
      </c>
      <c r="C139" t="s">
        <v>99</v>
      </c>
      <c r="D139" t="s">
        <v>76</v>
      </c>
      <c r="E139" t="s">
        <v>227</v>
      </c>
      <c r="F139">
        <v>14</v>
      </c>
      <c r="G139">
        <v>80689</v>
      </c>
    </row>
    <row r="140" spans="1:7" x14ac:dyDescent="0.25">
      <c r="A140">
        <v>1234</v>
      </c>
      <c r="B140">
        <v>121</v>
      </c>
      <c r="C140" t="s">
        <v>94</v>
      </c>
      <c r="D140" t="s">
        <v>73</v>
      </c>
      <c r="E140" t="s">
        <v>228</v>
      </c>
      <c r="F140">
        <v>24</v>
      </c>
      <c r="G140">
        <v>134507</v>
      </c>
    </row>
    <row r="141" spans="1:7" x14ac:dyDescent="0.25">
      <c r="A141">
        <v>1244</v>
      </c>
      <c r="B141">
        <v>121</v>
      </c>
      <c r="C141" t="s">
        <v>86</v>
      </c>
      <c r="D141" t="s">
        <v>76</v>
      </c>
      <c r="E141" t="s">
        <v>229</v>
      </c>
      <c r="F141">
        <v>15</v>
      </c>
      <c r="G141">
        <v>140636</v>
      </c>
    </row>
    <row r="142" spans="1:7" x14ac:dyDescent="0.25">
      <c r="A142">
        <v>1249</v>
      </c>
      <c r="B142">
        <v>122</v>
      </c>
      <c r="C142" t="s">
        <v>75</v>
      </c>
      <c r="D142" t="s">
        <v>76</v>
      </c>
      <c r="E142" t="s">
        <v>230</v>
      </c>
      <c r="F142">
        <v>20</v>
      </c>
      <c r="G142">
        <v>115090</v>
      </c>
    </row>
    <row r="143" spans="1:7" x14ac:dyDescent="0.25">
      <c r="A143">
        <v>1250</v>
      </c>
      <c r="B143">
        <v>122</v>
      </c>
      <c r="C143" t="s">
        <v>80</v>
      </c>
      <c r="D143" t="s">
        <v>73</v>
      </c>
      <c r="E143" t="s">
        <v>231</v>
      </c>
      <c r="F143">
        <v>7</v>
      </c>
      <c r="G143">
        <v>103565</v>
      </c>
    </row>
    <row r="144" spans="1:7" x14ac:dyDescent="0.25">
      <c r="A144">
        <v>1251</v>
      </c>
      <c r="B144">
        <v>122</v>
      </c>
      <c r="C144" t="s">
        <v>89</v>
      </c>
      <c r="D144" t="s">
        <v>76</v>
      </c>
      <c r="E144" t="s">
        <v>232</v>
      </c>
      <c r="F144">
        <v>7</v>
      </c>
      <c r="G144">
        <v>79320</v>
      </c>
    </row>
    <row r="145" spans="1:7" x14ac:dyDescent="0.25">
      <c r="A145">
        <v>1252</v>
      </c>
      <c r="B145">
        <v>122</v>
      </c>
      <c r="C145" t="s">
        <v>78</v>
      </c>
      <c r="D145" t="s">
        <v>73</v>
      </c>
      <c r="E145" t="s">
        <v>233</v>
      </c>
      <c r="F145">
        <v>28</v>
      </c>
      <c r="G145">
        <v>85437</v>
      </c>
    </row>
    <row r="146" spans="1:7" x14ac:dyDescent="0.25">
      <c r="A146">
        <v>1253</v>
      </c>
      <c r="B146">
        <v>122</v>
      </c>
      <c r="C146" t="s">
        <v>125</v>
      </c>
      <c r="D146" t="s">
        <v>76</v>
      </c>
      <c r="E146" t="s">
        <v>234</v>
      </c>
      <c r="F146">
        <v>28</v>
      </c>
      <c r="G146">
        <v>134021</v>
      </c>
    </row>
    <row r="147" spans="1:7" x14ac:dyDescent="0.25">
      <c r="A147">
        <v>1254</v>
      </c>
      <c r="B147">
        <v>123</v>
      </c>
      <c r="C147" t="s">
        <v>75</v>
      </c>
      <c r="D147" t="s">
        <v>76</v>
      </c>
      <c r="E147" t="s">
        <v>235</v>
      </c>
      <c r="F147">
        <v>20</v>
      </c>
      <c r="G147">
        <v>140620</v>
      </c>
    </row>
    <row r="148" spans="1:7" x14ac:dyDescent="0.25">
      <c r="A148">
        <v>1255</v>
      </c>
      <c r="B148">
        <v>123</v>
      </c>
      <c r="C148" t="s">
        <v>99</v>
      </c>
      <c r="D148" t="s">
        <v>76</v>
      </c>
      <c r="E148" t="s">
        <v>236</v>
      </c>
      <c r="F148">
        <v>9</v>
      </c>
      <c r="G148">
        <v>89729</v>
      </c>
    </row>
    <row r="149" spans="1:7" x14ac:dyDescent="0.25">
      <c r="A149">
        <v>1256</v>
      </c>
      <c r="B149">
        <v>123</v>
      </c>
      <c r="C149" t="s">
        <v>94</v>
      </c>
      <c r="D149" t="s">
        <v>73</v>
      </c>
      <c r="E149" t="s">
        <v>237</v>
      </c>
      <c r="F149">
        <v>7</v>
      </c>
      <c r="G149">
        <v>87600</v>
      </c>
    </row>
    <row r="150" spans="1:7" x14ac:dyDescent="0.25">
      <c r="A150">
        <v>1257</v>
      </c>
      <c r="B150">
        <v>123</v>
      </c>
      <c r="C150" t="s">
        <v>92</v>
      </c>
      <c r="D150" t="s">
        <v>76</v>
      </c>
      <c r="E150" t="s">
        <v>238</v>
      </c>
      <c r="F150">
        <v>15</v>
      </c>
      <c r="G150">
        <v>92506</v>
      </c>
    </row>
    <row r="151" spans="1:7" x14ac:dyDescent="0.25">
      <c r="A151">
        <v>1258</v>
      </c>
      <c r="B151">
        <v>123</v>
      </c>
      <c r="C151" t="s">
        <v>127</v>
      </c>
      <c r="D151" t="s">
        <v>76</v>
      </c>
      <c r="E151" t="s">
        <v>239</v>
      </c>
      <c r="F151">
        <v>9</v>
      </c>
      <c r="G151">
        <v>129727</v>
      </c>
    </row>
    <row r="152" spans="1:7" x14ac:dyDescent="0.25">
      <c r="A152">
        <v>1259</v>
      </c>
      <c r="B152">
        <v>123</v>
      </c>
      <c r="C152" t="s">
        <v>89</v>
      </c>
      <c r="D152" t="s">
        <v>76</v>
      </c>
      <c r="E152" t="s">
        <v>240</v>
      </c>
      <c r="F152">
        <v>20</v>
      </c>
      <c r="G152">
        <v>97245</v>
      </c>
    </row>
    <row r="153" spans="1:7" x14ac:dyDescent="0.25">
      <c r="A153">
        <v>1260</v>
      </c>
      <c r="B153">
        <v>123</v>
      </c>
      <c r="C153" t="s">
        <v>86</v>
      </c>
      <c r="D153" t="s">
        <v>76</v>
      </c>
      <c r="E153" t="s">
        <v>241</v>
      </c>
      <c r="F153">
        <v>14</v>
      </c>
      <c r="G153">
        <v>119576</v>
      </c>
    </row>
    <row r="154" spans="1:7" x14ac:dyDescent="0.25">
      <c r="A154">
        <v>1262</v>
      </c>
      <c r="B154">
        <v>123</v>
      </c>
      <c r="C154" t="s">
        <v>80</v>
      </c>
      <c r="D154" t="s">
        <v>73</v>
      </c>
      <c r="E154" t="s">
        <v>242</v>
      </c>
      <c r="F154">
        <v>13</v>
      </c>
      <c r="G154">
        <v>144800</v>
      </c>
    </row>
    <row r="155" spans="1:7" x14ac:dyDescent="0.25">
      <c r="A155">
        <v>1264</v>
      </c>
      <c r="B155">
        <v>124</v>
      </c>
      <c r="C155" t="s">
        <v>120</v>
      </c>
      <c r="D155" t="s">
        <v>73</v>
      </c>
      <c r="E155" t="s">
        <v>243</v>
      </c>
      <c r="F155">
        <v>22</v>
      </c>
      <c r="G155">
        <v>119337</v>
      </c>
    </row>
    <row r="156" spans="1:7" x14ac:dyDescent="0.25">
      <c r="A156">
        <v>1265</v>
      </c>
      <c r="B156">
        <v>124</v>
      </c>
      <c r="C156" t="s">
        <v>122</v>
      </c>
      <c r="D156" t="s">
        <v>73</v>
      </c>
      <c r="E156" t="s">
        <v>244</v>
      </c>
      <c r="F156">
        <v>12</v>
      </c>
      <c r="G156">
        <v>135821</v>
      </c>
    </row>
    <row r="157" spans="1:7" x14ac:dyDescent="0.25">
      <c r="A157">
        <v>1266</v>
      </c>
      <c r="B157">
        <v>124</v>
      </c>
      <c r="C157" t="s">
        <v>75</v>
      </c>
      <c r="D157" t="s">
        <v>76</v>
      </c>
      <c r="E157" t="s">
        <v>245</v>
      </c>
      <c r="F157">
        <v>14</v>
      </c>
      <c r="G157">
        <v>94971</v>
      </c>
    </row>
    <row r="158" spans="1:7" x14ac:dyDescent="0.25">
      <c r="A158">
        <v>1268</v>
      </c>
      <c r="B158">
        <v>124</v>
      </c>
      <c r="C158" t="s">
        <v>125</v>
      </c>
      <c r="D158" t="s">
        <v>76</v>
      </c>
      <c r="E158" t="s">
        <v>246</v>
      </c>
      <c r="F158">
        <v>27</v>
      </c>
      <c r="G158">
        <v>57663</v>
      </c>
    </row>
    <row r="159" spans="1:7" x14ac:dyDescent="0.25">
      <c r="A159">
        <v>1270</v>
      </c>
      <c r="B159">
        <v>125</v>
      </c>
      <c r="C159" t="s">
        <v>120</v>
      </c>
      <c r="D159" t="s">
        <v>73</v>
      </c>
      <c r="E159" t="s">
        <v>247</v>
      </c>
      <c r="F159">
        <v>20</v>
      </c>
      <c r="G159">
        <v>139697</v>
      </c>
    </row>
    <row r="160" spans="1:7" x14ac:dyDescent="0.25">
      <c r="A160">
        <v>1271</v>
      </c>
      <c r="B160">
        <v>125</v>
      </c>
      <c r="C160" t="s">
        <v>86</v>
      </c>
      <c r="D160" t="s">
        <v>76</v>
      </c>
      <c r="E160" t="s">
        <v>248</v>
      </c>
      <c r="F160">
        <v>22</v>
      </c>
      <c r="G160">
        <v>102736</v>
      </c>
    </row>
    <row r="161" spans="1:7" x14ac:dyDescent="0.25">
      <c r="A161">
        <v>1272</v>
      </c>
      <c r="B161">
        <v>125</v>
      </c>
      <c r="C161" t="s">
        <v>122</v>
      </c>
      <c r="D161" t="s">
        <v>73</v>
      </c>
      <c r="E161" t="s">
        <v>249</v>
      </c>
      <c r="F161">
        <v>21</v>
      </c>
      <c r="G161">
        <v>70811</v>
      </c>
    </row>
    <row r="162" spans="1:7" x14ac:dyDescent="0.25">
      <c r="A162">
        <v>1273</v>
      </c>
      <c r="B162">
        <v>125</v>
      </c>
      <c r="C162" t="s">
        <v>75</v>
      </c>
      <c r="D162" t="s">
        <v>76</v>
      </c>
      <c r="E162" t="s">
        <v>250</v>
      </c>
      <c r="F162">
        <v>27</v>
      </c>
      <c r="G162">
        <v>137356</v>
      </c>
    </row>
    <row r="163" spans="1:7" x14ac:dyDescent="0.25">
      <c r="A163">
        <v>1275</v>
      </c>
      <c r="B163">
        <v>126</v>
      </c>
      <c r="C163" t="s">
        <v>120</v>
      </c>
      <c r="D163" t="s">
        <v>73</v>
      </c>
      <c r="E163" t="s">
        <v>251</v>
      </c>
      <c r="F163">
        <v>18</v>
      </c>
      <c r="G163">
        <v>94711</v>
      </c>
    </row>
    <row r="164" spans="1:7" x14ac:dyDescent="0.25">
      <c r="A164">
        <v>1276</v>
      </c>
      <c r="B164">
        <v>126</v>
      </c>
      <c r="C164" t="s">
        <v>72</v>
      </c>
      <c r="D164" t="s">
        <v>73</v>
      </c>
      <c r="E164" t="s">
        <v>252</v>
      </c>
      <c r="F164">
        <v>17</v>
      </c>
      <c r="G164">
        <v>146123</v>
      </c>
    </row>
    <row r="165" spans="1:7" x14ac:dyDescent="0.25">
      <c r="A165">
        <v>1277</v>
      </c>
      <c r="B165">
        <v>126</v>
      </c>
      <c r="C165" t="s">
        <v>92</v>
      </c>
      <c r="D165" t="s">
        <v>76</v>
      </c>
      <c r="E165" t="s">
        <v>253</v>
      </c>
      <c r="F165">
        <v>19</v>
      </c>
      <c r="G165">
        <v>127200</v>
      </c>
    </row>
    <row r="166" spans="1:7" x14ac:dyDescent="0.25">
      <c r="A166">
        <v>1278</v>
      </c>
      <c r="B166">
        <v>126</v>
      </c>
      <c r="C166" t="s">
        <v>86</v>
      </c>
      <c r="D166" t="s">
        <v>76</v>
      </c>
      <c r="E166" t="s">
        <v>254</v>
      </c>
      <c r="F166">
        <v>29</v>
      </c>
      <c r="G166">
        <v>135086</v>
      </c>
    </row>
    <row r="167" spans="1:7" x14ac:dyDescent="0.25">
      <c r="A167">
        <v>1280</v>
      </c>
      <c r="B167">
        <v>126</v>
      </c>
      <c r="C167" t="s">
        <v>99</v>
      </c>
      <c r="D167" t="s">
        <v>76</v>
      </c>
      <c r="E167" t="s">
        <v>255</v>
      </c>
      <c r="F167">
        <v>9</v>
      </c>
      <c r="G167">
        <v>119164</v>
      </c>
    </row>
    <row r="168" spans="1:7" x14ac:dyDescent="0.25">
      <c r="A168">
        <v>1281</v>
      </c>
      <c r="B168">
        <v>127</v>
      </c>
      <c r="C168" t="s">
        <v>89</v>
      </c>
      <c r="D168" t="s">
        <v>76</v>
      </c>
      <c r="E168" t="s">
        <v>256</v>
      </c>
      <c r="F168">
        <v>19</v>
      </c>
      <c r="G168">
        <v>110191</v>
      </c>
    </row>
    <row r="169" spans="1:7" x14ac:dyDescent="0.25">
      <c r="A169">
        <v>1282</v>
      </c>
      <c r="B169">
        <v>127</v>
      </c>
      <c r="C169" t="s">
        <v>104</v>
      </c>
      <c r="D169" t="s">
        <v>76</v>
      </c>
      <c r="E169" t="s">
        <v>257</v>
      </c>
      <c r="F169">
        <v>7</v>
      </c>
      <c r="G169">
        <v>144993</v>
      </c>
    </row>
    <row r="170" spans="1:7" x14ac:dyDescent="0.25">
      <c r="A170">
        <v>1284</v>
      </c>
      <c r="B170">
        <v>127</v>
      </c>
      <c r="C170" t="s">
        <v>92</v>
      </c>
      <c r="D170" t="s">
        <v>76</v>
      </c>
      <c r="E170" t="s">
        <v>258</v>
      </c>
      <c r="F170">
        <v>15</v>
      </c>
      <c r="G170">
        <v>142177</v>
      </c>
    </row>
    <row r="171" spans="1:7" x14ac:dyDescent="0.25">
      <c r="A171">
        <v>1287</v>
      </c>
      <c r="B171">
        <v>127</v>
      </c>
      <c r="C171" t="s">
        <v>125</v>
      </c>
      <c r="D171" t="s">
        <v>76</v>
      </c>
      <c r="E171" t="s">
        <v>259</v>
      </c>
      <c r="F171">
        <v>10</v>
      </c>
      <c r="G171">
        <v>114258</v>
      </c>
    </row>
    <row r="172" spans="1:7" x14ac:dyDescent="0.25">
      <c r="A172">
        <v>1288</v>
      </c>
      <c r="B172">
        <v>127</v>
      </c>
      <c r="C172" t="s">
        <v>72</v>
      </c>
      <c r="D172" t="s">
        <v>73</v>
      </c>
      <c r="E172" t="s">
        <v>260</v>
      </c>
      <c r="F172">
        <v>28</v>
      </c>
      <c r="G172">
        <v>64078</v>
      </c>
    </row>
    <row r="173" spans="1:7" x14ac:dyDescent="0.25">
      <c r="A173">
        <v>1289</v>
      </c>
      <c r="B173">
        <v>127</v>
      </c>
      <c r="C173" t="s">
        <v>86</v>
      </c>
      <c r="D173" t="s">
        <v>76</v>
      </c>
      <c r="E173" t="s">
        <v>261</v>
      </c>
      <c r="F173">
        <v>17</v>
      </c>
      <c r="G173">
        <v>132279</v>
      </c>
    </row>
    <row r="174" spans="1:7" x14ac:dyDescent="0.25">
      <c r="A174">
        <v>1290</v>
      </c>
      <c r="B174">
        <v>127</v>
      </c>
      <c r="C174" t="s">
        <v>80</v>
      </c>
      <c r="D174" t="s">
        <v>73</v>
      </c>
      <c r="E174" t="s">
        <v>262</v>
      </c>
      <c r="F174">
        <v>15</v>
      </c>
      <c r="G174">
        <v>75612</v>
      </c>
    </row>
    <row r="175" spans="1:7" x14ac:dyDescent="0.25">
      <c r="A175">
        <v>1291</v>
      </c>
      <c r="B175">
        <v>127</v>
      </c>
      <c r="C175" t="s">
        <v>127</v>
      </c>
      <c r="D175" t="s">
        <v>76</v>
      </c>
      <c r="E175" t="s">
        <v>263</v>
      </c>
      <c r="F175">
        <v>18</v>
      </c>
      <c r="G175">
        <v>142092</v>
      </c>
    </row>
    <row r="176" spans="1:7" x14ac:dyDescent="0.25">
      <c r="A176">
        <v>1294</v>
      </c>
      <c r="B176">
        <v>127</v>
      </c>
      <c r="C176" t="s">
        <v>75</v>
      </c>
      <c r="D176" t="s">
        <v>76</v>
      </c>
      <c r="E176" t="s">
        <v>264</v>
      </c>
      <c r="F176">
        <v>9</v>
      </c>
      <c r="G176">
        <v>142783</v>
      </c>
    </row>
    <row r="177" spans="1:7" x14ac:dyDescent="0.25">
      <c r="A177">
        <v>1295</v>
      </c>
      <c r="B177">
        <v>127</v>
      </c>
      <c r="C177" t="s">
        <v>120</v>
      </c>
      <c r="D177" t="s">
        <v>73</v>
      </c>
      <c r="E177" t="s">
        <v>265</v>
      </c>
      <c r="F177">
        <v>7</v>
      </c>
      <c r="G177">
        <v>80091</v>
      </c>
    </row>
    <row r="178" spans="1:7" x14ac:dyDescent="0.25">
      <c r="A178">
        <v>1301</v>
      </c>
      <c r="B178">
        <v>128</v>
      </c>
      <c r="C178" t="s">
        <v>92</v>
      </c>
      <c r="D178" t="s">
        <v>76</v>
      </c>
      <c r="E178" t="s">
        <v>266</v>
      </c>
      <c r="F178">
        <v>21</v>
      </c>
      <c r="G178">
        <v>140940</v>
      </c>
    </row>
    <row r="179" spans="1:7" x14ac:dyDescent="0.25">
      <c r="A179">
        <v>1302</v>
      </c>
      <c r="B179">
        <v>128</v>
      </c>
      <c r="C179" t="s">
        <v>120</v>
      </c>
      <c r="D179" t="s">
        <v>73</v>
      </c>
      <c r="E179" t="s">
        <v>267</v>
      </c>
      <c r="F179">
        <v>30</v>
      </c>
      <c r="G179">
        <v>89392</v>
      </c>
    </row>
    <row r="180" spans="1:7" x14ac:dyDescent="0.25">
      <c r="A180">
        <v>1303</v>
      </c>
      <c r="B180">
        <v>128</v>
      </c>
      <c r="C180" t="s">
        <v>84</v>
      </c>
      <c r="D180" t="s">
        <v>73</v>
      </c>
      <c r="E180" t="s">
        <v>268</v>
      </c>
      <c r="F180">
        <v>19</v>
      </c>
      <c r="G180">
        <v>84600</v>
      </c>
    </row>
    <row r="181" spans="1:7" x14ac:dyDescent="0.25">
      <c r="A181">
        <v>1304</v>
      </c>
      <c r="B181">
        <v>128</v>
      </c>
      <c r="C181" t="s">
        <v>99</v>
      </c>
      <c r="D181" t="s">
        <v>76</v>
      </c>
      <c r="E181" t="s">
        <v>269</v>
      </c>
      <c r="F181">
        <v>21</v>
      </c>
      <c r="G181">
        <v>92967</v>
      </c>
    </row>
    <row r="182" spans="1:7" x14ac:dyDescent="0.25">
      <c r="A182">
        <v>1305</v>
      </c>
      <c r="B182">
        <v>129</v>
      </c>
      <c r="C182" t="s">
        <v>99</v>
      </c>
      <c r="D182" t="s">
        <v>76</v>
      </c>
      <c r="E182" t="s">
        <v>270</v>
      </c>
      <c r="F182">
        <v>5</v>
      </c>
      <c r="G182">
        <v>126062</v>
      </c>
    </row>
    <row r="183" spans="1:7" x14ac:dyDescent="0.25">
      <c r="A183">
        <v>1306</v>
      </c>
      <c r="B183">
        <v>129</v>
      </c>
      <c r="C183" t="s">
        <v>80</v>
      </c>
      <c r="D183" t="s">
        <v>73</v>
      </c>
      <c r="E183" t="s">
        <v>271</v>
      </c>
      <c r="F183">
        <v>22</v>
      </c>
      <c r="G183">
        <v>76084</v>
      </c>
    </row>
    <row r="184" spans="1:7" x14ac:dyDescent="0.25">
      <c r="A184">
        <v>1307</v>
      </c>
      <c r="B184">
        <v>129</v>
      </c>
      <c r="C184" t="s">
        <v>82</v>
      </c>
      <c r="D184" t="s">
        <v>73</v>
      </c>
      <c r="E184" t="s">
        <v>272</v>
      </c>
      <c r="F184">
        <v>20</v>
      </c>
      <c r="G184">
        <v>125912</v>
      </c>
    </row>
    <row r="185" spans="1:7" x14ac:dyDescent="0.25">
      <c r="A185">
        <v>1308</v>
      </c>
      <c r="B185">
        <v>129</v>
      </c>
      <c r="C185" t="s">
        <v>72</v>
      </c>
      <c r="D185" t="s">
        <v>73</v>
      </c>
      <c r="E185" t="s">
        <v>273</v>
      </c>
      <c r="F185">
        <v>10</v>
      </c>
      <c r="G185">
        <v>85609</v>
      </c>
    </row>
    <row r="186" spans="1:7" x14ac:dyDescent="0.25">
      <c r="A186">
        <v>1309</v>
      </c>
      <c r="B186">
        <v>129</v>
      </c>
      <c r="C186" t="s">
        <v>84</v>
      </c>
      <c r="D186" t="s">
        <v>73</v>
      </c>
      <c r="E186" t="s">
        <v>274</v>
      </c>
      <c r="F186">
        <v>27</v>
      </c>
      <c r="G186">
        <v>69469</v>
      </c>
    </row>
    <row r="187" spans="1:7" x14ac:dyDescent="0.25">
      <c r="A187">
        <v>1310</v>
      </c>
      <c r="B187">
        <v>129</v>
      </c>
      <c r="C187" t="s">
        <v>94</v>
      </c>
      <c r="D187" t="s">
        <v>73</v>
      </c>
      <c r="E187" t="s">
        <v>275</v>
      </c>
      <c r="F187">
        <v>24</v>
      </c>
      <c r="G187">
        <v>71508</v>
      </c>
    </row>
    <row r="188" spans="1:7" x14ac:dyDescent="0.25">
      <c r="A188">
        <v>1311</v>
      </c>
      <c r="B188">
        <v>129</v>
      </c>
      <c r="C188" t="s">
        <v>86</v>
      </c>
      <c r="D188" t="s">
        <v>76</v>
      </c>
      <c r="E188" t="s">
        <v>276</v>
      </c>
      <c r="F188">
        <v>19</v>
      </c>
      <c r="G188">
        <v>97670</v>
      </c>
    </row>
    <row r="189" spans="1:7" x14ac:dyDescent="0.25">
      <c r="A189">
        <v>1312</v>
      </c>
      <c r="B189">
        <v>129</v>
      </c>
      <c r="C189" t="s">
        <v>89</v>
      </c>
      <c r="D189" t="s">
        <v>76</v>
      </c>
      <c r="E189" t="s">
        <v>277</v>
      </c>
      <c r="F189">
        <v>17</v>
      </c>
      <c r="G189">
        <v>128976</v>
      </c>
    </row>
    <row r="190" spans="1:7" x14ac:dyDescent="0.25">
      <c r="A190">
        <v>1313</v>
      </c>
      <c r="B190">
        <v>129</v>
      </c>
      <c r="C190" t="s">
        <v>92</v>
      </c>
      <c r="D190" t="s">
        <v>76</v>
      </c>
      <c r="E190" t="s">
        <v>278</v>
      </c>
      <c r="F190">
        <v>17</v>
      </c>
      <c r="G190">
        <v>96719</v>
      </c>
    </row>
    <row r="191" spans="1:7" x14ac:dyDescent="0.25">
      <c r="A191">
        <v>1314</v>
      </c>
      <c r="B191">
        <v>129</v>
      </c>
      <c r="C191" t="s">
        <v>120</v>
      </c>
      <c r="D191" t="s">
        <v>73</v>
      </c>
      <c r="E191" t="s">
        <v>279</v>
      </c>
      <c r="F191">
        <v>8</v>
      </c>
      <c r="G191">
        <v>55901</v>
      </c>
    </row>
    <row r="192" spans="1:7" x14ac:dyDescent="0.25">
      <c r="A192">
        <v>1315</v>
      </c>
      <c r="B192">
        <v>129</v>
      </c>
      <c r="C192" t="s">
        <v>122</v>
      </c>
      <c r="D192" t="s">
        <v>73</v>
      </c>
      <c r="E192" t="s">
        <v>280</v>
      </c>
      <c r="F192">
        <v>11</v>
      </c>
      <c r="G192">
        <v>61255</v>
      </c>
    </row>
    <row r="193" spans="1:7" x14ac:dyDescent="0.25">
      <c r="A193">
        <v>1321</v>
      </c>
      <c r="B193">
        <v>129</v>
      </c>
      <c r="C193" t="s">
        <v>125</v>
      </c>
      <c r="D193" t="s">
        <v>76</v>
      </c>
      <c r="E193" t="s">
        <v>281</v>
      </c>
      <c r="F193">
        <v>4</v>
      </c>
      <c r="G193">
        <v>133832</v>
      </c>
    </row>
    <row r="194" spans="1:7" x14ac:dyDescent="0.25">
      <c r="A194">
        <v>1323</v>
      </c>
      <c r="B194">
        <v>129</v>
      </c>
      <c r="C194" t="s">
        <v>75</v>
      </c>
      <c r="D194" t="s">
        <v>76</v>
      </c>
      <c r="E194" t="s">
        <v>282</v>
      </c>
      <c r="F194">
        <v>18</v>
      </c>
      <c r="G194">
        <v>113535</v>
      </c>
    </row>
    <row r="195" spans="1:7" x14ac:dyDescent="0.25">
      <c r="A195">
        <v>1326</v>
      </c>
      <c r="B195">
        <v>129</v>
      </c>
      <c r="C195" t="s">
        <v>127</v>
      </c>
      <c r="D195" t="s">
        <v>76</v>
      </c>
      <c r="E195" t="s">
        <v>283</v>
      </c>
      <c r="F195">
        <v>30</v>
      </c>
      <c r="G195">
        <v>76151</v>
      </c>
    </row>
    <row r="196" spans="1:7" x14ac:dyDescent="0.25">
      <c r="A196">
        <v>1335</v>
      </c>
      <c r="B196">
        <v>129</v>
      </c>
      <c r="C196" t="s">
        <v>78</v>
      </c>
      <c r="D196" t="s">
        <v>73</v>
      </c>
      <c r="E196" t="s">
        <v>284</v>
      </c>
      <c r="F196">
        <v>6</v>
      </c>
      <c r="G196">
        <v>112610</v>
      </c>
    </row>
    <row r="197" spans="1:7" x14ac:dyDescent="0.25">
      <c r="A197">
        <v>1342</v>
      </c>
      <c r="B197">
        <v>130</v>
      </c>
      <c r="C197" t="s">
        <v>127</v>
      </c>
      <c r="D197" t="s">
        <v>76</v>
      </c>
      <c r="E197" t="s">
        <v>285</v>
      </c>
      <c r="F197">
        <v>7</v>
      </c>
      <c r="G197">
        <v>104956</v>
      </c>
    </row>
    <row r="198" spans="1:7" x14ac:dyDescent="0.25">
      <c r="A198">
        <v>1343</v>
      </c>
      <c r="B198">
        <v>130</v>
      </c>
      <c r="C198" t="s">
        <v>120</v>
      </c>
      <c r="D198" t="s">
        <v>73</v>
      </c>
      <c r="E198" t="s">
        <v>286</v>
      </c>
      <c r="F198">
        <v>23</v>
      </c>
      <c r="G198">
        <v>65512</v>
      </c>
    </row>
    <row r="199" spans="1:7" x14ac:dyDescent="0.25">
      <c r="A199">
        <v>1344</v>
      </c>
      <c r="B199">
        <v>130</v>
      </c>
      <c r="C199" t="s">
        <v>89</v>
      </c>
      <c r="D199" t="s">
        <v>76</v>
      </c>
      <c r="E199" t="s">
        <v>287</v>
      </c>
      <c r="F199">
        <v>16</v>
      </c>
      <c r="G199">
        <v>116325</v>
      </c>
    </row>
    <row r="200" spans="1:7" x14ac:dyDescent="0.25">
      <c r="A200">
        <v>1345</v>
      </c>
      <c r="B200">
        <v>130</v>
      </c>
      <c r="C200" t="s">
        <v>86</v>
      </c>
      <c r="D200" t="s">
        <v>76</v>
      </c>
      <c r="E200" t="s">
        <v>288</v>
      </c>
      <c r="F200">
        <v>28</v>
      </c>
      <c r="G200">
        <v>103592</v>
      </c>
    </row>
    <row r="201" spans="1:7" x14ac:dyDescent="0.25">
      <c r="A201">
        <v>1346</v>
      </c>
      <c r="B201">
        <v>130</v>
      </c>
      <c r="C201" t="s">
        <v>72</v>
      </c>
      <c r="D201" t="s">
        <v>73</v>
      </c>
      <c r="E201" t="s">
        <v>289</v>
      </c>
      <c r="F201">
        <v>26</v>
      </c>
      <c r="G201">
        <v>64841</v>
      </c>
    </row>
    <row r="202" spans="1:7" x14ac:dyDescent="0.25">
      <c r="A202">
        <v>1347</v>
      </c>
      <c r="B202">
        <v>130</v>
      </c>
      <c r="C202" t="s">
        <v>94</v>
      </c>
      <c r="D202" t="s">
        <v>73</v>
      </c>
      <c r="E202" t="s">
        <v>290</v>
      </c>
      <c r="F202">
        <v>6</v>
      </c>
      <c r="G202">
        <v>101734</v>
      </c>
    </row>
    <row r="203" spans="1:7" x14ac:dyDescent="0.25">
      <c r="A203">
        <v>1348</v>
      </c>
      <c r="B203">
        <v>130</v>
      </c>
      <c r="C203" t="s">
        <v>92</v>
      </c>
      <c r="D203" t="s">
        <v>76</v>
      </c>
      <c r="E203" t="s">
        <v>291</v>
      </c>
      <c r="F203">
        <v>16</v>
      </c>
      <c r="G203">
        <v>127237</v>
      </c>
    </row>
    <row r="204" spans="1:7" x14ac:dyDescent="0.25">
      <c r="A204">
        <v>1349</v>
      </c>
      <c r="B204">
        <v>130</v>
      </c>
      <c r="C204" t="s">
        <v>82</v>
      </c>
      <c r="D204" t="s">
        <v>73</v>
      </c>
      <c r="E204" t="s">
        <v>292</v>
      </c>
      <c r="F204">
        <v>20</v>
      </c>
      <c r="G204">
        <v>92382</v>
      </c>
    </row>
    <row r="205" spans="1:7" x14ac:dyDescent="0.25">
      <c r="A205">
        <v>1350</v>
      </c>
      <c r="B205">
        <v>130</v>
      </c>
      <c r="C205" t="s">
        <v>80</v>
      </c>
      <c r="D205" t="s">
        <v>73</v>
      </c>
      <c r="E205" t="s">
        <v>293</v>
      </c>
      <c r="F205">
        <v>10</v>
      </c>
      <c r="G205">
        <v>92711</v>
      </c>
    </row>
    <row r="206" spans="1:7" x14ac:dyDescent="0.25">
      <c r="A206">
        <v>1351</v>
      </c>
      <c r="B206">
        <v>130</v>
      </c>
      <c r="C206" t="s">
        <v>78</v>
      </c>
      <c r="D206" t="s">
        <v>73</v>
      </c>
      <c r="E206" t="s">
        <v>294</v>
      </c>
      <c r="F206">
        <v>13</v>
      </c>
      <c r="G206">
        <v>105222</v>
      </c>
    </row>
    <row r="207" spans="1:7" x14ac:dyDescent="0.25">
      <c r="A207">
        <v>1352</v>
      </c>
      <c r="B207">
        <v>130</v>
      </c>
      <c r="C207" t="s">
        <v>122</v>
      </c>
      <c r="D207" t="s">
        <v>73</v>
      </c>
      <c r="E207" t="s">
        <v>295</v>
      </c>
      <c r="F207">
        <v>5</v>
      </c>
      <c r="G207">
        <v>134272</v>
      </c>
    </row>
    <row r="208" spans="1:7" x14ac:dyDescent="0.25">
      <c r="A208">
        <v>1356</v>
      </c>
      <c r="B208">
        <v>130</v>
      </c>
      <c r="C208" t="s">
        <v>125</v>
      </c>
      <c r="D208" t="s">
        <v>76</v>
      </c>
      <c r="E208" t="s">
        <v>296</v>
      </c>
      <c r="F208">
        <v>4</v>
      </c>
      <c r="G208">
        <v>132391</v>
      </c>
    </row>
    <row r="209" spans="1:7" x14ac:dyDescent="0.25">
      <c r="A209">
        <v>1359</v>
      </c>
      <c r="B209">
        <v>130</v>
      </c>
      <c r="C209" t="s">
        <v>99</v>
      </c>
      <c r="D209" t="s">
        <v>76</v>
      </c>
      <c r="E209" t="s">
        <v>297</v>
      </c>
      <c r="F209">
        <v>15</v>
      </c>
      <c r="G209">
        <v>61614</v>
      </c>
    </row>
    <row r="210" spans="1:7" x14ac:dyDescent="0.25">
      <c r="A210">
        <v>1361</v>
      </c>
      <c r="B210">
        <v>130</v>
      </c>
      <c r="C210" t="s">
        <v>104</v>
      </c>
      <c r="D210" t="s">
        <v>76</v>
      </c>
      <c r="E210" t="s">
        <v>298</v>
      </c>
      <c r="F210">
        <v>13</v>
      </c>
      <c r="G210">
        <v>84356</v>
      </c>
    </row>
    <row r="211" spans="1:7" x14ac:dyDescent="0.25">
      <c r="A211">
        <v>1367</v>
      </c>
      <c r="B211">
        <v>130</v>
      </c>
      <c r="C211" t="s">
        <v>84</v>
      </c>
      <c r="D211" t="s">
        <v>73</v>
      </c>
      <c r="E211" t="s">
        <v>299</v>
      </c>
      <c r="F211">
        <v>22</v>
      </c>
      <c r="G211">
        <v>143143</v>
      </c>
    </row>
    <row r="212" spans="1:7" x14ac:dyDescent="0.25">
      <c r="A212">
        <v>1384</v>
      </c>
      <c r="B212">
        <v>130</v>
      </c>
      <c r="C212" t="s">
        <v>75</v>
      </c>
      <c r="D212" t="s">
        <v>76</v>
      </c>
      <c r="E212" t="s">
        <v>300</v>
      </c>
      <c r="F212">
        <v>4</v>
      </c>
      <c r="G212">
        <v>114292</v>
      </c>
    </row>
    <row r="213" spans="1:7" x14ac:dyDescent="0.25">
      <c r="A213">
        <v>1393</v>
      </c>
      <c r="B213">
        <v>131</v>
      </c>
      <c r="C213" t="s">
        <v>127</v>
      </c>
      <c r="D213" t="s">
        <v>76</v>
      </c>
      <c r="E213" t="s">
        <v>301</v>
      </c>
      <c r="F213">
        <v>16</v>
      </c>
      <c r="G213">
        <v>125561</v>
      </c>
    </row>
    <row r="214" spans="1:7" x14ac:dyDescent="0.25">
      <c r="A214">
        <v>1394</v>
      </c>
      <c r="B214">
        <v>131</v>
      </c>
      <c r="C214" t="s">
        <v>84</v>
      </c>
      <c r="D214" t="s">
        <v>73</v>
      </c>
      <c r="E214" t="s">
        <v>302</v>
      </c>
      <c r="F214">
        <v>23</v>
      </c>
      <c r="G214">
        <v>72706</v>
      </c>
    </row>
    <row r="215" spans="1:7" x14ac:dyDescent="0.25">
      <c r="A215">
        <v>1395</v>
      </c>
      <c r="B215">
        <v>131</v>
      </c>
      <c r="C215" t="s">
        <v>82</v>
      </c>
      <c r="D215" t="s">
        <v>73</v>
      </c>
      <c r="E215" t="s">
        <v>303</v>
      </c>
      <c r="F215">
        <v>16</v>
      </c>
      <c r="G215">
        <v>66063</v>
      </c>
    </row>
    <row r="216" spans="1:7" x14ac:dyDescent="0.25">
      <c r="A216">
        <v>1396</v>
      </c>
      <c r="B216">
        <v>131</v>
      </c>
      <c r="C216" t="s">
        <v>75</v>
      </c>
      <c r="D216" t="s">
        <v>76</v>
      </c>
      <c r="E216" t="s">
        <v>304</v>
      </c>
      <c r="F216">
        <v>16</v>
      </c>
      <c r="G216">
        <v>95072</v>
      </c>
    </row>
    <row r="217" spans="1:7" x14ac:dyDescent="0.25">
      <c r="A217">
        <v>1397</v>
      </c>
      <c r="B217">
        <v>131</v>
      </c>
      <c r="C217" t="s">
        <v>89</v>
      </c>
      <c r="D217" t="s">
        <v>76</v>
      </c>
      <c r="E217" t="s">
        <v>305</v>
      </c>
      <c r="F217">
        <v>13</v>
      </c>
      <c r="G217">
        <v>107344</v>
      </c>
    </row>
    <row r="218" spans="1:7" x14ac:dyDescent="0.25">
      <c r="A218">
        <v>1398</v>
      </c>
      <c r="B218">
        <v>131</v>
      </c>
      <c r="C218" t="s">
        <v>86</v>
      </c>
      <c r="D218" t="s">
        <v>76</v>
      </c>
      <c r="E218" t="s">
        <v>306</v>
      </c>
      <c r="F218">
        <v>8</v>
      </c>
      <c r="G218">
        <v>138907</v>
      </c>
    </row>
    <row r="219" spans="1:7" x14ac:dyDescent="0.25">
      <c r="A219">
        <v>1399</v>
      </c>
      <c r="B219">
        <v>131</v>
      </c>
      <c r="C219" t="s">
        <v>72</v>
      </c>
      <c r="D219" t="s">
        <v>73</v>
      </c>
      <c r="E219" t="s">
        <v>307</v>
      </c>
      <c r="F219">
        <v>24</v>
      </c>
      <c r="G219">
        <v>100628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01"/>
  <sheetViews>
    <sheetView zoomScale="147" workbookViewId="0">
      <selection activeCell="B26" sqref="B26"/>
    </sheetView>
  </sheetViews>
  <sheetFormatPr defaultRowHeight="15" x14ac:dyDescent="0.25"/>
  <cols>
    <col min="1" max="1" width="11.85546875" bestFit="1" customWidth="1"/>
    <col min="2" max="2" width="15" customWidth="1"/>
    <col min="3" max="3" width="9.28515625" bestFit="1" customWidth="1"/>
    <col min="4" max="4" width="15.140625" style="1" bestFit="1" customWidth="1"/>
    <col min="5" max="5" width="15.140625" bestFit="1" customWidth="1"/>
    <col min="6" max="6" width="14.42578125" customWidth="1"/>
  </cols>
  <sheetData>
    <row r="1" spans="1:6" x14ac:dyDescent="0.25">
      <c r="A1" s="2" t="s">
        <v>1</v>
      </c>
      <c r="B1" s="2" t="s">
        <v>863</v>
      </c>
      <c r="C1" s="2" t="s">
        <v>70</v>
      </c>
      <c r="D1" s="4" t="s">
        <v>864</v>
      </c>
      <c r="E1" s="2" t="s">
        <v>71</v>
      </c>
      <c r="F1" s="3" t="s">
        <v>865</v>
      </c>
    </row>
    <row r="2" spans="1:6" x14ac:dyDescent="0.25">
      <c r="A2">
        <v>100</v>
      </c>
      <c r="B2" t="s">
        <v>80</v>
      </c>
      <c r="C2" t="s">
        <v>73</v>
      </c>
      <c r="D2" s="1">
        <v>18823</v>
      </c>
      <c r="E2" t="s">
        <v>363</v>
      </c>
      <c r="F2" t="s">
        <v>866</v>
      </c>
    </row>
    <row r="3" spans="1:6" x14ac:dyDescent="0.25">
      <c r="A3">
        <v>101</v>
      </c>
      <c r="B3" t="s">
        <v>125</v>
      </c>
      <c r="C3" t="s">
        <v>76</v>
      </c>
      <c r="D3" s="1">
        <v>35026</v>
      </c>
      <c r="E3" t="s">
        <v>364</v>
      </c>
      <c r="F3" t="s">
        <v>867</v>
      </c>
    </row>
    <row r="4" spans="1:6" x14ac:dyDescent="0.25">
      <c r="A4">
        <v>102</v>
      </c>
      <c r="B4" t="s">
        <v>82</v>
      </c>
      <c r="C4" t="s">
        <v>73</v>
      </c>
      <c r="D4" s="1">
        <v>44196</v>
      </c>
      <c r="E4" t="s">
        <v>365</v>
      </c>
      <c r="F4" t="s">
        <v>868</v>
      </c>
    </row>
    <row r="5" spans="1:6" x14ac:dyDescent="0.25">
      <c r="A5">
        <v>103</v>
      </c>
      <c r="B5" t="s">
        <v>120</v>
      </c>
      <c r="C5" t="s">
        <v>73</v>
      </c>
      <c r="D5" s="1">
        <v>13302</v>
      </c>
      <c r="E5" t="s">
        <v>366</v>
      </c>
      <c r="F5" t="s">
        <v>869</v>
      </c>
    </row>
    <row r="6" spans="1:6" x14ac:dyDescent="0.25">
      <c r="A6">
        <v>104</v>
      </c>
      <c r="B6" t="s">
        <v>78</v>
      </c>
      <c r="C6" t="s">
        <v>73</v>
      </c>
      <c r="D6" s="1">
        <v>11183</v>
      </c>
      <c r="E6" t="s">
        <v>367</v>
      </c>
      <c r="F6" t="s">
        <v>869</v>
      </c>
    </row>
    <row r="7" spans="1:6" x14ac:dyDescent="0.25">
      <c r="A7">
        <v>105</v>
      </c>
      <c r="B7" t="s">
        <v>104</v>
      </c>
      <c r="C7" t="s">
        <v>76</v>
      </c>
      <c r="D7" s="1">
        <v>20996</v>
      </c>
      <c r="E7" t="s">
        <v>368</v>
      </c>
      <c r="F7" t="s">
        <v>870</v>
      </c>
    </row>
    <row r="8" spans="1:6" x14ac:dyDescent="0.25">
      <c r="A8">
        <v>106</v>
      </c>
      <c r="B8" t="s">
        <v>120</v>
      </c>
      <c r="C8" t="s">
        <v>73</v>
      </c>
      <c r="D8" s="1">
        <v>22026</v>
      </c>
      <c r="E8" t="s">
        <v>369</v>
      </c>
      <c r="F8" t="s">
        <v>867</v>
      </c>
    </row>
    <row r="9" spans="1:6" x14ac:dyDescent="0.25">
      <c r="A9">
        <v>107</v>
      </c>
      <c r="B9" t="s">
        <v>89</v>
      </c>
      <c r="C9" t="s">
        <v>76</v>
      </c>
      <c r="D9" s="1">
        <v>30098</v>
      </c>
      <c r="E9" t="s">
        <v>370</v>
      </c>
      <c r="F9" t="s">
        <v>871</v>
      </c>
    </row>
    <row r="10" spans="1:6" x14ac:dyDescent="0.25">
      <c r="A10">
        <v>108</v>
      </c>
      <c r="B10" t="s">
        <v>122</v>
      </c>
      <c r="C10" t="s">
        <v>73</v>
      </c>
      <c r="D10" s="1">
        <v>41433</v>
      </c>
      <c r="E10" t="s">
        <v>371</v>
      </c>
      <c r="F10" t="s">
        <v>866</v>
      </c>
    </row>
    <row r="11" spans="1:6" x14ac:dyDescent="0.25">
      <c r="A11">
        <v>109</v>
      </c>
      <c r="B11" t="s">
        <v>89</v>
      </c>
      <c r="C11" t="s">
        <v>76</v>
      </c>
      <c r="D11" s="1">
        <v>23905</v>
      </c>
      <c r="E11" t="s">
        <v>372</v>
      </c>
      <c r="F11" t="s">
        <v>872</v>
      </c>
    </row>
    <row r="12" spans="1:6" x14ac:dyDescent="0.25">
      <c r="A12">
        <v>110</v>
      </c>
      <c r="B12" t="s">
        <v>86</v>
      </c>
      <c r="C12" t="s">
        <v>76</v>
      </c>
      <c r="D12" s="1">
        <v>30232</v>
      </c>
      <c r="E12" t="s">
        <v>373</v>
      </c>
      <c r="F12" t="s">
        <v>867</v>
      </c>
    </row>
    <row r="13" spans="1:6" x14ac:dyDescent="0.25">
      <c r="A13">
        <v>111</v>
      </c>
      <c r="B13" t="s">
        <v>99</v>
      </c>
      <c r="C13" t="s">
        <v>76</v>
      </c>
      <c r="D13" s="1">
        <v>28466</v>
      </c>
      <c r="E13" t="s">
        <v>374</v>
      </c>
      <c r="F13" t="s">
        <v>869</v>
      </c>
    </row>
    <row r="14" spans="1:6" x14ac:dyDescent="0.25">
      <c r="A14">
        <v>112</v>
      </c>
      <c r="B14" t="s">
        <v>84</v>
      </c>
      <c r="C14" t="s">
        <v>73</v>
      </c>
      <c r="D14" s="1">
        <v>18784</v>
      </c>
      <c r="E14" t="s">
        <v>375</v>
      </c>
      <c r="F14" t="s">
        <v>870</v>
      </c>
    </row>
    <row r="15" spans="1:6" x14ac:dyDescent="0.25">
      <c r="A15">
        <v>113</v>
      </c>
      <c r="B15" t="s">
        <v>94</v>
      </c>
      <c r="C15" t="s">
        <v>73</v>
      </c>
      <c r="D15" s="1">
        <v>41681</v>
      </c>
      <c r="E15" t="s">
        <v>376</v>
      </c>
      <c r="F15" t="s">
        <v>871</v>
      </c>
    </row>
    <row r="16" spans="1:6" x14ac:dyDescent="0.25">
      <c r="A16">
        <v>114</v>
      </c>
      <c r="B16" t="s">
        <v>99</v>
      </c>
      <c r="C16" t="s">
        <v>76</v>
      </c>
      <c r="D16" s="1">
        <v>25485</v>
      </c>
      <c r="E16" t="s">
        <v>377</v>
      </c>
      <c r="F16" t="s">
        <v>867</v>
      </c>
    </row>
    <row r="17" spans="1:6" x14ac:dyDescent="0.25">
      <c r="A17">
        <v>115</v>
      </c>
      <c r="B17" t="s">
        <v>92</v>
      </c>
      <c r="C17" t="s">
        <v>76</v>
      </c>
      <c r="D17" s="1">
        <v>43359</v>
      </c>
      <c r="E17" t="s">
        <v>378</v>
      </c>
      <c r="F17" t="s">
        <v>873</v>
      </c>
    </row>
    <row r="18" spans="1:6" x14ac:dyDescent="0.25">
      <c r="A18">
        <v>116</v>
      </c>
      <c r="B18" t="s">
        <v>92</v>
      </c>
      <c r="C18" t="s">
        <v>76</v>
      </c>
      <c r="D18" s="1">
        <v>17512</v>
      </c>
      <c r="E18" t="s">
        <v>379</v>
      </c>
      <c r="F18" t="s">
        <v>867</v>
      </c>
    </row>
    <row r="19" spans="1:6" x14ac:dyDescent="0.25">
      <c r="A19">
        <v>117</v>
      </c>
      <c r="B19" t="s">
        <v>104</v>
      </c>
      <c r="C19" t="s">
        <v>76</v>
      </c>
      <c r="D19" s="1">
        <v>30477</v>
      </c>
      <c r="E19" t="s">
        <v>380</v>
      </c>
      <c r="F19" t="s">
        <v>866</v>
      </c>
    </row>
    <row r="20" spans="1:6" x14ac:dyDescent="0.25">
      <c r="A20">
        <v>118</v>
      </c>
      <c r="B20" t="s">
        <v>104</v>
      </c>
      <c r="C20" t="s">
        <v>76</v>
      </c>
      <c r="D20" s="1">
        <v>27901</v>
      </c>
      <c r="E20" t="s">
        <v>381</v>
      </c>
      <c r="F20" t="s">
        <v>873</v>
      </c>
    </row>
    <row r="21" spans="1:6" x14ac:dyDescent="0.25">
      <c r="A21">
        <v>119</v>
      </c>
      <c r="B21" t="s">
        <v>125</v>
      </c>
      <c r="C21" t="s">
        <v>76</v>
      </c>
      <c r="D21" s="1">
        <v>39943</v>
      </c>
      <c r="E21" t="s">
        <v>382</v>
      </c>
      <c r="F21" t="s">
        <v>872</v>
      </c>
    </row>
    <row r="22" spans="1:6" x14ac:dyDescent="0.25">
      <c r="A22">
        <v>120</v>
      </c>
      <c r="B22" t="s">
        <v>78</v>
      </c>
      <c r="C22" t="s">
        <v>73</v>
      </c>
      <c r="D22" s="1">
        <v>24278</v>
      </c>
      <c r="E22" t="s">
        <v>383</v>
      </c>
      <c r="F22" t="s">
        <v>873</v>
      </c>
    </row>
    <row r="23" spans="1:6" x14ac:dyDescent="0.25">
      <c r="A23">
        <v>121</v>
      </c>
      <c r="B23" t="s">
        <v>89</v>
      </c>
      <c r="C23" t="s">
        <v>76</v>
      </c>
      <c r="D23" s="1">
        <v>14635</v>
      </c>
      <c r="E23" t="s">
        <v>384</v>
      </c>
      <c r="F23" t="s">
        <v>866</v>
      </c>
    </row>
    <row r="24" spans="1:6" x14ac:dyDescent="0.25">
      <c r="A24">
        <v>122</v>
      </c>
      <c r="B24" t="s">
        <v>80</v>
      </c>
      <c r="C24" t="s">
        <v>73</v>
      </c>
      <c r="D24" s="1">
        <v>36691</v>
      </c>
      <c r="E24" t="s">
        <v>385</v>
      </c>
      <c r="F24" t="s">
        <v>866</v>
      </c>
    </row>
    <row r="25" spans="1:6" x14ac:dyDescent="0.25">
      <c r="A25">
        <v>123</v>
      </c>
      <c r="B25" t="s">
        <v>122</v>
      </c>
      <c r="C25" t="s">
        <v>73</v>
      </c>
      <c r="D25" s="1">
        <v>18225</v>
      </c>
      <c r="E25" t="s">
        <v>386</v>
      </c>
      <c r="F25" t="s">
        <v>872</v>
      </c>
    </row>
    <row r="26" spans="1:6" x14ac:dyDescent="0.25">
      <c r="A26">
        <v>124</v>
      </c>
      <c r="B26" t="s">
        <v>99</v>
      </c>
      <c r="C26" t="s">
        <v>76</v>
      </c>
      <c r="D26" s="1">
        <v>22038</v>
      </c>
      <c r="E26" t="s">
        <v>387</v>
      </c>
      <c r="F26" t="s">
        <v>870</v>
      </c>
    </row>
    <row r="27" spans="1:6" x14ac:dyDescent="0.25">
      <c r="A27">
        <v>125</v>
      </c>
      <c r="B27" t="s">
        <v>72</v>
      </c>
      <c r="C27" t="s">
        <v>73</v>
      </c>
      <c r="D27" s="1">
        <v>15414</v>
      </c>
      <c r="E27" t="s">
        <v>388</v>
      </c>
      <c r="F27" t="s">
        <v>871</v>
      </c>
    </row>
    <row r="28" spans="1:6" x14ac:dyDescent="0.25">
      <c r="A28">
        <v>126</v>
      </c>
      <c r="B28" t="s">
        <v>72</v>
      </c>
      <c r="C28" t="s">
        <v>73</v>
      </c>
      <c r="D28" s="1">
        <v>38904</v>
      </c>
      <c r="E28" t="s">
        <v>389</v>
      </c>
      <c r="F28" t="s">
        <v>868</v>
      </c>
    </row>
    <row r="29" spans="1:6" x14ac:dyDescent="0.25">
      <c r="A29">
        <v>127</v>
      </c>
      <c r="B29" t="s">
        <v>125</v>
      </c>
      <c r="C29" t="s">
        <v>76</v>
      </c>
      <c r="D29" s="1">
        <v>38494</v>
      </c>
      <c r="E29" t="s">
        <v>390</v>
      </c>
      <c r="F29" t="s">
        <v>867</v>
      </c>
    </row>
    <row r="30" spans="1:6" x14ac:dyDescent="0.25">
      <c r="A30">
        <v>128</v>
      </c>
      <c r="B30" t="s">
        <v>94</v>
      </c>
      <c r="C30" t="s">
        <v>73</v>
      </c>
      <c r="D30" s="1">
        <v>22147</v>
      </c>
      <c r="E30" t="s">
        <v>391</v>
      </c>
      <c r="F30" t="s">
        <v>870</v>
      </c>
    </row>
    <row r="31" spans="1:6" x14ac:dyDescent="0.25">
      <c r="A31">
        <v>129</v>
      </c>
      <c r="B31" t="s">
        <v>75</v>
      </c>
      <c r="C31" t="s">
        <v>76</v>
      </c>
      <c r="D31" s="1">
        <v>25324</v>
      </c>
      <c r="E31" t="s">
        <v>392</v>
      </c>
      <c r="F31" t="s">
        <v>866</v>
      </c>
    </row>
    <row r="32" spans="1:6" x14ac:dyDescent="0.25">
      <c r="A32">
        <v>130</v>
      </c>
      <c r="B32" t="s">
        <v>122</v>
      </c>
      <c r="C32" t="s">
        <v>73</v>
      </c>
      <c r="D32" s="1">
        <v>12416</v>
      </c>
      <c r="E32" t="s">
        <v>393</v>
      </c>
      <c r="F32" t="s">
        <v>873</v>
      </c>
    </row>
    <row r="33" spans="1:6" x14ac:dyDescent="0.25">
      <c r="A33">
        <v>131</v>
      </c>
      <c r="B33" t="s">
        <v>82</v>
      </c>
      <c r="C33" t="s">
        <v>73</v>
      </c>
      <c r="D33" s="1">
        <v>29752</v>
      </c>
      <c r="E33" t="s">
        <v>394</v>
      </c>
      <c r="F33" t="s">
        <v>873</v>
      </c>
    </row>
    <row r="34" spans="1:6" x14ac:dyDescent="0.25">
      <c r="A34">
        <v>132</v>
      </c>
      <c r="B34" t="s">
        <v>89</v>
      </c>
      <c r="C34" t="s">
        <v>76</v>
      </c>
      <c r="D34" s="1">
        <v>28886</v>
      </c>
      <c r="E34" t="s">
        <v>395</v>
      </c>
      <c r="F34" t="s">
        <v>869</v>
      </c>
    </row>
    <row r="35" spans="1:6" x14ac:dyDescent="0.25">
      <c r="A35">
        <v>133</v>
      </c>
      <c r="B35" t="s">
        <v>104</v>
      </c>
      <c r="C35" t="s">
        <v>76</v>
      </c>
      <c r="D35" s="1">
        <v>28585</v>
      </c>
      <c r="E35" t="s">
        <v>396</v>
      </c>
      <c r="F35" t="s">
        <v>869</v>
      </c>
    </row>
    <row r="36" spans="1:6" x14ac:dyDescent="0.25">
      <c r="A36">
        <v>134</v>
      </c>
      <c r="B36" t="s">
        <v>75</v>
      </c>
      <c r="C36" t="s">
        <v>76</v>
      </c>
      <c r="D36" s="1">
        <v>15572</v>
      </c>
      <c r="E36" t="s">
        <v>397</v>
      </c>
      <c r="F36" t="s">
        <v>873</v>
      </c>
    </row>
    <row r="37" spans="1:6" x14ac:dyDescent="0.25">
      <c r="A37">
        <v>135</v>
      </c>
      <c r="B37" t="s">
        <v>82</v>
      </c>
      <c r="C37" t="s">
        <v>73</v>
      </c>
      <c r="D37" s="1">
        <v>18264</v>
      </c>
      <c r="E37" t="s">
        <v>398</v>
      </c>
      <c r="F37" t="s">
        <v>869</v>
      </c>
    </row>
    <row r="38" spans="1:6" x14ac:dyDescent="0.25">
      <c r="A38">
        <v>136</v>
      </c>
      <c r="B38" t="s">
        <v>120</v>
      </c>
      <c r="C38" t="s">
        <v>73</v>
      </c>
      <c r="D38" s="1">
        <v>39228</v>
      </c>
      <c r="E38" t="s">
        <v>399</v>
      </c>
      <c r="F38" t="s">
        <v>869</v>
      </c>
    </row>
    <row r="39" spans="1:6" x14ac:dyDescent="0.25">
      <c r="A39">
        <v>137</v>
      </c>
      <c r="B39" t="s">
        <v>122</v>
      </c>
      <c r="C39" t="s">
        <v>73</v>
      </c>
      <c r="D39" s="1">
        <v>29529</v>
      </c>
      <c r="E39" t="s">
        <v>400</v>
      </c>
      <c r="F39" t="s">
        <v>866</v>
      </c>
    </row>
    <row r="40" spans="1:6" x14ac:dyDescent="0.25">
      <c r="A40">
        <v>138</v>
      </c>
      <c r="B40" t="s">
        <v>104</v>
      </c>
      <c r="C40" t="s">
        <v>76</v>
      </c>
      <c r="D40" s="1">
        <v>15513</v>
      </c>
      <c r="E40" t="s">
        <v>401</v>
      </c>
      <c r="F40" t="s">
        <v>867</v>
      </c>
    </row>
    <row r="41" spans="1:6" x14ac:dyDescent="0.25">
      <c r="A41">
        <v>139</v>
      </c>
      <c r="B41" t="s">
        <v>80</v>
      </c>
      <c r="C41" t="s">
        <v>73</v>
      </c>
      <c r="D41" s="1">
        <v>39953</v>
      </c>
      <c r="E41" t="s">
        <v>402</v>
      </c>
      <c r="F41" t="s">
        <v>871</v>
      </c>
    </row>
    <row r="42" spans="1:6" x14ac:dyDescent="0.25">
      <c r="A42">
        <v>140</v>
      </c>
      <c r="B42" t="s">
        <v>92</v>
      </c>
      <c r="C42" t="s">
        <v>76</v>
      </c>
      <c r="D42" s="1">
        <v>24015</v>
      </c>
      <c r="E42" t="s">
        <v>403</v>
      </c>
      <c r="F42" t="s">
        <v>871</v>
      </c>
    </row>
    <row r="43" spans="1:6" x14ac:dyDescent="0.25">
      <c r="A43">
        <v>141</v>
      </c>
      <c r="B43" t="s">
        <v>104</v>
      </c>
      <c r="C43" t="s">
        <v>76</v>
      </c>
      <c r="D43" s="1">
        <v>43309</v>
      </c>
      <c r="E43" t="s">
        <v>404</v>
      </c>
      <c r="F43" t="s">
        <v>873</v>
      </c>
    </row>
    <row r="44" spans="1:6" x14ac:dyDescent="0.25">
      <c r="A44">
        <v>142</v>
      </c>
      <c r="B44" t="s">
        <v>127</v>
      </c>
      <c r="C44" t="s">
        <v>76</v>
      </c>
      <c r="D44" s="1">
        <v>24376</v>
      </c>
      <c r="E44" t="s">
        <v>405</v>
      </c>
      <c r="F44" t="s">
        <v>869</v>
      </c>
    </row>
    <row r="45" spans="1:6" x14ac:dyDescent="0.25">
      <c r="A45">
        <v>143</v>
      </c>
      <c r="B45" t="s">
        <v>89</v>
      </c>
      <c r="C45" t="s">
        <v>76</v>
      </c>
      <c r="D45" s="1">
        <v>36336</v>
      </c>
      <c r="E45" t="s">
        <v>406</v>
      </c>
      <c r="F45" t="s">
        <v>866</v>
      </c>
    </row>
    <row r="46" spans="1:6" x14ac:dyDescent="0.25">
      <c r="A46">
        <v>144</v>
      </c>
      <c r="B46" t="s">
        <v>80</v>
      </c>
      <c r="C46" t="s">
        <v>73</v>
      </c>
      <c r="D46" s="1">
        <v>12655</v>
      </c>
      <c r="E46" t="s">
        <v>407</v>
      </c>
      <c r="F46" t="s">
        <v>869</v>
      </c>
    </row>
    <row r="47" spans="1:6" x14ac:dyDescent="0.25">
      <c r="A47">
        <v>145</v>
      </c>
      <c r="B47" t="s">
        <v>86</v>
      </c>
      <c r="C47" t="s">
        <v>76</v>
      </c>
      <c r="D47" s="1">
        <v>16844</v>
      </c>
      <c r="E47" t="s">
        <v>408</v>
      </c>
      <c r="F47" t="s">
        <v>873</v>
      </c>
    </row>
    <row r="48" spans="1:6" x14ac:dyDescent="0.25">
      <c r="A48">
        <v>146</v>
      </c>
      <c r="B48" t="s">
        <v>127</v>
      </c>
      <c r="C48" t="s">
        <v>76</v>
      </c>
      <c r="D48" s="1">
        <v>41409</v>
      </c>
      <c r="E48" t="s">
        <v>409</v>
      </c>
      <c r="F48" t="s">
        <v>870</v>
      </c>
    </row>
    <row r="49" spans="1:6" x14ac:dyDescent="0.25">
      <c r="A49">
        <v>147</v>
      </c>
      <c r="B49" t="s">
        <v>86</v>
      </c>
      <c r="C49" t="s">
        <v>76</v>
      </c>
      <c r="D49" s="1">
        <v>29269</v>
      </c>
      <c r="E49" t="s">
        <v>410</v>
      </c>
      <c r="F49" t="s">
        <v>868</v>
      </c>
    </row>
    <row r="50" spans="1:6" x14ac:dyDescent="0.25">
      <c r="A50">
        <v>148</v>
      </c>
      <c r="B50" t="s">
        <v>72</v>
      </c>
      <c r="C50" t="s">
        <v>73</v>
      </c>
      <c r="D50" s="1">
        <v>25837</v>
      </c>
      <c r="E50" t="s">
        <v>411</v>
      </c>
      <c r="F50" t="s">
        <v>868</v>
      </c>
    </row>
    <row r="51" spans="1:6" x14ac:dyDescent="0.25">
      <c r="A51">
        <v>149</v>
      </c>
      <c r="B51" t="s">
        <v>89</v>
      </c>
      <c r="C51" t="s">
        <v>76</v>
      </c>
      <c r="D51" s="1">
        <v>34942</v>
      </c>
      <c r="E51" t="s">
        <v>412</v>
      </c>
      <c r="F51" t="s">
        <v>872</v>
      </c>
    </row>
    <row r="52" spans="1:6" x14ac:dyDescent="0.25">
      <c r="A52">
        <v>150</v>
      </c>
      <c r="B52" t="s">
        <v>92</v>
      </c>
      <c r="C52" t="s">
        <v>76</v>
      </c>
      <c r="D52" s="1">
        <v>20886</v>
      </c>
      <c r="E52" t="s">
        <v>413</v>
      </c>
      <c r="F52" t="s">
        <v>866</v>
      </c>
    </row>
    <row r="53" spans="1:6" x14ac:dyDescent="0.25">
      <c r="A53">
        <v>151</v>
      </c>
      <c r="B53" t="s">
        <v>127</v>
      </c>
      <c r="C53" t="s">
        <v>76</v>
      </c>
      <c r="D53" s="1">
        <v>35219</v>
      </c>
      <c r="E53" t="s">
        <v>414</v>
      </c>
      <c r="F53" t="s">
        <v>869</v>
      </c>
    </row>
    <row r="54" spans="1:6" x14ac:dyDescent="0.25">
      <c r="A54">
        <v>152</v>
      </c>
      <c r="B54" t="s">
        <v>120</v>
      </c>
      <c r="C54" t="s">
        <v>73</v>
      </c>
      <c r="D54" s="1">
        <v>10501</v>
      </c>
      <c r="E54" t="s">
        <v>415</v>
      </c>
      <c r="F54" t="s">
        <v>873</v>
      </c>
    </row>
    <row r="55" spans="1:6" x14ac:dyDescent="0.25">
      <c r="A55">
        <v>153</v>
      </c>
      <c r="B55" t="s">
        <v>104</v>
      </c>
      <c r="C55" t="s">
        <v>76</v>
      </c>
      <c r="D55" s="1">
        <v>32381</v>
      </c>
      <c r="E55" t="s">
        <v>416</v>
      </c>
      <c r="F55" t="s">
        <v>873</v>
      </c>
    </row>
    <row r="56" spans="1:6" x14ac:dyDescent="0.25">
      <c r="A56">
        <v>154</v>
      </c>
      <c r="B56" t="s">
        <v>99</v>
      </c>
      <c r="C56" t="s">
        <v>76</v>
      </c>
      <c r="D56" s="1">
        <v>12252</v>
      </c>
      <c r="E56" t="s">
        <v>417</v>
      </c>
      <c r="F56" t="s">
        <v>870</v>
      </c>
    </row>
    <row r="57" spans="1:6" x14ac:dyDescent="0.25">
      <c r="A57">
        <v>155</v>
      </c>
      <c r="B57" t="s">
        <v>82</v>
      </c>
      <c r="C57" t="s">
        <v>73</v>
      </c>
      <c r="D57" s="1">
        <v>23609</v>
      </c>
      <c r="E57" t="s">
        <v>418</v>
      </c>
      <c r="F57" t="s">
        <v>867</v>
      </c>
    </row>
    <row r="58" spans="1:6" x14ac:dyDescent="0.25">
      <c r="A58">
        <v>156</v>
      </c>
      <c r="B58" t="s">
        <v>89</v>
      </c>
      <c r="C58" t="s">
        <v>76</v>
      </c>
      <c r="D58" s="1">
        <v>38680</v>
      </c>
      <c r="E58" t="s">
        <v>419</v>
      </c>
      <c r="F58" t="s">
        <v>869</v>
      </c>
    </row>
    <row r="59" spans="1:6" x14ac:dyDescent="0.25">
      <c r="A59">
        <v>157</v>
      </c>
      <c r="B59" t="s">
        <v>82</v>
      </c>
      <c r="C59" t="s">
        <v>73</v>
      </c>
      <c r="D59" s="1">
        <v>35985</v>
      </c>
      <c r="E59" t="s">
        <v>420</v>
      </c>
      <c r="F59" t="s">
        <v>870</v>
      </c>
    </row>
    <row r="60" spans="1:6" x14ac:dyDescent="0.25">
      <c r="A60">
        <v>158</v>
      </c>
      <c r="B60" t="s">
        <v>86</v>
      </c>
      <c r="C60" t="s">
        <v>76</v>
      </c>
      <c r="D60" s="1">
        <v>22453</v>
      </c>
      <c r="E60" t="s">
        <v>421</v>
      </c>
      <c r="F60" t="s">
        <v>868</v>
      </c>
    </row>
    <row r="61" spans="1:6" x14ac:dyDescent="0.25">
      <c r="A61">
        <v>159</v>
      </c>
      <c r="B61" t="s">
        <v>72</v>
      </c>
      <c r="C61" t="s">
        <v>73</v>
      </c>
      <c r="D61" s="1">
        <v>40480</v>
      </c>
      <c r="E61" t="s">
        <v>422</v>
      </c>
      <c r="F61" t="s">
        <v>869</v>
      </c>
    </row>
    <row r="62" spans="1:6" x14ac:dyDescent="0.25">
      <c r="A62">
        <v>160</v>
      </c>
      <c r="B62" t="s">
        <v>92</v>
      </c>
      <c r="C62" t="s">
        <v>76</v>
      </c>
      <c r="D62" s="1">
        <v>22004</v>
      </c>
      <c r="E62" t="s">
        <v>423</v>
      </c>
      <c r="F62" t="s">
        <v>870</v>
      </c>
    </row>
    <row r="63" spans="1:6" x14ac:dyDescent="0.25">
      <c r="A63">
        <v>161</v>
      </c>
      <c r="B63" t="s">
        <v>127</v>
      </c>
      <c r="C63" t="s">
        <v>76</v>
      </c>
      <c r="D63" s="1">
        <v>25213</v>
      </c>
      <c r="E63" t="s">
        <v>424</v>
      </c>
      <c r="F63" t="s">
        <v>866</v>
      </c>
    </row>
    <row r="64" spans="1:6" x14ac:dyDescent="0.25">
      <c r="A64">
        <v>162</v>
      </c>
      <c r="B64" t="s">
        <v>125</v>
      </c>
      <c r="C64" t="s">
        <v>76</v>
      </c>
      <c r="D64" s="1">
        <v>44040</v>
      </c>
      <c r="E64" t="s">
        <v>425</v>
      </c>
      <c r="F64" t="s">
        <v>867</v>
      </c>
    </row>
    <row r="65" spans="1:6" x14ac:dyDescent="0.25">
      <c r="A65">
        <v>163</v>
      </c>
      <c r="B65" t="s">
        <v>89</v>
      </c>
      <c r="C65" t="s">
        <v>76</v>
      </c>
      <c r="D65" s="1">
        <v>11369</v>
      </c>
      <c r="E65" t="s">
        <v>426</v>
      </c>
      <c r="F65" t="s">
        <v>866</v>
      </c>
    </row>
    <row r="66" spans="1:6" x14ac:dyDescent="0.25">
      <c r="A66">
        <v>164</v>
      </c>
      <c r="B66" t="s">
        <v>99</v>
      </c>
      <c r="C66" t="s">
        <v>76</v>
      </c>
      <c r="D66" s="1">
        <v>45607</v>
      </c>
      <c r="E66" t="s">
        <v>427</v>
      </c>
      <c r="F66" t="s">
        <v>870</v>
      </c>
    </row>
    <row r="67" spans="1:6" x14ac:dyDescent="0.25">
      <c r="A67">
        <v>165</v>
      </c>
      <c r="B67" t="s">
        <v>104</v>
      </c>
      <c r="C67" t="s">
        <v>76</v>
      </c>
      <c r="D67" s="1">
        <v>10298</v>
      </c>
      <c r="E67" t="s">
        <v>428</v>
      </c>
      <c r="F67" t="s">
        <v>873</v>
      </c>
    </row>
    <row r="68" spans="1:6" x14ac:dyDescent="0.25">
      <c r="A68">
        <v>166</v>
      </c>
      <c r="B68" t="s">
        <v>120</v>
      </c>
      <c r="C68" t="s">
        <v>73</v>
      </c>
      <c r="D68" s="1">
        <v>16375</v>
      </c>
      <c r="E68" t="s">
        <v>429</v>
      </c>
      <c r="F68" t="s">
        <v>869</v>
      </c>
    </row>
    <row r="69" spans="1:6" x14ac:dyDescent="0.25">
      <c r="A69">
        <v>167</v>
      </c>
      <c r="B69" t="s">
        <v>82</v>
      </c>
      <c r="C69" t="s">
        <v>73</v>
      </c>
      <c r="D69" s="1">
        <v>15725</v>
      </c>
      <c r="E69" t="s">
        <v>430</v>
      </c>
      <c r="F69" t="s">
        <v>870</v>
      </c>
    </row>
    <row r="70" spans="1:6" x14ac:dyDescent="0.25">
      <c r="A70">
        <v>168</v>
      </c>
      <c r="B70" t="s">
        <v>82</v>
      </c>
      <c r="C70" t="s">
        <v>73</v>
      </c>
      <c r="D70" s="1">
        <v>12513</v>
      </c>
      <c r="E70" t="s">
        <v>431</v>
      </c>
      <c r="F70" t="s">
        <v>870</v>
      </c>
    </row>
    <row r="71" spans="1:6" x14ac:dyDescent="0.25">
      <c r="A71">
        <v>169</v>
      </c>
      <c r="B71" t="s">
        <v>104</v>
      </c>
      <c r="C71" t="s">
        <v>76</v>
      </c>
      <c r="D71" s="1">
        <v>41576</v>
      </c>
      <c r="E71" t="s">
        <v>432</v>
      </c>
      <c r="F71" t="s">
        <v>872</v>
      </c>
    </row>
    <row r="72" spans="1:6" x14ac:dyDescent="0.25">
      <c r="A72">
        <v>170</v>
      </c>
      <c r="B72" t="s">
        <v>84</v>
      </c>
      <c r="C72" t="s">
        <v>73</v>
      </c>
      <c r="D72" s="1">
        <v>18567</v>
      </c>
      <c r="E72" t="s">
        <v>433</v>
      </c>
      <c r="F72" t="s">
        <v>872</v>
      </c>
    </row>
    <row r="73" spans="1:6" x14ac:dyDescent="0.25">
      <c r="A73">
        <v>171</v>
      </c>
      <c r="B73" t="s">
        <v>86</v>
      </c>
      <c r="C73" t="s">
        <v>76</v>
      </c>
      <c r="D73" s="1">
        <v>22765</v>
      </c>
      <c r="E73" t="s">
        <v>434</v>
      </c>
      <c r="F73" t="s">
        <v>871</v>
      </c>
    </row>
    <row r="74" spans="1:6" x14ac:dyDescent="0.25">
      <c r="A74">
        <v>172</v>
      </c>
      <c r="B74" t="s">
        <v>82</v>
      </c>
      <c r="C74" t="s">
        <v>73</v>
      </c>
      <c r="D74" s="1">
        <v>43254</v>
      </c>
      <c r="E74" t="s">
        <v>435</v>
      </c>
      <c r="F74" t="s">
        <v>872</v>
      </c>
    </row>
    <row r="75" spans="1:6" x14ac:dyDescent="0.25">
      <c r="A75">
        <v>173</v>
      </c>
      <c r="B75" t="s">
        <v>75</v>
      </c>
      <c r="C75" t="s">
        <v>76</v>
      </c>
      <c r="D75" s="1">
        <v>30267</v>
      </c>
      <c r="E75" t="s">
        <v>436</v>
      </c>
      <c r="F75" t="s">
        <v>867</v>
      </c>
    </row>
    <row r="76" spans="1:6" x14ac:dyDescent="0.25">
      <c r="A76">
        <v>174</v>
      </c>
      <c r="B76" t="s">
        <v>94</v>
      </c>
      <c r="C76" t="s">
        <v>73</v>
      </c>
      <c r="D76" s="1">
        <v>17073</v>
      </c>
      <c r="E76" t="s">
        <v>437</v>
      </c>
      <c r="F76" t="s">
        <v>869</v>
      </c>
    </row>
    <row r="77" spans="1:6" x14ac:dyDescent="0.25">
      <c r="A77">
        <v>175</v>
      </c>
      <c r="B77" t="s">
        <v>75</v>
      </c>
      <c r="C77" t="s">
        <v>76</v>
      </c>
      <c r="D77" s="1">
        <v>43878</v>
      </c>
      <c r="E77" t="s">
        <v>438</v>
      </c>
      <c r="F77" t="s">
        <v>868</v>
      </c>
    </row>
    <row r="78" spans="1:6" x14ac:dyDescent="0.25">
      <c r="A78">
        <v>176</v>
      </c>
      <c r="B78" t="s">
        <v>75</v>
      </c>
      <c r="C78" t="s">
        <v>76</v>
      </c>
      <c r="D78" s="1">
        <v>15107</v>
      </c>
      <c r="E78" t="s">
        <v>439</v>
      </c>
      <c r="F78" t="s">
        <v>867</v>
      </c>
    </row>
    <row r="79" spans="1:6" x14ac:dyDescent="0.25">
      <c r="A79">
        <v>177</v>
      </c>
      <c r="B79" t="s">
        <v>120</v>
      </c>
      <c r="C79" t="s">
        <v>73</v>
      </c>
      <c r="D79" s="1">
        <v>13702</v>
      </c>
      <c r="E79" t="s">
        <v>440</v>
      </c>
      <c r="F79" t="s">
        <v>870</v>
      </c>
    </row>
    <row r="80" spans="1:6" x14ac:dyDescent="0.25">
      <c r="A80">
        <v>178</v>
      </c>
      <c r="B80" t="s">
        <v>72</v>
      </c>
      <c r="C80" t="s">
        <v>73</v>
      </c>
      <c r="D80" s="1">
        <v>29609</v>
      </c>
      <c r="E80" t="s">
        <v>441</v>
      </c>
      <c r="F80" t="s">
        <v>867</v>
      </c>
    </row>
    <row r="81" spans="1:6" x14ac:dyDescent="0.25">
      <c r="A81">
        <v>179</v>
      </c>
      <c r="B81" t="s">
        <v>99</v>
      </c>
      <c r="C81" t="s">
        <v>76</v>
      </c>
      <c r="D81" s="1">
        <v>22643</v>
      </c>
      <c r="E81" t="s">
        <v>442</v>
      </c>
      <c r="F81" t="s">
        <v>868</v>
      </c>
    </row>
    <row r="82" spans="1:6" x14ac:dyDescent="0.25">
      <c r="A82">
        <v>180</v>
      </c>
      <c r="B82" t="s">
        <v>84</v>
      </c>
      <c r="C82" t="s">
        <v>73</v>
      </c>
      <c r="D82" s="1">
        <v>17618</v>
      </c>
      <c r="E82" t="s">
        <v>443</v>
      </c>
      <c r="F82" t="s">
        <v>871</v>
      </c>
    </row>
    <row r="83" spans="1:6" x14ac:dyDescent="0.25">
      <c r="A83">
        <v>181</v>
      </c>
      <c r="B83" t="s">
        <v>80</v>
      </c>
      <c r="C83" t="s">
        <v>73</v>
      </c>
      <c r="D83" s="1">
        <v>43040</v>
      </c>
      <c r="E83" t="s">
        <v>444</v>
      </c>
      <c r="F83" t="s">
        <v>872</v>
      </c>
    </row>
    <row r="84" spans="1:6" x14ac:dyDescent="0.25">
      <c r="A84">
        <v>182</v>
      </c>
      <c r="B84" t="s">
        <v>72</v>
      </c>
      <c r="C84" t="s">
        <v>73</v>
      </c>
      <c r="D84" s="1">
        <v>39430</v>
      </c>
      <c r="E84" t="s">
        <v>445</v>
      </c>
      <c r="F84" t="s">
        <v>868</v>
      </c>
    </row>
    <row r="85" spans="1:6" x14ac:dyDescent="0.25">
      <c r="A85">
        <v>183</v>
      </c>
      <c r="B85" t="s">
        <v>78</v>
      </c>
      <c r="C85" t="s">
        <v>73</v>
      </c>
      <c r="D85" s="1">
        <v>11842</v>
      </c>
      <c r="E85" t="s">
        <v>446</v>
      </c>
      <c r="F85" t="s">
        <v>867</v>
      </c>
    </row>
    <row r="86" spans="1:6" x14ac:dyDescent="0.25">
      <c r="A86">
        <v>184</v>
      </c>
      <c r="B86" t="s">
        <v>72</v>
      </c>
      <c r="C86" t="s">
        <v>73</v>
      </c>
      <c r="D86" s="1">
        <v>28914</v>
      </c>
      <c r="E86" t="s">
        <v>447</v>
      </c>
      <c r="F86" t="s">
        <v>868</v>
      </c>
    </row>
    <row r="87" spans="1:6" x14ac:dyDescent="0.25">
      <c r="A87">
        <v>185</v>
      </c>
      <c r="B87" t="s">
        <v>86</v>
      </c>
      <c r="C87" t="s">
        <v>76</v>
      </c>
      <c r="D87" s="1">
        <v>44400</v>
      </c>
      <c r="E87" t="s">
        <v>448</v>
      </c>
      <c r="F87" t="s">
        <v>869</v>
      </c>
    </row>
    <row r="88" spans="1:6" x14ac:dyDescent="0.25">
      <c r="A88">
        <v>186</v>
      </c>
      <c r="B88" t="s">
        <v>94</v>
      </c>
      <c r="C88" t="s">
        <v>73</v>
      </c>
      <c r="D88" s="1">
        <v>45017</v>
      </c>
      <c r="E88" t="s">
        <v>449</v>
      </c>
      <c r="F88" t="s">
        <v>868</v>
      </c>
    </row>
    <row r="89" spans="1:6" x14ac:dyDescent="0.25">
      <c r="A89">
        <v>187</v>
      </c>
      <c r="B89" t="s">
        <v>104</v>
      </c>
      <c r="C89" t="s">
        <v>76</v>
      </c>
      <c r="D89" s="1">
        <v>17224</v>
      </c>
      <c r="E89" t="s">
        <v>450</v>
      </c>
      <c r="F89" t="s">
        <v>871</v>
      </c>
    </row>
    <row r="90" spans="1:6" x14ac:dyDescent="0.25">
      <c r="A90">
        <v>188</v>
      </c>
      <c r="B90" t="s">
        <v>122</v>
      </c>
      <c r="C90" t="s">
        <v>73</v>
      </c>
      <c r="D90" s="1">
        <v>25975</v>
      </c>
      <c r="E90" t="s">
        <v>451</v>
      </c>
      <c r="F90" t="s">
        <v>871</v>
      </c>
    </row>
    <row r="91" spans="1:6" x14ac:dyDescent="0.25">
      <c r="A91">
        <v>189</v>
      </c>
      <c r="B91" t="s">
        <v>122</v>
      </c>
      <c r="C91" t="s">
        <v>73</v>
      </c>
      <c r="D91" s="1">
        <v>31520</v>
      </c>
      <c r="E91" t="s">
        <v>452</v>
      </c>
      <c r="F91" t="s">
        <v>866</v>
      </c>
    </row>
    <row r="92" spans="1:6" x14ac:dyDescent="0.25">
      <c r="A92">
        <v>190</v>
      </c>
      <c r="B92" t="s">
        <v>72</v>
      </c>
      <c r="C92" t="s">
        <v>73</v>
      </c>
      <c r="D92" s="1">
        <v>30252</v>
      </c>
      <c r="E92" t="s">
        <v>453</v>
      </c>
      <c r="F92" t="s">
        <v>867</v>
      </c>
    </row>
    <row r="93" spans="1:6" x14ac:dyDescent="0.25">
      <c r="A93">
        <v>191</v>
      </c>
      <c r="B93" t="s">
        <v>104</v>
      </c>
      <c r="C93" t="s">
        <v>76</v>
      </c>
      <c r="D93" s="1">
        <v>16496</v>
      </c>
      <c r="E93" t="s">
        <v>454</v>
      </c>
      <c r="F93" t="s">
        <v>870</v>
      </c>
    </row>
    <row r="94" spans="1:6" x14ac:dyDescent="0.25">
      <c r="A94">
        <v>192</v>
      </c>
      <c r="B94" t="s">
        <v>72</v>
      </c>
      <c r="C94" t="s">
        <v>73</v>
      </c>
      <c r="D94" s="1">
        <v>28987</v>
      </c>
      <c r="E94" t="s">
        <v>455</v>
      </c>
      <c r="F94" t="s">
        <v>868</v>
      </c>
    </row>
    <row r="95" spans="1:6" x14ac:dyDescent="0.25">
      <c r="A95">
        <v>193</v>
      </c>
      <c r="B95" t="s">
        <v>75</v>
      </c>
      <c r="C95" t="s">
        <v>76</v>
      </c>
      <c r="D95" s="1">
        <v>17632</v>
      </c>
      <c r="E95" t="s">
        <v>456</v>
      </c>
      <c r="F95" t="s">
        <v>866</v>
      </c>
    </row>
    <row r="96" spans="1:6" x14ac:dyDescent="0.25">
      <c r="A96">
        <v>194</v>
      </c>
      <c r="B96" t="s">
        <v>72</v>
      </c>
      <c r="C96" t="s">
        <v>73</v>
      </c>
      <c r="D96" s="1">
        <v>32507</v>
      </c>
      <c r="E96" t="s">
        <v>457</v>
      </c>
      <c r="F96" t="s">
        <v>868</v>
      </c>
    </row>
    <row r="97" spans="1:6" x14ac:dyDescent="0.25">
      <c r="A97">
        <v>195</v>
      </c>
      <c r="B97" t="s">
        <v>99</v>
      </c>
      <c r="C97" t="s">
        <v>76</v>
      </c>
      <c r="D97" s="1">
        <v>17158</v>
      </c>
      <c r="E97" t="s">
        <v>458</v>
      </c>
      <c r="F97" t="s">
        <v>866</v>
      </c>
    </row>
    <row r="98" spans="1:6" x14ac:dyDescent="0.25">
      <c r="A98">
        <v>196</v>
      </c>
      <c r="B98" t="s">
        <v>89</v>
      </c>
      <c r="C98" t="s">
        <v>76</v>
      </c>
      <c r="D98" s="1">
        <v>18628</v>
      </c>
      <c r="E98" t="s">
        <v>459</v>
      </c>
      <c r="F98" t="s">
        <v>869</v>
      </c>
    </row>
    <row r="99" spans="1:6" x14ac:dyDescent="0.25">
      <c r="A99">
        <v>197</v>
      </c>
      <c r="B99" t="s">
        <v>92</v>
      </c>
      <c r="C99" t="s">
        <v>76</v>
      </c>
      <c r="D99" s="1">
        <v>22848</v>
      </c>
      <c r="E99" t="s">
        <v>460</v>
      </c>
      <c r="F99" t="s">
        <v>871</v>
      </c>
    </row>
    <row r="100" spans="1:6" x14ac:dyDescent="0.25">
      <c r="A100">
        <v>198</v>
      </c>
      <c r="B100" t="s">
        <v>89</v>
      </c>
      <c r="C100" t="s">
        <v>76</v>
      </c>
      <c r="D100" s="1">
        <v>32815</v>
      </c>
      <c r="E100" t="s">
        <v>461</v>
      </c>
      <c r="F100" t="s">
        <v>871</v>
      </c>
    </row>
    <row r="101" spans="1:6" x14ac:dyDescent="0.25">
      <c r="A101">
        <v>199</v>
      </c>
      <c r="B101" t="s">
        <v>94</v>
      </c>
      <c r="C101" t="s">
        <v>73</v>
      </c>
      <c r="D101" s="1">
        <v>30929</v>
      </c>
      <c r="E101" t="s">
        <v>462</v>
      </c>
      <c r="F101" t="s">
        <v>868</v>
      </c>
    </row>
    <row r="102" spans="1:6" x14ac:dyDescent="0.25">
      <c r="A102">
        <v>200</v>
      </c>
      <c r="B102" t="s">
        <v>94</v>
      </c>
      <c r="C102" t="s">
        <v>73</v>
      </c>
      <c r="D102" s="1">
        <v>36112</v>
      </c>
      <c r="E102" t="s">
        <v>463</v>
      </c>
      <c r="F102" t="s">
        <v>866</v>
      </c>
    </row>
    <row r="103" spans="1:6" x14ac:dyDescent="0.25">
      <c r="A103">
        <v>201</v>
      </c>
      <c r="B103" t="s">
        <v>78</v>
      </c>
      <c r="C103" t="s">
        <v>73</v>
      </c>
      <c r="D103" s="1">
        <v>17072</v>
      </c>
      <c r="E103" t="s">
        <v>464</v>
      </c>
      <c r="F103" t="s">
        <v>867</v>
      </c>
    </row>
    <row r="104" spans="1:6" x14ac:dyDescent="0.25">
      <c r="A104">
        <v>202</v>
      </c>
      <c r="B104" t="s">
        <v>84</v>
      </c>
      <c r="C104" t="s">
        <v>73</v>
      </c>
      <c r="D104" s="1">
        <v>33476</v>
      </c>
      <c r="E104" t="s">
        <v>465</v>
      </c>
      <c r="F104" t="s">
        <v>873</v>
      </c>
    </row>
    <row r="105" spans="1:6" x14ac:dyDescent="0.25">
      <c r="A105">
        <v>203</v>
      </c>
      <c r="B105" t="s">
        <v>104</v>
      </c>
      <c r="C105" t="s">
        <v>76</v>
      </c>
      <c r="D105" s="1">
        <v>29286</v>
      </c>
      <c r="E105" t="s">
        <v>466</v>
      </c>
      <c r="F105" t="s">
        <v>868</v>
      </c>
    </row>
    <row r="106" spans="1:6" x14ac:dyDescent="0.25">
      <c r="A106">
        <v>204</v>
      </c>
      <c r="B106" t="s">
        <v>104</v>
      </c>
      <c r="C106" t="s">
        <v>76</v>
      </c>
      <c r="D106" s="1">
        <v>16664</v>
      </c>
      <c r="E106" t="s">
        <v>467</v>
      </c>
      <c r="F106" t="s">
        <v>867</v>
      </c>
    </row>
    <row r="107" spans="1:6" x14ac:dyDescent="0.25">
      <c r="A107">
        <v>205</v>
      </c>
      <c r="B107" t="s">
        <v>84</v>
      </c>
      <c r="C107" t="s">
        <v>73</v>
      </c>
      <c r="D107" s="1">
        <v>31420</v>
      </c>
      <c r="E107" t="s">
        <v>468</v>
      </c>
      <c r="F107" t="s">
        <v>873</v>
      </c>
    </row>
    <row r="108" spans="1:6" x14ac:dyDescent="0.25">
      <c r="A108">
        <v>206</v>
      </c>
      <c r="B108" t="s">
        <v>104</v>
      </c>
      <c r="C108" t="s">
        <v>76</v>
      </c>
      <c r="D108" s="1">
        <v>24383</v>
      </c>
      <c r="E108" t="s">
        <v>469</v>
      </c>
      <c r="F108" t="s">
        <v>870</v>
      </c>
    </row>
    <row r="109" spans="1:6" x14ac:dyDescent="0.25">
      <c r="A109">
        <v>207</v>
      </c>
      <c r="B109" t="s">
        <v>82</v>
      </c>
      <c r="C109" t="s">
        <v>73</v>
      </c>
      <c r="D109" s="1">
        <v>42771</v>
      </c>
      <c r="E109" t="s">
        <v>470</v>
      </c>
      <c r="F109" t="s">
        <v>869</v>
      </c>
    </row>
    <row r="110" spans="1:6" x14ac:dyDescent="0.25">
      <c r="A110">
        <v>208</v>
      </c>
      <c r="B110" t="s">
        <v>99</v>
      </c>
      <c r="C110" t="s">
        <v>76</v>
      </c>
      <c r="D110" s="1">
        <v>10278</v>
      </c>
      <c r="E110" t="s">
        <v>471</v>
      </c>
      <c r="F110" t="s">
        <v>870</v>
      </c>
    </row>
    <row r="111" spans="1:6" x14ac:dyDescent="0.25">
      <c r="A111">
        <v>209</v>
      </c>
      <c r="B111" t="s">
        <v>120</v>
      </c>
      <c r="C111" t="s">
        <v>73</v>
      </c>
      <c r="D111" s="1">
        <v>19145</v>
      </c>
      <c r="E111" t="s">
        <v>472</v>
      </c>
      <c r="F111" t="s">
        <v>873</v>
      </c>
    </row>
    <row r="112" spans="1:6" x14ac:dyDescent="0.25">
      <c r="A112">
        <v>210</v>
      </c>
      <c r="B112" t="s">
        <v>104</v>
      </c>
      <c r="C112" t="s">
        <v>76</v>
      </c>
      <c r="D112" s="1">
        <v>43624</v>
      </c>
      <c r="E112" t="s">
        <v>473</v>
      </c>
      <c r="F112" t="s">
        <v>871</v>
      </c>
    </row>
    <row r="113" spans="1:6" x14ac:dyDescent="0.25">
      <c r="A113">
        <v>211</v>
      </c>
      <c r="B113" t="s">
        <v>89</v>
      </c>
      <c r="C113" t="s">
        <v>76</v>
      </c>
      <c r="D113" s="1">
        <v>34147</v>
      </c>
      <c r="E113" t="s">
        <v>474</v>
      </c>
      <c r="F113" t="s">
        <v>872</v>
      </c>
    </row>
    <row r="114" spans="1:6" x14ac:dyDescent="0.25">
      <c r="A114">
        <v>212</v>
      </c>
      <c r="B114" t="s">
        <v>80</v>
      </c>
      <c r="C114" t="s">
        <v>73</v>
      </c>
      <c r="D114" s="1">
        <v>19370</v>
      </c>
      <c r="E114" t="s">
        <v>475</v>
      </c>
      <c r="F114" t="s">
        <v>867</v>
      </c>
    </row>
    <row r="115" spans="1:6" x14ac:dyDescent="0.25">
      <c r="A115">
        <v>213</v>
      </c>
      <c r="B115" t="s">
        <v>78</v>
      </c>
      <c r="C115" t="s">
        <v>73</v>
      </c>
      <c r="D115" s="1">
        <v>16004</v>
      </c>
      <c r="E115" t="s">
        <v>476</v>
      </c>
      <c r="F115" t="s">
        <v>872</v>
      </c>
    </row>
    <row r="116" spans="1:6" x14ac:dyDescent="0.25">
      <c r="A116">
        <v>214</v>
      </c>
      <c r="B116" t="s">
        <v>75</v>
      </c>
      <c r="C116" t="s">
        <v>76</v>
      </c>
      <c r="D116" s="1">
        <v>15589</v>
      </c>
      <c r="E116" t="s">
        <v>477</v>
      </c>
      <c r="F116" t="s">
        <v>868</v>
      </c>
    </row>
    <row r="117" spans="1:6" x14ac:dyDescent="0.25">
      <c r="A117">
        <v>215</v>
      </c>
      <c r="B117" t="s">
        <v>127</v>
      </c>
      <c r="C117" t="s">
        <v>76</v>
      </c>
      <c r="D117" s="1">
        <v>24205</v>
      </c>
      <c r="E117" t="s">
        <v>478</v>
      </c>
      <c r="F117" t="s">
        <v>871</v>
      </c>
    </row>
    <row r="118" spans="1:6" x14ac:dyDescent="0.25">
      <c r="A118">
        <v>216</v>
      </c>
      <c r="B118" t="s">
        <v>104</v>
      </c>
      <c r="C118" t="s">
        <v>76</v>
      </c>
      <c r="D118" s="1">
        <v>29553</v>
      </c>
      <c r="E118" t="s">
        <v>479</v>
      </c>
      <c r="F118" t="s">
        <v>868</v>
      </c>
    </row>
    <row r="119" spans="1:6" x14ac:dyDescent="0.25">
      <c r="A119">
        <v>217</v>
      </c>
      <c r="B119" t="s">
        <v>84</v>
      </c>
      <c r="C119" t="s">
        <v>73</v>
      </c>
      <c r="D119" s="1">
        <v>40783</v>
      </c>
      <c r="E119" t="s">
        <v>480</v>
      </c>
      <c r="F119" t="s">
        <v>873</v>
      </c>
    </row>
    <row r="120" spans="1:6" x14ac:dyDescent="0.25">
      <c r="A120">
        <v>218</v>
      </c>
      <c r="B120" t="s">
        <v>78</v>
      </c>
      <c r="C120" t="s">
        <v>73</v>
      </c>
      <c r="D120" s="1">
        <v>39263</v>
      </c>
      <c r="E120" t="s">
        <v>481</v>
      </c>
      <c r="F120" t="s">
        <v>869</v>
      </c>
    </row>
    <row r="121" spans="1:6" x14ac:dyDescent="0.25">
      <c r="A121">
        <v>219</v>
      </c>
      <c r="B121" t="s">
        <v>80</v>
      </c>
      <c r="C121" t="s">
        <v>73</v>
      </c>
      <c r="D121" s="1">
        <v>34171</v>
      </c>
      <c r="E121" t="s">
        <v>482</v>
      </c>
      <c r="F121" t="s">
        <v>873</v>
      </c>
    </row>
    <row r="122" spans="1:6" x14ac:dyDescent="0.25">
      <c r="A122">
        <v>220</v>
      </c>
      <c r="B122" t="s">
        <v>125</v>
      </c>
      <c r="C122" t="s">
        <v>76</v>
      </c>
      <c r="D122" s="1">
        <v>35810</v>
      </c>
      <c r="E122" t="s">
        <v>483</v>
      </c>
      <c r="F122" t="s">
        <v>866</v>
      </c>
    </row>
    <row r="123" spans="1:6" x14ac:dyDescent="0.25">
      <c r="A123">
        <v>221</v>
      </c>
      <c r="B123" t="s">
        <v>75</v>
      </c>
      <c r="C123" t="s">
        <v>76</v>
      </c>
      <c r="D123" s="1">
        <v>43700</v>
      </c>
      <c r="E123" t="s">
        <v>484</v>
      </c>
      <c r="F123" t="s">
        <v>869</v>
      </c>
    </row>
    <row r="124" spans="1:6" x14ac:dyDescent="0.25">
      <c r="A124">
        <v>222</v>
      </c>
      <c r="B124" t="s">
        <v>75</v>
      </c>
      <c r="C124" t="s">
        <v>76</v>
      </c>
      <c r="D124" s="1">
        <v>16495</v>
      </c>
      <c r="E124" t="s">
        <v>485</v>
      </c>
      <c r="F124" t="s">
        <v>872</v>
      </c>
    </row>
    <row r="125" spans="1:6" x14ac:dyDescent="0.25">
      <c r="A125">
        <v>223</v>
      </c>
      <c r="B125" t="s">
        <v>94</v>
      </c>
      <c r="C125" t="s">
        <v>73</v>
      </c>
      <c r="D125" s="1">
        <v>16121</v>
      </c>
      <c r="E125" t="s">
        <v>486</v>
      </c>
      <c r="F125" t="s">
        <v>871</v>
      </c>
    </row>
    <row r="126" spans="1:6" x14ac:dyDescent="0.25">
      <c r="A126">
        <v>224</v>
      </c>
      <c r="B126" t="s">
        <v>104</v>
      </c>
      <c r="C126" t="s">
        <v>76</v>
      </c>
      <c r="D126" s="1">
        <v>18059</v>
      </c>
      <c r="E126" t="s">
        <v>487</v>
      </c>
      <c r="F126" t="s">
        <v>866</v>
      </c>
    </row>
    <row r="127" spans="1:6" x14ac:dyDescent="0.25">
      <c r="A127">
        <v>225</v>
      </c>
      <c r="B127" t="s">
        <v>92</v>
      </c>
      <c r="C127" t="s">
        <v>76</v>
      </c>
      <c r="D127" s="1">
        <v>37809</v>
      </c>
      <c r="E127" t="s">
        <v>488</v>
      </c>
      <c r="F127" t="s">
        <v>872</v>
      </c>
    </row>
    <row r="128" spans="1:6" x14ac:dyDescent="0.25">
      <c r="A128">
        <v>226</v>
      </c>
      <c r="B128" t="s">
        <v>99</v>
      </c>
      <c r="C128" t="s">
        <v>76</v>
      </c>
      <c r="D128" s="1">
        <v>13440</v>
      </c>
      <c r="E128" t="s">
        <v>489</v>
      </c>
      <c r="F128" t="s">
        <v>870</v>
      </c>
    </row>
    <row r="129" spans="1:6" x14ac:dyDescent="0.25">
      <c r="A129">
        <v>227</v>
      </c>
      <c r="B129" t="s">
        <v>75</v>
      </c>
      <c r="C129" t="s">
        <v>76</v>
      </c>
      <c r="D129" s="1">
        <v>16053</v>
      </c>
      <c r="E129" t="s">
        <v>490</v>
      </c>
      <c r="F129" t="s">
        <v>871</v>
      </c>
    </row>
    <row r="130" spans="1:6" x14ac:dyDescent="0.25">
      <c r="A130">
        <v>228</v>
      </c>
      <c r="B130" t="s">
        <v>125</v>
      </c>
      <c r="C130" t="s">
        <v>76</v>
      </c>
      <c r="D130" s="1">
        <v>27894</v>
      </c>
      <c r="E130" t="s">
        <v>491</v>
      </c>
      <c r="F130" t="s">
        <v>871</v>
      </c>
    </row>
    <row r="131" spans="1:6" x14ac:dyDescent="0.25">
      <c r="A131">
        <v>229</v>
      </c>
      <c r="B131" t="s">
        <v>78</v>
      </c>
      <c r="C131" t="s">
        <v>73</v>
      </c>
      <c r="D131" s="1">
        <v>19215</v>
      </c>
      <c r="E131" t="s">
        <v>492</v>
      </c>
      <c r="F131" t="s">
        <v>871</v>
      </c>
    </row>
    <row r="132" spans="1:6" x14ac:dyDescent="0.25">
      <c r="A132">
        <v>230</v>
      </c>
      <c r="B132" t="s">
        <v>89</v>
      </c>
      <c r="C132" t="s">
        <v>76</v>
      </c>
      <c r="D132" s="1">
        <v>42810</v>
      </c>
      <c r="E132" t="s">
        <v>493</v>
      </c>
      <c r="F132" t="s">
        <v>869</v>
      </c>
    </row>
    <row r="133" spans="1:6" x14ac:dyDescent="0.25">
      <c r="A133">
        <v>231</v>
      </c>
      <c r="B133" t="s">
        <v>127</v>
      </c>
      <c r="C133" t="s">
        <v>76</v>
      </c>
      <c r="D133" s="1">
        <v>40475</v>
      </c>
      <c r="E133" t="s">
        <v>494</v>
      </c>
      <c r="F133" t="s">
        <v>873</v>
      </c>
    </row>
    <row r="134" spans="1:6" x14ac:dyDescent="0.25">
      <c r="A134">
        <v>232</v>
      </c>
      <c r="B134" t="s">
        <v>86</v>
      </c>
      <c r="C134" t="s">
        <v>76</v>
      </c>
      <c r="D134" s="1">
        <v>42482</v>
      </c>
      <c r="E134" t="s">
        <v>495</v>
      </c>
      <c r="F134" t="s">
        <v>871</v>
      </c>
    </row>
    <row r="135" spans="1:6" x14ac:dyDescent="0.25">
      <c r="A135">
        <v>233</v>
      </c>
      <c r="B135" t="s">
        <v>78</v>
      </c>
      <c r="C135" t="s">
        <v>73</v>
      </c>
      <c r="D135" s="1">
        <v>11582</v>
      </c>
      <c r="E135" t="s">
        <v>496</v>
      </c>
      <c r="F135" t="s">
        <v>872</v>
      </c>
    </row>
    <row r="136" spans="1:6" x14ac:dyDescent="0.25">
      <c r="A136">
        <v>234</v>
      </c>
      <c r="B136" t="s">
        <v>78</v>
      </c>
      <c r="C136" t="s">
        <v>73</v>
      </c>
      <c r="D136" s="1">
        <v>11697</v>
      </c>
      <c r="E136" t="s">
        <v>497</v>
      </c>
      <c r="F136" t="s">
        <v>871</v>
      </c>
    </row>
    <row r="137" spans="1:6" x14ac:dyDescent="0.25">
      <c r="A137">
        <v>235</v>
      </c>
      <c r="B137" t="s">
        <v>72</v>
      </c>
      <c r="C137" t="s">
        <v>73</v>
      </c>
      <c r="D137" s="1">
        <v>26399</v>
      </c>
      <c r="E137" t="s">
        <v>498</v>
      </c>
      <c r="F137" t="s">
        <v>867</v>
      </c>
    </row>
    <row r="138" spans="1:6" x14ac:dyDescent="0.25">
      <c r="A138">
        <v>236</v>
      </c>
      <c r="B138" t="s">
        <v>82</v>
      </c>
      <c r="C138" t="s">
        <v>73</v>
      </c>
      <c r="D138" s="1">
        <v>42954</v>
      </c>
      <c r="E138" t="s">
        <v>499</v>
      </c>
      <c r="F138" t="s">
        <v>872</v>
      </c>
    </row>
    <row r="139" spans="1:6" x14ac:dyDescent="0.25">
      <c r="A139">
        <v>237</v>
      </c>
      <c r="B139" t="s">
        <v>78</v>
      </c>
      <c r="C139" t="s">
        <v>73</v>
      </c>
      <c r="D139" s="1">
        <v>44075</v>
      </c>
      <c r="E139" t="s">
        <v>500</v>
      </c>
      <c r="F139" t="s">
        <v>872</v>
      </c>
    </row>
    <row r="140" spans="1:6" x14ac:dyDescent="0.25">
      <c r="A140">
        <v>238</v>
      </c>
      <c r="B140" t="s">
        <v>104</v>
      </c>
      <c r="C140" t="s">
        <v>76</v>
      </c>
      <c r="D140" s="1">
        <v>40975</v>
      </c>
      <c r="E140" t="s">
        <v>501</v>
      </c>
      <c r="F140" t="s">
        <v>871</v>
      </c>
    </row>
    <row r="141" spans="1:6" x14ac:dyDescent="0.25">
      <c r="A141">
        <v>239</v>
      </c>
      <c r="B141" t="s">
        <v>99</v>
      </c>
      <c r="C141" t="s">
        <v>76</v>
      </c>
      <c r="D141" s="1">
        <v>32762</v>
      </c>
      <c r="E141" t="s">
        <v>502</v>
      </c>
      <c r="F141" t="s">
        <v>873</v>
      </c>
    </row>
    <row r="142" spans="1:6" x14ac:dyDescent="0.25">
      <c r="A142">
        <v>240</v>
      </c>
      <c r="B142" t="s">
        <v>89</v>
      </c>
      <c r="C142" t="s">
        <v>76</v>
      </c>
      <c r="D142" s="1">
        <v>35309</v>
      </c>
      <c r="E142" t="s">
        <v>503</v>
      </c>
      <c r="F142" t="s">
        <v>872</v>
      </c>
    </row>
    <row r="143" spans="1:6" x14ac:dyDescent="0.25">
      <c r="A143">
        <v>241</v>
      </c>
      <c r="B143" t="s">
        <v>122</v>
      </c>
      <c r="C143" t="s">
        <v>73</v>
      </c>
      <c r="D143" s="1">
        <v>21236</v>
      </c>
      <c r="E143" t="s">
        <v>504</v>
      </c>
      <c r="F143" t="s">
        <v>867</v>
      </c>
    </row>
    <row r="144" spans="1:6" x14ac:dyDescent="0.25">
      <c r="A144">
        <v>242</v>
      </c>
      <c r="B144" t="s">
        <v>80</v>
      </c>
      <c r="C144" t="s">
        <v>73</v>
      </c>
      <c r="D144" s="1">
        <v>22123</v>
      </c>
      <c r="E144" t="s">
        <v>505</v>
      </c>
      <c r="F144" t="s">
        <v>869</v>
      </c>
    </row>
    <row r="145" spans="1:6" x14ac:dyDescent="0.25">
      <c r="A145">
        <v>243</v>
      </c>
      <c r="B145" t="s">
        <v>72</v>
      </c>
      <c r="C145" t="s">
        <v>73</v>
      </c>
      <c r="D145" s="1">
        <v>16944</v>
      </c>
      <c r="E145" t="s">
        <v>506</v>
      </c>
      <c r="F145" t="s">
        <v>867</v>
      </c>
    </row>
    <row r="146" spans="1:6" x14ac:dyDescent="0.25">
      <c r="A146">
        <v>244</v>
      </c>
      <c r="B146" t="s">
        <v>99</v>
      </c>
      <c r="C146" t="s">
        <v>76</v>
      </c>
      <c r="D146" s="1">
        <v>14216</v>
      </c>
      <c r="E146" t="s">
        <v>507</v>
      </c>
      <c r="F146" t="s">
        <v>868</v>
      </c>
    </row>
    <row r="147" spans="1:6" x14ac:dyDescent="0.25">
      <c r="A147">
        <v>245</v>
      </c>
      <c r="B147" t="s">
        <v>89</v>
      </c>
      <c r="C147" t="s">
        <v>76</v>
      </c>
      <c r="D147" s="1">
        <v>13687</v>
      </c>
      <c r="E147" t="s">
        <v>508</v>
      </c>
      <c r="F147" t="s">
        <v>867</v>
      </c>
    </row>
    <row r="148" spans="1:6" x14ac:dyDescent="0.25">
      <c r="A148">
        <v>246</v>
      </c>
      <c r="B148" t="s">
        <v>125</v>
      </c>
      <c r="C148" t="s">
        <v>76</v>
      </c>
      <c r="D148" s="1">
        <v>29295</v>
      </c>
      <c r="E148" t="s">
        <v>509</v>
      </c>
      <c r="F148" t="s">
        <v>871</v>
      </c>
    </row>
    <row r="149" spans="1:6" x14ac:dyDescent="0.25">
      <c r="A149">
        <v>247</v>
      </c>
      <c r="B149" t="s">
        <v>127</v>
      </c>
      <c r="C149" t="s">
        <v>76</v>
      </c>
      <c r="D149" s="1">
        <v>28614</v>
      </c>
      <c r="E149" t="s">
        <v>510</v>
      </c>
      <c r="F149" t="s">
        <v>868</v>
      </c>
    </row>
    <row r="150" spans="1:6" x14ac:dyDescent="0.25">
      <c r="A150">
        <v>248</v>
      </c>
      <c r="B150" t="s">
        <v>72</v>
      </c>
      <c r="C150" t="s">
        <v>73</v>
      </c>
      <c r="D150" s="1">
        <v>28968</v>
      </c>
      <c r="E150" t="s">
        <v>511</v>
      </c>
      <c r="F150" t="s">
        <v>871</v>
      </c>
    </row>
    <row r="151" spans="1:6" x14ac:dyDescent="0.25">
      <c r="A151">
        <v>249</v>
      </c>
      <c r="B151" t="s">
        <v>89</v>
      </c>
      <c r="C151" t="s">
        <v>76</v>
      </c>
      <c r="D151" s="1">
        <v>43990</v>
      </c>
      <c r="E151" t="s">
        <v>512</v>
      </c>
      <c r="F151" t="s">
        <v>868</v>
      </c>
    </row>
    <row r="152" spans="1:6" x14ac:dyDescent="0.25">
      <c r="A152">
        <v>250</v>
      </c>
      <c r="B152" t="s">
        <v>122</v>
      </c>
      <c r="C152" t="s">
        <v>73</v>
      </c>
      <c r="D152" s="1">
        <v>20936</v>
      </c>
      <c r="E152" t="s">
        <v>513</v>
      </c>
      <c r="F152" t="s">
        <v>872</v>
      </c>
    </row>
    <row r="153" spans="1:6" x14ac:dyDescent="0.25">
      <c r="A153">
        <v>251</v>
      </c>
      <c r="B153" t="s">
        <v>120</v>
      </c>
      <c r="C153" t="s">
        <v>73</v>
      </c>
      <c r="D153" s="1">
        <v>12664</v>
      </c>
      <c r="E153" t="s">
        <v>514</v>
      </c>
      <c r="F153" t="s">
        <v>868</v>
      </c>
    </row>
    <row r="154" spans="1:6" x14ac:dyDescent="0.25">
      <c r="A154">
        <v>252</v>
      </c>
      <c r="B154" t="s">
        <v>75</v>
      </c>
      <c r="C154" t="s">
        <v>76</v>
      </c>
      <c r="D154" s="1">
        <v>20262</v>
      </c>
      <c r="E154" t="s">
        <v>515</v>
      </c>
      <c r="F154" t="s">
        <v>866</v>
      </c>
    </row>
    <row r="155" spans="1:6" x14ac:dyDescent="0.25">
      <c r="A155">
        <v>253</v>
      </c>
      <c r="B155" t="s">
        <v>104</v>
      </c>
      <c r="C155" t="s">
        <v>76</v>
      </c>
      <c r="D155" s="1">
        <v>12945</v>
      </c>
      <c r="E155" t="s">
        <v>516</v>
      </c>
      <c r="F155" t="s">
        <v>873</v>
      </c>
    </row>
    <row r="156" spans="1:6" x14ac:dyDescent="0.25">
      <c r="A156">
        <v>254</v>
      </c>
      <c r="B156" t="s">
        <v>89</v>
      </c>
      <c r="C156" t="s">
        <v>76</v>
      </c>
      <c r="D156" s="1">
        <v>14747</v>
      </c>
      <c r="E156" t="s">
        <v>517</v>
      </c>
      <c r="F156" t="s">
        <v>871</v>
      </c>
    </row>
    <row r="157" spans="1:6" x14ac:dyDescent="0.25">
      <c r="A157">
        <v>255</v>
      </c>
      <c r="B157" t="s">
        <v>78</v>
      </c>
      <c r="C157" t="s">
        <v>73</v>
      </c>
      <c r="D157" s="1">
        <v>14817</v>
      </c>
      <c r="E157" t="s">
        <v>518</v>
      </c>
      <c r="F157" t="s">
        <v>867</v>
      </c>
    </row>
    <row r="158" spans="1:6" x14ac:dyDescent="0.25">
      <c r="A158">
        <v>256</v>
      </c>
      <c r="B158" t="s">
        <v>125</v>
      </c>
      <c r="C158" t="s">
        <v>76</v>
      </c>
      <c r="D158" s="1">
        <v>19492</v>
      </c>
      <c r="E158" t="s">
        <v>519</v>
      </c>
      <c r="F158" t="s">
        <v>871</v>
      </c>
    </row>
    <row r="159" spans="1:6" x14ac:dyDescent="0.25">
      <c r="A159">
        <v>257</v>
      </c>
      <c r="B159" t="s">
        <v>84</v>
      </c>
      <c r="C159" t="s">
        <v>73</v>
      </c>
      <c r="D159" s="1">
        <v>43967</v>
      </c>
      <c r="E159" t="s">
        <v>520</v>
      </c>
      <c r="F159" t="s">
        <v>869</v>
      </c>
    </row>
    <row r="160" spans="1:6" x14ac:dyDescent="0.25">
      <c r="A160">
        <v>258</v>
      </c>
      <c r="B160" t="s">
        <v>94</v>
      </c>
      <c r="C160" t="s">
        <v>73</v>
      </c>
      <c r="D160" s="1">
        <v>44758</v>
      </c>
      <c r="E160" t="s">
        <v>521</v>
      </c>
      <c r="F160" t="s">
        <v>873</v>
      </c>
    </row>
    <row r="161" spans="1:6" x14ac:dyDescent="0.25">
      <c r="A161">
        <v>259</v>
      </c>
      <c r="B161" t="s">
        <v>127</v>
      </c>
      <c r="C161" t="s">
        <v>76</v>
      </c>
      <c r="D161" s="1">
        <v>34119</v>
      </c>
      <c r="E161" t="s">
        <v>522</v>
      </c>
      <c r="F161" t="s">
        <v>867</v>
      </c>
    </row>
    <row r="162" spans="1:6" x14ac:dyDescent="0.25">
      <c r="A162">
        <v>260</v>
      </c>
      <c r="B162" t="s">
        <v>75</v>
      </c>
      <c r="C162" t="s">
        <v>76</v>
      </c>
      <c r="D162" s="1">
        <v>39394</v>
      </c>
      <c r="E162" t="s">
        <v>523</v>
      </c>
      <c r="F162" t="s">
        <v>867</v>
      </c>
    </row>
    <row r="163" spans="1:6" x14ac:dyDescent="0.25">
      <c r="A163">
        <v>261</v>
      </c>
      <c r="B163" t="s">
        <v>99</v>
      </c>
      <c r="C163" t="s">
        <v>76</v>
      </c>
      <c r="D163" s="1">
        <v>26835</v>
      </c>
      <c r="E163" t="s">
        <v>524</v>
      </c>
      <c r="F163" t="s">
        <v>866</v>
      </c>
    </row>
    <row r="164" spans="1:6" x14ac:dyDescent="0.25">
      <c r="A164">
        <v>262</v>
      </c>
      <c r="B164" t="s">
        <v>122</v>
      </c>
      <c r="C164" t="s">
        <v>73</v>
      </c>
      <c r="D164" s="1">
        <v>33265</v>
      </c>
      <c r="E164" t="s">
        <v>525</v>
      </c>
      <c r="F164" t="s">
        <v>868</v>
      </c>
    </row>
    <row r="165" spans="1:6" x14ac:dyDescent="0.25">
      <c r="A165">
        <v>263</v>
      </c>
      <c r="B165" t="s">
        <v>120</v>
      </c>
      <c r="C165" t="s">
        <v>73</v>
      </c>
      <c r="D165" s="1">
        <v>14667</v>
      </c>
      <c r="E165" t="s">
        <v>526</v>
      </c>
      <c r="F165" t="s">
        <v>872</v>
      </c>
    </row>
    <row r="166" spans="1:6" x14ac:dyDescent="0.25">
      <c r="A166">
        <v>264</v>
      </c>
      <c r="B166" t="s">
        <v>78</v>
      </c>
      <c r="C166" t="s">
        <v>73</v>
      </c>
      <c r="D166" s="1">
        <v>44499</v>
      </c>
      <c r="E166" t="s">
        <v>527</v>
      </c>
      <c r="F166" t="s">
        <v>873</v>
      </c>
    </row>
    <row r="167" spans="1:6" x14ac:dyDescent="0.25">
      <c r="A167">
        <v>265</v>
      </c>
      <c r="B167" t="s">
        <v>84</v>
      </c>
      <c r="C167" t="s">
        <v>73</v>
      </c>
      <c r="D167" s="1">
        <v>10293</v>
      </c>
      <c r="E167" t="s">
        <v>528</v>
      </c>
      <c r="F167" t="s">
        <v>871</v>
      </c>
    </row>
    <row r="168" spans="1:6" x14ac:dyDescent="0.25">
      <c r="A168">
        <v>266</v>
      </c>
      <c r="B168" t="s">
        <v>122</v>
      </c>
      <c r="C168" t="s">
        <v>73</v>
      </c>
      <c r="D168" s="1">
        <v>21206</v>
      </c>
      <c r="E168" t="s">
        <v>529</v>
      </c>
      <c r="F168" t="s">
        <v>866</v>
      </c>
    </row>
    <row r="169" spans="1:6" x14ac:dyDescent="0.25">
      <c r="A169">
        <v>267</v>
      </c>
      <c r="B169" t="s">
        <v>127</v>
      </c>
      <c r="C169" t="s">
        <v>76</v>
      </c>
      <c r="D169" s="1">
        <v>36694</v>
      </c>
      <c r="E169" t="s">
        <v>530</v>
      </c>
      <c r="F169" t="s">
        <v>867</v>
      </c>
    </row>
    <row r="170" spans="1:6" x14ac:dyDescent="0.25">
      <c r="A170">
        <v>268</v>
      </c>
      <c r="B170" t="s">
        <v>89</v>
      </c>
      <c r="C170" t="s">
        <v>76</v>
      </c>
      <c r="D170" s="1">
        <v>15765</v>
      </c>
      <c r="E170" t="s">
        <v>531</v>
      </c>
      <c r="F170" t="s">
        <v>871</v>
      </c>
    </row>
    <row r="171" spans="1:6" x14ac:dyDescent="0.25">
      <c r="A171">
        <v>269</v>
      </c>
      <c r="B171" t="s">
        <v>104</v>
      </c>
      <c r="C171" t="s">
        <v>76</v>
      </c>
      <c r="D171" s="1">
        <v>14611</v>
      </c>
      <c r="E171" t="s">
        <v>532</v>
      </c>
      <c r="F171" t="s">
        <v>869</v>
      </c>
    </row>
    <row r="172" spans="1:6" x14ac:dyDescent="0.25">
      <c r="A172">
        <v>270</v>
      </c>
      <c r="B172" t="s">
        <v>120</v>
      </c>
      <c r="C172" t="s">
        <v>73</v>
      </c>
      <c r="D172" s="1">
        <v>25972</v>
      </c>
      <c r="E172" t="s">
        <v>533</v>
      </c>
      <c r="F172" t="s">
        <v>869</v>
      </c>
    </row>
    <row r="173" spans="1:6" x14ac:dyDescent="0.25">
      <c r="A173">
        <v>271</v>
      </c>
      <c r="B173" t="s">
        <v>120</v>
      </c>
      <c r="C173" t="s">
        <v>73</v>
      </c>
      <c r="D173" s="1">
        <v>14294</v>
      </c>
      <c r="E173" t="s">
        <v>534</v>
      </c>
      <c r="F173" t="s">
        <v>867</v>
      </c>
    </row>
    <row r="174" spans="1:6" x14ac:dyDescent="0.25">
      <c r="A174">
        <v>272</v>
      </c>
      <c r="B174" t="s">
        <v>89</v>
      </c>
      <c r="C174" t="s">
        <v>76</v>
      </c>
      <c r="D174" s="1">
        <v>45230</v>
      </c>
      <c r="E174" t="s">
        <v>535</v>
      </c>
      <c r="F174" t="s">
        <v>869</v>
      </c>
    </row>
    <row r="175" spans="1:6" x14ac:dyDescent="0.25">
      <c r="A175">
        <v>273</v>
      </c>
      <c r="B175" t="s">
        <v>125</v>
      </c>
      <c r="C175" t="s">
        <v>76</v>
      </c>
      <c r="D175" s="1">
        <v>41257</v>
      </c>
      <c r="E175" t="s">
        <v>536</v>
      </c>
      <c r="F175" t="s">
        <v>870</v>
      </c>
    </row>
    <row r="176" spans="1:6" x14ac:dyDescent="0.25">
      <c r="A176">
        <v>274</v>
      </c>
      <c r="B176" t="s">
        <v>92</v>
      </c>
      <c r="C176" t="s">
        <v>76</v>
      </c>
      <c r="D176" s="1">
        <v>44016</v>
      </c>
      <c r="E176" t="s">
        <v>537</v>
      </c>
      <c r="F176" t="s">
        <v>870</v>
      </c>
    </row>
    <row r="177" spans="1:6" x14ac:dyDescent="0.25">
      <c r="A177">
        <v>275</v>
      </c>
      <c r="B177" t="s">
        <v>86</v>
      </c>
      <c r="C177" t="s">
        <v>76</v>
      </c>
      <c r="D177" s="1">
        <v>12509</v>
      </c>
      <c r="E177" t="s">
        <v>538</v>
      </c>
      <c r="F177" t="s">
        <v>866</v>
      </c>
    </row>
    <row r="178" spans="1:6" x14ac:dyDescent="0.25">
      <c r="A178">
        <v>276</v>
      </c>
      <c r="B178" t="s">
        <v>84</v>
      </c>
      <c r="C178" t="s">
        <v>73</v>
      </c>
      <c r="D178" s="1">
        <v>35117</v>
      </c>
      <c r="E178" t="s">
        <v>539</v>
      </c>
      <c r="F178" t="s">
        <v>870</v>
      </c>
    </row>
    <row r="179" spans="1:6" x14ac:dyDescent="0.25">
      <c r="A179">
        <v>277</v>
      </c>
      <c r="B179" t="s">
        <v>75</v>
      </c>
      <c r="C179" t="s">
        <v>76</v>
      </c>
      <c r="D179" s="1">
        <v>43972</v>
      </c>
      <c r="E179" t="s">
        <v>540</v>
      </c>
      <c r="F179" t="s">
        <v>866</v>
      </c>
    </row>
    <row r="180" spans="1:6" x14ac:dyDescent="0.25">
      <c r="A180">
        <v>278</v>
      </c>
      <c r="B180" t="s">
        <v>120</v>
      </c>
      <c r="C180" t="s">
        <v>73</v>
      </c>
      <c r="D180" s="1">
        <v>43965</v>
      </c>
      <c r="E180" t="s">
        <v>541</v>
      </c>
      <c r="F180" t="s">
        <v>868</v>
      </c>
    </row>
    <row r="181" spans="1:6" x14ac:dyDescent="0.25">
      <c r="A181">
        <v>279</v>
      </c>
      <c r="B181" t="s">
        <v>94</v>
      </c>
      <c r="C181" t="s">
        <v>73</v>
      </c>
      <c r="D181" s="1">
        <v>32807</v>
      </c>
      <c r="E181" t="s">
        <v>542</v>
      </c>
      <c r="F181" t="s">
        <v>872</v>
      </c>
    </row>
    <row r="182" spans="1:6" x14ac:dyDescent="0.25">
      <c r="A182">
        <v>280</v>
      </c>
      <c r="B182" t="s">
        <v>89</v>
      </c>
      <c r="C182" t="s">
        <v>76</v>
      </c>
      <c r="D182" s="1">
        <v>41806</v>
      </c>
      <c r="E182" t="s">
        <v>543</v>
      </c>
      <c r="F182" t="s">
        <v>872</v>
      </c>
    </row>
    <row r="183" spans="1:6" x14ac:dyDescent="0.25">
      <c r="A183">
        <v>281</v>
      </c>
      <c r="B183" t="s">
        <v>82</v>
      </c>
      <c r="C183" t="s">
        <v>73</v>
      </c>
      <c r="D183" s="1">
        <v>16848</v>
      </c>
      <c r="E183" t="s">
        <v>544</v>
      </c>
      <c r="F183" t="s">
        <v>871</v>
      </c>
    </row>
    <row r="184" spans="1:6" x14ac:dyDescent="0.25">
      <c r="A184">
        <v>282</v>
      </c>
      <c r="B184" t="s">
        <v>125</v>
      </c>
      <c r="C184" t="s">
        <v>76</v>
      </c>
      <c r="D184" s="1">
        <v>19761</v>
      </c>
      <c r="E184" t="s">
        <v>545</v>
      </c>
      <c r="F184" t="s">
        <v>873</v>
      </c>
    </row>
    <row r="185" spans="1:6" x14ac:dyDescent="0.25">
      <c r="A185">
        <v>283</v>
      </c>
      <c r="B185" t="s">
        <v>72</v>
      </c>
      <c r="C185" t="s">
        <v>73</v>
      </c>
      <c r="D185" s="1">
        <v>28858</v>
      </c>
      <c r="E185" t="s">
        <v>546</v>
      </c>
      <c r="F185" t="s">
        <v>868</v>
      </c>
    </row>
    <row r="186" spans="1:6" x14ac:dyDescent="0.25">
      <c r="A186">
        <v>284</v>
      </c>
      <c r="B186" t="s">
        <v>75</v>
      </c>
      <c r="C186" t="s">
        <v>76</v>
      </c>
      <c r="D186" s="1">
        <v>22600</v>
      </c>
      <c r="E186" t="s">
        <v>547</v>
      </c>
      <c r="F186" t="s">
        <v>870</v>
      </c>
    </row>
    <row r="187" spans="1:6" x14ac:dyDescent="0.25">
      <c r="A187">
        <v>285</v>
      </c>
      <c r="B187" t="s">
        <v>72</v>
      </c>
      <c r="C187" t="s">
        <v>73</v>
      </c>
      <c r="D187" s="1">
        <v>32042</v>
      </c>
      <c r="E187" t="s">
        <v>548</v>
      </c>
      <c r="F187" t="s">
        <v>872</v>
      </c>
    </row>
    <row r="188" spans="1:6" x14ac:dyDescent="0.25">
      <c r="A188">
        <v>286</v>
      </c>
      <c r="B188" t="s">
        <v>99</v>
      </c>
      <c r="C188" t="s">
        <v>76</v>
      </c>
      <c r="D188" s="1">
        <v>39142</v>
      </c>
      <c r="E188" t="s">
        <v>549</v>
      </c>
      <c r="F188" t="s">
        <v>867</v>
      </c>
    </row>
    <row r="189" spans="1:6" x14ac:dyDescent="0.25">
      <c r="A189">
        <v>287</v>
      </c>
      <c r="B189" t="s">
        <v>94</v>
      </c>
      <c r="C189" t="s">
        <v>73</v>
      </c>
      <c r="D189" s="1">
        <v>17473</v>
      </c>
      <c r="E189" t="s">
        <v>550</v>
      </c>
      <c r="F189" t="s">
        <v>871</v>
      </c>
    </row>
    <row r="190" spans="1:6" x14ac:dyDescent="0.25">
      <c r="A190">
        <v>288</v>
      </c>
      <c r="B190" t="s">
        <v>78</v>
      </c>
      <c r="C190" t="s">
        <v>73</v>
      </c>
      <c r="D190" s="1">
        <v>22661</v>
      </c>
      <c r="E190" t="s">
        <v>551</v>
      </c>
      <c r="F190" t="s">
        <v>871</v>
      </c>
    </row>
    <row r="191" spans="1:6" x14ac:dyDescent="0.25">
      <c r="A191">
        <v>289</v>
      </c>
      <c r="B191" t="s">
        <v>84</v>
      </c>
      <c r="C191" t="s">
        <v>73</v>
      </c>
      <c r="D191" s="1">
        <v>32434</v>
      </c>
      <c r="E191" t="s">
        <v>552</v>
      </c>
      <c r="F191" t="s">
        <v>872</v>
      </c>
    </row>
    <row r="192" spans="1:6" x14ac:dyDescent="0.25">
      <c r="A192">
        <v>290</v>
      </c>
      <c r="B192" t="s">
        <v>86</v>
      </c>
      <c r="C192" t="s">
        <v>76</v>
      </c>
      <c r="D192" s="1">
        <v>36727</v>
      </c>
      <c r="E192" t="s">
        <v>553</v>
      </c>
      <c r="F192" t="s">
        <v>868</v>
      </c>
    </row>
    <row r="193" spans="1:6" x14ac:dyDescent="0.25">
      <c r="A193">
        <v>291</v>
      </c>
      <c r="B193" t="s">
        <v>104</v>
      </c>
      <c r="C193" t="s">
        <v>76</v>
      </c>
      <c r="D193" s="1">
        <v>19259</v>
      </c>
      <c r="E193" t="s">
        <v>554</v>
      </c>
      <c r="F193" t="s">
        <v>867</v>
      </c>
    </row>
    <row r="194" spans="1:6" x14ac:dyDescent="0.25">
      <c r="A194">
        <v>292</v>
      </c>
      <c r="B194" t="s">
        <v>80</v>
      </c>
      <c r="C194" t="s">
        <v>73</v>
      </c>
      <c r="D194" s="1">
        <v>19224</v>
      </c>
      <c r="E194" t="s">
        <v>555</v>
      </c>
      <c r="F194" t="s">
        <v>867</v>
      </c>
    </row>
    <row r="195" spans="1:6" x14ac:dyDescent="0.25">
      <c r="A195">
        <v>293</v>
      </c>
      <c r="B195" t="s">
        <v>99</v>
      </c>
      <c r="C195" t="s">
        <v>76</v>
      </c>
      <c r="D195" s="1">
        <v>43812</v>
      </c>
      <c r="E195" t="s">
        <v>556</v>
      </c>
      <c r="F195" t="s">
        <v>872</v>
      </c>
    </row>
    <row r="196" spans="1:6" x14ac:dyDescent="0.25">
      <c r="A196">
        <v>294</v>
      </c>
      <c r="B196" t="s">
        <v>99</v>
      </c>
      <c r="C196" t="s">
        <v>76</v>
      </c>
      <c r="D196" s="1">
        <v>21716</v>
      </c>
      <c r="E196" t="s">
        <v>557</v>
      </c>
      <c r="F196" t="s">
        <v>867</v>
      </c>
    </row>
    <row r="197" spans="1:6" x14ac:dyDescent="0.25">
      <c r="A197">
        <v>295</v>
      </c>
      <c r="B197" t="s">
        <v>120</v>
      </c>
      <c r="C197" t="s">
        <v>73</v>
      </c>
      <c r="D197" s="1">
        <v>16631</v>
      </c>
      <c r="E197" t="s">
        <v>558</v>
      </c>
      <c r="F197" t="s">
        <v>869</v>
      </c>
    </row>
    <row r="198" spans="1:6" x14ac:dyDescent="0.25">
      <c r="A198">
        <v>296</v>
      </c>
      <c r="B198" t="s">
        <v>72</v>
      </c>
      <c r="C198" t="s">
        <v>73</v>
      </c>
      <c r="D198" s="1">
        <v>39424</v>
      </c>
      <c r="E198" t="s">
        <v>559</v>
      </c>
      <c r="F198" t="s">
        <v>870</v>
      </c>
    </row>
    <row r="199" spans="1:6" x14ac:dyDescent="0.25">
      <c r="A199">
        <v>297</v>
      </c>
      <c r="B199" t="s">
        <v>127</v>
      </c>
      <c r="C199" t="s">
        <v>76</v>
      </c>
      <c r="D199" s="1">
        <v>19954</v>
      </c>
      <c r="E199" t="s">
        <v>560</v>
      </c>
      <c r="F199" t="s">
        <v>873</v>
      </c>
    </row>
    <row r="200" spans="1:6" x14ac:dyDescent="0.25">
      <c r="A200">
        <v>298</v>
      </c>
      <c r="B200" t="s">
        <v>82</v>
      </c>
      <c r="C200" t="s">
        <v>73</v>
      </c>
      <c r="D200" s="1">
        <v>31358</v>
      </c>
      <c r="E200" t="s">
        <v>561</v>
      </c>
      <c r="F200" t="s">
        <v>866</v>
      </c>
    </row>
    <row r="201" spans="1:6" x14ac:dyDescent="0.25">
      <c r="A201">
        <v>299</v>
      </c>
      <c r="B201" t="s">
        <v>82</v>
      </c>
      <c r="C201" t="s">
        <v>73</v>
      </c>
      <c r="D201" s="1">
        <v>11836</v>
      </c>
      <c r="E201" t="s">
        <v>562</v>
      </c>
      <c r="F201" t="s">
        <v>869</v>
      </c>
    </row>
    <row r="202" spans="1:6" x14ac:dyDescent="0.25">
      <c r="A202">
        <v>300</v>
      </c>
      <c r="B202" t="s">
        <v>104</v>
      </c>
      <c r="C202" t="s">
        <v>76</v>
      </c>
      <c r="D202" s="1">
        <v>20005</v>
      </c>
      <c r="E202" t="s">
        <v>563</v>
      </c>
      <c r="F202" t="s">
        <v>866</v>
      </c>
    </row>
    <row r="203" spans="1:6" x14ac:dyDescent="0.25">
      <c r="A203">
        <v>301</v>
      </c>
      <c r="B203" t="s">
        <v>84</v>
      </c>
      <c r="C203" t="s">
        <v>73</v>
      </c>
      <c r="D203" s="1">
        <v>26872</v>
      </c>
      <c r="E203" t="s">
        <v>564</v>
      </c>
      <c r="F203" t="s">
        <v>867</v>
      </c>
    </row>
    <row r="204" spans="1:6" x14ac:dyDescent="0.25">
      <c r="A204">
        <v>302</v>
      </c>
      <c r="B204" t="s">
        <v>120</v>
      </c>
      <c r="C204" t="s">
        <v>73</v>
      </c>
      <c r="D204" s="1">
        <v>11970</v>
      </c>
      <c r="E204" t="s">
        <v>565</v>
      </c>
      <c r="F204" t="s">
        <v>868</v>
      </c>
    </row>
    <row r="205" spans="1:6" x14ac:dyDescent="0.25">
      <c r="A205">
        <v>303</v>
      </c>
      <c r="B205" t="s">
        <v>125</v>
      </c>
      <c r="C205" t="s">
        <v>76</v>
      </c>
      <c r="D205" s="1">
        <v>37704</v>
      </c>
      <c r="E205" t="s">
        <v>566</v>
      </c>
      <c r="F205" t="s">
        <v>869</v>
      </c>
    </row>
    <row r="206" spans="1:6" x14ac:dyDescent="0.25">
      <c r="A206">
        <v>304</v>
      </c>
      <c r="B206" t="s">
        <v>89</v>
      </c>
      <c r="C206" t="s">
        <v>76</v>
      </c>
      <c r="D206" s="1">
        <v>19017</v>
      </c>
      <c r="E206" t="s">
        <v>567</v>
      </c>
      <c r="F206" t="s">
        <v>869</v>
      </c>
    </row>
    <row r="207" spans="1:6" x14ac:dyDescent="0.25">
      <c r="A207">
        <v>305</v>
      </c>
      <c r="B207" t="s">
        <v>125</v>
      </c>
      <c r="C207" t="s">
        <v>76</v>
      </c>
      <c r="D207" s="1">
        <v>21912</v>
      </c>
      <c r="E207" t="s">
        <v>568</v>
      </c>
      <c r="F207" t="s">
        <v>870</v>
      </c>
    </row>
    <row r="208" spans="1:6" x14ac:dyDescent="0.25">
      <c r="A208">
        <v>306</v>
      </c>
      <c r="B208" t="s">
        <v>89</v>
      </c>
      <c r="C208" t="s">
        <v>76</v>
      </c>
      <c r="D208" s="1">
        <v>38892</v>
      </c>
      <c r="E208" t="s">
        <v>569</v>
      </c>
      <c r="F208" t="s">
        <v>867</v>
      </c>
    </row>
    <row r="209" spans="1:6" x14ac:dyDescent="0.25">
      <c r="A209">
        <v>307</v>
      </c>
      <c r="B209" t="s">
        <v>120</v>
      </c>
      <c r="C209" t="s">
        <v>73</v>
      </c>
      <c r="D209" s="1">
        <v>14801</v>
      </c>
      <c r="E209" t="s">
        <v>570</v>
      </c>
      <c r="F209" t="s">
        <v>871</v>
      </c>
    </row>
    <row r="210" spans="1:6" x14ac:dyDescent="0.25">
      <c r="A210">
        <v>308</v>
      </c>
      <c r="B210" t="s">
        <v>78</v>
      </c>
      <c r="C210" t="s">
        <v>73</v>
      </c>
      <c r="D210" s="1">
        <v>16013</v>
      </c>
      <c r="E210" t="s">
        <v>571</v>
      </c>
      <c r="F210" t="s">
        <v>866</v>
      </c>
    </row>
    <row r="211" spans="1:6" x14ac:dyDescent="0.25">
      <c r="A211">
        <v>309</v>
      </c>
      <c r="B211" t="s">
        <v>125</v>
      </c>
      <c r="C211" t="s">
        <v>76</v>
      </c>
      <c r="D211" s="1">
        <v>23401</v>
      </c>
      <c r="E211" t="s">
        <v>572</v>
      </c>
      <c r="F211" t="s">
        <v>872</v>
      </c>
    </row>
    <row r="212" spans="1:6" x14ac:dyDescent="0.25">
      <c r="A212">
        <v>310</v>
      </c>
      <c r="B212" t="s">
        <v>84</v>
      </c>
      <c r="C212" t="s">
        <v>73</v>
      </c>
      <c r="D212" s="1">
        <v>16708</v>
      </c>
      <c r="E212" t="s">
        <v>573</v>
      </c>
      <c r="F212" t="s">
        <v>867</v>
      </c>
    </row>
    <row r="213" spans="1:6" x14ac:dyDescent="0.25">
      <c r="A213">
        <v>311</v>
      </c>
      <c r="B213" t="s">
        <v>84</v>
      </c>
      <c r="C213" t="s">
        <v>73</v>
      </c>
      <c r="D213" s="1">
        <v>41956</v>
      </c>
      <c r="E213" t="s">
        <v>574</v>
      </c>
      <c r="F213" t="s">
        <v>869</v>
      </c>
    </row>
    <row r="214" spans="1:6" x14ac:dyDescent="0.25">
      <c r="A214">
        <v>312</v>
      </c>
      <c r="B214" t="s">
        <v>104</v>
      </c>
      <c r="C214" t="s">
        <v>76</v>
      </c>
      <c r="D214" s="1">
        <v>11039</v>
      </c>
      <c r="E214" t="s">
        <v>575</v>
      </c>
      <c r="F214" t="s">
        <v>870</v>
      </c>
    </row>
    <row r="215" spans="1:6" x14ac:dyDescent="0.25">
      <c r="A215">
        <v>313</v>
      </c>
      <c r="B215" t="s">
        <v>78</v>
      </c>
      <c r="C215" t="s">
        <v>73</v>
      </c>
      <c r="D215" s="1">
        <v>33926</v>
      </c>
      <c r="E215" t="s">
        <v>576</v>
      </c>
      <c r="F215" t="s">
        <v>871</v>
      </c>
    </row>
    <row r="216" spans="1:6" x14ac:dyDescent="0.25">
      <c r="A216">
        <v>314</v>
      </c>
      <c r="B216" t="s">
        <v>72</v>
      </c>
      <c r="C216" t="s">
        <v>73</v>
      </c>
      <c r="D216" s="1">
        <v>41498</v>
      </c>
      <c r="E216" t="s">
        <v>577</v>
      </c>
      <c r="F216" t="s">
        <v>867</v>
      </c>
    </row>
    <row r="217" spans="1:6" x14ac:dyDescent="0.25">
      <c r="A217">
        <v>315</v>
      </c>
      <c r="B217" t="s">
        <v>82</v>
      </c>
      <c r="C217" t="s">
        <v>73</v>
      </c>
      <c r="D217" s="1">
        <v>41187</v>
      </c>
      <c r="E217" t="s">
        <v>578</v>
      </c>
      <c r="F217" t="s">
        <v>873</v>
      </c>
    </row>
    <row r="218" spans="1:6" x14ac:dyDescent="0.25">
      <c r="A218">
        <v>316</v>
      </c>
      <c r="B218" t="s">
        <v>125</v>
      </c>
      <c r="C218" t="s">
        <v>76</v>
      </c>
      <c r="D218" s="1">
        <v>37709</v>
      </c>
      <c r="E218" t="s">
        <v>579</v>
      </c>
      <c r="F218" t="s">
        <v>867</v>
      </c>
    </row>
    <row r="219" spans="1:6" x14ac:dyDescent="0.25">
      <c r="A219">
        <v>317</v>
      </c>
      <c r="B219" t="s">
        <v>125</v>
      </c>
      <c r="C219" t="s">
        <v>76</v>
      </c>
      <c r="D219" s="1">
        <v>10861</v>
      </c>
      <c r="E219" t="s">
        <v>580</v>
      </c>
      <c r="F219" t="s">
        <v>866</v>
      </c>
    </row>
    <row r="220" spans="1:6" x14ac:dyDescent="0.25">
      <c r="A220">
        <v>318</v>
      </c>
      <c r="B220" t="s">
        <v>127</v>
      </c>
      <c r="C220" t="s">
        <v>76</v>
      </c>
      <c r="D220" s="1">
        <v>40108</v>
      </c>
      <c r="E220" t="s">
        <v>581</v>
      </c>
      <c r="F220" t="s">
        <v>873</v>
      </c>
    </row>
    <row r="221" spans="1:6" x14ac:dyDescent="0.25">
      <c r="A221">
        <v>319</v>
      </c>
      <c r="B221" t="s">
        <v>99</v>
      </c>
      <c r="C221" t="s">
        <v>76</v>
      </c>
      <c r="D221" s="1">
        <v>19467</v>
      </c>
      <c r="E221" t="s">
        <v>582</v>
      </c>
      <c r="F221" t="s">
        <v>872</v>
      </c>
    </row>
    <row r="222" spans="1:6" x14ac:dyDescent="0.25">
      <c r="A222">
        <v>320</v>
      </c>
      <c r="B222" t="s">
        <v>89</v>
      </c>
      <c r="C222" t="s">
        <v>76</v>
      </c>
      <c r="D222" s="1">
        <v>17571</v>
      </c>
      <c r="E222" t="s">
        <v>583</v>
      </c>
      <c r="F222" t="s">
        <v>873</v>
      </c>
    </row>
    <row r="223" spans="1:6" x14ac:dyDescent="0.25">
      <c r="A223">
        <v>321</v>
      </c>
      <c r="B223" t="s">
        <v>104</v>
      </c>
      <c r="C223" t="s">
        <v>76</v>
      </c>
      <c r="D223" s="1">
        <v>32131</v>
      </c>
      <c r="E223" t="s">
        <v>584</v>
      </c>
      <c r="F223" t="s">
        <v>866</v>
      </c>
    </row>
    <row r="224" spans="1:6" x14ac:dyDescent="0.25">
      <c r="A224">
        <v>322</v>
      </c>
      <c r="B224" t="s">
        <v>86</v>
      </c>
      <c r="C224" t="s">
        <v>76</v>
      </c>
      <c r="D224" s="1">
        <v>10449</v>
      </c>
      <c r="E224" t="s">
        <v>585</v>
      </c>
      <c r="F224" t="s">
        <v>866</v>
      </c>
    </row>
    <row r="225" spans="1:6" x14ac:dyDescent="0.25">
      <c r="A225">
        <v>323</v>
      </c>
      <c r="B225" t="s">
        <v>72</v>
      </c>
      <c r="C225" t="s">
        <v>73</v>
      </c>
      <c r="D225" s="1">
        <v>18743</v>
      </c>
      <c r="E225" t="s">
        <v>586</v>
      </c>
      <c r="F225" t="s">
        <v>872</v>
      </c>
    </row>
    <row r="226" spans="1:6" x14ac:dyDescent="0.25">
      <c r="A226">
        <v>324</v>
      </c>
      <c r="B226" t="s">
        <v>84</v>
      </c>
      <c r="C226" t="s">
        <v>73</v>
      </c>
      <c r="D226" s="1">
        <v>30281</v>
      </c>
      <c r="E226" t="s">
        <v>587</v>
      </c>
      <c r="F226" t="s">
        <v>870</v>
      </c>
    </row>
    <row r="227" spans="1:6" x14ac:dyDescent="0.25">
      <c r="A227">
        <v>325</v>
      </c>
      <c r="B227" t="s">
        <v>99</v>
      </c>
      <c r="C227" t="s">
        <v>76</v>
      </c>
      <c r="D227" s="1">
        <v>28798</v>
      </c>
      <c r="E227" t="s">
        <v>588</v>
      </c>
      <c r="F227" t="s">
        <v>871</v>
      </c>
    </row>
    <row r="228" spans="1:6" x14ac:dyDescent="0.25">
      <c r="A228">
        <v>326</v>
      </c>
      <c r="B228" t="s">
        <v>84</v>
      </c>
      <c r="C228" t="s">
        <v>73</v>
      </c>
      <c r="D228" s="1">
        <v>29202</v>
      </c>
      <c r="E228" t="s">
        <v>589</v>
      </c>
      <c r="F228" t="s">
        <v>868</v>
      </c>
    </row>
    <row r="229" spans="1:6" x14ac:dyDescent="0.25">
      <c r="A229">
        <v>327</v>
      </c>
      <c r="B229" t="s">
        <v>82</v>
      </c>
      <c r="C229" t="s">
        <v>73</v>
      </c>
      <c r="D229" s="1">
        <v>36746</v>
      </c>
      <c r="E229" t="s">
        <v>590</v>
      </c>
      <c r="F229" t="s">
        <v>867</v>
      </c>
    </row>
    <row r="230" spans="1:6" x14ac:dyDescent="0.25">
      <c r="A230">
        <v>328</v>
      </c>
      <c r="B230" t="s">
        <v>78</v>
      </c>
      <c r="C230" t="s">
        <v>73</v>
      </c>
      <c r="D230" s="1">
        <v>26135</v>
      </c>
      <c r="E230" t="s">
        <v>591</v>
      </c>
      <c r="F230" t="s">
        <v>870</v>
      </c>
    </row>
    <row r="231" spans="1:6" x14ac:dyDescent="0.25">
      <c r="A231">
        <v>329</v>
      </c>
      <c r="B231" t="s">
        <v>75</v>
      </c>
      <c r="C231" t="s">
        <v>76</v>
      </c>
      <c r="D231" s="1">
        <v>10213</v>
      </c>
      <c r="E231" t="s">
        <v>592</v>
      </c>
      <c r="F231" t="s">
        <v>866</v>
      </c>
    </row>
    <row r="232" spans="1:6" x14ac:dyDescent="0.25">
      <c r="A232">
        <v>330</v>
      </c>
      <c r="B232" t="s">
        <v>104</v>
      </c>
      <c r="C232" t="s">
        <v>76</v>
      </c>
      <c r="D232" s="1">
        <v>11702</v>
      </c>
      <c r="E232" t="s">
        <v>593</v>
      </c>
      <c r="F232" t="s">
        <v>873</v>
      </c>
    </row>
    <row r="233" spans="1:6" x14ac:dyDescent="0.25">
      <c r="A233">
        <v>331</v>
      </c>
      <c r="B233" t="s">
        <v>122</v>
      </c>
      <c r="C233" t="s">
        <v>73</v>
      </c>
      <c r="D233" s="1">
        <v>27842</v>
      </c>
      <c r="E233" t="s">
        <v>594</v>
      </c>
      <c r="F233" t="s">
        <v>873</v>
      </c>
    </row>
    <row r="234" spans="1:6" x14ac:dyDescent="0.25">
      <c r="A234">
        <v>332</v>
      </c>
      <c r="B234" t="s">
        <v>122</v>
      </c>
      <c r="C234" t="s">
        <v>73</v>
      </c>
      <c r="D234" s="1">
        <v>38673</v>
      </c>
      <c r="E234" t="s">
        <v>595</v>
      </c>
      <c r="F234" t="s">
        <v>869</v>
      </c>
    </row>
    <row r="235" spans="1:6" x14ac:dyDescent="0.25">
      <c r="A235">
        <v>333</v>
      </c>
      <c r="B235" t="s">
        <v>80</v>
      </c>
      <c r="C235" t="s">
        <v>73</v>
      </c>
      <c r="D235" s="1">
        <v>36636</v>
      </c>
      <c r="E235" t="s">
        <v>596</v>
      </c>
      <c r="F235" t="s">
        <v>869</v>
      </c>
    </row>
    <row r="236" spans="1:6" x14ac:dyDescent="0.25">
      <c r="A236">
        <v>334</v>
      </c>
      <c r="B236" t="s">
        <v>104</v>
      </c>
      <c r="C236" t="s">
        <v>76</v>
      </c>
      <c r="D236" s="1">
        <v>15956</v>
      </c>
      <c r="E236" t="s">
        <v>597</v>
      </c>
      <c r="F236" t="s">
        <v>873</v>
      </c>
    </row>
    <row r="237" spans="1:6" x14ac:dyDescent="0.25">
      <c r="A237">
        <v>335</v>
      </c>
      <c r="B237" t="s">
        <v>84</v>
      </c>
      <c r="C237" t="s">
        <v>73</v>
      </c>
      <c r="D237" s="1">
        <v>33875</v>
      </c>
      <c r="E237" t="s">
        <v>598</v>
      </c>
      <c r="F237" t="s">
        <v>869</v>
      </c>
    </row>
    <row r="238" spans="1:6" x14ac:dyDescent="0.25">
      <c r="A238">
        <v>336</v>
      </c>
      <c r="B238" t="s">
        <v>104</v>
      </c>
      <c r="C238" t="s">
        <v>76</v>
      </c>
      <c r="D238" s="1">
        <v>25028</v>
      </c>
      <c r="E238" t="s">
        <v>599</v>
      </c>
      <c r="F238" t="s">
        <v>869</v>
      </c>
    </row>
    <row r="239" spans="1:6" x14ac:dyDescent="0.25">
      <c r="A239">
        <v>337</v>
      </c>
      <c r="B239" t="s">
        <v>120</v>
      </c>
      <c r="C239" t="s">
        <v>73</v>
      </c>
      <c r="D239" s="1">
        <v>34646</v>
      </c>
      <c r="E239" t="s">
        <v>600</v>
      </c>
      <c r="F239" t="s">
        <v>866</v>
      </c>
    </row>
    <row r="240" spans="1:6" x14ac:dyDescent="0.25">
      <c r="A240">
        <v>338</v>
      </c>
      <c r="B240" t="s">
        <v>94</v>
      </c>
      <c r="C240" t="s">
        <v>73</v>
      </c>
      <c r="D240" s="1">
        <v>43601</v>
      </c>
      <c r="E240" t="s">
        <v>601</v>
      </c>
      <c r="F240" t="s">
        <v>867</v>
      </c>
    </row>
    <row r="241" spans="1:6" x14ac:dyDescent="0.25">
      <c r="A241">
        <v>339</v>
      </c>
      <c r="B241" t="s">
        <v>80</v>
      </c>
      <c r="C241" t="s">
        <v>73</v>
      </c>
      <c r="D241" s="1">
        <v>31188</v>
      </c>
      <c r="E241" t="s">
        <v>602</v>
      </c>
      <c r="F241" t="s">
        <v>871</v>
      </c>
    </row>
    <row r="242" spans="1:6" x14ac:dyDescent="0.25">
      <c r="A242">
        <v>340</v>
      </c>
      <c r="B242" t="s">
        <v>82</v>
      </c>
      <c r="C242" t="s">
        <v>73</v>
      </c>
      <c r="D242" s="1">
        <v>15236</v>
      </c>
      <c r="E242" t="s">
        <v>603</v>
      </c>
      <c r="F242" t="s">
        <v>871</v>
      </c>
    </row>
    <row r="243" spans="1:6" x14ac:dyDescent="0.25">
      <c r="A243">
        <v>341</v>
      </c>
      <c r="B243" t="s">
        <v>92</v>
      </c>
      <c r="C243" t="s">
        <v>76</v>
      </c>
      <c r="D243" s="1">
        <v>32944</v>
      </c>
      <c r="E243" t="s">
        <v>604</v>
      </c>
      <c r="F243" t="s">
        <v>873</v>
      </c>
    </row>
    <row r="244" spans="1:6" x14ac:dyDescent="0.25">
      <c r="A244">
        <v>342</v>
      </c>
      <c r="B244" t="s">
        <v>99</v>
      </c>
      <c r="C244" t="s">
        <v>76</v>
      </c>
      <c r="D244" s="1">
        <v>39942</v>
      </c>
      <c r="E244" t="s">
        <v>605</v>
      </c>
      <c r="F244" t="s">
        <v>869</v>
      </c>
    </row>
    <row r="245" spans="1:6" x14ac:dyDescent="0.25">
      <c r="A245">
        <v>343</v>
      </c>
      <c r="B245" t="s">
        <v>125</v>
      </c>
      <c r="C245" t="s">
        <v>76</v>
      </c>
      <c r="D245" s="1">
        <v>35302</v>
      </c>
      <c r="E245" t="s">
        <v>606</v>
      </c>
      <c r="F245" t="s">
        <v>866</v>
      </c>
    </row>
    <row r="246" spans="1:6" x14ac:dyDescent="0.25">
      <c r="A246">
        <v>344</v>
      </c>
      <c r="B246" t="s">
        <v>84</v>
      </c>
      <c r="C246" t="s">
        <v>73</v>
      </c>
      <c r="D246" s="1">
        <v>43921</v>
      </c>
      <c r="E246" t="s">
        <v>607</v>
      </c>
      <c r="F246" t="s">
        <v>869</v>
      </c>
    </row>
    <row r="247" spans="1:6" x14ac:dyDescent="0.25">
      <c r="A247">
        <v>345</v>
      </c>
      <c r="B247" t="s">
        <v>104</v>
      </c>
      <c r="C247" t="s">
        <v>76</v>
      </c>
      <c r="D247" s="1">
        <v>29413</v>
      </c>
      <c r="E247" t="s">
        <v>608</v>
      </c>
      <c r="F247" t="s">
        <v>873</v>
      </c>
    </row>
    <row r="248" spans="1:6" x14ac:dyDescent="0.25">
      <c r="A248">
        <v>346</v>
      </c>
      <c r="B248" t="s">
        <v>78</v>
      </c>
      <c r="C248" t="s">
        <v>73</v>
      </c>
      <c r="D248" s="1">
        <v>33183</v>
      </c>
      <c r="E248" t="s">
        <v>609</v>
      </c>
      <c r="F248" t="s">
        <v>870</v>
      </c>
    </row>
    <row r="249" spans="1:6" x14ac:dyDescent="0.25">
      <c r="A249">
        <v>347</v>
      </c>
      <c r="B249" t="s">
        <v>80</v>
      </c>
      <c r="C249" t="s">
        <v>73</v>
      </c>
      <c r="D249" s="1">
        <v>18480</v>
      </c>
      <c r="E249" t="s">
        <v>610</v>
      </c>
      <c r="F249" t="s">
        <v>868</v>
      </c>
    </row>
    <row r="250" spans="1:6" x14ac:dyDescent="0.25">
      <c r="A250">
        <v>348</v>
      </c>
      <c r="B250" t="s">
        <v>78</v>
      </c>
      <c r="C250" t="s">
        <v>73</v>
      </c>
      <c r="D250" s="1">
        <v>12319</v>
      </c>
      <c r="E250" t="s">
        <v>611</v>
      </c>
      <c r="F250" t="s">
        <v>868</v>
      </c>
    </row>
    <row r="251" spans="1:6" x14ac:dyDescent="0.25">
      <c r="A251">
        <v>349</v>
      </c>
      <c r="B251" t="s">
        <v>80</v>
      </c>
      <c r="C251" t="s">
        <v>73</v>
      </c>
      <c r="D251" s="1">
        <v>25604</v>
      </c>
      <c r="E251" t="s">
        <v>612</v>
      </c>
      <c r="F251" t="s">
        <v>872</v>
      </c>
    </row>
    <row r="252" spans="1:6" x14ac:dyDescent="0.25">
      <c r="A252">
        <v>350</v>
      </c>
      <c r="B252" t="s">
        <v>125</v>
      </c>
      <c r="C252" t="s">
        <v>76</v>
      </c>
      <c r="D252" s="1">
        <v>16234</v>
      </c>
      <c r="E252" t="s">
        <v>613</v>
      </c>
      <c r="F252" t="s">
        <v>866</v>
      </c>
    </row>
    <row r="253" spans="1:6" x14ac:dyDescent="0.25">
      <c r="A253">
        <v>351</v>
      </c>
      <c r="B253" t="s">
        <v>104</v>
      </c>
      <c r="C253" t="s">
        <v>76</v>
      </c>
      <c r="D253" s="1">
        <v>11254</v>
      </c>
      <c r="E253" t="s">
        <v>614</v>
      </c>
      <c r="F253" t="s">
        <v>869</v>
      </c>
    </row>
    <row r="254" spans="1:6" x14ac:dyDescent="0.25">
      <c r="A254">
        <v>352</v>
      </c>
      <c r="B254" t="s">
        <v>82</v>
      </c>
      <c r="C254" t="s">
        <v>73</v>
      </c>
      <c r="D254" s="1">
        <v>44340</v>
      </c>
      <c r="E254" t="s">
        <v>615</v>
      </c>
      <c r="F254" t="s">
        <v>873</v>
      </c>
    </row>
    <row r="255" spans="1:6" x14ac:dyDescent="0.25">
      <c r="A255">
        <v>353</v>
      </c>
      <c r="B255" t="s">
        <v>89</v>
      </c>
      <c r="C255" t="s">
        <v>76</v>
      </c>
      <c r="D255" s="1">
        <v>18307</v>
      </c>
      <c r="E255" t="s">
        <v>616</v>
      </c>
      <c r="F255" t="s">
        <v>873</v>
      </c>
    </row>
    <row r="256" spans="1:6" x14ac:dyDescent="0.25">
      <c r="A256">
        <v>354</v>
      </c>
      <c r="B256" t="s">
        <v>92</v>
      </c>
      <c r="C256" t="s">
        <v>76</v>
      </c>
      <c r="D256" s="1">
        <v>17050</v>
      </c>
      <c r="E256" t="s">
        <v>617</v>
      </c>
      <c r="F256" t="s">
        <v>870</v>
      </c>
    </row>
    <row r="257" spans="1:6" x14ac:dyDescent="0.25">
      <c r="A257">
        <v>355</v>
      </c>
      <c r="B257" t="s">
        <v>75</v>
      </c>
      <c r="C257" t="s">
        <v>76</v>
      </c>
      <c r="D257" s="1">
        <v>19499</v>
      </c>
      <c r="E257" t="s">
        <v>618</v>
      </c>
      <c r="F257" t="s">
        <v>867</v>
      </c>
    </row>
    <row r="258" spans="1:6" x14ac:dyDescent="0.25">
      <c r="A258">
        <v>356</v>
      </c>
      <c r="B258" t="s">
        <v>99</v>
      </c>
      <c r="C258" t="s">
        <v>76</v>
      </c>
      <c r="D258" s="1">
        <v>25328</v>
      </c>
      <c r="E258" t="s">
        <v>619</v>
      </c>
      <c r="F258" t="s">
        <v>869</v>
      </c>
    </row>
    <row r="259" spans="1:6" x14ac:dyDescent="0.25">
      <c r="A259">
        <v>357</v>
      </c>
      <c r="B259" t="s">
        <v>125</v>
      </c>
      <c r="C259" t="s">
        <v>76</v>
      </c>
      <c r="D259" s="1">
        <v>10390</v>
      </c>
      <c r="E259" t="s">
        <v>620</v>
      </c>
      <c r="F259" t="s">
        <v>870</v>
      </c>
    </row>
    <row r="260" spans="1:6" x14ac:dyDescent="0.25">
      <c r="A260">
        <v>358</v>
      </c>
      <c r="B260" t="s">
        <v>122</v>
      </c>
      <c r="C260" t="s">
        <v>73</v>
      </c>
      <c r="D260" s="1">
        <v>38540</v>
      </c>
      <c r="E260" t="s">
        <v>621</v>
      </c>
      <c r="F260" t="s">
        <v>868</v>
      </c>
    </row>
    <row r="261" spans="1:6" x14ac:dyDescent="0.25">
      <c r="A261">
        <v>359</v>
      </c>
      <c r="B261" t="s">
        <v>125</v>
      </c>
      <c r="C261" t="s">
        <v>76</v>
      </c>
      <c r="D261" s="1">
        <v>28423</v>
      </c>
      <c r="E261" t="s">
        <v>622</v>
      </c>
      <c r="F261" t="s">
        <v>869</v>
      </c>
    </row>
    <row r="262" spans="1:6" x14ac:dyDescent="0.25">
      <c r="A262">
        <v>360</v>
      </c>
      <c r="B262" t="s">
        <v>72</v>
      </c>
      <c r="C262" t="s">
        <v>73</v>
      </c>
      <c r="D262" s="1">
        <v>27576</v>
      </c>
      <c r="E262" t="s">
        <v>623</v>
      </c>
      <c r="F262" t="s">
        <v>870</v>
      </c>
    </row>
    <row r="263" spans="1:6" x14ac:dyDescent="0.25">
      <c r="A263">
        <v>361</v>
      </c>
      <c r="B263" t="s">
        <v>80</v>
      </c>
      <c r="C263" t="s">
        <v>73</v>
      </c>
      <c r="D263" s="1">
        <v>23897</v>
      </c>
      <c r="E263" t="s">
        <v>624</v>
      </c>
      <c r="F263" t="s">
        <v>866</v>
      </c>
    </row>
    <row r="264" spans="1:6" x14ac:dyDescent="0.25">
      <c r="A264">
        <v>362</v>
      </c>
      <c r="B264" t="s">
        <v>86</v>
      </c>
      <c r="C264" t="s">
        <v>76</v>
      </c>
      <c r="D264" s="1">
        <v>33763</v>
      </c>
      <c r="E264" t="s">
        <v>625</v>
      </c>
      <c r="F264" t="s">
        <v>867</v>
      </c>
    </row>
    <row r="265" spans="1:6" x14ac:dyDescent="0.25">
      <c r="A265">
        <v>363</v>
      </c>
      <c r="B265" t="s">
        <v>104</v>
      </c>
      <c r="C265" t="s">
        <v>76</v>
      </c>
      <c r="D265" s="1">
        <v>44031</v>
      </c>
      <c r="E265" t="s">
        <v>626</v>
      </c>
      <c r="F265" t="s">
        <v>866</v>
      </c>
    </row>
    <row r="266" spans="1:6" x14ac:dyDescent="0.25">
      <c r="A266">
        <v>364</v>
      </c>
      <c r="B266" t="s">
        <v>78</v>
      </c>
      <c r="C266" t="s">
        <v>73</v>
      </c>
      <c r="D266" s="1">
        <v>32528</v>
      </c>
      <c r="E266" t="s">
        <v>627</v>
      </c>
      <c r="F266" t="s">
        <v>870</v>
      </c>
    </row>
    <row r="267" spans="1:6" x14ac:dyDescent="0.25">
      <c r="A267">
        <v>365</v>
      </c>
      <c r="B267" t="s">
        <v>78</v>
      </c>
      <c r="C267" t="s">
        <v>73</v>
      </c>
      <c r="D267" s="1">
        <v>10048</v>
      </c>
      <c r="E267" t="s">
        <v>628</v>
      </c>
      <c r="F267" t="s">
        <v>873</v>
      </c>
    </row>
    <row r="268" spans="1:6" x14ac:dyDescent="0.25">
      <c r="A268">
        <v>366</v>
      </c>
      <c r="B268" t="s">
        <v>104</v>
      </c>
      <c r="C268" t="s">
        <v>76</v>
      </c>
      <c r="D268" s="1">
        <v>17366</v>
      </c>
      <c r="E268" t="s">
        <v>629</v>
      </c>
      <c r="F268" t="s">
        <v>869</v>
      </c>
    </row>
    <row r="269" spans="1:6" x14ac:dyDescent="0.25">
      <c r="A269">
        <v>367</v>
      </c>
      <c r="B269" t="s">
        <v>80</v>
      </c>
      <c r="C269" t="s">
        <v>73</v>
      </c>
      <c r="D269" s="1">
        <v>13226</v>
      </c>
      <c r="E269" t="s">
        <v>630</v>
      </c>
      <c r="F269" t="s">
        <v>870</v>
      </c>
    </row>
    <row r="270" spans="1:6" x14ac:dyDescent="0.25">
      <c r="A270">
        <v>368</v>
      </c>
      <c r="B270" t="s">
        <v>80</v>
      </c>
      <c r="C270" t="s">
        <v>73</v>
      </c>
      <c r="D270" s="1">
        <v>18462</v>
      </c>
      <c r="E270" t="s">
        <v>631</v>
      </c>
      <c r="F270" t="s">
        <v>870</v>
      </c>
    </row>
    <row r="271" spans="1:6" x14ac:dyDescent="0.25">
      <c r="A271">
        <v>369</v>
      </c>
      <c r="B271" t="s">
        <v>86</v>
      </c>
      <c r="C271" t="s">
        <v>76</v>
      </c>
      <c r="D271" s="1">
        <v>31927</v>
      </c>
      <c r="E271" t="s">
        <v>632</v>
      </c>
      <c r="F271" t="s">
        <v>872</v>
      </c>
    </row>
    <row r="272" spans="1:6" x14ac:dyDescent="0.25">
      <c r="A272">
        <v>370</v>
      </c>
      <c r="B272" t="s">
        <v>89</v>
      </c>
      <c r="C272" t="s">
        <v>76</v>
      </c>
      <c r="D272" s="1">
        <v>29265</v>
      </c>
      <c r="E272" t="s">
        <v>633</v>
      </c>
      <c r="F272" t="s">
        <v>872</v>
      </c>
    </row>
    <row r="273" spans="1:6" x14ac:dyDescent="0.25">
      <c r="A273">
        <v>371</v>
      </c>
      <c r="B273" t="s">
        <v>80</v>
      </c>
      <c r="C273" t="s">
        <v>73</v>
      </c>
      <c r="D273" s="1">
        <v>30276</v>
      </c>
      <c r="E273" t="s">
        <v>634</v>
      </c>
      <c r="F273" t="s">
        <v>871</v>
      </c>
    </row>
    <row r="274" spans="1:6" x14ac:dyDescent="0.25">
      <c r="A274">
        <v>372</v>
      </c>
      <c r="B274" t="s">
        <v>127</v>
      </c>
      <c r="C274" t="s">
        <v>76</v>
      </c>
      <c r="D274" s="1">
        <v>36842</v>
      </c>
      <c r="E274" t="s">
        <v>635</v>
      </c>
      <c r="F274" t="s">
        <v>872</v>
      </c>
    </row>
    <row r="275" spans="1:6" x14ac:dyDescent="0.25">
      <c r="A275">
        <v>373</v>
      </c>
      <c r="B275" t="s">
        <v>80</v>
      </c>
      <c r="C275" t="s">
        <v>73</v>
      </c>
      <c r="D275" s="1">
        <v>30550</v>
      </c>
      <c r="E275" t="s">
        <v>636</v>
      </c>
      <c r="F275" t="s">
        <v>867</v>
      </c>
    </row>
    <row r="276" spans="1:6" x14ac:dyDescent="0.25">
      <c r="A276">
        <v>374</v>
      </c>
      <c r="B276" t="s">
        <v>75</v>
      </c>
      <c r="C276" t="s">
        <v>76</v>
      </c>
      <c r="D276" s="1">
        <v>29481</v>
      </c>
      <c r="E276" t="s">
        <v>637</v>
      </c>
      <c r="F276" t="s">
        <v>869</v>
      </c>
    </row>
    <row r="277" spans="1:6" x14ac:dyDescent="0.25">
      <c r="A277">
        <v>375</v>
      </c>
      <c r="B277" t="s">
        <v>104</v>
      </c>
      <c r="C277" t="s">
        <v>76</v>
      </c>
      <c r="D277" s="1">
        <v>25863</v>
      </c>
      <c r="E277" t="s">
        <v>638</v>
      </c>
      <c r="F277" t="s">
        <v>868</v>
      </c>
    </row>
    <row r="278" spans="1:6" x14ac:dyDescent="0.25">
      <c r="A278">
        <v>376</v>
      </c>
      <c r="B278" t="s">
        <v>89</v>
      </c>
      <c r="C278" t="s">
        <v>76</v>
      </c>
      <c r="D278" s="1">
        <v>10464</v>
      </c>
      <c r="E278" t="s">
        <v>639</v>
      </c>
      <c r="F278" t="s">
        <v>867</v>
      </c>
    </row>
    <row r="279" spans="1:6" x14ac:dyDescent="0.25">
      <c r="A279">
        <v>377</v>
      </c>
      <c r="B279" t="s">
        <v>78</v>
      </c>
      <c r="C279" t="s">
        <v>73</v>
      </c>
      <c r="D279" s="1">
        <v>42524</v>
      </c>
      <c r="E279" t="s">
        <v>640</v>
      </c>
      <c r="F279" t="s">
        <v>870</v>
      </c>
    </row>
    <row r="280" spans="1:6" x14ac:dyDescent="0.25">
      <c r="A280">
        <v>378</v>
      </c>
      <c r="B280" t="s">
        <v>127</v>
      </c>
      <c r="C280" t="s">
        <v>76</v>
      </c>
      <c r="D280" s="1">
        <v>28103</v>
      </c>
      <c r="E280" t="s">
        <v>641</v>
      </c>
      <c r="F280" t="s">
        <v>867</v>
      </c>
    </row>
    <row r="281" spans="1:6" x14ac:dyDescent="0.25">
      <c r="A281">
        <v>379</v>
      </c>
      <c r="B281" t="s">
        <v>120</v>
      </c>
      <c r="C281" t="s">
        <v>73</v>
      </c>
      <c r="D281" s="1">
        <v>10915</v>
      </c>
      <c r="E281" t="s">
        <v>642</v>
      </c>
      <c r="F281" t="s">
        <v>868</v>
      </c>
    </row>
    <row r="282" spans="1:6" x14ac:dyDescent="0.25">
      <c r="A282">
        <v>380</v>
      </c>
      <c r="B282" t="s">
        <v>127</v>
      </c>
      <c r="C282" t="s">
        <v>76</v>
      </c>
      <c r="D282" s="1">
        <v>17697</v>
      </c>
      <c r="E282" t="s">
        <v>643</v>
      </c>
      <c r="F282" t="s">
        <v>871</v>
      </c>
    </row>
    <row r="283" spans="1:6" x14ac:dyDescent="0.25">
      <c r="A283">
        <v>381</v>
      </c>
      <c r="B283" t="s">
        <v>94</v>
      </c>
      <c r="C283" t="s">
        <v>73</v>
      </c>
      <c r="D283" s="1">
        <v>14335</v>
      </c>
      <c r="E283" t="s">
        <v>644</v>
      </c>
      <c r="F283" t="s">
        <v>872</v>
      </c>
    </row>
    <row r="284" spans="1:6" x14ac:dyDescent="0.25">
      <c r="A284">
        <v>382</v>
      </c>
      <c r="B284" t="s">
        <v>89</v>
      </c>
      <c r="C284" t="s">
        <v>76</v>
      </c>
      <c r="D284" s="1">
        <v>40963</v>
      </c>
      <c r="E284" t="s">
        <v>645</v>
      </c>
      <c r="F284" t="s">
        <v>868</v>
      </c>
    </row>
    <row r="285" spans="1:6" x14ac:dyDescent="0.25">
      <c r="A285">
        <v>383</v>
      </c>
      <c r="B285" t="s">
        <v>75</v>
      </c>
      <c r="C285" t="s">
        <v>76</v>
      </c>
      <c r="D285" s="1">
        <v>10782</v>
      </c>
      <c r="E285" t="s">
        <v>646</v>
      </c>
      <c r="F285" t="s">
        <v>867</v>
      </c>
    </row>
    <row r="286" spans="1:6" x14ac:dyDescent="0.25">
      <c r="A286">
        <v>384</v>
      </c>
      <c r="B286" t="s">
        <v>82</v>
      </c>
      <c r="C286" t="s">
        <v>73</v>
      </c>
      <c r="D286" s="1">
        <v>24129</v>
      </c>
      <c r="E286" t="s">
        <v>647</v>
      </c>
      <c r="F286" t="s">
        <v>868</v>
      </c>
    </row>
    <row r="287" spans="1:6" x14ac:dyDescent="0.25">
      <c r="A287">
        <v>385</v>
      </c>
      <c r="B287" t="s">
        <v>120</v>
      </c>
      <c r="C287" t="s">
        <v>73</v>
      </c>
      <c r="D287" s="1">
        <v>29723</v>
      </c>
      <c r="E287" t="s">
        <v>648</v>
      </c>
      <c r="F287" t="s">
        <v>869</v>
      </c>
    </row>
    <row r="288" spans="1:6" x14ac:dyDescent="0.25">
      <c r="A288">
        <v>386</v>
      </c>
      <c r="B288" t="s">
        <v>122</v>
      </c>
      <c r="C288" t="s">
        <v>73</v>
      </c>
      <c r="D288" s="1">
        <v>32688</v>
      </c>
      <c r="E288" t="s">
        <v>649</v>
      </c>
      <c r="F288" t="s">
        <v>868</v>
      </c>
    </row>
    <row r="289" spans="1:6" x14ac:dyDescent="0.25">
      <c r="A289">
        <v>387</v>
      </c>
      <c r="B289" t="s">
        <v>80</v>
      </c>
      <c r="C289" t="s">
        <v>73</v>
      </c>
      <c r="D289" s="1">
        <v>16210</v>
      </c>
      <c r="E289" t="s">
        <v>650</v>
      </c>
      <c r="F289" t="s">
        <v>871</v>
      </c>
    </row>
    <row r="290" spans="1:6" x14ac:dyDescent="0.25">
      <c r="A290">
        <v>388</v>
      </c>
      <c r="B290" t="s">
        <v>125</v>
      </c>
      <c r="C290" t="s">
        <v>76</v>
      </c>
      <c r="D290" s="1">
        <v>15707</v>
      </c>
      <c r="E290" t="s">
        <v>651</v>
      </c>
      <c r="F290" t="s">
        <v>871</v>
      </c>
    </row>
    <row r="291" spans="1:6" x14ac:dyDescent="0.25">
      <c r="A291">
        <v>389</v>
      </c>
      <c r="B291" t="s">
        <v>92</v>
      </c>
      <c r="C291" t="s">
        <v>76</v>
      </c>
      <c r="D291" s="1">
        <v>21252</v>
      </c>
      <c r="E291" t="s">
        <v>652</v>
      </c>
      <c r="F291" t="s">
        <v>866</v>
      </c>
    </row>
    <row r="292" spans="1:6" x14ac:dyDescent="0.25">
      <c r="A292">
        <v>390</v>
      </c>
      <c r="B292" t="s">
        <v>80</v>
      </c>
      <c r="C292" t="s">
        <v>73</v>
      </c>
      <c r="D292" s="1">
        <v>45089</v>
      </c>
      <c r="E292" t="s">
        <v>653</v>
      </c>
      <c r="F292" t="s">
        <v>867</v>
      </c>
    </row>
    <row r="293" spans="1:6" x14ac:dyDescent="0.25">
      <c r="A293">
        <v>391</v>
      </c>
      <c r="B293" t="s">
        <v>84</v>
      </c>
      <c r="C293" t="s">
        <v>73</v>
      </c>
      <c r="D293" s="1">
        <v>43623</v>
      </c>
      <c r="E293" t="s">
        <v>654</v>
      </c>
      <c r="F293" t="s">
        <v>870</v>
      </c>
    </row>
    <row r="294" spans="1:6" x14ac:dyDescent="0.25">
      <c r="A294">
        <v>392</v>
      </c>
      <c r="B294" t="s">
        <v>94</v>
      </c>
      <c r="C294" t="s">
        <v>73</v>
      </c>
      <c r="D294" s="1">
        <v>28030</v>
      </c>
      <c r="E294" t="s">
        <v>655</v>
      </c>
      <c r="F294" t="s">
        <v>868</v>
      </c>
    </row>
    <row r="295" spans="1:6" x14ac:dyDescent="0.25">
      <c r="A295">
        <v>393</v>
      </c>
      <c r="B295" t="s">
        <v>125</v>
      </c>
      <c r="C295" t="s">
        <v>76</v>
      </c>
      <c r="D295" s="1">
        <v>25753</v>
      </c>
      <c r="E295" t="s">
        <v>656</v>
      </c>
      <c r="F295" t="s">
        <v>866</v>
      </c>
    </row>
    <row r="296" spans="1:6" x14ac:dyDescent="0.25">
      <c r="A296">
        <v>394</v>
      </c>
      <c r="B296" t="s">
        <v>82</v>
      </c>
      <c r="C296" t="s">
        <v>73</v>
      </c>
      <c r="D296" s="1">
        <v>26493</v>
      </c>
      <c r="E296" t="s">
        <v>657</v>
      </c>
      <c r="F296" t="s">
        <v>868</v>
      </c>
    </row>
    <row r="297" spans="1:6" x14ac:dyDescent="0.25">
      <c r="A297">
        <v>395</v>
      </c>
      <c r="B297" t="s">
        <v>78</v>
      </c>
      <c r="C297" t="s">
        <v>73</v>
      </c>
      <c r="D297" s="1">
        <v>24026</v>
      </c>
      <c r="E297" t="s">
        <v>658</v>
      </c>
      <c r="F297" t="s">
        <v>866</v>
      </c>
    </row>
    <row r="298" spans="1:6" x14ac:dyDescent="0.25">
      <c r="A298">
        <v>396</v>
      </c>
      <c r="B298" t="s">
        <v>84</v>
      </c>
      <c r="C298" t="s">
        <v>73</v>
      </c>
      <c r="D298" s="1">
        <v>10249</v>
      </c>
      <c r="E298" t="s">
        <v>659</v>
      </c>
      <c r="F298" t="s">
        <v>869</v>
      </c>
    </row>
    <row r="299" spans="1:6" x14ac:dyDescent="0.25">
      <c r="A299">
        <v>397</v>
      </c>
      <c r="B299" t="s">
        <v>94</v>
      </c>
      <c r="C299" t="s">
        <v>73</v>
      </c>
      <c r="D299" s="1">
        <v>12120</v>
      </c>
      <c r="E299" t="s">
        <v>660</v>
      </c>
      <c r="F299" t="s">
        <v>871</v>
      </c>
    </row>
    <row r="300" spans="1:6" x14ac:dyDescent="0.25">
      <c r="A300">
        <v>398</v>
      </c>
      <c r="B300" t="s">
        <v>82</v>
      </c>
      <c r="C300" t="s">
        <v>73</v>
      </c>
      <c r="D300" s="1">
        <v>23928</v>
      </c>
      <c r="E300" t="s">
        <v>661</v>
      </c>
      <c r="F300" t="s">
        <v>871</v>
      </c>
    </row>
    <row r="301" spans="1:6" x14ac:dyDescent="0.25">
      <c r="A301">
        <v>399</v>
      </c>
      <c r="B301" t="s">
        <v>75</v>
      </c>
      <c r="C301" t="s">
        <v>76</v>
      </c>
      <c r="D301" s="1">
        <v>27398</v>
      </c>
      <c r="E301" t="s">
        <v>662</v>
      </c>
      <c r="F301" t="s">
        <v>868</v>
      </c>
    </row>
    <row r="302" spans="1:6" x14ac:dyDescent="0.25">
      <c r="A302">
        <v>400</v>
      </c>
      <c r="B302" t="s">
        <v>122</v>
      </c>
      <c r="C302" t="s">
        <v>73</v>
      </c>
      <c r="D302" s="1">
        <v>43411</v>
      </c>
      <c r="E302" t="s">
        <v>663</v>
      </c>
      <c r="F302" t="s">
        <v>866</v>
      </c>
    </row>
    <row r="303" spans="1:6" x14ac:dyDescent="0.25">
      <c r="A303">
        <v>401</v>
      </c>
      <c r="B303" t="s">
        <v>125</v>
      </c>
      <c r="C303" t="s">
        <v>76</v>
      </c>
      <c r="D303" s="1">
        <v>17613</v>
      </c>
      <c r="E303" t="s">
        <v>664</v>
      </c>
      <c r="F303" t="s">
        <v>867</v>
      </c>
    </row>
    <row r="304" spans="1:6" x14ac:dyDescent="0.25">
      <c r="A304">
        <v>402</v>
      </c>
      <c r="B304" t="s">
        <v>82</v>
      </c>
      <c r="C304" t="s">
        <v>73</v>
      </c>
      <c r="D304" s="1">
        <v>33758</v>
      </c>
      <c r="E304" t="s">
        <v>665</v>
      </c>
      <c r="F304" t="s">
        <v>873</v>
      </c>
    </row>
    <row r="305" spans="1:6" x14ac:dyDescent="0.25">
      <c r="A305">
        <v>403</v>
      </c>
      <c r="B305" t="s">
        <v>127</v>
      </c>
      <c r="C305" t="s">
        <v>76</v>
      </c>
      <c r="D305" s="1">
        <v>44161</v>
      </c>
      <c r="E305" t="s">
        <v>666</v>
      </c>
      <c r="F305" t="s">
        <v>868</v>
      </c>
    </row>
    <row r="306" spans="1:6" x14ac:dyDescent="0.25">
      <c r="A306">
        <v>404</v>
      </c>
      <c r="B306" t="s">
        <v>75</v>
      </c>
      <c r="C306" t="s">
        <v>76</v>
      </c>
      <c r="D306" s="1">
        <v>43236</v>
      </c>
      <c r="E306" t="s">
        <v>667</v>
      </c>
      <c r="F306" t="s">
        <v>867</v>
      </c>
    </row>
    <row r="307" spans="1:6" x14ac:dyDescent="0.25">
      <c r="A307">
        <v>405</v>
      </c>
      <c r="B307" t="s">
        <v>89</v>
      </c>
      <c r="C307" t="s">
        <v>76</v>
      </c>
      <c r="D307" s="1">
        <v>41723</v>
      </c>
      <c r="E307" t="s">
        <v>668</v>
      </c>
      <c r="F307" t="s">
        <v>873</v>
      </c>
    </row>
    <row r="308" spans="1:6" x14ac:dyDescent="0.25">
      <c r="A308">
        <v>406</v>
      </c>
      <c r="B308" t="s">
        <v>72</v>
      </c>
      <c r="C308" t="s">
        <v>73</v>
      </c>
      <c r="D308" s="1">
        <v>35792</v>
      </c>
      <c r="E308" t="s">
        <v>669</v>
      </c>
      <c r="F308" t="s">
        <v>870</v>
      </c>
    </row>
    <row r="309" spans="1:6" x14ac:dyDescent="0.25">
      <c r="A309">
        <v>407</v>
      </c>
      <c r="B309" t="s">
        <v>89</v>
      </c>
      <c r="C309" t="s">
        <v>76</v>
      </c>
      <c r="D309" s="1">
        <v>38823</v>
      </c>
      <c r="E309" t="s">
        <v>670</v>
      </c>
      <c r="F309" t="s">
        <v>869</v>
      </c>
    </row>
    <row r="310" spans="1:6" x14ac:dyDescent="0.25">
      <c r="A310">
        <v>408</v>
      </c>
      <c r="B310" t="s">
        <v>92</v>
      </c>
      <c r="C310" t="s">
        <v>76</v>
      </c>
      <c r="D310" s="1">
        <v>13706</v>
      </c>
      <c r="E310" t="s">
        <v>671</v>
      </c>
      <c r="F310" t="s">
        <v>870</v>
      </c>
    </row>
    <row r="311" spans="1:6" x14ac:dyDescent="0.25">
      <c r="A311">
        <v>409</v>
      </c>
      <c r="B311" t="s">
        <v>86</v>
      </c>
      <c r="C311" t="s">
        <v>76</v>
      </c>
      <c r="D311" s="1">
        <v>43180</v>
      </c>
      <c r="E311" t="s">
        <v>672</v>
      </c>
      <c r="F311" t="s">
        <v>873</v>
      </c>
    </row>
    <row r="312" spans="1:6" x14ac:dyDescent="0.25">
      <c r="A312">
        <v>410</v>
      </c>
      <c r="B312" t="s">
        <v>82</v>
      </c>
      <c r="C312" t="s">
        <v>73</v>
      </c>
      <c r="D312" s="1">
        <v>21420</v>
      </c>
      <c r="E312" t="s">
        <v>673</v>
      </c>
      <c r="F312" t="s">
        <v>871</v>
      </c>
    </row>
    <row r="313" spans="1:6" x14ac:dyDescent="0.25">
      <c r="A313">
        <v>411</v>
      </c>
      <c r="B313" t="s">
        <v>120</v>
      </c>
      <c r="C313" t="s">
        <v>73</v>
      </c>
      <c r="D313" s="1">
        <v>45236</v>
      </c>
      <c r="E313" t="s">
        <v>674</v>
      </c>
      <c r="F313" t="s">
        <v>872</v>
      </c>
    </row>
    <row r="314" spans="1:6" x14ac:dyDescent="0.25">
      <c r="A314">
        <v>412</v>
      </c>
      <c r="B314" t="s">
        <v>84</v>
      </c>
      <c r="C314" t="s">
        <v>73</v>
      </c>
      <c r="D314" s="1">
        <v>40763</v>
      </c>
      <c r="E314" t="s">
        <v>675</v>
      </c>
      <c r="F314" t="s">
        <v>867</v>
      </c>
    </row>
    <row r="315" spans="1:6" x14ac:dyDescent="0.25">
      <c r="A315">
        <v>413</v>
      </c>
      <c r="B315" t="s">
        <v>104</v>
      </c>
      <c r="C315" t="s">
        <v>76</v>
      </c>
      <c r="D315" s="1">
        <v>19976</v>
      </c>
      <c r="E315" t="s">
        <v>676</v>
      </c>
      <c r="F315" t="s">
        <v>872</v>
      </c>
    </row>
    <row r="316" spans="1:6" x14ac:dyDescent="0.25">
      <c r="A316">
        <v>414</v>
      </c>
      <c r="B316" t="s">
        <v>75</v>
      </c>
      <c r="C316" t="s">
        <v>76</v>
      </c>
      <c r="D316" s="1">
        <v>45506</v>
      </c>
      <c r="E316" t="s">
        <v>677</v>
      </c>
      <c r="F316" t="s">
        <v>868</v>
      </c>
    </row>
    <row r="317" spans="1:6" x14ac:dyDescent="0.25">
      <c r="A317">
        <v>415</v>
      </c>
      <c r="B317" t="s">
        <v>120</v>
      </c>
      <c r="C317" t="s">
        <v>73</v>
      </c>
      <c r="D317" s="1">
        <v>42240</v>
      </c>
      <c r="E317" t="s">
        <v>678</v>
      </c>
      <c r="F317" t="s">
        <v>871</v>
      </c>
    </row>
    <row r="318" spans="1:6" x14ac:dyDescent="0.25">
      <c r="A318">
        <v>416</v>
      </c>
      <c r="B318" t="s">
        <v>78</v>
      </c>
      <c r="C318" t="s">
        <v>73</v>
      </c>
      <c r="D318" s="1">
        <v>19944</v>
      </c>
      <c r="E318" t="s">
        <v>679</v>
      </c>
      <c r="F318" t="s">
        <v>868</v>
      </c>
    </row>
    <row r="319" spans="1:6" x14ac:dyDescent="0.25">
      <c r="A319">
        <v>417</v>
      </c>
      <c r="B319" t="s">
        <v>75</v>
      </c>
      <c r="C319" t="s">
        <v>76</v>
      </c>
      <c r="D319" s="1">
        <v>23058</v>
      </c>
      <c r="E319" t="s">
        <v>680</v>
      </c>
      <c r="F319" t="s">
        <v>873</v>
      </c>
    </row>
    <row r="320" spans="1:6" x14ac:dyDescent="0.25">
      <c r="A320">
        <v>418</v>
      </c>
      <c r="B320" t="s">
        <v>127</v>
      </c>
      <c r="C320" t="s">
        <v>76</v>
      </c>
      <c r="D320" s="1">
        <v>26182</v>
      </c>
      <c r="E320" t="s">
        <v>681</v>
      </c>
      <c r="F320" t="s">
        <v>869</v>
      </c>
    </row>
    <row r="321" spans="1:6" x14ac:dyDescent="0.25">
      <c r="A321">
        <v>419</v>
      </c>
      <c r="B321" t="s">
        <v>86</v>
      </c>
      <c r="C321" t="s">
        <v>76</v>
      </c>
      <c r="D321" s="1">
        <v>17904</v>
      </c>
      <c r="E321" t="s">
        <v>682</v>
      </c>
      <c r="F321" t="s">
        <v>873</v>
      </c>
    </row>
    <row r="322" spans="1:6" x14ac:dyDescent="0.25">
      <c r="A322">
        <v>420</v>
      </c>
      <c r="B322" t="s">
        <v>104</v>
      </c>
      <c r="C322" t="s">
        <v>76</v>
      </c>
      <c r="D322" s="1">
        <v>28763</v>
      </c>
      <c r="E322" t="s">
        <v>683</v>
      </c>
      <c r="F322" t="s">
        <v>866</v>
      </c>
    </row>
    <row r="323" spans="1:6" x14ac:dyDescent="0.25">
      <c r="A323">
        <v>421</v>
      </c>
      <c r="B323" t="s">
        <v>120</v>
      </c>
      <c r="C323" t="s">
        <v>73</v>
      </c>
      <c r="D323" s="1">
        <v>41579</v>
      </c>
      <c r="E323" t="s">
        <v>684</v>
      </c>
      <c r="F323" t="s">
        <v>869</v>
      </c>
    </row>
    <row r="324" spans="1:6" x14ac:dyDescent="0.25">
      <c r="A324">
        <v>422</v>
      </c>
      <c r="B324" t="s">
        <v>84</v>
      </c>
      <c r="C324" t="s">
        <v>73</v>
      </c>
      <c r="D324" s="1">
        <v>38778</v>
      </c>
      <c r="E324" t="s">
        <v>685</v>
      </c>
      <c r="F324" t="s">
        <v>872</v>
      </c>
    </row>
    <row r="325" spans="1:6" x14ac:dyDescent="0.25">
      <c r="A325">
        <v>423</v>
      </c>
      <c r="B325" t="s">
        <v>84</v>
      </c>
      <c r="C325" t="s">
        <v>73</v>
      </c>
      <c r="D325" s="1">
        <v>27761</v>
      </c>
      <c r="E325" t="s">
        <v>686</v>
      </c>
      <c r="F325" t="s">
        <v>871</v>
      </c>
    </row>
    <row r="326" spans="1:6" x14ac:dyDescent="0.25">
      <c r="A326">
        <v>424</v>
      </c>
      <c r="B326" t="s">
        <v>125</v>
      </c>
      <c r="C326" t="s">
        <v>76</v>
      </c>
      <c r="D326" s="1">
        <v>36000</v>
      </c>
      <c r="E326" t="s">
        <v>687</v>
      </c>
      <c r="F326" t="s">
        <v>866</v>
      </c>
    </row>
    <row r="327" spans="1:6" x14ac:dyDescent="0.25">
      <c r="A327">
        <v>425</v>
      </c>
      <c r="B327" t="s">
        <v>120</v>
      </c>
      <c r="C327" t="s">
        <v>73</v>
      </c>
      <c r="D327" s="1">
        <v>28809</v>
      </c>
      <c r="E327" t="s">
        <v>688</v>
      </c>
      <c r="F327" t="s">
        <v>872</v>
      </c>
    </row>
    <row r="328" spans="1:6" x14ac:dyDescent="0.25">
      <c r="A328">
        <v>426</v>
      </c>
      <c r="B328" t="s">
        <v>89</v>
      </c>
      <c r="C328" t="s">
        <v>76</v>
      </c>
      <c r="D328" s="1">
        <v>42642</v>
      </c>
      <c r="E328" t="s">
        <v>689</v>
      </c>
      <c r="F328" t="s">
        <v>870</v>
      </c>
    </row>
    <row r="329" spans="1:6" x14ac:dyDescent="0.25">
      <c r="A329">
        <v>427</v>
      </c>
      <c r="B329" t="s">
        <v>84</v>
      </c>
      <c r="C329" t="s">
        <v>73</v>
      </c>
      <c r="D329" s="1">
        <v>12417</v>
      </c>
      <c r="E329" t="s">
        <v>690</v>
      </c>
      <c r="F329" t="s">
        <v>871</v>
      </c>
    </row>
    <row r="330" spans="1:6" x14ac:dyDescent="0.25">
      <c r="A330">
        <v>428</v>
      </c>
      <c r="B330" t="s">
        <v>125</v>
      </c>
      <c r="C330" t="s">
        <v>76</v>
      </c>
      <c r="D330" s="1">
        <v>30108</v>
      </c>
      <c r="E330" t="s">
        <v>691</v>
      </c>
      <c r="F330" t="s">
        <v>871</v>
      </c>
    </row>
    <row r="331" spans="1:6" x14ac:dyDescent="0.25">
      <c r="A331">
        <v>429</v>
      </c>
      <c r="B331" t="s">
        <v>89</v>
      </c>
      <c r="C331" t="s">
        <v>76</v>
      </c>
      <c r="D331" s="1">
        <v>16311</v>
      </c>
      <c r="E331" t="s">
        <v>692</v>
      </c>
      <c r="F331" t="s">
        <v>871</v>
      </c>
    </row>
    <row r="332" spans="1:6" x14ac:dyDescent="0.25">
      <c r="A332">
        <v>430</v>
      </c>
      <c r="B332" t="s">
        <v>80</v>
      </c>
      <c r="C332" t="s">
        <v>73</v>
      </c>
      <c r="D332" s="1">
        <v>33893</v>
      </c>
      <c r="E332" t="s">
        <v>693</v>
      </c>
      <c r="F332" t="s">
        <v>869</v>
      </c>
    </row>
    <row r="333" spans="1:6" x14ac:dyDescent="0.25">
      <c r="A333">
        <v>431</v>
      </c>
      <c r="B333" t="s">
        <v>122</v>
      </c>
      <c r="C333" t="s">
        <v>73</v>
      </c>
      <c r="D333" s="1">
        <v>43346</v>
      </c>
      <c r="E333" t="s">
        <v>694</v>
      </c>
      <c r="F333" t="s">
        <v>873</v>
      </c>
    </row>
    <row r="334" spans="1:6" x14ac:dyDescent="0.25">
      <c r="A334">
        <v>432</v>
      </c>
      <c r="B334" t="s">
        <v>92</v>
      </c>
      <c r="C334" t="s">
        <v>76</v>
      </c>
      <c r="D334" s="1">
        <v>37774</v>
      </c>
      <c r="E334" t="s">
        <v>695</v>
      </c>
      <c r="F334" t="s">
        <v>871</v>
      </c>
    </row>
    <row r="335" spans="1:6" x14ac:dyDescent="0.25">
      <c r="A335">
        <v>433</v>
      </c>
      <c r="B335" t="s">
        <v>82</v>
      </c>
      <c r="C335" t="s">
        <v>73</v>
      </c>
      <c r="D335" s="1">
        <v>17701</v>
      </c>
      <c r="E335" t="s">
        <v>696</v>
      </c>
      <c r="F335" t="s">
        <v>872</v>
      </c>
    </row>
    <row r="336" spans="1:6" x14ac:dyDescent="0.25">
      <c r="A336">
        <v>434</v>
      </c>
      <c r="B336" t="s">
        <v>84</v>
      </c>
      <c r="C336" t="s">
        <v>73</v>
      </c>
      <c r="D336" s="1">
        <v>33606</v>
      </c>
      <c r="E336" t="s">
        <v>697</v>
      </c>
      <c r="F336" t="s">
        <v>871</v>
      </c>
    </row>
    <row r="337" spans="1:6" x14ac:dyDescent="0.25">
      <c r="A337">
        <v>435</v>
      </c>
      <c r="B337" t="s">
        <v>84</v>
      </c>
      <c r="C337" t="s">
        <v>73</v>
      </c>
      <c r="D337" s="1">
        <v>41747</v>
      </c>
      <c r="E337" t="s">
        <v>698</v>
      </c>
      <c r="F337" t="s">
        <v>867</v>
      </c>
    </row>
    <row r="338" spans="1:6" x14ac:dyDescent="0.25">
      <c r="A338">
        <v>436</v>
      </c>
      <c r="B338" t="s">
        <v>75</v>
      </c>
      <c r="C338" t="s">
        <v>76</v>
      </c>
      <c r="D338" s="1">
        <v>12161</v>
      </c>
      <c r="E338" t="s">
        <v>699</v>
      </c>
      <c r="F338" t="s">
        <v>872</v>
      </c>
    </row>
    <row r="339" spans="1:6" x14ac:dyDescent="0.25">
      <c r="A339">
        <v>437</v>
      </c>
      <c r="B339" t="s">
        <v>84</v>
      </c>
      <c r="C339" t="s">
        <v>73</v>
      </c>
      <c r="D339" s="1">
        <v>21901</v>
      </c>
      <c r="E339" t="s">
        <v>700</v>
      </c>
      <c r="F339" t="s">
        <v>872</v>
      </c>
    </row>
    <row r="340" spans="1:6" x14ac:dyDescent="0.25">
      <c r="A340">
        <v>438</v>
      </c>
      <c r="B340" t="s">
        <v>104</v>
      </c>
      <c r="C340" t="s">
        <v>76</v>
      </c>
      <c r="D340" s="1">
        <v>29173</v>
      </c>
      <c r="E340" t="s">
        <v>701</v>
      </c>
      <c r="F340" t="s">
        <v>871</v>
      </c>
    </row>
    <row r="341" spans="1:6" x14ac:dyDescent="0.25">
      <c r="A341">
        <v>439</v>
      </c>
      <c r="B341" t="s">
        <v>82</v>
      </c>
      <c r="C341" t="s">
        <v>73</v>
      </c>
      <c r="D341" s="1">
        <v>32943</v>
      </c>
      <c r="E341" t="s">
        <v>702</v>
      </c>
      <c r="F341" t="s">
        <v>873</v>
      </c>
    </row>
    <row r="342" spans="1:6" x14ac:dyDescent="0.25">
      <c r="A342">
        <v>440</v>
      </c>
      <c r="B342" t="s">
        <v>86</v>
      </c>
      <c r="C342" t="s">
        <v>76</v>
      </c>
      <c r="D342" s="1">
        <v>18274</v>
      </c>
      <c r="E342" t="s">
        <v>703</v>
      </c>
      <c r="F342" t="s">
        <v>872</v>
      </c>
    </row>
    <row r="343" spans="1:6" x14ac:dyDescent="0.25">
      <c r="A343">
        <v>441</v>
      </c>
      <c r="B343" t="s">
        <v>86</v>
      </c>
      <c r="C343" t="s">
        <v>76</v>
      </c>
      <c r="D343" s="1">
        <v>31991</v>
      </c>
      <c r="E343" t="s">
        <v>704</v>
      </c>
      <c r="F343" t="s">
        <v>867</v>
      </c>
    </row>
    <row r="344" spans="1:6" x14ac:dyDescent="0.25">
      <c r="A344">
        <v>442</v>
      </c>
      <c r="B344" t="s">
        <v>125</v>
      </c>
      <c r="C344" t="s">
        <v>76</v>
      </c>
      <c r="D344" s="1">
        <v>16145</v>
      </c>
      <c r="E344" t="s">
        <v>705</v>
      </c>
      <c r="F344" t="s">
        <v>869</v>
      </c>
    </row>
    <row r="345" spans="1:6" x14ac:dyDescent="0.25">
      <c r="A345">
        <v>443</v>
      </c>
      <c r="B345" t="s">
        <v>82</v>
      </c>
      <c r="C345" t="s">
        <v>73</v>
      </c>
      <c r="D345" s="1">
        <v>38849</v>
      </c>
      <c r="E345" t="s">
        <v>706</v>
      </c>
      <c r="F345" t="s">
        <v>867</v>
      </c>
    </row>
    <row r="346" spans="1:6" x14ac:dyDescent="0.25">
      <c r="A346">
        <v>444</v>
      </c>
      <c r="B346" t="s">
        <v>80</v>
      </c>
      <c r="C346" t="s">
        <v>73</v>
      </c>
      <c r="D346" s="1">
        <v>34000</v>
      </c>
      <c r="E346" t="s">
        <v>707</v>
      </c>
      <c r="F346" t="s">
        <v>868</v>
      </c>
    </row>
    <row r="347" spans="1:6" x14ac:dyDescent="0.25">
      <c r="A347">
        <v>445</v>
      </c>
      <c r="B347" t="s">
        <v>125</v>
      </c>
      <c r="C347" t="s">
        <v>76</v>
      </c>
      <c r="D347" s="1">
        <v>25743</v>
      </c>
      <c r="E347" t="s">
        <v>708</v>
      </c>
      <c r="F347" t="s">
        <v>867</v>
      </c>
    </row>
    <row r="348" spans="1:6" x14ac:dyDescent="0.25">
      <c r="A348">
        <v>446</v>
      </c>
      <c r="B348" t="s">
        <v>120</v>
      </c>
      <c r="C348" t="s">
        <v>73</v>
      </c>
      <c r="D348" s="1">
        <v>12574</v>
      </c>
      <c r="E348" t="s">
        <v>709</v>
      </c>
      <c r="F348" t="s">
        <v>871</v>
      </c>
    </row>
    <row r="349" spans="1:6" x14ac:dyDescent="0.25">
      <c r="A349">
        <v>447</v>
      </c>
      <c r="B349" t="s">
        <v>72</v>
      </c>
      <c r="C349" t="s">
        <v>73</v>
      </c>
      <c r="D349" s="1">
        <v>12383</v>
      </c>
      <c r="E349" t="s">
        <v>710</v>
      </c>
      <c r="F349" t="s">
        <v>868</v>
      </c>
    </row>
    <row r="350" spans="1:6" x14ac:dyDescent="0.25">
      <c r="A350">
        <v>448</v>
      </c>
      <c r="B350" t="s">
        <v>99</v>
      </c>
      <c r="C350" t="s">
        <v>76</v>
      </c>
      <c r="D350" s="1">
        <v>11585</v>
      </c>
      <c r="E350" t="s">
        <v>711</v>
      </c>
      <c r="F350" t="s">
        <v>871</v>
      </c>
    </row>
    <row r="351" spans="1:6" x14ac:dyDescent="0.25">
      <c r="A351">
        <v>449</v>
      </c>
      <c r="B351" t="s">
        <v>120</v>
      </c>
      <c r="C351" t="s">
        <v>73</v>
      </c>
      <c r="D351" s="1">
        <v>17613</v>
      </c>
      <c r="E351" t="s">
        <v>712</v>
      </c>
      <c r="F351" t="s">
        <v>868</v>
      </c>
    </row>
    <row r="352" spans="1:6" x14ac:dyDescent="0.25">
      <c r="A352">
        <v>450</v>
      </c>
      <c r="B352" t="s">
        <v>125</v>
      </c>
      <c r="C352" t="s">
        <v>76</v>
      </c>
      <c r="D352" s="1">
        <v>21358</v>
      </c>
      <c r="E352" t="s">
        <v>713</v>
      </c>
      <c r="F352" t="s">
        <v>872</v>
      </c>
    </row>
    <row r="353" spans="1:6" x14ac:dyDescent="0.25">
      <c r="A353">
        <v>451</v>
      </c>
      <c r="B353" t="s">
        <v>120</v>
      </c>
      <c r="C353" t="s">
        <v>73</v>
      </c>
      <c r="D353" s="1">
        <v>30717</v>
      </c>
      <c r="E353" t="s">
        <v>714</v>
      </c>
      <c r="F353" t="s">
        <v>868</v>
      </c>
    </row>
    <row r="354" spans="1:6" x14ac:dyDescent="0.25">
      <c r="A354">
        <v>452</v>
      </c>
      <c r="B354" t="s">
        <v>127</v>
      </c>
      <c r="C354" t="s">
        <v>76</v>
      </c>
      <c r="D354" s="1">
        <v>20267</v>
      </c>
      <c r="E354" t="s">
        <v>715</v>
      </c>
      <c r="F354" t="s">
        <v>866</v>
      </c>
    </row>
    <row r="355" spans="1:6" x14ac:dyDescent="0.25">
      <c r="A355">
        <v>453</v>
      </c>
      <c r="B355" t="s">
        <v>89</v>
      </c>
      <c r="C355" t="s">
        <v>76</v>
      </c>
      <c r="D355" s="1">
        <v>21938</v>
      </c>
      <c r="E355" t="s">
        <v>716</v>
      </c>
      <c r="F355" t="s">
        <v>873</v>
      </c>
    </row>
    <row r="356" spans="1:6" x14ac:dyDescent="0.25">
      <c r="A356">
        <v>454</v>
      </c>
      <c r="B356" t="s">
        <v>127</v>
      </c>
      <c r="C356" t="s">
        <v>76</v>
      </c>
      <c r="D356" s="1">
        <v>15434</v>
      </c>
      <c r="E356" t="s">
        <v>717</v>
      </c>
      <c r="F356" t="s">
        <v>871</v>
      </c>
    </row>
    <row r="357" spans="1:6" x14ac:dyDescent="0.25">
      <c r="A357">
        <v>455</v>
      </c>
      <c r="B357" t="s">
        <v>78</v>
      </c>
      <c r="C357" t="s">
        <v>73</v>
      </c>
      <c r="D357" s="1">
        <v>30031</v>
      </c>
      <c r="E357" t="s">
        <v>718</v>
      </c>
      <c r="F357" t="s">
        <v>867</v>
      </c>
    </row>
    <row r="358" spans="1:6" x14ac:dyDescent="0.25">
      <c r="A358">
        <v>456</v>
      </c>
      <c r="B358" t="s">
        <v>127</v>
      </c>
      <c r="C358" t="s">
        <v>76</v>
      </c>
      <c r="D358" s="1">
        <v>38771</v>
      </c>
      <c r="E358" t="s">
        <v>719</v>
      </c>
      <c r="F358" t="s">
        <v>871</v>
      </c>
    </row>
    <row r="359" spans="1:6" x14ac:dyDescent="0.25">
      <c r="A359">
        <v>457</v>
      </c>
      <c r="B359" t="s">
        <v>104</v>
      </c>
      <c r="C359" t="s">
        <v>76</v>
      </c>
      <c r="D359" s="1">
        <v>22022</v>
      </c>
      <c r="E359" t="s">
        <v>720</v>
      </c>
      <c r="F359" t="s">
        <v>869</v>
      </c>
    </row>
    <row r="360" spans="1:6" x14ac:dyDescent="0.25">
      <c r="A360">
        <v>458</v>
      </c>
      <c r="B360" t="s">
        <v>82</v>
      </c>
      <c r="C360" t="s">
        <v>73</v>
      </c>
      <c r="D360" s="1">
        <v>35942</v>
      </c>
      <c r="E360" t="s">
        <v>721</v>
      </c>
      <c r="F360" t="s">
        <v>873</v>
      </c>
    </row>
    <row r="361" spans="1:6" x14ac:dyDescent="0.25">
      <c r="A361">
        <v>459</v>
      </c>
      <c r="B361" t="s">
        <v>99</v>
      </c>
      <c r="C361" t="s">
        <v>76</v>
      </c>
      <c r="D361" s="1">
        <v>28162</v>
      </c>
      <c r="E361" t="s">
        <v>722</v>
      </c>
      <c r="F361" t="s">
        <v>867</v>
      </c>
    </row>
    <row r="362" spans="1:6" x14ac:dyDescent="0.25">
      <c r="A362">
        <v>460</v>
      </c>
      <c r="B362" t="s">
        <v>127</v>
      </c>
      <c r="C362" t="s">
        <v>76</v>
      </c>
      <c r="D362" s="1">
        <v>11359</v>
      </c>
      <c r="E362" t="s">
        <v>723</v>
      </c>
      <c r="F362" t="s">
        <v>867</v>
      </c>
    </row>
    <row r="363" spans="1:6" x14ac:dyDescent="0.25">
      <c r="A363">
        <v>461</v>
      </c>
      <c r="B363" t="s">
        <v>92</v>
      </c>
      <c r="C363" t="s">
        <v>76</v>
      </c>
      <c r="D363" s="1">
        <v>40225</v>
      </c>
      <c r="E363" t="s">
        <v>724</v>
      </c>
      <c r="F363" t="s">
        <v>866</v>
      </c>
    </row>
    <row r="364" spans="1:6" x14ac:dyDescent="0.25">
      <c r="A364">
        <v>462</v>
      </c>
      <c r="B364" t="s">
        <v>127</v>
      </c>
      <c r="C364" t="s">
        <v>76</v>
      </c>
      <c r="D364" s="1">
        <v>41687</v>
      </c>
      <c r="E364" t="s">
        <v>725</v>
      </c>
      <c r="F364" t="s">
        <v>868</v>
      </c>
    </row>
    <row r="365" spans="1:6" x14ac:dyDescent="0.25">
      <c r="A365">
        <v>463</v>
      </c>
      <c r="B365" t="s">
        <v>94</v>
      </c>
      <c r="C365" t="s">
        <v>73</v>
      </c>
      <c r="D365" s="1">
        <v>22300</v>
      </c>
      <c r="E365" t="s">
        <v>726</v>
      </c>
      <c r="F365" t="s">
        <v>872</v>
      </c>
    </row>
    <row r="366" spans="1:6" x14ac:dyDescent="0.25">
      <c r="A366">
        <v>464</v>
      </c>
      <c r="B366" t="s">
        <v>125</v>
      </c>
      <c r="C366" t="s">
        <v>76</v>
      </c>
      <c r="D366" s="1">
        <v>10963</v>
      </c>
      <c r="E366" t="s">
        <v>727</v>
      </c>
      <c r="F366" t="s">
        <v>873</v>
      </c>
    </row>
    <row r="367" spans="1:6" x14ac:dyDescent="0.25">
      <c r="A367">
        <v>465</v>
      </c>
      <c r="B367" t="s">
        <v>92</v>
      </c>
      <c r="C367" t="s">
        <v>76</v>
      </c>
      <c r="D367" s="1">
        <v>34546</v>
      </c>
      <c r="E367" t="s">
        <v>728</v>
      </c>
      <c r="F367" t="s">
        <v>871</v>
      </c>
    </row>
    <row r="368" spans="1:6" x14ac:dyDescent="0.25">
      <c r="A368">
        <v>466</v>
      </c>
      <c r="B368" t="s">
        <v>94</v>
      </c>
      <c r="C368" t="s">
        <v>73</v>
      </c>
      <c r="D368" s="1">
        <v>24204</v>
      </c>
      <c r="E368" t="s">
        <v>729</v>
      </c>
      <c r="F368" t="s">
        <v>866</v>
      </c>
    </row>
    <row r="369" spans="1:6" x14ac:dyDescent="0.25">
      <c r="A369">
        <v>467</v>
      </c>
      <c r="B369" t="s">
        <v>99</v>
      </c>
      <c r="C369" t="s">
        <v>76</v>
      </c>
      <c r="D369" s="1">
        <v>44726</v>
      </c>
      <c r="E369" t="s">
        <v>730</v>
      </c>
      <c r="F369" t="s">
        <v>867</v>
      </c>
    </row>
    <row r="370" spans="1:6" x14ac:dyDescent="0.25">
      <c r="A370">
        <v>468</v>
      </c>
      <c r="B370" t="s">
        <v>120</v>
      </c>
      <c r="C370" t="s">
        <v>73</v>
      </c>
      <c r="D370" s="1">
        <v>44963</v>
      </c>
      <c r="E370" t="s">
        <v>731</v>
      </c>
      <c r="F370" t="s">
        <v>871</v>
      </c>
    </row>
    <row r="371" spans="1:6" x14ac:dyDescent="0.25">
      <c r="A371">
        <v>469</v>
      </c>
      <c r="B371" t="s">
        <v>86</v>
      </c>
      <c r="C371" t="s">
        <v>76</v>
      </c>
      <c r="D371" s="1">
        <v>34481</v>
      </c>
      <c r="E371" t="s">
        <v>732</v>
      </c>
      <c r="F371" t="s">
        <v>869</v>
      </c>
    </row>
    <row r="372" spans="1:6" x14ac:dyDescent="0.25">
      <c r="A372">
        <v>470</v>
      </c>
      <c r="B372" t="s">
        <v>86</v>
      </c>
      <c r="C372" t="s">
        <v>76</v>
      </c>
      <c r="D372" s="1">
        <v>29906</v>
      </c>
      <c r="E372" t="s">
        <v>733</v>
      </c>
      <c r="F372" t="s">
        <v>869</v>
      </c>
    </row>
    <row r="373" spans="1:6" x14ac:dyDescent="0.25">
      <c r="A373">
        <v>471</v>
      </c>
      <c r="B373" t="s">
        <v>122</v>
      </c>
      <c r="C373" t="s">
        <v>73</v>
      </c>
      <c r="D373" s="1">
        <v>44240</v>
      </c>
      <c r="E373" t="s">
        <v>734</v>
      </c>
      <c r="F373" t="s">
        <v>867</v>
      </c>
    </row>
    <row r="374" spans="1:6" x14ac:dyDescent="0.25">
      <c r="A374">
        <v>472</v>
      </c>
      <c r="B374" t="s">
        <v>120</v>
      </c>
      <c r="C374" t="s">
        <v>73</v>
      </c>
      <c r="D374" s="1">
        <v>15944</v>
      </c>
      <c r="E374" t="s">
        <v>735</v>
      </c>
      <c r="F374" t="s">
        <v>869</v>
      </c>
    </row>
    <row r="375" spans="1:6" x14ac:dyDescent="0.25">
      <c r="A375">
        <v>473</v>
      </c>
      <c r="B375" t="s">
        <v>94</v>
      </c>
      <c r="C375" t="s">
        <v>73</v>
      </c>
      <c r="D375" s="1">
        <v>34507</v>
      </c>
      <c r="E375" t="s">
        <v>736</v>
      </c>
      <c r="F375" t="s">
        <v>870</v>
      </c>
    </row>
    <row r="376" spans="1:6" x14ac:dyDescent="0.25">
      <c r="A376">
        <v>474</v>
      </c>
      <c r="B376" t="s">
        <v>92</v>
      </c>
      <c r="C376" t="s">
        <v>76</v>
      </c>
      <c r="D376" s="1">
        <v>25064</v>
      </c>
      <c r="E376" t="s">
        <v>737</v>
      </c>
      <c r="F376" t="s">
        <v>870</v>
      </c>
    </row>
    <row r="377" spans="1:6" x14ac:dyDescent="0.25">
      <c r="A377">
        <v>475</v>
      </c>
      <c r="B377" t="s">
        <v>94</v>
      </c>
      <c r="C377" t="s">
        <v>73</v>
      </c>
      <c r="D377" s="1">
        <v>28140</v>
      </c>
      <c r="E377" t="s">
        <v>738</v>
      </c>
      <c r="F377" t="s">
        <v>866</v>
      </c>
    </row>
    <row r="378" spans="1:6" x14ac:dyDescent="0.25">
      <c r="A378">
        <v>476</v>
      </c>
      <c r="B378" t="s">
        <v>94</v>
      </c>
      <c r="C378" t="s">
        <v>73</v>
      </c>
      <c r="D378" s="1">
        <v>45485</v>
      </c>
      <c r="E378" t="s">
        <v>739</v>
      </c>
      <c r="F378" t="s">
        <v>870</v>
      </c>
    </row>
    <row r="379" spans="1:6" x14ac:dyDescent="0.25">
      <c r="A379">
        <v>477</v>
      </c>
      <c r="B379" t="s">
        <v>89</v>
      </c>
      <c r="C379" t="s">
        <v>76</v>
      </c>
      <c r="D379" s="1">
        <v>39004</v>
      </c>
      <c r="E379" t="s">
        <v>740</v>
      </c>
      <c r="F379" t="s">
        <v>866</v>
      </c>
    </row>
    <row r="380" spans="1:6" x14ac:dyDescent="0.25">
      <c r="A380">
        <v>478</v>
      </c>
      <c r="B380" t="s">
        <v>86</v>
      </c>
      <c r="C380" t="s">
        <v>76</v>
      </c>
      <c r="D380" s="1">
        <v>35565</v>
      </c>
      <c r="E380" t="s">
        <v>741</v>
      </c>
      <c r="F380" t="s">
        <v>868</v>
      </c>
    </row>
    <row r="381" spans="1:6" x14ac:dyDescent="0.25">
      <c r="A381">
        <v>479</v>
      </c>
      <c r="B381" t="s">
        <v>84</v>
      </c>
      <c r="C381" t="s">
        <v>73</v>
      </c>
      <c r="D381" s="1">
        <v>41892</v>
      </c>
      <c r="E381" t="s">
        <v>742</v>
      </c>
      <c r="F381" t="s">
        <v>872</v>
      </c>
    </row>
    <row r="382" spans="1:6" x14ac:dyDescent="0.25">
      <c r="A382">
        <v>480</v>
      </c>
      <c r="B382" t="s">
        <v>94</v>
      </c>
      <c r="C382" t="s">
        <v>73</v>
      </c>
      <c r="D382" s="1">
        <v>26640</v>
      </c>
      <c r="E382" t="s">
        <v>743</v>
      </c>
      <c r="F382" t="s">
        <v>872</v>
      </c>
    </row>
    <row r="383" spans="1:6" x14ac:dyDescent="0.25">
      <c r="A383">
        <v>481</v>
      </c>
      <c r="B383" t="s">
        <v>86</v>
      </c>
      <c r="C383" t="s">
        <v>76</v>
      </c>
      <c r="D383" s="1">
        <v>36442</v>
      </c>
      <c r="E383" t="s">
        <v>744</v>
      </c>
      <c r="F383" t="s">
        <v>871</v>
      </c>
    </row>
    <row r="384" spans="1:6" x14ac:dyDescent="0.25">
      <c r="A384">
        <v>482</v>
      </c>
      <c r="B384" t="s">
        <v>89</v>
      </c>
      <c r="C384" t="s">
        <v>76</v>
      </c>
      <c r="D384" s="1">
        <v>34473</v>
      </c>
      <c r="E384" t="s">
        <v>745</v>
      </c>
      <c r="F384" t="s">
        <v>873</v>
      </c>
    </row>
    <row r="385" spans="1:6" x14ac:dyDescent="0.25">
      <c r="A385">
        <v>483</v>
      </c>
      <c r="B385" t="s">
        <v>125</v>
      </c>
      <c r="C385" t="s">
        <v>76</v>
      </c>
      <c r="D385" s="1">
        <v>22670</v>
      </c>
      <c r="E385" t="s">
        <v>746</v>
      </c>
      <c r="F385" t="s">
        <v>868</v>
      </c>
    </row>
    <row r="386" spans="1:6" x14ac:dyDescent="0.25">
      <c r="A386">
        <v>484</v>
      </c>
      <c r="B386" t="s">
        <v>120</v>
      </c>
      <c r="C386" t="s">
        <v>73</v>
      </c>
      <c r="D386" s="1">
        <v>38114</v>
      </c>
      <c r="E386" t="s">
        <v>747</v>
      </c>
      <c r="F386" t="s">
        <v>870</v>
      </c>
    </row>
    <row r="387" spans="1:6" x14ac:dyDescent="0.25">
      <c r="A387">
        <v>485</v>
      </c>
      <c r="B387" t="s">
        <v>84</v>
      </c>
      <c r="C387" t="s">
        <v>73</v>
      </c>
      <c r="D387" s="1">
        <v>29654</v>
      </c>
      <c r="E387" t="s">
        <v>748</v>
      </c>
      <c r="F387" t="s">
        <v>872</v>
      </c>
    </row>
    <row r="388" spans="1:6" x14ac:dyDescent="0.25">
      <c r="A388">
        <v>486</v>
      </c>
      <c r="B388" t="s">
        <v>104</v>
      </c>
      <c r="C388" t="s">
        <v>76</v>
      </c>
      <c r="D388" s="1">
        <v>33054</v>
      </c>
      <c r="E388" t="s">
        <v>749</v>
      </c>
      <c r="F388" t="s">
        <v>867</v>
      </c>
    </row>
    <row r="389" spans="1:6" x14ac:dyDescent="0.25">
      <c r="A389">
        <v>487</v>
      </c>
      <c r="B389" t="s">
        <v>94</v>
      </c>
      <c r="C389" t="s">
        <v>73</v>
      </c>
      <c r="D389" s="1">
        <v>18269</v>
      </c>
      <c r="E389" t="s">
        <v>750</v>
      </c>
      <c r="F389" t="s">
        <v>871</v>
      </c>
    </row>
    <row r="390" spans="1:6" x14ac:dyDescent="0.25">
      <c r="A390">
        <v>488</v>
      </c>
      <c r="B390" t="s">
        <v>82</v>
      </c>
      <c r="C390" t="s">
        <v>73</v>
      </c>
      <c r="D390" s="1">
        <v>27144</v>
      </c>
      <c r="E390" t="s">
        <v>751</v>
      </c>
      <c r="F390" t="s">
        <v>871</v>
      </c>
    </row>
    <row r="391" spans="1:6" x14ac:dyDescent="0.25">
      <c r="A391">
        <v>489</v>
      </c>
      <c r="B391" t="s">
        <v>75</v>
      </c>
      <c r="C391" t="s">
        <v>76</v>
      </c>
      <c r="D391" s="1">
        <v>34019</v>
      </c>
      <c r="E391" t="s">
        <v>752</v>
      </c>
      <c r="F391" t="s">
        <v>872</v>
      </c>
    </row>
    <row r="392" spans="1:6" x14ac:dyDescent="0.25">
      <c r="A392">
        <v>490</v>
      </c>
      <c r="B392" t="s">
        <v>94</v>
      </c>
      <c r="C392" t="s">
        <v>73</v>
      </c>
      <c r="D392" s="1">
        <v>24731</v>
      </c>
      <c r="E392" t="s">
        <v>753</v>
      </c>
      <c r="F392" t="s">
        <v>868</v>
      </c>
    </row>
    <row r="393" spans="1:6" x14ac:dyDescent="0.25">
      <c r="A393">
        <v>491</v>
      </c>
      <c r="B393" t="s">
        <v>99</v>
      </c>
      <c r="C393" t="s">
        <v>76</v>
      </c>
      <c r="D393" s="1">
        <v>11898</v>
      </c>
      <c r="E393" t="s">
        <v>754</v>
      </c>
      <c r="F393" t="s">
        <v>867</v>
      </c>
    </row>
    <row r="394" spans="1:6" x14ac:dyDescent="0.25">
      <c r="A394">
        <v>492</v>
      </c>
      <c r="B394" t="s">
        <v>86</v>
      </c>
      <c r="C394" t="s">
        <v>76</v>
      </c>
      <c r="D394" s="1">
        <v>36353</v>
      </c>
      <c r="E394" t="s">
        <v>755</v>
      </c>
      <c r="F394" t="s">
        <v>867</v>
      </c>
    </row>
    <row r="395" spans="1:6" x14ac:dyDescent="0.25">
      <c r="A395">
        <v>493</v>
      </c>
      <c r="B395" t="s">
        <v>94</v>
      </c>
      <c r="C395" t="s">
        <v>73</v>
      </c>
      <c r="D395" s="1">
        <v>35115</v>
      </c>
      <c r="E395" t="s">
        <v>756</v>
      </c>
      <c r="F395" t="s">
        <v>872</v>
      </c>
    </row>
    <row r="396" spans="1:6" x14ac:dyDescent="0.25">
      <c r="A396">
        <v>494</v>
      </c>
      <c r="B396" t="s">
        <v>104</v>
      </c>
      <c r="C396" t="s">
        <v>76</v>
      </c>
      <c r="D396" s="1">
        <v>36062</v>
      </c>
      <c r="E396" t="s">
        <v>757</v>
      </c>
      <c r="F396" t="s">
        <v>867</v>
      </c>
    </row>
    <row r="397" spans="1:6" x14ac:dyDescent="0.25">
      <c r="A397">
        <v>495</v>
      </c>
      <c r="B397" t="s">
        <v>78</v>
      </c>
      <c r="C397" t="s">
        <v>73</v>
      </c>
      <c r="D397" s="1">
        <v>26384</v>
      </c>
      <c r="E397" t="s">
        <v>758</v>
      </c>
      <c r="F397" t="s">
        <v>869</v>
      </c>
    </row>
    <row r="398" spans="1:6" x14ac:dyDescent="0.25">
      <c r="A398">
        <v>496</v>
      </c>
      <c r="B398" t="s">
        <v>122</v>
      </c>
      <c r="C398" t="s">
        <v>73</v>
      </c>
      <c r="D398" s="1">
        <v>12405</v>
      </c>
      <c r="E398" t="s">
        <v>759</v>
      </c>
      <c r="F398" t="s">
        <v>870</v>
      </c>
    </row>
    <row r="399" spans="1:6" x14ac:dyDescent="0.25">
      <c r="A399">
        <v>497</v>
      </c>
      <c r="B399" t="s">
        <v>125</v>
      </c>
      <c r="C399" t="s">
        <v>76</v>
      </c>
      <c r="D399" s="1">
        <v>33067</v>
      </c>
      <c r="E399" t="s">
        <v>760</v>
      </c>
      <c r="F399" t="s">
        <v>873</v>
      </c>
    </row>
    <row r="400" spans="1:6" x14ac:dyDescent="0.25">
      <c r="A400">
        <v>498</v>
      </c>
      <c r="B400" t="s">
        <v>80</v>
      </c>
      <c r="C400" t="s">
        <v>73</v>
      </c>
      <c r="D400" s="1">
        <v>24647</v>
      </c>
      <c r="E400" t="s">
        <v>761</v>
      </c>
      <c r="F400" t="s">
        <v>866</v>
      </c>
    </row>
    <row r="401" spans="1:6" x14ac:dyDescent="0.25">
      <c r="A401">
        <v>499</v>
      </c>
      <c r="B401" t="s">
        <v>94</v>
      </c>
      <c r="C401" t="s">
        <v>73</v>
      </c>
      <c r="D401" s="1">
        <v>25171</v>
      </c>
      <c r="E401" t="s">
        <v>762</v>
      </c>
      <c r="F401" t="s">
        <v>866</v>
      </c>
    </row>
    <row r="402" spans="1:6" x14ac:dyDescent="0.25">
      <c r="A402">
        <v>500</v>
      </c>
      <c r="B402" t="s">
        <v>86</v>
      </c>
      <c r="C402" t="s">
        <v>76</v>
      </c>
      <c r="D402" s="1">
        <v>15947</v>
      </c>
      <c r="E402" t="s">
        <v>763</v>
      </c>
      <c r="F402" t="s">
        <v>867</v>
      </c>
    </row>
    <row r="403" spans="1:6" x14ac:dyDescent="0.25">
      <c r="A403">
        <v>501</v>
      </c>
      <c r="B403" t="s">
        <v>120</v>
      </c>
      <c r="C403" t="s">
        <v>73</v>
      </c>
      <c r="D403" s="1">
        <v>13854</v>
      </c>
      <c r="E403" t="s">
        <v>764</v>
      </c>
      <c r="F403" t="s">
        <v>868</v>
      </c>
    </row>
    <row r="404" spans="1:6" x14ac:dyDescent="0.25">
      <c r="A404">
        <v>502</v>
      </c>
      <c r="B404" t="s">
        <v>120</v>
      </c>
      <c r="C404" t="s">
        <v>73</v>
      </c>
      <c r="D404" s="1">
        <v>36339</v>
      </c>
      <c r="E404" t="s">
        <v>765</v>
      </c>
      <c r="F404" t="s">
        <v>869</v>
      </c>
    </row>
    <row r="405" spans="1:6" x14ac:dyDescent="0.25">
      <c r="A405">
        <v>503</v>
      </c>
      <c r="B405" t="s">
        <v>104</v>
      </c>
      <c r="C405" t="s">
        <v>76</v>
      </c>
      <c r="D405" s="1">
        <v>12014</v>
      </c>
      <c r="E405" t="s">
        <v>766</v>
      </c>
      <c r="F405" t="s">
        <v>869</v>
      </c>
    </row>
    <row r="406" spans="1:6" x14ac:dyDescent="0.25">
      <c r="A406">
        <v>504</v>
      </c>
      <c r="B406" t="s">
        <v>120</v>
      </c>
      <c r="C406" t="s">
        <v>73</v>
      </c>
      <c r="D406" s="1">
        <v>27652</v>
      </c>
      <c r="E406" t="s">
        <v>767</v>
      </c>
      <c r="F406" t="s">
        <v>870</v>
      </c>
    </row>
    <row r="407" spans="1:6" x14ac:dyDescent="0.25">
      <c r="A407">
        <v>505</v>
      </c>
      <c r="B407" t="s">
        <v>80</v>
      </c>
      <c r="C407" t="s">
        <v>73</v>
      </c>
      <c r="D407" s="1">
        <v>45386</v>
      </c>
      <c r="E407" t="s">
        <v>768</v>
      </c>
      <c r="F407" t="s">
        <v>867</v>
      </c>
    </row>
    <row r="408" spans="1:6" x14ac:dyDescent="0.25">
      <c r="A408">
        <v>506</v>
      </c>
      <c r="B408" t="s">
        <v>122</v>
      </c>
      <c r="C408" t="s">
        <v>73</v>
      </c>
      <c r="D408" s="1">
        <v>19893</v>
      </c>
      <c r="E408" t="s">
        <v>769</v>
      </c>
      <c r="F408" t="s">
        <v>871</v>
      </c>
    </row>
    <row r="409" spans="1:6" x14ac:dyDescent="0.25">
      <c r="A409">
        <v>507</v>
      </c>
      <c r="B409" t="s">
        <v>80</v>
      </c>
      <c r="C409" t="s">
        <v>73</v>
      </c>
      <c r="D409" s="1">
        <v>18577</v>
      </c>
      <c r="E409" t="s">
        <v>770</v>
      </c>
      <c r="F409" t="s">
        <v>866</v>
      </c>
    </row>
    <row r="410" spans="1:6" x14ac:dyDescent="0.25">
      <c r="A410">
        <v>508</v>
      </c>
      <c r="B410" t="s">
        <v>127</v>
      </c>
      <c r="C410" t="s">
        <v>76</v>
      </c>
      <c r="D410" s="1">
        <v>42310</v>
      </c>
      <c r="E410" t="s">
        <v>771</v>
      </c>
      <c r="F410" t="s">
        <v>872</v>
      </c>
    </row>
    <row r="411" spans="1:6" x14ac:dyDescent="0.25">
      <c r="A411">
        <v>509</v>
      </c>
      <c r="B411" t="s">
        <v>72</v>
      </c>
      <c r="C411" t="s">
        <v>73</v>
      </c>
      <c r="D411" s="1">
        <v>20654</v>
      </c>
      <c r="E411" t="s">
        <v>772</v>
      </c>
      <c r="F411" t="s">
        <v>867</v>
      </c>
    </row>
    <row r="412" spans="1:6" x14ac:dyDescent="0.25">
      <c r="A412">
        <v>510</v>
      </c>
      <c r="B412" t="s">
        <v>84</v>
      </c>
      <c r="C412" t="s">
        <v>73</v>
      </c>
      <c r="D412" s="1">
        <v>45376</v>
      </c>
      <c r="E412" t="s">
        <v>773</v>
      </c>
      <c r="F412" t="s">
        <v>869</v>
      </c>
    </row>
    <row r="413" spans="1:6" x14ac:dyDescent="0.25">
      <c r="A413">
        <v>511</v>
      </c>
      <c r="B413" t="s">
        <v>92</v>
      </c>
      <c r="C413" t="s">
        <v>76</v>
      </c>
      <c r="D413" s="1">
        <v>14701</v>
      </c>
      <c r="E413" t="s">
        <v>774</v>
      </c>
      <c r="F413" t="s">
        <v>870</v>
      </c>
    </row>
    <row r="414" spans="1:6" x14ac:dyDescent="0.25">
      <c r="A414">
        <v>512</v>
      </c>
      <c r="B414" t="s">
        <v>99</v>
      </c>
      <c r="C414" t="s">
        <v>76</v>
      </c>
      <c r="D414" s="1">
        <v>20453</v>
      </c>
      <c r="E414" t="s">
        <v>775</v>
      </c>
      <c r="F414" t="s">
        <v>871</v>
      </c>
    </row>
    <row r="415" spans="1:6" x14ac:dyDescent="0.25">
      <c r="A415">
        <v>513</v>
      </c>
      <c r="B415" t="s">
        <v>82</v>
      </c>
      <c r="C415" t="s">
        <v>73</v>
      </c>
      <c r="D415" s="1">
        <v>24564</v>
      </c>
      <c r="E415" t="s">
        <v>776</v>
      </c>
      <c r="F415" t="s">
        <v>867</v>
      </c>
    </row>
    <row r="416" spans="1:6" x14ac:dyDescent="0.25">
      <c r="A416">
        <v>514</v>
      </c>
      <c r="B416" t="s">
        <v>94</v>
      </c>
      <c r="C416" t="s">
        <v>73</v>
      </c>
      <c r="D416" s="1">
        <v>40739</v>
      </c>
      <c r="E416" t="s">
        <v>777</v>
      </c>
      <c r="F416" t="s">
        <v>873</v>
      </c>
    </row>
    <row r="417" spans="1:6" x14ac:dyDescent="0.25">
      <c r="A417">
        <v>515</v>
      </c>
      <c r="B417" t="s">
        <v>75</v>
      </c>
      <c r="C417" t="s">
        <v>76</v>
      </c>
      <c r="D417" s="1">
        <v>31753</v>
      </c>
      <c r="E417" t="s">
        <v>778</v>
      </c>
      <c r="F417" t="s">
        <v>867</v>
      </c>
    </row>
    <row r="418" spans="1:6" x14ac:dyDescent="0.25">
      <c r="A418">
        <v>516</v>
      </c>
      <c r="B418" t="s">
        <v>125</v>
      </c>
      <c r="C418" t="s">
        <v>76</v>
      </c>
      <c r="D418" s="1">
        <v>45146</v>
      </c>
      <c r="E418" t="s">
        <v>779</v>
      </c>
      <c r="F418" t="s">
        <v>866</v>
      </c>
    </row>
    <row r="419" spans="1:6" x14ac:dyDescent="0.25">
      <c r="A419">
        <v>517</v>
      </c>
      <c r="B419" t="s">
        <v>82</v>
      </c>
      <c r="C419" t="s">
        <v>73</v>
      </c>
      <c r="D419" s="1">
        <v>18558</v>
      </c>
      <c r="E419" t="s">
        <v>780</v>
      </c>
      <c r="F419" t="s">
        <v>873</v>
      </c>
    </row>
    <row r="420" spans="1:6" x14ac:dyDescent="0.25">
      <c r="A420">
        <v>518</v>
      </c>
      <c r="B420" t="s">
        <v>104</v>
      </c>
      <c r="C420" t="s">
        <v>76</v>
      </c>
      <c r="D420" s="1">
        <v>41855</v>
      </c>
      <c r="E420" t="s">
        <v>781</v>
      </c>
      <c r="F420" t="s">
        <v>872</v>
      </c>
    </row>
    <row r="421" spans="1:6" x14ac:dyDescent="0.25">
      <c r="A421">
        <v>519</v>
      </c>
      <c r="B421" t="s">
        <v>82</v>
      </c>
      <c r="C421" t="s">
        <v>73</v>
      </c>
      <c r="D421" s="1">
        <v>23210</v>
      </c>
      <c r="E421" t="s">
        <v>782</v>
      </c>
      <c r="F421" t="s">
        <v>873</v>
      </c>
    </row>
    <row r="422" spans="1:6" x14ac:dyDescent="0.25">
      <c r="A422">
        <v>520</v>
      </c>
      <c r="B422" t="s">
        <v>120</v>
      </c>
      <c r="C422" t="s">
        <v>73</v>
      </c>
      <c r="D422" s="1">
        <v>29239</v>
      </c>
      <c r="E422" t="s">
        <v>783</v>
      </c>
      <c r="F422" t="s">
        <v>866</v>
      </c>
    </row>
    <row r="423" spans="1:6" x14ac:dyDescent="0.25">
      <c r="A423">
        <v>521</v>
      </c>
      <c r="B423" t="s">
        <v>104</v>
      </c>
      <c r="C423" t="s">
        <v>76</v>
      </c>
      <c r="D423" s="1">
        <v>44333</v>
      </c>
      <c r="E423" t="s">
        <v>784</v>
      </c>
      <c r="F423" t="s">
        <v>866</v>
      </c>
    </row>
    <row r="424" spans="1:6" x14ac:dyDescent="0.25">
      <c r="A424">
        <v>522</v>
      </c>
      <c r="B424" t="s">
        <v>94</v>
      </c>
      <c r="C424" t="s">
        <v>73</v>
      </c>
      <c r="D424" s="1">
        <v>21891</v>
      </c>
      <c r="E424" t="s">
        <v>785</v>
      </c>
      <c r="F424" t="s">
        <v>872</v>
      </c>
    </row>
    <row r="425" spans="1:6" x14ac:dyDescent="0.25">
      <c r="A425">
        <v>523</v>
      </c>
      <c r="B425" t="s">
        <v>78</v>
      </c>
      <c r="C425" t="s">
        <v>73</v>
      </c>
      <c r="D425" s="1">
        <v>35332</v>
      </c>
      <c r="E425" t="s">
        <v>786</v>
      </c>
      <c r="F425" t="s">
        <v>870</v>
      </c>
    </row>
    <row r="426" spans="1:6" x14ac:dyDescent="0.25">
      <c r="A426">
        <v>524</v>
      </c>
      <c r="B426" t="s">
        <v>80</v>
      </c>
      <c r="C426" t="s">
        <v>73</v>
      </c>
      <c r="D426" s="1">
        <v>11260</v>
      </c>
      <c r="E426" t="s">
        <v>787</v>
      </c>
      <c r="F426" t="s">
        <v>871</v>
      </c>
    </row>
    <row r="427" spans="1:6" x14ac:dyDescent="0.25">
      <c r="A427">
        <v>525</v>
      </c>
      <c r="B427" t="s">
        <v>122</v>
      </c>
      <c r="C427" t="s">
        <v>73</v>
      </c>
      <c r="D427" s="1">
        <v>27694</v>
      </c>
      <c r="E427" t="s">
        <v>788</v>
      </c>
      <c r="F427" t="s">
        <v>868</v>
      </c>
    </row>
    <row r="428" spans="1:6" x14ac:dyDescent="0.25">
      <c r="A428">
        <v>526</v>
      </c>
      <c r="B428" t="s">
        <v>84</v>
      </c>
      <c r="C428" t="s">
        <v>73</v>
      </c>
      <c r="D428" s="1">
        <v>10194</v>
      </c>
      <c r="E428" t="s">
        <v>789</v>
      </c>
      <c r="F428" t="s">
        <v>867</v>
      </c>
    </row>
    <row r="429" spans="1:6" x14ac:dyDescent="0.25">
      <c r="A429">
        <v>527</v>
      </c>
      <c r="B429" t="s">
        <v>75</v>
      </c>
      <c r="C429" t="s">
        <v>76</v>
      </c>
      <c r="D429" s="1">
        <v>27750</v>
      </c>
      <c r="E429" t="s">
        <v>790</v>
      </c>
      <c r="F429" t="s">
        <v>870</v>
      </c>
    </row>
    <row r="430" spans="1:6" x14ac:dyDescent="0.25">
      <c r="A430">
        <v>528</v>
      </c>
      <c r="B430" t="s">
        <v>78</v>
      </c>
      <c r="C430" t="s">
        <v>73</v>
      </c>
      <c r="D430" s="1">
        <v>30061</v>
      </c>
      <c r="E430" t="s">
        <v>791</v>
      </c>
      <c r="F430" t="s">
        <v>866</v>
      </c>
    </row>
    <row r="431" spans="1:6" x14ac:dyDescent="0.25">
      <c r="A431">
        <v>529</v>
      </c>
      <c r="B431" t="s">
        <v>122</v>
      </c>
      <c r="C431" t="s">
        <v>73</v>
      </c>
      <c r="D431" s="1">
        <v>13926</v>
      </c>
      <c r="E431" t="s">
        <v>792</v>
      </c>
      <c r="F431" t="s">
        <v>873</v>
      </c>
    </row>
    <row r="432" spans="1:6" x14ac:dyDescent="0.25">
      <c r="A432">
        <v>530</v>
      </c>
      <c r="B432" t="s">
        <v>120</v>
      </c>
      <c r="C432" t="s">
        <v>73</v>
      </c>
      <c r="D432" s="1">
        <v>40700</v>
      </c>
      <c r="E432" t="s">
        <v>793</v>
      </c>
      <c r="F432" t="s">
        <v>873</v>
      </c>
    </row>
    <row r="433" spans="1:6" x14ac:dyDescent="0.25">
      <c r="A433">
        <v>531</v>
      </c>
      <c r="B433" t="s">
        <v>80</v>
      </c>
      <c r="C433" t="s">
        <v>73</v>
      </c>
      <c r="D433" s="1">
        <v>17368</v>
      </c>
      <c r="E433" t="s">
        <v>794</v>
      </c>
      <c r="F433" t="s">
        <v>869</v>
      </c>
    </row>
    <row r="434" spans="1:6" x14ac:dyDescent="0.25">
      <c r="A434">
        <v>532</v>
      </c>
      <c r="B434" t="s">
        <v>78</v>
      </c>
      <c r="C434" t="s">
        <v>73</v>
      </c>
      <c r="D434" s="1">
        <v>28319</v>
      </c>
      <c r="E434" t="s">
        <v>795</v>
      </c>
      <c r="F434" t="s">
        <v>869</v>
      </c>
    </row>
    <row r="435" spans="1:6" x14ac:dyDescent="0.25">
      <c r="A435">
        <v>533</v>
      </c>
      <c r="B435" t="s">
        <v>127</v>
      </c>
      <c r="C435" t="s">
        <v>76</v>
      </c>
      <c r="D435" s="1">
        <v>27510</v>
      </c>
      <c r="E435" t="s">
        <v>796</v>
      </c>
      <c r="F435" t="s">
        <v>873</v>
      </c>
    </row>
    <row r="436" spans="1:6" x14ac:dyDescent="0.25">
      <c r="A436">
        <v>534</v>
      </c>
      <c r="B436" t="s">
        <v>82</v>
      </c>
      <c r="C436" t="s">
        <v>73</v>
      </c>
      <c r="D436" s="1">
        <v>25473</v>
      </c>
      <c r="E436" t="s">
        <v>797</v>
      </c>
      <c r="F436" t="s">
        <v>869</v>
      </c>
    </row>
    <row r="437" spans="1:6" x14ac:dyDescent="0.25">
      <c r="A437">
        <v>535</v>
      </c>
      <c r="B437" t="s">
        <v>94</v>
      </c>
      <c r="C437" t="s">
        <v>73</v>
      </c>
      <c r="D437" s="1">
        <v>42997</v>
      </c>
      <c r="E437" t="s">
        <v>798</v>
      </c>
      <c r="F437" t="s">
        <v>869</v>
      </c>
    </row>
    <row r="438" spans="1:6" x14ac:dyDescent="0.25">
      <c r="A438">
        <v>536</v>
      </c>
      <c r="B438" t="s">
        <v>122</v>
      </c>
      <c r="C438" t="s">
        <v>73</v>
      </c>
      <c r="D438" s="1">
        <v>14750</v>
      </c>
      <c r="E438" t="s">
        <v>799</v>
      </c>
      <c r="F438" t="s">
        <v>866</v>
      </c>
    </row>
    <row r="439" spans="1:6" x14ac:dyDescent="0.25">
      <c r="A439">
        <v>537</v>
      </c>
      <c r="B439" t="s">
        <v>89</v>
      </c>
      <c r="C439" t="s">
        <v>76</v>
      </c>
      <c r="D439" s="1">
        <v>18936</v>
      </c>
      <c r="E439" t="s">
        <v>800</v>
      </c>
      <c r="F439" t="s">
        <v>867</v>
      </c>
    </row>
    <row r="440" spans="1:6" x14ac:dyDescent="0.25">
      <c r="A440">
        <v>538</v>
      </c>
      <c r="B440" t="s">
        <v>120</v>
      </c>
      <c r="C440" t="s">
        <v>73</v>
      </c>
      <c r="D440" s="1">
        <v>15952</v>
      </c>
      <c r="E440" t="s">
        <v>801</v>
      </c>
      <c r="F440" t="s">
        <v>871</v>
      </c>
    </row>
    <row r="441" spans="1:6" x14ac:dyDescent="0.25">
      <c r="A441">
        <v>539</v>
      </c>
      <c r="B441" t="s">
        <v>127</v>
      </c>
      <c r="C441" t="s">
        <v>76</v>
      </c>
      <c r="D441" s="1">
        <v>15026</v>
      </c>
      <c r="E441" t="s">
        <v>802</v>
      </c>
      <c r="F441" t="s">
        <v>871</v>
      </c>
    </row>
    <row r="442" spans="1:6" x14ac:dyDescent="0.25">
      <c r="A442">
        <v>540</v>
      </c>
      <c r="B442" t="s">
        <v>84</v>
      </c>
      <c r="C442" t="s">
        <v>73</v>
      </c>
      <c r="D442" s="1">
        <v>11197</v>
      </c>
      <c r="E442" t="s">
        <v>803</v>
      </c>
      <c r="F442" t="s">
        <v>873</v>
      </c>
    </row>
    <row r="443" spans="1:6" x14ac:dyDescent="0.25">
      <c r="A443">
        <v>541</v>
      </c>
      <c r="B443" t="s">
        <v>86</v>
      </c>
      <c r="C443" t="s">
        <v>76</v>
      </c>
      <c r="D443" s="1">
        <v>33965</v>
      </c>
      <c r="E443" t="s">
        <v>804</v>
      </c>
      <c r="F443" t="s">
        <v>869</v>
      </c>
    </row>
    <row r="444" spans="1:6" x14ac:dyDescent="0.25">
      <c r="A444">
        <v>542</v>
      </c>
      <c r="B444" t="s">
        <v>80</v>
      </c>
      <c r="C444" t="s">
        <v>73</v>
      </c>
      <c r="D444" s="1">
        <v>22896</v>
      </c>
      <c r="E444" t="s">
        <v>805</v>
      </c>
      <c r="F444" t="s">
        <v>866</v>
      </c>
    </row>
    <row r="445" spans="1:6" x14ac:dyDescent="0.25">
      <c r="A445">
        <v>543</v>
      </c>
      <c r="B445" t="s">
        <v>94</v>
      </c>
      <c r="C445" t="s">
        <v>73</v>
      </c>
      <c r="D445" s="1">
        <v>33556</v>
      </c>
      <c r="E445" t="s">
        <v>806</v>
      </c>
      <c r="F445" t="s">
        <v>869</v>
      </c>
    </row>
    <row r="446" spans="1:6" x14ac:dyDescent="0.25">
      <c r="A446">
        <v>544</v>
      </c>
      <c r="B446" t="s">
        <v>86</v>
      </c>
      <c r="C446" t="s">
        <v>76</v>
      </c>
      <c r="D446" s="1">
        <v>10353</v>
      </c>
      <c r="E446" t="s">
        <v>807</v>
      </c>
      <c r="F446" t="s">
        <v>873</v>
      </c>
    </row>
    <row r="447" spans="1:6" x14ac:dyDescent="0.25">
      <c r="A447">
        <v>545</v>
      </c>
      <c r="B447" t="s">
        <v>99</v>
      </c>
      <c r="C447" t="s">
        <v>76</v>
      </c>
      <c r="D447" s="1">
        <v>10109</v>
      </c>
      <c r="E447" t="s">
        <v>808</v>
      </c>
      <c r="F447" t="s">
        <v>870</v>
      </c>
    </row>
    <row r="448" spans="1:6" x14ac:dyDescent="0.25">
      <c r="A448">
        <v>546</v>
      </c>
      <c r="B448" t="s">
        <v>127</v>
      </c>
      <c r="C448" t="s">
        <v>76</v>
      </c>
      <c r="D448" s="1">
        <v>27893</v>
      </c>
      <c r="E448" t="s">
        <v>809</v>
      </c>
      <c r="F448" t="s">
        <v>868</v>
      </c>
    </row>
    <row r="449" spans="1:6" x14ac:dyDescent="0.25">
      <c r="A449">
        <v>547</v>
      </c>
      <c r="B449" t="s">
        <v>104</v>
      </c>
      <c r="C449" t="s">
        <v>76</v>
      </c>
      <c r="D449" s="1">
        <v>19532</v>
      </c>
      <c r="E449" t="s">
        <v>810</v>
      </c>
      <c r="F449" t="s">
        <v>868</v>
      </c>
    </row>
    <row r="450" spans="1:6" x14ac:dyDescent="0.25">
      <c r="A450">
        <v>548</v>
      </c>
      <c r="B450" t="s">
        <v>86</v>
      </c>
      <c r="C450" t="s">
        <v>76</v>
      </c>
      <c r="D450" s="1">
        <v>12976</v>
      </c>
      <c r="E450" t="s">
        <v>811</v>
      </c>
      <c r="F450" t="s">
        <v>872</v>
      </c>
    </row>
    <row r="451" spans="1:6" x14ac:dyDescent="0.25">
      <c r="A451">
        <v>549</v>
      </c>
      <c r="B451" t="s">
        <v>78</v>
      </c>
      <c r="C451" t="s">
        <v>73</v>
      </c>
      <c r="D451" s="1">
        <v>24461</v>
      </c>
      <c r="E451" t="s">
        <v>812</v>
      </c>
      <c r="F451" t="s">
        <v>866</v>
      </c>
    </row>
    <row r="452" spans="1:6" x14ac:dyDescent="0.25">
      <c r="A452">
        <v>550</v>
      </c>
      <c r="B452" t="s">
        <v>127</v>
      </c>
      <c r="C452" t="s">
        <v>76</v>
      </c>
      <c r="D452" s="1">
        <v>12580</v>
      </c>
      <c r="E452" t="s">
        <v>813</v>
      </c>
      <c r="F452" t="s">
        <v>869</v>
      </c>
    </row>
    <row r="453" spans="1:6" x14ac:dyDescent="0.25">
      <c r="A453">
        <v>551</v>
      </c>
      <c r="B453" t="s">
        <v>89</v>
      </c>
      <c r="C453" t="s">
        <v>76</v>
      </c>
      <c r="D453" s="1">
        <v>21298</v>
      </c>
      <c r="E453" t="s">
        <v>814</v>
      </c>
      <c r="F453" t="s">
        <v>873</v>
      </c>
    </row>
    <row r="454" spans="1:6" x14ac:dyDescent="0.25">
      <c r="A454">
        <v>552</v>
      </c>
      <c r="B454" t="s">
        <v>92</v>
      </c>
      <c r="C454" t="s">
        <v>76</v>
      </c>
      <c r="D454" s="1">
        <v>44865</v>
      </c>
      <c r="E454" t="s">
        <v>815</v>
      </c>
      <c r="F454" t="s">
        <v>873</v>
      </c>
    </row>
    <row r="455" spans="1:6" x14ac:dyDescent="0.25">
      <c r="A455">
        <v>553</v>
      </c>
      <c r="B455" t="s">
        <v>86</v>
      </c>
      <c r="C455" t="s">
        <v>76</v>
      </c>
      <c r="D455" s="1">
        <v>12863</v>
      </c>
      <c r="E455" t="s">
        <v>816</v>
      </c>
      <c r="F455" t="s">
        <v>870</v>
      </c>
    </row>
    <row r="456" spans="1:6" x14ac:dyDescent="0.25">
      <c r="A456">
        <v>554</v>
      </c>
      <c r="B456" t="s">
        <v>104</v>
      </c>
      <c r="C456" t="s">
        <v>76</v>
      </c>
      <c r="D456" s="1">
        <v>13422</v>
      </c>
      <c r="E456" t="s">
        <v>817</v>
      </c>
      <c r="F456" t="s">
        <v>867</v>
      </c>
    </row>
    <row r="457" spans="1:6" x14ac:dyDescent="0.25">
      <c r="A457">
        <v>555</v>
      </c>
      <c r="B457" t="s">
        <v>125</v>
      </c>
      <c r="C457" t="s">
        <v>76</v>
      </c>
      <c r="D457" s="1">
        <v>24112</v>
      </c>
      <c r="E457" t="s">
        <v>818</v>
      </c>
      <c r="F457" t="s">
        <v>869</v>
      </c>
    </row>
    <row r="458" spans="1:6" x14ac:dyDescent="0.25">
      <c r="A458">
        <v>556</v>
      </c>
      <c r="B458" t="s">
        <v>104</v>
      </c>
      <c r="C458" t="s">
        <v>76</v>
      </c>
      <c r="D458" s="1">
        <v>12442</v>
      </c>
      <c r="E458" t="s">
        <v>819</v>
      </c>
      <c r="F458" t="s">
        <v>870</v>
      </c>
    </row>
    <row r="459" spans="1:6" x14ac:dyDescent="0.25">
      <c r="A459">
        <v>557</v>
      </c>
      <c r="B459" t="s">
        <v>122</v>
      </c>
      <c r="C459" t="s">
        <v>73</v>
      </c>
      <c r="D459" s="1">
        <v>34250</v>
      </c>
      <c r="E459" t="s">
        <v>820</v>
      </c>
      <c r="F459" t="s">
        <v>868</v>
      </c>
    </row>
    <row r="460" spans="1:6" x14ac:dyDescent="0.25">
      <c r="A460">
        <v>558</v>
      </c>
      <c r="B460" t="s">
        <v>86</v>
      </c>
      <c r="C460" t="s">
        <v>76</v>
      </c>
      <c r="D460" s="1">
        <v>42104</v>
      </c>
      <c r="E460" t="s">
        <v>821</v>
      </c>
      <c r="F460" t="s">
        <v>869</v>
      </c>
    </row>
    <row r="461" spans="1:6" x14ac:dyDescent="0.25">
      <c r="A461">
        <v>559</v>
      </c>
      <c r="B461" t="s">
        <v>122</v>
      </c>
      <c r="C461" t="s">
        <v>73</v>
      </c>
      <c r="D461" s="1">
        <v>38495</v>
      </c>
      <c r="E461" t="s">
        <v>822</v>
      </c>
      <c r="F461" t="s">
        <v>870</v>
      </c>
    </row>
    <row r="462" spans="1:6" x14ac:dyDescent="0.25">
      <c r="A462">
        <v>560</v>
      </c>
      <c r="B462" t="s">
        <v>82</v>
      </c>
      <c r="C462" t="s">
        <v>73</v>
      </c>
      <c r="D462" s="1">
        <v>28513</v>
      </c>
      <c r="E462" t="s">
        <v>823</v>
      </c>
      <c r="F462" t="s">
        <v>866</v>
      </c>
    </row>
    <row r="463" spans="1:6" x14ac:dyDescent="0.25">
      <c r="A463">
        <v>561</v>
      </c>
      <c r="B463" t="s">
        <v>72</v>
      </c>
      <c r="C463" t="s">
        <v>73</v>
      </c>
      <c r="D463" s="1">
        <v>13056</v>
      </c>
      <c r="E463" t="s">
        <v>824</v>
      </c>
      <c r="F463" t="s">
        <v>867</v>
      </c>
    </row>
    <row r="464" spans="1:6" x14ac:dyDescent="0.25">
      <c r="A464">
        <v>562</v>
      </c>
      <c r="B464" t="s">
        <v>104</v>
      </c>
      <c r="C464" t="s">
        <v>76</v>
      </c>
      <c r="D464" s="1">
        <v>16743</v>
      </c>
      <c r="E464" t="s">
        <v>825</v>
      </c>
      <c r="F464" t="s">
        <v>866</v>
      </c>
    </row>
    <row r="465" spans="1:6" x14ac:dyDescent="0.25">
      <c r="A465">
        <v>563</v>
      </c>
      <c r="B465" t="s">
        <v>75</v>
      </c>
      <c r="C465" t="s">
        <v>76</v>
      </c>
      <c r="D465" s="1">
        <v>10684</v>
      </c>
      <c r="E465" t="s">
        <v>826</v>
      </c>
      <c r="F465" t="s">
        <v>870</v>
      </c>
    </row>
    <row r="466" spans="1:6" x14ac:dyDescent="0.25">
      <c r="A466">
        <v>564</v>
      </c>
      <c r="B466" t="s">
        <v>72</v>
      </c>
      <c r="C466" t="s">
        <v>73</v>
      </c>
      <c r="D466" s="1">
        <v>37695</v>
      </c>
      <c r="E466" t="s">
        <v>827</v>
      </c>
      <c r="F466" t="s">
        <v>873</v>
      </c>
    </row>
    <row r="467" spans="1:6" x14ac:dyDescent="0.25">
      <c r="A467">
        <v>565</v>
      </c>
      <c r="B467" t="s">
        <v>120</v>
      </c>
      <c r="C467" t="s">
        <v>73</v>
      </c>
      <c r="D467" s="1">
        <v>37337</v>
      </c>
      <c r="E467" t="s">
        <v>828</v>
      </c>
      <c r="F467" t="s">
        <v>869</v>
      </c>
    </row>
    <row r="468" spans="1:6" x14ac:dyDescent="0.25">
      <c r="A468">
        <v>566</v>
      </c>
      <c r="B468" t="s">
        <v>86</v>
      </c>
      <c r="C468" t="s">
        <v>76</v>
      </c>
      <c r="D468" s="1">
        <v>31502</v>
      </c>
      <c r="E468" t="s">
        <v>829</v>
      </c>
      <c r="F468" t="s">
        <v>870</v>
      </c>
    </row>
    <row r="469" spans="1:6" x14ac:dyDescent="0.25">
      <c r="A469">
        <v>567</v>
      </c>
      <c r="B469" t="s">
        <v>86</v>
      </c>
      <c r="C469" t="s">
        <v>76</v>
      </c>
      <c r="D469" s="1">
        <v>27961</v>
      </c>
      <c r="E469" t="s">
        <v>830</v>
      </c>
      <c r="F469" t="s">
        <v>870</v>
      </c>
    </row>
    <row r="470" spans="1:6" x14ac:dyDescent="0.25">
      <c r="A470">
        <v>568</v>
      </c>
      <c r="B470" t="s">
        <v>122</v>
      </c>
      <c r="C470" t="s">
        <v>73</v>
      </c>
      <c r="D470" s="1">
        <v>25894</v>
      </c>
      <c r="E470" t="s">
        <v>831</v>
      </c>
      <c r="F470" t="s">
        <v>872</v>
      </c>
    </row>
    <row r="471" spans="1:6" x14ac:dyDescent="0.25">
      <c r="A471">
        <v>569</v>
      </c>
      <c r="B471" t="s">
        <v>99</v>
      </c>
      <c r="C471" t="s">
        <v>76</v>
      </c>
      <c r="D471" s="1">
        <v>40003</v>
      </c>
      <c r="E471" t="s">
        <v>832</v>
      </c>
      <c r="F471" t="s">
        <v>872</v>
      </c>
    </row>
    <row r="472" spans="1:6" x14ac:dyDescent="0.25">
      <c r="A472">
        <v>570</v>
      </c>
      <c r="B472" t="s">
        <v>122</v>
      </c>
      <c r="C472" t="s">
        <v>73</v>
      </c>
      <c r="D472" s="1">
        <v>20715</v>
      </c>
      <c r="E472" t="s">
        <v>833</v>
      </c>
      <c r="F472" t="s">
        <v>871</v>
      </c>
    </row>
    <row r="473" spans="1:6" x14ac:dyDescent="0.25">
      <c r="A473">
        <v>571</v>
      </c>
      <c r="B473" t="s">
        <v>94</v>
      </c>
      <c r="C473" t="s">
        <v>73</v>
      </c>
      <c r="D473" s="1">
        <v>34345</v>
      </c>
      <c r="E473" t="s">
        <v>834</v>
      </c>
      <c r="F473" t="s">
        <v>872</v>
      </c>
    </row>
    <row r="474" spans="1:6" x14ac:dyDescent="0.25">
      <c r="A474">
        <v>572</v>
      </c>
      <c r="B474" t="s">
        <v>80</v>
      </c>
      <c r="C474" t="s">
        <v>73</v>
      </c>
      <c r="D474" s="1">
        <v>29759</v>
      </c>
      <c r="E474" t="s">
        <v>835</v>
      </c>
      <c r="F474" t="s">
        <v>867</v>
      </c>
    </row>
    <row r="475" spans="1:6" x14ac:dyDescent="0.25">
      <c r="A475">
        <v>573</v>
      </c>
      <c r="B475" t="s">
        <v>75</v>
      </c>
      <c r="C475" t="s">
        <v>76</v>
      </c>
      <c r="D475" s="1">
        <v>14538</v>
      </c>
      <c r="E475" t="s">
        <v>836</v>
      </c>
      <c r="F475" t="s">
        <v>869</v>
      </c>
    </row>
    <row r="476" spans="1:6" x14ac:dyDescent="0.25">
      <c r="A476">
        <v>574</v>
      </c>
      <c r="B476" t="s">
        <v>82</v>
      </c>
      <c r="C476" t="s">
        <v>73</v>
      </c>
      <c r="D476" s="1">
        <v>17404</v>
      </c>
      <c r="E476" t="s">
        <v>837</v>
      </c>
      <c r="F476" t="s">
        <v>868</v>
      </c>
    </row>
    <row r="477" spans="1:6" x14ac:dyDescent="0.25">
      <c r="A477">
        <v>575</v>
      </c>
      <c r="B477" t="s">
        <v>89</v>
      </c>
      <c r="C477" t="s">
        <v>76</v>
      </c>
      <c r="D477" s="1">
        <v>45398</v>
      </c>
      <c r="E477" t="s">
        <v>838</v>
      </c>
      <c r="F477" t="s">
        <v>867</v>
      </c>
    </row>
    <row r="478" spans="1:6" x14ac:dyDescent="0.25">
      <c r="A478">
        <v>576</v>
      </c>
      <c r="B478" t="s">
        <v>125</v>
      </c>
      <c r="C478" t="s">
        <v>76</v>
      </c>
      <c r="D478" s="1">
        <v>40649</v>
      </c>
      <c r="E478" t="s">
        <v>839</v>
      </c>
      <c r="F478" t="s">
        <v>870</v>
      </c>
    </row>
    <row r="479" spans="1:6" x14ac:dyDescent="0.25">
      <c r="A479">
        <v>577</v>
      </c>
      <c r="B479" t="s">
        <v>122</v>
      </c>
      <c r="C479" t="s">
        <v>73</v>
      </c>
      <c r="D479" s="1">
        <v>30269</v>
      </c>
      <c r="E479" t="s">
        <v>840</v>
      </c>
      <c r="F479" t="s">
        <v>867</v>
      </c>
    </row>
    <row r="480" spans="1:6" x14ac:dyDescent="0.25">
      <c r="A480">
        <v>578</v>
      </c>
      <c r="B480" t="s">
        <v>75</v>
      </c>
      <c r="C480" t="s">
        <v>76</v>
      </c>
      <c r="D480" s="1">
        <v>44254</v>
      </c>
      <c r="E480" t="s">
        <v>841</v>
      </c>
      <c r="F480" t="s">
        <v>868</v>
      </c>
    </row>
    <row r="481" spans="1:6" x14ac:dyDescent="0.25">
      <c r="A481">
        <v>579</v>
      </c>
      <c r="B481" t="s">
        <v>72</v>
      </c>
      <c r="C481" t="s">
        <v>73</v>
      </c>
      <c r="D481" s="1">
        <v>39123</v>
      </c>
      <c r="E481" t="s">
        <v>842</v>
      </c>
      <c r="F481" t="s">
        <v>871</v>
      </c>
    </row>
    <row r="482" spans="1:6" x14ac:dyDescent="0.25">
      <c r="A482">
        <v>580</v>
      </c>
      <c r="B482" t="s">
        <v>122</v>
      </c>
      <c r="C482" t="s">
        <v>73</v>
      </c>
      <c r="D482" s="1">
        <v>37232</v>
      </c>
      <c r="E482" t="s">
        <v>843</v>
      </c>
      <c r="F482" t="s">
        <v>872</v>
      </c>
    </row>
    <row r="483" spans="1:6" x14ac:dyDescent="0.25">
      <c r="A483">
        <v>581</v>
      </c>
      <c r="B483" t="s">
        <v>82</v>
      </c>
      <c r="C483" t="s">
        <v>73</v>
      </c>
      <c r="D483" s="1">
        <v>29500</v>
      </c>
      <c r="E483" t="s">
        <v>844</v>
      </c>
      <c r="F483" t="s">
        <v>868</v>
      </c>
    </row>
    <row r="484" spans="1:6" x14ac:dyDescent="0.25">
      <c r="A484">
        <v>582</v>
      </c>
      <c r="B484" t="s">
        <v>122</v>
      </c>
      <c r="C484" t="s">
        <v>73</v>
      </c>
      <c r="D484" s="1">
        <v>42093</v>
      </c>
      <c r="E484" t="s">
        <v>845</v>
      </c>
      <c r="F484" t="s">
        <v>867</v>
      </c>
    </row>
    <row r="485" spans="1:6" x14ac:dyDescent="0.25">
      <c r="A485">
        <v>583</v>
      </c>
      <c r="B485" t="s">
        <v>99</v>
      </c>
      <c r="C485" t="s">
        <v>76</v>
      </c>
      <c r="D485" s="1">
        <v>21399</v>
      </c>
      <c r="E485" t="s">
        <v>846</v>
      </c>
      <c r="F485" t="s">
        <v>868</v>
      </c>
    </row>
    <row r="486" spans="1:6" x14ac:dyDescent="0.25">
      <c r="A486">
        <v>584</v>
      </c>
      <c r="B486" t="s">
        <v>92</v>
      </c>
      <c r="C486" t="s">
        <v>76</v>
      </c>
      <c r="D486" s="1">
        <v>37848</v>
      </c>
      <c r="E486" t="s">
        <v>847</v>
      </c>
      <c r="F486" t="s">
        <v>869</v>
      </c>
    </row>
    <row r="487" spans="1:6" x14ac:dyDescent="0.25">
      <c r="A487">
        <v>585</v>
      </c>
      <c r="B487" t="s">
        <v>89</v>
      </c>
      <c r="C487" t="s">
        <v>76</v>
      </c>
      <c r="D487" s="1">
        <v>20622</v>
      </c>
      <c r="E487" t="s">
        <v>848</v>
      </c>
      <c r="F487" t="s">
        <v>868</v>
      </c>
    </row>
    <row r="488" spans="1:6" x14ac:dyDescent="0.25">
      <c r="A488">
        <v>586</v>
      </c>
      <c r="B488" t="s">
        <v>75</v>
      </c>
      <c r="C488" t="s">
        <v>76</v>
      </c>
      <c r="D488" s="1">
        <v>44834</v>
      </c>
      <c r="E488" t="s">
        <v>849</v>
      </c>
      <c r="F488" t="s">
        <v>871</v>
      </c>
    </row>
    <row r="489" spans="1:6" x14ac:dyDescent="0.25">
      <c r="A489">
        <v>587</v>
      </c>
      <c r="B489" t="s">
        <v>99</v>
      </c>
      <c r="C489" t="s">
        <v>76</v>
      </c>
      <c r="D489" s="1">
        <v>20848</v>
      </c>
      <c r="E489" t="s">
        <v>850</v>
      </c>
      <c r="F489" t="s">
        <v>871</v>
      </c>
    </row>
    <row r="490" spans="1:6" x14ac:dyDescent="0.25">
      <c r="A490">
        <v>588</v>
      </c>
      <c r="B490" t="s">
        <v>120</v>
      </c>
      <c r="C490" t="s">
        <v>73</v>
      </c>
      <c r="D490" s="1">
        <v>21195</v>
      </c>
      <c r="E490" t="s">
        <v>851</v>
      </c>
      <c r="F490" t="s">
        <v>866</v>
      </c>
    </row>
    <row r="491" spans="1:6" x14ac:dyDescent="0.25">
      <c r="A491">
        <v>589</v>
      </c>
      <c r="B491" t="s">
        <v>84</v>
      </c>
      <c r="C491" t="s">
        <v>73</v>
      </c>
      <c r="D491" s="1">
        <v>30967</v>
      </c>
      <c r="E491" t="s">
        <v>852</v>
      </c>
      <c r="F491" t="s">
        <v>867</v>
      </c>
    </row>
    <row r="492" spans="1:6" x14ac:dyDescent="0.25">
      <c r="A492">
        <v>590</v>
      </c>
      <c r="B492" t="s">
        <v>99</v>
      </c>
      <c r="C492" t="s">
        <v>76</v>
      </c>
      <c r="D492" s="1">
        <v>23302</v>
      </c>
      <c r="E492" t="s">
        <v>853</v>
      </c>
      <c r="F492" t="s">
        <v>870</v>
      </c>
    </row>
    <row r="493" spans="1:6" x14ac:dyDescent="0.25">
      <c r="A493">
        <v>591</v>
      </c>
      <c r="B493" t="s">
        <v>104</v>
      </c>
      <c r="C493" t="s">
        <v>76</v>
      </c>
      <c r="D493" s="1">
        <v>44635</v>
      </c>
      <c r="E493" t="s">
        <v>854</v>
      </c>
      <c r="F493" t="s">
        <v>868</v>
      </c>
    </row>
    <row r="494" spans="1:6" x14ac:dyDescent="0.25">
      <c r="A494">
        <v>592</v>
      </c>
      <c r="B494" t="s">
        <v>75</v>
      </c>
      <c r="C494" t="s">
        <v>76</v>
      </c>
      <c r="D494" s="1">
        <v>37361</v>
      </c>
      <c r="E494" t="s">
        <v>855</v>
      </c>
      <c r="F494" t="s">
        <v>866</v>
      </c>
    </row>
    <row r="495" spans="1:6" x14ac:dyDescent="0.25">
      <c r="A495">
        <v>593</v>
      </c>
      <c r="B495" t="s">
        <v>78</v>
      </c>
      <c r="C495" t="s">
        <v>73</v>
      </c>
      <c r="D495" s="1">
        <v>10716</v>
      </c>
      <c r="E495" t="s">
        <v>856</v>
      </c>
      <c r="F495" t="s">
        <v>868</v>
      </c>
    </row>
    <row r="496" spans="1:6" x14ac:dyDescent="0.25">
      <c r="A496">
        <v>594</v>
      </c>
      <c r="B496" t="s">
        <v>78</v>
      </c>
      <c r="C496" t="s">
        <v>73</v>
      </c>
      <c r="D496" s="1">
        <v>36805</v>
      </c>
      <c r="E496" t="s">
        <v>857</v>
      </c>
      <c r="F496" t="s">
        <v>866</v>
      </c>
    </row>
    <row r="497" spans="1:6" x14ac:dyDescent="0.25">
      <c r="A497">
        <v>595</v>
      </c>
      <c r="B497" t="s">
        <v>127</v>
      </c>
      <c r="C497" t="s">
        <v>76</v>
      </c>
      <c r="D497" s="1">
        <v>23456</v>
      </c>
      <c r="E497" t="s">
        <v>858</v>
      </c>
      <c r="F497" t="s">
        <v>869</v>
      </c>
    </row>
    <row r="498" spans="1:6" x14ac:dyDescent="0.25">
      <c r="A498">
        <v>596</v>
      </c>
      <c r="B498" t="s">
        <v>99</v>
      </c>
      <c r="C498" t="s">
        <v>76</v>
      </c>
      <c r="D498" s="1">
        <v>25800</v>
      </c>
      <c r="E498" t="s">
        <v>859</v>
      </c>
      <c r="F498" t="s">
        <v>871</v>
      </c>
    </row>
    <row r="499" spans="1:6" x14ac:dyDescent="0.25">
      <c r="A499">
        <v>597</v>
      </c>
      <c r="B499" t="s">
        <v>125</v>
      </c>
      <c r="C499" t="s">
        <v>76</v>
      </c>
      <c r="D499" s="1">
        <v>38334</v>
      </c>
      <c r="E499" t="s">
        <v>860</v>
      </c>
      <c r="F499" t="s">
        <v>871</v>
      </c>
    </row>
    <row r="500" spans="1:6" x14ac:dyDescent="0.25">
      <c r="A500">
        <v>598</v>
      </c>
      <c r="B500" t="s">
        <v>125</v>
      </c>
      <c r="C500" t="s">
        <v>76</v>
      </c>
      <c r="D500" s="1">
        <v>14813</v>
      </c>
      <c r="E500" t="s">
        <v>861</v>
      </c>
      <c r="F500" t="s">
        <v>868</v>
      </c>
    </row>
    <row r="501" spans="1:6" x14ac:dyDescent="0.25">
      <c r="A501">
        <v>599</v>
      </c>
      <c r="B501" t="s">
        <v>127</v>
      </c>
      <c r="C501" t="s">
        <v>76</v>
      </c>
      <c r="D501" s="1">
        <v>12326</v>
      </c>
      <c r="E501" t="s">
        <v>862</v>
      </c>
      <c r="F501" t="s">
        <v>866</v>
      </c>
    </row>
    <row r="502" spans="1:6" x14ac:dyDescent="0.25">
      <c r="A502">
        <v>600</v>
      </c>
      <c r="B502" t="s">
        <v>92</v>
      </c>
      <c r="C502" t="s">
        <v>76</v>
      </c>
      <c r="D502" s="1">
        <v>12061</v>
      </c>
      <c r="E502" t="s">
        <v>874</v>
      </c>
      <c r="F502" t="s">
        <v>867</v>
      </c>
    </row>
    <row r="503" spans="1:6" x14ac:dyDescent="0.25">
      <c r="A503">
        <v>601</v>
      </c>
      <c r="B503" t="s">
        <v>122</v>
      </c>
      <c r="C503" t="s">
        <v>73</v>
      </c>
      <c r="D503" s="1">
        <v>44994</v>
      </c>
      <c r="E503" t="s">
        <v>875</v>
      </c>
      <c r="F503" t="s">
        <v>873</v>
      </c>
    </row>
    <row r="504" spans="1:6" x14ac:dyDescent="0.25">
      <c r="A504">
        <v>602</v>
      </c>
      <c r="B504" t="s">
        <v>94</v>
      </c>
      <c r="C504" t="s">
        <v>73</v>
      </c>
      <c r="D504" s="1">
        <v>19324</v>
      </c>
      <c r="E504" t="s">
        <v>876</v>
      </c>
      <c r="F504" t="s">
        <v>868</v>
      </c>
    </row>
    <row r="505" spans="1:6" x14ac:dyDescent="0.25">
      <c r="A505">
        <v>603</v>
      </c>
      <c r="B505" t="s">
        <v>75</v>
      </c>
      <c r="C505" t="s">
        <v>76</v>
      </c>
      <c r="D505" s="1">
        <v>32300</v>
      </c>
      <c r="E505" t="s">
        <v>877</v>
      </c>
      <c r="F505" t="s">
        <v>867</v>
      </c>
    </row>
    <row r="506" spans="1:6" x14ac:dyDescent="0.25">
      <c r="A506">
        <v>604</v>
      </c>
      <c r="B506" t="s">
        <v>75</v>
      </c>
      <c r="C506" t="s">
        <v>76</v>
      </c>
      <c r="D506" s="1">
        <v>15171</v>
      </c>
      <c r="E506" t="s">
        <v>878</v>
      </c>
      <c r="F506" t="s">
        <v>873</v>
      </c>
    </row>
    <row r="507" spans="1:6" x14ac:dyDescent="0.25">
      <c r="A507">
        <v>605</v>
      </c>
      <c r="B507" t="s">
        <v>127</v>
      </c>
      <c r="C507" t="s">
        <v>76</v>
      </c>
      <c r="D507" s="1">
        <v>36864</v>
      </c>
      <c r="E507" t="s">
        <v>879</v>
      </c>
      <c r="F507" t="s">
        <v>870</v>
      </c>
    </row>
    <row r="508" spans="1:6" x14ac:dyDescent="0.25">
      <c r="A508">
        <v>606</v>
      </c>
      <c r="B508" t="s">
        <v>125</v>
      </c>
      <c r="C508" t="s">
        <v>76</v>
      </c>
      <c r="D508" s="1">
        <v>36016</v>
      </c>
      <c r="E508" t="s">
        <v>880</v>
      </c>
      <c r="F508" t="s">
        <v>869</v>
      </c>
    </row>
    <row r="509" spans="1:6" x14ac:dyDescent="0.25">
      <c r="A509">
        <v>607</v>
      </c>
      <c r="B509" t="s">
        <v>78</v>
      </c>
      <c r="C509" t="s">
        <v>73</v>
      </c>
      <c r="D509" s="1">
        <v>10409</v>
      </c>
      <c r="E509" t="s">
        <v>881</v>
      </c>
      <c r="F509" t="s">
        <v>870</v>
      </c>
    </row>
    <row r="510" spans="1:6" x14ac:dyDescent="0.25">
      <c r="A510">
        <v>608</v>
      </c>
      <c r="B510" t="s">
        <v>125</v>
      </c>
      <c r="C510" t="s">
        <v>76</v>
      </c>
      <c r="D510" s="1">
        <v>19813</v>
      </c>
      <c r="E510" t="s">
        <v>882</v>
      </c>
      <c r="F510" t="s">
        <v>873</v>
      </c>
    </row>
    <row r="511" spans="1:6" x14ac:dyDescent="0.25">
      <c r="A511">
        <v>609</v>
      </c>
      <c r="B511" t="s">
        <v>78</v>
      </c>
      <c r="C511" t="s">
        <v>73</v>
      </c>
      <c r="D511" s="1">
        <v>11950</v>
      </c>
      <c r="E511" t="s">
        <v>883</v>
      </c>
      <c r="F511" t="s">
        <v>871</v>
      </c>
    </row>
    <row r="512" spans="1:6" x14ac:dyDescent="0.25">
      <c r="A512">
        <v>610</v>
      </c>
      <c r="B512" t="s">
        <v>72</v>
      </c>
      <c r="C512" t="s">
        <v>73</v>
      </c>
      <c r="D512" s="1">
        <v>21587</v>
      </c>
      <c r="E512" t="s">
        <v>884</v>
      </c>
      <c r="F512" t="s">
        <v>872</v>
      </c>
    </row>
    <row r="513" spans="1:6" x14ac:dyDescent="0.25">
      <c r="A513">
        <v>611</v>
      </c>
      <c r="B513" t="s">
        <v>82</v>
      </c>
      <c r="C513" t="s">
        <v>73</v>
      </c>
      <c r="D513" s="1">
        <v>32426</v>
      </c>
      <c r="E513" t="s">
        <v>885</v>
      </c>
      <c r="F513" t="s">
        <v>867</v>
      </c>
    </row>
    <row r="514" spans="1:6" x14ac:dyDescent="0.25">
      <c r="A514">
        <v>612</v>
      </c>
      <c r="B514" t="s">
        <v>99</v>
      </c>
      <c r="C514" t="s">
        <v>76</v>
      </c>
      <c r="D514" s="1">
        <v>41300</v>
      </c>
      <c r="E514" t="s">
        <v>886</v>
      </c>
      <c r="F514" t="s">
        <v>872</v>
      </c>
    </row>
    <row r="515" spans="1:6" x14ac:dyDescent="0.25">
      <c r="A515">
        <v>613</v>
      </c>
      <c r="B515" t="s">
        <v>78</v>
      </c>
      <c r="C515" t="s">
        <v>73</v>
      </c>
      <c r="D515" s="1">
        <v>20384</v>
      </c>
      <c r="E515" t="s">
        <v>887</v>
      </c>
      <c r="F515" t="s">
        <v>868</v>
      </c>
    </row>
    <row r="516" spans="1:6" x14ac:dyDescent="0.25">
      <c r="A516">
        <v>614</v>
      </c>
      <c r="B516" t="s">
        <v>104</v>
      </c>
      <c r="C516" t="s">
        <v>76</v>
      </c>
      <c r="D516" s="1">
        <v>18576</v>
      </c>
      <c r="E516" t="s">
        <v>888</v>
      </c>
      <c r="F516" t="s">
        <v>871</v>
      </c>
    </row>
    <row r="517" spans="1:6" x14ac:dyDescent="0.25">
      <c r="A517">
        <v>615</v>
      </c>
      <c r="B517" t="s">
        <v>94</v>
      </c>
      <c r="C517" t="s">
        <v>73</v>
      </c>
      <c r="D517" s="1">
        <v>16189</v>
      </c>
      <c r="E517" t="s">
        <v>889</v>
      </c>
      <c r="F517" t="s">
        <v>868</v>
      </c>
    </row>
    <row r="518" spans="1:6" x14ac:dyDescent="0.25">
      <c r="A518">
        <v>616</v>
      </c>
      <c r="B518" t="s">
        <v>99</v>
      </c>
      <c r="C518" t="s">
        <v>76</v>
      </c>
      <c r="D518" s="1">
        <v>34246</v>
      </c>
      <c r="E518" t="s">
        <v>890</v>
      </c>
      <c r="F518" t="s">
        <v>873</v>
      </c>
    </row>
    <row r="519" spans="1:6" x14ac:dyDescent="0.25">
      <c r="A519">
        <v>617</v>
      </c>
      <c r="B519" t="s">
        <v>75</v>
      </c>
      <c r="C519" t="s">
        <v>76</v>
      </c>
      <c r="D519" s="1">
        <v>25655</v>
      </c>
      <c r="E519" t="s">
        <v>891</v>
      </c>
      <c r="F519" t="s">
        <v>869</v>
      </c>
    </row>
    <row r="520" spans="1:6" x14ac:dyDescent="0.25">
      <c r="A520">
        <v>618</v>
      </c>
      <c r="B520" t="s">
        <v>99</v>
      </c>
      <c r="C520" t="s">
        <v>76</v>
      </c>
      <c r="D520" s="1">
        <v>36281</v>
      </c>
      <c r="E520" t="s">
        <v>892</v>
      </c>
      <c r="F520" t="s">
        <v>873</v>
      </c>
    </row>
    <row r="521" spans="1:6" x14ac:dyDescent="0.25">
      <c r="A521">
        <v>619</v>
      </c>
      <c r="B521" t="s">
        <v>89</v>
      </c>
      <c r="C521" t="s">
        <v>76</v>
      </c>
      <c r="D521" s="1">
        <v>29108</v>
      </c>
      <c r="E521" t="s">
        <v>893</v>
      </c>
      <c r="F521" t="s">
        <v>866</v>
      </c>
    </row>
    <row r="522" spans="1:6" x14ac:dyDescent="0.25">
      <c r="A522">
        <v>620</v>
      </c>
      <c r="B522" t="s">
        <v>122</v>
      </c>
      <c r="C522" t="s">
        <v>73</v>
      </c>
      <c r="D522" s="1">
        <v>43912</v>
      </c>
      <c r="E522" t="s">
        <v>894</v>
      </c>
      <c r="F522" t="s">
        <v>869</v>
      </c>
    </row>
    <row r="523" spans="1:6" x14ac:dyDescent="0.25">
      <c r="A523">
        <v>621</v>
      </c>
      <c r="B523" t="s">
        <v>75</v>
      </c>
      <c r="C523" t="s">
        <v>76</v>
      </c>
      <c r="D523" s="1">
        <v>18654</v>
      </c>
      <c r="E523" t="s">
        <v>895</v>
      </c>
      <c r="F523" t="s">
        <v>872</v>
      </c>
    </row>
    <row r="524" spans="1:6" x14ac:dyDescent="0.25">
      <c r="A524">
        <v>622</v>
      </c>
      <c r="B524" t="s">
        <v>89</v>
      </c>
      <c r="C524" t="s">
        <v>76</v>
      </c>
      <c r="D524" s="1">
        <v>22126</v>
      </c>
      <c r="E524" t="s">
        <v>896</v>
      </c>
      <c r="F524" t="s">
        <v>871</v>
      </c>
    </row>
    <row r="525" spans="1:6" x14ac:dyDescent="0.25">
      <c r="A525">
        <v>623</v>
      </c>
      <c r="B525" t="s">
        <v>122</v>
      </c>
      <c r="C525" t="s">
        <v>73</v>
      </c>
      <c r="D525" s="1">
        <v>42644</v>
      </c>
      <c r="E525" t="s">
        <v>897</v>
      </c>
      <c r="F525" t="s">
        <v>866</v>
      </c>
    </row>
    <row r="526" spans="1:6" x14ac:dyDescent="0.25">
      <c r="A526">
        <v>624</v>
      </c>
      <c r="B526" t="s">
        <v>99</v>
      </c>
      <c r="C526" t="s">
        <v>76</v>
      </c>
      <c r="D526" s="1">
        <v>30531</v>
      </c>
      <c r="E526" t="s">
        <v>898</v>
      </c>
      <c r="F526" t="s">
        <v>872</v>
      </c>
    </row>
    <row r="527" spans="1:6" x14ac:dyDescent="0.25">
      <c r="A527">
        <v>625</v>
      </c>
      <c r="B527" t="s">
        <v>99</v>
      </c>
      <c r="C527" t="s">
        <v>76</v>
      </c>
      <c r="D527" s="1">
        <v>28469</v>
      </c>
      <c r="E527" t="s">
        <v>899</v>
      </c>
      <c r="F527" t="s">
        <v>870</v>
      </c>
    </row>
    <row r="528" spans="1:6" x14ac:dyDescent="0.25">
      <c r="A528">
        <v>626</v>
      </c>
      <c r="B528" t="s">
        <v>86</v>
      </c>
      <c r="C528" t="s">
        <v>76</v>
      </c>
      <c r="D528" s="1">
        <v>16667</v>
      </c>
      <c r="E528" t="s">
        <v>900</v>
      </c>
      <c r="F528" t="s">
        <v>871</v>
      </c>
    </row>
    <row r="529" spans="1:6" x14ac:dyDescent="0.25">
      <c r="A529">
        <v>627</v>
      </c>
      <c r="B529" t="s">
        <v>72</v>
      </c>
      <c r="C529" t="s">
        <v>73</v>
      </c>
      <c r="D529" s="1">
        <v>17804</v>
      </c>
      <c r="E529" t="s">
        <v>901</v>
      </c>
      <c r="F529" t="s">
        <v>871</v>
      </c>
    </row>
    <row r="530" spans="1:6" x14ac:dyDescent="0.25">
      <c r="A530">
        <v>628</v>
      </c>
      <c r="B530" t="s">
        <v>94</v>
      </c>
      <c r="C530" t="s">
        <v>73</v>
      </c>
      <c r="D530" s="1">
        <v>22281</v>
      </c>
      <c r="E530" t="s">
        <v>902</v>
      </c>
      <c r="F530" t="s">
        <v>871</v>
      </c>
    </row>
    <row r="531" spans="1:6" x14ac:dyDescent="0.25">
      <c r="A531">
        <v>629</v>
      </c>
      <c r="B531" t="s">
        <v>75</v>
      </c>
      <c r="C531" t="s">
        <v>76</v>
      </c>
      <c r="D531" s="1">
        <v>45373</v>
      </c>
      <c r="E531" t="s">
        <v>903</v>
      </c>
      <c r="F531" t="s">
        <v>869</v>
      </c>
    </row>
    <row r="532" spans="1:6" x14ac:dyDescent="0.25">
      <c r="A532">
        <v>630</v>
      </c>
      <c r="B532" t="s">
        <v>92</v>
      </c>
      <c r="C532" t="s">
        <v>76</v>
      </c>
      <c r="D532" s="1">
        <v>34865</v>
      </c>
      <c r="E532" t="s">
        <v>904</v>
      </c>
      <c r="F532" t="s">
        <v>873</v>
      </c>
    </row>
    <row r="533" spans="1:6" x14ac:dyDescent="0.25">
      <c r="A533">
        <v>631</v>
      </c>
      <c r="B533" t="s">
        <v>82</v>
      </c>
      <c r="C533" t="s">
        <v>73</v>
      </c>
      <c r="D533" s="1">
        <v>29367</v>
      </c>
      <c r="E533" t="s">
        <v>905</v>
      </c>
      <c r="F533" t="s">
        <v>871</v>
      </c>
    </row>
    <row r="534" spans="1:6" x14ac:dyDescent="0.25">
      <c r="A534">
        <v>632</v>
      </c>
      <c r="B534" t="s">
        <v>72</v>
      </c>
      <c r="C534" t="s">
        <v>73</v>
      </c>
      <c r="D534" s="1">
        <v>43736</v>
      </c>
      <c r="E534" t="s">
        <v>906</v>
      </c>
      <c r="F534" t="s">
        <v>872</v>
      </c>
    </row>
    <row r="535" spans="1:6" x14ac:dyDescent="0.25">
      <c r="A535">
        <v>633</v>
      </c>
      <c r="B535" t="s">
        <v>86</v>
      </c>
      <c r="C535" t="s">
        <v>76</v>
      </c>
      <c r="D535" s="1">
        <v>19233</v>
      </c>
      <c r="E535" t="s">
        <v>907</v>
      </c>
      <c r="F535" t="s">
        <v>871</v>
      </c>
    </row>
    <row r="536" spans="1:6" x14ac:dyDescent="0.25">
      <c r="A536">
        <v>634</v>
      </c>
      <c r="B536" t="s">
        <v>104</v>
      </c>
      <c r="C536" t="s">
        <v>76</v>
      </c>
      <c r="D536" s="1">
        <v>18409</v>
      </c>
      <c r="E536" t="s">
        <v>908</v>
      </c>
      <c r="F536" t="s">
        <v>867</v>
      </c>
    </row>
    <row r="537" spans="1:6" x14ac:dyDescent="0.25">
      <c r="A537">
        <v>635</v>
      </c>
      <c r="B537" t="s">
        <v>86</v>
      </c>
      <c r="C537" t="s">
        <v>76</v>
      </c>
      <c r="D537" s="1">
        <v>41080</v>
      </c>
      <c r="E537" t="s">
        <v>909</v>
      </c>
      <c r="F537" t="s">
        <v>872</v>
      </c>
    </row>
    <row r="538" spans="1:6" x14ac:dyDescent="0.25">
      <c r="A538">
        <v>636</v>
      </c>
      <c r="B538" t="s">
        <v>92</v>
      </c>
      <c r="C538" t="s">
        <v>76</v>
      </c>
      <c r="D538" s="1">
        <v>41975</v>
      </c>
      <c r="E538" t="s">
        <v>910</v>
      </c>
      <c r="F538" t="s">
        <v>872</v>
      </c>
    </row>
    <row r="539" spans="1:6" x14ac:dyDescent="0.25">
      <c r="A539">
        <v>637</v>
      </c>
      <c r="B539" t="s">
        <v>120</v>
      </c>
      <c r="C539" t="s">
        <v>73</v>
      </c>
      <c r="D539" s="1">
        <v>21273</v>
      </c>
      <c r="E539" t="s">
        <v>911</v>
      </c>
      <c r="F539" t="s">
        <v>871</v>
      </c>
    </row>
    <row r="540" spans="1:6" x14ac:dyDescent="0.25">
      <c r="A540">
        <v>638</v>
      </c>
      <c r="B540" t="s">
        <v>125</v>
      </c>
      <c r="C540" t="s">
        <v>76</v>
      </c>
      <c r="D540" s="1">
        <v>31103</v>
      </c>
      <c r="E540" t="s">
        <v>912</v>
      </c>
      <c r="F540" t="s">
        <v>873</v>
      </c>
    </row>
    <row r="541" spans="1:6" x14ac:dyDescent="0.25">
      <c r="A541">
        <v>639</v>
      </c>
      <c r="B541" t="s">
        <v>82</v>
      </c>
      <c r="C541" t="s">
        <v>73</v>
      </c>
      <c r="D541" s="1">
        <v>12270</v>
      </c>
      <c r="E541" t="s">
        <v>913</v>
      </c>
      <c r="F541" t="s">
        <v>872</v>
      </c>
    </row>
    <row r="542" spans="1:6" x14ac:dyDescent="0.25">
      <c r="A542">
        <v>640</v>
      </c>
      <c r="B542" t="s">
        <v>75</v>
      </c>
      <c r="C542" t="s">
        <v>76</v>
      </c>
      <c r="D542" s="1">
        <v>15520</v>
      </c>
      <c r="E542" t="s">
        <v>914</v>
      </c>
      <c r="F542" t="s">
        <v>867</v>
      </c>
    </row>
    <row r="543" spans="1:6" x14ac:dyDescent="0.25">
      <c r="A543">
        <v>641</v>
      </c>
      <c r="B543" t="s">
        <v>89</v>
      </c>
      <c r="C543" t="s">
        <v>76</v>
      </c>
      <c r="D543" s="1">
        <v>39976</v>
      </c>
      <c r="E543" t="s">
        <v>915</v>
      </c>
      <c r="F543" t="s">
        <v>869</v>
      </c>
    </row>
    <row r="544" spans="1:6" x14ac:dyDescent="0.25">
      <c r="A544">
        <v>642</v>
      </c>
      <c r="B544" t="s">
        <v>122</v>
      </c>
      <c r="C544" t="s">
        <v>73</v>
      </c>
      <c r="D544" s="1">
        <v>27476</v>
      </c>
      <c r="E544" t="s">
        <v>916</v>
      </c>
      <c r="F544" t="s">
        <v>867</v>
      </c>
    </row>
    <row r="545" spans="1:6" x14ac:dyDescent="0.25">
      <c r="A545">
        <v>643</v>
      </c>
      <c r="B545" t="s">
        <v>84</v>
      </c>
      <c r="C545" t="s">
        <v>73</v>
      </c>
      <c r="D545" s="1">
        <v>18685</v>
      </c>
      <c r="E545" t="s">
        <v>917</v>
      </c>
      <c r="F545" t="s">
        <v>868</v>
      </c>
    </row>
    <row r="546" spans="1:6" x14ac:dyDescent="0.25">
      <c r="A546">
        <v>644</v>
      </c>
      <c r="B546" t="s">
        <v>72</v>
      </c>
      <c r="C546" t="s">
        <v>73</v>
      </c>
      <c r="D546" s="1">
        <v>43447</v>
      </c>
      <c r="E546" t="s">
        <v>918</v>
      </c>
      <c r="F546" t="s">
        <v>867</v>
      </c>
    </row>
    <row r="547" spans="1:6" x14ac:dyDescent="0.25">
      <c r="A547">
        <v>645</v>
      </c>
      <c r="B547" t="s">
        <v>127</v>
      </c>
      <c r="C547" t="s">
        <v>76</v>
      </c>
      <c r="D547" s="1">
        <v>21836</v>
      </c>
      <c r="E547" t="s">
        <v>919</v>
      </c>
      <c r="F547" t="s">
        <v>871</v>
      </c>
    </row>
    <row r="548" spans="1:6" x14ac:dyDescent="0.25">
      <c r="A548">
        <v>646</v>
      </c>
      <c r="B548" t="s">
        <v>82</v>
      </c>
      <c r="C548" t="s">
        <v>73</v>
      </c>
      <c r="D548" s="1">
        <v>34839</v>
      </c>
      <c r="E548" t="s">
        <v>920</v>
      </c>
      <c r="F548" t="s">
        <v>868</v>
      </c>
    </row>
    <row r="549" spans="1:6" x14ac:dyDescent="0.25">
      <c r="A549">
        <v>647</v>
      </c>
      <c r="B549" t="s">
        <v>75</v>
      </c>
      <c r="C549" t="s">
        <v>76</v>
      </c>
      <c r="D549" s="1">
        <v>21857</v>
      </c>
      <c r="E549" t="s">
        <v>921</v>
      </c>
      <c r="F549" t="s">
        <v>871</v>
      </c>
    </row>
    <row r="550" spans="1:6" x14ac:dyDescent="0.25">
      <c r="A550">
        <v>648</v>
      </c>
      <c r="B550" t="s">
        <v>89</v>
      </c>
      <c r="C550" t="s">
        <v>76</v>
      </c>
      <c r="D550" s="1">
        <v>30671</v>
      </c>
      <c r="E550" t="s">
        <v>922</v>
      </c>
      <c r="F550" t="s">
        <v>868</v>
      </c>
    </row>
    <row r="551" spans="1:6" x14ac:dyDescent="0.25">
      <c r="A551">
        <v>649</v>
      </c>
      <c r="B551" t="s">
        <v>89</v>
      </c>
      <c r="C551" t="s">
        <v>76</v>
      </c>
      <c r="D551" s="1">
        <v>30098</v>
      </c>
      <c r="E551" t="s">
        <v>923</v>
      </c>
      <c r="F551" t="s">
        <v>872</v>
      </c>
    </row>
    <row r="552" spans="1:6" x14ac:dyDescent="0.25">
      <c r="A552">
        <v>650</v>
      </c>
      <c r="B552" t="s">
        <v>78</v>
      </c>
      <c r="C552" t="s">
        <v>73</v>
      </c>
      <c r="D552" s="1">
        <v>13171</v>
      </c>
      <c r="E552" t="s">
        <v>924</v>
      </c>
      <c r="F552" t="s">
        <v>868</v>
      </c>
    </row>
    <row r="553" spans="1:6" x14ac:dyDescent="0.25">
      <c r="A553">
        <v>651</v>
      </c>
      <c r="B553" t="s">
        <v>78</v>
      </c>
      <c r="C553" t="s">
        <v>73</v>
      </c>
      <c r="D553" s="1">
        <v>10441</v>
      </c>
      <c r="E553" t="s">
        <v>925</v>
      </c>
      <c r="F553" t="s">
        <v>866</v>
      </c>
    </row>
    <row r="554" spans="1:6" x14ac:dyDescent="0.25">
      <c r="A554">
        <v>652</v>
      </c>
      <c r="B554" t="s">
        <v>104</v>
      </c>
      <c r="C554" t="s">
        <v>76</v>
      </c>
      <c r="D554" s="1">
        <v>20725</v>
      </c>
      <c r="E554" t="s">
        <v>926</v>
      </c>
      <c r="F554" t="s">
        <v>873</v>
      </c>
    </row>
    <row r="555" spans="1:6" x14ac:dyDescent="0.25">
      <c r="A555">
        <v>653</v>
      </c>
      <c r="B555" t="s">
        <v>86</v>
      </c>
      <c r="C555" t="s">
        <v>76</v>
      </c>
      <c r="D555" s="1">
        <v>41015</v>
      </c>
      <c r="E555" t="s">
        <v>927</v>
      </c>
      <c r="F555" t="s">
        <v>871</v>
      </c>
    </row>
    <row r="556" spans="1:6" x14ac:dyDescent="0.25">
      <c r="A556">
        <v>654</v>
      </c>
      <c r="B556" t="s">
        <v>94</v>
      </c>
      <c r="C556" t="s">
        <v>73</v>
      </c>
      <c r="D556" s="1">
        <v>20551</v>
      </c>
      <c r="E556" t="s">
        <v>928</v>
      </c>
      <c r="F556" t="s">
        <v>867</v>
      </c>
    </row>
    <row r="557" spans="1:6" x14ac:dyDescent="0.25">
      <c r="A557">
        <v>655</v>
      </c>
      <c r="B557" t="s">
        <v>72</v>
      </c>
      <c r="C557" t="s">
        <v>73</v>
      </c>
      <c r="D557" s="1">
        <v>26365</v>
      </c>
      <c r="E557" t="s">
        <v>929</v>
      </c>
      <c r="F557" t="s">
        <v>871</v>
      </c>
    </row>
    <row r="558" spans="1:6" x14ac:dyDescent="0.25">
      <c r="A558">
        <v>656</v>
      </c>
      <c r="B558" t="s">
        <v>72</v>
      </c>
      <c r="C558" t="s">
        <v>73</v>
      </c>
      <c r="D558" s="1">
        <v>34252</v>
      </c>
      <c r="E558" t="s">
        <v>930</v>
      </c>
      <c r="F558" t="s">
        <v>869</v>
      </c>
    </row>
    <row r="559" spans="1:6" x14ac:dyDescent="0.25">
      <c r="A559">
        <v>657</v>
      </c>
      <c r="B559" t="s">
        <v>127</v>
      </c>
      <c r="C559" t="s">
        <v>76</v>
      </c>
      <c r="D559" s="1">
        <v>45285</v>
      </c>
      <c r="E559" t="s">
        <v>931</v>
      </c>
      <c r="F559" t="s">
        <v>873</v>
      </c>
    </row>
    <row r="560" spans="1:6" x14ac:dyDescent="0.25">
      <c r="A560">
        <v>658</v>
      </c>
      <c r="B560" t="s">
        <v>104</v>
      </c>
      <c r="C560" t="s">
        <v>76</v>
      </c>
      <c r="D560" s="1">
        <v>23031</v>
      </c>
      <c r="E560" t="s">
        <v>932</v>
      </c>
      <c r="F560" t="s">
        <v>867</v>
      </c>
    </row>
    <row r="561" spans="1:6" x14ac:dyDescent="0.25">
      <c r="A561">
        <v>659</v>
      </c>
      <c r="B561" t="s">
        <v>122</v>
      </c>
      <c r="C561" t="s">
        <v>73</v>
      </c>
      <c r="D561" s="1">
        <v>13589</v>
      </c>
      <c r="E561" t="s">
        <v>933</v>
      </c>
      <c r="F561" t="s">
        <v>867</v>
      </c>
    </row>
    <row r="562" spans="1:6" x14ac:dyDescent="0.25">
      <c r="A562">
        <v>660</v>
      </c>
      <c r="B562" t="s">
        <v>99</v>
      </c>
      <c r="C562" t="s">
        <v>76</v>
      </c>
      <c r="D562" s="1">
        <v>32687</v>
      </c>
      <c r="E562" t="s">
        <v>934</v>
      </c>
      <c r="F562" t="s">
        <v>866</v>
      </c>
    </row>
    <row r="563" spans="1:6" x14ac:dyDescent="0.25">
      <c r="A563">
        <v>661</v>
      </c>
      <c r="B563" t="s">
        <v>120</v>
      </c>
      <c r="C563" t="s">
        <v>73</v>
      </c>
      <c r="D563" s="1">
        <v>10979</v>
      </c>
      <c r="E563" t="s">
        <v>935</v>
      </c>
      <c r="F563" t="s">
        <v>868</v>
      </c>
    </row>
    <row r="564" spans="1:6" x14ac:dyDescent="0.25">
      <c r="A564">
        <v>662</v>
      </c>
      <c r="B564" t="s">
        <v>89</v>
      </c>
      <c r="C564" t="s">
        <v>76</v>
      </c>
      <c r="D564" s="1">
        <v>19360</v>
      </c>
      <c r="E564" t="s">
        <v>936</v>
      </c>
      <c r="F564" t="s">
        <v>872</v>
      </c>
    </row>
    <row r="565" spans="1:6" x14ac:dyDescent="0.25">
      <c r="A565">
        <v>663</v>
      </c>
      <c r="B565" t="s">
        <v>92</v>
      </c>
      <c r="C565" t="s">
        <v>76</v>
      </c>
      <c r="D565" s="1">
        <v>22618</v>
      </c>
      <c r="E565" t="s">
        <v>937</v>
      </c>
      <c r="F565" t="s">
        <v>873</v>
      </c>
    </row>
    <row r="566" spans="1:6" x14ac:dyDescent="0.25">
      <c r="A566">
        <v>664</v>
      </c>
      <c r="B566" t="s">
        <v>86</v>
      </c>
      <c r="C566" t="s">
        <v>76</v>
      </c>
      <c r="D566" s="1">
        <v>27432</v>
      </c>
      <c r="E566" t="s">
        <v>938</v>
      </c>
      <c r="F566" t="s">
        <v>871</v>
      </c>
    </row>
    <row r="567" spans="1:6" x14ac:dyDescent="0.25">
      <c r="A567">
        <v>665</v>
      </c>
      <c r="B567" t="s">
        <v>75</v>
      </c>
      <c r="C567" t="s">
        <v>76</v>
      </c>
      <c r="D567" s="1">
        <v>22934</v>
      </c>
      <c r="E567" t="s">
        <v>939</v>
      </c>
      <c r="F567" t="s">
        <v>866</v>
      </c>
    </row>
    <row r="568" spans="1:6" x14ac:dyDescent="0.25">
      <c r="A568">
        <v>666</v>
      </c>
      <c r="B568" t="s">
        <v>122</v>
      </c>
      <c r="C568" t="s">
        <v>73</v>
      </c>
      <c r="D568" s="1">
        <v>20619</v>
      </c>
      <c r="E568" t="s">
        <v>940</v>
      </c>
      <c r="F568" t="s">
        <v>867</v>
      </c>
    </row>
    <row r="569" spans="1:6" x14ac:dyDescent="0.25">
      <c r="A569">
        <v>667</v>
      </c>
      <c r="B569" t="s">
        <v>75</v>
      </c>
      <c r="C569" t="s">
        <v>76</v>
      </c>
      <c r="D569" s="1">
        <v>35071</v>
      </c>
      <c r="E569" t="s">
        <v>941</v>
      </c>
      <c r="F569" t="s">
        <v>871</v>
      </c>
    </row>
    <row r="570" spans="1:6" x14ac:dyDescent="0.25">
      <c r="A570">
        <v>668</v>
      </c>
      <c r="B570" t="s">
        <v>120</v>
      </c>
      <c r="C570" t="s">
        <v>73</v>
      </c>
      <c r="D570" s="1">
        <v>13704</v>
      </c>
      <c r="E570" t="s">
        <v>942</v>
      </c>
      <c r="F570" t="s">
        <v>869</v>
      </c>
    </row>
    <row r="571" spans="1:6" x14ac:dyDescent="0.25">
      <c r="A571">
        <v>669</v>
      </c>
      <c r="B571" t="s">
        <v>78</v>
      </c>
      <c r="C571" t="s">
        <v>73</v>
      </c>
      <c r="D571" s="1">
        <v>25145</v>
      </c>
      <c r="E571" t="s">
        <v>943</v>
      </c>
      <c r="F571" t="s">
        <v>869</v>
      </c>
    </row>
    <row r="572" spans="1:6" x14ac:dyDescent="0.25">
      <c r="A572">
        <v>670</v>
      </c>
      <c r="B572" t="s">
        <v>84</v>
      </c>
      <c r="C572" t="s">
        <v>73</v>
      </c>
      <c r="D572" s="1">
        <v>19081</v>
      </c>
      <c r="E572" t="s">
        <v>944</v>
      </c>
      <c r="F572" t="s">
        <v>867</v>
      </c>
    </row>
    <row r="573" spans="1:6" x14ac:dyDescent="0.25">
      <c r="A573">
        <v>671</v>
      </c>
      <c r="B573" t="s">
        <v>120</v>
      </c>
      <c r="C573" t="s">
        <v>73</v>
      </c>
      <c r="D573" s="1">
        <v>44594</v>
      </c>
      <c r="E573" t="s">
        <v>945</v>
      </c>
      <c r="F573" t="s">
        <v>869</v>
      </c>
    </row>
    <row r="574" spans="1:6" x14ac:dyDescent="0.25">
      <c r="A574">
        <v>672</v>
      </c>
      <c r="B574" t="s">
        <v>80</v>
      </c>
      <c r="C574" t="s">
        <v>73</v>
      </c>
      <c r="D574" s="1">
        <v>38311</v>
      </c>
      <c r="E574" t="s">
        <v>946</v>
      </c>
      <c r="F574" t="s">
        <v>870</v>
      </c>
    </row>
    <row r="575" spans="1:6" x14ac:dyDescent="0.25">
      <c r="A575">
        <v>673</v>
      </c>
      <c r="B575" t="s">
        <v>120</v>
      </c>
      <c r="C575" t="s">
        <v>73</v>
      </c>
      <c r="D575" s="1">
        <v>14520</v>
      </c>
      <c r="E575" t="s">
        <v>947</v>
      </c>
      <c r="F575" t="s">
        <v>870</v>
      </c>
    </row>
    <row r="576" spans="1:6" x14ac:dyDescent="0.25">
      <c r="A576">
        <v>674</v>
      </c>
      <c r="B576" t="s">
        <v>72</v>
      </c>
      <c r="C576" t="s">
        <v>73</v>
      </c>
      <c r="D576" s="1">
        <v>28458</v>
      </c>
      <c r="E576" t="s">
        <v>948</v>
      </c>
      <c r="F576" t="s">
        <v>866</v>
      </c>
    </row>
    <row r="577" spans="1:6" x14ac:dyDescent="0.25">
      <c r="A577">
        <v>675</v>
      </c>
      <c r="B577" t="s">
        <v>94</v>
      </c>
      <c r="C577" t="s">
        <v>73</v>
      </c>
      <c r="D577" s="1">
        <v>30780</v>
      </c>
      <c r="E577" t="s">
        <v>949</v>
      </c>
      <c r="F577" t="s">
        <v>870</v>
      </c>
    </row>
    <row r="578" spans="1:6" x14ac:dyDescent="0.25">
      <c r="A578">
        <v>676</v>
      </c>
      <c r="B578" t="s">
        <v>122</v>
      </c>
      <c r="C578" t="s">
        <v>73</v>
      </c>
      <c r="D578" s="1">
        <v>39706</v>
      </c>
      <c r="E578" t="s">
        <v>950</v>
      </c>
      <c r="F578" t="s">
        <v>866</v>
      </c>
    </row>
    <row r="579" spans="1:6" x14ac:dyDescent="0.25">
      <c r="A579">
        <v>677</v>
      </c>
      <c r="B579" t="s">
        <v>122</v>
      </c>
      <c r="C579" t="s">
        <v>73</v>
      </c>
      <c r="D579" s="1">
        <v>19954</v>
      </c>
      <c r="E579" t="s">
        <v>951</v>
      </c>
      <c r="F579" t="s">
        <v>868</v>
      </c>
    </row>
    <row r="580" spans="1:6" x14ac:dyDescent="0.25">
      <c r="A580">
        <v>678</v>
      </c>
      <c r="B580" t="s">
        <v>86</v>
      </c>
      <c r="C580" t="s">
        <v>76</v>
      </c>
      <c r="D580" s="1">
        <v>36677</v>
      </c>
      <c r="E580" t="s">
        <v>952</v>
      </c>
      <c r="F580" t="s">
        <v>872</v>
      </c>
    </row>
    <row r="581" spans="1:6" x14ac:dyDescent="0.25">
      <c r="A581">
        <v>679</v>
      </c>
      <c r="B581" t="s">
        <v>99</v>
      </c>
      <c r="C581" t="s">
        <v>76</v>
      </c>
      <c r="D581" s="1">
        <v>22967</v>
      </c>
      <c r="E581" t="s">
        <v>953</v>
      </c>
      <c r="F581" t="s">
        <v>872</v>
      </c>
    </row>
    <row r="582" spans="1:6" x14ac:dyDescent="0.25">
      <c r="A582">
        <v>680</v>
      </c>
      <c r="B582" t="s">
        <v>92</v>
      </c>
      <c r="C582" t="s">
        <v>76</v>
      </c>
      <c r="D582" s="1">
        <v>18798</v>
      </c>
      <c r="E582" t="s">
        <v>954</v>
      </c>
      <c r="F582" t="s">
        <v>871</v>
      </c>
    </row>
    <row r="583" spans="1:6" x14ac:dyDescent="0.25">
      <c r="A583">
        <v>681</v>
      </c>
      <c r="B583" t="s">
        <v>104</v>
      </c>
      <c r="C583" t="s">
        <v>76</v>
      </c>
      <c r="D583" s="1">
        <v>42849</v>
      </c>
      <c r="E583" t="s">
        <v>955</v>
      </c>
      <c r="F583" t="s">
        <v>873</v>
      </c>
    </row>
    <row r="584" spans="1:6" x14ac:dyDescent="0.25">
      <c r="A584">
        <v>682</v>
      </c>
      <c r="B584" t="s">
        <v>86</v>
      </c>
      <c r="C584" t="s">
        <v>76</v>
      </c>
      <c r="D584" s="1">
        <v>11258</v>
      </c>
      <c r="E584" t="s">
        <v>956</v>
      </c>
      <c r="F584" t="s">
        <v>868</v>
      </c>
    </row>
    <row r="585" spans="1:6" x14ac:dyDescent="0.25">
      <c r="A585">
        <v>683</v>
      </c>
      <c r="B585" t="s">
        <v>86</v>
      </c>
      <c r="C585" t="s">
        <v>76</v>
      </c>
      <c r="D585" s="1">
        <v>45595</v>
      </c>
      <c r="E585" t="s">
        <v>957</v>
      </c>
      <c r="F585" t="s">
        <v>870</v>
      </c>
    </row>
    <row r="586" spans="1:6" x14ac:dyDescent="0.25">
      <c r="A586">
        <v>684</v>
      </c>
      <c r="B586" t="s">
        <v>84</v>
      </c>
      <c r="C586" t="s">
        <v>73</v>
      </c>
      <c r="D586" s="1">
        <v>18066</v>
      </c>
      <c r="E586" t="s">
        <v>958</v>
      </c>
      <c r="F586" t="s">
        <v>872</v>
      </c>
    </row>
    <row r="587" spans="1:6" x14ac:dyDescent="0.25">
      <c r="A587">
        <v>685</v>
      </c>
      <c r="B587" t="s">
        <v>78</v>
      </c>
      <c r="C587" t="s">
        <v>73</v>
      </c>
      <c r="D587" s="1">
        <v>34695</v>
      </c>
      <c r="E587" t="s">
        <v>959</v>
      </c>
      <c r="F587" t="s">
        <v>867</v>
      </c>
    </row>
    <row r="588" spans="1:6" x14ac:dyDescent="0.25">
      <c r="A588">
        <v>686</v>
      </c>
      <c r="B588" t="s">
        <v>104</v>
      </c>
      <c r="C588" t="s">
        <v>76</v>
      </c>
      <c r="D588" s="1">
        <v>19326</v>
      </c>
      <c r="E588" t="s">
        <v>960</v>
      </c>
      <c r="F588" t="s">
        <v>871</v>
      </c>
    </row>
    <row r="589" spans="1:6" x14ac:dyDescent="0.25">
      <c r="A589">
        <v>687</v>
      </c>
      <c r="B589" t="s">
        <v>82</v>
      </c>
      <c r="C589" t="s">
        <v>73</v>
      </c>
      <c r="D589" s="1">
        <v>16589</v>
      </c>
      <c r="E589" t="s">
        <v>961</v>
      </c>
      <c r="F589" t="s">
        <v>871</v>
      </c>
    </row>
    <row r="590" spans="1:6" x14ac:dyDescent="0.25">
      <c r="A590">
        <v>688</v>
      </c>
      <c r="B590" t="s">
        <v>80</v>
      </c>
      <c r="C590" t="s">
        <v>73</v>
      </c>
      <c r="D590" s="1">
        <v>19199</v>
      </c>
      <c r="E590" t="s">
        <v>962</v>
      </c>
      <c r="F590" t="s">
        <v>872</v>
      </c>
    </row>
    <row r="591" spans="1:6" x14ac:dyDescent="0.25">
      <c r="A591">
        <v>689</v>
      </c>
      <c r="B591" t="s">
        <v>127</v>
      </c>
      <c r="C591" t="s">
        <v>76</v>
      </c>
      <c r="D591" s="1">
        <v>20817</v>
      </c>
      <c r="E591" t="s">
        <v>963</v>
      </c>
      <c r="F591" t="s">
        <v>868</v>
      </c>
    </row>
    <row r="592" spans="1:6" x14ac:dyDescent="0.25">
      <c r="A592">
        <v>690</v>
      </c>
      <c r="B592" t="s">
        <v>94</v>
      </c>
      <c r="C592" t="s">
        <v>73</v>
      </c>
      <c r="D592" s="1">
        <v>37846</v>
      </c>
      <c r="E592" t="s">
        <v>964</v>
      </c>
      <c r="F592" t="s">
        <v>867</v>
      </c>
    </row>
    <row r="593" spans="1:6" x14ac:dyDescent="0.25">
      <c r="A593">
        <v>691</v>
      </c>
      <c r="B593" t="s">
        <v>127</v>
      </c>
      <c r="C593" t="s">
        <v>76</v>
      </c>
      <c r="D593" s="1">
        <v>40994</v>
      </c>
      <c r="E593" t="s">
        <v>965</v>
      </c>
      <c r="F593" t="s">
        <v>867</v>
      </c>
    </row>
    <row r="594" spans="1:6" x14ac:dyDescent="0.25">
      <c r="A594">
        <v>692</v>
      </c>
      <c r="B594" t="s">
        <v>99</v>
      </c>
      <c r="C594" t="s">
        <v>76</v>
      </c>
      <c r="D594" s="1">
        <v>42605</v>
      </c>
      <c r="E594" t="s">
        <v>966</v>
      </c>
      <c r="F594" t="s">
        <v>872</v>
      </c>
    </row>
    <row r="595" spans="1:6" x14ac:dyDescent="0.25">
      <c r="A595">
        <v>693</v>
      </c>
      <c r="B595" t="s">
        <v>86</v>
      </c>
      <c r="C595" t="s">
        <v>76</v>
      </c>
      <c r="D595" s="1">
        <v>22899</v>
      </c>
      <c r="E595" t="s">
        <v>967</v>
      </c>
      <c r="F595" t="s">
        <v>867</v>
      </c>
    </row>
    <row r="596" spans="1:6" x14ac:dyDescent="0.25">
      <c r="A596">
        <v>694</v>
      </c>
      <c r="B596" t="s">
        <v>84</v>
      </c>
      <c r="C596" t="s">
        <v>73</v>
      </c>
      <c r="D596" s="1">
        <v>37665</v>
      </c>
      <c r="E596" t="s">
        <v>968</v>
      </c>
      <c r="F596" t="s">
        <v>869</v>
      </c>
    </row>
    <row r="597" spans="1:6" x14ac:dyDescent="0.25">
      <c r="A597">
        <v>695</v>
      </c>
      <c r="B597" t="s">
        <v>84</v>
      </c>
      <c r="C597" t="s">
        <v>73</v>
      </c>
      <c r="D597" s="1">
        <v>29801</v>
      </c>
      <c r="E597" t="s">
        <v>969</v>
      </c>
      <c r="F597" t="s">
        <v>870</v>
      </c>
    </row>
    <row r="598" spans="1:6" x14ac:dyDescent="0.25">
      <c r="A598">
        <v>696</v>
      </c>
      <c r="B598" t="s">
        <v>92</v>
      </c>
      <c r="C598" t="s">
        <v>76</v>
      </c>
      <c r="D598" s="1">
        <v>14203</v>
      </c>
      <c r="E598" t="s">
        <v>970</v>
      </c>
      <c r="F598" t="s">
        <v>873</v>
      </c>
    </row>
    <row r="599" spans="1:6" x14ac:dyDescent="0.25">
      <c r="A599">
        <v>697</v>
      </c>
      <c r="B599" t="s">
        <v>92</v>
      </c>
      <c r="C599" t="s">
        <v>76</v>
      </c>
      <c r="D599" s="1">
        <v>13425</v>
      </c>
      <c r="E599" t="s">
        <v>971</v>
      </c>
      <c r="F599" t="s">
        <v>866</v>
      </c>
    </row>
    <row r="600" spans="1:6" x14ac:dyDescent="0.25">
      <c r="A600">
        <v>698</v>
      </c>
      <c r="B600" t="s">
        <v>127</v>
      </c>
      <c r="C600" t="s">
        <v>76</v>
      </c>
      <c r="D600" s="1">
        <v>22498</v>
      </c>
      <c r="E600" t="s">
        <v>972</v>
      </c>
      <c r="F600" t="s">
        <v>866</v>
      </c>
    </row>
    <row r="601" spans="1:6" x14ac:dyDescent="0.25">
      <c r="A601">
        <v>699</v>
      </c>
      <c r="B601" t="s">
        <v>104</v>
      </c>
      <c r="C601" t="s">
        <v>76</v>
      </c>
      <c r="D601" s="1">
        <v>42907</v>
      </c>
      <c r="E601" t="s">
        <v>973</v>
      </c>
      <c r="F601" t="s">
        <v>867</v>
      </c>
    </row>
    <row r="602" spans="1:6" x14ac:dyDescent="0.25">
      <c r="A602">
        <v>700</v>
      </c>
      <c r="B602" t="s">
        <v>89</v>
      </c>
      <c r="C602" t="s">
        <v>76</v>
      </c>
      <c r="D602" s="1">
        <v>41096</v>
      </c>
      <c r="E602" t="s">
        <v>974</v>
      </c>
      <c r="F602" t="s">
        <v>868</v>
      </c>
    </row>
    <row r="603" spans="1:6" x14ac:dyDescent="0.25">
      <c r="A603">
        <v>701</v>
      </c>
      <c r="B603" t="s">
        <v>92</v>
      </c>
      <c r="C603" t="s">
        <v>76</v>
      </c>
      <c r="D603" s="1">
        <v>12027</v>
      </c>
      <c r="E603" t="s">
        <v>975</v>
      </c>
      <c r="F603" t="s">
        <v>869</v>
      </c>
    </row>
    <row r="604" spans="1:6" x14ac:dyDescent="0.25">
      <c r="A604">
        <v>702</v>
      </c>
      <c r="B604" t="s">
        <v>78</v>
      </c>
      <c r="C604" t="s">
        <v>73</v>
      </c>
      <c r="D604" s="1">
        <v>40252</v>
      </c>
      <c r="E604" t="s">
        <v>976</v>
      </c>
      <c r="F604" t="s">
        <v>869</v>
      </c>
    </row>
    <row r="605" spans="1:6" x14ac:dyDescent="0.25">
      <c r="A605">
        <v>703</v>
      </c>
      <c r="B605" t="s">
        <v>125</v>
      </c>
      <c r="C605" t="s">
        <v>76</v>
      </c>
      <c r="D605" s="1">
        <v>22935</v>
      </c>
      <c r="E605" t="s">
        <v>977</v>
      </c>
      <c r="F605" t="s">
        <v>870</v>
      </c>
    </row>
    <row r="606" spans="1:6" x14ac:dyDescent="0.25">
      <c r="A606">
        <v>704</v>
      </c>
      <c r="B606" t="s">
        <v>104</v>
      </c>
      <c r="C606" t="s">
        <v>76</v>
      </c>
      <c r="D606" s="1">
        <v>16627</v>
      </c>
      <c r="E606" t="s">
        <v>978</v>
      </c>
      <c r="F606" t="s">
        <v>867</v>
      </c>
    </row>
    <row r="607" spans="1:6" x14ac:dyDescent="0.25">
      <c r="A607">
        <v>705</v>
      </c>
      <c r="B607" t="s">
        <v>89</v>
      </c>
      <c r="C607" t="s">
        <v>76</v>
      </c>
      <c r="D607" s="1">
        <v>38206</v>
      </c>
      <c r="E607" t="s">
        <v>979</v>
      </c>
      <c r="F607" t="s">
        <v>871</v>
      </c>
    </row>
    <row r="608" spans="1:6" x14ac:dyDescent="0.25">
      <c r="A608">
        <v>706</v>
      </c>
      <c r="B608" t="s">
        <v>78</v>
      </c>
      <c r="C608" t="s">
        <v>73</v>
      </c>
      <c r="D608" s="1">
        <v>18857</v>
      </c>
      <c r="E608" t="s">
        <v>980</v>
      </c>
      <c r="F608" t="s">
        <v>866</v>
      </c>
    </row>
    <row r="609" spans="1:6" x14ac:dyDescent="0.25">
      <c r="A609">
        <v>707</v>
      </c>
      <c r="B609" t="s">
        <v>92</v>
      </c>
      <c r="C609" t="s">
        <v>76</v>
      </c>
      <c r="D609" s="1">
        <v>10505</v>
      </c>
      <c r="E609" t="s">
        <v>981</v>
      </c>
      <c r="F609" t="s">
        <v>872</v>
      </c>
    </row>
    <row r="610" spans="1:6" x14ac:dyDescent="0.25">
      <c r="A610">
        <v>708</v>
      </c>
      <c r="B610" t="s">
        <v>127</v>
      </c>
      <c r="C610" t="s">
        <v>76</v>
      </c>
      <c r="D610" s="1">
        <v>32079</v>
      </c>
      <c r="E610" t="s">
        <v>982</v>
      </c>
      <c r="F610" t="s">
        <v>867</v>
      </c>
    </row>
    <row r="611" spans="1:6" x14ac:dyDescent="0.25">
      <c r="A611">
        <v>709</v>
      </c>
      <c r="B611" t="s">
        <v>120</v>
      </c>
      <c r="C611" t="s">
        <v>73</v>
      </c>
      <c r="D611" s="1">
        <v>24100</v>
      </c>
      <c r="E611" t="s">
        <v>983</v>
      </c>
      <c r="F611" t="s">
        <v>869</v>
      </c>
    </row>
    <row r="612" spans="1:6" x14ac:dyDescent="0.25">
      <c r="A612">
        <v>710</v>
      </c>
      <c r="B612" t="s">
        <v>86</v>
      </c>
      <c r="C612" t="s">
        <v>76</v>
      </c>
      <c r="D612" s="1">
        <v>27570</v>
      </c>
      <c r="E612" t="s">
        <v>984</v>
      </c>
      <c r="F612" t="s">
        <v>870</v>
      </c>
    </row>
    <row r="613" spans="1:6" x14ac:dyDescent="0.25">
      <c r="A613">
        <v>711</v>
      </c>
      <c r="B613" t="s">
        <v>127</v>
      </c>
      <c r="C613" t="s">
        <v>76</v>
      </c>
      <c r="D613" s="1">
        <v>39099</v>
      </c>
      <c r="E613" t="s">
        <v>985</v>
      </c>
      <c r="F613" t="s">
        <v>871</v>
      </c>
    </row>
    <row r="614" spans="1:6" x14ac:dyDescent="0.25">
      <c r="A614">
        <v>712</v>
      </c>
      <c r="B614" t="s">
        <v>75</v>
      </c>
      <c r="C614" t="s">
        <v>76</v>
      </c>
      <c r="D614" s="1">
        <v>13060</v>
      </c>
      <c r="E614" t="s">
        <v>986</v>
      </c>
      <c r="F614" t="s">
        <v>867</v>
      </c>
    </row>
    <row r="615" spans="1:6" x14ac:dyDescent="0.25">
      <c r="A615">
        <v>713</v>
      </c>
      <c r="B615" t="s">
        <v>78</v>
      </c>
      <c r="C615" t="s">
        <v>73</v>
      </c>
      <c r="D615" s="1">
        <v>27846</v>
      </c>
      <c r="E615" t="s">
        <v>987</v>
      </c>
      <c r="F615" t="s">
        <v>873</v>
      </c>
    </row>
    <row r="616" spans="1:6" x14ac:dyDescent="0.25">
      <c r="A616">
        <v>714</v>
      </c>
      <c r="B616" t="s">
        <v>78</v>
      </c>
      <c r="C616" t="s">
        <v>73</v>
      </c>
      <c r="D616" s="1">
        <v>38183</v>
      </c>
      <c r="E616" t="s">
        <v>988</v>
      </c>
      <c r="F616" t="s">
        <v>867</v>
      </c>
    </row>
    <row r="617" spans="1:6" x14ac:dyDescent="0.25">
      <c r="A617">
        <v>715</v>
      </c>
      <c r="B617" t="s">
        <v>84</v>
      </c>
      <c r="C617" t="s">
        <v>73</v>
      </c>
      <c r="D617" s="1">
        <v>45746</v>
      </c>
      <c r="E617" t="s">
        <v>989</v>
      </c>
      <c r="F617" t="s">
        <v>866</v>
      </c>
    </row>
    <row r="618" spans="1:6" x14ac:dyDescent="0.25">
      <c r="A618">
        <v>716</v>
      </c>
      <c r="B618" t="s">
        <v>120</v>
      </c>
      <c r="C618" t="s">
        <v>73</v>
      </c>
      <c r="D618" s="1">
        <v>24322</v>
      </c>
      <c r="E618" t="s">
        <v>990</v>
      </c>
      <c r="F618" t="s">
        <v>873</v>
      </c>
    </row>
    <row r="619" spans="1:6" x14ac:dyDescent="0.25">
      <c r="A619">
        <v>717</v>
      </c>
      <c r="B619" t="s">
        <v>80</v>
      </c>
      <c r="C619" t="s">
        <v>73</v>
      </c>
      <c r="D619" s="1">
        <v>45801</v>
      </c>
      <c r="E619" t="s">
        <v>991</v>
      </c>
      <c r="F619" t="s">
        <v>872</v>
      </c>
    </row>
    <row r="620" spans="1:6" x14ac:dyDescent="0.25">
      <c r="A620">
        <v>718</v>
      </c>
      <c r="B620" t="s">
        <v>82</v>
      </c>
      <c r="C620" t="s">
        <v>73</v>
      </c>
      <c r="D620" s="1">
        <v>15063</v>
      </c>
      <c r="E620" t="s">
        <v>992</v>
      </c>
      <c r="F620" t="s">
        <v>873</v>
      </c>
    </row>
    <row r="621" spans="1:6" x14ac:dyDescent="0.25">
      <c r="A621">
        <v>719</v>
      </c>
      <c r="B621" t="s">
        <v>89</v>
      </c>
      <c r="C621" t="s">
        <v>76</v>
      </c>
      <c r="D621" s="1">
        <v>43661</v>
      </c>
      <c r="E621" t="s">
        <v>993</v>
      </c>
      <c r="F621" t="s">
        <v>866</v>
      </c>
    </row>
    <row r="622" spans="1:6" x14ac:dyDescent="0.25">
      <c r="A622">
        <v>720</v>
      </c>
      <c r="B622" t="s">
        <v>122</v>
      </c>
      <c r="C622" t="s">
        <v>73</v>
      </c>
      <c r="D622" s="1">
        <v>29895</v>
      </c>
      <c r="E622" t="s">
        <v>994</v>
      </c>
      <c r="F622" t="s">
        <v>866</v>
      </c>
    </row>
    <row r="623" spans="1:6" x14ac:dyDescent="0.25">
      <c r="A623">
        <v>721</v>
      </c>
      <c r="B623" t="s">
        <v>82</v>
      </c>
      <c r="C623" t="s">
        <v>73</v>
      </c>
      <c r="D623" s="1">
        <v>45562</v>
      </c>
      <c r="E623" t="s">
        <v>995</v>
      </c>
      <c r="F623" t="s">
        <v>872</v>
      </c>
    </row>
    <row r="624" spans="1:6" x14ac:dyDescent="0.25">
      <c r="A624">
        <v>722</v>
      </c>
      <c r="B624" t="s">
        <v>94</v>
      </c>
      <c r="C624" t="s">
        <v>73</v>
      </c>
      <c r="D624" s="1">
        <v>34156</v>
      </c>
      <c r="E624" t="s">
        <v>996</v>
      </c>
      <c r="F624" t="s">
        <v>870</v>
      </c>
    </row>
    <row r="625" spans="1:6" x14ac:dyDescent="0.25">
      <c r="A625">
        <v>723</v>
      </c>
      <c r="B625" t="s">
        <v>80</v>
      </c>
      <c r="C625" t="s">
        <v>73</v>
      </c>
      <c r="D625" s="1">
        <v>16404</v>
      </c>
      <c r="E625" t="s">
        <v>997</v>
      </c>
      <c r="F625" t="s">
        <v>871</v>
      </c>
    </row>
    <row r="626" spans="1:6" x14ac:dyDescent="0.25">
      <c r="A626">
        <v>724</v>
      </c>
      <c r="B626" t="s">
        <v>78</v>
      </c>
      <c r="C626" t="s">
        <v>73</v>
      </c>
      <c r="D626" s="1">
        <v>43994</v>
      </c>
      <c r="E626" t="s">
        <v>998</v>
      </c>
      <c r="F626" t="s">
        <v>868</v>
      </c>
    </row>
    <row r="627" spans="1:6" x14ac:dyDescent="0.25">
      <c r="A627">
        <v>725</v>
      </c>
      <c r="B627" t="s">
        <v>80</v>
      </c>
      <c r="C627" t="s">
        <v>73</v>
      </c>
      <c r="D627" s="1">
        <v>12359</v>
      </c>
      <c r="E627" t="s">
        <v>999</v>
      </c>
      <c r="F627" t="s">
        <v>867</v>
      </c>
    </row>
    <row r="628" spans="1:6" x14ac:dyDescent="0.25">
      <c r="A628">
        <v>726</v>
      </c>
      <c r="B628" t="s">
        <v>125</v>
      </c>
      <c r="C628" t="s">
        <v>76</v>
      </c>
      <c r="D628" s="1">
        <v>24343</v>
      </c>
      <c r="E628" t="s">
        <v>1000</v>
      </c>
      <c r="F628" t="s">
        <v>870</v>
      </c>
    </row>
    <row r="629" spans="1:6" x14ac:dyDescent="0.25">
      <c r="A629">
        <v>727</v>
      </c>
      <c r="B629" t="s">
        <v>86</v>
      </c>
      <c r="C629" t="s">
        <v>76</v>
      </c>
      <c r="D629" s="1">
        <v>23137</v>
      </c>
      <c r="E629" t="s">
        <v>1001</v>
      </c>
      <c r="F629" t="s">
        <v>866</v>
      </c>
    </row>
    <row r="630" spans="1:6" x14ac:dyDescent="0.25">
      <c r="A630">
        <v>728</v>
      </c>
      <c r="B630" t="s">
        <v>89</v>
      </c>
      <c r="C630" t="s">
        <v>76</v>
      </c>
      <c r="D630" s="1">
        <v>17424</v>
      </c>
      <c r="E630" t="s">
        <v>1002</v>
      </c>
      <c r="F630" t="s">
        <v>873</v>
      </c>
    </row>
    <row r="631" spans="1:6" x14ac:dyDescent="0.25">
      <c r="A631">
        <v>729</v>
      </c>
      <c r="B631" t="s">
        <v>89</v>
      </c>
      <c r="C631" t="s">
        <v>76</v>
      </c>
      <c r="D631" s="1">
        <v>25634</v>
      </c>
      <c r="E631" t="s">
        <v>1003</v>
      </c>
      <c r="F631" t="s">
        <v>873</v>
      </c>
    </row>
    <row r="632" spans="1:6" x14ac:dyDescent="0.25">
      <c r="A632">
        <v>730</v>
      </c>
      <c r="B632" t="s">
        <v>78</v>
      </c>
      <c r="C632" t="s">
        <v>73</v>
      </c>
      <c r="D632" s="1">
        <v>43569</v>
      </c>
      <c r="E632" t="s">
        <v>1004</v>
      </c>
      <c r="F632" t="s">
        <v>869</v>
      </c>
    </row>
    <row r="633" spans="1:6" x14ac:dyDescent="0.25">
      <c r="A633">
        <v>731</v>
      </c>
      <c r="B633" t="s">
        <v>89</v>
      </c>
      <c r="C633" t="s">
        <v>76</v>
      </c>
      <c r="D633" s="1">
        <v>18833</v>
      </c>
      <c r="E633" t="s">
        <v>1005</v>
      </c>
      <c r="F633" t="s">
        <v>869</v>
      </c>
    </row>
    <row r="634" spans="1:6" x14ac:dyDescent="0.25">
      <c r="A634">
        <v>732</v>
      </c>
      <c r="B634" t="s">
        <v>78</v>
      </c>
      <c r="C634" t="s">
        <v>73</v>
      </c>
      <c r="D634" s="1">
        <v>33521</v>
      </c>
      <c r="E634" t="s">
        <v>1006</v>
      </c>
      <c r="F634" t="s">
        <v>873</v>
      </c>
    </row>
    <row r="635" spans="1:6" x14ac:dyDescent="0.25">
      <c r="A635">
        <v>733</v>
      </c>
      <c r="B635" t="s">
        <v>120</v>
      </c>
      <c r="C635" t="s">
        <v>73</v>
      </c>
      <c r="D635" s="1">
        <v>35385</v>
      </c>
      <c r="E635" t="s">
        <v>1007</v>
      </c>
      <c r="F635" t="s">
        <v>869</v>
      </c>
    </row>
    <row r="636" spans="1:6" x14ac:dyDescent="0.25">
      <c r="A636">
        <v>734</v>
      </c>
      <c r="B636" t="s">
        <v>89</v>
      </c>
      <c r="C636" t="s">
        <v>76</v>
      </c>
      <c r="D636" s="1">
        <v>27259</v>
      </c>
      <c r="E636" t="s">
        <v>1008</v>
      </c>
      <c r="F636" t="s">
        <v>869</v>
      </c>
    </row>
    <row r="637" spans="1:6" x14ac:dyDescent="0.25">
      <c r="A637">
        <v>735</v>
      </c>
      <c r="B637" t="s">
        <v>72</v>
      </c>
      <c r="C637" t="s">
        <v>73</v>
      </c>
      <c r="D637" s="1">
        <v>28995</v>
      </c>
      <c r="E637" t="s">
        <v>1009</v>
      </c>
      <c r="F637" t="s">
        <v>866</v>
      </c>
    </row>
    <row r="638" spans="1:6" x14ac:dyDescent="0.25">
      <c r="A638">
        <v>736</v>
      </c>
      <c r="B638" t="s">
        <v>122</v>
      </c>
      <c r="C638" t="s">
        <v>73</v>
      </c>
      <c r="D638" s="1">
        <v>16186</v>
      </c>
      <c r="E638" t="s">
        <v>1010</v>
      </c>
      <c r="F638" t="s">
        <v>867</v>
      </c>
    </row>
    <row r="639" spans="1:6" x14ac:dyDescent="0.25">
      <c r="A639">
        <v>737</v>
      </c>
      <c r="B639" t="s">
        <v>125</v>
      </c>
      <c r="C639" t="s">
        <v>76</v>
      </c>
      <c r="D639" s="1">
        <v>24986</v>
      </c>
      <c r="E639" t="s">
        <v>1011</v>
      </c>
      <c r="F639" t="s">
        <v>871</v>
      </c>
    </row>
    <row r="640" spans="1:6" x14ac:dyDescent="0.25">
      <c r="A640">
        <v>738</v>
      </c>
      <c r="B640" t="s">
        <v>78</v>
      </c>
      <c r="C640" t="s">
        <v>73</v>
      </c>
      <c r="D640" s="1">
        <v>23501</v>
      </c>
      <c r="E640" t="s">
        <v>1012</v>
      </c>
      <c r="F640" t="s">
        <v>871</v>
      </c>
    </row>
    <row r="641" spans="1:6" x14ac:dyDescent="0.25">
      <c r="A641">
        <v>739</v>
      </c>
      <c r="B641" t="s">
        <v>78</v>
      </c>
      <c r="C641" t="s">
        <v>73</v>
      </c>
      <c r="D641" s="1">
        <v>40512</v>
      </c>
      <c r="E641" t="s">
        <v>1013</v>
      </c>
      <c r="F641" t="s">
        <v>873</v>
      </c>
    </row>
    <row r="642" spans="1:6" x14ac:dyDescent="0.25">
      <c r="A642">
        <v>740</v>
      </c>
      <c r="B642" t="s">
        <v>75</v>
      </c>
      <c r="C642" t="s">
        <v>76</v>
      </c>
      <c r="D642" s="1">
        <v>38953</v>
      </c>
      <c r="E642" t="s">
        <v>1014</v>
      </c>
      <c r="F642" t="s">
        <v>869</v>
      </c>
    </row>
    <row r="643" spans="1:6" x14ac:dyDescent="0.25">
      <c r="A643">
        <v>741</v>
      </c>
      <c r="B643" t="s">
        <v>99</v>
      </c>
      <c r="C643" t="s">
        <v>76</v>
      </c>
      <c r="D643" s="1">
        <v>16899</v>
      </c>
      <c r="E643" t="s">
        <v>1015</v>
      </c>
      <c r="F643" t="s">
        <v>866</v>
      </c>
    </row>
    <row r="644" spans="1:6" x14ac:dyDescent="0.25">
      <c r="A644">
        <v>742</v>
      </c>
      <c r="B644" t="s">
        <v>92</v>
      </c>
      <c r="C644" t="s">
        <v>76</v>
      </c>
      <c r="D644" s="1">
        <v>44745</v>
      </c>
      <c r="E644" t="s">
        <v>1016</v>
      </c>
      <c r="F644" t="s">
        <v>869</v>
      </c>
    </row>
    <row r="645" spans="1:6" x14ac:dyDescent="0.25">
      <c r="A645">
        <v>743</v>
      </c>
      <c r="B645" t="s">
        <v>78</v>
      </c>
      <c r="C645" t="s">
        <v>73</v>
      </c>
      <c r="D645" s="1">
        <v>25539</v>
      </c>
      <c r="E645" t="s">
        <v>1017</v>
      </c>
      <c r="F645" t="s">
        <v>873</v>
      </c>
    </row>
    <row r="646" spans="1:6" x14ac:dyDescent="0.25">
      <c r="A646">
        <v>744</v>
      </c>
      <c r="B646" t="s">
        <v>94</v>
      </c>
      <c r="C646" t="s">
        <v>73</v>
      </c>
      <c r="D646" s="1">
        <v>36222</v>
      </c>
      <c r="E646" t="s">
        <v>1018</v>
      </c>
      <c r="F646" t="s">
        <v>870</v>
      </c>
    </row>
    <row r="647" spans="1:6" x14ac:dyDescent="0.25">
      <c r="A647">
        <v>745</v>
      </c>
      <c r="B647" t="s">
        <v>104</v>
      </c>
      <c r="C647" t="s">
        <v>76</v>
      </c>
      <c r="D647" s="1">
        <v>45641</v>
      </c>
      <c r="E647" t="s">
        <v>1019</v>
      </c>
      <c r="F647" t="s">
        <v>868</v>
      </c>
    </row>
    <row r="648" spans="1:6" x14ac:dyDescent="0.25">
      <c r="A648">
        <v>746</v>
      </c>
      <c r="B648" t="s">
        <v>89</v>
      </c>
      <c r="C648" t="s">
        <v>76</v>
      </c>
      <c r="D648" s="1">
        <v>18144</v>
      </c>
      <c r="E648" t="s">
        <v>1020</v>
      </c>
      <c r="F648" t="s">
        <v>868</v>
      </c>
    </row>
    <row r="649" spans="1:6" x14ac:dyDescent="0.25">
      <c r="A649">
        <v>747</v>
      </c>
      <c r="B649" t="s">
        <v>120</v>
      </c>
      <c r="C649" t="s">
        <v>73</v>
      </c>
      <c r="D649" s="1">
        <v>43308</v>
      </c>
      <c r="E649" t="s">
        <v>1021</v>
      </c>
      <c r="F649" t="s">
        <v>872</v>
      </c>
    </row>
    <row r="650" spans="1:6" x14ac:dyDescent="0.25">
      <c r="A650">
        <v>748</v>
      </c>
      <c r="B650" t="s">
        <v>127</v>
      </c>
      <c r="C650" t="s">
        <v>76</v>
      </c>
      <c r="D650" s="1">
        <v>32725</v>
      </c>
      <c r="E650" t="s">
        <v>1022</v>
      </c>
      <c r="F650" t="s">
        <v>866</v>
      </c>
    </row>
    <row r="651" spans="1:6" x14ac:dyDescent="0.25">
      <c r="A651">
        <v>749</v>
      </c>
      <c r="B651" t="s">
        <v>80</v>
      </c>
      <c r="C651" t="s">
        <v>73</v>
      </c>
      <c r="D651" s="1">
        <v>43025</v>
      </c>
      <c r="E651" t="s">
        <v>1023</v>
      </c>
      <c r="F651" t="s">
        <v>869</v>
      </c>
    </row>
    <row r="652" spans="1:6" x14ac:dyDescent="0.25">
      <c r="A652">
        <v>750</v>
      </c>
      <c r="B652" t="s">
        <v>86</v>
      </c>
      <c r="C652" t="s">
        <v>76</v>
      </c>
      <c r="D652" s="1">
        <v>15519</v>
      </c>
      <c r="E652" t="s">
        <v>1024</v>
      </c>
      <c r="F652" t="s">
        <v>873</v>
      </c>
    </row>
    <row r="653" spans="1:6" x14ac:dyDescent="0.25">
      <c r="A653">
        <v>751</v>
      </c>
      <c r="B653" t="s">
        <v>104</v>
      </c>
      <c r="C653" t="s">
        <v>76</v>
      </c>
      <c r="D653" s="1">
        <v>40305</v>
      </c>
      <c r="E653" t="s">
        <v>1025</v>
      </c>
      <c r="F653" t="s">
        <v>873</v>
      </c>
    </row>
    <row r="654" spans="1:6" x14ac:dyDescent="0.25">
      <c r="A654">
        <v>752</v>
      </c>
      <c r="B654" t="s">
        <v>99</v>
      </c>
      <c r="C654" t="s">
        <v>76</v>
      </c>
      <c r="D654" s="1">
        <v>13193</v>
      </c>
      <c r="E654" t="s">
        <v>1026</v>
      </c>
      <c r="F654" t="s">
        <v>870</v>
      </c>
    </row>
    <row r="655" spans="1:6" x14ac:dyDescent="0.25">
      <c r="A655">
        <v>753</v>
      </c>
      <c r="B655" t="s">
        <v>75</v>
      </c>
      <c r="C655" t="s">
        <v>76</v>
      </c>
      <c r="D655" s="1">
        <v>33390</v>
      </c>
      <c r="E655" t="s">
        <v>1027</v>
      </c>
      <c r="F655" t="s">
        <v>867</v>
      </c>
    </row>
    <row r="656" spans="1:6" x14ac:dyDescent="0.25">
      <c r="A656">
        <v>754</v>
      </c>
      <c r="B656" t="s">
        <v>84</v>
      </c>
      <c r="C656" t="s">
        <v>73</v>
      </c>
      <c r="D656" s="1">
        <v>42967</v>
      </c>
      <c r="E656" t="s">
        <v>1028</v>
      </c>
      <c r="F656" t="s">
        <v>869</v>
      </c>
    </row>
    <row r="657" spans="1:6" x14ac:dyDescent="0.25">
      <c r="A657">
        <v>755</v>
      </c>
      <c r="B657" t="s">
        <v>125</v>
      </c>
      <c r="C657" t="s">
        <v>76</v>
      </c>
      <c r="D657" s="1">
        <v>12669</v>
      </c>
      <c r="E657" t="s">
        <v>1029</v>
      </c>
      <c r="F657" t="s">
        <v>870</v>
      </c>
    </row>
    <row r="658" spans="1:6" x14ac:dyDescent="0.25">
      <c r="A658">
        <v>756</v>
      </c>
      <c r="B658" t="s">
        <v>122</v>
      </c>
      <c r="C658" t="s">
        <v>73</v>
      </c>
      <c r="D658" s="1">
        <v>15899</v>
      </c>
      <c r="E658" t="s">
        <v>1030</v>
      </c>
      <c r="F658" t="s">
        <v>868</v>
      </c>
    </row>
    <row r="659" spans="1:6" x14ac:dyDescent="0.25">
      <c r="A659">
        <v>757</v>
      </c>
      <c r="B659" t="s">
        <v>78</v>
      </c>
      <c r="C659" t="s">
        <v>73</v>
      </c>
      <c r="D659" s="1">
        <v>39355</v>
      </c>
      <c r="E659" t="s">
        <v>1031</v>
      </c>
      <c r="F659" t="s">
        <v>869</v>
      </c>
    </row>
    <row r="660" spans="1:6" x14ac:dyDescent="0.25">
      <c r="A660">
        <v>758</v>
      </c>
      <c r="B660" t="s">
        <v>104</v>
      </c>
      <c r="C660" t="s">
        <v>76</v>
      </c>
      <c r="D660" s="1">
        <v>31264</v>
      </c>
      <c r="E660" t="s">
        <v>1032</v>
      </c>
      <c r="F660" t="s">
        <v>870</v>
      </c>
    </row>
    <row r="661" spans="1:6" x14ac:dyDescent="0.25">
      <c r="A661">
        <v>759</v>
      </c>
      <c r="B661" t="s">
        <v>127</v>
      </c>
      <c r="C661" t="s">
        <v>76</v>
      </c>
      <c r="D661" s="1">
        <v>18797</v>
      </c>
      <c r="E661" t="s">
        <v>1033</v>
      </c>
      <c r="F661" t="s">
        <v>866</v>
      </c>
    </row>
    <row r="662" spans="1:6" x14ac:dyDescent="0.25">
      <c r="A662">
        <v>760</v>
      </c>
      <c r="B662" t="s">
        <v>80</v>
      </c>
      <c r="C662" t="s">
        <v>73</v>
      </c>
      <c r="D662" s="1">
        <v>35996</v>
      </c>
      <c r="E662" t="s">
        <v>1034</v>
      </c>
      <c r="F662" t="s">
        <v>867</v>
      </c>
    </row>
    <row r="663" spans="1:6" x14ac:dyDescent="0.25">
      <c r="A663">
        <v>761</v>
      </c>
      <c r="B663" t="s">
        <v>99</v>
      </c>
      <c r="C663" t="s">
        <v>76</v>
      </c>
      <c r="D663" s="1">
        <v>28351</v>
      </c>
      <c r="E663" t="s">
        <v>1035</v>
      </c>
      <c r="F663" t="s">
        <v>866</v>
      </c>
    </row>
    <row r="664" spans="1:6" x14ac:dyDescent="0.25">
      <c r="A664">
        <v>762</v>
      </c>
      <c r="B664" t="s">
        <v>75</v>
      </c>
      <c r="C664" t="s">
        <v>76</v>
      </c>
      <c r="D664" s="1">
        <v>38876</v>
      </c>
      <c r="E664" t="s">
        <v>1036</v>
      </c>
      <c r="F664" t="s">
        <v>870</v>
      </c>
    </row>
    <row r="665" spans="1:6" x14ac:dyDescent="0.25">
      <c r="A665">
        <v>763</v>
      </c>
      <c r="B665" t="s">
        <v>122</v>
      </c>
      <c r="C665" t="s">
        <v>73</v>
      </c>
      <c r="D665" s="1">
        <v>37171</v>
      </c>
      <c r="E665" t="s">
        <v>1037</v>
      </c>
      <c r="F665" t="s">
        <v>873</v>
      </c>
    </row>
    <row r="666" spans="1:6" x14ac:dyDescent="0.25">
      <c r="A666">
        <v>764</v>
      </c>
      <c r="B666" t="s">
        <v>99</v>
      </c>
      <c r="C666" t="s">
        <v>76</v>
      </c>
      <c r="D666" s="1">
        <v>45409</v>
      </c>
      <c r="E666" t="s">
        <v>1038</v>
      </c>
      <c r="F666" t="s">
        <v>869</v>
      </c>
    </row>
    <row r="667" spans="1:6" x14ac:dyDescent="0.25">
      <c r="A667">
        <v>765</v>
      </c>
      <c r="B667" t="s">
        <v>86</v>
      </c>
      <c r="C667" t="s">
        <v>76</v>
      </c>
      <c r="D667" s="1">
        <v>29995</v>
      </c>
      <c r="E667" t="s">
        <v>1039</v>
      </c>
      <c r="F667" t="s">
        <v>870</v>
      </c>
    </row>
    <row r="668" spans="1:6" x14ac:dyDescent="0.25">
      <c r="A668">
        <v>766</v>
      </c>
      <c r="B668" t="s">
        <v>127</v>
      </c>
      <c r="C668" t="s">
        <v>76</v>
      </c>
      <c r="D668" s="1">
        <v>19637</v>
      </c>
      <c r="E668" t="s">
        <v>1040</v>
      </c>
      <c r="F668" t="s">
        <v>870</v>
      </c>
    </row>
    <row r="669" spans="1:6" x14ac:dyDescent="0.25">
      <c r="A669">
        <v>767</v>
      </c>
      <c r="B669" t="s">
        <v>99</v>
      </c>
      <c r="C669" t="s">
        <v>76</v>
      </c>
      <c r="D669" s="1">
        <v>17236</v>
      </c>
      <c r="E669" t="s">
        <v>1041</v>
      </c>
      <c r="F669" t="s">
        <v>872</v>
      </c>
    </row>
    <row r="670" spans="1:6" x14ac:dyDescent="0.25">
      <c r="A670">
        <v>768</v>
      </c>
      <c r="B670" t="s">
        <v>75</v>
      </c>
      <c r="C670" t="s">
        <v>76</v>
      </c>
      <c r="D670" s="1">
        <v>31798</v>
      </c>
      <c r="E670" t="s">
        <v>1042</v>
      </c>
      <c r="F670" t="s">
        <v>872</v>
      </c>
    </row>
    <row r="671" spans="1:6" x14ac:dyDescent="0.25">
      <c r="A671">
        <v>769</v>
      </c>
      <c r="B671" t="s">
        <v>78</v>
      </c>
      <c r="C671" t="s">
        <v>73</v>
      </c>
      <c r="D671" s="1">
        <v>13559</v>
      </c>
      <c r="E671" t="s">
        <v>1043</v>
      </c>
      <c r="F671" t="s">
        <v>871</v>
      </c>
    </row>
    <row r="672" spans="1:6" x14ac:dyDescent="0.25">
      <c r="A672">
        <v>770</v>
      </c>
      <c r="B672" t="s">
        <v>82</v>
      </c>
      <c r="C672" t="s">
        <v>73</v>
      </c>
      <c r="D672" s="1">
        <v>31193</v>
      </c>
      <c r="E672" t="s">
        <v>1044</v>
      </c>
      <c r="F672" t="s">
        <v>872</v>
      </c>
    </row>
    <row r="673" spans="1:6" x14ac:dyDescent="0.25">
      <c r="A673">
        <v>771</v>
      </c>
      <c r="B673" t="s">
        <v>75</v>
      </c>
      <c r="C673" t="s">
        <v>76</v>
      </c>
      <c r="D673" s="1">
        <v>36903</v>
      </c>
      <c r="E673" t="s">
        <v>1045</v>
      </c>
      <c r="F673" t="s">
        <v>867</v>
      </c>
    </row>
    <row r="674" spans="1:6" x14ac:dyDescent="0.25">
      <c r="A674">
        <v>772</v>
      </c>
      <c r="B674" t="s">
        <v>125</v>
      </c>
      <c r="C674" t="s">
        <v>76</v>
      </c>
      <c r="D674" s="1">
        <v>24121</v>
      </c>
      <c r="E674" t="s">
        <v>1046</v>
      </c>
      <c r="F674" t="s">
        <v>869</v>
      </c>
    </row>
    <row r="675" spans="1:6" x14ac:dyDescent="0.25">
      <c r="A675">
        <v>773</v>
      </c>
      <c r="B675" t="s">
        <v>104</v>
      </c>
      <c r="C675" t="s">
        <v>76</v>
      </c>
      <c r="D675" s="1">
        <v>11596</v>
      </c>
      <c r="E675" t="s">
        <v>1047</v>
      </c>
      <c r="F675" t="s">
        <v>868</v>
      </c>
    </row>
    <row r="676" spans="1:6" x14ac:dyDescent="0.25">
      <c r="A676">
        <v>774</v>
      </c>
      <c r="B676" t="s">
        <v>75</v>
      </c>
      <c r="C676" t="s">
        <v>76</v>
      </c>
      <c r="D676" s="1">
        <v>25787</v>
      </c>
      <c r="E676" t="s">
        <v>1048</v>
      </c>
      <c r="F676" t="s">
        <v>867</v>
      </c>
    </row>
    <row r="677" spans="1:6" x14ac:dyDescent="0.25">
      <c r="A677">
        <v>775</v>
      </c>
      <c r="B677" t="s">
        <v>99</v>
      </c>
      <c r="C677" t="s">
        <v>76</v>
      </c>
      <c r="D677" s="1">
        <v>40634</v>
      </c>
      <c r="E677" t="s">
        <v>1049</v>
      </c>
      <c r="F677" t="s">
        <v>870</v>
      </c>
    </row>
    <row r="678" spans="1:6" x14ac:dyDescent="0.25">
      <c r="A678">
        <v>776</v>
      </c>
      <c r="B678" t="s">
        <v>75</v>
      </c>
      <c r="C678" t="s">
        <v>76</v>
      </c>
      <c r="D678" s="1">
        <v>15382</v>
      </c>
      <c r="E678" t="s">
        <v>1050</v>
      </c>
      <c r="F678" t="s">
        <v>867</v>
      </c>
    </row>
    <row r="679" spans="1:6" x14ac:dyDescent="0.25">
      <c r="A679">
        <v>777</v>
      </c>
      <c r="B679" t="s">
        <v>92</v>
      </c>
      <c r="C679" t="s">
        <v>76</v>
      </c>
      <c r="D679" s="1">
        <v>32770</v>
      </c>
      <c r="E679" t="s">
        <v>1051</v>
      </c>
      <c r="F679" t="s">
        <v>868</v>
      </c>
    </row>
    <row r="680" spans="1:6" x14ac:dyDescent="0.25">
      <c r="A680">
        <v>778</v>
      </c>
      <c r="B680" t="s">
        <v>84</v>
      </c>
      <c r="C680" t="s">
        <v>73</v>
      </c>
      <c r="D680" s="1">
        <v>37910</v>
      </c>
      <c r="E680" t="s">
        <v>1052</v>
      </c>
      <c r="F680" t="s">
        <v>871</v>
      </c>
    </row>
    <row r="681" spans="1:6" x14ac:dyDescent="0.25">
      <c r="A681">
        <v>779</v>
      </c>
      <c r="B681" t="s">
        <v>72</v>
      </c>
      <c r="C681" t="s">
        <v>73</v>
      </c>
      <c r="D681" s="1">
        <v>21706</v>
      </c>
      <c r="E681" t="s">
        <v>1053</v>
      </c>
      <c r="F681" t="s">
        <v>872</v>
      </c>
    </row>
    <row r="682" spans="1:6" x14ac:dyDescent="0.25">
      <c r="A682">
        <v>780</v>
      </c>
      <c r="B682" t="s">
        <v>99</v>
      </c>
      <c r="C682" t="s">
        <v>76</v>
      </c>
      <c r="D682" s="1">
        <v>27955</v>
      </c>
      <c r="E682" t="s">
        <v>1054</v>
      </c>
      <c r="F682" t="s">
        <v>868</v>
      </c>
    </row>
    <row r="683" spans="1:6" x14ac:dyDescent="0.25">
      <c r="A683">
        <v>781</v>
      </c>
      <c r="B683" t="s">
        <v>92</v>
      </c>
      <c r="C683" t="s">
        <v>76</v>
      </c>
      <c r="D683" s="1">
        <v>21718</v>
      </c>
      <c r="E683" t="s">
        <v>1055</v>
      </c>
      <c r="F683" t="s">
        <v>867</v>
      </c>
    </row>
    <row r="684" spans="1:6" x14ac:dyDescent="0.25">
      <c r="A684">
        <v>782</v>
      </c>
      <c r="B684" t="s">
        <v>89</v>
      </c>
      <c r="C684" t="s">
        <v>76</v>
      </c>
      <c r="D684" s="1">
        <v>42194</v>
      </c>
      <c r="E684" t="s">
        <v>1056</v>
      </c>
      <c r="F684" t="s">
        <v>868</v>
      </c>
    </row>
    <row r="685" spans="1:6" x14ac:dyDescent="0.25">
      <c r="A685">
        <v>783</v>
      </c>
      <c r="B685" t="s">
        <v>80</v>
      </c>
      <c r="C685" t="s">
        <v>73</v>
      </c>
      <c r="D685" s="1">
        <v>11606</v>
      </c>
      <c r="E685" t="s">
        <v>1057</v>
      </c>
      <c r="F685" t="s">
        <v>869</v>
      </c>
    </row>
    <row r="686" spans="1:6" x14ac:dyDescent="0.25">
      <c r="A686">
        <v>784</v>
      </c>
      <c r="B686" t="s">
        <v>122</v>
      </c>
      <c r="C686" t="s">
        <v>73</v>
      </c>
      <c r="D686" s="1">
        <v>18473</v>
      </c>
      <c r="E686" t="s">
        <v>1058</v>
      </c>
      <c r="F686" t="s">
        <v>868</v>
      </c>
    </row>
    <row r="687" spans="1:6" x14ac:dyDescent="0.25">
      <c r="A687">
        <v>785</v>
      </c>
      <c r="B687" t="s">
        <v>75</v>
      </c>
      <c r="C687" t="s">
        <v>76</v>
      </c>
      <c r="D687" s="1">
        <v>36239</v>
      </c>
      <c r="E687" t="s">
        <v>1059</v>
      </c>
      <c r="F687" t="s">
        <v>871</v>
      </c>
    </row>
    <row r="688" spans="1:6" x14ac:dyDescent="0.25">
      <c r="A688">
        <v>786</v>
      </c>
      <c r="B688" t="s">
        <v>122</v>
      </c>
      <c r="C688" t="s">
        <v>73</v>
      </c>
      <c r="D688" s="1">
        <v>17685</v>
      </c>
      <c r="E688" t="s">
        <v>1060</v>
      </c>
      <c r="F688" t="s">
        <v>871</v>
      </c>
    </row>
    <row r="689" spans="1:6" x14ac:dyDescent="0.25">
      <c r="A689">
        <v>787</v>
      </c>
      <c r="B689" t="s">
        <v>80</v>
      </c>
      <c r="C689" t="s">
        <v>73</v>
      </c>
      <c r="D689" s="1">
        <v>17977</v>
      </c>
      <c r="E689" t="s">
        <v>1061</v>
      </c>
      <c r="F689" t="s">
        <v>866</v>
      </c>
    </row>
    <row r="690" spans="1:6" x14ac:dyDescent="0.25">
      <c r="A690">
        <v>788</v>
      </c>
      <c r="B690" t="s">
        <v>122</v>
      </c>
      <c r="C690" t="s">
        <v>73</v>
      </c>
      <c r="D690" s="1">
        <v>38346</v>
      </c>
      <c r="E690" t="s">
        <v>1062</v>
      </c>
      <c r="F690" t="s">
        <v>867</v>
      </c>
    </row>
    <row r="691" spans="1:6" x14ac:dyDescent="0.25">
      <c r="A691">
        <v>789</v>
      </c>
      <c r="B691" t="s">
        <v>80</v>
      </c>
      <c r="C691" t="s">
        <v>73</v>
      </c>
      <c r="D691" s="1">
        <v>15814</v>
      </c>
      <c r="E691" t="s">
        <v>1063</v>
      </c>
      <c r="F691" t="s">
        <v>870</v>
      </c>
    </row>
    <row r="692" spans="1:6" x14ac:dyDescent="0.25">
      <c r="A692">
        <v>790</v>
      </c>
      <c r="B692" t="s">
        <v>78</v>
      </c>
      <c r="C692" t="s">
        <v>73</v>
      </c>
      <c r="D692" s="1">
        <v>36803</v>
      </c>
      <c r="E692" t="s">
        <v>1064</v>
      </c>
      <c r="F692" t="s">
        <v>868</v>
      </c>
    </row>
    <row r="693" spans="1:6" x14ac:dyDescent="0.25">
      <c r="A693">
        <v>791</v>
      </c>
      <c r="B693" t="s">
        <v>84</v>
      </c>
      <c r="C693" t="s">
        <v>73</v>
      </c>
      <c r="D693" s="1">
        <v>39304</v>
      </c>
      <c r="E693" t="s">
        <v>1065</v>
      </c>
      <c r="F693" t="s">
        <v>866</v>
      </c>
    </row>
    <row r="694" spans="1:6" x14ac:dyDescent="0.25">
      <c r="A694">
        <v>792</v>
      </c>
      <c r="B694" t="s">
        <v>86</v>
      </c>
      <c r="C694" t="s">
        <v>76</v>
      </c>
      <c r="D694" s="1">
        <v>23363</v>
      </c>
      <c r="E694" t="s">
        <v>1066</v>
      </c>
      <c r="F694" t="s">
        <v>868</v>
      </c>
    </row>
    <row r="695" spans="1:6" x14ac:dyDescent="0.25">
      <c r="A695">
        <v>793</v>
      </c>
      <c r="B695" t="s">
        <v>72</v>
      </c>
      <c r="C695" t="s">
        <v>73</v>
      </c>
      <c r="D695" s="1">
        <v>43669</v>
      </c>
      <c r="E695" t="s">
        <v>1067</v>
      </c>
      <c r="F695" t="s">
        <v>866</v>
      </c>
    </row>
    <row r="696" spans="1:6" x14ac:dyDescent="0.25">
      <c r="A696">
        <v>794</v>
      </c>
      <c r="B696" t="s">
        <v>72</v>
      </c>
      <c r="C696" t="s">
        <v>73</v>
      </c>
      <c r="D696" s="1">
        <v>33569</v>
      </c>
      <c r="E696" t="s">
        <v>1068</v>
      </c>
      <c r="F696" t="s">
        <v>869</v>
      </c>
    </row>
    <row r="697" spans="1:6" x14ac:dyDescent="0.25">
      <c r="A697">
        <v>795</v>
      </c>
      <c r="B697" t="s">
        <v>125</v>
      </c>
      <c r="C697" t="s">
        <v>76</v>
      </c>
      <c r="D697" s="1">
        <v>12878</v>
      </c>
      <c r="E697" t="s">
        <v>1069</v>
      </c>
      <c r="F697" t="s">
        <v>871</v>
      </c>
    </row>
    <row r="698" spans="1:6" x14ac:dyDescent="0.25">
      <c r="A698">
        <v>796</v>
      </c>
      <c r="B698" t="s">
        <v>82</v>
      </c>
      <c r="C698" t="s">
        <v>73</v>
      </c>
      <c r="D698" s="1">
        <v>38925</v>
      </c>
      <c r="E698" t="s">
        <v>1070</v>
      </c>
      <c r="F698" t="s">
        <v>871</v>
      </c>
    </row>
    <row r="699" spans="1:6" x14ac:dyDescent="0.25">
      <c r="A699">
        <v>797</v>
      </c>
      <c r="B699" t="s">
        <v>125</v>
      </c>
      <c r="C699" t="s">
        <v>76</v>
      </c>
      <c r="D699" s="1">
        <v>31698</v>
      </c>
      <c r="E699" t="s">
        <v>1071</v>
      </c>
      <c r="F699" t="s">
        <v>868</v>
      </c>
    </row>
    <row r="700" spans="1:6" x14ac:dyDescent="0.25">
      <c r="A700">
        <v>798</v>
      </c>
      <c r="B700" t="s">
        <v>84</v>
      </c>
      <c r="C700" t="s">
        <v>73</v>
      </c>
      <c r="D700" s="1">
        <v>28512</v>
      </c>
      <c r="E700" t="s">
        <v>1072</v>
      </c>
      <c r="F700" t="s">
        <v>866</v>
      </c>
    </row>
    <row r="701" spans="1:6" x14ac:dyDescent="0.25">
      <c r="A701">
        <v>799</v>
      </c>
      <c r="B701" t="s">
        <v>86</v>
      </c>
      <c r="C701" t="s">
        <v>76</v>
      </c>
      <c r="D701" s="1">
        <v>40837</v>
      </c>
      <c r="E701" t="s">
        <v>1073</v>
      </c>
      <c r="F701" t="s">
        <v>867</v>
      </c>
    </row>
    <row r="702" spans="1:6" x14ac:dyDescent="0.25">
      <c r="A702">
        <v>800</v>
      </c>
      <c r="B702" t="s">
        <v>99</v>
      </c>
      <c r="C702" t="s">
        <v>76</v>
      </c>
      <c r="D702" s="1">
        <v>17286</v>
      </c>
      <c r="E702" t="s">
        <v>1074</v>
      </c>
      <c r="F702" t="s">
        <v>873</v>
      </c>
    </row>
    <row r="703" spans="1:6" x14ac:dyDescent="0.25">
      <c r="A703">
        <v>801</v>
      </c>
      <c r="B703" t="s">
        <v>125</v>
      </c>
      <c r="C703" t="s">
        <v>76</v>
      </c>
      <c r="D703" s="1">
        <v>23638</v>
      </c>
      <c r="E703" t="s">
        <v>1075</v>
      </c>
      <c r="F703" t="s">
        <v>868</v>
      </c>
    </row>
    <row r="704" spans="1:6" x14ac:dyDescent="0.25">
      <c r="A704">
        <v>802</v>
      </c>
      <c r="B704" t="s">
        <v>127</v>
      </c>
      <c r="C704" t="s">
        <v>76</v>
      </c>
      <c r="D704" s="1">
        <v>33449</v>
      </c>
      <c r="E704" t="s">
        <v>1076</v>
      </c>
      <c r="F704" t="s">
        <v>867</v>
      </c>
    </row>
    <row r="705" spans="1:6" x14ac:dyDescent="0.25">
      <c r="A705">
        <v>803</v>
      </c>
      <c r="B705" t="s">
        <v>104</v>
      </c>
      <c r="C705" t="s">
        <v>76</v>
      </c>
      <c r="D705" s="1">
        <v>13542</v>
      </c>
      <c r="E705" t="s">
        <v>1077</v>
      </c>
      <c r="F705" t="s">
        <v>873</v>
      </c>
    </row>
    <row r="706" spans="1:6" x14ac:dyDescent="0.25">
      <c r="A706">
        <v>804</v>
      </c>
      <c r="B706" t="s">
        <v>104</v>
      </c>
      <c r="C706" t="s">
        <v>76</v>
      </c>
      <c r="D706" s="1">
        <v>14271</v>
      </c>
      <c r="E706" t="s">
        <v>1078</v>
      </c>
      <c r="F706" t="s">
        <v>870</v>
      </c>
    </row>
    <row r="707" spans="1:6" x14ac:dyDescent="0.25">
      <c r="A707">
        <v>805</v>
      </c>
      <c r="B707" t="s">
        <v>72</v>
      </c>
      <c r="C707" t="s">
        <v>73</v>
      </c>
      <c r="D707" s="1">
        <v>45015</v>
      </c>
      <c r="E707" t="s">
        <v>1079</v>
      </c>
      <c r="F707" t="s">
        <v>869</v>
      </c>
    </row>
    <row r="708" spans="1:6" x14ac:dyDescent="0.25">
      <c r="A708">
        <v>806</v>
      </c>
      <c r="B708" t="s">
        <v>125</v>
      </c>
      <c r="C708" t="s">
        <v>76</v>
      </c>
      <c r="D708" s="1">
        <v>40332</v>
      </c>
      <c r="E708" t="s">
        <v>1080</v>
      </c>
      <c r="F708" t="s">
        <v>870</v>
      </c>
    </row>
    <row r="709" spans="1:6" x14ac:dyDescent="0.25">
      <c r="A709">
        <v>807</v>
      </c>
      <c r="B709" t="s">
        <v>86</v>
      </c>
      <c r="C709" t="s">
        <v>76</v>
      </c>
      <c r="D709" s="1">
        <v>34241</v>
      </c>
      <c r="E709" t="s">
        <v>1081</v>
      </c>
      <c r="F709" t="s">
        <v>873</v>
      </c>
    </row>
    <row r="710" spans="1:6" x14ac:dyDescent="0.25">
      <c r="A710">
        <v>808</v>
      </c>
      <c r="B710" t="s">
        <v>125</v>
      </c>
      <c r="C710" t="s">
        <v>76</v>
      </c>
      <c r="D710" s="1">
        <v>26310</v>
      </c>
      <c r="E710" t="s">
        <v>1082</v>
      </c>
      <c r="F710" t="s">
        <v>871</v>
      </c>
    </row>
    <row r="711" spans="1:6" x14ac:dyDescent="0.25">
      <c r="A711">
        <v>809</v>
      </c>
      <c r="B711" t="s">
        <v>99</v>
      </c>
      <c r="C711" t="s">
        <v>76</v>
      </c>
      <c r="D711" s="1">
        <v>36165</v>
      </c>
      <c r="E711" t="s">
        <v>1083</v>
      </c>
      <c r="F711" t="s">
        <v>872</v>
      </c>
    </row>
    <row r="712" spans="1:6" x14ac:dyDescent="0.25">
      <c r="A712">
        <v>810</v>
      </c>
      <c r="B712" t="s">
        <v>92</v>
      </c>
      <c r="C712" t="s">
        <v>76</v>
      </c>
      <c r="D712" s="1">
        <v>22720</v>
      </c>
      <c r="E712" t="s">
        <v>1084</v>
      </c>
      <c r="F712" t="s">
        <v>867</v>
      </c>
    </row>
    <row r="713" spans="1:6" x14ac:dyDescent="0.25">
      <c r="A713">
        <v>811</v>
      </c>
      <c r="B713" t="s">
        <v>104</v>
      </c>
      <c r="C713" t="s">
        <v>76</v>
      </c>
      <c r="D713" s="1">
        <v>42924</v>
      </c>
      <c r="E713" t="s">
        <v>1085</v>
      </c>
      <c r="F713" t="s">
        <v>872</v>
      </c>
    </row>
    <row r="714" spans="1:6" x14ac:dyDescent="0.25">
      <c r="A714">
        <v>812</v>
      </c>
      <c r="B714" t="s">
        <v>89</v>
      </c>
      <c r="C714" t="s">
        <v>76</v>
      </c>
      <c r="D714" s="1">
        <v>20912</v>
      </c>
      <c r="E714" t="s">
        <v>1086</v>
      </c>
      <c r="F714" t="s">
        <v>868</v>
      </c>
    </row>
    <row r="715" spans="1:6" x14ac:dyDescent="0.25">
      <c r="A715">
        <v>813</v>
      </c>
      <c r="B715" t="s">
        <v>82</v>
      </c>
      <c r="C715" t="s">
        <v>73</v>
      </c>
      <c r="D715" s="1">
        <v>15533</v>
      </c>
      <c r="E715" t="s">
        <v>1087</v>
      </c>
      <c r="F715" t="s">
        <v>871</v>
      </c>
    </row>
    <row r="716" spans="1:6" x14ac:dyDescent="0.25">
      <c r="A716">
        <v>814</v>
      </c>
      <c r="B716" t="s">
        <v>125</v>
      </c>
      <c r="C716" t="s">
        <v>76</v>
      </c>
      <c r="D716" s="1">
        <v>37420</v>
      </c>
      <c r="E716" t="s">
        <v>1088</v>
      </c>
      <c r="F716" t="s">
        <v>868</v>
      </c>
    </row>
    <row r="717" spans="1:6" x14ac:dyDescent="0.25">
      <c r="A717">
        <v>815</v>
      </c>
      <c r="B717" t="s">
        <v>125</v>
      </c>
      <c r="C717" t="s">
        <v>76</v>
      </c>
      <c r="D717" s="1">
        <v>35749</v>
      </c>
      <c r="E717" t="s">
        <v>1089</v>
      </c>
      <c r="F717" t="s">
        <v>873</v>
      </c>
    </row>
    <row r="718" spans="1:6" x14ac:dyDescent="0.25">
      <c r="A718">
        <v>816</v>
      </c>
      <c r="B718" t="s">
        <v>84</v>
      </c>
      <c r="C718" t="s">
        <v>73</v>
      </c>
      <c r="D718" s="1">
        <v>17440</v>
      </c>
      <c r="E718" t="s">
        <v>1090</v>
      </c>
      <c r="F718" t="s">
        <v>869</v>
      </c>
    </row>
    <row r="719" spans="1:6" x14ac:dyDescent="0.25">
      <c r="A719">
        <v>817</v>
      </c>
      <c r="B719" t="s">
        <v>120</v>
      </c>
      <c r="C719" t="s">
        <v>73</v>
      </c>
      <c r="D719" s="1">
        <v>38211</v>
      </c>
      <c r="E719" t="s">
        <v>1091</v>
      </c>
      <c r="F719" t="s">
        <v>873</v>
      </c>
    </row>
    <row r="720" spans="1:6" x14ac:dyDescent="0.25">
      <c r="A720">
        <v>818</v>
      </c>
      <c r="B720" t="s">
        <v>72</v>
      </c>
      <c r="C720" t="s">
        <v>73</v>
      </c>
      <c r="D720" s="1">
        <v>30800</v>
      </c>
      <c r="E720" t="s">
        <v>1092</v>
      </c>
      <c r="F720" t="s">
        <v>866</v>
      </c>
    </row>
    <row r="721" spans="1:6" x14ac:dyDescent="0.25">
      <c r="A721">
        <v>819</v>
      </c>
      <c r="B721" t="s">
        <v>72</v>
      </c>
      <c r="C721" t="s">
        <v>73</v>
      </c>
      <c r="D721" s="1">
        <v>28248</v>
      </c>
      <c r="E721" t="s">
        <v>1093</v>
      </c>
      <c r="F721" t="s">
        <v>869</v>
      </c>
    </row>
    <row r="722" spans="1:6" x14ac:dyDescent="0.25">
      <c r="A722">
        <v>820</v>
      </c>
      <c r="B722" t="s">
        <v>75</v>
      </c>
      <c r="C722" t="s">
        <v>76</v>
      </c>
      <c r="D722" s="1">
        <v>16060</v>
      </c>
      <c r="E722" t="s">
        <v>1094</v>
      </c>
      <c r="F722" t="s">
        <v>872</v>
      </c>
    </row>
    <row r="723" spans="1:6" x14ac:dyDescent="0.25">
      <c r="A723">
        <v>821</v>
      </c>
      <c r="B723" t="s">
        <v>80</v>
      </c>
      <c r="C723" t="s">
        <v>73</v>
      </c>
      <c r="D723" s="1">
        <v>30042</v>
      </c>
      <c r="E723" t="s">
        <v>1095</v>
      </c>
      <c r="F723" t="s">
        <v>871</v>
      </c>
    </row>
    <row r="724" spans="1:6" x14ac:dyDescent="0.25">
      <c r="A724">
        <v>822</v>
      </c>
      <c r="B724" t="s">
        <v>78</v>
      </c>
      <c r="C724" t="s">
        <v>73</v>
      </c>
      <c r="D724" s="1">
        <v>43785</v>
      </c>
      <c r="E724" t="s">
        <v>1096</v>
      </c>
      <c r="F724" t="s">
        <v>866</v>
      </c>
    </row>
    <row r="725" spans="1:6" x14ac:dyDescent="0.25">
      <c r="A725">
        <v>823</v>
      </c>
      <c r="B725" t="s">
        <v>89</v>
      </c>
      <c r="C725" t="s">
        <v>76</v>
      </c>
      <c r="D725" s="1">
        <v>35913</v>
      </c>
      <c r="E725" t="s">
        <v>1097</v>
      </c>
      <c r="F725" t="s">
        <v>872</v>
      </c>
    </row>
    <row r="726" spans="1:6" x14ac:dyDescent="0.25">
      <c r="A726">
        <v>824</v>
      </c>
      <c r="B726" t="s">
        <v>80</v>
      </c>
      <c r="C726" t="s">
        <v>73</v>
      </c>
      <c r="D726" s="1">
        <v>21130</v>
      </c>
      <c r="E726" t="s">
        <v>1098</v>
      </c>
      <c r="F726" t="s">
        <v>870</v>
      </c>
    </row>
    <row r="727" spans="1:6" x14ac:dyDescent="0.25">
      <c r="A727">
        <v>825</v>
      </c>
      <c r="B727" t="s">
        <v>78</v>
      </c>
      <c r="C727" t="s">
        <v>73</v>
      </c>
      <c r="D727" s="1">
        <v>40382</v>
      </c>
      <c r="E727" t="s">
        <v>1099</v>
      </c>
      <c r="F727" t="s">
        <v>871</v>
      </c>
    </row>
    <row r="728" spans="1:6" x14ac:dyDescent="0.25">
      <c r="A728">
        <v>826</v>
      </c>
      <c r="B728" t="s">
        <v>78</v>
      </c>
      <c r="C728" t="s">
        <v>73</v>
      </c>
      <c r="D728" s="1">
        <v>28990</v>
      </c>
      <c r="E728" t="s">
        <v>1100</v>
      </c>
      <c r="F728" t="s">
        <v>871</v>
      </c>
    </row>
    <row r="729" spans="1:6" x14ac:dyDescent="0.25">
      <c r="A729">
        <v>827</v>
      </c>
      <c r="B729" t="s">
        <v>99</v>
      </c>
      <c r="C729" t="s">
        <v>76</v>
      </c>
      <c r="D729" s="1">
        <v>12911</v>
      </c>
      <c r="E729" t="s">
        <v>1101</v>
      </c>
      <c r="F729" t="s">
        <v>871</v>
      </c>
    </row>
    <row r="730" spans="1:6" x14ac:dyDescent="0.25">
      <c r="A730">
        <v>828</v>
      </c>
      <c r="B730" t="s">
        <v>84</v>
      </c>
      <c r="C730" t="s">
        <v>73</v>
      </c>
      <c r="D730" s="1">
        <v>33862</v>
      </c>
      <c r="E730" t="s">
        <v>1102</v>
      </c>
      <c r="F730" t="s">
        <v>869</v>
      </c>
    </row>
    <row r="731" spans="1:6" x14ac:dyDescent="0.25">
      <c r="A731">
        <v>829</v>
      </c>
      <c r="B731" t="s">
        <v>89</v>
      </c>
      <c r="C731" t="s">
        <v>76</v>
      </c>
      <c r="D731" s="1">
        <v>10366</v>
      </c>
      <c r="E731" t="s">
        <v>1103</v>
      </c>
      <c r="F731" t="s">
        <v>873</v>
      </c>
    </row>
    <row r="732" spans="1:6" x14ac:dyDescent="0.25">
      <c r="A732">
        <v>830</v>
      </c>
      <c r="B732" t="s">
        <v>99</v>
      </c>
      <c r="C732" t="s">
        <v>76</v>
      </c>
      <c r="D732" s="1">
        <v>29131</v>
      </c>
      <c r="E732" t="s">
        <v>1104</v>
      </c>
      <c r="F732" t="s">
        <v>871</v>
      </c>
    </row>
    <row r="733" spans="1:6" x14ac:dyDescent="0.25">
      <c r="A733">
        <v>831</v>
      </c>
      <c r="B733" t="s">
        <v>84</v>
      </c>
      <c r="C733" t="s">
        <v>73</v>
      </c>
      <c r="D733" s="1">
        <v>41369</v>
      </c>
      <c r="E733" t="s">
        <v>1105</v>
      </c>
      <c r="F733" t="s">
        <v>872</v>
      </c>
    </row>
    <row r="734" spans="1:6" x14ac:dyDescent="0.25">
      <c r="A734">
        <v>832</v>
      </c>
      <c r="B734" t="s">
        <v>78</v>
      </c>
      <c r="C734" t="s">
        <v>73</v>
      </c>
      <c r="D734" s="1">
        <v>20626</v>
      </c>
      <c r="E734" t="s">
        <v>1106</v>
      </c>
      <c r="F734" t="s">
        <v>871</v>
      </c>
    </row>
    <row r="735" spans="1:6" x14ac:dyDescent="0.25">
      <c r="A735">
        <v>833</v>
      </c>
      <c r="B735" t="s">
        <v>80</v>
      </c>
      <c r="C735" t="s">
        <v>73</v>
      </c>
      <c r="D735" s="1">
        <v>42421</v>
      </c>
      <c r="E735" t="s">
        <v>1107</v>
      </c>
      <c r="F735" t="s">
        <v>867</v>
      </c>
    </row>
    <row r="736" spans="1:6" x14ac:dyDescent="0.25">
      <c r="A736">
        <v>834</v>
      </c>
      <c r="B736" t="s">
        <v>122</v>
      </c>
      <c r="C736" t="s">
        <v>73</v>
      </c>
      <c r="D736" s="1">
        <v>31210</v>
      </c>
      <c r="E736" t="s">
        <v>1108</v>
      </c>
      <c r="F736" t="s">
        <v>872</v>
      </c>
    </row>
    <row r="737" spans="1:6" x14ac:dyDescent="0.25">
      <c r="A737">
        <v>835</v>
      </c>
      <c r="B737" t="s">
        <v>94</v>
      </c>
      <c r="C737" t="s">
        <v>73</v>
      </c>
      <c r="D737" s="1">
        <v>45476</v>
      </c>
      <c r="E737" t="s">
        <v>1109</v>
      </c>
      <c r="F737" t="s">
        <v>872</v>
      </c>
    </row>
    <row r="738" spans="1:6" x14ac:dyDescent="0.25">
      <c r="A738">
        <v>836</v>
      </c>
      <c r="B738" t="s">
        <v>80</v>
      </c>
      <c r="C738" t="s">
        <v>73</v>
      </c>
      <c r="D738" s="1">
        <v>23274</v>
      </c>
      <c r="E738" t="s">
        <v>1110</v>
      </c>
      <c r="F738" t="s">
        <v>871</v>
      </c>
    </row>
    <row r="739" spans="1:6" x14ac:dyDescent="0.25">
      <c r="A739">
        <v>837</v>
      </c>
      <c r="B739" t="s">
        <v>78</v>
      </c>
      <c r="C739" t="s">
        <v>73</v>
      </c>
      <c r="D739" s="1">
        <v>10641</v>
      </c>
      <c r="E739" t="s">
        <v>1111</v>
      </c>
      <c r="F739" t="s">
        <v>873</v>
      </c>
    </row>
    <row r="740" spans="1:6" x14ac:dyDescent="0.25">
      <c r="A740">
        <v>838</v>
      </c>
      <c r="B740" t="s">
        <v>80</v>
      </c>
      <c r="C740" t="s">
        <v>73</v>
      </c>
      <c r="D740" s="1">
        <v>17413</v>
      </c>
      <c r="E740" t="s">
        <v>1112</v>
      </c>
      <c r="F740" t="s">
        <v>872</v>
      </c>
    </row>
    <row r="741" spans="1:6" x14ac:dyDescent="0.25">
      <c r="A741">
        <v>839</v>
      </c>
      <c r="B741" t="s">
        <v>99</v>
      </c>
      <c r="C741" t="s">
        <v>76</v>
      </c>
      <c r="D741" s="1">
        <v>21596</v>
      </c>
      <c r="E741" t="s">
        <v>1113</v>
      </c>
      <c r="F741" t="s">
        <v>867</v>
      </c>
    </row>
    <row r="742" spans="1:6" x14ac:dyDescent="0.25">
      <c r="A742">
        <v>840</v>
      </c>
      <c r="B742" t="s">
        <v>78</v>
      </c>
      <c r="C742" t="s">
        <v>73</v>
      </c>
      <c r="D742" s="1">
        <v>13253</v>
      </c>
      <c r="E742" t="s">
        <v>1114</v>
      </c>
      <c r="F742" t="s">
        <v>869</v>
      </c>
    </row>
    <row r="743" spans="1:6" x14ac:dyDescent="0.25">
      <c r="A743">
        <v>841</v>
      </c>
      <c r="B743" t="s">
        <v>86</v>
      </c>
      <c r="C743" t="s">
        <v>76</v>
      </c>
      <c r="D743" s="1">
        <v>29273</v>
      </c>
      <c r="E743" t="s">
        <v>1115</v>
      </c>
      <c r="F743" t="s">
        <v>867</v>
      </c>
    </row>
    <row r="744" spans="1:6" x14ac:dyDescent="0.25">
      <c r="A744">
        <v>842</v>
      </c>
      <c r="B744" t="s">
        <v>82</v>
      </c>
      <c r="C744" t="s">
        <v>73</v>
      </c>
      <c r="D744" s="1">
        <v>25134</v>
      </c>
      <c r="E744" t="s">
        <v>1116</v>
      </c>
      <c r="F744" t="s">
        <v>868</v>
      </c>
    </row>
    <row r="745" spans="1:6" x14ac:dyDescent="0.25">
      <c r="A745">
        <v>843</v>
      </c>
      <c r="B745" t="s">
        <v>80</v>
      </c>
      <c r="C745" t="s">
        <v>73</v>
      </c>
      <c r="D745" s="1">
        <v>33720</v>
      </c>
      <c r="E745" t="s">
        <v>1117</v>
      </c>
      <c r="F745" t="s">
        <v>867</v>
      </c>
    </row>
    <row r="746" spans="1:6" x14ac:dyDescent="0.25">
      <c r="A746">
        <v>844</v>
      </c>
      <c r="B746" t="s">
        <v>86</v>
      </c>
      <c r="C746" t="s">
        <v>76</v>
      </c>
      <c r="D746" s="1">
        <v>15033</v>
      </c>
      <c r="E746" t="s">
        <v>1118</v>
      </c>
      <c r="F746" t="s">
        <v>871</v>
      </c>
    </row>
    <row r="747" spans="1:6" x14ac:dyDescent="0.25">
      <c r="A747">
        <v>845</v>
      </c>
      <c r="B747" t="s">
        <v>82</v>
      </c>
      <c r="C747" t="s">
        <v>73</v>
      </c>
      <c r="D747" s="1">
        <v>31514</v>
      </c>
      <c r="E747" t="s">
        <v>1119</v>
      </c>
      <c r="F747" t="s">
        <v>868</v>
      </c>
    </row>
    <row r="748" spans="1:6" x14ac:dyDescent="0.25">
      <c r="A748">
        <v>846</v>
      </c>
      <c r="B748" t="s">
        <v>89</v>
      </c>
      <c r="C748" t="s">
        <v>76</v>
      </c>
      <c r="D748" s="1">
        <v>44372</v>
      </c>
      <c r="E748" t="s">
        <v>1120</v>
      </c>
      <c r="F748" t="s">
        <v>871</v>
      </c>
    </row>
    <row r="749" spans="1:6" x14ac:dyDescent="0.25">
      <c r="A749">
        <v>847</v>
      </c>
      <c r="B749" t="s">
        <v>86</v>
      </c>
      <c r="C749" t="s">
        <v>76</v>
      </c>
      <c r="D749" s="1">
        <v>16484</v>
      </c>
      <c r="E749" t="s">
        <v>1121</v>
      </c>
      <c r="F749" t="s">
        <v>868</v>
      </c>
    </row>
    <row r="750" spans="1:6" x14ac:dyDescent="0.25">
      <c r="A750">
        <v>848</v>
      </c>
      <c r="B750" t="s">
        <v>84</v>
      </c>
      <c r="C750" t="s">
        <v>73</v>
      </c>
      <c r="D750" s="1">
        <v>41885</v>
      </c>
      <c r="E750" t="s">
        <v>1122</v>
      </c>
      <c r="F750" t="s">
        <v>872</v>
      </c>
    </row>
    <row r="751" spans="1:6" x14ac:dyDescent="0.25">
      <c r="A751">
        <v>849</v>
      </c>
      <c r="B751" t="s">
        <v>80</v>
      </c>
      <c r="C751" t="s">
        <v>73</v>
      </c>
      <c r="D751" s="1">
        <v>29925</v>
      </c>
      <c r="E751" t="s">
        <v>1123</v>
      </c>
      <c r="F751" t="s">
        <v>868</v>
      </c>
    </row>
    <row r="752" spans="1:6" x14ac:dyDescent="0.25">
      <c r="A752">
        <v>850</v>
      </c>
      <c r="B752" t="s">
        <v>92</v>
      </c>
      <c r="C752" t="s">
        <v>76</v>
      </c>
      <c r="D752" s="1">
        <v>16498</v>
      </c>
      <c r="E752" t="s">
        <v>1124</v>
      </c>
      <c r="F752" t="s">
        <v>866</v>
      </c>
    </row>
    <row r="753" spans="1:6" x14ac:dyDescent="0.25">
      <c r="A753">
        <v>851</v>
      </c>
      <c r="B753" t="s">
        <v>120</v>
      </c>
      <c r="C753" t="s">
        <v>73</v>
      </c>
      <c r="D753" s="1">
        <v>21119</v>
      </c>
      <c r="E753" t="s">
        <v>1125</v>
      </c>
      <c r="F753" t="s">
        <v>873</v>
      </c>
    </row>
    <row r="754" spans="1:6" x14ac:dyDescent="0.25">
      <c r="A754">
        <v>852</v>
      </c>
      <c r="B754" t="s">
        <v>127</v>
      </c>
      <c r="C754" t="s">
        <v>76</v>
      </c>
      <c r="D754" s="1">
        <v>14989</v>
      </c>
      <c r="E754" t="s">
        <v>1126</v>
      </c>
      <c r="F754" t="s">
        <v>871</v>
      </c>
    </row>
    <row r="755" spans="1:6" x14ac:dyDescent="0.25">
      <c r="A755">
        <v>853</v>
      </c>
      <c r="B755" t="s">
        <v>84</v>
      </c>
      <c r="C755" t="s">
        <v>73</v>
      </c>
      <c r="D755" s="1">
        <v>16432</v>
      </c>
      <c r="E755" t="s">
        <v>1127</v>
      </c>
      <c r="F755" t="s">
        <v>867</v>
      </c>
    </row>
    <row r="756" spans="1:6" x14ac:dyDescent="0.25">
      <c r="A756">
        <v>854</v>
      </c>
      <c r="B756" t="s">
        <v>120</v>
      </c>
      <c r="C756" t="s">
        <v>73</v>
      </c>
      <c r="D756" s="1">
        <v>31964</v>
      </c>
      <c r="E756" t="s">
        <v>1128</v>
      </c>
      <c r="F756" t="s">
        <v>871</v>
      </c>
    </row>
    <row r="757" spans="1:6" x14ac:dyDescent="0.25">
      <c r="A757">
        <v>855</v>
      </c>
      <c r="B757" t="s">
        <v>94</v>
      </c>
      <c r="C757" t="s">
        <v>73</v>
      </c>
      <c r="D757" s="1">
        <v>29516</v>
      </c>
      <c r="E757" t="s">
        <v>1129</v>
      </c>
      <c r="F757" t="s">
        <v>869</v>
      </c>
    </row>
    <row r="758" spans="1:6" x14ac:dyDescent="0.25">
      <c r="A758">
        <v>856</v>
      </c>
      <c r="B758" t="s">
        <v>99</v>
      </c>
      <c r="C758" t="s">
        <v>76</v>
      </c>
      <c r="D758" s="1">
        <v>25862</v>
      </c>
      <c r="E758" t="s">
        <v>1130</v>
      </c>
      <c r="F758" t="s">
        <v>873</v>
      </c>
    </row>
    <row r="759" spans="1:6" x14ac:dyDescent="0.25">
      <c r="A759">
        <v>857</v>
      </c>
      <c r="B759" t="s">
        <v>125</v>
      </c>
      <c r="C759" t="s">
        <v>76</v>
      </c>
      <c r="D759" s="1">
        <v>30044</v>
      </c>
      <c r="E759" t="s">
        <v>1131</v>
      </c>
      <c r="F759" t="s">
        <v>867</v>
      </c>
    </row>
    <row r="760" spans="1:6" x14ac:dyDescent="0.25">
      <c r="A760">
        <v>858</v>
      </c>
      <c r="B760" t="s">
        <v>125</v>
      </c>
      <c r="C760" t="s">
        <v>76</v>
      </c>
      <c r="D760" s="1">
        <v>15417</v>
      </c>
      <c r="E760" t="s">
        <v>1132</v>
      </c>
      <c r="F760" t="s">
        <v>867</v>
      </c>
    </row>
    <row r="761" spans="1:6" x14ac:dyDescent="0.25">
      <c r="A761">
        <v>859</v>
      </c>
      <c r="B761" t="s">
        <v>72</v>
      </c>
      <c r="C761" t="s">
        <v>73</v>
      </c>
      <c r="D761" s="1">
        <v>16038</v>
      </c>
      <c r="E761" t="s">
        <v>1133</v>
      </c>
      <c r="F761" t="s">
        <v>866</v>
      </c>
    </row>
    <row r="762" spans="1:6" x14ac:dyDescent="0.25">
      <c r="A762">
        <v>860</v>
      </c>
      <c r="B762" t="s">
        <v>84</v>
      </c>
      <c r="C762" t="s">
        <v>73</v>
      </c>
      <c r="D762" s="1">
        <v>22178</v>
      </c>
      <c r="E762" t="s">
        <v>1134</v>
      </c>
      <c r="F762" t="s">
        <v>868</v>
      </c>
    </row>
    <row r="763" spans="1:6" x14ac:dyDescent="0.25">
      <c r="A763">
        <v>861</v>
      </c>
      <c r="B763" t="s">
        <v>78</v>
      </c>
      <c r="C763" t="s">
        <v>73</v>
      </c>
      <c r="D763" s="1">
        <v>36865</v>
      </c>
      <c r="E763" t="s">
        <v>1135</v>
      </c>
      <c r="F763" t="s">
        <v>872</v>
      </c>
    </row>
    <row r="764" spans="1:6" x14ac:dyDescent="0.25">
      <c r="A764">
        <v>862</v>
      </c>
      <c r="B764" t="s">
        <v>104</v>
      </c>
      <c r="C764" t="s">
        <v>76</v>
      </c>
      <c r="D764" s="1">
        <v>29314</v>
      </c>
      <c r="E764" t="s">
        <v>1136</v>
      </c>
      <c r="F764" t="s">
        <v>873</v>
      </c>
    </row>
    <row r="765" spans="1:6" x14ac:dyDescent="0.25">
      <c r="A765">
        <v>863</v>
      </c>
      <c r="B765" t="s">
        <v>82</v>
      </c>
      <c r="C765" t="s">
        <v>73</v>
      </c>
      <c r="D765" s="1">
        <v>27809</v>
      </c>
      <c r="E765" t="s">
        <v>1137</v>
      </c>
      <c r="F765" t="s">
        <v>871</v>
      </c>
    </row>
    <row r="766" spans="1:6" x14ac:dyDescent="0.25">
      <c r="A766">
        <v>864</v>
      </c>
      <c r="B766" t="s">
        <v>94</v>
      </c>
      <c r="C766" t="s">
        <v>73</v>
      </c>
      <c r="D766" s="1">
        <v>17685</v>
      </c>
      <c r="E766" t="s">
        <v>1138</v>
      </c>
      <c r="F766" t="s">
        <v>866</v>
      </c>
    </row>
    <row r="767" spans="1:6" x14ac:dyDescent="0.25">
      <c r="A767">
        <v>865</v>
      </c>
      <c r="B767" t="s">
        <v>99</v>
      </c>
      <c r="C767" t="s">
        <v>76</v>
      </c>
      <c r="D767" s="1">
        <v>19895</v>
      </c>
      <c r="E767" t="s">
        <v>1139</v>
      </c>
      <c r="F767" t="s">
        <v>867</v>
      </c>
    </row>
    <row r="768" spans="1:6" x14ac:dyDescent="0.25">
      <c r="A768">
        <v>866</v>
      </c>
      <c r="B768" t="s">
        <v>72</v>
      </c>
      <c r="C768" t="s">
        <v>73</v>
      </c>
      <c r="D768" s="1">
        <v>33630</v>
      </c>
      <c r="E768" t="s">
        <v>1140</v>
      </c>
      <c r="F768" t="s">
        <v>871</v>
      </c>
    </row>
    <row r="769" spans="1:6" x14ac:dyDescent="0.25">
      <c r="A769">
        <v>867</v>
      </c>
      <c r="B769" t="s">
        <v>104</v>
      </c>
      <c r="C769" t="s">
        <v>76</v>
      </c>
      <c r="D769" s="1">
        <v>36644</v>
      </c>
      <c r="E769" t="s">
        <v>1141</v>
      </c>
      <c r="F769" t="s">
        <v>869</v>
      </c>
    </row>
    <row r="770" spans="1:6" x14ac:dyDescent="0.25">
      <c r="A770">
        <v>868</v>
      </c>
      <c r="B770" t="s">
        <v>82</v>
      </c>
      <c r="C770" t="s">
        <v>73</v>
      </c>
      <c r="D770" s="1">
        <v>42137</v>
      </c>
      <c r="E770" t="s">
        <v>1142</v>
      </c>
      <c r="F770" t="s">
        <v>869</v>
      </c>
    </row>
    <row r="771" spans="1:6" x14ac:dyDescent="0.25">
      <c r="A771">
        <v>869</v>
      </c>
      <c r="B771" t="s">
        <v>86</v>
      </c>
      <c r="C771" t="s">
        <v>76</v>
      </c>
      <c r="D771" s="1">
        <v>39045</v>
      </c>
      <c r="E771" t="s">
        <v>1143</v>
      </c>
      <c r="F771" t="s">
        <v>867</v>
      </c>
    </row>
    <row r="772" spans="1:6" x14ac:dyDescent="0.25">
      <c r="A772">
        <v>870</v>
      </c>
      <c r="B772" t="s">
        <v>94</v>
      </c>
      <c r="C772" t="s">
        <v>73</v>
      </c>
      <c r="D772" s="1">
        <v>13929</v>
      </c>
      <c r="E772" t="s">
        <v>1144</v>
      </c>
      <c r="F772" t="s">
        <v>869</v>
      </c>
    </row>
    <row r="773" spans="1:6" x14ac:dyDescent="0.25">
      <c r="A773">
        <v>871</v>
      </c>
      <c r="B773" t="s">
        <v>94</v>
      </c>
      <c r="C773" t="s">
        <v>73</v>
      </c>
      <c r="D773" s="1">
        <v>11592</v>
      </c>
      <c r="E773" t="s">
        <v>1145</v>
      </c>
      <c r="F773" t="s">
        <v>870</v>
      </c>
    </row>
    <row r="774" spans="1:6" x14ac:dyDescent="0.25">
      <c r="A774">
        <v>872</v>
      </c>
      <c r="B774" t="s">
        <v>80</v>
      </c>
      <c r="C774" t="s">
        <v>73</v>
      </c>
      <c r="D774" s="1">
        <v>14369</v>
      </c>
      <c r="E774" t="s">
        <v>1146</v>
      </c>
      <c r="F774" t="s">
        <v>870</v>
      </c>
    </row>
    <row r="775" spans="1:6" x14ac:dyDescent="0.25">
      <c r="A775">
        <v>873</v>
      </c>
      <c r="B775" t="s">
        <v>99</v>
      </c>
      <c r="C775" t="s">
        <v>76</v>
      </c>
      <c r="D775" s="1">
        <v>42209</v>
      </c>
      <c r="E775" t="s">
        <v>1147</v>
      </c>
      <c r="F775" t="s">
        <v>866</v>
      </c>
    </row>
    <row r="776" spans="1:6" x14ac:dyDescent="0.25">
      <c r="A776">
        <v>874</v>
      </c>
      <c r="B776" t="s">
        <v>82</v>
      </c>
      <c r="C776" t="s">
        <v>73</v>
      </c>
      <c r="D776" s="1">
        <v>32267</v>
      </c>
      <c r="E776" t="s">
        <v>1148</v>
      </c>
      <c r="F776" t="s">
        <v>870</v>
      </c>
    </row>
    <row r="777" spans="1:6" x14ac:dyDescent="0.25">
      <c r="A777">
        <v>875</v>
      </c>
      <c r="B777" t="s">
        <v>122</v>
      </c>
      <c r="C777" t="s">
        <v>73</v>
      </c>
      <c r="D777" s="1">
        <v>27994</v>
      </c>
      <c r="E777" t="s">
        <v>1149</v>
      </c>
      <c r="F777" t="s">
        <v>866</v>
      </c>
    </row>
    <row r="778" spans="1:6" x14ac:dyDescent="0.25">
      <c r="A778">
        <v>876</v>
      </c>
      <c r="B778" t="s">
        <v>127</v>
      </c>
      <c r="C778" t="s">
        <v>76</v>
      </c>
      <c r="D778" s="1">
        <v>34953</v>
      </c>
      <c r="E778" t="s">
        <v>1150</v>
      </c>
      <c r="F778" t="s">
        <v>868</v>
      </c>
    </row>
    <row r="779" spans="1:6" x14ac:dyDescent="0.25">
      <c r="A779">
        <v>877</v>
      </c>
      <c r="B779" t="s">
        <v>120</v>
      </c>
      <c r="C779" t="s">
        <v>73</v>
      </c>
      <c r="D779" s="1">
        <v>40504</v>
      </c>
      <c r="E779" t="s">
        <v>1151</v>
      </c>
      <c r="F779" t="s">
        <v>872</v>
      </c>
    </row>
    <row r="780" spans="1:6" x14ac:dyDescent="0.25">
      <c r="A780">
        <v>878</v>
      </c>
      <c r="B780" t="s">
        <v>72</v>
      </c>
      <c r="C780" t="s">
        <v>73</v>
      </c>
      <c r="D780" s="1">
        <v>15776</v>
      </c>
      <c r="E780" t="s">
        <v>1152</v>
      </c>
      <c r="F780" t="s">
        <v>872</v>
      </c>
    </row>
    <row r="781" spans="1:6" x14ac:dyDescent="0.25">
      <c r="A781">
        <v>879</v>
      </c>
      <c r="B781" t="s">
        <v>99</v>
      </c>
      <c r="C781" t="s">
        <v>76</v>
      </c>
      <c r="D781" s="1">
        <v>42542</v>
      </c>
      <c r="E781" t="s">
        <v>1153</v>
      </c>
      <c r="F781" t="s">
        <v>871</v>
      </c>
    </row>
    <row r="782" spans="1:6" x14ac:dyDescent="0.25">
      <c r="A782">
        <v>880</v>
      </c>
      <c r="B782" t="s">
        <v>99</v>
      </c>
      <c r="C782" t="s">
        <v>76</v>
      </c>
      <c r="D782" s="1">
        <v>26401</v>
      </c>
      <c r="E782" t="s">
        <v>1154</v>
      </c>
      <c r="F782" t="s">
        <v>873</v>
      </c>
    </row>
    <row r="783" spans="1:6" x14ac:dyDescent="0.25">
      <c r="A783">
        <v>881</v>
      </c>
      <c r="B783" t="s">
        <v>72</v>
      </c>
      <c r="C783" t="s">
        <v>73</v>
      </c>
      <c r="D783" s="1">
        <v>32046</v>
      </c>
      <c r="E783" t="s">
        <v>1155</v>
      </c>
      <c r="F783" t="s">
        <v>868</v>
      </c>
    </row>
    <row r="784" spans="1:6" x14ac:dyDescent="0.25">
      <c r="A784">
        <v>882</v>
      </c>
      <c r="B784" t="s">
        <v>99</v>
      </c>
      <c r="C784" t="s">
        <v>76</v>
      </c>
      <c r="D784" s="1">
        <v>20783</v>
      </c>
      <c r="E784" t="s">
        <v>1156</v>
      </c>
      <c r="F784" t="s">
        <v>870</v>
      </c>
    </row>
    <row r="785" spans="1:6" x14ac:dyDescent="0.25">
      <c r="A785">
        <v>883</v>
      </c>
      <c r="B785" t="s">
        <v>94</v>
      </c>
      <c r="C785" t="s">
        <v>73</v>
      </c>
      <c r="D785" s="1">
        <v>12106</v>
      </c>
      <c r="E785" t="s">
        <v>1157</v>
      </c>
      <c r="F785" t="s">
        <v>872</v>
      </c>
    </row>
    <row r="786" spans="1:6" x14ac:dyDescent="0.25">
      <c r="A786">
        <v>884</v>
      </c>
      <c r="B786" t="s">
        <v>78</v>
      </c>
      <c r="C786" t="s">
        <v>73</v>
      </c>
      <c r="D786" s="1">
        <v>35223</v>
      </c>
      <c r="E786" t="s">
        <v>1158</v>
      </c>
      <c r="F786" t="s">
        <v>867</v>
      </c>
    </row>
    <row r="787" spans="1:6" x14ac:dyDescent="0.25">
      <c r="A787">
        <v>885</v>
      </c>
      <c r="B787" t="s">
        <v>86</v>
      </c>
      <c r="C787" t="s">
        <v>76</v>
      </c>
      <c r="D787" s="1">
        <v>21845</v>
      </c>
      <c r="E787" t="s">
        <v>1159</v>
      </c>
      <c r="F787" t="s">
        <v>871</v>
      </c>
    </row>
    <row r="788" spans="1:6" x14ac:dyDescent="0.25">
      <c r="A788">
        <v>886</v>
      </c>
      <c r="B788" t="s">
        <v>122</v>
      </c>
      <c r="C788" t="s">
        <v>73</v>
      </c>
      <c r="D788" s="1">
        <v>24763</v>
      </c>
      <c r="E788" t="s">
        <v>1160</v>
      </c>
      <c r="F788" t="s">
        <v>871</v>
      </c>
    </row>
    <row r="789" spans="1:6" x14ac:dyDescent="0.25">
      <c r="A789">
        <v>887</v>
      </c>
      <c r="B789" t="s">
        <v>99</v>
      </c>
      <c r="C789" t="s">
        <v>76</v>
      </c>
      <c r="D789" s="1">
        <v>13496</v>
      </c>
      <c r="E789" t="s">
        <v>1161</v>
      </c>
      <c r="F789" t="s">
        <v>872</v>
      </c>
    </row>
    <row r="790" spans="1:6" x14ac:dyDescent="0.25">
      <c r="A790">
        <v>888</v>
      </c>
      <c r="B790" t="s">
        <v>72</v>
      </c>
      <c r="C790" t="s">
        <v>73</v>
      </c>
      <c r="D790" s="1">
        <v>13144</v>
      </c>
      <c r="E790" t="s">
        <v>1162</v>
      </c>
      <c r="F790" t="s">
        <v>868</v>
      </c>
    </row>
    <row r="791" spans="1:6" x14ac:dyDescent="0.25">
      <c r="A791">
        <v>889</v>
      </c>
      <c r="B791" t="s">
        <v>92</v>
      </c>
      <c r="C791" t="s">
        <v>76</v>
      </c>
      <c r="D791" s="1">
        <v>39015</v>
      </c>
      <c r="E791" t="s">
        <v>1163</v>
      </c>
      <c r="F791" t="s">
        <v>867</v>
      </c>
    </row>
    <row r="792" spans="1:6" x14ac:dyDescent="0.25">
      <c r="A792">
        <v>890</v>
      </c>
      <c r="B792" t="s">
        <v>94</v>
      </c>
      <c r="C792" t="s">
        <v>73</v>
      </c>
      <c r="D792" s="1">
        <v>12980</v>
      </c>
      <c r="E792" t="s">
        <v>1164</v>
      </c>
      <c r="F792" t="s">
        <v>867</v>
      </c>
    </row>
    <row r="793" spans="1:6" x14ac:dyDescent="0.25">
      <c r="A793">
        <v>891</v>
      </c>
      <c r="B793" t="s">
        <v>89</v>
      </c>
      <c r="C793" t="s">
        <v>76</v>
      </c>
      <c r="D793" s="1">
        <v>39434</v>
      </c>
      <c r="E793" t="s">
        <v>1165</v>
      </c>
      <c r="F793" t="s">
        <v>872</v>
      </c>
    </row>
    <row r="794" spans="1:6" x14ac:dyDescent="0.25">
      <c r="A794">
        <v>892</v>
      </c>
      <c r="B794" t="s">
        <v>86</v>
      </c>
      <c r="C794" t="s">
        <v>76</v>
      </c>
      <c r="D794" s="1">
        <v>44817</v>
      </c>
      <c r="E794" t="s">
        <v>1166</v>
      </c>
      <c r="F794" t="s">
        <v>867</v>
      </c>
    </row>
    <row r="795" spans="1:6" x14ac:dyDescent="0.25">
      <c r="A795">
        <v>893</v>
      </c>
      <c r="B795" t="s">
        <v>72</v>
      </c>
      <c r="C795" t="s">
        <v>73</v>
      </c>
      <c r="D795" s="1">
        <v>27966</v>
      </c>
      <c r="E795" t="s">
        <v>1167</v>
      </c>
      <c r="F795" t="s">
        <v>869</v>
      </c>
    </row>
    <row r="796" spans="1:6" x14ac:dyDescent="0.25">
      <c r="A796">
        <v>894</v>
      </c>
      <c r="B796" t="s">
        <v>75</v>
      </c>
      <c r="C796" t="s">
        <v>76</v>
      </c>
      <c r="D796" s="1">
        <v>33930</v>
      </c>
      <c r="E796" t="s">
        <v>1168</v>
      </c>
      <c r="F796" t="s">
        <v>870</v>
      </c>
    </row>
    <row r="797" spans="1:6" x14ac:dyDescent="0.25">
      <c r="A797">
        <v>895</v>
      </c>
      <c r="B797" t="s">
        <v>82</v>
      </c>
      <c r="C797" t="s">
        <v>73</v>
      </c>
      <c r="D797" s="1">
        <v>41877</v>
      </c>
      <c r="E797" t="s">
        <v>1169</v>
      </c>
      <c r="F797" t="s">
        <v>873</v>
      </c>
    </row>
    <row r="798" spans="1:6" x14ac:dyDescent="0.25">
      <c r="A798">
        <v>896</v>
      </c>
      <c r="B798" t="s">
        <v>86</v>
      </c>
      <c r="C798" t="s">
        <v>76</v>
      </c>
      <c r="D798" s="1">
        <v>25194</v>
      </c>
      <c r="E798" t="s">
        <v>1170</v>
      </c>
      <c r="F798" t="s">
        <v>866</v>
      </c>
    </row>
    <row r="799" spans="1:6" x14ac:dyDescent="0.25">
      <c r="A799">
        <v>897</v>
      </c>
      <c r="B799" t="s">
        <v>125</v>
      </c>
      <c r="C799" t="s">
        <v>76</v>
      </c>
      <c r="D799" s="1">
        <v>40530</v>
      </c>
      <c r="E799" t="s">
        <v>1171</v>
      </c>
      <c r="F799" t="s">
        <v>866</v>
      </c>
    </row>
    <row r="800" spans="1:6" x14ac:dyDescent="0.25">
      <c r="A800">
        <v>898</v>
      </c>
      <c r="B800" t="s">
        <v>104</v>
      </c>
      <c r="C800" t="s">
        <v>76</v>
      </c>
      <c r="D800" s="1">
        <v>31089</v>
      </c>
      <c r="E800" t="s">
        <v>1172</v>
      </c>
      <c r="F800" t="s">
        <v>867</v>
      </c>
    </row>
    <row r="801" spans="1:6" x14ac:dyDescent="0.25">
      <c r="A801">
        <v>899</v>
      </c>
      <c r="B801" t="s">
        <v>104</v>
      </c>
      <c r="C801" t="s">
        <v>76</v>
      </c>
      <c r="D801" s="1">
        <v>22604</v>
      </c>
      <c r="E801" t="s">
        <v>1173</v>
      </c>
      <c r="F801" t="s">
        <v>868</v>
      </c>
    </row>
    <row r="802" spans="1:6" x14ac:dyDescent="0.25">
      <c r="A802">
        <v>900</v>
      </c>
      <c r="B802" t="s">
        <v>99</v>
      </c>
      <c r="C802" t="s">
        <v>76</v>
      </c>
      <c r="D802" s="1">
        <v>24768</v>
      </c>
      <c r="E802" t="s">
        <v>1174</v>
      </c>
      <c r="F802" t="s">
        <v>869</v>
      </c>
    </row>
    <row r="803" spans="1:6" x14ac:dyDescent="0.25">
      <c r="A803">
        <v>901</v>
      </c>
      <c r="B803" t="s">
        <v>80</v>
      </c>
      <c r="C803" t="s">
        <v>73</v>
      </c>
      <c r="D803" s="1">
        <v>31440</v>
      </c>
      <c r="E803" t="s">
        <v>1175</v>
      </c>
      <c r="F803" t="s">
        <v>869</v>
      </c>
    </row>
    <row r="804" spans="1:6" x14ac:dyDescent="0.25">
      <c r="A804">
        <v>902</v>
      </c>
      <c r="B804" t="s">
        <v>92</v>
      </c>
      <c r="C804" t="s">
        <v>76</v>
      </c>
      <c r="D804" s="1">
        <v>21538</v>
      </c>
      <c r="E804" t="s">
        <v>1176</v>
      </c>
      <c r="F804" t="s">
        <v>870</v>
      </c>
    </row>
    <row r="805" spans="1:6" x14ac:dyDescent="0.25">
      <c r="A805">
        <v>903</v>
      </c>
      <c r="B805" t="s">
        <v>122</v>
      </c>
      <c r="C805" t="s">
        <v>73</v>
      </c>
      <c r="D805" s="1">
        <v>41811</v>
      </c>
      <c r="E805" t="s">
        <v>1177</v>
      </c>
      <c r="F805" t="s">
        <v>867</v>
      </c>
    </row>
    <row r="806" spans="1:6" x14ac:dyDescent="0.25">
      <c r="A806">
        <v>904</v>
      </c>
      <c r="B806" t="s">
        <v>84</v>
      </c>
      <c r="C806" t="s">
        <v>73</v>
      </c>
      <c r="D806" s="1">
        <v>22585</v>
      </c>
      <c r="E806" t="s">
        <v>1178</v>
      </c>
      <c r="F806" t="s">
        <v>871</v>
      </c>
    </row>
    <row r="807" spans="1:6" x14ac:dyDescent="0.25">
      <c r="A807">
        <v>905</v>
      </c>
      <c r="B807" t="s">
        <v>120</v>
      </c>
      <c r="C807" t="s">
        <v>73</v>
      </c>
      <c r="D807" s="1">
        <v>22257</v>
      </c>
      <c r="E807" t="s">
        <v>1179</v>
      </c>
      <c r="F807" t="s">
        <v>866</v>
      </c>
    </row>
    <row r="808" spans="1:6" x14ac:dyDescent="0.25">
      <c r="A808">
        <v>906</v>
      </c>
      <c r="B808" t="s">
        <v>92</v>
      </c>
      <c r="C808" t="s">
        <v>76</v>
      </c>
      <c r="D808" s="1">
        <v>24434</v>
      </c>
      <c r="E808" t="s">
        <v>1180</v>
      </c>
      <c r="F808" t="s">
        <v>872</v>
      </c>
    </row>
    <row r="809" spans="1:6" x14ac:dyDescent="0.25">
      <c r="A809">
        <v>907</v>
      </c>
      <c r="B809" t="s">
        <v>92</v>
      </c>
      <c r="C809" t="s">
        <v>76</v>
      </c>
      <c r="D809" s="1">
        <v>38969</v>
      </c>
      <c r="E809" t="s">
        <v>1181</v>
      </c>
      <c r="F809" t="s">
        <v>867</v>
      </c>
    </row>
    <row r="810" spans="1:6" x14ac:dyDescent="0.25">
      <c r="A810">
        <v>908</v>
      </c>
      <c r="B810" t="s">
        <v>86</v>
      </c>
      <c r="C810" t="s">
        <v>76</v>
      </c>
      <c r="D810" s="1">
        <v>34606</v>
      </c>
      <c r="E810" t="s">
        <v>1182</v>
      </c>
      <c r="F810" t="s">
        <v>869</v>
      </c>
    </row>
    <row r="811" spans="1:6" x14ac:dyDescent="0.25">
      <c r="A811">
        <v>909</v>
      </c>
      <c r="B811" t="s">
        <v>104</v>
      </c>
      <c r="C811" t="s">
        <v>76</v>
      </c>
      <c r="D811" s="1">
        <v>20477</v>
      </c>
      <c r="E811" t="s">
        <v>1183</v>
      </c>
      <c r="F811" t="s">
        <v>870</v>
      </c>
    </row>
    <row r="812" spans="1:6" x14ac:dyDescent="0.25">
      <c r="A812">
        <v>910</v>
      </c>
      <c r="B812" t="s">
        <v>86</v>
      </c>
      <c r="C812" t="s">
        <v>76</v>
      </c>
      <c r="D812" s="1">
        <v>14052</v>
      </c>
      <c r="E812" t="s">
        <v>1184</v>
      </c>
      <c r="F812" t="s">
        <v>871</v>
      </c>
    </row>
    <row r="813" spans="1:6" x14ac:dyDescent="0.25">
      <c r="A813">
        <v>911</v>
      </c>
      <c r="B813" t="s">
        <v>94</v>
      </c>
      <c r="C813" t="s">
        <v>73</v>
      </c>
      <c r="D813" s="1">
        <v>28609</v>
      </c>
      <c r="E813" t="s">
        <v>1185</v>
      </c>
      <c r="F813" t="s">
        <v>867</v>
      </c>
    </row>
    <row r="814" spans="1:6" x14ac:dyDescent="0.25">
      <c r="A814">
        <v>912</v>
      </c>
      <c r="B814" t="s">
        <v>84</v>
      </c>
      <c r="C814" t="s">
        <v>73</v>
      </c>
      <c r="D814" s="1">
        <v>37595</v>
      </c>
      <c r="E814" t="s">
        <v>1186</v>
      </c>
      <c r="F814" t="s">
        <v>873</v>
      </c>
    </row>
    <row r="815" spans="1:6" x14ac:dyDescent="0.25">
      <c r="A815">
        <v>913</v>
      </c>
      <c r="B815" t="s">
        <v>127</v>
      </c>
      <c r="C815" t="s">
        <v>76</v>
      </c>
      <c r="D815" s="1">
        <v>18641</v>
      </c>
      <c r="E815" t="s">
        <v>1187</v>
      </c>
      <c r="F815" t="s">
        <v>867</v>
      </c>
    </row>
    <row r="816" spans="1:6" x14ac:dyDescent="0.25">
      <c r="A816">
        <v>914</v>
      </c>
      <c r="B816" t="s">
        <v>94</v>
      </c>
      <c r="C816" t="s">
        <v>73</v>
      </c>
      <c r="D816" s="1">
        <v>16120</v>
      </c>
      <c r="E816" t="s">
        <v>1188</v>
      </c>
      <c r="F816" t="s">
        <v>866</v>
      </c>
    </row>
    <row r="817" spans="1:6" x14ac:dyDescent="0.25">
      <c r="A817">
        <v>915</v>
      </c>
      <c r="B817" t="s">
        <v>104</v>
      </c>
      <c r="C817" t="s">
        <v>76</v>
      </c>
      <c r="D817" s="1">
        <v>23713</v>
      </c>
      <c r="E817" t="s">
        <v>1189</v>
      </c>
      <c r="F817" t="s">
        <v>873</v>
      </c>
    </row>
    <row r="818" spans="1:6" x14ac:dyDescent="0.25">
      <c r="A818">
        <v>916</v>
      </c>
      <c r="B818" t="s">
        <v>89</v>
      </c>
      <c r="C818" t="s">
        <v>76</v>
      </c>
      <c r="D818" s="1">
        <v>25983</v>
      </c>
      <c r="E818" t="s">
        <v>1190</v>
      </c>
      <c r="F818" t="s">
        <v>872</v>
      </c>
    </row>
    <row r="819" spans="1:6" x14ac:dyDescent="0.25">
      <c r="A819">
        <v>917</v>
      </c>
      <c r="B819" t="s">
        <v>86</v>
      </c>
      <c r="C819" t="s">
        <v>76</v>
      </c>
      <c r="D819" s="1">
        <v>39376</v>
      </c>
      <c r="E819" t="s">
        <v>1191</v>
      </c>
      <c r="F819" t="s">
        <v>873</v>
      </c>
    </row>
    <row r="820" spans="1:6" x14ac:dyDescent="0.25">
      <c r="A820">
        <v>918</v>
      </c>
      <c r="B820" t="s">
        <v>122</v>
      </c>
      <c r="C820" t="s">
        <v>73</v>
      </c>
      <c r="D820" s="1">
        <v>29440</v>
      </c>
      <c r="E820" t="s">
        <v>1192</v>
      </c>
      <c r="F820" t="s">
        <v>866</v>
      </c>
    </row>
    <row r="821" spans="1:6" x14ac:dyDescent="0.25">
      <c r="A821">
        <v>919</v>
      </c>
      <c r="B821" t="s">
        <v>127</v>
      </c>
      <c r="C821" t="s">
        <v>76</v>
      </c>
      <c r="D821" s="1">
        <v>23262</v>
      </c>
      <c r="E821" t="s">
        <v>1193</v>
      </c>
      <c r="F821" t="s">
        <v>866</v>
      </c>
    </row>
    <row r="822" spans="1:6" x14ac:dyDescent="0.25">
      <c r="A822">
        <v>920</v>
      </c>
      <c r="B822" t="s">
        <v>75</v>
      </c>
      <c r="C822" t="s">
        <v>76</v>
      </c>
      <c r="D822" s="1">
        <v>11482</v>
      </c>
      <c r="E822" t="s">
        <v>1194</v>
      </c>
      <c r="F822" t="s">
        <v>872</v>
      </c>
    </row>
    <row r="823" spans="1:6" x14ac:dyDescent="0.25">
      <c r="A823">
        <v>921</v>
      </c>
      <c r="B823" t="s">
        <v>75</v>
      </c>
      <c r="C823" t="s">
        <v>76</v>
      </c>
      <c r="D823" s="1">
        <v>44512</v>
      </c>
      <c r="E823" t="s">
        <v>1195</v>
      </c>
      <c r="F823" t="s">
        <v>870</v>
      </c>
    </row>
    <row r="824" spans="1:6" x14ac:dyDescent="0.25">
      <c r="A824">
        <v>922</v>
      </c>
      <c r="B824" t="s">
        <v>89</v>
      </c>
      <c r="C824" t="s">
        <v>76</v>
      </c>
      <c r="D824" s="1">
        <v>22061</v>
      </c>
      <c r="E824" t="s">
        <v>1196</v>
      </c>
      <c r="F824" t="s">
        <v>871</v>
      </c>
    </row>
    <row r="825" spans="1:6" x14ac:dyDescent="0.25">
      <c r="A825">
        <v>923</v>
      </c>
      <c r="B825" t="s">
        <v>127</v>
      </c>
      <c r="C825" t="s">
        <v>76</v>
      </c>
      <c r="D825" s="1">
        <v>15308</v>
      </c>
      <c r="E825" t="s">
        <v>1197</v>
      </c>
      <c r="F825" t="s">
        <v>868</v>
      </c>
    </row>
    <row r="826" spans="1:6" x14ac:dyDescent="0.25">
      <c r="A826">
        <v>924</v>
      </c>
      <c r="B826" t="s">
        <v>125</v>
      </c>
      <c r="C826" t="s">
        <v>76</v>
      </c>
      <c r="D826" s="1">
        <v>14340</v>
      </c>
      <c r="E826" t="s">
        <v>1198</v>
      </c>
      <c r="F826" t="s">
        <v>867</v>
      </c>
    </row>
    <row r="827" spans="1:6" x14ac:dyDescent="0.25">
      <c r="A827">
        <v>925</v>
      </c>
      <c r="B827" t="s">
        <v>78</v>
      </c>
      <c r="C827" t="s">
        <v>73</v>
      </c>
      <c r="D827" s="1">
        <v>26845</v>
      </c>
      <c r="E827" t="s">
        <v>1199</v>
      </c>
      <c r="F827" t="s">
        <v>870</v>
      </c>
    </row>
    <row r="828" spans="1:6" x14ac:dyDescent="0.25">
      <c r="A828">
        <v>926</v>
      </c>
      <c r="B828" t="s">
        <v>84</v>
      </c>
      <c r="C828" t="s">
        <v>73</v>
      </c>
      <c r="D828" s="1">
        <v>31043</v>
      </c>
      <c r="E828" t="s">
        <v>1200</v>
      </c>
      <c r="F828" t="s">
        <v>866</v>
      </c>
    </row>
    <row r="829" spans="1:6" x14ac:dyDescent="0.25">
      <c r="A829">
        <v>927</v>
      </c>
      <c r="B829" t="s">
        <v>94</v>
      </c>
      <c r="C829" t="s">
        <v>73</v>
      </c>
      <c r="D829" s="1">
        <v>39448</v>
      </c>
      <c r="E829" t="s">
        <v>1201</v>
      </c>
      <c r="F829" t="s">
        <v>873</v>
      </c>
    </row>
    <row r="830" spans="1:6" x14ac:dyDescent="0.25">
      <c r="A830">
        <v>928</v>
      </c>
      <c r="B830" t="s">
        <v>72</v>
      </c>
      <c r="C830" t="s">
        <v>73</v>
      </c>
      <c r="D830" s="1">
        <v>30749</v>
      </c>
      <c r="E830" t="s">
        <v>1202</v>
      </c>
      <c r="F830" t="s">
        <v>873</v>
      </c>
    </row>
    <row r="831" spans="1:6" x14ac:dyDescent="0.25">
      <c r="A831">
        <v>929</v>
      </c>
      <c r="B831" t="s">
        <v>127</v>
      </c>
      <c r="C831" t="s">
        <v>76</v>
      </c>
      <c r="D831" s="1">
        <v>14142</v>
      </c>
      <c r="E831" t="s">
        <v>1203</v>
      </c>
      <c r="F831" t="s">
        <v>869</v>
      </c>
    </row>
    <row r="832" spans="1:6" x14ac:dyDescent="0.25">
      <c r="A832">
        <v>930</v>
      </c>
      <c r="B832" t="s">
        <v>120</v>
      </c>
      <c r="C832" t="s">
        <v>73</v>
      </c>
      <c r="D832" s="1">
        <v>31563</v>
      </c>
      <c r="E832" t="s">
        <v>1204</v>
      </c>
      <c r="F832" t="s">
        <v>869</v>
      </c>
    </row>
    <row r="833" spans="1:6" x14ac:dyDescent="0.25">
      <c r="A833">
        <v>931</v>
      </c>
      <c r="B833" t="s">
        <v>80</v>
      </c>
      <c r="C833" t="s">
        <v>73</v>
      </c>
      <c r="D833" s="1">
        <v>18936</v>
      </c>
      <c r="E833" t="s">
        <v>1205</v>
      </c>
      <c r="F833" t="s">
        <v>873</v>
      </c>
    </row>
    <row r="834" spans="1:6" x14ac:dyDescent="0.25">
      <c r="A834">
        <v>932</v>
      </c>
      <c r="B834" t="s">
        <v>104</v>
      </c>
      <c r="C834" t="s">
        <v>76</v>
      </c>
      <c r="D834" s="1">
        <v>42949</v>
      </c>
      <c r="E834" t="s">
        <v>1206</v>
      </c>
      <c r="F834" t="s">
        <v>869</v>
      </c>
    </row>
    <row r="835" spans="1:6" x14ac:dyDescent="0.25">
      <c r="A835">
        <v>933</v>
      </c>
      <c r="B835" t="s">
        <v>99</v>
      </c>
      <c r="C835" t="s">
        <v>76</v>
      </c>
      <c r="D835" s="1">
        <v>12736</v>
      </c>
      <c r="E835" t="s">
        <v>1207</v>
      </c>
      <c r="F835" t="s">
        <v>869</v>
      </c>
    </row>
    <row r="836" spans="1:6" x14ac:dyDescent="0.25">
      <c r="A836">
        <v>934</v>
      </c>
      <c r="B836" t="s">
        <v>120</v>
      </c>
      <c r="C836" t="s">
        <v>73</v>
      </c>
      <c r="D836" s="1">
        <v>26048</v>
      </c>
      <c r="E836" t="s">
        <v>1208</v>
      </c>
      <c r="F836" t="s">
        <v>866</v>
      </c>
    </row>
    <row r="837" spans="1:6" x14ac:dyDescent="0.25">
      <c r="A837">
        <v>935</v>
      </c>
      <c r="B837" t="s">
        <v>125</v>
      </c>
      <c r="C837" t="s">
        <v>76</v>
      </c>
      <c r="D837" s="1">
        <v>40894</v>
      </c>
      <c r="E837" t="s">
        <v>1209</v>
      </c>
      <c r="F837" t="s">
        <v>867</v>
      </c>
    </row>
    <row r="838" spans="1:6" x14ac:dyDescent="0.25">
      <c r="A838">
        <v>936</v>
      </c>
      <c r="B838" t="s">
        <v>75</v>
      </c>
      <c r="C838" t="s">
        <v>76</v>
      </c>
      <c r="D838" s="1">
        <v>27551</v>
      </c>
      <c r="E838" t="s">
        <v>1210</v>
      </c>
      <c r="F838" t="s">
        <v>871</v>
      </c>
    </row>
    <row r="839" spans="1:6" x14ac:dyDescent="0.25">
      <c r="A839">
        <v>937</v>
      </c>
      <c r="B839" t="s">
        <v>82</v>
      </c>
      <c r="C839" t="s">
        <v>73</v>
      </c>
      <c r="D839" s="1">
        <v>10631</v>
      </c>
      <c r="E839" t="s">
        <v>1211</v>
      </c>
      <c r="F839" t="s">
        <v>871</v>
      </c>
    </row>
    <row r="840" spans="1:6" x14ac:dyDescent="0.25">
      <c r="A840">
        <v>938</v>
      </c>
      <c r="B840" t="s">
        <v>99</v>
      </c>
      <c r="C840" t="s">
        <v>76</v>
      </c>
      <c r="D840" s="1">
        <v>13264</v>
      </c>
      <c r="E840" t="s">
        <v>1212</v>
      </c>
      <c r="F840" t="s">
        <v>873</v>
      </c>
    </row>
    <row r="841" spans="1:6" x14ac:dyDescent="0.25">
      <c r="A841">
        <v>939</v>
      </c>
      <c r="B841" t="s">
        <v>122</v>
      </c>
      <c r="C841" t="s">
        <v>73</v>
      </c>
      <c r="D841" s="1">
        <v>41975</v>
      </c>
      <c r="E841" t="s">
        <v>1213</v>
      </c>
      <c r="F841" t="s">
        <v>869</v>
      </c>
    </row>
    <row r="842" spans="1:6" x14ac:dyDescent="0.25">
      <c r="A842">
        <v>940</v>
      </c>
      <c r="B842" t="s">
        <v>99</v>
      </c>
      <c r="C842" t="s">
        <v>76</v>
      </c>
      <c r="D842" s="1">
        <v>13031</v>
      </c>
      <c r="E842" t="s">
        <v>1214</v>
      </c>
      <c r="F842" t="s">
        <v>866</v>
      </c>
    </row>
    <row r="843" spans="1:6" x14ac:dyDescent="0.25">
      <c r="A843">
        <v>941</v>
      </c>
      <c r="B843" t="s">
        <v>94</v>
      </c>
      <c r="C843" t="s">
        <v>73</v>
      </c>
      <c r="D843" s="1">
        <v>18416</v>
      </c>
      <c r="E843" t="s">
        <v>1215</v>
      </c>
      <c r="F843" t="s">
        <v>869</v>
      </c>
    </row>
    <row r="844" spans="1:6" x14ac:dyDescent="0.25">
      <c r="A844">
        <v>942</v>
      </c>
      <c r="B844" t="s">
        <v>92</v>
      </c>
      <c r="C844" t="s">
        <v>76</v>
      </c>
      <c r="D844" s="1">
        <v>45665</v>
      </c>
      <c r="E844" t="s">
        <v>1216</v>
      </c>
      <c r="F844" t="s">
        <v>873</v>
      </c>
    </row>
    <row r="845" spans="1:6" x14ac:dyDescent="0.25">
      <c r="A845">
        <v>943</v>
      </c>
      <c r="B845" t="s">
        <v>125</v>
      </c>
      <c r="C845" t="s">
        <v>76</v>
      </c>
      <c r="D845" s="1">
        <v>31580</v>
      </c>
      <c r="E845" t="s">
        <v>1217</v>
      </c>
      <c r="F845" t="s">
        <v>870</v>
      </c>
    </row>
    <row r="846" spans="1:6" x14ac:dyDescent="0.25">
      <c r="A846">
        <v>944</v>
      </c>
      <c r="B846" t="s">
        <v>120</v>
      </c>
      <c r="C846" t="s">
        <v>73</v>
      </c>
      <c r="D846" s="1">
        <v>14563</v>
      </c>
      <c r="E846" t="s">
        <v>1218</v>
      </c>
      <c r="F846" t="s">
        <v>868</v>
      </c>
    </row>
    <row r="847" spans="1:6" x14ac:dyDescent="0.25">
      <c r="A847">
        <v>945</v>
      </c>
      <c r="B847" t="s">
        <v>82</v>
      </c>
      <c r="C847" t="s">
        <v>73</v>
      </c>
      <c r="D847" s="1">
        <v>16942</v>
      </c>
      <c r="E847" t="s">
        <v>1219</v>
      </c>
      <c r="F847" t="s">
        <v>868</v>
      </c>
    </row>
    <row r="848" spans="1:6" x14ac:dyDescent="0.25">
      <c r="A848">
        <v>946</v>
      </c>
      <c r="B848" t="s">
        <v>120</v>
      </c>
      <c r="C848" t="s">
        <v>73</v>
      </c>
      <c r="D848" s="1">
        <v>13957</v>
      </c>
      <c r="E848" t="s">
        <v>1220</v>
      </c>
      <c r="F848" t="s">
        <v>872</v>
      </c>
    </row>
    <row r="849" spans="1:6" x14ac:dyDescent="0.25">
      <c r="A849">
        <v>947</v>
      </c>
      <c r="B849" t="s">
        <v>99</v>
      </c>
      <c r="C849" t="s">
        <v>76</v>
      </c>
      <c r="D849" s="1">
        <v>35034</v>
      </c>
      <c r="E849" t="s">
        <v>1221</v>
      </c>
      <c r="F849" t="s">
        <v>866</v>
      </c>
    </row>
    <row r="850" spans="1:6" x14ac:dyDescent="0.25">
      <c r="A850">
        <v>948</v>
      </c>
      <c r="B850" t="s">
        <v>92</v>
      </c>
      <c r="C850" t="s">
        <v>76</v>
      </c>
      <c r="D850" s="1">
        <v>24715</v>
      </c>
      <c r="E850" t="s">
        <v>1222</v>
      </c>
      <c r="F850" t="s">
        <v>869</v>
      </c>
    </row>
    <row r="851" spans="1:6" x14ac:dyDescent="0.25">
      <c r="A851">
        <v>949</v>
      </c>
      <c r="B851" t="s">
        <v>127</v>
      </c>
      <c r="C851" t="s">
        <v>76</v>
      </c>
      <c r="D851" s="1">
        <v>14524</v>
      </c>
      <c r="E851" t="s">
        <v>1223</v>
      </c>
      <c r="F851" t="s">
        <v>873</v>
      </c>
    </row>
    <row r="852" spans="1:6" x14ac:dyDescent="0.25">
      <c r="A852">
        <v>950</v>
      </c>
      <c r="B852" t="s">
        <v>78</v>
      </c>
      <c r="C852" t="s">
        <v>73</v>
      </c>
      <c r="D852" s="1">
        <v>18393</v>
      </c>
      <c r="E852" t="s">
        <v>1224</v>
      </c>
      <c r="F852" t="s">
        <v>873</v>
      </c>
    </row>
    <row r="853" spans="1:6" x14ac:dyDescent="0.25">
      <c r="A853">
        <v>951</v>
      </c>
      <c r="B853" t="s">
        <v>72</v>
      </c>
      <c r="C853" t="s">
        <v>73</v>
      </c>
      <c r="D853" s="1">
        <v>20241</v>
      </c>
      <c r="E853" t="s">
        <v>1225</v>
      </c>
      <c r="F853" t="s">
        <v>870</v>
      </c>
    </row>
    <row r="854" spans="1:6" x14ac:dyDescent="0.25">
      <c r="A854">
        <v>952</v>
      </c>
      <c r="B854" t="s">
        <v>86</v>
      </c>
      <c r="C854" t="s">
        <v>76</v>
      </c>
      <c r="D854" s="1">
        <v>18316</v>
      </c>
      <c r="E854" t="s">
        <v>1226</v>
      </c>
      <c r="F854" t="s">
        <v>867</v>
      </c>
    </row>
    <row r="855" spans="1:6" x14ac:dyDescent="0.25">
      <c r="A855">
        <v>953</v>
      </c>
      <c r="B855" t="s">
        <v>92</v>
      </c>
      <c r="C855" t="s">
        <v>76</v>
      </c>
      <c r="D855" s="1">
        <v>25837</v>
      </c>
      <c r="E855" t="s">
        <v>1227</v>
      </c>
      <c r="F855" t="s">
        <v>869</v>
      </c>
    </row>
    <row r="856" spans="1:6" x14ac:dyDescent="0.25">
      <c r="A856">
        <v>954</v>
      </c>
      <c r="B856" t="s">
        <v>120</v>
      </c>
      <c r="C856" t="s">
        <v>73</v>
      </c>
      <c r="D856" s="1">
        <v>28398</v>
      </c>
      <c r="E856" t="s">
        <v>1228</v>
      </c>
      <c r="F856" t="s">
        <v>870</v>
      </c>
    </row>
    <row r="857" spans="1:6" x14ac:dyDescent="0.25">
      <c r="A857">
        <v>955</v>
      </c>
      <c r="B857" t="s">
        <v>75</v>
      </c>
      <c r="C857" t="s">
        <v>76</v>
      </c>
      <c r="D857" s="1">
        <v>23876</v>
      </c>
      <c r="E857" t="s">
        <v>1229</v>
      </c>
      <c r="F857" t="s">
        <v>868</v>
      </c>
    </row>
    <row r="858" spans="1:6" x14ac:dyDescent="0.25">
      <c r="A858">
        <v>956</v>
      </c>
      <c r="B858" t="s">
        <v>89</v>
      </c>
      <c r="C858" t="s">
        <v>76</v>
      </c>
      <c r="D858" s="1">
        <v>14950</v>
      </c>
      <c r="E858" t="s">
        <v>1230</v>
      </c>
      <c r="F858" t="s">
        <v>869</v>
      </c>
    </row>
    <row r="859" spans="1:6" x14ac:dyDescent="0.25">
      <c r="A859">
        <v>957</v>
      </c>
      <c r="B859" t="s">
        <v>99</v>
      </c>
      <c r="C859" t="s">
        <v>76</v>
      </c>
      <c r="D859" s="1">
        <v>18032</v>
      </c>
      <c r="E859" t="s">
        <v>1231</v>
      </c>
      <c r="F859" t="s">
        <v>870</v>
      </c>
    </row>
    <row r="860" spans="1:6" x14ac:dyDescent="0.25">
      <c r="A860">
        <v>958</v>
      </c>
      <c r="B860" t="s">
        <v>120</v>
      </c>
      <c r="C860" t="s">
        <v>73</v>
      </c>
      <c r="D860" s="1">
        <v>43946</v>
      </c>
      <c r="E860" t="s">
        <v>1232</v>
      </c>
      <c r="F860" t="s">
        <v>866</v>
      </c>
    </row>
    <row r="861" spans="1:6" x14ac:dyDescent="0.25">
      <c r="A861">
        <v>959</v>
      </c>
      <c r="B861" t="s">
        <v>92</v>
      </c>
      <c r="C861" t="s">
        <v>76</v>
      </c>
      <c r="D861" s="1">
        <v>16376</v>
      </c>
      <c r="E861" t="s">
        <v>1233</v>
      </c>
      <c r="F861" t="s">
        <v>867</v>
      </c>
    </row>
    <row r="862" spans="1:6" x14ac:dyDescent="0.25">
      <c r="A862">
        <v>960</v>
      </c>
      <c r="B862" t="s">
        <v>82</v>
      </c>
      <c r="C862" t="s">
        <v>73</v>
      </c>
      <c r="D862" s="1">
        <v>12481</v>
      </c>
      <c r="E862" t="s">
        <v>1234</v>
      </c>
      <c r="F862" t="s">
        <v>866</v>
      </c>
    </row>
    <row r="863" spans="1:6" x14ac:dyDescent="0.25">
      <c r="A863">
        <v>961</v>
      </c>
      <c r="B863" t="s">
        <v>75</v>
      </c>
      <c r="C863" t="s">
        <v>76</v>
      </c>
      <c r="D863" s="1">
        <v>20502</v>
      </c>
      <c r="E863" t="s">
        <v>1235</v>
      </c>
      <c r="F863" t="s">
        <v>870</v>
      </c>
    </row>
    <row r="864" spans="1:6" x14ac:dyDescent="0.25">
      <c r="A864">
        <v>962</v>
      </c>
      <c r="B864" t="s">
        <v>125</v>
      </c>
      <c r="C864" t="s">
        <v>76</v>
      </c>
      <c r="D864" s="1">
        <v>20363</v>
      </c>
      <c r="E864" t="s">
        <v>1236</v>
      </c>
      <c r="F864" t="s">
        <v>873</v>
      </c>
    </row>
    <row r="865" spans="1:6" x14ac:dyDescent="0.25">
      <c r="A865">
        <v>963</v>
      </c>
      <c r="B865" t="s">
        <v>92</v>
      </c>
      <c r="C865" t="s">
        <v>76</v>
      </c>
      <c r="D865" s="1">
        <v>35180</v>
      </c>
      <c r="E865" t="s">
        <v>1237</v>
      </c>
      <c r="F865" t="s">
        <v>869</v>
      </c>
    </row>
    <row r="866" spans="1:6" x14ac:dyDescent="0.25">
      <c r="A866">
        <v>964</v>
      </c>
      <c r="B866" t="s">
        <v>84</v>
      </c>
      <c r="C866" t="s">
        <v>73</v>
      </c>
      <c r="D866" s="1">
        <v>33826</v>
      </c>
      <c r="E866" t="s">
        <v>1238</v>
      </c>
      <c r="F866" t="s">
        <v>870</v>
      </c>
    </row>
    <row r="867" spans="1:6" x14ac:dyDescent="0.25">
      <c r="A867">
        <v>965</v>
      </c>
      <c r="B867" t="s">
        <v>75</v>
      </c>
      <c r="C867" t="s">
        <v>76</v>
      </c>
      <c r="D867" s="1">
        <v>44949</v>
      </c>
      <c r="E867" t="s">
        <v>1239</v>
      </c>
      <c r="F867" t="s">
        <v>870</v>
      </c>
    </row>
    <row r="868" spans="1:6" x14ac:dyDescent="0.25">
      <c r="A868">
        <v>966</v>
      </c>
      <c r="B868" t="s">
        <v>82</v>
      </c>
      <c r="C868" t="s">
        <v>73</v>
      </c>
      <c r="D868" s="1">
        <v>37351</v>
      </c>
      <c r="E868" t="s">
        <v>1240</v>
      </c>
      <c r="F868" t="s">
        <v>872</v>
      </c>
    </row>
    <row r="869" spans="1:6" x14ac:dyDescent="0.25">
      <c r="A869">
        <v>967</v>
      </c>
      <c r="B869" t="s">
        <v>75</v>
      </c>
      <c r="C869" t="s">
        <v>76</v>
      </c>
      <c r="D869" s="1">
        <v>15263</v>
      </c>
      <c r="E869" t="s">
        <v>1241</v>
      </c>
      <c r="F869" t="s">
        <v>872</v>
      </c>
    </row>
    <row r="870" spans="1:6" x14ac:dyDescent="0.25">
      <c r="A870">
        <v>968</v>
      </c>
      <c r="B870" t="s">
        <v>84</v>
      </c>
      <c r="C870" t="s">
        <v>73</v>
      </c>
      <c r="D870" s="1">
        <v>16418</v>
      </c>
      <c r="E870" t="s">
        <v>1242</v>
      </c>
      <c r="F870" t="s">
        <v>871</v>
      </c>
    </row>
    <row r="871" spans="1:6" x14ac:dyDescent="0.25">
      <c r="A871">
        <v>969</v>
      </c>
      <c r="B871" t="s">
        <v>80</v>
      </c>
      <c r="C871" t="s">
        <v>73</v>
      </c>
      <c r="D871" s="1">
        <v>44979</v>
      </c>
      <c r="E871" t="s">
        <v>1243</v>
      </c>
      <c r="F871" t="s">
        <v>872</v>
      </c>
    </row>
    <row r="872" spans="1:6" x14ac:dyDescent="0.25">
      <c r="A872">
        <v>970</v>
      </c>
      <c r="B872" t="s">
        <v>99</v>
      </c>
      <c r="C872" t="s">
        <v>76</v>
      </c>
      <c r="D872" s="1">
        <v>37753</v>
      </c>
      <c r="E872" t="s">
        <v>1244</v>
      </c>
      <c r="F872" t="s">
        <v>867</v>
      </c>
    </row>
    <row r="873" spans="1:6" x14ac:dyDescent="0.25">
      <c r="A873">
        <v>971</v>
      </c>
      <c r="B873" t="s">
        <v>84</v>
      </c>
      <c r="C873" t="s">
        <v>73</v>
      </c>
      <c r="D873" s="1">
        <v>24276</v>
      </c>
      <c r="E873" t="s">
        <v>1245</v>
      </c>
      <c r="F873" t="s">
        <v>869</v>
      </c>
    </row>
    <row r="874" spans="1:6" x14ac:dyDescent="0.25">
      <c r="A874">
        <v>972</v>
      </c>
      <c r="B874" t="s">
        <v>80</v>
      </c>
      <c r="C874" t="s">
        <v>73</v>
      </c>
      <c r="D874" s="1">
        <v>45177</v>
      </c>
      <c r="E874" t="s">
        <v>1246</v>
      </c>
      <c r="F874" t="s">
        <v>868</v>
      </c>
    </row>
    <row r="875" spans="1:6" x14ac:dyDescent="0.25">
      <c r="A875">
        <v>973</v>
      </c>
      <c r="B875" t="s">
        <v>120</v>
      </c>
      <c r="C875" t="s">
        <v>73</v>
      </c>
      <c r="D875" s="1">
        <v>18592</v>
      </c>
      <c r="E875" t="s">
        <v>1247</v>
      </c>
      <c r="F875" t="s">
        <v>867</v>
      </c>
    </row>
    <row r="876" spans="1:6" x14ac:dyDescent="0.25">
      <c r="A876">
        <v>974</v>
      </c>
      <c r="B876" t="s">
        <v>94</v>
      </c>
      <c r="C876" t="s">
        <v>73</v>
      </c>
      <c r="D876" s="1">
        <v>35943</v>
      </c>
      <c r="E876" t="s">
        <v>1248</v>
      </c>
      <c r="F876" t="s">
        <v>870</v>
      </c>
    </row>
    <row r="877" spans="1:6" x14ac:dyDescent="0.25">
      <c r="A877">
        <v>975</v>
      </c>
      <c r="B877" t="s">
        <v>75</v>
      </c>
      <c r="C877" t="s">
        <v>76</v>
      </c>
      <c r="D877" s="1">
        <v>15985</v>
      </c>
      <c r="E877" t="s">
        <v>1249</v>
      </c>
      <c r="F877" t="s">
        <v>867</v>
      </c>
    </row>
    <row r="878" spans="1:6" x14ac:dyDescent="0.25">
      <c r="A878">
        <v>976</v>
      </c>
      <c r="B878" t="s">
        <v>86</v>
      </c>
      <c r="C878" t="s">
        <v>76</v>
      </c>
      <c r="D878" s="1">
        <v>20008</v>
      </c>
      <c r="E878" t="s">
        <v>1250</v>
      </c>
      <c r="F878" t="s">
        <v>868</v>
      </c>
    </row>
    <row r="879" spans="1:6" x14ac:dyDescent="0.25">
      <c r="A879">
        <v>977</v>
      </c>
      <c r="B879" t="s">
        <v>104</v>
      </c>
      <c r="C879" t="s">
        <v>76</v>
      </c>
      <c r="D879" s="1">
        <v>33742</v>
      </c>
      <c r="E879" t="s">
        <v>1251</v>
      </c>
      <c r="F879" t="s">
        <v>871</v>
      </c>
    </row>
    <row r="880" spans="1:6" x14ac:dyDescent="0.25">
      <c r="A880">
        <v>978</v>
      </c>
      <c r="B880" t="s">
        <v>92</v>
      </c>
      <c r="C880" t="s">
        <v>76</v>
      </c>
      <c r="D880" s="1">
        <v>30740</v>
      </c>
      <c r="E880" t="s">
        <v>1252</v>
      </c>
      <c r="F880" t="s">
        <v>872</v>
      </c>
    </row>
    <row r="881" spans="1:6" x14ac:dyDescent="0.25">
      <c r="A881">
        <v>979</v>
      </c>
      <c r="B881" t="s">
        <v>120</v>
      </c>
      <c r="C881" t="s">
        <v>73</v>
      </c>
      <c r="D881" s="1">
        <v>31347</v>
      </c>
      <c r="E881" t="s">
        <v>1253</v>
      </c>
      <c r="F881" t="s">
        <v>868</v>
      </c>
    </row>
    <row r="882" spans="1:6" x14ac:dyDescent="0.25">
      <c r="A882">
        <v>980</v>
      </c>
      <c r="B882" t="s">
        <v>99</v>
      </c>
      <c r="C882" t="s">
        <v>76</v>
      </c>
      <c r="D882" s="1">
        <v>24465</v>
      </c>
      <c r="E882" t="s">
        <v>1254</v>
      </c>
      <c r="F882" t="s">
        <v>867</v>
      </c>
    </row>
    <row r="883" spans="1:6" x14ac:dyDescent="0.25">
      <c r="A883">
        <v>981</v>
      </c>
      <c r="B883" t="s">
        <v>92</v>
      </c>
      <c r="C883" t="s">
        <v>76</v>
      </c>
      <c r="D883" s="1">
        <v>16381</v>
      </c>
      <c r="E883" t="s">
        <v>1255</v>
      </c>
      <c r="F883" t="s">
        <v>868</v>
      </c>
    </row>
    <row r="884" spans="1:6" x14ac:dyDescent="0.25">
      <c r="A884">
        <v>982</v>
      </c>
      <c r="B884" t="s">
        <v>72</v>
      </c>
      <c r="C884" t="s">
        <v>73</v>
      </c>
      <c r="D884" s="1">
        <v>30888</v>
      </c>
      <c r="E884" t="s">
        <v>1256</v>
      </c>
      <c r="F884" t="s">
        <v>869</v>
      </c>
    </row>
    <row r="885" spans="1:6" x14ac:dyDescent="0.25">
      <c r="A885">
        <v>983</v>
      </c>
      <c r="B885" t="s">
        <v>75</v>
      </c>
      <c r="C885" t="s">
        <v>76</v>
      </c>
      <c r="D885" s="1">
        <v>30662</v>
      </c>
      <c r="E885" t="s">
        <v>1257</v>
      </c>
      <c r="F885" t="s">
        <v>868</v>
      </c>
    </row>
    <row r="886" spans="1:6" x14ac:dyDescent="0.25">
      <c r="A886">
        <v>984</v>
      </c>
      <c r="B886" t="s">
        <v>122</v>
      </c>
      <c r="C886" t="s">
        <v>73</v>
      </c>
      <c r="D886" s="1">
        <v>36509</v>
      </c>
      <c r="E886" t="s">
        <v>1258</v>
      </c>
      <c r="F886" t="s">
        <v>871</v>
      </c>
    </row>
    <row r="887" spans="1:6" x14ac:dyDescent="0.25">
      <c r="A887">
        <v>985</v>
      </c>
      <c r="B887" t="s">
        <v>89</v>
      </c>
      <c r="C887" t="s">
        <v>76</v>
      </c>
      <c r="D887" s="1">
        <v>45433</v>
      </c>
      <c r="E887" t="s">
        <v>1259</v>
      </c>
      <c r="F887" t="s">
        <v>871</v>
      </c>
    </row>
    <row r="888" spans="1:6" x14ac:dyDescent="0.25">
      <c r="A888">
        <v>986</v>
      </c>
      <c r="B888" t="s">
        <v>75</v>
      </c>
      <c r="C888" t="s">
        <v>76</v>
      </c>
      <c r="D888" s="1">
        <v>25081</v>
      </c>
      <c r="E888" t="s">
        <v>1260</v>
      </c>
      <c r="F888" t="s">
        <v>866</v>
      </c>
    </row>
    <row r="889" spans="1:6" x14ac:dyDescent="0.25">
      <c r="A889">
        <v>987</v>
      </c>
      <c r="B889" t="s">
        <v>82</v>
      </c>
      <c r="C889" t="s">
        <v>73</v>
      </c>
      <c r="D889" s="1">
        <v>36530</v>
      </c>
      <c r="E889" t="s">
        <v>1261</v>
      </c>
      <c r="F889" t="s">
        <v>867</v>
      </c>
    </row>
    <row r="890" spans="1:6" x14ac:dyDescent="0.25">
      <c r="A890">
        <v>988</v>
      </c>
      <c r="B890" t="s">
        <v>72</v>
      </c>
      <c r="C890" t="s">
        <v>73</v>
      </c>
      <c r="D890" s="1">
        <v>40021</v>
      </c>
      <c r="E890" t="s">
        <v>1262</v>
      </c>
      <c r="F890" t="s">
        <v>870</v>
      </c>
    </row>
    <row r="891" spans="1:6" x14ac:dyDescent="0.25">
      <c r="A891">
        <v>989</v>
      </c>
      <c r="B891" t="s">
        <v>127</v>
      </c>
      <c r="C891" t="s">
        <v>76</v>
      </c>
      <c r="D891" s="1">
        <v>37790</v>
      </c>
      <c r="E891" t="s">
        <v>1263</v>
      </c>
      <c r="F891" t="s">
        <v>868</v>
      </c>
    </row>
    <row r="892" spans="1:6" x14ac:dyDescent="0.25">
      <c r="A892">
        <v>990</v>
      </c>
      <c r="B892" t="s">
        <v>94</v>
      </c>
      <c r="C892" t="s">
        <v>73</v>
      </c>
      <c r="D892" s="1">
        <v>37699</v>
      </c>
      <c r="E892" t="s">
        <v>1264</v>
      </c>
      <c r="F892" t="s">
        <v>866</v>
      </c>
    </row>
    <row r="893" spans="1:6" x14ac:dyDescent="0.25">
      <c r="A893">
        <v>991</v>
      </c>
      <c r="B893" t="s">
        <v>99</v>
      </c>
      <c r="C893" t="s">
        <v>76</v>
      </c>
      <c r="D893" s="1">
        <v>37712</v>
      </c>
      <c r="E893" t="s">
        <v>1265</v>
      </c>
      <c r="F893" t="s">
        <v>868</v>
      </c>
    </row>
    <row r="894" spans="1:6" x14ac:dyDescent="0.25">
      <c r="A894">
        <v>992</v>
      </c>
      <c r="B894" t="s">
        <v>75</v>
      </c>
      <c r="C894" t="s">
        <v>76</v>
      </c>
      <c r="D894" s="1">
        <v>13323</v>
      </c>
      <c r="E894" t="s">
        <v>1266</v>
      </c>
      <c r="F894" t="s">
        <v>866</v>
      </c>
    </row>
    <row r="895" spans="1:6" x14ac:dyDescent="0.25">
      <c r="A895">
        <v>993</v>
      </c>
      <c r="B895" t="s">
        <v>122</v>
      </c>
      <c r="C895" t="s">
        <v>73</v>
      </c>
      <c r="D895" s="1">
        <v>31287</v>
      </c>
      <c r="E895" t="s">
        <v>1267</v>
      </c>
      <c r="F895" t="s">
        <v>869</v>
      </c>
    </row>
    <row r="896" spans="1:6" x14ac:dyDescent="0.25">
      <c r="A896">
        <v>994</v>
      </c>
      <c r="B896" t="s">
        <v>89</v>
      </c>
      <c r="C896" t="s">
        <v>76</v>
      </c>
      <c r="D896" s="1">
        <v>12546</v>
      </c>
      <c r="E896" t="s">
        <v>1268</v>
      </c>
      <c r="F896" t="s">
        <v>871</v>
      </c>
    </row>
    <row r="897" spans="1:6" x14ac:dyDescent="0.25">
      <c r="A897">
        <v>995</v>
      </c>
      <c r="B897" t="s">
        <v>84</v>
      </c>
      <c r="C897" t="s">
        <v>73</v>
      </c>
      <c r="D897" s="1">
        <v>12637</v>
      </c>
      <c r="E897" t="s">
        <v>1269</v>
      </c>
      <c r="F897" t="s">
        <v>871</v>
      </c>
    </row>
    <row r="898" spans="1:6" x14ac:dyDescent="0.25">
      <c r="A898">
        <v>996</v>
      </c>
      <c r="B898" t="s">
        <v>94</v>
      </c>
      <c r="C898" t="s">
        <v>73</v>
      </c>
      <c r="D898" s="1">
        <v>25063</v>
      </c>
      <c r="E898" t="s">
        <v>1270</v>
      </c>
      <c r="F898" t="s">
        <v>868</v>
      </c>
    </row>
    <row r="899" spans="1:6" x14ac:dyDescent="0.25">
      <c r="A899">
        <v>997</v>
      </c>
      <c r="B899" t="s">
        <v>92</v>
      </c>
      <c r="C899" t="s">
        <v>76</v>
      </c>
      <c r="D899" s="1">
        <v>37910</v>
      </c>
      <c r="E899" t="s">
        <v>1271</v>
      </c>
      <c r="F899" t="s">
        <v>866</v>
      </c>
    </row>
    <row r="900" spans="1:6" x14ac:dyDescent="0.25">
      <c r="A900">
        <v>998</v>
      </c>
      <c r="B900" t="s">
        <v>82</v>
      </c>
      <c r="C900" t="s">
        <v>73</v>
      </c>
      <c r="D900" s="1">
        <v>28741</v>
      </c>
      <c r="E900" t="s">
        <v>1272</v>
      </c>
      <c r="F900" t="s">
        <v>867</v>
      </c>
    </row>
    <row r="901" spans="1:6" x14ac:dyDescent="0.25">
      <c r="A901">
        <v>999</v>
      </c>
      <c r="B901" t="s">
        <v>122</v>
      </c>
      <c r="C901" t="s">
        <v>73</v>
      </c>
      <c r="D901" s="1">
        <v>32622</v>
      </c>
      <c r="E901" t="s">
        <v>1273</v>
      </c>
      <c r="F901" t="s">
        <v>873</v>
      </c>
    </row>
    <row r="902" spans="1:6" x14ac:dyDescent="0.25">
      <c r="A902">
        <v>1000</v>
      </c>
      <c r="B902" t="s">
        <v>86</v>
      </c>
      <c r="C902" t="s">
        <v>76</v>
      </c>
      <c r="D902" s="1">
        <v>26507</v>
      </c>
      <c r="E902" t="s">
        <v>1274</v>
      </c>
      <c r="F902" t="s">
        <v>868</v>
      </c>
    </row>
    <row r="903" spans="1:6" x14ac:dyDescent="0.25">
      <c r="A903">
        <v>1001</v>
      </c>
      <c r="B903" t="s">
        <v>120</v>
      </c>
      <c r="C903" t="s">
        <v>73</v>
      </c>
      <c r="D903" s="1">
        <v>31507</v>
      </c>
      <c r="E903" t="s">
        <v>1275</v>
      </c>
      <c r="F903" t="s">
        <v>867</v>
      </c>
    </row>
    <row r="904" spans="1:6" x14ac:dyDescent="0.25">
      <c r="A904">
        <v>1002</v>
      </c>
      <c r="B904" t="s">
        <v>92</v>
      </c>
      <c r="C904" t="s">
        <v>76</v>
      </c>
      <c r="D904" s="1">
        <v>44994</v>
      </c>
      <c r="E904" t="s">
        <v>1276</v>
      </c>
      <c r="F904" t="s">
        <v>873</v>
      </c>
    </row>
    <row r="905" spans="1:6" x14ac:dyDescent="0.25">
      <c r="A905">
        <v>1003</v>
      </c>
      <c r="B905" t="s">
        <v>82</v>
      </c>
      <c r="C905" t="s">
        <v>73</v>
      </c>
      <c r="D905" s="1">
        <v>30097</v>
      </c>
      <c r="E905" t="s">
        <v>1277</v>
      </c>
      <c r="F905" t="s">
        <v>870</v>
      </c>
    </row>
    <row r="906" spans="1:6" x14ac:dyDescent="0.25">
      <c r="A906">
        <v>1004</v>
      </c>
      <c r="B906" t="s">
        <v>82</v>
      </c>
      <c r="C906" t="s">
        <v>73</v>
      </c>
      <c r="D906" s="1">
        <v>12198</v>
      </c>
      <c r="E906" t="s">
        <v>1278</v>
      </c>
      <c r="F906" t="s">
        <v>869</v>
      </c>
    </row>
    <row r="907" spans="1:6" x14ac:dyDescent="0.25">
      <c r="A907">
        <v>1005</v>
      </c>
      <c r="B907" t="s">
        <v>72</v>
      </c>
      <c r="C907" t="s">
        <v>73</v>
      </c>
      <c r="D907" s="1">
        <v>21572</v>
      </c>
      <c r="E907" t="s">
        <v>1279</v>
      </c>
      <c r="F907" t="s">
        <v>870</v>
      </c>
    </row>
    <row r="908" spans="1:6" x14ac:dyDescent="0.25">
      <c r="A908">
        <v>1006</v>
      </c>
      <c r="B908" t="s">
        <v>92</v>
      </c>
      <c r="C908" t="s">
        <v>76</v>
      </c>
      <c r="D908" s="1">
        <v>14340</v>
      </c>
      <c r="E908" t="s">
        <v>1280</v>
      </c>
      <c r="F908" t="s">
        <v>873</v>
      </c>
    </row>
    <row r="909" spans="1:6" x14ac:dyDescent="0.25">
      <c r="A909">
        <v>1007</v>
      </c>
      <c r="B909" t="s">
        <v>99</v>
      </c>
      <c r="C909" t="s">
        <v>76</v>
      </c>
      <c r="D909" s="1">
        <v>32289</v>
      </c>
      <c r="E909" t="s">
        <v>1281</v>
      </c>
      <c r="F909" t="s">
        <v>871</v>
      </c>
    </row>
    <row r="910" spans="1:6" x14ac:dyDescent="0.25">
      <c r="A910">
        <v>1008</v>
      </c>
      <c r="B910" t="s">
        <v>75</v>
      </c>
      <c r="C910" t="s">
        <v>76</v>
      </c>
      <c r="D910" s="1">
        <v>40317</v>
      </c>
      <c r="E910" t="s">
        <v>1282</v>
      </c>
      <c r="F910" t="s">
        <v>872</v>
      </c>
    </row>
    <row r="911" spans="1:6" x14ac:dyDescent="0.25">
      <c r="A911">
        <v>1009</v>
      </c>
      <c r="B911" t="s">
        <v>92</v>
      </c>
      <c r="C911" t="s">
        <v>76</v>
      </c>
      <c r="D911" s="1">
        <v>43421</v>
      </c>
      <c r="E911" t="s">
        <v>1283</v>
      </c>
      <c r="F911" t="s">
        <v>867</v>
      </c>
    </row>
    <row r="912" spans="1:6" x14ac:dyDescent="0.25">
      <c r="A912">
        <v>1010</v>
      </c>
      <c r="B912" t="s">
        <v>84</v>
      </c>
      <c r="C912" t="s">
        <v>73</v>
      </c>
      <c r="D912" s="1">
        <v>16774</v>
      </c>
      <c r="E912" t="s">
        <v>1284</v>
      </c>
      <c r="F912" t="s">
        <v>872</v>
      </c>
    </row>
    <row r="913" spans="1:6" x14ac:dyDescent="0.25">
      <c r="A913">
        <v>1011</v>
      </c>
      <c r="B913" t="s">
        <v>125</v>
      </c>
      <c r="C913" t="s">
        <v>76</v>
      </c>
      <c r="D913" s="1">
        <v>44909</v>
      </c>
      <c r="E913" t="s">
        <v>1285</v>
      </c>
      <c r="F913" t="s">
        <v>868</v>
      </c>
    </row>
    <row r="914" spans="1:6" x14ac:dyDescent="0.25">
      <c r="A914">
        <v>1012</v>
      </c>
      <c r="B914" t="s">
        <v>122</v>
      </c>
      <c r="C914" t="s">
        <v>73</v>
      </c>
      <c r="D914" s="1">
        <v>19171</v>
      </c>
      <c r="E914" t="s">
        <v>1286</v>
      </c>
      <c r="F914" t="s">
        <v>871</v>
      </c>
    </row>
    <row r="915" spans="1:6" x14ac:dyDescent="0.25">
      <c r="A915">
        <v>1013</v>
      </c>
      <c r="B915" t="s">
        <v>120</v>
      </c>
      <c r="C915" t="s">
        <v>73</v>
      </c>
      <c r="D915" s="1">
        <v>20785</v>
      </c>
      <c r="E915" t="s">
        <v>1287</v>
      </c>
      <c r="F915" t="s">
        <v>868</v>
      </c>
    </row>
    <row r="916" spans="1:6" x14ac:dyDescent="0.25">
      <c r="A916">
        <v>1014</v>
      </c>
      <c r="B916" t="s">
        <v>127</v>
      </c>
      <c r="C916" t="s">
        <v>76</v>
      </c>
      <c r="D916" s="1">
        <v>45230</v>
      </c>
      <c r="E916" t="s">
        <v>1288</v>
      </c>
      <c r="F916" t="s">
        <v>873</v>
      </c>
    </row>
    <row r="917" spans="1:6" x14ac:dyDescent="0.25">
      <c r="A917">
        <v>1015</v>
      </c>
      <c r="B917" t="s">
        <v>84</v>
      </c>
      <c r="C917" t="s">
        <v>73</v>
      </c>
      <c r="D917" s="1">
        <v>10320</v>
      </c>
      <c r="E917" t="s">
        <v>1289</v>
      </c>
      <c r="F917" t="s">
        <v>869</v>
      </c>
    </row>
    <row r="918" spans="1:6" x14ac:dyDescent="0.25">
      <c r="A918">
        <v>1016</v>
      </c>
      <c r="B918" t="s">
        <v>80</v>
      </c>
      <c r="C918" t="s">
        <v>73</v>
      </c>
      <c r="D918" s="1">
        <v>22274</v>
      </c>
      <c r="E918" t="s">
        <v>1290</v>
      </c>
      <c r="F918" t="s">
        <v>873</v>
      </c>
    </row>
    <row r="919" spans="1:6" x14ac:dyDescent="0.25">
      <c r="A919">
        <v>1017</v>
      </c>
      <c r="B919" t="s">
        <v>120</v>
      </c>
      <c r="C919" t="s">
        <v>73</v>
      </c>
      <c r="D919" s="1">
        <v>45300</v>
      </c>
      <c r="E919" t="s">
        <v>1291</v>
      </c>
      <c r="F919" t="s">
        <v>866</v>
      </c>
    </row>
    <row r="920" spans="1:6" x14ac:dyDescent="0.25">
      <c r="A920">
        <v>1018</v>
      </c>
      <c r="B920" t="s">
        <v>94</v>
      </c>
      <c r="C920" t="s">
        <v>73</v>
      </c>
      <c r="D920" s="1">
        <v>41406</v>
      </c>
      <c r="E920" t="s">
        <v>1292</v>
      </c>
      <c r="F920" t="s">
        <v>869</v>
      </c>
    </row>
    <row r="921" spans="1:6" x14ac:dyDescent="0.25">
      <c r="A921">
        <v>1019</v>
      </c>
      <c r="B921" t="s">
        <v>104</v>
      </c>
      <c r="C921" t="s">
        <v>76</v>
      </c>
      <c r="D921" s="1">
        <v>30915</v>
      </c>
      <c r="E921" t="s">
        <v>1293</v>
      </c>
      <c r="F921" t="s">
        <v>872</v>
      </c>
    </row>
    <row r="922" spans="1:6" x14ac:dyDescent="0.25">
      <c r="A922">
        <v>1020</v>
      </c>
      <c r="B922" t="s">
        <v>94</v>
      </c>
      <c r="C922" t="s">
        <v>73</v>
      </c>
      <c r="D922" s="1">
        <v>38017</v>
      </c>
      <c r="E922" t="s">
        <v>1294</v>
      </c>
      <c r="F922" t="s">
        <v>871</v>
      </c>
    </row>
    <row r="923" spans="1:6" x14ac:dyDescent="0.25">
      <c r="A923">
        <v>1021</v>
      </c>
      <c r="B923" t="s">
        <v>82</v>
      </c>
      <c r="C923" t="s">
        <v>73</v>
      </c>
      <c r="D923" s="1">
        <v>11825</v>
      </c>
      <c r="E923" t="s">
        <v>1295</v>
      </c>
      <c r="F923" t="s">
        <v>866</v>
      </c>
    </row>
    <row r="924" spans="1:6" x14ac:dyDescent="0.25">
      <c r="A924">
        <v>1022</v>
      </c>
      <c r="B924" t="s">
        <v>75</v>
      </c>
      <c r="C924" t="s">
        <v>76</v>
      </c>
      <c r="D924" s="1">
        <v>14668</v>
      </c>
      <c r="E924" t="s">
        <v>1296</v>
      </c>
      <c r="F924" t="s">
        <v>872</v>
      </c>
    </row>
    <row r="925" spans="1:6" x14ac:dyDescent="0.25">
      <c r="A925">
        <v>1023</v>
      </c>
      <c r="B925" t="s">
        <v>78</v>
      </c>
      <c r="C925" t="s">
        <v>73</v>
      </c>
      <c r="D925" s="1">
        <v>35612</v>
      </c>
      <c r="E925" t="s">
        <v>1297</v>
      </c>
      <c r="F925" t="s">
        <v>870</v>
      </c>
    </row>
    <row r="926" spans="1:6" x14ac:dyDescent="0.25">
      <c r="A926">
        <v>1024</v>
      </c>
      <c r="B926" t="s">
        <v>120</v>
      </c>
      <c r="C926" t="s">
        <v>73</v>
      </c>
      <c r="D926" s="1">
        <v>13121</v>
      </c>
      <c r="E926" t="s">
        <v>1298</v>
      </c>
      <c r="F926" t="s">
        <v>871</v>
      </c>
    </row>
    <row r="927" spans="1:6" x14ac:dyDescent="0.25">
      <c r="A927">
        <v>1025</v>
      </c>
      <c r="B927" t="s">
        <v>104</v>
      </c>
      <c r="C927" t="s">
        <v>76</v>
      </c>
      <c r="D927" s="1">
        <v>36546</v>
      </c>
      <c r="E927" t="s">
        <v>1299</v>
      </c>
      <c r="F927" t="s">
        <v>871</v>
      </c>
    </row>
    <row r="928" spans="1:6" x14ac:dyDescent="0.25">
      <c r="A928">
        <v>1026</v>
      </c>
      <c r="B928" t="s">
        <v>99</v>
      </c>
      <c r="C928" t="s">
        <v>76</v>
      </c>
      <c r="D928" s="1">
        <v>11845</v>
      </c>
      <c r="E928" t="s">
        <v>1300</v>
      </c>
      <c r="F928" t="s">
        <v>871</v>
      </c>
    </row>
    <row r="929" spans="1:6" x14ac:dyDescent="0.25">
      <c r="A929">
        <v>1027</v>
      </c>
      <c r="B929" t="s">
        <v>78</v>
      </c>
      <c r="C929" t="s">
        <v>73</v>
      </c>
      <c r="D929" s="1">
        <v>33080</v>
      </c>
      <c r="E929" t="s">
        <v>1301</v>
      </c>
      <c r="F929" t="s">
        <v>869</v>
      </c>
    </row>
    <row r="930" spans="1:6" x14ac:dyDescent="0.25">
      <c r="A930">
        <v>1028</v>
      </c>
      <c r="B930" t="s">
        <v>78</v>
      </c>
      <c r="C930" t="s">
        <v>73</v>
      </c>
      <c r="D930" s="1">
        <v>13612</v>
      </c>
      <c r="E930" t="s">
        <v>1302</v>
      </c>
      <c r="F930" t="s">
        <v>873</v>
      </c>
    </row>
    <row r="931" spans="1:6" x14ac:dyDescent="0.25">
      <c r="A931">
        <v>1029</v>
      </c>
      <c r="B931" t="s">
        <v>125</v>
      </c>
      <c r="C931" t="s">
        <v>76</v>
      </c>
      <c r="D931" s="1">
        <v>15326</v>
      </c>
      <c r="E931" t="s">
        <v>1303</v>
      </c>
      <c r="F931" t="s">
        <v>871</v>
      </c>
    </row>
    <row r="932" spans="1:6" x14ac:dyDescent="0.25">
      <c r="A932">
        <v>1030</v>
      </c>
      <c r="B932" t="s">
        <v>86</v>
      </c>
      <c r="C932" t="s">
        <v>76</v>
      </c>
      <c r="D932" s="1">
        <v>45717</v>
      </c>
      <c r="E932" t="s">
        <v>1304</v>
      </c>
      <c r="F932" t="s">
        <v>872</v>
      </c>
    </row>
    <row r="933" spans="1:6" x14ac:dyDescent="0.25">
      <c r="A933">
        <v>1031</v>
      </c>
      <c r="B933" t="s">
        <v>120</v>
      </c>
      <c r="C933" t="s">
        <v>73</v>
      </c>
      <c r="D933" s="1">
        <v>26793</v>
      </c>
      <c r="E933" t="s">
        <v>1305</v>
      </c>
      <c r="F933" t="s">
        <v>871</v>
      </c>
    </row>
    <row r="934" spans="1:6" x14ac:dyDescent="0.25">
      <c r="A934">
        <v>1032</v>
      </c>
      <c r="B934" t="s">
        <v>89</v>
      </c>
      <c r="C934" t="s">
        <v>76</v>
      </c>
      <c r="D934" s="1">
        <v>39397</v>
      </c>
      <c r="E934" t="s">
        <v>1306</v>
      </c>
      <c r="F934" t="s">
        <v>867</v>
      </c>
    </row>
    <row r="935" spans="1:6" x14ac:dyDescent="0.25">
      <c r="A935">
        <v>1033</v>
      </c>
      <c r="B935" t="s">
        <v>92</v>
      </c>
      <c r="C935" t="s">
        <v>76</v>
      </c>
      <c r="D935" s="1">
        <v>24461</v>
      </c>
      <c r="E935" t="s">
        <v>1307</v>
      </c>
      <c r="F935" t="s">
        <v>872</v>
      </c>
    </row>
    <row r="936" spans="1:6" x14ac:dyDescent="0.25">
      <c r="A936">
        <v>1034</v>
      </c>
      <c r="B936" t="s">
        <v>104</v>
      </c>
      <c r="C936" t="s">
        <v>76</v>
      </c>
      <c r="D936" s="1">
        <v>22459</v>
      </c>
      <c r="E936" t="s">
        <v>1308</v>
      </c>
      <c r="F936" t="s">
        <v>872</v>
      </c>
    </row>
    <row r="937" spans="1:6" x14ac:dyDescent="0.25">
      <c r="A937">
        <v>1035</v>
      </c>
      <c r="B937" t="s">
        <v>72</v>
      </c>
      <c r="C937" t="s">
        <v>73</v>
      </c>
      <c r="D937" s="1">
        <v>40780</v>
      </c>
      <c r="E937" t="s">
        <v>1309</v>
      </c>
      <c r="F937" t="s">
        <v>871</v>
      </c>
    </row>
    <row r="938" spans="1:6" x14ac:dyDescent="0.25">
      <c r="A938">
        <v>1036</v>
      </c>
      <c r="B938" t="s">
        <v>94</v>
      </c>
      <c r="C938" t="s">
        <v>73</v>
      </c>
      <c r="D938" s="1">
        <v>45026</v>
      </c>
      <c r="E938" t="s">
        <v>1310</v>
      </c>
      <c r="F938" t="s">
        <v>873</v>
      </c>
    </row>
    <row r="939" spans="1:6" x14ac:dyDescent="0.25">
      <c r="A939">
        <v>1037</v>
      </c>
      <c r="B939" t="s">
        <v>99</v>
      </c>
      <c r="C939" t="s">
        <v>76</v>
      </c>
      <c r="D939" s="1">
        <v>33863</v>
      </c>
      <c r="E939" t="s">
        <v>1311</v>
      </c>
      <c r="F939" t="s">
        <v>872</v>
      </c>
    </row>
    <row r="940" spans="1:6" x14ac:dyDescent="0.25">
      <c r="A940">
        <v>1038</v>
      </c>
      <c r="B940" t="s">
        <v>92</v>
      </c>
      <c r="C940" t="s">
        <v>76</v>
      </c>
      <c r="D940" s="1">
        <v>12524</v>
      </c>
      <c r="E940" t="s">
        <v>1312</v>
      </c>
      <c r="F940" t="s">
        <v>867</v>
      </c>
    </row>
    <row r="941" spans="1:6" x14ac:dyDescent="0.25">
      <c r="A941">
        <v>1039</v>
      </c>
      <c r="B941" t="s">
        <v>84</v>
      </c>
      <c r="C941" t="s">
        <v>73</v>
      </c>
      <c r="D941" s="1">
        <v>37735</v>
      </c>
      <c r="E941" t="s">
        <v>1313</v>
      </c>
      <c r="F941" t="s">
        <v>869</v>
      </c>
    </row>
    <row r="942" spans="1:6" x14ac:dyDescent="0.25">
      <c r="A942">
        <v>1040</v>
      </c>
      <c r="B942" t="s">
        <v>86</v>
      </c>
      <c r="C942" t="s">
        <v>76</v>
      </c>
      <c r="D942" s="1">
        <v>44719</v>
      </c>
      <c r="E942" t="s">
        <v>1314</v>
      </c>
      <c r="F942" t="s">
        <v>867</v>
      </c>
    </row>
    <row r="943" spans="1:6" x14ac:dyDescent="0.25">
      <c r="A943">
        <v>1041</v>
      </c>
      <c r="B943" t="s">
        <v>75</v>
      </c>
      <c r="C943" t="s">
        <v>76</v>
      </c>
      <c r="D943" s="1">
        <v>44375</v>
      </c>
      <c r="E943" t="s">
        <v>1315</v>
      </c>
      <c r="F943" t="s">
        <v>868</v>
      </c>
    </row>
    <row r="944" spans="1:6" x14ac:dyDescent="0.25">
      <c r="A944">
        <v>1042</v>
      </c>
      <c r="B944" t="s">
        <v>86</v>
      </c>
      <c r="C944" t="s">
        <v>76</v>
      </c>
      <c r="D944" s="1">
        <v>12777</v>
      </c>
      <c r="E944" t="s">
        <v>1316</v>
      </c>
      <c r="F944" t="s">
        <v>867</v>
      </c>
    </row>
    <row r="945" spans="1:6" x14ac:dyDescent="0.25">
      <c r="A945">
        <v>1043</v>
      </c>
      <c r="B945" t="s">
        <v>80</v>
      </c>
      <c r="C945" t="s">
        <v>73</v>
      </c>
      <c r="D945" s="1">
        <v>40844</v>
      </c>
      <c r="E945" t="s">
        <v>1317</v>
      </c>
      <c r="F945" t="s">
        <v>871</v>
      </c>
    </row>
    <row r="946" spans="1:6" x14ac:dyDescent="0.25">
      <c r="A946">
        <v>1044</v>
      </c>
      <c r="B946" t="s">
        <v>92</v>
      </c>
      <c r="C946" t="s">
        <v>76</v>
      </c>
      <c r="D946" s="1">
        <v>24429</v>
      </c>
      <c r="E946" t="s">
        <v>1318</v>
      </c>
      <c r="F946" t="s">
        <v>868</v>
      </c>
    </row>
    <row r="947" spans="1:6" x14ac:dyDescent="0.25">
      <c r="A947">
        <v>1045</v>
      </c>
      <c r="B947" t="s">
        <v>127</v>
      </c>
      <c r="C947" t="s">
        <v>76</v>
      </c>
      <c r="D947" s="1">
        <v>27266</v>
      </c>
      <c r="E947" t="s">
        <v>1319</v>
      </c>
      <c r="F947" t="s">
        <v>871</v>
      </c>
    </row>
    <row r="948" spans="1:6" x14ac:dyDescent="0.25">
      <c r="A948">
        <v>1046</v>
      </c>
      <c r="B948" t="s">
        <v>92</v>
      </c>
      <c r="C948" t="s">
        <v>76</v>
      </c>
      <c r="D948" s="1">
        <v>35003</v>
      </c>
      <c r="E948" t="s">
        <v>1320</v>
      </c>
      <c r="F948" t="s">
        <v>868</v>
      </c>
    </row>
    <row r="949" spans="1:6" x14ac:dyDescent="0.25">
      <c r="A949">
        <v>1047</v>
      </c>
      <c r="B949" t="s">
        <v>122</v>
      </c>
      <c r="C949" t="s">
        <v>73</v>
      </c>
      <c r="D949" s="1">
        <v>27264</v>
      </c>
      <c r="E949" t="s">
        <v>1321</v>
      </c>
      <c r="F949" t="s">
        <v>872</v>
      </c>
    </row>
    <row r="950" spans="1:6" x14ac:dyDescent="0.25">
      <c r="A950">
        <v>1048</v>
      </c>
      <c r="B950" t="s">
        <v>78</v>
      </c>
      <c r="C950" t="s">
        <v>73</v>
      </c>
      <c r="D950" s="1">
        <v>27561</v>
      </c>
      <c r="E950" t="s">
        <v>1322</v>
      </c>
      <c r="F950" t="s">
        <v>868</v>
      </c>
    </row>
    <row r="951" spans="1:6" x14ac:dyDescent="0.25">
      <c r="A951">
        <v>1049</v>
      </c>
      <c r="B951" t="s">
        <v>72</v>
      </c>
      <c r="C951" t="s">
        <v>73</v>
      </c>
      <c r="D951" s="1">
        <v>16710</v>
      </c>
      <c r="E951" t="s">
        <v>1323</v>
      </c>
      <c r="F951" t="s">
        <v>866</v>
      </c>
    </row>
    <row r="952" spans="1:6" x14ac:dyDescent="0.25">
      <c r="A952">
        <v>1050</v>
      </c>
      <c r="B952" t="s">
        <v>75</v>
      </c>
      <c r="C952" t="s">
        <v>76</v>
      </c>
      <c r="D952" s="1">
        <v>39625</v>
      </c>
      <c r="E952" t="s">
        <v>1324</v>
      </c>
      <c r="F952" t="s">
        <v>873</v>
      </c>
    </row>
    <row r="953" spans="1:6" x14ac:dyDescent="0.25">
      <c r="A953">
        <v>1051</v>
      </c>
      <c r="B953" t="s">
        <v>89</v>
      </c>
      <c r="C953" t="s">
        <v>76</v>
      </c>
      <c r="D953" s="1">
        <v>21217</v>
      </c>
      <c r="E953" t="s">
        <v>1325</v>
      </c>
      <c r="F953" t="s">
        <v>871</v>
      </c>
    </row>
    <row r="954" spans="1:6" x14ac:dyDescent="0.25">
      <c r="A954">
        <v>1052</v>
      </c>
      <c r="B954" t="s">
        <v>92</v>
      </c>
      <c r="C954" t="s">
        <v>76</v>
      </c>
      <c r="D954" s="1">
        <v>14169</v>
      </c>
      <c r="E954" t="s">
        <v>1326</v>
      </c>
      <c r="F954" t="s">
        <v>867</v>
      </c>
    </row>
    <row r="955" spans="1:6" x14ac:dyDescent="0.25">
      <c r="A955">
        <v>1053</v>
      </c>
      <c r="B955" t="s">
        <v>89</v>
      </c>
      <c r="C955" t="s">
        <v>76</v>
      </c>
      <c r="D955" s="1">
        <v>14903</v>
      </c>
      <c r="E955" t="s">
        <v>1327</v>
      </c>
      <c r="F955" t="s">
        <v>871</v>
      </c>
    </row>
    <row r="956" spans="1:6" x14ac:dyDescent="0.25">
      <c r="A956">
        <v>1054</v>
      </c>
      <c r="B956" t="s">
        <v>80</v>
      </c>
      <c r="C956" t="s">
        <v>73</v>
      </c>
      <c r="D956" s="1">
        <v>21924</v>
      </c>
      <c r="E956" t="s">
        <v>1328</v>
      </c>
      <c r="F956" t="s">
        <v>869</v>
      </c>
    </row>
    <row r="957" spans="1:6" x14ac:dyDescent="0.25">
      <c r="A957">
        <v>1055</v>
      </c>
      <c r="B957" t="s">
        <v>72</v>
      </c>
      <c r="C957" t="s">
        <v>73</v>
      </c>
      <c r="D957" s="1">
        <v>15986</v>
      </c>
      <c r="E957" t="s">
        <v>1329</v>
      </c>
      <c r="F957" t="s">
        <v>873</v>
      </c>
    </row>
    <row r="958" spans="1:6" x14ac:dyDescent="0.25">
      <c r="A958">
        <v>1056</v>
      </c>
      <c r="B958" t="s">
        <v>125</v>
      </c>
      <c r="C958" t="s">
        <v>76</v>
      </c>
      <c r="D958" s="1">
        <v>20509</v>
      </c>
      <c r="E958" t="s">
        <v>1330</v>
      </c>
      <c r="F958" t="s">
        <v>867</v>
      </c>
    </row>
    <row r="959" spans="1:6" x14ac:dyDescent="0.25">
      <c r="A959">
        <v>1057</v>
      </c>
      <c r="B959" t="s">
        <v>82</v>
      </c>
      <c r="C959" t="s">
        <v>73</v>
      </c>
      <c r="D959" s="1">
        <v>37968</v>
      </c>
      <c r="E959" t="s">
        <v>1331</v>
      </c>
      <c r="F959" t="s">
        <v>867</v>
      </c>
    </row>
    <row r="960" spans="1:6" x14ac:dyDescent="0.25">
      <c r="A960">
        <v>1058</v>
      </c>
      <c r="B960" t="s">
        <v>72</v>
      </c>
      <c r="C960" t="s">
        <v>73</v>
      </c>
      <c r="D960" s="1">
        <v>30521</v>
      </c>
      <c r="E960" t="s">
        <v>1332</v>
      </c>
      <c r="F960" t="s">
        <v>866</v>
      </c>
    </row>
    <row r="961" spans="1:6" x14ac:dyDescent="0.25">
      <c r="A961">
        <v>1059</v>
      </c>
      <c r="B961" t="s">
        <v>104</v>
      </c>
      <c r="C961" t="s">
        <v>76</v>
      </c>
      <c r="D961" s="1">
        <v>35054</v>
      </c>
      <c r="E961" t="s">
        <v>1333</v>
      </c>
      <c r="F961" t="s">
        <v>868</v>
      </c>
    </row>
    <row r="962" spans="1:6" x14ac:dyDescent="0.25">
      <c r="A962">
        <v>1060</v>
      </c>
      <c r="B962" t="s">
        <v>99</v>
      </c>
      <c r="C962" t="s">
        <v>76</v>
      </c>
      <c r="D962" s="1">
        <v>22915</v>
      </c>
      <c r="E962" t="s">
        <v>1334</v>
      </c>
      <c r="F962" t="s">
        <v>872</v>
      </c>
    </row>
    <row r="963" spans="1:6" x14ac:dyDescent="0.25">
      <c r="A963">
        <v>1061</v>
      </c>
      <c r="B963" t="s">
        <v>72</v>
      </c>
      <c r="C963" t="s">
        <v>73</v>
      </c>
      <c r="D963" s="1">
        <v>19162</v>
      </c>
      <c r="E963" t="s">
        <v>1335</v>
      </c>
      <c r="F963" t="s">
        <v>873</v>
      </c>
    </row>
    <row r="964" spans="1:6" x14ac:dyDescent="0.25">
      <c r="A964">
        <v>1062</v>
      </c>
      <c r="B964" t="s">
        <v>99</v>
      </c>
      <c r="C964" t="s">
        <v>76</v>
      </c>
      <c r="D964" s="1">
        <v>17832</v>
      </c>
      <c r="E964" t="s">
        <v>1336</v>
      </c>
      <c r="F964" t="s">
        <v>871</v>
      </c>
    </row>
    <row r="965" spans="1:6" x14ac:dyDescent="0.25">
      <c r="A965">
        <v>1063</v>
      </c>
      <c r="B965" t="s">
        <v>99</v>
      </c>
      <c r="C965" t="s">
        <v>76</v>
      </c>
      <c r="D965" s="1">
        <v>23799</v>
      </c>
      <c r="E965" t="s">
        <v>1337</v>
      </c>
      <c r="F965" t="s">
        <v>866</v>
      </c>
    </row>
    <row r="966" spans="1:6" x14ac:dyDescent="0.25">
      <c r="A966">
        <v>1064</v>
      </c>
      <c r="B966" t="s">
        <v>122</v>
      </c>
      <c r="C966" t="s">
        <v>73</v>
      </c>
      <c r="D966" s="1">
        <v>41711</v>
      </c>
      <c r="E966" t="s">
        <v>1338</v>
      </c>
      <c r="F966" t="s">
        <v>867</v>
      </c>
    </row>
    <row r="967" spans="1:6" x14ac:dyDescent="0.25">
      <c r="A967">
        <v>1065</v>
      </c>
      <c r="B967" t="s">
        <v>72</v>
      </c>
      <c r="C967" t="s">
        <v>73</v>
      </c>
      <c r="D967" s="1">
        <v>16759</v>
      </c>
      <c r="E967" t="s">
        <v>1339</v>
      </c>
      <c r="F967" t="s">
        <v>871</v>
      </c>
    </row>
    <row r="968" spans="1:6" x14ac:dyDescent="0.25">
      <c r="A968">
        <v>1066</v>
      </c>
      <c r="B968" t="s">
        <v>84</v>
      </c>
      <c r="C968" t="s">
        <v>73</v>
      </c>
      <c r="D968" s="1">
        <v>43183</v>
      </c>
      <c r="E968" t="s">
        <v>1340</v>
      </c>
      <c r="F968" t="s">
        <v>869</v>
      </c>
    </row>
    <row r="969" spans="1:6" x14ac:dyDescent="0.25">
      <c r="A969">
        <v>1067</v>
      </c>
      <c r="B969" t="s">
        <v>127</v>
      </c>
      <c r="C969" t="s">
        <v>76</v>
      </c>
      <c r="D969" s="1">
        <v>36173</v>
      </c>
      <c r="E969" t="s">
        <v>1341</v>
      </c>
      <c r="F969" t="s">
        <v>869</v>
      </c>
    </row>
    <row r="970" spans="1:6" x14ac:dyDescent="0.25">
      <c r="A970">
        <v>1068</v>
      </c>
      <c r="B970" t="s">
        <v>125</v>
      </c>
      <c r="C970" t="s">
        <v>76</v>
      </c>
      <c r="D970" s="1">
        <v>27924</v>
      </c>
      <c r="E970" t="s">
        <v>1342</v>
      </c>
      <c r="F970" t="s">
        <v>867</v>
      </c>
    </row>
    <row r="971" spans="1:6" x14ac:dyDescent="0.25">
      <c r="A971">
        <v>1069</v>
      </c>
      <c r="B971" t="s">
        <v>89</v>
      </c>
      <c r="C971" t="s">
        <v>76</v>
      </c>
      <c r="D971" s="1">
        <v>26437</v>
      </c>
      <c r="E971" t="s">
        <v>1343</v>
      </c>
      <c r="F971" t="s">
        <v>869</v>
      </c>
    </row>
    <row r="972" spans="1:6" x14ac:dyDescent="0.25">
      <c r="A972">
        <v>1070</v>
      </c>
      <c r="B972" t="s">
        <v>86</v>
      </c>
      <c r="C972" t="s">
        <v>76</v>
      </c>
      <c r="D972" s="1">
        <v>26283</v>
      </c>
      <c r="E972" t="s">
        <v>1344</v>
      </c>
      <c r="F972" t="s">
        <v>870</v>
      </c>
    </row>
    <row r="973" spans="1:6" x14ac:dyDescent="0.25">
      <c r="A973">
        <v>1071</v>
      </c>
      <c r="B973" t="s">
        <v>104</v>
      </c>
      <c r="C973" t="s">
        <v>76</v>
      </c>
      <c r="D973" s="1">
        <v>36748</v>
      </c>
      <c r="E973" t="s">
        <v>1345</v>
      </c>
      <c r="F973" t="s">
        <v>870</v>
      </c>
    </row>
    <row r="974" spans="1:6" x14ac:dyDescent="0.25">
      <c r="A974">
        <v>1072</v>
      </c>
      <c r="B974" t="s">
        <v>125</v>
      </c>
      <c r="C974" t="s">
        <v>76</v>
      </c>
      <c r="D974" s="1">
        <v>13581</v>
      </c>
      <c r="E974" t="s">
        <v>1346</v>
      </c>
      <c r="F974" t="s">
        <v>866</v>
      </c>
    </row>
    <row r="975" spans="1:6" x14ac:dyDescent="0.25">
      <c r="A975">
        <v>1073</v>
      </c>
      <c r="B975" t="s">
        <v>84</v>
      </c>
      <c r="C975" t="s">
        <v>73</v>
      </c>
      <c r="D975" s="1">
        <v>20176</v>
      </c>
      <c r="E975" t="s">
        <v>1347</v>
      </c>
      <c r="F975" t="s">
        <v>870</v>
      </c>
    </row>
    <row r="976" spans="1:6" x14ac:dyDescent="0.25">
      <c r="A976">
        <v>1074</v>
      </c>
      <c r="B976" t="s">
        <v>104</v>
      </c>
      <c r="C976" t="s">
        <v>76</v>
      </c>
      <c r="D976" s="1">
        <v>11133</v>
      </c>
      <c r="E976" t="s">
        <v>1348</v>
      </c>
      <c r="F976" t="s">
        <v>866</v>
      </c>
    </row>
    <row r="977" spans="1:6" x14ac:dyDescent="0.25">
      <c r="A977">
        <v>1075</v>
      </c>
      <c r="B977" t="s">
        <v>89</v>
      </c>
      <c r="C977" t="s">
        <v>76</v>
      </c>
      <c r="D977" s="1">
        <v>16306</v>
      </c>
      <c r="E977" t="s">
        <v>1349</v>
      </c>
      <c r="F977" t="s">
        <v>868</v>
      </c>
    </row>
    <row r="978" spans="1:6" x14ac:dyDescent="0.25">
      <c r="A978">
        <v>1076</v>
      </c>
      <c r="B978" t="s">
        <v>122</v>
      </c>
      <c r="C978" t="s">
        <v>73</v>
      </c>
      <c r="D978" s="1">
        <v>25494</v>
      </c>
      <c r="E978" t="s">
        <v>1350</v>
      </c>
      <c r="F978" t="s">
        <v>872</v>
      </c>
    </row>
    <row r="979" spans="1:6" x14ac:dyDescent="0.25">
      <c r="A979">
        <v>1077</v>
      </c>
      <c r="B979" t="s">
        <v>89</v>
      </c>
      <c r="C979" t="s">
        <v>76</v>
      </c>
      <c r="D979" s="1">
        <v>43129</v>
      </c>
      <c r="E979" t="s">
        <v>1351</v>
      </c>
      <c r="F979" t="s">
        <v>872</v>
      </c>
    </row>
    <row r="980" spans="1:6" x14ac:dyDescent="0.25">
      <c r="A980">
        <v>1078</v>
      </c>
      <c r="B980" t="s">
        <v>120</v>
      </c>
      <c r="C980" t="s">
        <v>73</v>
      </c>
      <c r="D980" s="1">
        <v>41671</v>
      </c>
      <c r="E980" t="s">
        <v>1352</v>
      </c>
      <c r="F980" t="s">
        <v>871</v>
      </c>
    </row>
    <row r="981" spans="1:6" x14ac:dyDescent="0.25">
      <c r="A981">
        <v>1079</v>
      </c>
      <c r="B981" t="s">
        <v>86</v>
      </c>
      <c r="C981" t="s">
        <v>76</v>
      </c>
      <c r="D981" s="1">
        <v>26014</v>
      </c>
      <c r="E981" t="s">
        <v>1353</v>
      </c>
      <c r="F981" t="s">
        <v>873</v>
      </c>
    </row>
    <row r="982" spans="1:6" x14ac:dyDescent="0.25">
      <c r="A982">
        <v>1080</v>
      </c>
      <c r="B982" t="s">
        <v>78</v>
      </c>
      <c r="C982" t="s">
        <v>73</v>
      </c>
      <c r="D982" s="1">
        <v>18398</v>
      </c>
      <c r="E982" t="s">
        <v>1354</v>
      </c>
      <c r="F982" t="s">
        <v>868</v>
      </c>
    </row>
    <row r="983" spans="1:6" x14ac:dyDescent="0.25">
      <c r="A983">
        <v>1081</v>
      </c>
      <c r="B983" t="s">
        <v>84</v>
      </c>
      <c r="C983" t="s">
        <v>73</v>
      </c>
      <c r="D983" s="1">
        <v>20995</v>
      </c>
      <c r="E983" t="s">
        <v>1355</v>
      </c>
      <c r="F983" t="s">
        <v>870</v>
      </c>
    </row>
    <row r="984" spans="1:6" x14ac:dyDescent="0.25">
      <c r="A984">
        <v>1082</v>
      </c>
      <c r="B984" t="s">
        <v>89</v>
      </c>
      <c r="C984" t="s">
        <v>76</v>
      </c>
      <c r="D984" s="1">
        <v>43503</v>
      </c>
      <c r="E984" t="s">
        <v>1356</v>
      </c>
      <c r="F984" t="s">
        <v>872</v>
      </c>
    </row>
    <row r="985" spans="1:6" x14ac:dyDescent="0.25">
      <c r="A985">
        <v>1083</v>
      </c>
      <c r="B985" t="s">
        <v>127</v>
      </c>
      <c r="C985" t="s">
        <v>76</v>
      </c>
      <c r="D985" s="1">
        <v>40635</v>
      </c>
      <c r="E985" t="s">
        <v>1357</v>
      </c>
      <c r="F985" t="s">
        <v>867</v>
      </c>
    </row>
    <row r="986" spans="1:6" x14ac:dyDescent="0.25">
      <c r="A986">
        <v>1084</v>
      </c>
      <c r="B986" t="s">
        <v>80</v>
      </c>
      <c r="C986" t="s">
        <v>73</v>
      </c>
      <c r="D986" s="1">
        <v>24056</v>
      </c>
      <c r="E986" t="s">
        <v>1358</v>
      </c>
      <c r="F986" t="s">
        <v>871</v>
      </c>
    </row>
    <row r="987" spans="1:6" x14ac:dyDescent="0.25">
      <c r="A987">
        <v>1085</v>
      </c>
      <c r="B987" t="s">
        <v>82</v>
      </c>
      <c r="C987" t="s">
        <v>73</v>
      </c>
      <c r="D987" s="1">
        <v>22225</v>
      </c>
      <c r="E987" t="s">
        <v>1359</v>
      </c>
      <c r="F987" t="s">
        <v>871</v>
      </c>
    </row>
    <row r="988" spans="1:6" x14ac:dyDescent="0.25">
      <c r="A988">
        <v>1086</v>
      </c>
      <c r="B988" t="s">
        <v>92</v>
      </c>
      <c r="C988" t="s">
        <v>76</v>
      </c>
      <c r="D988" s="1">
        <v>27876</v>
      </c>
      <c r="E988" t="s">
        <v>1360</v>
      </c>
      <c r="F988" t="s">
        <v>872</v>
      </c>
    </row>
    <row r="989" spans="1:6" x14ac:dyDescent="0.25">
      <c r="A989">
        <v>1087</v>
      </c>
      <c r="B989" t="s">
        <v>92</v>
      </c>
      <c r="C989" t="s">
        <v>76</v>
      </c>
      <c r="D989" s="1">
        <v>11369</v>
      </c>
      <c r="E989" t="s">
        <v>1361</v>
      </c>
      <c r="F989" t="s">
        <v>868</v>
      </c>
    </row>
    <row r="990" spans="1:6" x14ac:dyDescent="0.25">
      <c r="A990">
        <v>1088</v>
      </c>
      <c r="B990" t="s">
        <v>104</v>
      </c>
      <c r="C990" t="s">
        <v>76</v>
      </c>
      <c r="D990" s="1">
        <v>21731</v>
      </c>
      <c r="E990" t="s">
        <v>1362</v>
      </c>
      <c r="F990" t="s">
        <v>867</v>
      </c>
    </row>
    <row r="991" spans="1:6" x14ac:dyDescent="0.25">
      <c r="A991">
        <v>1089</v>
      </c>
      <c r="B991" t="s">
        <v>120</v>
      </c>
      <c r="C991" t="s">
        <v>73</v>
      </c>
      <c r="D991" s="1">
        <v>42077</v>
      </c>
      <c r="E991" t="s">
        <v>1363</v>
      </c>
      <c r="F991" t="s">
        <v>867</v>
      </c>
    </row>
    <row r="992" spans="1:6" x14ac:dyDescent="0.25">
      <c r="A992">
        <v>1090</v>
      </c>
      <c r="B992" t="s">
        <v>99</v>
      </c>
      <c r="C992" t="s">
        <v>76</v>
      </c>
      <c r="D992" s="1">
        <v>36616</v>
      </c>
      <c r="E992" t="s">
        <v>1364</v>
      </c>
      <c r="F992" t="s">
        <v>872</v>
      </c>
    </row>
    <row r="993" spans="1:6" x14ac:dyDescent="0.25">
      <c r="A993">
        <v>1091</v>
      </c>
      <c r="B993" t="s">
        <v>104</v>
      </c>
      <c r="C993" t="s">
        <v>76</v>
      </c>
      <c r="D993" s="1">
        <v>15062</v>
      </c>
      <c r="E993" t="s">
        <v>1365</v>
      </c>
      <c r="F993" t="s">
        <v>867</v>
      </c>
    </row>
    <row r="994" spans="1:6" x14ac:dyDescent="0.25">
      <c r="A994">
        <v>1092</v>
      </c>
      <c r="B994" t="s">
        <v>82</v>
      </c>
      <c r="C994" t="s">
        <v>73</v>
      </c>
      <c r="D994" s="1">
        <v>25117</v>
      </c>
      <c r="E994" t="s">
        <v>1366</v>
      </c>
      <c r="F994" t="s">
        <v>869</v>
      </c>
    </row>
    <row r="995" spans="1:6" x14ac:dyDescent="0.25">
      <c r="A995">
        <v>1093</v>
      </c>
      <c r="B995" t="s">
        <v>99</v>
      </c>
      <c r="C995" t="s">
        <v>76</v>
      </c>
      <c r="D995" s="1">
        <v>14755</v>
      </c>
      <c r="E995" t="s">
        <v>1367</v>
      </c>
      <c r="F995" t="s">
        <v>870</v>
      </c>
    </row>
    <row r="996" spans="1:6" x14ac:dyDescent="0.25">
      <c r="A996">
        <v>1094</v>
      </c>
      <c r="B996" t="s">
        <v>104</v>
      </c>
      <c r="C996" t="s">
        <v>76</v>
      </c>
      <c r="D996" s="1">
        <v>39776</v>
      </c>
      <c r="E996" t="s">
        <v>1368</v>
      </c>
      <c r="F996" t="s">
        <v>873</v>
      </c>
    </row>
    <row r="997" spans="1:6" x14ac:dyDescent="0.25">
      <c r="A997">
        <v>1095</v>
      </c>
      <c r="B997" t="s">
        <v>120</v>
      </c>
      <c r="C997" t="s">
        <v>73</v>
      </c>
      <c r="D997" s="1">
        <v>42030</v>
      </c>
      <c r="E997" t="s">
        <v>1369</v>
      </c>
      <c r="F997" t="s">
        <v>866</v>
      </c>
    </row>
    <row r="998" spans="1:6" x14ac:dyDescent="0.25">
      <c r="A998">
        <v>1096</v>
      </c>
      <c r="B998" t="s">
        <v>86</v>
      </c>
      <c r="C998" t="s">
        <v>76</v>
      </c>
      <c r="D998" s="1">
        <v>12852</v>
      </c>
      <c r="E998" t="s">
        <v>1370</v>
      </c>
      <c r="F998" t="s">
        <v>866</v>
      </c>
    </row>
    <row r="999" spans="1:6" x14ac:dyDescent="0.25">
      <c r="A999">
        <v>1097</v>
      </c>
      <c r="B999" t="s">
        <v>120</v>
      </c>
      <c r="C999" t="s">
        <v>73</v>
      </c>
      <c r="D999" s="1">
        <v>24324</v>
      </c>
      <c r="E999" t="s">
        <v>1371</v>
      </c>
      <c r="F999" t="s">
        <v>867</v>
      </c>
    </row>
    <row r="1000" spans="1:6" x14ac:dyDescent="0.25">
      <c r="A1000">
        <v>1098</v>
      </c>
      <c r="B1000" t="s">
        <v>80</v>
      </c>
      <c r="C1000" t="s">
        <v>73</v>
      </c>
      <c r="D1000" s="1">
        <v>36421</v>
      </c>
      <c r="E1000" t="s">
        <v>1372</v>
      </c>
      <c r="F1000" t="s">
        <v>868</v>
      </c>
    </row>
    <row r="1001" spans="1:6" x14ac:dyDescent="0.25">
      <c r="A1001">
        <v>1099</v>
      </c>
      <c r="B1001" t="s">
        <v>92</v>
      </c>
      <c r="C1001" t="s">
        <v>76</v>
      </c>
      <c r="D1001" s="1">
        <v>22431</v>
      </c>
      <c r="E1001" t="s">
        <v>1373</v>
      </c>
      <c r="F1001" t="s">
        <v>869</v>
      </c>
    </row>
    <row r="1002" spans="1:6" x14ac:dyDescent="0.25">
      <c r="A1002">
        <v>1100</v>
      </c>
      <c r="B1002" t="s">
        <v>72</v>
      </c>
      <c r="C1002" t="s">
        <v>73</v>
      </c>
      <c r="D1002" s="1">
        <v>12578</v>
      </c>
      <c r="E1002" t="s">
        <v>1374</v>
      </c>
      <c r="F1002" t="s">
        <v>869</v>
      </c>
    </row>
    <row r="1003" spans="1:6" x14ac:dyDescent="0.25">
      <c r="A1003">
        <v>1101</v>
      </c>
      <c r="B1003" t="s">
        <v>82</v>
      </c>
      <c r="C1003" t="s">
        <v>73</v>
      </c>
      <c r="D1003" s="1">
        <v>24656</v>
      </c>
      <c r="E1003" t="s">
        <v>1375</v>
      </c>
      <c r="F1003" t="s">
        <v>870</v>
      </c>
    </row>
    <row r="1004" spans="1:6" x14ac:dyDescent="0.25">
      <c r="A1004">
        <v>1102</v>
      </c>
      <c r="B1004" t="s">
        <v>122</v>
      </c>
      <c r="C1004" t="s">
        <v>73</v>
      </c>
      <c r="D1004" s="1">
        <v>43487</v>
      </c>
      <c r="E1004" t="s">
        <v>1376</v>
      </c>
      <c r="F1004" t="s">
        <v>867</v>
      </c>
    </row>
    <row r="1005" spans="1:6" x14ac:dyDescent="0.25">
      <c r="A1005">
        <v>1103</v>
      </c>
      <c r="B1005" t="s">
        <v>82</v>
      </c>
      <c r="C1005" t="s">
        <v>73</v>
      </c>
      <c r="D1005" s="1">
        <v>13606</v>
      </c>
      <c r="E1005" t="s">
        <v>1377</v>
      </c>
      <c r="F1005" t="s">
        <v>871</v>
      </c>
    </row>
    <row r="1006" spans="1:6" x14ac:dyDescent="0.25">
      <c r="A1006">
        <v>1104</v>
      </c>
      <c r="B1006" t="s">
        <v>75</v>
      </c>
      <c r="C1006" t="s">
        <v>76</v>
      </c>
      <c r="D1006" s="1">
        <v>25941</v>
      </c>
      <c r="E1006" t="s">
        <v>1378</v>
      </c>
      <c r="F1006" t="s">
        <v>866</v>
      </c>
    </row>
    <row r="1007" spans="1:6" x14ac:dyDescent="0.25">
      <c r="A1007">
        <v>1105</v>
      </c>
      <c r="B1007" t="s">
        <v>84</v>
      </c>
      <c r="C1007" t="s">
        <v>73</v>
      </c>
      <c r="D1007" s="1">
        <v>23305</v>
      </c>
      <c r="E1007" t="s">
        <v>1379</v>
      </c>
      <c r="F1007" t="s">
        <v>872</v>
      </c>
    </row>
    <row r="1008" spans="1:6" x14ac:dyDescent="0.25">
      <c r="A1008">
        <v>1106</v>
      </c>
      <c r="B1008" t="s">
        <v>99</v>
      </c>
      <c r="C1008" t="s">
        <v>76</v>
      </c>
      <c r="D1008" s="1">
        <v>13001</v>
      </c>
      <c r="E1008" t="s">
        <v>1380</v>
      </c>
      <c r="F1008" t="s">
        <v>867</v>
      </c>
    </row>
    <row r="1009" spans="1:6" x14ac:dyDescent="0.25">
      <c r="A1009">
        <v>1107</v>
      </c>
      <c r="B1009" t="s">
        <v>120</v>
      </c>
      <c r="C1009" t="s">
        <v>73</v>
      </c>
      <c r="D1009" s="1">
        <v>16104</v>
      </c>
      <c r="E1009" t="s">
        <v>1381</v>
      </c>
      <c r="F1009" t="s">
        <v>869</v>
      </c>
    </row>
    <row r="1010" spans="1:6" x14ac:dyDescent="0.25">
      <c r="A1010">
        <v>1108</v>
      </c>
      <c r="B1010" t="s">
        <v>92</v>
      </c>
      <c r="C1010" t="s">
        <v>76</v>
      </c>
      <c r="D1010" s="1">
        <v>26591</v>
      </c>
      <c r="E1010" t="s">
        <v>1382</v>
      </c>
      <c r="F1010" t="s">
        <v>870</v>
      </c>
    </row>
    <row r="1011" spans="1:6" x14ac:dyDescent="0.25">
      <c r="A1011">
        <v>1109</v>
      </c>
      <c r="B1011" t="s">
        <v>92</v>
      </c>
      <c r="C1011" t="s">
        <v>76</v>
      </c>
      <c r="D1011" s="1">
        <v>36038</v>
      </c>
      <c r="E1011" t="s">
        <v>1383</v>
      </c>
      <c r="F1011" t="s">
        <v>871</v>
      </c>
    </row>
    <row r="1012" spans="1:6" x14ac:dyDescent="0.25">
      <c r="A1012">
        <v>1110</v>
      </c>
      <c r="B1012" t="s">
        <v>89</v>
      </c>
      <c r="C1012" t="s">
        <v>76</v>
      </c>
      <c r="D1012" s="1">
        <v>25157</v>
      </c>
      <c r="E1012" t="s">
        <v>1384</v>
      </c>
      <c r="F1012" t="s">
        <v>867</v>
      </c>
    </row>
    <row r="1013" spans="1:6" x14ac:dyDescent="0.25">
      <c r="A1013">
        <v>1111</v>
      </c>
      <c r="B1013" t="s">
        <v>125</v>
      </c>
      <c r="C1013" t="s">
        <v>76</v>
      </c>
      <c r="D1013" s="1">
        <v>20858</v>
      </c>
      <c r="E1013" t="s">
        <v>1385</v>
      </c>
      <c r="F1013" t="s">
        <v>873</v>
      </c>
    </row>
    <row r="1014" spans="1:6" x14ac:dyDescent="0.25">
      <c r="A1014">
        <v>1112</v>
      </c>
      <c r="B1014" t="s">
        <v>99</v>
      </c>
      <c r="C1014" t="s">
        <v>76</v>
      </c>
      <c r="D1014" s="1">
        <v>15923</v>
      </c>
      <c r="E1014" t="s">
        <v>1386</v>
      </c>
      <c r="F1014" t="s">
        <v>867</v>
      </c>
    </row>
    <row r="1015" spans="1:6" x14ac:dyDescent="0.25">
      <c r="A1015">
        <v>1113</v>
      </c>
      <c r="B1015" t="s">
        <v>99</v>
      </c>
      <c r="C1015" t="s">
        <v>76</v>
      </c>
      <c r="D1015" s="1">
        <v>26744</v>
      </c>
      <c r="E1015" t="s">
        <v>1387</v>
      </c>
      <c r="F1015" t="s">
        <v>866</v>
      </c>
    </row>
    <row r="1016" spans="1:6" x14ac:dyDescent="0.25">
      <c r="A1016">
        <v>1114</v>
      </c>
      <c r="B1016" t="s">
        <v>80</v>
      </c>
      <c r="C1016" t="s">
        <v>73</v>
      </c>
      <c r="D1016" s="1">
        <v>38554</v>
      </c>
      <c r="E1016" t="s">
        <v>1388</v>
      </c>
      <c r="F1016" t="s">
        <v>873</v>
      </c>
    </row>
    <row r="1017" spans="1:6" x14ac:dyDescent="0.25">
      <c r="A1017">
        <v>1115</v>
      </c>
      <c r="B1017" t="s">
        <v>72</v>
      </c>
      <c r="C1017" t="s">
        <v>73</v>
      </c>
      <c r="D1017" s="1">
        <v>44850</v>
      </c>
      <c r="E1017" t="s">
        <v>1389</v>
      </c>
      <c r="F1017" t="s">
        <v>872</v>
      </c>
    </row>
    <row r="1018" spans="1:6" x14ac:dyDescent="0.25">
      <c r="A1018">
        <v>1116</v>
      </c>
      <c r="B1018" t="s">
        <v>86</v>
      </c>
      <c r="C1018" t="s">
        <v>76</v>
      </c>
      <c r="D1018" s="1">
        <v>43306</v>
      </c>
      <c r="E1018" t="s">
        <v>1390</v>
      </c>
      <c r="F1018" t="s">
        <v>873</v>
      </c>
    </row>
    <row r="1019" spans="1:6" x14ac:dyDescent="0.25">
      <c r="A1019">
        <v>1117</v>
      </c>
      <c r="B1019" t="s">
        <v>78</v>
      </c>
      <c r="C1019" t="s">
        <v>73</v>
      </c>
      <c r="D1019" s="1">
        <v>29995</v>
      </c>
      <c r="E1019" t="s">
        <v>1391</v>
      </c>
      <c r="F1019" t="s">
        <v>866</v>
      </c>
    </row>
    <row r="1020" spans="1:6" x14ac:dyDescent="0.25">
      <c r="A1020">
        <v>1118</v>
      </c>
      <c r="B1020" t="s">
        <v>78</v>
      </c>
      <c r="C1020" t="s">
        <v>73</v>
      </c>
      <c r="D1020" s="1">
        <v>36834</v>
      </c>
      <c r="E1020" t="s">
        <v>1392</v>
      </c>
      <c r="F1020" t="s">
        <v>866</v>
      </c>
    </row>
    <row r="1021" spans="1:6" x14ac:dyDescent="0.25">
      <c r="A1021">
        <v>1119</v>
      </c>
      <c r="B1021" t="s">
        <v>99</v>
      </c>
      <c r="C1021" t="s">
        <v>76</v>
      </c>
      <c r="D1021" s="1">
        <v>39201</v>
      </c>
      <c r="E1021" t="s">
        <v>1393</v>
      </c>
      <c r="F1021" t="s">
        <v>872</v>
      </c>
    </row>
    <row r="1022" spans="1:6" x14ac:dyDescent="0.25">
      <c r="A1022">
        <v>1120</v>
      </c>
      <c r="B1022" t="s">
        <v>72</v>
      </c>
      <c r="C1022" t="s">
        <v>73</v>
      </c>
      <c r="D1022" s="1">
        <v>10106</v>
      </c>
      <c r="E1022" t="s">
        <v>1394</v>
      </c>
      <c r="F1022" t="s">
        <v>870</v>
      </c>
    </row>
    <row r="1023" spans="1:6" x14ac:dyDescent="0.25">
      <c r="A1023">
        <v>1121</v>
      </c>
      <c r="B1023" t="s">
        <v>125</v>
      </c>
      <c r="C1023" t="s">
        <v>76</v>
      </c>
      <c r="D1023" s="1">
        <v>24382</v>
      </c>
      <c r="E1023" t="s">
        <v>1395</v>
      </c>
      <c r="F1023" t="s">
        <v>871</v>
      </c>
    </row>
    <row r="1024" spans="1:6" x14ac:dyDescent="0.25">
      <c r="A1024">
        <v>1122</v>
      </c>
      <c r="B1024" t="s">
        <v>72</v>
      </c>
      <c r="C1024" t="s">
        <v>73</v>
      </c>
      <c r="D1024" s="1">
        <v>23656</v>
      </c>
      <c r="E1024" t="s">
        <v>1396</v>
      </c>
      <c r="F1024" t="s">
        <v>868</v>
      </c>
    </row>
    <row r="1025" spans="1:6" x14ac:dyDescent="0.25">
      <c r="A1025">
        <v>1123</v>
      </c>
      <c r="B1025" t="s">
        <v>82</v>
      </c>
      <c r="C1025" t="s">
        <v>73</v>
      </c>
      <c r="D1025" s="1">
        <v>20457</v>
      </c>
      <c r="E1025" t="s">
        <v>1397</v>
      </c>
      <c r="F1025" t="s">
        <v>867</v>
      </c>
    </row>
    <row r="1026" spans="1:6" x14ac:dyDescent="0.25">
      <c r="A1026">
        <v>1124</v>
      </c>
      <c r="B1026" t="s">
        <v>89</v>
      </c>
      <c r="C1026" t="s">
        <v>76</v>
      </c>
      <c r="D1026" s="1">
        <v>13705</v>
      </c>
      <c r="E1026" t="s">
        <v>1398</v>
      </c>
      <c r="F1026" t="s">
        <v>870</v>
      </c>
    </row>
    <row r="1027" spans="1:6" x14ac:dyDescent="0.25">
      <c r="A1027">
        <v>1125</v>
      </c>
      <c r="B1027" t="s">
        <v>125</v>
      </c>
      <c r="C1027" t="s">
        <v>76</v>
      </c>
      <c r="D1027" s="1">
        <v>18519</v>
      </c>
      <c r="E1027" t="s">
        <v>1399</v>
      </c>
      <c r="F1027" t="s">
        <v>866</v>
      </c>
    </row>
    <row r="1028" spans="1:6" x14ac:dyDescent="0.25">
      <c r="A1028">
        <v>1126</v>
      </c>
      <c r="B1028" t="s">
        <v>99</v>
      </c>
      <c r="C1028" t="s">
        <v>76</v>
      </c>
      <c r="D1028" s="1">
        <v>17540</v>
      </c>
      <c r="E1028" t="s">
        <v>1400</v>
      </c>
      <c r="F1028" t="s">
        <v>873</v>
      </c>
    </row>
    <row r="1029" spans="1:6" x14ac:dyDescent="0.25">
      <c r="A1029">
        <v>1127</v>
      </c>
      <c r="B1029" t="s">
        <v>86</v>
      </c>
      <c r="C1029" t="s">
        <v>76</v>
      </c>
      <c r="D1029" s="1">
        <v>31530</v>
      </c>
      <c r="E1029" t="s">
        <v>1401</v>
      </c>
      <c r="F1029" t="s">
        <v>873</v>
      </c>
    </row>
    <row r="1030" spans="1:6" x14ac:dyDescent="0.25">
      <c r="A1030">
        <v>1128</v>
      </c>
      <c r="B1030" t="s">
        <v>86</v>
      </c>
      <c r="C1030" t="s">
        <v>76</v>
      </c>
      <c r="D1030" s="1">
        <v>29024</v>
      </c>
      <c r="E1030" t="s">
        <v>1402</v>
      </c>
      <c r="F1030" t="s">
        <v>869</v>
      </c>
    </row>
    <row r="1031" spans="1:6" x14ac:dyDescent="0.25">
      <c r="A1031">
        <v>1129</v>
      </c>
      <c r="B1031" t="s">
        <v>89</v>
      </c>
      <c r="C1031" t="s">
        <v>76</v>
      </c>
      <c r="D1031" s="1">
        <v>25591</v>
      </c>
      <c r="E1031" t="s">
        <v>1403</v>
      </c>
      <c r="F1031" t="s">
        <v>869</v>
      </c>
    </row>
    <row r="1032" spans="1:6" x14ac:dyDescent="0.25">
      <c r="A1032">
        <v>1130</v>
      </c>
      <c r="B1032" t="s">
        <v>84</v>
      </c>
      <c r="C1032" t="s">
        <v>73</v>
      </c>
      <c r="D1032" s="1">
        <v>25548</v>
      </c>
      <c r="E1032" t="s">
        <v>1404</v>
      </c>
      <c r="F1032" t="s">
        <v>873</v>
      </c>
    </row>
    <row r="1033" spans="1:6" x14ac:dyDescent="0.25">
      <c r="A1033">
        <v>1131</v>
      </c>
      <c r="B1033" t="s">
        <v>82</v>
      </c>
      <c r="C1033" t="s">
        <v>73</v>
      </c>
      <c r="D1033" s="1">
        <v>17698</v>
      </c>
      <c r="E1033" t="s">
        <v>1405</v>
      </c>
      <c r="F1033" t="s">
        <v>869</v>
      </c>
    </row>
    <row r="1034" spans="1:6" x14ac:dyDescent="0.25">
      <c r="A1034">
        <v>1132</v>
      </c>
      <c r="B1034" t="s">
        <v>89</v>
      </c>
      <c r="C1034" t="s">
        <v>76</v>
      </c>
      <c r="D1034" s="1">
        <v>17411</v>
      </c>
      <c r="E1034" t="s">
        <v>1406</v>
      </c>
      <c r="F1034" t="s">
        <v>869</v>
      </c>
    </row>
    <row r="1035" spans="1:6" x14ac:dyDescent="0.25">
      <c r="A1035">
        <v>1133</v>
      </c>
      <c r="B1035" t="s">
        <v>86</v>
      </c>
      <c r="C1035" t="s">
        <v>76</v>
      </c>
      <c r="D1035" s="1">
        <v>43867</v>
      </c>
      <c r="E1035" t="s">
        <v>1407</v>
      </c>
      <c r="F1035" t="s">
        <v>866</v>
      </c>
    </row>
    <row r="1036" spans="1:6" x14ac:dyDescent="0.25">
      <c r="A1036">
        <v>1134</v>
      </c>
      <c r="B1036" t="s">
        <v>120</v>
      </c>
      <c r="C1036" t="s">
        <v>73</v>
      </c>
      <c r="D1036" s="1">
        <v>20726</v>
      </c>
      <c r="E1036" t="s">
        <v>1408</v>
      </c>
      <c r="F1036" t="s">
        <v>867</v>
      </c>
    </row>
    <row r="1037" spans="1:6" x14ac:dyDescent="0.25">
      <c r="A1037">
        <v>1135</v>
      </c>
      <c r="B1037" t="s">
        <v>99</v>
      </c>
      <c r="C1037" t="s">
        <v>76</v>
      </c>
      <c r="D1037" s="1">
        <v>24124</v>
      </c>
      <c r="E1037" t="s">
        <v>1409</v>
      </c>
      <c r="F1037" t="s">
        <v>871</v>
      </c>
    </row>
    <row r="1038" spans="1:6" x14ac:dyDescent="0.25">
      <c r="A1038">
        <v>1136</v>
      </c>
      <c r="B1038" t="s">
        <v>122</v>
      </c>
      <c r="C1038" t="s">
        <v>73</v>
      </c>
      <c r="D1038" s="1">
        <v>17978</v>
      </c>
      <c r="E1038" t="s">
        <v>1410</v>
      </c>
      <c r="F1038" t="s">
        <v>871</v>
      </c>
    </row>
    <row r="1039" spans="1:6" x14ac:dyDescent="0.25">
      <c r="A1039">
        <v>1137</v>
      </c>
      <c r="B1039" t="s">
        <v>99</v>
      </c>
      <c r="C1039" t="s">
        <v>76</v>
      </c>
      <c r="D1039" s="1">
        <v>11392</v>
      </c>
      <c r="E1039" t="s">
        <v>1411</v>
      </c>
      <c r="F1039" t="s">
        <v>873</v>
      </c>
    </row>
    <row r="1040" spans="1:6" x14ac:dyDescent="0.25">
      <c r="A1040">
        <v>1138</v>
      </c>
      <c r="B1040" t="s">
        <v>92</v>
      </c>
      <c r="C1040" t="s">
        <v>76</v>
      </c>
      <c r="D1040" s="1">
        <v>24016</v>
      </c>
      <c r="E1040" t="s">
        <v>1412</v>
      </c>
      <c r="F1040" t="s">
        <v>869</v>
      </c>
    </row>
    <row r="1041" spans="1:6" x14ac:dyDescent="0.25">
      <c r="A1041">
        <v>1139</v>
      </c>
      <c r="B1041" t="s">
        <v>89</v>
      </c>
      <c r="C1041" t="s">
        <v>76</v>
      </c>
      <c r="D1041" s="1">
        <v>14937</v>
      </c>
      <c r="E1041" t="s">
        <v>1413</v>
      </c>
      <c r="F1041" t="s">
        <v>866</v>
      </c>
    </row>
    <row r="1042" spans="1:6" x14ac:dyDescent="0.25">
      <c r="A1042">
        <v>1140</v>
      </c>
      <c r="B1042" t="s">
        <v>80</v>
      </c>
      <c r="C1042" t="s">
        <v>73</v>
      </c>
      <c r="D1042" s="1">
        <v>36537</v>
      </c>
      <c r="E1042" t="s">
        <v>1414</v>
      </c>
      <c r="F1042" t="s">
        <v>869</v>
      </c>
    </row>
    <row r="1043" spans="1:6" x14ac:dyDescent="0.25">
      <c r="A1043">
        <v>1141</v>
      </c>
      <c r="B1043" t="s">
        <v>82</v>
      </c>
      <c r="C1043" t="s">
        <v>73</v>
      </c>
      <c r="D1043" s="1">
        <v>38564</v>
      </c>
      <c r="E1043" t="s">
        <v>1415</v>
      </c>
      <c r="F1043" t="s">
        <v>873</v>
      </c>
    </row>
    <row r="1044" spans="1:6" x14ac:dyDescent="0.25">
      <c r="A1044">
        <v>1142</v>
      </c>
      <c r="B1044" t="s">
        <v>94</v>
      </c>
      <c r="C1044" t="s">
        <v>73</v>
      </c>
      <c r="D1044" s="1">
        <v>42839</v>
      </c>
      <c r="E1044" t="s">
        <v>1416</v>
      </c>
      <c r="F1044" t="s">
        <v>870</v>
      </c>
    </row>
    <row r="1045" spans="1:6" x14ac:dyDescent="0.25">
      <c r="A1045">
        <v>1143</v>
      </c>
      <c r="B1045" t="s">
        <v>78</v>
      </c>
      <c r="C1045" t="s">
        <v>73</v>
      </c>
      <c r="D1045" s="1">
        <v>39035</v>
      </c>
      <c r="E1045" t="s">
        <v>1417</v>
      </c>
      <c r="F1045" t="s">
        <v>868</v>
      </c>
    </row>
    <row r="1046" spans="1:6" x14ac:dyDescent="0.25">
      <c r="A1046">
        <v>1144</v>
      </c>
      <c r="B1046" t="s">
        <v>104</v>
      </c>
      <c r="C1046" t="s">
        <v>76</v>
      </c>
      <c r="D1046" s="1">
        <v>35061</v>
      </c>
      <c r="E1046" t="s">
        <v>1418</v>
      </c>
      <c r="F1046" t="s">
        <v>868</v>
      </c>
    </row>
    <row r="1047" spans="1:6" x14ac:dyDescent="0.25">
      <c r="A1047">
        <v>1145</v>
      </c>
      <c r="B1047" t="s">
        <v>82</v>
      </c>
      <c r="C1047" t="s">
        <v>73</v>
      </c>
      <c r="D1047" s="1">
        <v>36966</v>
      </c>
      <c r="E1047" t="s">
        <v>1419</v>
      </c>
      <c r="F1047" t="s">
        <v>872</v>
      </c>
    </row>
    <row r="1048" spans="1:6" x14ac:dyDescent="0.25">
      <c r="A1048">
        <v>1146</v>
      </c>
      <c r="B1048" t="s">
        <v>82</v>
      </c>
      <c r="C1048" t="s">
        <v>73</v>
      </c>
      <c r="D1048" s="1">
        <v>23659</v>
      </c>
      <c r="E1048" t="s">
        <v>1420</v>
      </c>
      <c r="F1048" t="s">
        <v>866</v>
      </c>
    </row>
    <row r="1049" spans="1:6" x14ac:dyDescent="0.25">
      <c r="A1049">
        <v>1147</v>
      </c>
      <c r="B1049" t="s">
        <v>122</v>
      </c>
      <c r="C1049" t="s">
        <v>73</v>
      </c>
      <c r="D1049" s="1">
        <v>35656</v>
      </c>
      <c r="E1049" t="s">
        <v>1421</v>
      </c>
      <c r="F1049" t="s">
        <v>869</v>
      </c>
    </row>
    <row r="1050" spans="1:6" x14ac:dyDescent="0.25">
      <c r="A1050">
        <v>1148</v>
      </c>
      <c r="B1050" t="s">
        <v>72</v>
      </c>
      <c r="C1050" t="s">
        <v>73</v>
      </c>
      <c r="D1050" s="1">
        <v>21617</v>
      </c>
      <c r="E1050" t="s">
        <v>1422</v>
      </c>
      <c r="F1050" t="s">
        <v>873</v>
      </c>
    </row>
    <row r="1051" spans="1:6" x14ac:dyDescent="0.25">
      <c r="A1051">
        <v>1149</v>
      </c>
      <c r="B1051" t="s">
        <v>120</v>
      </c>
      <c r="C1051" t="s">
        <v>73</v>
      </c>
      <c r="D1051" s="1">
        <v>18381</v>
      </c>
      <c r="E1051" t="s">
        <v>1423</v>
      </c>
      <c r="F1051" t="s">
        <v>873</v>
      </c>
    </row>
    <row r="1052" spans="1:6" x14ac:dyDescent="0.25">
      <c r="A1052">
        <v>1150</v>
      </c>
      <c r="B1052" t="s">
        <v>82</v>
      </c>
      <c r="C1052" t="s">
        <v>73</v>
      </c>
      <c r="D1052" s="1">
        <v>42444</v>
      </c>
      <c r="E1052" t="s">
        <v>1424</v>
      </c>
      <c r="F1052" t="s">
        <v>870</v>
      </c>
    </row>
    <row r="1053" spans="1:6" x14ac:dyDescent="0.25">
      <c r="A1053">
        <v>1151</v>
      </c>
      <c r="B1053" t="s">
        <v>82</v>
      </c>
      <c r="C1053" t="s">
        <v>73</v>
      </c>
      <c r="D1053" s="1">
        <v>33255</v>
      </c>
      <c r="E1053" t="s">
        <v>1425</v>
      </c>
      <c r="F1053" t="s">
        <v>867</v>
      </c>
    </row>
    <row r="1054" spans="1:6" x14ac:dyDescent="0.25">
      <c r="A1054">
        <v>1152</v>
      </c>
      <c r="B1054" t="s">
        <v>75</v>
      </c>
      <c r="C1054" t="s">
        <v>76</v>
      </c>
      <c r="D1054" s="1">
        <v>39648</v>
      </c>
      <c r="E1054" t="s">
        <v>1426</v>
      </c>
      <c r="F1054" t="s">
        <v>869</v>
      </c>
    </row>
    <row r="1055" spans="1:6" x14ac:dyDescent="0.25">
      <c r="A1055">
        <v>1153</v>
      </c>
      <c r="B1055" t="s">
        <v>92</v>
      </c>
      <c r="C1055" t="s">
        <v>76</v>
      </c>
      <c r="D1055" s="1">
        <v>26914</v>
      </c>
      <c r="E1055" t="s">
        <v>1427</v>
      </c>
      <c r="F1055" t="s">
        <v>870</v>
      </c>
    </row>
    <row r="1056" spans="1:6" x14ac:dyDescent="0.25">
      <c r="A1056">
        <v>1154</v>
      </c>
      <c r="B1056" t="s">
        <v>127</v>
      </c>
      <c r="C1056" t="s">
        <v>76</v>
      </c>
      <c r="D1056" s="1">
        <v>34167</v>
      </c>
      <c r="E1056" t="s">
        <v>1428</v>
      </c>
      <c r="F1056" t="s">
        <v>868</v>
      </c>
    </row>
    <row r="1057" spans="1:6" x14ac:dyDescent="0.25">
      <c r="A1057">
        <v>1155</v>
      </c>
      <c r="B1057" t="s">
        <v>99</v>
      </c>
      <c r="C1057" t="s">
        <v>76</v>
      </c>
      <c r="D1057" s="1">
        <v>36411</v>
      </c>
      <c r="E1057" t="s">
        <v>1429</v>
      </c>
      <c r="F1057" t="s">
        <v>869</v>
      </c>
    </row>
    <row r="1058" spans="1:6" x14ac:dyDescent="0.25">
      <c r="A1058">
        <v>1156</v>
      </c>
      <c r="B1058" t="s">
        <v>72</v>
      </c>
      <c r="C1058" t="s">
        <v>73</v>
      </c>
      <c r="D1058" s="1">
        <v>33696</v>
      </c>
      <c r="E1058" t="s">
        <v>1430</v>
      </c>
      <c r="F1058" t="s">
        <v>870</v>
      </c>
    </row>
    <row r="1059" spans="1:6" x14ac:dyDescent="0.25">
      <c r="A1059">
        <v>1157</v>
      </c>
      <c r="B1059" t="s">
        <v>86</v>
      </c>
      <c r="C1059" t="s">
        <v>76</v>
      </c>
      <c r="D1059" s="1">
        <v>35207</v>
      </c>
      <c r="E1059" t="s">
        <v>1431</v>
      </c>
      <c r="F1059" t="s">
        <v>866</v>
      </c>
    </row>
    <row r="1060" spans="1:6" x14ac:dyDescent="0.25">
      <c r="A1060">
        <v>1158</v>
      </c>
      <c r="B1060" t="s">
        <v>104</v>
      </c>
      <c r="C1060" t="s">
        <v>76</v>
      </c>
      <c r="D1060" s="1">
        <v>32981</v>
      </c>
      <c r="E1060" t="s">
        <v>1432</v>
      </c>
      <c r="F1060" t="s">
        <v>867</v>
      </c>
    </row>
    <row r="1061" spans="1:6" x14ac:dyDescent="0.25">
      <c r="A1061">
        <v>1159</v>
      </c>
      <c r="B1061" t="s">
        <v>84</v>
      </c>
      <c r="C1061" t="s">
        <v>73</v>
      </c>
      <c r="D1061" s="1">
        <v>29125</v>
      </c>
      <c r="E1061" t="s">
        <v>1433</v>
      </c>
      <c r="F1061" t="s">
        <v>866</v>
      </c>
    </row>
    <row r="1062" spans="1:6" x14ac:dyDescent="0.25">
      <c r="A1062">
        <v>1160</v>
      </c>
      <c r="B1062" t="s">
        <v>82</v>
      </c>
      <c r="C1062" t="s">
        <v>73</v>
      </c>
      <c r="D1062" s="1">
        <v>20639</v>
      </c>
      <c r="E1062" t="s">
        <v>1434</v>
      </c>
      <c r="F1062" t="s">
        <v>870</v>
      </c>
    </row>
    <row r="1063" spans="1:6" x14ac:dyDescent="0.25">
      <c r="A1063">
        <v>1161</v>
      </c>
      <c r="B1063" t="s">
        <v>92</v>
      </c>
      <c r="C1063" t="s">
        <v>76</v>
      </c>
      <c r="D1063" s="1">
        <v>39558</v>
      </c>
      <c r="E1063" t="s">
        <v>1435</v>
      </c>
      <c r="F1063" t="s">
        <v>873</v>
      </c>
    </row>
    <row r="1064" spans="1:6" x14ac:dyDescent="0.25">
      <c r="A1064">
        <v>1162</v>
      </c>
      <c r="B1064" t="s">
        <v>84</v>
      </c>
      <c r="C1064" t="s">
        <v>73</v>
      </c>
      <c r="D1064" s="1">
        <v>40395</v>
      </c>
      <c r="E1064" t="s">
        <v>1436</v>
      </c>
      <c r="F1064" t="s">
        <v>869</v>
      </c>
    </row>
    <row r="1065" spans="1:6" x14ac:dyDescent="0.25">
      <c r="A1065">
        <v>1163</v>
      </c>
      <c r="B1065" t="s">
        <v>125</v>
      </c>
      <c r="C1065" t="s">
        <v>76</v>
      </c>
      <c r="D1065" s="1">
        <v>44621</v>
      </c>
      <c r="E1065" t="s">
        <v>1437</v>
      </c>
      <c r="F1065" t="s">
        <v>870</v>
      </c>
    </row>
    <row r="1066" spans="1:6" x14ac:dyDescent="0.25">
      <c r="A1066">
        <v>1164</v>
      </c>
      <c r="B1066" t="s">
        <v>82</v>
      </c>
      <c r="C1066" t="s">
        <v>73</v>
      </c>
      <c r="D1066" s="1">
        <v>37952</v>
      </c>
      <c r="E1066" t="s">
        <v>1438</v>
      </c>
      <c r="F1066" t="s">
        <v>870</v>
      </c>
    </row>
    <row r="1067" spans="1:6" x14ac:dyDescent="0.25">
      <c r="A1067">
        <v>1165</v>
      </c>
      <c r="B1067" t="s">
        <v>86</v>
      </c>
      <c r="C1067" t="s">
        <v>76</v>
      </c>
      <c r="D1067" s="1">
        <v>25997</v>
      </c>
      <c r="E1067" t="s">
        <v>1439</v>
      </c>
      <c r="F1067" t="s">
        <v>872</v>
      </c>
    </row>
    <row r="1068" spans="1:6" x14ac:dyDescent="0.25">
      <c r="A1068">
        <v>1166</v>
      </c>
      <c r="B1068" t="s">
        <v>89</v>
      </c>
      <c r="C1068" t="s">
        <v>76</v>
      </c>
      <c r="D1068" s="1">
        <v>28874</v>
      </c>
      <c r="E1068" t="s">
        <v>1440</v>
      </c>
      <c r="F1068" t="s">
        <v>872</v>
      </c>
    </row>
    <row r="1069" spans="1:6" x14ac:dyDescent="0.25">
      <c r="A1069">
        <v>1167</v>
      </c>
      <c r="B1069" t="s">
        <v>78</v>
      </c>
      <c r="C1069" t="s">
        <v>73</v>
      </c>
      <c r="D1069" s="1">
        <v>20782</v>
      </c>
      <c r="E1069" t="s">
        <v>1441</v>
      </c>
      <c r="F1069" t="s">
        <v>871</v>
      </c>
    </row>
    <row r="1070" spans="1:6" x14ac:dyDescent="0.25">
      <c r="A1070">
        <v>1168</v>
      </c>
      <c r="B1070" t="s">
        <v>125</v>
      </c>
      <c r="C1070" t="s">
        <v>76</v>
      </c>
      <c r="D1070" s="1">
        <v>39985</v>
      </c>
      <c r="E1070" t="s">
        <v>1442</v>
      </c>
      <c r="F1070" t="s">
        <v>872</v>
      </c>
    </row>
    <row r="1071" spans="1:6" x14ac:dyDescent="0.25">
      <c r="A1071">
        <v>1169</v>
      </c>
      <c r="B1071" t="s">
        <v>94</v>
      </c>
      <c r="C1071" t="s">
        <v>73</v>
      </c>
      <c r="D1071" s="1">
        <v>44331</v>
      </c>
      <c r="E1071" t="s">
        <v>1443</v>
      </c>
      <c r="F1071" t="s">
        <v>867</v>
      </c>
    </row>
    <row r="1072" spans="1:6" x14ac:dyDescent="0.25">
      <c r="A1072">
        <v>1170</v>
      </c>
      <c r="B1072" t="s">
        <v>94</v>
      </c>
      <c r="C1072" t="s">
        <v>73</v>
      </c>
      <c r="D1072" s="1">
        <v>44486</v>
      </c>
      <c r="E1072" t="s">
        <v>1444</v>
      </c>
      <c r="F1072" t="s">
        <v>869</v>
      </c>
    </row>
    <row r="1073" spans="1:6" x14ac:dyDescent="0.25">
      <c r="A1073">
        <v>1171</v>
      </c>
      <c r="B1073" t="s">
        <v>122</v>
      </c>
      <c r="C1073" t="s">
        <v>73</v>
      </c>
      <c r="D1073" s="1">
        <v>28410</v>
      </c>
      <c r="E1073" t="s">
        <v>1445</v>
      </c>
      <c r="F1073" t="s">
        <v>868</v>
      </c>
    </row>
    <row r="1074" spans="1:6" x14ac:dyDescent="0.25">
      <c r="A1074">
        <v>1172</v>
      </c>
      <c r="B1074" t="s">
        <v>92</v>
      </c>
      <c r="C1074" t="s">
        <v>76</v>
      </c>
      <c r="D1074" s="1">
        <v>39969</v>
      </c>
      <c r="E1074" t="s">
        <v>1446</v>
      </c>
      <c r="F1074" t="s">
        <v>867</v>
      </c>
    </row>
    <row r="1075" spans="1:6" x14ac:dyDescent="0.25">
      <c r="A1075">
        <v>1173</v>
      </c>
      <c r="B1075" t="s">
        <v>84</v>
      </c>
      <c r="C1075" t="s">
        <v>73</v>
      </c>
      <c r="D1075" s="1">
        <v>30999</v>
      </c>
      <c r="E1075" t="s">
        <v>1447</v>
      </c>
      <c r="F1075" t="s">
        <v>870</v>
      </c>
    </row>
    <row r="1076" spans="1:6" x14ac:dyDescent="0.25">
      <c r="A1076">
        <v>1174</v>
      </c>
      <c r="B1076" t="s">
        <v>89</v>
      </c>
      <c r="C1076" t="s">
        <v>76</v>
      </c>
      <c r="D1076" s="1">
        <v>29385</v>
      </c>
      <c r="E1076" t="s">
        <v>1448</v>
      </c>
      <c r="F1076" t="s">
        <v>867</v>
      </c>
    </row>
    <row r="1077" spans="1:6" x14ac:dyDescent="0.25">
      <c r="A1077">
        <v>1175</v>
      </c>
      <c r="B1077" t="s">
        <v>84</v>
      </c>
      <c r="C1077" t="s">
        <v>73</v>
      </c>
      <c r="D1077" s="1">
        <v>39436</v>
      </c>
      <c r="E1077" t="s">
        <v>1449</v>
      </c>
      <c r="F1077" t="s">
        <v>868</v>
      </c>
    </row>
    <row r="1078" spans="1:6" x14ac:dyDescent="0.25">
      <c r="A1078">
        <v>1176</v>
      </c>
      <c r="B1078" t="s">
        <v>104</v>
      </c>
      <c r="C1078" t="s">
        <v>76</v>
      </c>
      <c r="D1078" s="1">
        <v>28597</v>
      </c>
      <c r="E1078" t="s">
        <v>1450</v>
      </c>
      <c r="F1078" t="s">
        <v>871</v>
      </c>
    </row>
    <row r="1079" spans="1:6" x14ac:dyDescent="0.25">
      <c r="A1079">
        <v>1177</v>
      </c>
      <c r="B1079" t="s">
        <v>94</v>
      </c>
      <c r="C1079" t="s">
        <v>73</v>
      </c>
      <c r="D1079" s="1">
        <v>12066</v>
      </c>
      <c r="E1079" t="s">
        <v>1451</v>
      </c>
      <c r="F1079" t="s">
        <v>872</v>
      </c>
    </row>
    <row r="1080" spans="1:6" x14ac:dyDescent="0.25">
      <c r="A1080">
        <v>1178</v>
      </c>
      <c r="B1080" t="s">
        <v>92</v>
      </c>
      <c r="C1080" t="s">
        <v>76</v>
      </c>
      <c r="D1080" s="1">
        <v>20569</v>
      </c>
      <c r="E1080" t="s">
        <v>1452</v>
      </c>
      <c r="F1080" t="s">
        <v>868</v>
      </c>
    </row>
    <row r="1081" spans="1:6" x14ac:dyDescent="0.25">
      <c r="A1081">
        <v>1179</v>
      </c>
      <c r="B1081" t="s">
        <v>80</v>
      </c>
      <c r="C1081" t="s">
        <v>73</v>
      </c>
      <c r="D1081" s="1">
        <v>35633</v>
      </c>
      <c r="E1081" t="s">
        <v>1453</v>
      </c>
      <c r="F1081" t="s">
        <v>867</v>
      </c>
    </row>
    <row r="1082" spans="1:6" x14ac:dyDescent="0.25">
      <c r="A1082">
        <v>1180</v>
      </c>
      <c r="B1082" t="s">
        <v>86</v>
      </c>
      <c r="C1082" t="s">
        <v>76</v>
      </c>
      <c r="D1082" s="1">
        <v>11213</v>
      </c>
      <c r="E1082" t="s">
        <v>1454</v>
      </c>
      <c r="F1082" t="s">
        <v>868</v>
      </c>
    </row>
    <row r="1083" spans="1:6" x14ac:dyDescent="0.25">
      <c r="A1083">
        <v>1181</v>
      </c>
      <c r="B1083" t="s">
        <v>99</v>
      </c>
      <c r="C1083" t="s">
        <v>76</v>
      </c>
      <c r="D1083" s="1">
        <v>42573</v>
      </c>
      <c r="E1083" t="s">
        <v>1455</v>
      </c>
      <c r="F1083" t="s">
        <v>869</v>
      </c>
    </row>
    <row r="1084" spans="1:6" x14ac:dyDescent="0.25">
      <c r="A1084">
        <v>1182</v>
      </c>
      <c r="B1084" t="s">
        <v>122</v>
      </c>
      <c r="C1084" t="s">
        <v>73</v>
      </c>
      <c r="D1084" s="1">
        <v>29550</v>
      </c>
      <c r="E1084" t="s">
        <v>1456</v>
      </c>
      <c r="F1084" t="s">
        <v>868</v>
      </c>
    </row>
    <row r="1085" spans="1:6" x14ac:dyDescent="0.25">
      <c r="A1085">
        <v>1183</v>
      </c>
      <c r="B1085" t="s">
        <v>99</v>
      </c>
      <c r="C1085" t="s">
        <v>76</v>
      </c>
      <c r="D1085" s="1">
        <v>32349</v>
      </c>
      <c r="E1085" t="s">
        <v>1457</v>
      </c>
      <c r="F1085" t="s">
        <v>871</v>
      </c>
    </row>
    <row r="1086" spans="1:6" x14ac:dyDescent="0.25">
      <c r="A1086">
        <v>1184</v>
      </c>
      <c r="B1086" t="s">
        <v>89</v>
      </c>
      <c r="C1086" t="s">
        <v>76</v>
      </c>
      <c r="D1086" s="1">
        <v>22070</v>
      </c>
      <c r="E1086" t="s">
        <v>1458</v>
      </c>
      <c r="F1086" t="s">
        <v>871</v>
      </c>
    </row>
    <row r="1087" spans="1:6" x14ac:dyDescent="0.25">
      <c r="A1087">
        <v>1185</v>
      </c>
      <c r="B1087" t="s">
        <v>72</v>
      </c>
      <c r="C1087" t="s">
        <v>73</v>
      </c>
      <c r="D1087" s="1">
        <v>37581</v>
      </c>
      <c r="E1087" t="s">
        <v>1459</v>
      </c>
      <c r="F1087" t="s">
        <v>866</v>
      </c>
    </row>
    <row r="1088" spans="1:6" x14ac:dyDescent="0.25">
      <c r="A1088">
        <v>1186</v>
      </c>
      <c r="B1088" t="s">
        <v>92</v>
      </c>
      <c r="C1088" t="s">
        <v>76</v>
      </c>
      <c r="D1088" s="1">
        <v>20031</v>
      </c>
      <c r="E1088" t="s">
        <v>1460</v>
      </c>
      <c r="F1088" t="s">
        <v>867</v>
      </c>
    </row>
    <row r="1089" spans="1:6" x14ac:dyDescent="0.25">
      <c r="A1089">
        <v>1187</v>
      </c>
      <c r="B1089" t="s">
        <v>94</v>
      </c>
      <c r="C1089" t="s">
        <v>73</v>
      </c>
      <c r="D1089" s="1">
        <v>11000</v>
      </c>
      <c r="E1089" t="s">
        <v>1461</v>
      </c>
      <c r="F1089" t="s">
        <v>870</v>
      </c>
    </row>
    <row r="1090" spans="1:6" x14ac:dyDescent="0.25">
      <c r="A1090">
        <v>1188</v>
      </c>
      <c r="B1090" t="s">
        <v>78</v>
      </c>
      <c r="C1090" t="s">
        <v>73</v>
      </c>
      <c r="D1090" s="1">
        <v>27989</v>
      </c>
      <c r="E1090" t="s">
        <v>1462</v>
      </c>
      <c r="F1090" t="s">
        <v>868</v>
      </c>
    </row>
    <row r="1091" spans="1:6" x14ac:dyDescent="0.25">
      <c r="A1091">
        <v>1189</v>
      </c>
      <c r="B1091" t="s">
        <v>92</v>
      </c>
      <c r="C1091" t="s">
        <v>76</v>
      </c>
      <c r="D1091" s="1">
        <v>38513</v>
      </c>
      <c r="E1091" t="s">
        <v>1463</v>
      </c>
      <c r="F1091" t="s">
        <v>866</v>
      </c>
    </row>
    <row r="1092" spans="1:6" x14ac:dyDescent="0.25">
      <c r="A1092">
        <v>1190</v>
      </c>
      <c r="B1092" t="s">
        <v>89</v>
      </c>
      <c r="C1092" t="s">
        <v>76</v>
      </c>
      <c r="D1092" s="1">
        <v>28726</v>
      </c>
      <c r="E1092" t="s">
        <v>1464</v>
      </c>
      <c r="F1092" t="s">
        <v>868</v>
      </c>
    </row>
    <row r="1093" spans="1:6" x14ac:dyDescent="0.25">
      <c r="A1093">
        <v>1191</v>
      </c>
      <c r="B1093" t="s">
        <v>120</v>
      </c>
      <c r="C1093" t="s">
        <v>73</v>
      </c>
      <c r="D1093" s="1">
        <v>39625</v>
      </c>
      <c r="E1093" t="s">
        <v>1465</v>
      </c>
      <c r="F1093" t="s">
        <v>866</v>
      </c>
    </row>
    <row r="1094" spans="1:6" x14ac:dyDescent="0.25">
      <c r="A1094">
        <v>1192</v>
      </c>
      <c r="B1094" t="s">
        <v>80</v>
      </c>
      <c r="C1094" t="s">
        <v>73</v>
      </c>
      <c r="D1094" s="1">
        <v>15180</v>
      </c>
      <c r="E1094" t="s">
        <v>1466</v>
      </c>
      <c r="F1094" t="s">
        <v>869</v>
      </c>
    </row>
    <row r="1095" spans="1:6" x14ac:dyDescent="0.25">
      <c r="A1095">
        <v>1193</v>
      </c>
      <c r="B1095" t="s">
        <v>92</v>
      </c>
      <c r="C1095" t="s">
        <v>76</v>
      </c>
      <c r="D1095" s="1">
        <v>13445</v>
      </c>
      <c r="E1095" t="s">
        <v>1467</v>
      </c>
      <c r="F1095" t="s">
        <v>871</v>
      </c>
    </row>
    <row r="1096" spans="1:6" x14ac:dyDescent="0.25">
      <c r="A1096">
        <v>1194</v>
      </c>
      <c r="B1096" t="s">
        <v>75</v>
      </c>
      <c r="C1096" t="s">
        <v>76</v>
      </c>
      <c r="D1096" s="1">
        <v>11024</v>
      </c>
      <c r="E1096" t="s">
        <v>1468</v>
      </c>
      <c r="F1096" t="s">
        <v>871</v>
      </c>
    </row>
    <row r="1097" spans="1:6" x14ac:dyDescent="0.25">
      <c r="A1097">
        <v>1195</v>
      </c>
      <c r="B1097" t="s">
        <v>104</v>
      </c>
      <c r="C1097" t="s">
        <v>76</v>
      </c>
      <c r="D1097" s="1">
        <v>20167</v>
      </c>
      <c r="E1097" t="s">
        <v>1469</v>
      </c>
      <c r="F1097" t="s">
        <v>868</v>
      </c>
    </row>
    <row r="1098" spans="1:6" x14ac:dyDescent="0.25">
      <c r="A1098">
        <v>1196</v>
      </c>
      <c r="B1098" t="s">
        <v>75</v>
      </c>
      <c r="C1098" t="s">
        <v>76</v>
      </c>
      <c r="D1098" s="1">
        <v>42693</v>
      </c>
      <c r="E1098" t="s">
        <v>1470</v>
      </c>
      <c r="F1098" t="s">
        <v>866</v>
      </c>
    </row>
    <row r="1099" spans="1:6" x14ac:dyDescent="0.25">
      <c r="A1099">
        <v>1197</v>
      </c>
      <c r="B1099" t="s">
        <v>99</v>
      </c>
      <c r="C1099" t="s">
        <v>76</v>
      </c>
      <c r="D1099" s="1">
        <v>17353</v>
      </c>
      <c r="E1099" t="s">
        <v>1471</v>
      </c>
      <c r="F1099" t="s">
        <v>867</v>
      </c>
    </row>
    <row r="1100" spans="1:6" x14ac:dyDescent="0.25">
      <c r="A1100">
        <v>1198</v>
      </c>
      <c r="B1100" t="s">
        <v>84</v>
      </c>
      <c r="C1100" t="s">
        <v>73</v>
      </c>
      <c r="D1100" s="1">
        <v>44665</v>
      </c>
      <c r="E1100" t="s">
        <v>1472</v>
      </c>
      <c r="F1100" t="s">
        <v>873</v>
      </c>
    </row>
    <row r="1101" spans="1:6" x14ac:dyDescent="0.25">
      <c r="A1101">
        <v>1199</v>
      </c>
      <c r="B1101" t="s">
        <v>127</v>
      </c>
      <c r="C1101" t="s">
        <v>76</v>
      </c>
      <c r="D1101" s="1">
        <v>36087</v>
      </c>
      <c r="E1101" t="s">
        <v>1473</v>
      </c>
      <c r="F1101" t="s">
        <v>868</v>
      </c>
    </row>
    <row r="1102" spans="1:6" x14ac:dyDescent="0.25">
      <c r="A1102">
        <v>1200</v>
      </c>
      <c r="B1102" t="s">
        <v>120</v>
      </c>
      <c r="C1102" t="s">
        <v>73</v>
      </c>
      <c r="D1102" s="1">
        <v>44206</v>
      </c>
      <c r="E1102" t="s">
        <v>1474</v>
      </c>
      <c r="F1102" t="s">
        <v>867</v>
      </c>
    </row>
    <row r="1103" spans="1:6" x14ac:dyDescent="0.25">
      <c r="A1103">
        <v>1201</v>
      </c>
      <c r="B1103" t="s">
        <v>86</v>
      </c>
      <c r="C1103" t="s">
        <v>76</v>
      </c>
      <c r="D1103" s="1">
        <v>19085</v>
      </c>
      <c r="E1103" t="s">
        <v>1475</v>
      </c>
      <c r="F1103" t="s">
        <v>873</v>
      </c>
    </row>
    <row r="1104" spans="1:6" x14ac:dyDescent="0.25">
      <c r="A1104">
        <v>1202</v>
      </c>
      <c r="B1104" t="s">
        <v>84</v>
      </c>
      <c r="C1104" t="s">
        <v>73</v>
      </c>
      <c r="D1104" s="1">
        <v>27416</v>
      </c>
      <c r="E1104" t="s">
        <v>1476</v>
      </c>
      <c r="F1104" t="s">
        <v>870</v>
      </c>
    </row>
    <row r="1105" spans="1:6" x14ac:dyDescent="0.25">
      <c r="A1105">
        <v>1203</v>
      </c>
      <c r="B1105" t="s">
        <v>127</v>
      </c>
      <c r="C1105" t="s">
        <v>76</v>
      </c>
      <c r="D1105" s="1">
        <v>14705</v>
      </c>
      <c r="E1105" t="s">
        <v>1477</v>
      </c>
      <c r="F1105" t="s">
        <v>869</v>
      </c>
    </row>
    <row r="1106" spans="1:6" x14ac:dyDescent="0.25">
      <c r="A1106">
        <v>1204</v>
      </c>
      <c r="B1106" t="s">
        <v>84</v>
      </c>
      <c r="C1106" t="s">
        <v>73</v>
      </c>
      <c r="D1106" s="1">
        <v>41612</v>
      </c>
      <c r="E1106" t="s">
        <v>1478</v>
      </c>
      <c r="F1106" t="s">
        <v>870</v>
      </c>
    </row>
    <row r="1107" spans="1:6" x14ac:dyDescent="0.25">
      <c r="A1107">
        <v>1205</v>
      </c>
      <c r="B1107" t="s">
        <v>127</v>
      </c>
      <c r="C1107" t="s">
        <v>76</v>
      </c>
      <c r="D1107" s="1">
        <v>36747</v>
      </c>
      <c r="E1107" t="s">
        <v>1479</v>
      </c>
      <c r="F1107" t="s">
        <v>873</v>
      </c>
    </row>
    <row r="1108" spans="1:6" x14ac:dyDescent="0.25">
      <c r="A1108">
        <v>1206</v>
      </c>
      <c r="B1108" t="s">
        <v>104</v>
      </c>
      <c r="C1108" t="s">
        <v>76</v>
      </c>
      <c r="D1108" s="1">
        <v>44230</v>
      </c>
      <c r="E1108" t="s">
        <v>1480</v>
      </c>
      <c r="F1108" t="s">
        <v>871</v>
      </c>
    </row>
    <row r="1109" spans="1:6" x14ac:dyDescent="0.25">
      <c r="A1109">
        <v>1207</v>
      </c>
      <c r="B1109" t="s">
        <v>104</v>
      </c>
      <c r="C1109" t="s">
        <v>76</v>
      </c>
      <c r="D1109" s="1">
        <v>30092</v>
      </c>
      <c r="E1109" t="s">
        <v>1481</v>
      </c>
      <c r="F1109" t="s">
        <v>872</v>
      </c>
    </row>
    <row r="1110" spans="1:6" x14ac:dyDescent="0.25">
      <c r="A1110">
        <v>1208</v>
      </c>
      <c r="B1110" t="s">
        <v>80</v>
      </c>
      <c r="C1110" t="s">
        <v>73</v>
      </c>
      <c r="D1110" s="1">
        <v>26321</v>
      </c>
      <c r="E1110" t="s">
        <v>1482</v>
      </c>
      <c r="F1110" t="s">
        <v>867</v>
      </c>
    </row>
    <row r="1111" spans="1:6" x14ac:dyDescent="0.25">
      <c r="A1111">
        <v>1209</v>
      </c>
      <c r="B1111" t="s">
        <v>94</v>
      </c>
      <c r="C1111" t="s">
        <v>73</v>
      </c>
      <c r="D1111" s="1">
        <v>33706</v>
      </c>
      <c r="E1111" t="s">
        <v>1483</v>
      </c>
      <c r="F1111" t="s">
        <v>872</v>
      </c>
    </row>
    <row r="1112" spans="1:6" x14ac:dyDescent="0.25">
      <c r="A1112">
        <v>1210</v>
      </c>
      <c r="B1112" t="s">
        <v>89</v>
      </c>
      <c r="C1112" t="s">
        <v>76</v>
      </c>
      <c r="D1112" s="1">
        <v>10898</v>
      </c>
      <c r="E1112" t="s">
        <v>1484</v>
      </c>
      <c r="F1112" t="s">
        <v>868</v>
      </c>
    </row>
    <row r="1113" spans="1:6" x14ac:dyDescent="0.25">
      <c r="A1113">
        <v>1211</v>
      </c>
      <c r="B1113" t="s">
        <v>104</v>
      </c>
      <c r="C1113" t="s">
        <v>76</v>
      </c>
      <c r="D1113" s="1">
        <v>28687</v>
      </c>
      <c r="E1113" t="s">
        <v>1485</v>
      </c>
      <c r="F1113" t="s">
        <v>871</v>
      </c>
    </row>
    <row r="1114" spans="1:6" x14ac:dyDescent="0.25">
      <c r="A1114">
        <v>1212</v>
      </c>
      <c r="B1114" t="s">
        <v>80</v>
      </c>
      <c r="C1114" t="s">
        <v>73</v>
      </c>
      <c r="D1114" s="1">
        <v>34260</v>
      </c>
      <c r="E1114" t="s">
        <v>1486</v>
      </c>
      <c r="F1114" t="s">
        <v>868</v>
      </c>
    </row>
    <row r="1115" spans="1:6" x14ac:dyDescent="0.25">
      <c r="A1115">
        <v>1213</v>
      </c>
      <c r="B1115" t="s">
        <v>89</v>
      </c>
      <c r="C1115" t="s">
        <v>76</v>
      </c>
      <c r="D1115" s="1">
        <v>21849</v>
      </c>
      <c r="E1115" t="s">
        <v>1487</v>
      </c>
      <c r="F1115" t="s">
        <v>873</v>
      </c>
    </row>
    <row r="1116" spans="1:6" x14ac:dyDescent="0.25">
      <c r="A1116">
        <v>1214</v>
      </c>
      <c r="B1116" t="s">
        <v>75</v>
      </c>
      <c r="C1116" t="s">
        <v>76</v>
      </c>
      <c r="D1116" s="1">
        <v>20469</v>
      </c>
      <c r="E1116" t="s">
        <v>1488</v>
      </c>
      <c r="F1116" t="s">
        <v>869</v>
      </c>
    </row>
    <row r="1117" spans="1:6" x14ac:dyDescent="0.25">
      <c r="A1117">
        <v>1215</v>
      </c>
      <c r="B1117" t="s">
        <v>89</v>
      </c>
      <c r="C1117" t="s">
        <v>76</v>
      </c>
      <c r="D1117" s="1">
        <v>34629</v>
      </c>
      <c r="E1117" t="s">
        <v>1489</v>
      </c>
      <c r="F1117" t="s">
        <v>873</v>
      </c>
    </row>
    <row r="1118" spans="1:6" x14ac:dyDescent="0.25">
      <c r="A1118">
        <v>1216</v>
      </c>
      <c r="B1118" t="s">
        <v>120</v>
      </c>
      <c r="C1118" t="s">
        <v>73</v>
      </c>
      <c r="D1118" s="1">
        <v>22635</v>
      </c>
      <c r="E1118" t="s">
        <v>1490</v>
      </c>
      <c r="F1118" t="s">
        <v>866</v>
      </c>
    </row>
    <row r="1119" spans="1:6" x14ac:dyDescent="0.25">
      <c r="A1119">
        <v>1217</v>
      </c>
      <c r="B1119" t="s">
        <v>122</v>
      </c>
      <c r="C1119" t="s">
        <v>73</v>
      </c>
      <c r="D1119" s="1">
        <v>36701</v>
      </c>
      <c r="E1119" t="s">
        <v>1491</v>
      </c>
      <c r="F1119" t="s">
        <v>869</v>
      </c>
    </row>
    <row r="1120" spans="1:6" x14ac:dyDescent="0.25">
      <c r="A1120">
        <v>1218</v>
      </c>
      <c r="B1120" t="s">
        <v>86</v>
      </c>
      <c r="C1120" t="s">
        <v>76</v>
      </c>
      <c r="D1120" s="1">
        <v>33607</v>
      </c>
      <c r="E1120" t="s">
        <v>1492</v>
      </c>
      <c r="F1120" t="s">
        <v>872</v>
      </c>
    </row>
    <row r="1121" spans="1:6" x14ac:dyDescent="0.25">
      <c r="A1121">
        <v>1219</v>
      </c>
      <c r="B1121" t="s">
        <v>82</v>
      </c>
      <c r="C1121" t="s">
        <v>73</v>
      </c>
      <c r="D1121" s="1">
        <v>43757</v>
      </c>
      <c r="E1121" t="s">
        <v>1493</v>
      </c>
      <c r="F1121" t="s">
        <v>871</v>
      </c>
    </row>
    <row r="1122" spans="1:6" x14ac:dyDescent="0.25">
      <c r="A1122">
        <v>1220</v>
      </c>
      <c r="B1122" t="s">
        <v>120</v>
      </c>
      <c r="C1122" t="s">
        <v>73</v>
      </c>
      <c r="D1122" s="1">
        <v>33598</v>
      </c>
      <c r="E1122" t="s">
        <v>1494</v>
      </c>
      <c r="F1122" t="s">
        <v>866</v>
      </c>
    </row>
    <row r="1123" spans="1:6" x14ac:dyDescent="0.25">
      <c r="A1123">
        <v>1221</v>
      </c>
      <c r="B1123" t="s">
        <v>78</v>
      </c>
      <c r="C1123" t="s">
        <v>73</v>
      </c>
      <c r="D1123" s="1">
        <v>23496</v>
      </c>
      <c r="E1123" t="s">
        <v>1495</v>
      </c>
      <c r="F1123" t="s">
        <v>872</v>
      </c>
    </row>
    <row r="1124" spans="1:6" x14ac:dyDescent="0.25">
      <c r="A1124">
        <v>1222</v>
      </c>
      <c r="B1124" t="s">
        <v>125</v>
      </c>
      <c r="C1124" t="s">
        <v>76</v>
      </c>
      <c r="D1124" s="1">
        <v>13749</v>
      </c>
      <c r="E1124" t="s">
        <v>1496</v>
      </c>
      <c r="F1124" t="s">
        <v>870</v>
      </c>
    </row>
    <row r="1125" spans="1:6" x14ac:dyDescent="0.25">
      <c r="A1125">
        <v>1223</v>
      </c>
      <c r="B1125" t="s">
        <v>122</v>
      </c>
      <c r="C1125" t="s">
        <v>73</v>
      </c>
      <c r="D1125" s="1">
        <v>38972</v>
      </c>
      <c r="E1125" t="s">
        <v>1497</v>
      </c>
      <c r="F1125" t="s">
        <v>871</v>
      </c>
    </row>
    <row r="1126" spans="1:6" x14ac:dyDescent="0.25">
      <c r="A1126">
        <v>1224</v>
      </c>
      <c r="B1126" t="s">
        <v>78</v>
      </c>
      <c r="C1126" t="s">
        <v>73</v>
      </c>
      <c r="D1126" s="1">
        <v>39682</v>
      </c>
      <c r="E1126" t="s">
        <v>1498</v>
      </c>
      <c r="F1126" t="s">
        <v>871</v>
      </c>
    </row>
    <row r="1127" spans="1:6" x14ac:dyDescent="0.25">
      <c r="A1127">
        <v>1225</v>
      </c>
      <c r="B1127" t="s">
        <v>104</v>
      </c>
      <c r="C1127" t="s">
        <v>76</v>
      </c>
      <c r="D1127" s="1">
        <v>43239</v>
      </c>
      <c r="E1127" t="s">
        <v>1499</v>
      </c>
      <c r="F1127" t="s">
        <v>871</v>
      </c>
    </row>
    <row r="1128" spans="1:6" x14ac:dyDescent="0.25">
      <c r="A1128">
        <v>1226</v>
      </c>
      <c r="B1128" t="s">
        <v>82</v>
      </c>
      <c r="C1128" t="s">
        <v>73</v>
      </c>
      <c r="D1128" s="1">
        <v>28322</v>
      </c>
      <c r="E1128" t="s">
        <v>1500</v>
      </c>
      <c r="F1128" t="s">
        <v>869</v>
      </c>
    </row>
    <row r="1129" spans="1:6" x14ac:dyDescent="0.25">
      <c r="A1129">
        <v>1227</v>
      </c>
      <c r="B1129" t="s">
        <v>78</v>
      </c>
      <c r="C1129" t="s">
        <v>73</v>
      </c>
      <c r="D1129" s="1">
        <v>20180</v>
      </c>
      <c r="E1129" t="s">
        <v>1501</v>
      </c>
      <c r="F1129" t="s">
        <v>873</v>
      </c>
    </row>
    <row r="1130" spans="1:6" x14ac:dyDescent="0.25">
      <c r="A1130">
        <v>1228</v>
      </c>
      <c r="B1130" t="s">
        <v>99</v>
      </c>
      <c r="C1130" t="s">
        <v>76</v>
      </c>
      <c r="D1130" s="1">
        <v>34467</v>
      </c>
      <c r="E1130" t="s">
        <v>1502</v>
      </c>
      <c r="F1130" t="s">
        <v>871</v>
      </c>
    </row>
    <row r="1131" spans="1:6" x14ac:dyDescent="0.25">
      <c r="A1131">
        <v>1229</v>
      </c>
      <c r="B1131" t="s">
        <v>82</v>
      </c>
      <c r="C1131" t="s">
        <v>73</v>
      </c>
      <c r="D1131" s="1">
        <v>14268</v>
      </c>
      <c r="E1131" t="s">
        <v>1503</v>
      </c>
      <c r="F1131" t="s">
        <v>872</v>
      </c>
    </row>
    <row r="1132" spans="1:6" x14ac:dyDescent="0.25">
      <c r="A1132">
        <v>1230</v>
      </c>
      <c r="B1132" t="s">
        <v>94</v>
      </c>
      <c r="C1132" t="s">
        <v>73</v>
      </c>
      <c r="D1132" s="1">
        <v>40035</v>
      </c>
      <c r="E1132" t="s">
        <v>1504</v>
      </c>
      <c r="F1132" t="s">
        <v>871</v>
      </c>
    </row>
    <row r="1133" spans="1:6" x14ac:dyDescent="0.25">
      <c r="A1133">
        <v>1231</v>
      </c>
      <c r="B1133" t="s">
        <v>122</v>
      </c>
      <c r="C1133" t="s">
        <v>73</v>
      </c>
      <c r="D1133" s="1">
        <v>36834</v>
      </c>
      <c r="E1133" t="s">
        <v>1505</v>
      </c>
      <c r="F1133" t="s">
        <v>867</v>
      </c>
    </row>
    <row r="1134" spans="1:6" x14ac:dyDescent="0.25">
      <c r="A1134">
        <v>1232</v>
      </c>
      <c r="B1134" t="s">
        <v>72</v>
      </c>
      <c r="C1134" t="s">
        <v>73</v>
      </c>
      <c r="D1134" s="1">
        <v>30549</v>
      </c>
      <c r="E1134" t="s">
        <v>1506</v>
      </c>
      <c r="F1134" t="s">
        <v>872</v>
      </c>
    </row>
    <row r="1135" spans="1:6" x14ac:dyDescent="0.25">
      <c r="A1135">
        <v>1233</v>
      </c>
      <c r="B1135" t="s">
        <v>104</v>
      </c>
      <c r="C1135" t="s">
        <v>76</v>
      </c>
      <c r="D1135" s="1">
        <v>42053</v>
      </c>
      <c r="E1135" t="s">
        <v>1507</v>
      </c>
      <c r="F1135" t="s">
        <v>872</v>
      </c>
    </row>
    <row r="1136" spans="1:6" x14ac:dyDescent="0.25">
      <c r="A1136">
        <v>1234</v>
      </c>
      <c r="B1136" t="s">
        <v>125</v>
      </c>
      <c r="C1136" t="s">
        <v>76</v>
      </c>
      <c r="D1136" s="1">
        <v>39378</v>
      </c>
      <c r="E1136" t="s">
        <v>1508</v>
      </c>
      <c r="F1136" t="s">
        <v>871</v>
      </c>
    </row>
    <row r="1137" spans="1:6" x14ac:dyDescent="0.25">
      <c r="A1137">
        <v>1235</v>
      </c>
      <c r="B1137" t="s">
        <v>127</v>
      </c>
      <c r="C1137" t="s">
        <v>76</v>
      </c>
      <c r="D1137" s="1">
        <v>34668</v>
      </c>
      <c r="E1137" t="s">
        <v>1509</v>
      </c>
      <c r="F1137" t="s">
        <v>873</v>
      </c>
    </row>
    <row r="1138" spans="1:6" x14ac:dyDescent="0.25">
      <c r="A1138">
        <v>1236</v>
      </c>
      <c r="B1138" t="s">
        <v>86</v>
      </c>
      <c r="C1138" t="s">
        <v>76</v>
      </c>
      <c r="D1138" s="1">
        <v>21391</v>
      </c>
      <c r="E1138" t="s">
        <v>1510</v>
      </c>
      <c r="F1138" t="s">
        <v>872</v>
      </c>
    </row>
    <row r="1139" spans="1:6" x14ac:dyDescent="0.25">
      <c r="A1139">
        <v>1237</v>
      </c>
      <c r="B1139" t="s">
        <v>82</v>
      </c>
      <c r="C1139" t="s">
        <v>73</v>
      </c>
      <c r="D1139" s="1">
        <v>12949</v>
      </c>
      <c r="E1139" t="s">
        <v>1511</v>
      </c>
      <c r="F1139" t="s">
        <v>867</v>
      </c>
    </row>
    <row r="1140" spans="1:6" x14ac:dyDescent="0.25">
      <c r="A1140">
        <v>1238</v>
      </c>
      <c r="B1140" t="s">
        <v>84</v>
      </c>
      <c r="C1140" t="s">
        <v>73</v>
      </c>
      <c r="D1140" s="1">
        <v>14039</v>
      </c>
      <c r="E1140" t="s">
        <v>1512</v>
      </c>
      <c r="F1140" t="s">
        <v>869</v>
      </c>
    </row>
    <row r="1141" spans="1:6" x14ac:dyDescent="0.25">
      <c r="A1141">
        <v>1239</v>
      </c>
      <c r="B1141" t="s">
        <v>120</v>
      </c>
      <c r="C1141" t="s">
        <v>73</v>
      </c>
      <c r="D1141" s="1">
        <v>28161</v>
      </c>
      <c r="E1141" t="s">
        <v>1513</v>
      </c>
      <c r="F1141" t="s">
        <v>867</v>
      </c>
    </row>
    <row r="1142" spans="1:6" x14ac:dyDescent="0.25">
      <c r="A1142">
        <v>1240</v>
      </c>
      <c r="B1142" t="s">
        <v>72</v>
      </c>
      <c r="C1142" t="s">
        <v>73</v>
      </c>
      <c r="D1142" s="1">
        <v>41633</v>
      </c>
      <c r="E1142" t="s">
        <v>1514</v>
      </c>
      <c r="F1142" t="s">
        <v>868</v>
      </c>
    </row>
    <row r="1143" spans="1:6" x14ac:dyDescent="0.25">
      <c r="A1143">
        <v>1241</v>
      </c>
      <c r="B1143" t="s">
        <v>75</v>
      </c>
      <c r="C1143" t="s">
        <v>76</v>
      </c>
      <c r="D1143" s="1">
        <v>27755</v>
      </c>
      <c r="E1143" t="s">
        <v>1515</v>
      </c>
      <c r="F1143" t="s">
        <v>867</v>
      </c>
    </row>
    <row r="1144" spans="1:6" x14ac:dyDescent="0.25">
      <c r="A1144">
        <v>1242</v>
      </c>
      <c r="B1144" t="s">
        <v>75</v>
      </c>
      <c r="C1144" t="s">
        <v>76</v>
      </c>
      <c r="D1144" s="1">
        <v>29850</v>
      </c>
      <c r="E1144" t="s">
        <v>1516</v>
      </c>
      <c r="F1144" t="s">
        <v>871</v>
      </c>
    </row>
    <row r="1145" spans="1:6" x14ac:dyDescent="0.25">
      <c r="A1145">
        <v>1243</v>
      </c>
      <c r="B1145" t="s">
        <v>104</v>
      </c>
      <c r="C1145" t="s">
        <v>76</v>
      </c>
      <c r="D1145" s="1">
        <v>26863</v>
      </c>
      <c r="E1145" t="s">
        <v>1517</v>
      </c>
      <c r="F1145" t="s">
        <v>868</v>
      </c>
    </row>
    <row r="1146" spans="1:6" x14ac:dyDescent="0.25">
      <c r="A1146">
        <v>1244</v>
      </c>
      <c r="B1146" t="s">
        <v>127</v>
      </c>
      <c r="C1146" t="s">
        <v>76</v>
      </c>
      <c r="D1146" s="1">
        <v>36824</v>
      </c>
      <c r="E1146" t="s">
        <v>1518</v>
      </c>
      <c r="F1146" t="s">
        <v>871</v>
      </c>
    </row>
    <row r="1147" spans="1:6" x14ac:dyDescent="0.25">
      <c r="A1147">
        <v>1245</v>
      </c>
      <c r="B1147" t="s">
        <v>104</v>
      </c>
      <c r="C1147" t="s">
        <v>76</v>
      </c>
      <c r="D1147" s="1">
        <v>15417</v>
      </c>
      <c r="E1147" t="s">
        <v>1519</v>
      </c>
      <c r="F1147" t="s">
        <v>868</v>
      </c>
    </row>
    <row r="1148" spans="1:6" x14ac:dyDescent="0.25">
      <c r="A1148">
        <v>1246</v>
      </c>
      <c r="B1148" t="s">
        <v>89</v>
      </c>
      <c r="C1148" t="s">
        <v>76</v>
      </c>
      <c r="D1148" s="1">
        <v>45074</v>
      </c>
      <c r="E1148" t="s">
        <v>1520</v>
      </c>
      <c r="F1148" t="s">
        <v>872</v>
      </c>
    </row>
    <row r="1149" spans="1:6" x14ac:dyDescent="0.25">
      <c r="A1149">
        <v>1247</v>
      </c>
      <c r="B1149" t="s">
        <v>86</v>
      </c>
      <c r="C1149" t="s">
        <v>76</v>
      </c>
      <c r="D1149" s="1">
        <v>35546</v>
      </c>
      <c r="E1149" t="s">
        <v>1521</v>
      </c>
      <c r="F1149" t="s">
        <v>868</v>
      </c>
    </row>
    <row r="1150" spans="1:6" x14ac:dyDescent="0.25">
      <c r="A1150">
        <v>1248</v>
      </c>
      <c r="B1150" t="s">
        <v>120</v>
      </c>
      <c r="C1150" t="s">
        <v>73</v>
      </c>
      <c r="D1150" s="1">
        <v>23957</v>
      </c>
      <c r="E1150" t="s">
        <v>1522</v>
      </c>
      <c r="F1150" t="s">
        <v>866</v>
      </c>
    </row>
    <row r="1151" spans="1:6" x14ac:dyDescent="0.25">
      <c r="A1151">
        <v>1249</v>
      </c>
      <c r="B1151" t="s">
        <v>92</v>
      </c>
      <c r="C1151" t="s">
        <v>76</v>
      </c>
      <c r="D1151" s="1">
        <v>27933</v>
      </c>
      <c r="E1151" t="s">
        <v>1523</v>
      </c>
      <c r="F1151" t="s">
        <v>873</v>
      </c>
    </row>
    <row r="1152" spans="1:6" x14ac:dyDescent="0.25">
      <c r="A1152">
        <v>1250</v>
      </c>
      <c r="B1152" t="s">
        <v>92</v>
      </c>
      <c r="C1152" t="s">
        <v>76</v>
      </c>
      <c r="D1152" s="1">
        <v>26842</v>
      </c>
      <c r="E1152" t="s">
        <v>1524</v>
      </c>
      <c r="F1152" t="s">
        <v>871</v>
      </c>
    </row>
    <row r="1153" spans="1:6" x14ac:dyDescent="0.25">
      <c r="A1153">
        <v>1251</v>
      </c>
      <c r="B1153" t="s">
        <v>99</v>
      </c>
      <c r="C1153" t="s">
        <v>76</v>
      </c>
      <c r="D1153" s="1">
        <v>24047</v>
      </c>
      <c r="E1153" t="s">
        <v>1525</v>
      </c>
      <c r="F1153" t="s">
        <v>867</v>
      </c>
    </row>
    <row r="1154" spans="1:6" x14ac:dyDescent="0.25">
      <c r="A1154">
        <v>1252</v>
      </c>
      <c r="B1154" t="s">
        <v>86</v>
      </c>
      <c r="C1154" t="s">
        <v>76</v>
      </c>
      <c r="D1154" s="1">
        <v>24883</v>
      </c>
      <c r="E1154" t="s">
        <v>1526</v>
      </c>
      <c r="F1154" t="s">
        <v>871</v>
      </c>
    </row>
    <row r="1155" spans="1:6" x14ac:dyDescent="0.25">
      <c r="A1155">
        <v>1253</v>
      </c>
      <c r="B1155" t="s">
        <v>122</v>
      </c>
      <c r="C1155" t="s">
        <v>73</v>
      </c>
      <c r="D1155" s="1">
        <v>37228</v>
      </c>
      <c r="E1155" t="s">
        <v>1527</v>
      </c>
      <c r="F1155" t="s">
        <v>869</v>
      </c>
    </row>
    <row r="1156" spans="1:6" x14ac:dyDescent="0.25">
      <c r="A1156">
        <v>1254</v>
      </c>
      <c r="B1156" t="s">
        <v>78</v>
      </c>
      <c r="C1156" t="s">
        <v>73</v>
      </c>
      <c r="D1156" s="1">
        <v>41314</v>
      </c>
      <c r="E1156" t="s">
        <v>1528</v>
      </c>
      <c r="F1156" t="s">
        <v>873</v>
      </c>
    </row>
    <row r="1157" spans="1:6" x14ac:dyDescent="0.25">
      <c r="A1157">
        <v>1255</v>
      </c>
      <c r="B1157" t="s">
        <v>125</v>
      </c>
      <c r="C1157" t="s">
        <v>76</v>
      </c>
      <c r="D1157" s="1">
        <v>41689</v>
      </c>
      <c r="E1157" t="s">
        <v>1529</v>
      </c>
      <c r="F1157" t="s">
        <v>867</v>
      </c>
    </row>
    <row r="1158" spans="1:6" x14ac:dyDescent="0.25">
      <c r="A1158">
        <v>1256</v>
      </c>
      <c r="B1158" t="s">
        <v>86</v>
      </c>
      <c r="C1158" t="s">
        <v>76</v>
      </c>
      <c r="D1158" s="1">
        <v>36413</v>
      </c>
      <c r="E1158" t="s">
        <v>1530</v>
      </c>
      <c r="F1158" t="s">
        <v>867</v>
      </c>
    </row>
    <row r="1159" spans="1:6" x14ac:dyDescent="0.25">
      <c r="A1159">
        <v>1257</v>
      </c>
      <c r="B1159" t="s">
        <v>122</v>
      </c>
      <c r="C1159" t="s">
        <v>73</v>
      </c>
      <c r="D1159" s="1">
        <v>37797</v>
      </c>
      <c r="E1159" t="s">
        <v>1531</v>
      </c>
      <c r="F1159" t="s">
        <v>866</v>
      </c>
    </row>
    <row r="1160" spans="1:6" x14ac:dyDescent="0.25">
      <c r="A1160">
        <v>1258</v>
      </c>
      <c r="B1160" t="s">
        <v>99</v>
      </c>
      <c r="C1160" t="s">
        <v>76</v>
      </c>
      <c r="D1160" s="1">
        <v>36854</v>
      </c>
      <c r="E1160" t="s">
        <v>1532</v>
      </c>
      <c r="F1160" t="s">
        <v>868</v>
      </c>
    </row>
    <row r="1161" spans="1:6" x14ac:dyDescent="0.25">
      <c r="A1161">
        <v>1259</v>
      </c>
      <c r="B1161" t="s">
        <v>122</v>
      </c>
      <c r="C1161" t="s">
        <v>73</v>
      </c>
      <c r="D1161" s="1">
        <v>24277</v>
      </c>
      <c r="E1161" t="s">
        <v>1533</v>
      </c>
      <c r="F1161" t="s">
        <v>872</v>
      </c>
    </row>
    <row r="1162" spans="1:6" x14ac:dyDescent="0.25">
      <c r="A1162">
        <v>1260</v>
      </c>
      <c r="B1162" t="s">
        <v>99</v>
      </c>
      <c r="C1162" t="s">
        <v>76</v>
      </c>
      <c r="D1162" s="1">
        <v>16507</v>
      </c>
      <c r="E1162" t="s">
        <v>1534</v>
      </c>
      <c r="F1162" t="s">
        <v>873</v>
      </c>
    </row>
    <row r="1163" spans="1:6" x14ac:dyDescent="0.25">
      <c r="A1163">
        <v>1261</v>
      </c>
      <c r="B1163" t="s">
        <v>104</v>
      </c>
      <c r="C1163" t="s">
        <v>76</v>
      </c>
      <c r="D1163" s="1">
        <v>31540</v>
      </c>
      <c r="E1163" t="s">
        <v>1535</v>
      </c>
      <c r="F1163" t="s">
        <v>871</v>
      </c>
    </row>
    <row r="1164" spans="1:6" x14ac:dyDescent="0.25">
      <c r="A1164">
        <v>1262</v>
      </c>
      <c r="B1164" t="s">
        <v>125</v>
      </c>
      <c r="C1164" t="s">
        <v>76</v>
      </c>
      <c r="D1164" s="1">
        <v>42484</v>
      </c>
      <c r="E1164" t="s">
        <v>1536</v>
      </c>
      <c r="F1164" t="s">
        <v>866</v>
      </c>
    </row>
    <row r="1165" spans="1:6" x14ac:dyDescent="0.25">
      <c r="A1165">
        <v>1263</v>
      </c>
      <c r="B1165" t="s">
        <v>84</v>
      </c>
      <c r="C1165" t="s">
        <v>73</v>
      </c>
      <c r="D1165" s="1">
        <v>42096</v>
      </c>
      <c r="E1165" t="s">
        <v>1537</v>
      </c>
      <c r="F1165" t="s">
        <v>867</v>
      </c>
    </row>
    <row r="1166" spans="1:6" x14ac:dyDescent="0.25">
      <c r="A1166">
        <v>1264</v>
      </c>
      <c r="B1166" t="s">
        <v>89</v>
      </c>
      <c r="C1166" t="s">
        <v>76</v>
      </c>
      <c r="D1166" s="1">
        <v>45625</v>
      </c>
      <c r="E1166" t="s">
        <v>1538</v>
      </c>
      <c r="F1166" t="s">
        <v>871</v>
      </c>
    </row>
    <row r="1167" spans="1:6" x14ac:dyDescent="0.25">
      <c r="A1167">
        <v>1265</v>
      </c>
      <c r="B1167" t="s">
        <v>75</v>
      </c>
      <c r="C1167" t="s">
        <v>76</v>
      </c>
      <c r="D1167" s="1">
        <v>32193</v>
      </c>
      <c r="E1167" t="s">
        <v>1539</v>
      </c>
      <c r="F1167" t="s">
        <v>869</v>
      </c>
    </row>
    <row r="1168" spans="1:6" x14ac:dyDescent="0.25">
      <c r="A1168">
        <v>1266</v>
      </c>
      <c r="B1168" t="s">
        <v>125</v>
      </c>
      <c r="C1168" t="s">
        <v>76</v>
      </c>
      <c r="D1168" s="1">
        <v>35447</v>
      </c>
      <c r="E1168" t="s">
        <v>1540</v>
      </c>
      <c r="F1168" t="s">
        <v>869</v>
      </c>
    </row>
    <row r="1169" spans="1:6" x14ac:dyDescent="0.25">
      <c r="A1169">
        <v>1267</v>
      </c>
      <c r="B1169" t="s">
        <v>127</v>
      </c>
      <c r="C1169" t="s">
        <v>76</v>
      </c>
      <c r="D1169" s="1">
        <v>16724</v>
      </c>
      <c r="E1169" t="s">
        <v>1541</v>
      </c>
      <c r="F1169" t="s">
        <v>867</v>
      </c>
    </row>
    <row r="1170" spans="1:6" x14ac:dyDescent="0.25">
      <c r="A1170">
        <v>1268</v>
      </c>
      <c r="B1170" t="s">
        <v>127</v>
      </c>
      <c r="C1170" t="s">
        <v>76</v>
      </c>
      <c r="D1170" s="1">
        <v>34191</v>
      </c>
      <c r="E1170" t="s">
        <v>1542</v>
      </c>
      <c r="F1170" t="s">
        <v>869</v>
      </c>
    </row>
    <row r="1171" spans="1:6" x14ac:dyDescent="0.25">
      <c r="A1171">
        <v>1269</v>
      </c>
      <c r="B1171" t="s">
        <v>92</v>
      </c>
      <c r="C1171" t="s">
        <v>76</v>
      </c>
      <c r="D1171" s="1">
        <v>26260</v>
      </c>
      <c r="E1171" t="s">
        <v>1543</v>
      </c>
      <c r="F1171" t="s">
        <v>870</v>
      </c>
    </row>
    <row r="1172" spans="1:6" x14ac:dyDescent="0.25">
      <c r="A1172">
        <v>1270</v>
      </c>
      <c r="B1172" t="s">
        <v>89</v>
      </c>
      <c r="C1172" t="s">
        <v>76</v>
      </c>
      <c r="D1172" s="1">
        <v>31453</v>
      </c>
      <c r="E1172" t="s">
        <v>1544</v>
      </c>
      <c r="F1172" t="s">
        <v>870</v>
      </c>
    </row>
    <row r="1173" spans="1:6" x14ac:dyDescent="0.25">
      <c r="A1173">
        <v>1271</v>
      </c>
      <c r="B1173" t="s">
        <v>127</v>
      </c>
      <c r="C1173" t="s">
        <v>76</v>
      </c>
      <c r="D1173" s="1">
        <v>34710</v>
      </c>
      <c r="E1173" t="s">
        <v>1545</v>
      </c>
      <c r="F1173" t="s">
        <v>866</v>
      </c>
    </row>
    <row r="1174" spans="1:6" x14ac:dyDescent="0.25">
      <c r="A1174">
        <v>1272</v>
      </c>
      <c r="B1174" t="s">
        <v>86</v>
      </c>
      <c r="C1174" t="s">
        <v>76</v>
      </c>
      <c r="D1174" s="1">
        <v>44118</v>
      </c>
      <c r="E1174" t="s">
        <v>1546</v>
      </c>
      <c r="F1174" t="s">
        <v>870</v>
      </c>
    </row>
    <row r="1175" spans="1:6" x14ac:dyDescent="0.25">
      <c r="A1175">
        <v>1273</v>
      </c>
      <c r="B1175" t="s">
        <v>94</v>
      </c>
      <c r="C1175" t="s">
        <v>73</v>
      </c>
      <c r="D1175" s="1">
        <v>19125</v>
      </c>
      <c r="E1175" t="s">
        <v>1547</v>
      </c>
      <c r="F1175" t="s">
        <v>866</v>
      </c>
    </row>
    <row r="1176" spans="1:6" x14ac:dyDescent="0.25">
      <c r="A1176">
        <v>1274</v>
      </c>
      <c r="B1176" t="s">
        <v>72</v>
      </c>
      <c r="C1176" t="s">
        <v>73</v>
      </c>
      <c r="D1176" s="1">
        <v>22612</v>
      </c>
      <c r="E1176" t="s">
        <v>1548</v>
      </c>
      <c r="F1176" t="s">
        <v>868</v>
      </c>
    </row>
    <row r="1177" spans="1:6" x14ac:dyDescent="0.25">
      <c r="A1177">
        <v>1275</v>
      </c>
      <c r="B1177" t="s">
        <v>78</v>
      </c>
      <c r="C1177" t="s">
        <v>73</v>
      </c>
      <c r="D1177" s="1">
        <v>22851</v>
      </c>
      <c r="E1177" t="s">
        <v>1549</v>
      </c>
      <c r="F1177" t="s">
        <v>872</v>
      </c>
    </row>
    <row r="1178" spans="1:6" x14ac:dyDescent="0.25">
      <c r="A1178">
        <v>1276</v>
      </c>
      <c r="B1178" t="s">
        <v>94</v>
      </c>
      <c r="C1178" t="s">
        <v>73</v>
      </c>
      <c r="D1178" s="1">
        <v>33751</v>
      </c>
      <c r="E1178" t="s">
        <v>1550</v>
      </c>
      <c r="F1178" t="s">
        <v>872</v>
      </c>
    </row>
    <row r="1179" spans="1:6" x14ac:dyDescent="0.25">
      <c r="A1179">
        <v>1277</v>
      </c>
      <c r="B1179" t="s">
        <v>104</v>
      </c>
      <c r="C1179" t="s">
        <v>76</v>
      </c>
      <c r="D1179" s="1">
        <v>16441</v>
      </c>
      <c r="E1179" t="s">
        <v>1551</v>
      </c>
      <c r="F1179" t="s">
        <v>871</v>
      </c>
    </row>
    <row r="1180" spans="1:6" x14ac:dyDescent="0.25">
      <c r="A1180">
        <v>1278</v>
      </c>
      <c r="B1180" t="s">
        <v>80</v>
      </c>
      <c r="C1180" t="s">
        <v>73</v>
      </c>
      <c r="D1180" s="1">
        <v>40889</v>
      </c>
      <c r="E1180" t="s">
        <v>1552</v>
      </c>
      <c r="F1180" t="s">
        <v>873</v>
      </c>
    </row>
    <row r="1181" spans="1:6" x14ac:dyDescent="0.25">
      <c r="A1181">
        <v>1279</v>
      </c>
      <c r="B1181" t="s">
        <v>99</v>
      </c>
      <c r="C1181" t="s">
        <v>76</v>
      </c>
      <c r="D1181" s="1">
        <v>30013</v>
      </c>
      <c r="E1181" t="s">
        <v>1553</v>
      </c>
      <c r="F1181" t="s">
        <v>868</v>
      </c>
    </row>
    <row r="1182" spans="1:6" x14ac:dyDescent="0.25">
      <c r="A1182">
        <v>1280</v>
      </c>
      <c r="B1182" t="s">
        <v>80</v>
      </c>
      <c r="C1182" t="s">
        <v>73</v>
      </c>
      <c r="D1182" s="1">
        <v>36103</v>
      </c>
      <c r="E1182" t="s">
        <v>1554</v>
      </c>
      <c r="F1182" t="s">
        <v>870</v>
      </c>
    </row>
    <row r="1183" spans="1:6" x14ac:dyDescent="0.25">
      <c r="A1183">
        <v>1281</v>
      </c>
      <c r="B1183" t="s">
        <v>82</v>
      </c>
      <c r="C1183" t="s">
        <v>73</v>
      </c>
      <c r="D1183" s="1">
        <v>21361</v>
      </c>
      <c r="E1183" t="s">
        <v>1555</v>
      </c>
      <c r="F1183" t="s">
        <v>872</v>
      </c>
    </row>
    <row r="1184" spans="1:6" x14ac:dyDescent="0.25">
      <c r="A1184">
        <v>1282</v>
      </c>
      <c r="B1184" t="s">
        <v>86</v>
      </c>
      <c r="C1184" t="s">
        <v>76</v>
      </c>
      <c r="D1184" s="1">
        <v>17469</v>
      </c>
      <c r="E1184" t="s">
        <v>1556</v>
      </c>
      <c r="F1184" t="s">
        <v>867</v>
      </c>
    </row>
    <row r="1185" spans="1:6" x14ac:dyDescent="0.25">
      <c r="A1185">
        <v>1283</v>
      </c>
      <c r="B1185" t="s">
        <v>92</v>
      </c>
      <c r="C1185" t="s">
        <v>76</v>
      </c>
      <c r="D1185" s="1">
        <v>37213</v>
      </c>
      <c r="E1185" t="s">
        <v>1557</v>
      </c>
      <c r="F1185" t="s">
        <v>871</v>
      </c>
    </row>
    <row r="1186" spans="1:6" x14ac:dyDescent="0.25">
      <c r="A1186">
        <v>1284</v>
      </c>
      <c r="B1186" t="s">
        <v>99</v>
      </c>
      <c r="C1186" t="s">
        <v>76</v>
      </c>
      <c r="D1186" s="1">
        <v>30677</v>
      </c>
      <c r="E1186" t="s">
        <v>1558</v>
      </c>
      <c r="F1186" t="s">
        <v>871</v>
      </c>
    </row>
    <row r="1187" spans="1:6" x14ac:dyDescent="0.25">
      <c r="A1187">
        <v>1285</v>
      </c>
      <c r="B1187" t="s">
        <v>75</v>
      </c>
      <c r="C1187" t="s">
        <v>76</v>
      </c>
      <c r="D1187" s="1">
        <v>29851</v>
      </c>
      <c r="E1187" t="s">
        <v>1559</v>
      </c>
      <c r="F1187" t="s">
        <v>872</v>
      </c>
    </row>
    <row r="1188" spans="1:6" x14ac:dyDescent="0.25">
      <c r="A1188">
        <v>1286</v>
      </c>
      <c r="B1188" t="s">
        <v>122</v>
      </c>
      <c r="C1188" t="s">
        <v>73</v>
      </c>
      <c r="D1188" s="1">
        <v>40298</v>
      </c>
      <c r="E1188" t="s">
        <v>1560</v>
      </c>
      <c r="F1188" t="s">
        <v>868</v>
      </c>
    </row>
    <row r="1189" spans="1:6" x14ac:dyDescent="0.25">
      <c r="A1189">
        <v>1287</v>
      </c>
      <c r="B1189" t="s">
        <v>86</v>
      </c>
      <c r="C1189" t="s">
        <v>76</v>
      </c>
      <c r="D1189" s="1">
        <v>27846</v>
      </c>
      <c r="E1189" t="s">
        <v>1561</v>
      </c>
      <c r="F1189" t="s">
        <v>867</v>
      </c>
    </row>
    <row r="1190" spans="1:6" x14ac:dyDescent="0.25">
      <c r="A1190">
        <v>1288</v>
      </c>
      <c r="B1190" t="s">
        <v>127</v>
      </c>
      <c r="C1190" t="s">
        <v>76</v>
      </c>
      <c r="D1190" s="1">
        <v>42261</v>
      </c>
      <c r="E1190" t="s">
        <v>1562</v>
      </c>
      <c r="F1190" t="s">
        <v>867</v>
      </c>
    </row>
    <row r="1191" spans="1:6" x14ac:dyDescent="0.25">
      <c r="A1191">
        <v>1289</v>
      </c>
      <c r="B1191" t="s">
        <v>78</v>
      </c>
      <c r="C1191" t="s">
        <v>73</v>
      </c>
      <c r="D1191" s="1">
        <v>36026</v>
      </c>
      <c r="E1191" t="s">
        <v>1563</v>
      </c>
      <c r="F1191" t="s">
        <v>872</v>
      </c>
    </row>
    <row r="1192" spans="1:6" x14ac:dyDescent="0.25">
      <c r="A1192">
        <v>1290</v>
      </c>
      <c r="B1192" t="s">
        <v>120</v>
      </c>
      <c r="C1192" t="s">
        <v>73</v>
      </c>
      <c r="D1192" s="1">
        <v>10839</v>
      </c>
      <c r="E1192" t="s">
        <v>1564</v>
      </c>
      <c r="F1192" t="s">
        <v>867</v>
      </c>
    </row>
    <row r="1193" spans="1:6" x14ac:dyDescent="0.25">
      <c r="A1193">
        <v>1291</v>
      </c>
      <c r="B1193" t="s">
        <v>80</v>
      </c>
      <c r="C1193" t="s">
        <v>73</v>
      </c>
      <c r="D1193" s="1">
        <v>21171</v>
      </c>
      <c r="E1193" t="s">
        <v>1565</v>
      </c>
      <c r="F1193" t="s">
        <v>869</v>
      </c>
    </row>
    <row r="1194" spans="1:6" x14ac:dyDescent="0.25">
      <c r="A1194">
        <v>1292</v>
      </c>
      <c r="B1194" t="s">
        <v>92</v>
      </c>
      <c r="C1194" t="s">
        <v>76</v>
      </c>
      <c r="D1194" s="1">
        <v>28866</v>
      </c>
      <c r="E1194" t="s">
        <v>1566</v>
      </c>
      <c r="F1194" t="s">
        <v>870</v>
      </c>
    </row>
    <row r="1195" spans="1:6" x14ac:dyDescent="0.25">
      <c r="A1195">
        <v>1293</v>
      </c>
      <c r="B1195" t="s">
        <v>92</v>
      </c>
      <c r="C1195" t="s">
        <v>76</v>
      </c>
      <c r="D1195" s="1">
        <v>17423</v>
      </c>
      <c r="E1195" t="s">
        <v>1567</v>
      </c>
      <c r="F1195" t="s">
        <v>873</v>
      </c>
    </row>
    <row r="1196" spans="1:6" x14ac:dyDescent="0.25">
      <c r="A1196">
        <v>1294</v>
      </c>
      <c r="B1196" t="s">
        <v>127</v>
      </c>
      <c r="C1196" t="s">
        <v>76</v>
      </c>
      <c r="D1196" s="1">
        <v>39768</v>
      </c>
      <c r="E1196" t="s">
        <v>1568</v>
      </c>
      <c r="F1196" t="s">
        <v>866</v>
      </c>
    </row>
    <row r="1197" spans="1:6" x14ac:dyDescent="0.25">
      <c r="A1197">
        <v>1295</v>
      </c>
      <c r="B1197" t="s">
        <v>89</v>
      </c>
      <c r="C1197" t="s">
        <v>76</v>
      </c>
      <c r="D1197" s="1">
        <v>40314</v>
      </c>
      <c r="E1197" t="s">
        <v>1569</v>
      </c>
      <c r="F1197" t="s">
        <v>866</v>
      </c>
    </row>
    <row r="1198" spans="1:6" x14ac:dyDescent="0.25">
      <c r="A1198">
        <v>1296</v>
      </c>
      <c r="B1198" t="s">
        <v>72</v>
      </c>
      <c r="C1198" t="s">
        <v>73</v>
      </c>
      <c r="D1198" s="1">
        <v>42917</v>
      </c>
      <c r="E1198" t="s">
        <v>1570</v>
      </c>
      <c r="F1198" t="s">
        <v>867</v>
      </c>
    </row>
    <row r="1199" spans="1:6" x14ac:dyDescent="0.25">
      <c r="A1199">
        <v>1297</v>
      </c>
      <c r="B1199" t="s">
        <v>99</v>
      </c>
      <c r="C1199" t="s">
        <v>76</v>
      </c>
      <c r="D1199" s="1">
        <v>32245</v>
      </c>
      <c r="E1199" t="s">
        <v>1571</v>
      </c>
      <c r="F1199" t="s">
        <v>868</v>
      </c>
    </row>
    <row r="1200" spans="1:6" x14ac:dyDescent="0.25">
      <c r="A1200">
        <v>1298</v>
      </c>
      <c r="B1200" t="s">
        <v>104</v>
      </c>
      <c r="C1200" t="s">
        <v>76</v>
      </c>
      <c r="D1200" s="1">
        <v>30709</v>
      </c>
      <c r="E1200" t="s">
        <v>1572</v>
      </c>
      <c r="F1200" t="s">
        <v>869</v>
      </c>
    </row>
    <row r="1201" spans="1:6" x14ac:dyDescent="0.25">
      <c r="A1201">
        <v>1299</v>
      </c>
      <c r="B1201" t="s">
        <v>99</v>
      </c>
      <c r="C1201" t="s">
        <v>76</v>
      </c>
      <c r="D1201" s="1">
        <v>38545</v>
      </c>
      <c r="E1201" t="s">
        <v>1573</v>
      </c>
      <c r="F1201" t="s">
        <v>869</v>
      </c>
    </row>
    <row r="1202" spans="1:6" x14ac:dyDescent="0.25">
      <c r="A1202">
        <v>1300</v>
      </c>
      <c r="B1202" t="s">
        <v>104</v>
      </c>
      <c r="C1202" t="s">
        <v>76</v>
      </c>
      <c r="D1202" s="1">
        <v>13852</v>
      </c>
      <c r="E1202" t="s">
        <v>1574</v>
      </c>
      <c r="F1202" t="s">
        <v>870</v>
      </c>
    </row>
    <row r="1203" spans="1:6" x14ac:dyDescent="0.25">
      <c r="A1203">
        <v>1301</v>
      </c>
      <c r="B1203" t="s">
        <v>120</v>
      </c>
      <c r="C1203" t="s">
        <v>73</v>
      </c>
      <c r="D1203" s="1">
        <v>43427</v>
      </c>
      <c r="E1203" t="s">
        <v>1575</v>
      </c>
      <c r="F1203" t="s">
        <v>867</v>
      </c>
    </row>
    <row r="1204" spans="1:6" x14ac:dyDescent="0.25">
      <c r="A1204">
        <v>1302</v>
      </c>
      <c r="B1204" t="s">
        <v>86</v>
      </c>
      <c r="C1204" t="s">
        <v>76</v>
      </c>
      <c r="D1204" s="1">
        <v>40484</v>
      </c>
      <c r="E1204" t="s">
        <v>1576</v>
      </c>
      <c r="F1204" t="s">
        <v>871</v>
      </c>
    </row>
    <row r="1205" spans="1:6" x14ac:dyDescent="0.25">
      <c r="A1205">
        <v>1303</v>
      </c>
      <c r="B1205" t="s">
        <v>89</v>
      </c>
      <c r="C1205" t="s">
        <v>76</v>
      </c>
      <c r="D1205" s="1">
        <v>44400</v>
      </c>
      <c r="E1205" t="s">
        <v>1577</v>
      </c>
      <c r="F1205" t="s">
        <v>866</v>
      </c>
    </row>
    <row r="1206" spans="1:6" x14ac:dyDescent="0.25">
      <c r="A1206">
        <v>1304</v>
      </c>
      <c r="B1206" t="s">
        <v>89</v>
      </c>
      <c r="C1206" t="s">
        <v>76</v>
      </c>
      <c r="D1206" s="1">
        <v>26390</v>
      </c>
      <c r="E1206" t="s">
        <v>1578</v>
      </c>
      <c r="F1206" t="s">
        <v>872</v>
      </c>
    </row>
    <row r="1207" spans="1:6" x14ac:dyDescent="0.25">
      <c r="A1207">
        <v>1305</v>
      </c>
      <c r="B1207" t="s">
        <v>104</v>
      </c>
      <c r="C1207" t="s">
        <v>76</v>
      </c>
      <c r="D1207" s="1">
        <v>35223</v>
      </c>
      <c r="E1207" t="s">
        <v>1579</v>
      </c>
      <c r="F1207" t="s">
        <v>867</v>
      </c>
    </row>
    <row r="1208" spans="1:6" x14ac:dyDescent="0.25">
      <c r="A1208">
        <v>1306</v>
      </c>
      <c r="B1208" t="s">
        <v>82</v>
      </c>
      <c r="C1208" t="s">
        <v>73</v>
      </c>
      <c r="D1208" s="1">
        <v>36829</v>
      </c>
      <c r="E1208" t="s">
        <v>1580</v>
      </c>
      <c r="F1208" t="s">
        <v>869</v>
      </c>
    </row>
    <row r="1209" spans="1:6" x14ac:dyDescent="0.25">
      <c r="A1209">
        <v>1307</v>
      </c>
      <c r="B1209" t="s">
        <v>80</v>
      </c>
      <c r="C1209" t="s">
        <v>73</v>
      </c>
      <c r="D1209" s="1">
        <v>21645</v>
      </c>
      <c r="E1209" t="s">
        <v>1581</v>
      </c>
      <c r="F1209" t="s">
        <v>870</v>
      </c>
    </row>
    <row r="1210" spans="1:6" x14ac:dyDescent="0.25">
      <c r="A1210">
        <v>1308</v>
      </c>
      <c r="B1210" t="s">
        <v>80</v>
      </c>
      <c r="C1210" t="s">
        <v>73</v>
      </c>
      <c r="D1210" s="1">
        <v>26542</v>
      </c>
      <c r="E1210" t="s">
        <v>1582</v>
      </c>
      <c r="F1210" t="s">
        <v>871</v>
      </c>
    </row>
    <row r="1211" spans="1:6" x14ac:dyDescent="0.25">
      <c r="A1211">
        <v>1309</v>
      </c>
      <c r="B1211" t="s">
        <v>78</v>
      </c>
      <c r="C1211" t="s">
        <v>73</v>
      </c>
      <c r="D1211" s="1">
        <v>22910</v>
      </c>
      <c r="E1211" t="s">
        <v>1583</v>
      </c>
      <c r="F1211" t="s">
        <v>867</v>
      </c>
    </row>
    <row r="1212" spans="1:6" x14ac:dyDescent="0.25">
      <c r="A1212">
        <v>1310</v>
      </c>
      <c r="B1212" t="s">
        <v>80</v>
      </c>
      <c r="C1212" t="s">
        <v>73</v>
      </c>
      <c r="D1212" s="1">
        <v>26149</v>
      </c>
      <c r="E1212" t="s">
        <v>1584</v>
      </c>
      <c r="F1212" t="s">
        <v>873</v>
      </c>
    </row>
    <row r="1213" spans="1:6" x14ac:dyDescent="0.25">
      <c r="A1213">
        <v>1311</v>
      </c>
      <c r="B1213" t="s">
        <v>84</v>
      </c>
      <c r="C1213" t="s">
        <v>73</v>
      </c>
      <c r="D1213" s="1">
        <v>16470</v>
      </c>
      <c r="E1213" t="s">
        <v>1585</v>
      </c>
      <c r="F1213" t="s">
        <v>867</v>
      </c>
    </row>
    <row r="1214" spans="1:6" x14ac:dyDescent="0.25">
      <c r="A1214">
        <v>1312</v>
      </c>
      <c r="B1214" t="s">
        <v>78</v>
      </c>
      <c r="C1214" t="s">
        <v>73</v>
      </c>
      <c r="D1214" s="1">
        <v>31039</v>
      </c>
      <c r="E1214" t="s">
        <v>1586</v>
      </c>
      <c r="F1214" t="s">
        <v>866</v>
      </c>
    </row>
    <row r="1215" spans="1:6" x14ac:dyDescent="0.25">
      <c r="A1215">
        <v>1313</v>
      </c>
      <c r="B1215" t="s">
        <v>94</v>
      </c>
      <c r="C1215" t="s">
        <v>73</v>
      </c>
      <c r="D1215" s="1">
        <v>38085</v>
      </c>
      <c r="E1215" t="s">
        <v>1587</v>
      </c>
      <c r="F1215" t="s">
        <v>873</v>
      </c>
    </row>
    <row r="1216" spans="1:6" x14ac:dyDescent="0.25">
      <c r="A1216">
        <v>1314</v>
      </c>
      <c r="B1216" t="s">
        <v>125</v>
      </c>
      <c r="C1216" t="s">
        <v>76</v>
      </c>
      <c r="D1216" s="1">
        <v>26886</v>
      </c>
      <c r="E1216" t="s">
        <v>1588</v>
      </c>
      <c r="F1216" t="s">
        <v>872</v>
      </c>
    </row>
    <row r="1217" spans="1:6" x14ac:dyDescent="0.25">
      <c r="A1217">
        <v>1315</v>
      </c>
      <c r="B1217" t="s">
        <v>127</v>
      </c>
      <c r="C1217" t="s">
        <v>76</v>
      </c>
      <c r="D1217" s="1">
        <v>35554</v>
      </c>
      <c r="E1217" t="s">
        <v>1589</v>
      </c>
      <c r="F1217" t="s">
        <v>873</v>
      </c>
    </row>
    <row r="1218" spans="1:6" x14ac:dyDescent="0.25">
      <c r="A1218">
        <v>1316</v>
      </c>
      <c r="B1218" t="s">
        <v>125</v>
      </c>
      <c r="C1218" t="s">
        <v>76</v>
      </c>
      <c r="D1218" s="1">
        <v>44716</v>
      </c>
      <c r="E1218" t="s">
        <v>1590</v>
      </c>
      <c r="F1218" t="s">
        <v>866</v>
      </c>
    </row>
    <row r="1219" spans="1:6" x14ac:dyDescent="0.25">
      <c r="A1219">
        <v>1317</v>
      </c>
      <c r="B1219" t="s">
        <v>82</v>
      </c>
      <c r="C1219" t="s">
        <v>73</v>
      </c>
      <c r="D1219" s="1">
        <v>11659</v>
      </c>
      <c r="E1219" t="s">
        <v>1591</v>
      </c>
      <c r="F1219" t="s">
        <v>866</v>
      </c>
    </row>
    <row r="1220" spans="1:6" x14ac:dyDescent="0.25">
      <c r="A1220">
        <v>1318</v>
      </c>
      <c r="B1220" t="s">
        <v>104</v>
      </c>
      <c r="C1220" t="s">
        <v>76</v>
      </c>
      <c r="D1220" s="1">
        <v>40929</v>
      </c>
      <c r="E1220" t="s">
        <v>1592</v>
      </c>
      <c r="F1220" t="s">
        <v>872</v>
      </c>
    </row>
    <row r="1221" spans="1:6" x14ac:dyDescent="0.25">
      <c r="A1221">
        <v>1319</v>
      </c>
      <c r="B1221" t="s">
        <v>127</v>
      </c>
      <c r="C1221" t="s">
        <v>76</v>
      </c>
      <c r="D1221" s="1">
        <v>17452</v>
      </c>
      <c r="E1221" t="s">
        <v>1593</v>
      </c>
      <c r="F1221" t="s">
        <v>870</v>
      </c>
    </row>
    <row r="1222" spans="1:6" x14ac:dyDescent="0.25">
      <c r="A1222">
        <v>1320</v>
      </c>
      <c r="B1222" t="s">
        <v>94</v>
      </c>
      <c r="C1222" t="s">
        <v>73</v>
      </c>
      <c r="D1222" s="1">
        <v>18340</v>
      </c>
      <c r="E1222" t="s">
        <v>1594</v>
      </c>
      <c r="F1222" t="s">
        <v>871</v>
      </c>
    </row>
    <row r="1223" spans="1:6" x14ac:dyDescent="0.25">
      <c r="A1223">
        <v>1321</v>
      </c>
      <c r="B1223" t="s">
        <v>78</v>
      </c>
      <c r="C1223" t="s">
        <v>73</v>
      </c>
      <c r="D1223" s="1">
        <v>26823</v>
      </c>
      <c r="E1223" t="s">
        <v>1595</v>
      </c>
      <c r="F1223" t="s">
        <v>868</v>
      </c>
    </row>
    <row r="1224" spans="1:6" x14ac:dyDescent="0.25">
      <c r="A1224">
        <v>1322</v>
      </c>
      <c r="B1224" t="s">
        <v>78</v>
      </c>
      <c r="C1224" t="s">
        <v>73</v>
      </c>
      <c r="D1224" s="1">
        <v>28254</v>
      </c>
      <c r="E1224" t="s">
        <v>1596</v>
      </c>
      <c r="F1224" t="s">
        <v>867</v>
      </c>
    </row>
    <row r="1225" spans="1:6" x14ac:dyDescent="0.25">
      <c r="A1225">
        <v>1323</v>
      </c>
      <c r="B1225" t="s">
        <v>99</v>
      </c>
      <c r="C1225" t="s">
        <v>76</v>
      </c>
      <c r="D1225" s="1">
        <v>13311</v>
      </c>
      <c r="E1225" t="s">
        <v>1597</v>
      </c>
      <c r="F1225" t="s">
        <v>870</v>
      </c>
    </row>
    <row r="1226" spans="1:6" x14ac:dyDescent="0.25">
      <c r="A1226">
        <v>1324</v>
      </c>
      <c r="B1226" t="s">
        <v>84</v>
      </c>
      <c r="C1226" t="s">
        <v>73</v>
      </c>
      <c r="D1226" s="1">
        <v>30414</v>
      </c>
      <c r="E1226" t="s">
        <v>1598</v>
      </c>
      <c r="F1226" t="s">
        <v>866</v>
      </c>
    </row>
    <row r="1227" spans="1:6" x14ac:dyDescent="0.25">
      <c r="A1227">
        <v>1325</v>
      </c>
      <c r="B1227" t="s">
        <v>72</v>
      </c>
      <c r="C1227" t="s">
        <v>73</v>
      </c>
      <c r="D1227" s="1">
        <v>17322</v>
      </c>
      <c r="E1227" t="s">
        <v>1599</v>
      </c>
      <c r="F1227" t="s">
        <v>873</v>
      </c>
    </row>
    <row r="1228" spans="1:6" x14ac:dyDescent="0.25">
      <c r="A1228">
        <v>1326</v>
      </c>
      <c r="B1228" t="s">
        <v>104</v>
      </c>
      <c r="C1228" t="s">
        <v>76</v>
      </c>
      <c r="D1228" s="1">
        <v>37966</v>
      </c>
      <c r="E1228" t="s">
        <v>1600</v>
      </c>
      <c r="F1228" t="s">
        <v>873</v>
      </c>
    </row>
    <row r="1229" spans="1:6" x14ac:dyDescent="0.25">
      <c r="A1229">
        <v>1327</v>
      </c>
      <c r="B1229" t="s">
        <v>89</v>
      </c>
      <c r="C1229" t="s">
        <v>76</v>
      </c>
      <c r="D1229" s="1">
        <v>44180</v>
      </c>
      <c r="E1229" t="s">
        <v>1601</v>
      </c>
      <c r="F1229" t="s">
        <v>869</v>
      </c>
    </row>
    <row r="1230" spans="1:6" x14ac:dyDescent="0.25">
      <c r="A1230">
        <v>1328</v>
      </c>
      <c r="B1230" t="s">
        <v>78</v>
      </c>
      <c r="C1230" t="s">
        <v>73</v>
      </c>
      <c r="D1230" s="1">
        <v>33477</v>
      </c>
      <c r="E1230" t="s">
        <v>1602</v>
      </c>
      <c r="F1230" t="s">
        <v>869</v>
      </c>
    </row>
    <row r="1231" spans="1:6" x14ac:dyDescent="0.25">
      <c r="A1231">
        <v>1329</v>
      </c>
      <c r="B1231" t="s">
        <v>72</v>
      </c>
      <c r="C1231" t="s">
        <v>73</v>
      </c>
      <c r="D1231" s="1">
        <v>31437</v>
      </c>
      <c r="E1231" t="s">
        <v>1603</v>
      </c>
      <c r="F1231" t="s">
        <v>873</v>
      </c>
    </row>
    <row r="1232" spans="1:6" x14ac:dyDescent="0.25">
      <c r="A1232">
        <v>1330</v>
      </c>
      <c r="B1232" t="s">
        <v>72</v>
      </c>
      <c r="C1232" t="s">
        <v>73</v>
      </c>
      <c r="D1232" s="1">
        <v>11789</v>
      </c>
      <c r="E1232" t="s">
        <v>1604</v>
      </c>
      <c r="F1232" t="s">
        <v>869</v>
      </c>
    </row>
    <row r="1233" spans="1:6" x14ac:dyDescent="0.25">
      <c r="A1233">
        <v>1331</v>
      </c>
      <c r="B1233" t="s">
        <v>94</v>
      </c>
      <c r="C1233" t="s">
        <v>73</v>
      </c>
      <c r="D1233" s="1">
        <v>13186</v>
      </c>
      <c r="E1233" t="s">
        <v>1605</v>
      </c>
      <c r="F1233" t="s">
        <v>869</v>
      </c>
    </row>
    <row r="1234" spans="1:6" x14ac:dyDescent="0.25">
      <c r="A1234">
        <v>1332</v>
      </c>
      <c r="B1234" t="s">
        <v>122</v>
      </c>
      <c r="C1234" t="s">
        <v>73</v>
      </c>
      <c r="D1234" s="1">
        <v>17254</v>
      </c>
      <c r="E1234" t="s">
        <v>1606</v>
      </c>
      <c r="F1234" t="s">
        <v>866</v>
      </c>
    </row>
    <row r="1235" spans="1:6" x14ac:dyDescent="0.25">
      <c r="A1235">
        <v>1333</v>
      </c>
      <c r="B1235" t="s">
        <v>120</v>
      </c>
      <c r="C1235" t="s">
        <v>73</v>
      </c>
      <c r="D1235" s="1">
        <v>24016</v>
      </c>
      <c r="E1235" t="s">
        <v>1607</v>
      </c>
      <c r="F1235" t="s">
        <v>867</v>
      </c>
    </row>
    <row r="1236" spans="1:6" x14ac:dyDescent="0.25">
      <c r="A1236">
        <v>1334</v>
      </c>
      <c r="B1236" t="s">
        <v>80</v>
      </c>
      <c r="C1236" t="s">
        <v>73</v>
      </c>
      <c r="D1236" s="1">
        <v>33218</v>
      </c>
      <c r="E1236" t="s">
        <v>1608</v>
      </c>
      <c r="F1236" t="s">
        <v>871</v>
      </c>
    </row>
    <row r="1237" spans="1:6" x14ac:dyDescent="0.25">
      <c r="A1237">
        <v>1335</v>
      </c>
      <c r="B1237" t="s">
        <v>89</v>
      </c>
      <c r="C1237" t="s">
        <v>76</v>
      </c>
      <c r="D1237" s="1">
        <v>44891</v>
      </c>
      <c r="E1237" t="s">
        <v>1609</v>
      </c>
      <c r="F1237" t="s">
        <v>871</v>
      </c>
    </row>
    <row r="1238" spans="1:6" x14ac:dyDescent="0.25">
      <c r="A1238">
        <v>1336</v>
      </c>
      <c r="B1238" t="s">
        <v>104</v>
      </c>
      <c r="C1238" t="s">
        <v>76</v>
      </c>
      <c r="D1238" s="1">
        <v>31893</v>
      </c>
      <c r="E1238" t="s">
        <v>1610</v>
      </c>
      <c r="F1238" t="s">
        <v>873</v>
      </c>
    </row>
    <row r="1239" spans="1:6" x14ac:dyDescent="0.25">
      <c r="A1239">
        <v>1337</v>
      </c>
      <c r="B1239" t="s">
        <v>104</v>
      </c>
      <c r="C1239" t="s">
        <v>76</v>
      </c>
      <c r="D1239" s="1">
        <v>26013</v>
      </c>
      <c r="E1239" t="s">
        <v>1611</v>
      </c>
      <c r="F1239" t="s">
        <v>869</v>
      </c>
    </row>
    <row r="1240" spans="1:6" x14ac:dyDescent="0.25">
      <c r="A1240">
        <v>1338</v>
      </c>
      <c r="B1240" t="s">
        <v>94</v>
      </c>
      <c r="C1240" t="s">
        <v>73</v>
      </c>
      <c r="D1240" s="1">
        <v>18099</v>
      </c>
      <c r="E1240" t="s">
        <v>1612</v>
      </c>
      <c r="F1240" t="s">
        <v>866</v>
      </c>
    </row>
    <row r="1241" spans="1:6" x14ac:dyDescent="0.25">
      <c r="A1241">
        <v>1339</v>
      </c>
      <c r="B1241" t="s">
        <v>84</v>
      </c>
      <c r="C1241" t="s">
        <v>73</v>
      </c>
      <c r="D1241" s="1">
        <v>36790</v>
      </c>
      <c r="E1241" t="s">
        <v>1613</v>
      </c>
      <c r="F1241" t="s">
        <v>869</v>
      </c>
    </row>
    <row r="1242" spans="1:6" x14ac:dyDescent="0.25">
      <c r="A1242">
        <v>1340</v>
      </c>
      <c r="B1242" t="s">
        <v>84</v>
      </c>
      <c r="C1242" t="s">
        <v>73</v>
      </c>
      <c r="D1242" s="1">
        <v>13605</v>
      </c>
      <c r="E1242" t="s">
        <v>1614</v>
      </c>
      <c r="F1242" t="s">
        <v>873</v>
      </c>
    </row>
    <row r="1243" spans="1:6" x14ac:dyDescent="0.25">
      <c r="A1243">
        <v>1341</v>
      </c>
      <c r="B1243" t="s">
        <v>84</v>
      </c>
      <c r="C1243" t="s">
        <v>73</v>
      </c>
      <c r="D1243" s="1">
        <v>18061</v>
      </c>
      <c r="E1243" t="s">
        <v>1615</v>
      </c>
      <c r="F1243" t="s">
        <v>870</v>
      </c>
    </row>
    <row r="1244" spans="1:6" x14ac:dyDescent="0.25">
      <c r="A1244">
        <v>1342</v>
      </c>
      <c r="B1244" t="s">
        <v>125</v>
      </c>
      <c r="C1244" t="s">
        <v>76</v>
      </c>
      <c r="D1244" s="1">
        <v>25595</v>
      </c>
      <c r="E1244" t="s">
        <v>1616</v>
      </c>
      <c r="F1244" t="s">
        <v>868</v>
      </c>
    </row>
    <row r="1245" spans="1:6" x14ac:dyDescent="0.25">
      <c r="A1245">
        <v>1343</v>
      </c>
      <c r="B1245" t="s">
        <v>92</v>
      </c>
      <c r="C1245" t="s">
        <v>76</v>
      </c>
      <c r="D1245" s="1">
        <v>36738</v>
      </c>
      <c r="E1245" t="s">
        <v>1617</v>
      </c>
      <c r="F1245" t="s">
        <v>868</v>
      </c>
    </row>
    <row r="1246" spans="1:6" x14ac:dyDescent="0.25">
      <c r="A1246">
        <v>1344</v>
      </c>
      <c r="B1246" t="s">
        <v>72</v>
      </c>
      <c r="C1246" t="s">
        <v>73</v>
      </c>
      <c r="D1246" s="1">
        <v>22038</v>
      </c>
      <c r="E1246" t="s">
        <v>1618</v>
      </c>
      <c r="F1246" t="s">
        <v>872</v>
      </c>
    </row>
    <row r="1247" spans="1:6" x14ac:dyDescent="0.25">
      <c r="A1247">
        <v>1345</v>
      </c>
      <c r="B1247" t="s">
        <v>94</v>
      </c>
      <c r="C1247" t="s">
        <v>73</v>
      </c>
      <c r="D1247" s="1">
        <v>29652</v>
      </c>
      <c r="E1247" t="s">
        <v>1619</v>
      </c>
      <c r="F1247" t="s">
        <v>866</v>
      </c>
    </row>
    <row r="1248" spans="1:6" x14ac:dyDescent="0.25">
      <c r="A1248">
        <v>1346</v>
      </c>
      <c r="B1248" t="s">
        <v>78</v>
      </c>
      <c r="C1248" t="s">
        <v>73</v>
      </c>
      <c r="D1248" s="1">
        <v>18165</v>
      </c>
      <c r="E1248" t="s">
        <v>1620</v>
      </c>
      <c r="F1248" t="s">
        <v>869</v>
      </c>
    </row>
    <row r="1249" spans="1:6" x14ac:dyDescent="0.25">
      <c r="A1249">
        <v>1347</v>
      </c>
      <c r="B1249" t="s">
        <v>72</v>
      </c>
      <c r="C1249" t="s">
        <v>73</v>
      </c>
      <c r="D1249" s="1">
        <v>45719</v>
      </c>
      <c r="E1249" t="s">
        <v>1621</v>
      </c>
      <c r="F1249" t="s">
        <v>873</v>
      </c>
    </row>
    <row r="1250" spans="1:6" x14ac:dyDescent="0.25">
      <c r="A1250">
        <v>1348</v>
      </c>
      <c r="B1250" t="s">
        <v>75</v>
      </c>
      <c r="C1250" t="s">
        <v>76</v>
      </c>
      <c r="D1250" s="1">
        <v>45495</v>
      </c>
      <c r="E1250" t="s">
        <v>1622</v>
      </c>
      <c r="F1250" t="s">
        <v>873</v>
      </c>
    </row>
    <row r="1251" spans="1:6" x14ac:dyDescent="0.25">
      <c r="A1251">
        <v>1349</v>
      </c>
      <c r="B1251" t="s">
        <v>84</v>
      </c>
      <c r="C1251" t="s">
        <v>73</v>
      </c>
      <c r="D1251" s="1">
        <v>32846</v>
      </c>
      <c r="E1251" t="s">
        <v>1623</v>
      </c>
      <c r="F1251" t="s">
        <v>870</v>
      </c>
    </row>
    <row r="1252" spans="1:6" x14ac:dyDescent="0.25">
      <c r="A1252">
        <v>1350</v>
      </c>
      <c r="B1252" t="s">
        <v>82</v>
      </c>
      <c r="C1252" t="s">
        <v>73</v>
      </c>
      <c r="D1252" s="1">
        <v>19901</v>
      </c>
      <c r="E1252" t="s">
        <v>1624</v>
      </c>
      <c r="F1252" t="s">
        <v>867</v>
      </c>
    </row>
    <row r="1253" spans="1:6" x14ac:dyDescent="0.25">
      <c r="A1253">
        <v>1351</v>
      </c>
      <c r="B1253" t="s">
        <v>104</v>
      </c>
      <c r="C1253" t="s">
        <v>76</v>
      </c>
      <c r="D1253" s="1">
        <v>27514</v>
      </c>
      <c r="E1253" t="s">
        <v>1625</v>
      </c>
      <c r="F1253" t="s">
        <v>869</v>
      </c>
    </row>
    <row r="1254" spans="1:6" x14ac:dyDescent="0.25">
      <c r="A1254">
        <v>1352</v>
      </c>
      <c r="B1254" t="s">
        <v>99</v>
      </c>
      <c r="C1254" t="s">
        <v>76</v>
      </c>
      <c r="D1254" s="1">
        <v>25682</v>
      </c>
      <c r="E1254" t="s">
        <v>1626</v>
      </c>
      <c r="F1254" t="s">
        <v>870</v>
      </c>
    </row>
    <row r="1255" spans="1:6" x14ac:dyDescent="0.25">
      <c r="A1255">
        <v>1353</v>
      </c>
      <c r="B1255" t="s">
        <v>125</v>
      </c>
      <c r="C1255" t="s">
        <v>76</v>
      </c>
      <c r="D1255" s="1">
        <v>33892</v>
      </c>
      <c r="E1255" t="s">
        <v>1627</v>
      </c>
      <c r="F1255" t="s">
        <v>868</v>
      </c>
    </row>
    <row r="1256" spans="1:6" x14ac:dyDescent="0.25">
      <c r="A1256">
        <v>1354</v>
      </c>
      <c r="B1256" t="s">
        <v>127</v>
      </c>
      <c r="C1256" t="s">
        <v>76</v>
      </c>
      <c r="D1256" s="1">
        <v>12551</v>
      </c>
      <c r="E1256" t="s">
        <v>1628</v>
      </c>
      <c r="F1256" t="s">
        <v>869</v>
      </c>
    </row>
    <row r="1257" spans="1:6" x14ac:dyDescent="0.25">
      <c r="A1257">
        <v>1355</v>
      </c>
      <c r="B1257" t="s">
        <v>72</v>
      </c>
      <c r="C1257" t="s">
        <v>73</v>
      </c>
      <c r="D1257" s="1">
        <v>33585</v>
      </c>
      <c r="E1257" t="s">
        <v>1629</v>
      </c>
      <c r="F1257" t="s">
        <v>870</v>
      </c>
    </row>
    <row r="1258" spans="1:6" x14ac:dyDescent="0.25">
      <c r="A1258">
        <v>1356</v>
      </c>
      <c r="B1258" t="s">
        <v>72</v>
      </c>
      <c r="C1258" t="s">
        <v>73</v>
      </c>
      <c r="D1258" s="1">
        <v>44202</v>
      </c>
      <c r="E1258" t="s">
        <v>1630</v>
      </c>
      <c r="F1258" t="s">
        <v>866</v>
      </c>
    </row>
    <row r="1259" spans="1:6" x14ac:dyDescent="0.25">
      <c r="A1259">
        <v>1357</v>
      </c>
      <c r="B1259" t="s">
        <v>120</v>
      </c>
      <c r="C1259" t="s">
        <v>73</v>
      </c>
      <c r="D1259" s="1">
        <v>32049</v>
      </c>
      <c r="E1259" t="s">
        <v>1631</v>
      </c>
      <c r="F1259" t="s">
        <v>867</v>
      </c>
    </row>
    <row r="1260" spans="1:6" x14ac:dyDescent="0.25">
      <c r="A1260">
        <v>1358</v>
      </c>
      <c r="B1260" t="s">
        <v>92</v>
      </c>
      <c r="C1260" t="s">
        <v>76</v>
      </c>
      <c r="D1260" s="1">
        <v>13828</v>
      </c>
      <c r="E1260" t="s">
        <v>1632</v>
      </c>
      <c r="F1260" t="s">
        <v>866</v>
      </c>
    </row>
    <row r="1261" spans="1:6" x14ac:dyDescent="0.25">
      <c r="A1261">
        <v>1359</v>
      </c>
      <c r="B1261" t="s">
        <v>99</v>
      </c>
      <c r="C1261" t="s">
        <v>76</v>
      </c>
      <c r="D1261" s="1">
        <v>29708</v>
      </c>
      <c r="E1261" t="s">
        <v>1633</v>
      </c>
      <c r="F1261" t="s">
        <v>870</v>
      </c>
    </row>
    <row r="1262" spans="1:6" x14ac:dyDescent="0.25">
      <c r="A1262">
        <v>1360</v>
      </c>
      <c r="B1262" t="s">
        <v>84</v>
      </c>
      <c r="C1262" t="s">
        <v>73</v>
      </c>
      <c r="D1262" s="1">
        <v>25469</v>
      </c>
      <c r="E1262" t="s">
        <v>1634</v>
      </c>
      <c r="F1262" t="s">
        <v>873</v>
      </c>
    </row>
    <row r="1263" spans="1:6" x14ac:dyDescent="0.25">
      <c r="A1263">
        <v>1361</v>
      </c>
      <c r="B1263" t="s">
        <v>78</v>
      </c>
      <c r="C1263" t="s">
        <v>73</v>
      </c>
      <c r="D1263" s="1">
        <v>30788</v>
      </c>
      <c r="E1263" t="s">
        <v>1635</v>
      </c>
      <c r="F1263" t="s">
        <v>869</v>
      </c>
    </row>
    <row r="1264" spans="1:6" x14ac:dyDescent="0.25">
      <c r="A1264">
        <v>1362</v>
      </c>
      <c r="B1264" t="s">
        <v>104</v>
      </c>
      <c r="C1264" t="s">
        <v>76</v>
      </c>
      <c r="D1264" s="1">
        <v>38944</v>
      </c>
      <c r="E1264" t="s">
        <v>1636</v>
      </c>
      <c r="F1264" t="s">
        <v>870</v>
      </c>
    </row>
    <row r="1265" spans="1:6" x14ac:dyDescent="0.25">
      <c r="A1265">
        <v>1363</v>
      </c>
      <c r="B1265" t="s">
        <v>125</v>
      </c>
      <c r="C1265" t="s">
        <v>76</v>
      </c>
      <c r="D1265" s="1">
        <v>12225</v>
      </c>
      <c r="E1265" t="s">
        <v>1637</v>
      </c>
      <c r="F1265" t="s">
        <v>870</v>
      </c>
    </row>
    <row r="1266" spans="1:6" x14ac:dyDescent="0.25">
      <c r="A1266">
        <v>1364</v>
      </c>
      <c r="B1266" t="s">
        <v>127</v>
      </c>
      <c r="C1266" t="s">
        <v>76</v>
      </c>
      <c r="D1266" s="1">
        <v>24033</v>
      </c>
      <c r="E1266" t="s">
        <v>1638</v>
      </c>
      <c r="F1266" t="s">
        <v>872</v>
      </c>
    </row>
    <row r="1267" spans="1:6" x14ac:dyDescent="0.25">
      <c r="A1267">
        <v>1365</v>
      </c>
      <c r="B1267" t="s">
        <v>82</v>
      </c>
      <c r="C1267" t="s">
        <v>73</v>
      </c>
      <c r="D1267" s="1">
        <v>13196</v>
      </c>
      <c r="E1267" t="s">
        <v>1639</v>
      </c>
      <c r="F1267" t="s">
        <v>872</v>
      </c>
    </row>
    <row r="1268" spans="1:6" x14ac:dyDescent="0.25">
      <c r="A1268">
        <v>1366</v>
      </c>
      <c r="B1268" t="s">
        <v>75</v>
      </c>
      <c r="C1268" t="s">
        <v>76</v>
      </c>
      <c r="D1268" s="1">
        <v>34593</v>
      </c>
      <c r="E1268" t="s">
        <v>1640</v>
      </c>
      <c r="F1268" t="s">
        <v>871</v>
      </c>
    </row>
    <row r="1269" spans="1:6" x14ac:dyDescent="0.25">
      <c r="A1269">
        <v>1367</v>
      </c>
      <c r="B1269" t="s">
        <v>104</v>
      </c>
      <c r="C1269" t="s">
        <v>76</v>
      </c>
      <c r="D1269" s="1">
        <v>38226</v>
      </c>
      <c r="E1269" t="s">
        <v>1641</v>
      </c>
      <c r="F1269" t="s">
        <v>872</v>
      </c>
    </row>
    <row r="1270" spans="1:6" x14ac:dyDescent="0.25">
      <c r="A1270">
        <v>1368</v>
      </c>
      <c r="B1270" t="s">
        <v>78</v>
      </c>
      <c r="C1270" t="s">
        <v>73</v>
      </c>
      <c r="D1270" s="1">
        <v>12742</v>
      </c>
      <c r="E1270" t="s">
        <v>1642</v>
      </c>
      <c r="F1270" t="s">
        <v>867</v>
      </c>
    </row>
    <row r="1271" spans="1:6" x14ac:dyDescent="0.25">
      <c r="A1271">
        <v>1369</v>
      </c>
      <c r="B1271" t="s">
        <v>92</v>
      </c>
      <c r="C1271" t="s">
        <v>76</v>
      </c>
      <c r="D1271" s="1">
        <v>20529</v>
      </c>
      <c r="E1271" t="s">
        <v>1643</v>
      </c>
      <c r="F1271" t="s">
        <v>869</v>
      </c>
    </row>
    <row r="1272" spans="1:6" x14ac:dyDescent="0.25">
      <c r="A1272">
        <v>1370</v>
      </c>
      <c r="B1272" t="s">
        <v>84</v>
      </c>
      <c r="C1272" t="s">
        <v>73</v>
      </c>
      <c r="D1272" s="1">
        <v>33147</v>
      </c>
      <c r="E1272" t="s">
        <v>1644</v>
      </c>
      <c r="F1272" t="s">
        <v>868</v>
      </c>
    </row>
    <row r="1273" spans="1:6" x14ac:dyDescent="0.25">
      <c r="A1273">
        <v>1371</v>
      </c>
      <c r="B1273" t="s">
        <v>84</v>
      </c>
      <c r="C1273" t="s">
        <v>73</v>
      </c>
      <c r="D1273" s="1">
        <v>30977</v>
      </c>
      <c r="E1273" t="s">
        <v>1645</v>
      </c>
      <c r="F1273" t="s">
        <v>867</v>
      </c>
    </row>
    <row r="1274" spans="1:6" x14ac:dyDescent="0.25">
      <c r="A1274">
        <v>1372</v>
      </c>
      <c r="B1274" t="s">
        <v>80</v>
      </c>
      <c r="C1274" t="s">
        <v>73</v>
      </c>
      <c r="D1274" s="1">
        <v>37029</v>
      </c>
      <c r="E1274" t="s">
        <v>1646</v>
      </c>
      <c r="F1274" t="s">
        <v>870</v>
      </c>
    </row>
    <row r="1275" spans="1:6" x14ac:dyDescent="0.25">
      <c r="A1275">
        <v>1373</v>
      </c>
      <c r="B1275" t="s">
        <v>78</v>
      </c>
      <c r="C1275" t="s">
        <v>73</v>
      </c>
      <c r="D1275" s="1">
        <v>27014</v>
      </c>
      <c r="E1275" t="s">
        <v>1647</v>
      </c>
      <c r="F1275" t="s">
        <v>867</v>
      </c>
    </row>
    <row r="1276" spans="1:6" x14ac:dyDescent="0.25">
      <c r="A1276">
        <v>1374</v>
      </c>
      <c r="B1276" t="s">
        <v>127</v>
      </c>
      <c r="C1276" t="s">
        <v>76</v>
      </c>
      <c r="D1276" s="1">
        <v>37758</v>
      </c>
      <c r="E1276" t="s">
        <v>1648</v>
      </c>
      <c r="F1276" t="s">
        <v>868</v>
      </c>
    </row>
    <row r="1277" spans="1:6" x14ac:dyDescent="0.25">
      <c r="A1277">
        <v>1375</v>
      </c>
      <c r="B1277" t="s">
        <v>99</v>
      </c>
      <c r="C1277" t="s">
        <v>76</v>
      </c>
      <c r="D1277" s="1">
        <v>27610</v>
      </c>
      <c r="E1277" t="s">
        <v>1649</v>
      </c>
      <c r="F1277" t="s">
        <v>871</v>
      </c>
    </row>
    <row r="1278" spans="1:6" x14ac:dyDescent="0.25">
      <c r="A1278">
        <v>1376</v>
      </c>
      <c r="B1278" t="s">
        <v>94</v>
      </c>
      <c r="C1278" t="s">
        <v>73</v>
      </c>
      <c r="D1278" s="1">
        <v>16755</v>
      </c>
      <c r="E1278" t="s">
        <v>1650</v>
      </c>
      <c r="F1278" t="s">
        <v>872</v>
      </c>
    </row>
    <row r="1279" spans="1:6" x14ac:dyDescent="0.25">
      <c r="A1279">
        <v>1377</v>
      </c>
      <c r="B1279" t="s">
        <v>120</v>
      </c>
      <c r="C1279" t="s">
        <v>73</v>
      </c>
      <c r="D1279" s="1">
        <v>11348</v>
      </c>
      <c r="E1279" t="s">
        <v>1651</v>
      </c>
      <c r="F1279" t="s">
        <v>868</v>
      </c>
    </row>
    <row r="1280" spans="1:6" x14ac:dyDescent="0.25">
      <c r="A1280">
        <v>1378</v>
      </c>
      <c r="B1280" t="s">
        <v>122</v>
      </c>
      <c r="C1280" t="s">
        <v>73</v>
      </c>
      <c r="D1280" s="1">
        <v>24717</v>
      </c>
      <c r="E1280" t="s">
        <v>1652</v>
      </c>
      <c r="F1280" t="s">
        <v>867</v>
      </c>
    </row>
    <row r="1281" spans="1:6" x14ac:dyDescent="0.25">
      <c r="A1281">
        <v>1379</v>
      </c>
      <c r="B1281" t="s">
        <v>82</v>
      </c>
      <c r="C1281" t="s">
        <v>73</v>
      </c>
      <c r="D1281" s="1">
        <v>17497</v>
      </c>
      <c r="E1281" t="s">
        <v>1653</v>
      </c>
      <c r="F1281" t="s">
        <v>868</v>
      </c>
    </row>
    <row r="1282" spans="1:6" x14ac:dyDescent="0.25">
      <c r="A1282">
        <v>1380</v>
      </c>
      <c r="B1282" t="s">
        <v>82</v>
      </c>
      <c r="C1282" t="s">
        <v>73</v>
      </c>
      <c r="D1282" s="1">
        <v>25325</v>
      </c>
      <c r="E1282" t="s">
        <v>1654</v>
      </c>
      <c r="F1282" t="s">
        <v>869</v>
      </c>
    </row>
    <row r="1283" spans="1:6" x14ac:dyDescent="0.25">
      <c r="A1283">
        <v>1381</v>
      </c>
      <c r="B1283" t="s">
        <v>104</v>
      </c>
      <c r="C1283" t="s">
        <v>76</v>
      </c>
      <c r="D1283" s="1">
        <v>21727</v>
      </c>
      <c r="E1283" t="s">
        <v>1655</v>
      </c>
      <c r="F1283" t="s">
        <v>868</v>
      </c>
    </row>
    <row r="1284" spans="1:6" x14ac:dyDescent="0.25">
      <c r="A1284">
        <v>1382</v>
      </c>
      <c r="B1284" t="s">
        <v>80</v>
      </c>
      <c r="C1284" t="s">
        <v>73</v>
      </c>
      <c r="D1284" s="1">
        <v>35619</v>
      </c>
      <c r="E1284" t="s">
        <v>1656</v>
      </c>
      <c r="F1284" t="s">
        <v>871</v>
      </c>
    </row>
    <row r="1285" spans="1:6" x14ac:dyDescent="0.25">
      <c r="A1285">
        <v>1383</v>
      </c>
      <c r="B1285" t="s">
        <v>127</v>
      </c>
      <c r="C1285" t="s">
        <v>76</v>
      </c>
      <c r="D1285" s="1">
        <v>41794</v>
      </c>
      <c r="E1285" t="s">
        <v>1657</v>
      </c>
      <c r="F1285" t="s">
        <v>871</v>
      </c>
    </row>
    <row r="1286" spans="1:6" x14ac:dyDescent="0.25">
      <c r="A1286">
        <v>1384</v>
      </c>
      <c r="B1286" t="s">
        <v>120</v>
      </c>
      <c r="C1286" t="s">
        <v>73</v>
      </c>
      <c r="D1286" s="1">
        <v>10486</v>
      </c>
      <c r="E1286" t="s">
        <v>1658</v>
      </c>
      <c r="F1286" t="s">
        <v>866</v>
      </c>
    </row>
    <row r="1287" spans="1:6" x14ac:dyDescent="0.25">
      <c r="A1287">
        <v>1385</v>
      </c>
      <c r="B1287" t="s">
        <v>125</v>
      </c>
      <c r="C1287" t="s">
        <v>76</v>
      </c>
      <c r="D1287" s="1">
        <v>36140</v>
      </c>
      <c r="E1287" t="s">
        <v>1659</v>
      </c>
      <c r="F1287" t="s">
        <v>867</v>
      </c>
    </row>
    <row r="1288" spans="1:6" x14ac:dyDescent="0.25">
      <c r="A1288">
        <v>1386</v>
      </c>
      <c r="B1288" t="s">
        <v>72</v>
      </c>
      <c r="C1288" t="s">
        <v>73</v>
      </c>
      <c r="D1288" s="1">
        <v>44949</v>
      </c>
      <c r="E1288" t="s">
        <v>1660</v>
      </c>
      <c r="F1288" t="s">
        <v>870</v>
      </c>
    </row>
    <row r="1289" spans="1:6" x14ac:dyDescent="0.25">
      <c r="A1289">
        <v>1387</v>
      </c>
      <c r="B1289" t="s">
        <v>86</v>
      </c>
      <c r="C1289" t="s">
        <v>76</v>
      </c>
      <c r="D1289" s="1">
        <v>10395</v>
      </c>
      <c r="E1289" t="s">
        <v>1661</v>
      </c>
      <c r="F1289" t="s">
        <v>868</v>
      </c>
    </row>
    <row r="1290" spans="1:6" x14ac:dyDescent="0.25">
      <c r="A1290">
        <v>1388</v>
      </c>
      <c r="B1290" t="s">
        <v>120</v>
      </c>
      <c r="C1290" t="s">
        <v>73</v>
      </c>
      <c r="D1290" s="1">
        <v>16219</v>
      </c>
      <c r="E1290" t="s">
        <v>1662</v>
      </c>
      <c r="F1290" t="s">
        <v>866</v>
      </c>
    </row>
    <row r="1291" spans="1:6" x14ac:dyDescent="0.25">
      <c r="A1291">
        <v>1389</v>
      </c>
      <c r="B1291" t="s">
        <v>80</v>
      </c>
      <c r="C1291" t="s">
        <v>73</v>
      </c>
      <c r="D1291" s="1">
        <v>31287</v>
      </c>
      <c r="E1291" t="s">
        <v>1663</v>
      </c>
      <c r="F1291" t="s">
        <v>868</v>
      </c>
    </row>
    <row r="1292" spans="1:6" x14ac:dyDescent="0.25">
      <c r="A1292">
        <v>1390</v>
      </c>
      <c r="B1292" t="s">
        <v>84</v>
      </c>
      <c r="C1292" t="s">
        <v>73</v>
      </c>
      <c r="D1292" s="1">
        <v>33468</v>
      </c>
      <c r="E1292" t="s">
        <v>1664</v>
      </c>
      <c r="F1292" t="s">
        <v>866</v>
      </c>
    </row>
    <row r="1293" spans="1:6" x14ac:dyDescent="0.25">
      <c r="A1293">
        <v>1391</v>
      </c>
      <c r="B1293" t="s">
        <v>82</v>
      </c>
      <c r="C1293" t="s">
        <v>73</v>
      </c>
      <c r="D1293" s="1">
        <v>20241</v>
      </c>
      <c r="E1293" t="s">
        <v>1665</v>
      </c>
      <c r="F1293" t="s">
        <v>869</v>
      </c>
    </row>
    <row r="1294" spans="1:6" x14ac:dyDescent="0.25">
      <c r="A1294">
        <v>1392</v>
      </c>
      <c r="B1294" t="s">
        <v>99</v>
      </c>
      <c r="C1294" t="s">
        <v>76</v>
      </c>
      <c r="D1294" s="1">
        <v>41121</v>
      </c>
      <c r="E1294" t="s">
        <v>1666</v>
      </c>
      <c r="F1294" t="s">
        <v>871</v>
      </c>
    </row>
    <row r="1295" spans="1:6" x14ac:dyDescent="0.25">
      <c r="A1295">
        <v>1393</v>
      </c>
      <c r="B1295" t="s">
        <v>75</v>
      </c>
      <c r="C1295" t="s">
        <v>76</v>
      </c>
      <c r="D1295" s="1">
        <v>45381</v>
      </c>
      <c r="E1295" t="s">
        <v>1667</v>
      </c>
      <c r="F1295" t="s">
        <v>871</v>
      </c>
    </row>
    <row r="1296" spans="1:6" x14ac:dyDescent="0.25">
      <c r="A1296">
        <v>1394</v>
      </c>
      <c r="B1296" t="s">
        <v>127</v>
      </c>
      <c r="C1296" t="s">
        <v>76</v>
      </c>
      <c r="D1296" s="1">
        <v>29979</v>
      </c>
      <c r="E1296" t="s">
        <v>1668</v>
      </c>
      <c r="F1296" t="s">
        <v>868</v>
      </c>
    </row>
    <row r="1297" spans="1:6" x14ac:dyDescent="0.25">
      <c r="A1297">
        <v>1395</v>
      </c>
      <c r="B1297" t="s">
        <v>122</v>
      </c>
      <c r="C1297" t="s">
        <v>73</v>
      </c>
      <c r="D1297" s="1">
        <v>16531</v>
      </c>
      <c r="E1297" t="s">
        <v>1669</v>
      </c>
      <c r="F1297" t="s">
        <v>866</v>
      </c>
    </row>
    <row r="1298" spans="1:6" x14ac:dyDescent="0.25">
      <c r="A1298">
        <v>1396</v>
      </c>
      <c r="B1298" t="s">
        <v>104</v>
      </c>
      <c r="C1298" t="s">
        <v>76</v>
      </c>
      <c r="D1298" s="1">
        <v>26927</v>
      </c>
      <c r="E1298" t="s">
        <v>1670</v>
      </c>
      <c r="F1298" t="s">
        <v>867</v>
      </c>
    </row>
    <row r="1299" spans="1:6" x14ac:dyDescent="0.25">
      <c r="A1299">
        <v>1397</v>
      </c>
      <c r="B1299" t="s">
        <v>122</v>
      </c>
      <c r="C1299" t="s">
        <v>73</v>
      </c>
      <c r="D1299" s="1">
        <v>31415</v>
      </c>
      <c r="E1299" t="s">
        <v>1671</v>
      </c>
      <c r="F1299" t="s">
        <v>873</v>
      </c>
    </row>
    <row r="1300" spans="1:6" x14ac:dyDescent="0.25">
      <c r="A1300">
        <v>1398</v>
      </c>
      <c r="B1300" t="s">
        <v>75</v>
      </c>
      <c r="C1300" t="s">
        <v>76</v>
      </c>
      <c r="D1300" s="1">
        <v>19128</v>
      </c>
      <c r="E1300" t="s">
        <v>1672</v>
      </c>
      <c r="F1300" t="s">
        <v>868</v>
      </c>
    </row>
    <row r="1301" spans="1:6" x14ac:dyDescent="0.25">
      <c r="A1301">
        <v>1399</v>
      </c>
      <c r="B1301" t="s">
        <v>94</v>
      </c>
      <c r="C1301" t="s">
        <v>73</v>
      </c>
      <c r="D1301" s="1">
        <v>33421</v>
      </c>
      <c r="E1301" t="s">
        <v>1673</v>
      </c>
      <c r="F1301" t="s">
        <v>867</v>
      </c>
    </row>
    <row r="1302" spans="1:6" x14ac:dyDescent="0.25">
      <c r="A1302">
        <v>1400</v>
      </c>
      <c r="B1302" t="s">
        <v>99</v>
      </c>
      <c r="C1302" t="s">
        <v>76</v>
      </c>
      <c r="D1302" s="1">
        <v>32196</v>
      </c>
      <c r="E1302" t="s">
        <v>1674</v>
      </c>
      <c r="F1302" t="s">
        <v>873</v>
      </c>
    </row>
    <row r="1303" spans="1:6" x14ac:dyDescent="0.25">
      <c r="A1303">
        <v>1401</v>
      </c>
      <c r="B1303" t="s">
        <v>104</v>
      </c>
      <c r="C1303" t="s">
        <v>76</v>
      </c>
      <c r="D1303" s="1">
        <v>31972</v>
      </c>
      <c r="E1303" t="s">
        <v>1675</v>
      </c>
      <c r="F1303" t="s">
        <v>870</v>
      </c>
    </row>
    <row r="1304" spans="1:6" x14ac:dyDescent="0.25">
      <c r="A1304">
        <v>1402</v>
      </c>
      <c r="B1304" t="s">
        <v>99</v>
      </c>
      <c r="C1304" t="s">
        <v>76</v>
      </c>
      <c r="D1304" s="1">
        <v>12014</v>
      </c>
      <c r="E1304" t="s">
        <v>1676</v>
      </c>
      <c r="F1304" t="s">
        <v>869</v>
      </c>
    </row>
    <row r="1305" spans="1:6" x14ac:dyDescent="0.25">
      <c r="A1305">
        <v>1403</v>
      </c>
      <c r="B1305" t="s">
        <v>84</v>
      </c>
      <c r="C1305" t="s">
        <v>73</v>
      </c>
      <c r="D1305" s="1">
        <v>17457</v>
      </c>
      <c r="E1305" t="s">
        <v>1677</v>
      </c>
      <c r="F1305" t="s">
        <v>870</v>
      </c>
    </row>
    <row r="1306" spans="1:6" x14ac:dyDescent="0.25">
      <c r="A1306">
        <v>1404</v>
      </c>
      <c r="B1306" t="s">
        <v>99</v>
      </c>
      <c r="C1306" t="s">
        <v>76</v>
      </c>
      <c r="D1306" s="1">
        <v>18444</v>
      </c>
      <c r="E1306" t="s">
        <v>1678</v>
      </c>
      <c r="F1306" t="s">
        <v>873</v>
      </c>
    </row>
    <row r="1307" spans="1:6" x14ac:dyDescent="0.25">
      <c r="A1307">
        <v>1405</v>
      </c>
      <c r="B1307" t="s">
        <v>86</v>
      </c>
      <c r="C1307" t="s">
        <v>76</v>
      </c>
      <c r="D1307" s="1">
        <v>30080</v>
      </c>
      <c r="E1307" t="s">
        <v>1679</v>
      </c>
      <c r="F1307" t="s">
        <v>871</v>
      </c>
    </row>
    <row r="1308" spans="1:6" x14ac:dyDescent="0.25">
      <c r="A1308">
        <v>1406</v>
      </c>
      <c r="B1308" t="s">
        <v>84</v>
      </c>
      <c r="C1308" t="s">
        <v>73</v>
      </c>
      <c r="D1308" s="1">
        <v>17155</v>
      </c>
      <c r="E1308" t="s">
        <v>1680</v>
      </c>
      <c r="F1308" t="s">
        <v>872</v>
      </c>
    </row>
    <row r="1309" spans="1:6" x14ac:dyDescent="0.25">
      <c r="A1309">
        <v>1407</v>
      </c>
      <c r="B1309" t="s">
        <v>92</v>
      </c>
      <c r="C1309" t="s">
        <v>76</v>
      </c>
      <c r="D1309" s="1">
        <v>20863</v>
      </c>
      <c r="E1309" t="s">
        <v>1681</v>
      </c>
      <c r="F1309" t="s">
        <v>867</v>
      </c>
    </row>
    <row r="1310" spans="1:6" x14ac:dyDescent="0.25">
      <c r="A1310">
        <v>1408</v>
      </c>
      <c r="B1310" t="s">
        <v>104</v>
      </c>
      <c r="C1310" t="s">
        <v>76</v>
      </c>
      <c r="D1310" s="1">
        <v>36118</v>
      </c>
      <c r="E1310" t="s">
        <v>1682</v>
      </c>
      <c r="F1310" t="s">
        <v>872</v>
      </c>
    </row>
    <row r="1311" spans="1:6" x14ac:dyDescent="0.25">
      <c r="A1311">
        <v>1409</v>
      </c>
      <c r="B1311" t="s">
        <v>84</v>
      </c>
      <c r="C1311" t="s">
        <v>73</v>
      </c>
      <c r="D1311" s="1">
        <v>25692</v>
      </c>
      <c r="E1311" t="s">
        <v>1683</v>
      </c>
      <c r="F1311" t="s">
        <v>868</v>
      </c>
    </row>
    <row r="1312" spans="1:6" x14ac:dyDescent="0.25">
      <c r="A1312">
        <v>1410</v>
      </c>
      <c r="B1312" t="s">
        <v>80</v>
      </c>
      <c r="C1312" t="s">
        <v>73</v>
      </c>
      <c r="D1312" s="1">
        <v>37387</v>
      </c>
      <c r="E1312" t="s">
        <v>1684</v>
      </c>
      <c r="F1312" t="s">
        <v>871</v>
      </c>
    </row>
    <row r="1313" spans="1:6" x14ac:dyDescent="0.25">
      <c r="A1313">
        <v>1411</v>
      </c>
      <c r="B1313" t="s">
        <v>99</v>
      </c>
      <c r="C1313" t="s">
        <v>76</v>
      </c>
      <c r="D1313" s="1">
        <v>28141</v>
      </c>
      <c r="E1313" t="s">
        <v>1685</v>
      </c>
      <c r="F1313" t="s">
        <v>868</v>
      </c>
    </row>
    <row r="1314" spans="1:6" x14ac:dyDescent="0.25">
      <c r="A1314">
        <v>1412</v>
      </c>
      <c r="B1314" t="s">
        <v>104</v>
      </c>
      <c r="C1314" t="s">
        <v>76</v>
      </c>
      <c r="D1314" s="1">
        <v>26809</v>
      </c>
      <c r="E1314" t="s">
        <v>1686</v>
      </c>
      <c r="F1314" t="s">
        <v>873</v>
      </c>
    </row>
    <row r="1315" spans="1:6" x14ac:dyDescent="0.25">
      <c r="A1315">
        <v>1413</v>
      </c>
      <c r="B1315" t="s">
        <v>75</v>
      </c>
      <c r="C1315" t="s">
        <v>76</v>
      </c>
      <c r="D1315" s="1">
        <v>40708</v>
      </c>
      <c r="E1315" t="s">
        <v>1687</v>
      </c>
      <c r="F1315" t="s">
        <v>869</v>
      </c>
    </row>
    <row r="1316" spans="1:6" x14ac:dyDescent="0.25">
      <c r="A1316">
        <v>1414</v>
      </c>
      <c r="B1316" t="s">
        <v>80</v>
      </c>
      <c r="C1316" t="s">
        <v>73</v>
      </c>
      <c r="D1316" s="1">
        <v>33809</v>
      </c>
      <c r="E1316" t="s">
        <v>1688</v>
      </c>
      <c r="F1316" t="s">
        <v>873</v>
      </c>
    </row>
    <row r="1317" spans="1:6" x14ac:dyDescent="0.25">
      <c r="A1317">
        <v>1415</v>
      </c>
      <c r="B1317" t="s">
        <v>80</v>
      </c>
      <c r="C1317" t="s">
        <v>73</v>
      </c>
      <c r="D1317" s="1">
        <v>37581</v>
      </c>
      <c r="E1317" t="s">
        <v>1689</v>
      </c>
      <c r="F1317" t="s">
        <v>866</v>
      </c>
    </row>
    <row r="1318" spans="1:6" x14ac:dyDescent="0.25">
      <c r="A1318">
        <v>1416</v>
      </c>
      <c r="B1318" t="s">
        <v>99</v>
      </c>
      <c r="C1318" t="s">
        <v>76</v>
      </c>
      <c r="D1318" s="1">
        <v>19362</v>
      </c>
      <c r="E1318" t="s">
        <v>1690</v>
      </c>
      <c r="F1318" t="s">
        <v>869</v>
      </c>
    </row>
    <row r="1319" spans="1:6" x14ac:dyDescent="0.25">
      <c r="A1319">
        <v>1417</v>
      </c>
      <c r="B1319" t="s">
        <v>127</v>
      </c>
      <c r="C1319" t="s">
        <v>76</v>
      </c>
      <c r="D1319" s="1">
        <v>34141</v>
      </c>
      <c r="E1319" t="s">
        <v>1691</v>
      </c>
      <c r="F1319" t="s">
        <v>872</v>
      </c>
    </row>
    <row r="1320" spans="1:6" x14ac:dyDescent="0.25">
      <c r="A1320">
        <v>1418</v>
      </c>
      <c r="B1320" t="s">
        <v>86</v>
      </c>
      <c r="C1320" t="s">
        <v>76</v>
      </c>
      <c r="D1320" s="1">
        <v>32234</v>
      </c>
      <c r="E1320" t="s">
        <v>1692</v>
      </c>
      <c r="F1320" t="s">
        <v>871</v>
      </c>
    </row>
    <row r="1321" spans="1:6" x14ac:dyDescent="0.25">
      <c r="A1321">
        <v>1419</v>
      </c>
      <c r="B1321" t="s">
        <v>89</v>
      </c>
      <c r="C1321" t="s">
        <v>76</v>
      </c>
      <c r="D1321" s="1">
        <v>31293</v>
      </c>
      <c r="E1321" t="s">
        <v>1693</v>
      </c>
      <c r="F1321" t="s">
        <v>866</v>
      </c>
    </row>
    <row r="1322" spans="1:6" x14ac:dyDescent="0.25">
      <c r="A1322">
        <v>1420</v>
      </c>
      <c r="B1322" t="s">
        <v>120</v>
      </c>
      <c r="C1322" t="s">
        <v>73</v>
      </c>
      <c r="D1322" s="1">
        <v>11753</v>
      </c>
      <c r="E1322" t="s">
        <v>1694</v>
      </c>
      <c r="F1322" t="s">
        <v>872</v>
      </c>
    </row>
    <row r="1323" spans="1:6" x14ac:dyDescent="0.25">
      <c r="A1323">
        <v>1421</v>
      </c>
      <c r="B1323" t="s">
        <v>94</v>
      </c>
      <c r="C1323" t="s">
        <v>73</v>
      </c>
      <c r="D1323" s="1">
        <v>15733</v>
      </c>
      <c r="E1323" t="s">
        <v>1695</v>
      </c>
      <c r="F1323" t="s">
        <v>870</v>
      </c>
    </row>
    <row r="1324" spans="1:6" x14ac:dyDescent="0.25">
      <c r="A1324">
        <v>1422</v>
      </c>
      <c r="B1324" t="s">
        <v>72</v>
      </c>
      <c r="C1324" t="s">
        <v>73</v>
      </c>
      <c r="D1324" s="1">
        <v>29242</v>
      </c>
      <c r="E1324" t="s">
        <v>1696</v>
      </c>
      <c r="F1324" t="s">
        <v>871</v>
      </c>
    </row>
    <row r="1325" spans="1:6" x14ac:dyDescent="0.25">
      <c r="A1325">
        <v>1423</v>
      </c>
      <c r="B1325" t="s">
        <v>92</v>
      </c>
      <c r="C1325" t="s">
        <v>76</v>
      </c>
      <c r="D1325" s="1">
        <v>14073</v>
      </c>
      <c r="E1325" t="s">
        <v>1697</v>
      </c>
      <c r="F1325" t="s">
        <v>871</v>
      </c>
    </row>
    <row r="1326" spans="1:6" x14ac:dyDescent="0.25">
      <c r="A1326">
        <v>1424</v>
      </c>
      <c r="B1326" t="s">
        <v>125</v>
      </c>
      <c r="C1326" t="s">
        <v>76</v>
      </c>
      <c r="D1326" s="1">
        <v>35184</v>
      </c>
      <c r="E1326" t="s">
        <v>1698</v>
      </c>
      <c r="F1326" t="s">
        <v>871</v>
      </c>
    </row>
    <row r="1327" spans="1:6" x14ac:dyDescent="0.25">
      <c r="A1327">
        <v>1425</v>
      </c>
      <c r="B1327" t="s">
        <v>78</v>
      </c>
      <c r="C1327" t="s">
        <v>73</v>
      </c>
      <c r="D1327" s="1">
        <v>18660</v>
      </c>
      <c r="E1327" t="s">
        <v>1699</v>
      </c>
      <c r="F1327" t="s">
        <v>869</v>
      </c>
    </row>
    <row r="1328" spans="1:6" x14ac:dyDescent="0.25">
      <c r="A1328">
        <v>1426</v>
      </c>
      <c r="B1328" t="s">
        <v>78</v>
      </c>
      <c r="C1328" t="s">
        <v>73</v>
      </c>
      <c r="D1328" s="1">
        <v>12649</v>
      </c>
      <c r="E1328" t="s">
        <v>1700</v>
      </c>
      <c r="F1328" t="s">
        <v>873</v>
      </c>
    </row>
    <row r="1329" spans="1:6" x14ac:dyDescent="0.25">
      <c r="A1329">
        <v>1427</v>
      </c>
      <c r="B1329" t="s">
        <v>82</v>
      </c>
      <c r="C1329" t="s">
        <v>73</v>
      </c>
      <c r="D1329" s="1">
        <v>39177</v>
      </c>
      <c r="E1329" t="s">
        <v>1701</v>
      </c>
      <c r="F1329" t="s">
        <v>871</v>
      </c>
    </row>
    <row r="1330" spans="1:6" x14ac:dyDescent="0.25">
      <c r="A1330">
        <v>1428</v>
      </c>
      <c r="B1330" t="s">
        <v>104</v>
      </c>
      <c r="C1330" t="s">
        <v>76</v>
      </c>
      <c r="D1330" s="1">
        <v>36494</v>
      </c>
      <c r="E1330" t="s">
        <v>1702</v>
      </c>
      <c r="F1330" t="s">
        <v>872</v>
      </c>
    </row>
    <row r="1331" spans="1:6" x14ac:dyDescent="0.25">
      <c r="A1331">
        <v>1429</v>
      </c>
      <c r="B1331" t="s">
        <v>86</v>
      </c>
      <c r="C1331" t="s">
        <v>76</v>
      </c>
      <c r="D1331" s="1">
        <v>15878</v>
      </c>
      <c r="E1331" t="s">
        <v>1703</v>
      </c>
      <c r="F1331" t="s">
        <v>871</v>
      </c>
    </row>
    <row r="1332" spans="1:6" x14ac:dyDescent="0.25">
      <c r="A1332">
        <v>1430</v>
      </c>
      <c r="B1332" t="s">
        <v>99</v>
      </c>
      <c r="C1332" t="s">
        <v>76</v>
      </c>
      <c r="D1332" s="1">
        <v>39326</v>
      </c>
      <c r="E1332" t="s">
        <v>1704</v>
      </c>
      <c r="F1332" t="s">
        <v>867</v>
      </c>
    </row>
    <row r="1333" spans="1:6" x14ac:dyDescent="0.25">
      <c r="A1333">
        <v>1431</v>
      </c>
      <c r="B1333" t="s">
        <v>104</v>
      </c>
      <c r="C1333" t="s">
        <v>76</v>
      </c>
      <c r="D1333" s="1">
        <v>41285</v>
      </c>
      <c r="E1333" t="s">
        <v>1705</v>
      </c>
      <c r="F1333" t="s">
        <v>872</v>
      </c>
    </row>
    <row r="1334" spans="1:6" x14ac:dyDescent="0.25">
      <c r="A1334">
        <v>1432</v>
      </c>
      <c r="B1334" t="s">
        <v>86</v>
      </c>
      <c r="C1334" t="s">
        <v>76</v>
      </c>
      <c r="D1334" s="1">
        <v>20187</v>
      </c>
      <c r="E1334" t="s">
        <v>1706</v>
      </c>
      <c r="F1334" t="s">
        <v>872</v>
      </c>
    </row>
    <row r="1335" spans="1:6" x14ac:dyDescent="0.25">
      <c r="A1335">
        <v>1433</v>
      </c>
      <c r="B1335" t="s">
        <v>78</v>
      </c>
      <c r="C1335" t="s">
        <v>73</v>
      </c>
      <c r="D1335" s="1">
        <v>29867</v>
      </c>
      <c r="E1335" t="s">
        <v>1707</v>
      </c>
      <c r="F1335" t="s">
        <v>871</v>
      </c>
    </row>
    <row r="1336" spans="1:6" x14ac:dyDescent="0.25">
      <c r="A1336">
        <v>1434</v>
      </c>
      <c r="B1336" t="s">
        <v>99</v>
      </c>
      <c r="C1336" t="s">
        <v>76</v>
      </c>
      <c r="D1336" s="1">
        <v>27814</v>
      </c>
      <c r="E1336" t="s">
        <v>1708</v>
      </c>
      <c r="F1336" t="s">
        <v>873</v>
      </c>
    </row>
    <row r="1337" spans="1:6" x14ac:dyDescent="0.25">
      <c r="A1337">
        <v>1435</v>
      </c>
      <c r="B1337" t="s">
        <v>104</v>
      </c>
      <c r="C1337" t="s">
        <v>76</v>
      </c>
      <c r="D1337" s="1">
        <v>29337</v>
      </c>
      <c r="E1337" t="s">
        <v>1709</v>
      </c>
      <c r="F1337" t="s">
        <v>872</v>
      </c>
    </row>
    <row r="1338" spans="1:6" x14ac:dyDescent="0.25">
      <c r="A1338">
        <v>1436</v>
      </c>
      <c r="B1338" t="s">
        <v>86</v>
      </c>
      <c r="C1338" t="s">
        <v>76</v>
      </c>
      <c r="D1338" s="1">
        <v>36038</v>
      </c>
      <c r="E1338" t="s">
        <v>1710</v>
      </c>
      <c r="F1338" t="s">
        <v>867</v>
      </c>
    </row>
    <row r="1339" spans="1:6" x14ac:dyDescent="0.25">
      <c r="A1339">
        <v>1437</v>
      </c>
      <c r="B1339" t="s">
        <v>78</v>
      </c>
      <c r="C1339" t="s">
        <v>73</v>
      </c>
      <c r="D1339" s="1">
        <v>19834</v>
      </c>
      <c r="E1339" t="s">
        <v>1711</v>
      </c>
      <c r="F1339" t="s">
        <v>869</v>
      </c>
    </row>
    <row r="1340" spans="1:6" x14ac:dyDescent="0.25">
      <c r="A1340">
        <v>1438</v>
      </c>
      <c r="B1340" t="s">
        <v>104</v>
      </c>
      <c r="C1340" t="s">
        <v>76</v>
      </c>
      <c r="D1340" s="1">
        <v>12969</v>
      </c>
      <c r="E1340" t="s">
        <v>1712</v>
      </c>
      <c r="F1340" t="s">
        <v>867</v>
      </c>
    </row>
    <row r="1341" spans="1:6" x14ac:dyDescent="0.25">
      <c r="A1341">
        <v>1439</v>
      </c>
      <c r="B1341" t="s">
        <v>104</v>
      </c>
      <c r="C1341" t="s">
        <v>76</v>
      </c>
      <c r="D1341" s="1">
        <v>27473</v>
      </c>
      <c r="E1341" t="s">
        <v>1713</v>
      </c>
      <c r="F1341" t="s">
        <v>868</v>
      </c>
    </row>
    <row r="1342" spans="1:6" x14ac:dyDescent="0.25">
      <c r="A1342">
        <v>1440</v>
      </c>
      <c r="B1342" t="s">
        <v>99</v>
      </c>
      <c r="C1342" t="s">
        <v>76</v>
      </c>
      <c r="D1342" s="1">
        <v>36723</v>
      </c>
      <c r="E1342" t="s">
        <v>1714</v>
      </c>
      <c r="F1342" t="s">
        <v>867</v>
      </c>
    </row>
    <row r="1343" spans="1:6" x14ac:dyDescent="0.25">
      <c r="A1343">
        <v>1441</v>
      </c>
      <c r="B1343" t="s">
        <v>82</v>
      </c>
      <c r="C1343" t="s">
        <v>73</v>
      </c>
      <c r="D1343" s="1">
        <v>10227</v>
      </c>
      <c r="E1343" t="s">
        <v>1715</v>
      </c>
      <c r="F1343" t="s">
        <v>871</v>
      </c>
    </row>
    <row r="1344" spans="1:6" x14ac:dyDescent="0.25">
      <c r="A1344">
        <v>1442</v>
      </c>
      <c r="B1344" t="s">
        <v>82</v>
      </c>
      <c r="C1344" t="s">
        <v>73</v>
      </c>
      <c r="D1344" s="1">
        <v>41349</v>
      </c>
      <c r="E1344" t="s">
        <v>1716</v>
      </c>
      <c r="F1344" t="s">
        <v>868</v>
      </c>
    </row>
    <row r="1345" spans="1:6" x14ac:dyDescent="0.25">
      <c r="A1345">
        <v>1443</v>
      </c>
      <c r="B1345" t="s">
        <v>125</v>
      </c>
      <c r="C1345" t="s">
        <v>76</v>
      </c>
      <c r="D1345" s="1">
        <v>31126</v>
      </c>
      <c r="E1345" t="s">
        <v>1717</v>
      </c>
      <c r="F1345" t="s">
        <v>871</v>
      </c>
    </row>
    <row r="1346" spans="1:6" x14ac:dyDescent="0.25">
      <c r="A1346">
        <v>1444</v>
      </c>
      <c r="B1346" t="s">
        <v>84</v>
      </c>
      <c r="C1346" t="s">
        <v>73</v>
      </c>
      <c r="D1346" s="1">
        <v>16697</v>
      </c>
      <c r="E1346" t="s">
        <v>1718</v>
      </c>
      <c r="F1346" t="s">
        <v>868</v>
      </c>
    </row>
    <row r="1347" spans="1:6" x14ac:dyDescent="0.25">
      <c r="A1347">
        <v>1445</v>
      </c>
      <c r="B1347" t="s">
        <v>75</v>
      </c>
      <c r="C1347" t="s">
        <v>76</v>
      </c>
      <c r="D1347" s="1">
        <v>33141</v>
      </c>
      <c r="E1347" t="s">
        <v>1719</v>
      </c>
      <c r="F1347" t="s">
        <v>872</v>
      </c>
    </row>
    <row r="1348" spans="1:6" x14ac:dyDescent="0.25">
      <c r="A1348">
        <v>1446</v>
      </c>
      <c r="B1348" t="s">
        <v>84</v>
      </c>
      <c r="C1348" t="s">
        <v>73</v>
      </c>
      <c r="D1348" s="1">
        <v>13685</v>
      </c>
      <c r="E1348" t="s">
        <v>1720</v>
      </c>
      <c r="F1348" t="s">
        <v>868</v>
      </c>
    </row>
    <row r="1349" spans="1:6" x14ac:dyDescent="0.25">
      <c r="A1349">
        <v>1447</v>
      </c>
      <c r="B1349" t="s">
        <v>84</v>
      </c>
      <c r="C1349" t="s">
        <v>73</v>
      </c>
      <c r="D1349" s="1">
        <v>39015</v>
      </c>
      <c r="E1349" t="s">
        <v>1721</v>
      </c>
      <c r="F1349" t="s">
        <v>866</v>
      </c>
    </row>
    <row r="1350" spans="1:6" x14ac:dyDescent="0.25">
      <c r="A1350">
        <v>1448</v>
      </c>
      <c r="B1350" t="s">
        <v>122</v>
      </c>
      <c r="C1350" t="s">
        <v>73</v>
      </c>
      <c r="D1350" s="1">
        <v>26497</v>
      </c>
      <c r="E1350" t="s">
        <v>1722</v>
      </c>
      <c r="F1350" t="s">
        <v>873</v>
      </c>
    </row>
    <row r="1351" spans="1:6" x14ac:dyDescent="0.25">
      <c r="A1351">
        <v>1449</v>
      </c>
      <c r="B1351" t="s">
        <v>82</v>
      </c>
      <c r="C1351" t="s">
        <v>73</v>
      </c>
      <c r="D1351" s="1">
        <v>14632</v>
      </c>
      <c r="E1351" t="s">
        <v>1723</v>
      </c>
      <c r="F1351" t="s">
        <v>871</v>
      </c>
    </row>
    <row r="1352" spans="1:6" x14ac:dyDescent="0.25">
      <c r="A1352">
        <v>1450</v>
      </c>
      <c r="B1352" t="s">
        <v>78</v>
      </c>
      <c r="C1352" t="s">
        <v>73</v>
      </c>
      <c r="D1352" s="1">
        <v>16748</v>
      </c>
      <c r="E1352" t="s">
        <v>1724</v>
      </c>
      <c r="F1352" t="s">
        <v>867</v>
      </c>
    </row>
    <row r="1353" spans="1:6" x14ac:dyDescent="0.25">
      <c r="A1353">
        <v>1451</v>
      </c>
      <c r="B1353" t="s">
        <v>89</v>
      </c>
      <c r="C1353" t="s">
        <v>76</v>
      </c>
      <c r="D1353" s="1">
        <v>33928</v>
      </c>
      <c r="E1353" t="s">
        <v>1725</v>
      </c>
      <c r="F1353" t="s">
        <v>871</v>
      </c>
    </row>
    <row r="1354" spans="1:6" x14ac:dyDescent="0.25">
      <c r="A1354">
        <v>1452</v>
      </c>
      <c r="B1354" t="s">
        <v>72</v>
      </c>
      <c r="C1354" t="s">
        <v>73</v>
      </c>
      <c r="D1354" s="1">
        <v>23485</v>
      </c>
      <c r="E1354" t="s">
        <v>1726</v>
      </c>
      <c r="F1354" t="s">
        <v>869</v>
      </c>
    </row>
    <row r="1355" spans="1:6" x14ac:dyDescent="0.25">
      <c r="A1355">
        <v>1453</v>
      </c>
      <c r="B1355" t="s">
        <v>78</v>
      </c>
      <c r="C1355" t="s">
        <v>73</v>
      </c>
      <c r="D1355" s="1">
        <v>31849</v>
      </c>
      <c r="E1355" t="s">
        <v>1727</v>
      </c>
      <c r="F1355" t="s">
        <v>873</v>
      </c>
    </row>
    <row r="1356" spans="1:6" x14ac:dyDescent="0.25">
      <c r="A1356">
        <v>1454</v>
      </c>
      <c r="B1356" t="s">
        <v>122</v>
      </c>
      <c r="C1356" t="s">
        <v>73</v>
      </c>
      <c r="D1356" s="1">
        <v>38273</v>
      </c>
      <c r="E1356" t="s">
        <v>1728</v>
      </c>
      <c r="F1356" t="s">
        <v>867</v>
      </c>
    </row>
    <row r="1357" spans="1:6" x14ac:dyDescent="0.25">
      <c r="A1357">
        <v>1455</v>
      </c>
      <c r="B1357" t="s">
        <v>82</v>
      </c>
      <c r="C1357" t="s">
        <v>73</v>
      </c>
      <c r="D1357" s="1">
        <v>19140</v>
      </c>
      <c r="E1357" t="s">
        <v>1729</v>
      </c>
      <c r="F1357" t="s">
        <v>867</v>
      </c>
    </row>
    <row r="1358" spans="1:6" x14ac:dyDescent="0.25">
      <c r="A1358">
        <v>1456</v>
      </c>
      <c r="B1358" t="s">
        <v>75</v>
      </c>
      <c r="C1358" t="s">
        <v>76</v>
      </c>
      <c r="D1358" s="1">
        <v>21000</v>
      </c>
      <c r="E1358" t="s">
        <v>1730</v>
      </c>
      <c r="F1358" t="s">
        <v>866</v>
      </c>
    </row>
    <row r="1359" spans="1:6" x14ac:dyDescent="0.25">
      <c r="A1359">
        <v>1457</v>
      </c>
      <c r="B1359" t="s">
        <v>82</v>
      </c>
      <c r="C1359" t="s">
        <v>73</v>
      </c>
      <c r="D1359" s="1">
        <v>14645</v>
      </c>
      <c r="E1359" t="s">
        <v>1731</v>
      </c>
      <c r="F1359" t="s">
        <v>868</v>
      </c>
    </row>
    <row r="1360" spans="1:6" x14ac:dyDescent="0.25">
      <c r="A1360">
        <v>1458</v>
      </c>
      <c r="B1360" t="s">
        <v>72</v>
      </c>
      <c r="C1360" t="s">
        <v>73</v>
      </c>
      <c r="D1360" s="1">
        <v>25883</v>
      </c>
      <c r="E1360" t="s">
        <v>1732</v>
      </c>
      <c r="F1360" t="s">
        <v>872</v>
      </c>
    </row>
    <row r="1361" spans="1:6" x14ac:dyDescent="0.25">
      <c r="A1361">
        <v>1459</v>
      </c>
      <c r="B1361" t="s">
        <v>127</v>
      </c>
      <c r="C1361" t="s">
        <v>76</v>
      </c>
      <c r="D1361" s="1">
        <v>12759</v>
      </c>
      <c r="E1361" t="s">
        <v>1733</v>
      </c>
      <c r="F1361" t="s">
        <v>873</v>
      </c>
    </row>
    <row r="1362" spans="1:6" x14ac:dyDescent="0.25">
      <c r="A1362">
        <v>1460</v>
      </c>
      <c r="B1362" t="s">
        <v>86</v>
      </c>
      <c r="C1362" t="s">
        <v>76</v>
      </c>
      <c r="D1362" s="1">
        <v>15205</v>
      </c>
      <c r="E1362" t="s">
        <v>1734</v>
      </c>
      <c r="F1362" t="s">
        <v>871</v>
      </c>
    </row>
    <row r="1363" spans="1:6" x14ac:dyDescent="0.25">
      <c r="A1363">
        <v>1461</v>
      </c>
      <c r="B1363" t="s">
        <v>82</v>
      </c>
      <c r="C1363" t="s">
        <v>73</v>
      </c>
      <c r="D1363" s="1">
        <v>31023</v>
      </c>
      <c r="E1363" t="s">
        <v>1735</v>
      </c>
      <c r="F1363" t="s">
        <v>866</v>
      </c>
    </row>
    <row r="1364" spans="1:6" x14ac:dyDescent="0.25">
      <c r="A1364">
        <v>1462</v>
      </c>
      <c r="B1364" t="s">
        <v>127</v>
      </c>
      <c r="C1364" t="s">
        <v>76</v>
      </c>
      <c r="D1364" s="1">
        <v>27281</v>
      </c>
      <c r="E1364" t="s">
        <v>1736</v>
      </c>
      <c r="F1364" t="s">
        <v>867</v>
      </c>
    </row>
    <row r="1365" spans="1:6" x14ac:dyDescent="0.25">
      <c r="A1365">
        <v>1463</v>
      </c>
      <c r="B1365" t="s">
        <v>120</v>
      </c>
      <c r="C1365" t="s">
        <v>73</v>
      </c>
      <c r="D1365" s="1">
        <v>39447</v>
      </c>
      <c r="E1365" t="s">
        <v>1737</v>
      </c>
      <c r="F1365" t="s">
        <v>871</v>
      </c>
    </row>
    <row r="1366" spans="1:6" x14ac:dyDescent="0.25">
      <c r="A1366">
        <v>1464</v>
      </c>
      <c r="B1366" t="s">
        <v>104</v>
      </c>
      <c r="C1366" t="s">
        <v>76</v>
      </c>
      <c r="D1366" s="1">
        <v>23002</v>
      </c>
      <c r="E1366" t="s">
        <v>1738</v>
      </c>
      <c r="F1366" t="s">
        <v>869</v>
      </c>
    </row>
    <row r="1367" spans="1:6" x14ac:dyDescent="0.25">
      <c r="A1367">
        <v>1465</v>
      </c>
      <c r="B1367" t="s">
        <v>104</v>
      </c>
      <c r="C1367" t="s">
        <v>76</v>
      </c>
      <c r="D1367" s="1">
        <v>34761</v>
      </c>
      <c r="E1367" t="s">
        <v>1739</v>
      </c>
      <c r="F1367" t="s">
        <v>869</v>
      </c>
    </row>
    <row r="1368" spans="1:6" x14ac:dyDescent="0.25">
      <c r="A1368">
        <v>1466</v>
      </c>
      <c r="B1368" t="s">
        <v>89</v>
      </c>
      <c r="C1368" t="s">
        <v>76</v>
      </c>
      <c r="D1368" s="1">
        <v>40470</v>
      </c>
      <c r="E1368" t="s">
        <v>1740</v>
      </c>
      <c r="F1368" t="s">
        <v>867</v>
      </c>
    </row>
    <row r="1369" spans="1:6" x14ac:dyDescent="0.25">
      <c r="A1369">
        <v>1467</v>
      </c>
      <c r="B1369" t="s">
        <v>86</v>
      </c>
      <c r="C1369" t="s">
        <v>76</v>
      </c>
      <c r="D1369" s="1">
        <v>41769</v>
      </c>
      <c r="E1369" t="s">
        <v>1741</v>
      </c>
      <c r="F1369" t="s">
        <v>869</v>
      </c>
    </row>
    <row r="1370" spans="1:6" x14ac:dyDescent="0.25">
      <c r="A1370">
        <v>1468</v>
      </c>
      <c r="B1370" t="s">
        <v>72</v>
      </c>
      <c r="C1370" t="s">
        <v>73</v>
      </c>
      <c r="D1370" s="1">
        <v>34951</v>
      </c>
      <c r="E1370" t="s">
        <v>1742</v>
      </c>
      <c r="F1370" t="s">
        <v>870</v>
      </c>
    </row>
    <row r="1371" spans="1:6" x14ac:dyDescent="0.25">
      <c r="A1371">
        <v>1469</v>
      </c>
      <c r="B1371" t="s">
        <v>89</v>
      </c>
      <c r="C1371" t="s">
        <v>76</v>
      </c>
      <c r="D1371" s="1">
        <v>27196</v>
      </c>
      <c r="E1371" t="s">
        <v>1743</v>
      </c>
      <c r="F1371" t="s">
        <v>870</v>
      </c>
    </row>
    <row r="1372" spans="1:6" x14ac:dyDescent="0.25">
      <c r="A1372">
        <v>1470</v>
      </c>
      <c r="B1372" t="s">
        <v>75</v>
      </c>
      <c r="C1372" t="s">
        <v>76</v>
      </c>
      <c r="D1372" s="1">
        <v>28234</v>
      </c>
      <c r="E1372" t="s">
        <v>1744</v>
      </c>
      <c r="F1372" t="s">
        <v>866</v>
      </c>
    </row>
    <row r="1373" spans="1:6" x14ac:dyDescent="0.25">
      <c r="A1373">
        <v>1471</v>
      </c>
      <c r="B1373" t="s">
        <v>94</v>
      </c>
      <c r="C1373" t="s">
        <v>73</v>
      </c>
      <c r="D1373" s="1">
        <v>43277</v>
      </c>
      <c r="E1373" t="s">
        <v>1745</v>
      </c>
      <c r="F1373" t="s">
        <v>870</v>
      </c>
    </row>
    <row r="1374" spans="1:6" x14ac:dyDescent="0.25">
      <c r="A1374">
        <v>1472</v>
      </c>
      <c r="B1374" t="s">
        <v>75</v>
      </c>
      <c r="C1374" t="s">
        <v>76</v>
      </c>
      <c r="D1374" s="1">
        <v>13964</v>
      </c>
      <c r="E1374" t="s">
        <v>1746</v>
      </c>
      <c r="F1374" t="s">
        <v>866</v>
      </c>
    </row>
    <row r="1375" spans="1:6" x14ac:dyDescent="0.25">
      <c r="A1375">
        <v>1473</v>
      </c>
      <c r="B1375" t="s">
        <v>122</v>
      </c>
      <c r="C1375" t="s">
        <v>73</v>
      </c>
      <c r="D1375" s="1">
        <v>44388</v>
      </c>
      <c r="E1375" t="s">
        <v>1747</v>
      </c>
      <c r="F1375" t="s">
        <v>868</v>
      </c>
    </row>
    <row r="1376" spans="1:6" x14ac:dyDescent="0.25">
      <c r="A1376">
        <v>1474</v>
      </c>
      <c r="B1376" t="s">
        <v>75</v>
      </c>
      <c r="C1376" t="s">
        <v>76</v>
      </c>
      <c r="D1376" s="1">
        <v>19409</v>
      </c>
      <c r="E1376" t="s">
        <v>1748</v>
      </c>
      <c r="F1376" t="s">
        <v>872</v>
      </c>
    </row>
    <row r="1377" spans="1:6" x14ac:dyDescent="0.25">
      <c r="A1377">
        <v>1475</v>
      </c>
      <c r="B1377" t="s">
        <v>84</v>
      </c>
      <c r="C1377" t="s">
        <v>73</v>
      </c>
      <c r="D1377" s="1">
        <v>45304</v>
      </c>
      <c r="E1377" t="s">
        <v>1749</v>
      </c>
      <c r="F1377" t="s">
        <v>872</v>
      </c>
    </row>
    <row r="1378" spans="1:6" x14ac:dyDescent="0.25">
      <c r="A1378">
        <v>1476</v>
      </c>
      <c r="B1378" t="s">
        <v>99</v>
      </c>
      <c r="C1378" t="s">
        <v>76</v>
      </c>
      <c r="D1378" s="1">
        <v>29088</v>
      </c>
      <c r="E1378" t="s">
        <v>1750</v>
      </c>
      <c r="F1378" t="s">
        <v>871</v>
      </c>
    </row>
    <row r="1379" spans="1:6" x14ac:dyDescent="0.25">
      <c r="A1379">
        <v>1477</v>
      </c>
      <c r="B1379" t="s">
        <v>84</v>
      </c>
      <c r="C1379" t="s">
        <v>73</v>
      </c>
      <c r="D1379" s="1">
        <v>11815</v>
      </c>
      <c r="E1379" t="s">
        <v>1751</v>
      </c>
      <c r="F1379" t="s">
        <v>873</v>
      </c>
    </row>
    <row r="1380" spans="1:6" x14ac:dyDescent="0.25">
      <c r="A1380">
        <v>1478</v>
      </c>
      <c r="B1380" t="s">
        <v>78</v>
      </c>
      <c r="C1380" t="s">
        <v>73</v>
      </c>
      <c r="D1380" s="1">
        <v>20180</v>
      </c>
      <c r="E1380" t="s">
        <v>1752</v>
      </c>
      <c r="F1380" t="s">
        <v>868</v>
      </c>
    </row>
    <row r="1381" spans="1:6" x14ac:dyDescent="0.25">
      <c r="A1381">
        <v>1479</v>
      </c>
      <c r="B1381" t="s">
        <v>80</v>
      </c>
      <c r="C1381" t="s">
        <v>73</v>
      </c>
      <c r="D1381" s="1">
        <v>20324</v>
      </c>
      <c r="E1381" t="s">
        <v>1753</v>
      </c>
      <c r="F1381" t="s">
        <v>870</v>
      </c>
    </row>
    <row r="1382" spans="1:6" x14ac:dyDescent="0.25">
      <c r="A1382">
        <v>1480</v>
      </c>
      <c r="B1382" t="s">
        <v>72</v>
      </c>
      <c r="C1382" t="s">
        <v>73</v>
      </c>
      <c r="D1382" s="1">
        <v>42926</v>
      </c>
      <c r="E1382" t="s">
        <v>1754</v>
      </c>
      <c r="F1382" t="s">
        <v>872</v>
      </c>
    </row>
    <row r="1383" spans="1:6" x14ac:dyDescent="0.25">
      <c r="A1383">
        <v>1481</v>
      </c>
      <c r="B1383" t="s">
        <v>125</v>
      </c>
      <c r="C1383" t="s">
        <v>76</v>
      </c>
      <c r="D1383" s="1">
        <v>38226</v>
      </c>
      <c r="E1383" t="s">
        <v>1755</v>
      </c>
      <c r="F1383" t="s">
        <v>867</v>
      </c>
    </row>
    <row r="1384" spans="1:6" x14ac:dyDescent="0.25">
      <c r="A1384">
        <v>1482</v>
      </c>
      <c r="B1384" t="s">
        <v>78</v>
      </c>
      <c r="C1384" t="s">
        <v>73</v>
      </c>
      <c r="D1384" s="1">
        <v>31198</v>
      </c>
      <c r="E1384" t="s">
        <v>1756</v>
      </c>
      <c r="F1384" t="s">
        <v>871</v>
      </c>
    </row>
    <row r="1385" spans="1:6" x14ac:dyDescent="0.25">
      <c r="A1385">
        <v>1483</v>
      </c>
      <c r="B1385" t="s">
        <v>80</v>
      </c>
      <c r="C1385" t="s">
        <v>73</v>
      </c>
      <c r="D1385" s="1">
        <v>35295</v>
      </c>
      <c r="E1385" t="s">
        <v>1757</v>
      </c>
      <c r="F1385" t="s">
        <v>871</v>
      </c>
    </row>
    <row r="1386" spans="1:6" x14ac:dyDescent="0.25">
      <c r="A1386">
        <v>1484</v>
      </c>
      <c r="B1386" t="s">
        <v>122</v>
      </c>
      <c r="C1386" t="s">
        <v>73</v>
      </c>
      <c r="D1386" s="1">
        <v>39828</v>
      </c>
      <c r="E1386" t="s">
        <v>1758</v>
      </c>
      <c r="F1386" t="s">
        <v>872</v>
      </c>
    </row>
    <row r="1387" spans="1:6" x14ac:dyDescent="0.25">
      <c r="A1387">
        <v>1485</v>
      </c>
      <c r="B1387" t="s">
        <v>127</v>
      </c>
      <c r="C1387" t="s">
        <v>76</v>
      </c>
      <c r="D1387" s="1">
        <v>29338</v>
      </c>
      <c r="E1387" t="s">
        <v>1759</v>
      </c>
      <c r="F1387" t="s">
        <v>868</v>
      </c>
    </row>
    <row r="1388" spans="1:6" x14ac:dyDescent="0.25">
      <c r="A1388">
        <v>1486</v>
      </c>
      <c r="B1388" t="s">
        <v>86</v>
      </c>
      <c r="C1388" t="s">
        <v>76</v>
      </c>
      <c r="D1388" s="1">
        <v>24858</v>
      </c>
      <c r="E1388" t="s">
        <v>1760</v>
      </c>
      <c r="F1388" t="s">
        <v>867</v>
      </c>
    </row>
    <row r="1389" spans="1:6" x14ac:dyDescent="0.25">
      <c r="A1389">
        <v>1487</v>
      </c>
      <c r="B1389" t="s">
        <v>99</v>
      </c>
      <c r="C1389" t="s">
        <v>76</v>
      </c>
      <c r="D1389" s="1">
        <v>36837</v>
      </c>
      <c r="E1389" t="s">
        <v>1761</v>
      </c>
      <c r="F1389" t="s">
        <v>867</v>
      </c>
    </row>
    <row r="1390" spans="1:6" x14ac:dyDescent="0.25">
      <c r="A1390">
        <v>1488</v>
      </c>
      <c r="B1390" t="s">
        <v>75</v>
      </c>
      <c r="C1390" t="s">
        <v>76</v>
      </c>
      <c r="D1390" s="1">
        <v>12637</v>
      </c>
      <c r="E1390" t="s">
        <v>1762</v>
      </c>
      <c r="F1390" t="s">
        <v>872</v>
      </c>
    </row>
    <row r="1391" spans="1:6" x14ac:dyDescent="0.25">
      <c r="A1391">
        <v>1489</v>
      </c>
      <c r="B1391" t="s">
        <v>78</v>
      </c>
      <c r="C1391" t="s">
        <v>73</v>
      </c>
      <c r="D1391" s="1">
        <v>35058</v>
      </c>
      <c r="E1391" t="s">
        <v>1763</v>
      </c>
      <c r="F1391" t="s">
        <v>867</v>
      </c>
    </row>
    <row r="1392" spans="1:6" x14ac:dyDescent="0.25">
      <c r="A1392">
        <v>1490</v>
      </c>
      <c r="B1392" t="s">
        <v>99</v>
      </c>
      <c r="C1392" t="s">
        <v>76</v>
      </c>
      <c r="D1392" s="1">
        <v>34487</v>
      </c>
      <c r="E1392" t="s">
        <v>1764</v>
      </c>
      <c r="F1392" t="s">
        <v>869</v>
      </c>
    </row>
    <row r="1393" spans="1:6" x14ac:dyDescent="0.25">
      <c r="A1393">
        <v>1491</v>
      </c>
      <c r="B1393" t="s">
        <v>72</v>
      </c>
      <c r="C1393" t="s">
        <v>73</v>
      </c>
      <c r="D1393" s="1">
        <v>25605</v>
      </c>
      <c r="E1393" t="s">
        <v>1765</v>
      </c>
      <c r="F1393" t="s">
        <v>870</v>
      </c>
    </row>
    <row r="1394" spans="1:6" x14ac:dyDescent="0.25">
      <c r="A1394">
        <v>1492</v>
      </c>
      <c r="B1394" t="s">
        <v>84</v>
      </c>
      <c r="C1394" t="s">
        <v>73</v>
      </c>
      <c r="D1394" s="1">
        <v>22490</v>
      </c>
      <c r="E1394" t="s">
        <v>1766</v>
      </c>
      <c r="F1394" t="s">
        <v>873</v>
      </c>
    </row>
    <row r="1395" spans="1:6" x14ac:dyDescent="0.25">
      <c r="A1395">
        <v>1493</v>
      </c>
      <c r="B1395" t="s">
        <v>92</v>
      </c>
      <c r="C1395" t="s">
        <v>76</v>
      </c>
      <c r="D1395" s="1">
        <v>32437</v>
      </c>
      <c r="E1395" t="s">
        <v>1767</v>
      </c>
      <c r="F1395" t="s">
        <v>866</v>
      </c>
    </row>
    <row r="1396" spans="1:6" x14ac:dyDescent="0.25">
      <c r="A1396">
        <v>1494</v>
      </c>
      <c r="B1396" t="s">
        <v>84</v>
      </c>
      <c r="C1396" t="s">
        <v>73</v>
      </c>
      <c r="D1396" s="1">
        <v>30351</v>
      </c>
      <c r="E1396" t="s">
        <v>1768</v>
      </c>
      <c r="F1396" t="s">
        <v>866</v>
      </c>
    </row>
    <row r="1397" spans="1:6" x14ac:dyDescent="0.25">
      <c r="A1397">
        <v>1495</v>
      </c>
      <c r="B1397" t="s">
        <v>99</v>
      </c>
      <c r="C1397" t="s">
        <v>76</v>
      </c>
      <c r="D1397" s="1">
        <v>24076</v>
      </c>
      <c r="E1397" t="s">
        <v>1769</v>
      </c>
      <c r="F1397" t="s">
        <v>867</v>
      </c>
    </row>
    <row r="1398" spans="1:6" x14ac:dyDescent="0.25">
      <c r="A1398">
        <v>1496</v>
      </c>
      <c r="B1398" t="s">
        <v>82</v>
      </c>
      <c r="C1398" t="s">
        <v>73</v>
      </c>
      <c r="D1398" s="1">
        <v>22203</v>
      </c>
      <c r="E1398" t="s">
        <v>1770</v>
      </c>
      <c r="F1398" t="s">
        <v>868</v>
      </c>
    </row>
    <row r="1399" spans="1:6" x14ac:dyDescent="0.25">
      <c r="A1399">
        <v>1497</v>
      </c>
      <c r="B1399" t="s">
        <v>120</v>
      </c>
      <c r="C1399" t="s">
        <v>73</v>
      </c>
      <c r="D1399" s="1">
        <v>22477</v>
      </c>
      <c r="E1399" t="s">
        <v>1771</v>
      </c>
      <c r="F1399" t="s">
        <v>869</v>
      </c>
    </row>
    <row r="1400" spans="1:6" x14ac:dyDescent="0.25">
      <c r="A1400">
        <v>1498</v>
      </c>
      <c r="B1400" t="s">
        <v>99</v>
      </c>
      <c r="C1400" t="s">
        <v>76</v>
      </c>
      <c r="D1400" s="1">
        <v>32118</v>
      </c>
      <c r="E1400" t="s">
        <v>1772</v>
      </c>
      <c r="F1400" t="s">
        <v>869</v>
      </c>
    </row>
    <row r="1401" spans="1:6" x14ac:dyDescent="0.25">
      <c r="A1401">
        <v>1499</v>
      </c>
      <c r="B1401" t="s">
        <v>82</v>
      </c>
      <c r="C1401" t="s">
        <v>73</v>
      </c>
      <c r="D1401" s="1">
        <v>43834</v>
      </c>
      <c r="E1401" t="s">
        <v>1773</v>
      </c>
      <c r="F1401" t="s">
        <v>870</v>
      </c>
    </row>
    <row r="1402" spans="1:6" x14ac:dyDescent="0.25">
      <c r="A1402">
        <v>1500</v>
      </c>
      <c r="B1402" t="s">
        <v>104</v>
      </c>
      <c r="C1402" t="s">
        <v>76</v>
      </c>
      <c r="D1402" s="1">
        <v>25211</v>
      </c>
      <c r="E1402" t="s">
        <v>1774</v>
      </c>
      <c r="F1402" t="s">
        <v>867</v>
      </c>
    </row>
    <row r="1403" spans="1:6" x14ac:dyDescent="0.25">
      <c r="A1403">
        <v>1501</v>
      </c>
      <c r="B1403" t="s">
        <v>127</v>
      </c>
      <c r="C1403" t="s">
        <v>76</v>
      </c>
      <c r="D1403" s="1">
        <v>24714</v>
      </c>
      <c r="E1403" t="s">
        <v>1775</v>
      </c>
      <c r="F1403" t="s">
        <v>871</v>
      </c>
    </row>
    <row r="1404" spans="1:6" x14ac:dyDescent="0.25">
      <c r="A1404">
        <v>1502</v>
      </c>
      <c r="B1404" t="s">
        <v>94</v>
      </c>
      <c r="C1404" t="s">
        <v>73</v>
      </c>
      <c r="D1404" s="1">
        <v>21798</v>
      </c>
      <c r="E1404" t="s">
        <v>1776</v>
      </c>
      <c r="F1404" t="s">
        <v>866</v>
      </c>
    </row>
    <row r="1405" spans="1:6" x14ac:dyDescent="0.25">
      <c r="A1405">
        <v>1503</v>
      </c>
      <c r="B1405" t="s">
        <v>80</v>
      </c>
      <c r="C1405" t="s">
        <v>73</v>
      </c>
      <c r="D1405" s="1">
        <v>25382</v>
      </c>
      <c r="E1405" t="s">
        <v>1777</v>
      </c>
      <c r="F1405" t="s">
        <v>872</v>
      </c>
    </row>
    <row r="1406" spans="1:6" x14ac:dyDescent="0.25">
      <c r="A1406">
        <v>1504</v>
      </c>
      <c r="B1406" t="s">
        <v>86</v>
      </c>
      <c r="C1406" t="s">
        <v>76</v>
      </c>
      <c r="D1406" s="1">
        <v>11007</v>
      </c>
      <c r="E1406" t="s">
        <v>1778</v>
      </c>
      <c r="F1406" t="s">
        <v>867</v>
      </c>
    </row>
    <row r="1407" spans="1:6" x14ac:dyDescent="0.25">
      <c r="A1407">
        <v>1505</v>
      </c>
      <c r="B1407" t="s">
        <v>72</v>
      </c>
      <c r="C1407" t="s">
        <v>73</v>
      </c>
      <c r="D1407" s="1">
        <v>36061</v>
      </c>
      <c r="E1407" t="s">
        <v>1779</v>
      </c>
      <c r="F1407" t="s">
        <v>869</v>
      </c>
    </row>
    <row r="1408" spans="1:6" x14ac:dyDescent="0.25">
      <c r="A1408">
        <v>1506</v>
      </c>
      <c r="B1408" t="s">
        <v>89</v>
      </c>
      <c r="C1408" t="s">
        <v>76</v>
      </c>
      <c r="D1408" s="1">
        <v>32211</v>
      </c>
      <c r="E1408" t="s">
        <v>1780</v>
      </c>
      <c r="F1408" t="s">
        <v>870</v>
      </c>
    </row>
    <row r="1409" spans="1:6" x14ac:dyDescent="0.25">
      <c r="A1409">
        <v>1507</v>
      </c>
      <c r="B1409" t="s">
        <v>94</v>
      </c>
      <c r="C1409" t="s">
        <v>73</v>
      </c>
      <c r="D1409" s="1">
        <v>15083</v>
      </c>
      <c r="E1409" t="s">
        <v>1781</v>
      </c>
      <c r="F1409" t="s">
        <v>871</v>
      </c>
    </row>
    <row r="1410" spans="1:6" x14ac:dyDescent="0.25">
      <c r="A1410">
        <v>1508</v>
      </c>
      <c r="B1410" t="s">
        <v>94</v>
      </c>
      <c r="C1410" t="s">
        <v>73</v>
      </c>
      <c r="D1410" s="1">
        <v>23360</v>
      </c>
      <c r="E1410" t="s">
        <v>1782</v>
      </c>
      <c r="F1410" t="s">
        <v>867</v>
      </c>
    </row>
    <row r="1411" spans="1:6" x14ac:dyDescent="0.25">
      <c r="A1411">
        <v>1509</v>
      </c>
      <c r="B1411" t="s">
        <v>75</v>
      </c>
      <c r="C1411" t="s">
        <v>76</v>
      </c>
      <c r="D1411" s="1">
        <v>16207</v>
      </c>
      <c r="E1411" t="s">
        <v>1783</v>
      </c>
      <c r="F1411" t="s">
        <v>873</v>
      </c>
    </row>
    <row r="1412" spans="1:6" x14ac:dyDescent="0.25">
      <c r="A1412">
        <v>1510</v>
      </c>
      <c r="B1412" t="s">
        <v>127</v>
      </c>
      <c r="C1412" t="s">
        <v>76</v>
      </c>
      <c r="D1412" s="1">
        <v>27175</v>
      </c>
      <c r="E1412" t="s">
        <v>1784</v>
      </c>
      <c r="F1412" t="s">
        <v>867</v>
      </c>
    </row>
    <row r="1413" spans="1:6" x14ac:dyDescent="0.25">
      <c r="A1413">
        <v>1511</v>
      </c>
      <c r="B1413" t="s">
        <v>80</v>
      </c>
      <c r="C1413" t="s">
        <v>73</v>
      </c>
      <c r="D1413" s="1">
        <v>18290</v>
      </c>
      <c r="E1413" t="s">
        <v>1785</v>
      </c>
      <c r="F1413" t="s">
        <v>866</v>
      </c>
    </row>
    <row r="1414" spans="1:6" x14ac:dyDescent="0.25">
      <c r="A1414">
        <v>1512</v>
      </c>
      <c r="B1414" t="s">
        <v>89</v>
      </c>
      <c r="C1414" t="s">
        <v>76</v>
      </c>
      <c r="D1414" s="1">
        <v>19030</v>
      </c>
      <c r="E1414" t="s">
        <v>1786</v>
      </c>
      <c r="F1414" t="s">
        <v>873</v>
      </c>
    </row>
    <row r="1415" spans="1:6" x14ac:dyDescent="0.25">
      <c r="A1415">
        <v>1513</v>
      </c>
      <c r="B1415" t="s">
        <v>99</v>
      </c>
      <c r="C1415" t="s">
        <v>76</v>
      </c>
      <c r="D1415" s="1">
        <v>28446</v>
      </c>
      <c r="E1415" t="s">
        <v>1787</v>
      </c>
      <c r="F1415" t="s">
        <v>872</v>
      </c>
    </row>
    <row r="1416" spans="1:6" x14ac:dyDescent="0.25">
      <c r="A1416">
        <v>1514</v>
      </c>
      <c r="B1416" t="s">
        <v>120</v>
      </c>
      <c r="C1416" t="s">
        <v>73</v>
      </c>
      <c r="D1416" s="1">
        <v>28830</v>
      </c>
      <c r="E1416" t="s">
        <v>1788</v>
      </c>
      <c r="F1416" t="s">
        <v>873</v>
      </c>
    </row>
    <row r="1417" spans="1:6" x14ac:dyDescent="0.25">
      <c r="A1417">
        <v>1515</v>
      </c>
      <c r="B1417" t="s">
        <v>125</v>
      </c>
      <c r="C1417" t="s">
        <v>76</v>
      </c>
      <c r="D1417" s="1">
        <v>21735</v>
      </c>
      <c r="E1417" t="s">
        <v>1789</v>
      </c>
      <c r="F1417" t="s">
        <v>866</v>
      </c>
    </row>
    <row r="1418" spans="1:6" x14ac:dyDescent="0.25">
      <c r="A1418">
        <v>1516</v>
      </c>
      <c r="B1418" t="s">
        <v>72</v>
      </c>
      <c r="C1418" t="s">
        <v>73</v>
      </c>
      <c r="D1418" s="1">
        <v>45323</v>
      </c>
      <c r="E1418" t="s">
        <v>1790</v>
      </c>
      <c r="F1418" t="s">
        <v>866</v>
      </c>
    </row>
    <row r="1419" spans="1:6" x14ac:dyDescent="0.25">
      <c r="A1419">
        <v>1517</v>
      </c>
      <c r="B1419" t="s">
        <v>78</v>
      </c>
      <c r="C1419" t="s">
        <v>73</v>
      </c>
      <c r="D1419" s="1">
        <v>27726</v>
      </c>
      <c r="E1419" t="s">
        <v>1791</v>
      </c>
      <c r="F1419" t="s">
        <v>872</v>
      </c>
    </row>
    <row r="1420" spans="1:6" x14ac:dyDescent="0.25">
      <c r="A1420">
        <v>1518</v>
      </c>
      <c r="B1420" t="s">
        <v>104</v>
      </c>
      <c r="C1420" t="s">
        <v>76</v>
      </c>
      <c r="D1420" s="1">
        <v>21263</v>
      </c>
      <c r="E1420" t="s">
        <v>1792</v>
      </c>
      <c r="F1420" t="s">
        <v>870</v>
      </c>
    </row>
    <row r="1421" spans="1:6" x14ac:dyDescent="0.25">
      <c r="A1421">
        <v>1519</v>
      </c>
      <c r="B1421" t="s">
        <v>120</v>
      </c>
      <c r="C1421" t="s">
        <v>73</v>
      </c>
      <c r="D1421" s="1">
        <v>34001</v>
      </c>
      <c r="E1421" t="s">
        <v>1793</v>
      </c>
      <c r="F1421" t="s">
        <v>871</v>
      </c>
    </row>
    <row r="1422" spans="1:6" x14ac:dyDescent="0.25">
      <c r="A1422">
        <v>1520</v>
      </c>
      <c r="B1422" t="s">
        <v>104</v>
      </c>
      <c r="C1422" t="s">
        <v>76</v>
      </c>
      <c r="D1422" s="1">
        <v>19874</v>
      </c>
      <c r="E1422" t="s">
        <v>1794</v>
      </c>
      <c r="F1422" t="s">
        <v>868</v>
      </c>
    </row>
    <row r="1423" spans="1:6" x14ac:dyDescent="0.25">
      <c r="A1423">
        <v>1521</v>
      </c>
      <c r="B1423" t="s">
        <v>84</v>
      </c>
      <c r="C1423" t="s">
        <v>73</v>
      </c>
      <c r="D1423" s="1">
        <v>13260</v>
      </c>
      <c r="E1423" t="s">
        <v>1795</v>
      </c>
      <c r="F1423" t="s">
        <v>867</v>
      </c>
    </row>
    <row r="1424" spans="1:6" x14ac:dyDescent="0.25">
      <c r="A1424">
        <v>1522</v>
      </c>
      <c r="B1424" t="s">
        <v>72</v>
      </c>
      <c r="C1424" t="s">
        <v>73</v>
      </c>
      <c r="D1424" s="1">
        <v>41198</v>
      </c>
      <c r="E1424" t="s">
        <v>1796</v>
      </c>
      <c r="F1424" t="s">
        <v>870</v>
      </c>
    </row>
    <row r="1425" spans="1:6" x14ac:dyDescent="0.25">
      <c r="A1425">
        <v>1523</v>
      </c>
      <c r="B1425" t="s">
        <v>84</v>
      </c>
      <c r="C1425" t="s">
        <v>73</v>
      </c>
      <c r="D1425" s="1">
        <v>28733</v>
      </c>
      <c r="E1425" t="s">
        <v>1797</v>
      </c>
      <c r="F1425" t="s">
        <v>866</v>
      </c>
    </row>
    <row r="1426" spans="1:6" x14ac:dyDescent="0.25">
      <c r="A1426">
        <v>1524</v>
      </c>
      <c r="B1426" t="s">
        <v>120</v>
      </c>
      <c r="C1426" t="s">
        <v>73</v>
      </c>
      <c r="D1426" s="1">
        <v>42013</v>
      </c>
      <c r="E1426" t="s">
        <v>1798</v>
      </c>
      <c r="F1426" t="s">
        <v>873</v>
      </c>
    </row>
    <row r="1427" spans="1:6" x14ac:dyDescent="0.25">
      <c r="A1427">
        <v>1525</v>
      </c>
      <c r="B1427" t="s">
        <v>94</v>
      </c>
      <c r="C1427" t="s">
        <v>73</v>
      </c>
      <c r="D1427" s="1">
        <v>27113</v>
      </c>
      <c r="E1427" t="s">
        <v>1799</v>
      </c>
      <c r="F1427" t="s">
        <v>873</v>
      </c>
    </row>
    <row r="1428" spans="1:6" x14ac:dyDescent="0.25">
      <c r="A1428">
        <v>1526</v>
      </c>
      <c r="B1428" t="s">
        <v>122</v>
      </c>
      <c r="C1428" t="s">
        <v>73</v>
      </c>
      <c r="D1428" s="1">
        <v>18819</v>
      </c>
      <c r="E1428" t="s">
        <v>1800</v>
      </c>
      <c r="F1428" t="s">
        <v>869</v>
      </c>
    </row>
    <row r="1429" spans="1:6" x14ac:dyDescent="0.25">
      <c r="A1429">
        <v>1527</v>
      </c>
      <c r="B1429" t="s">
        <v>86</v>
      </c>
      <c r="C1429" t="s">
        <v>76</v>
      </c>
      <c r="D1429" s="1">
        <v>44826</v>
      </c>
      <c r="E1429" t="s">
        <v>1801</v>
      </c>
      <c r="F1429" t="s">
        <v>869</v>
      </c>
    </row>
    <row r="1430" spans="1:6" x14ac:dyDescent="0.25">
      <c r="A1430">
        <v>1528</v>
      </c>
      <c r="B1430" t="s">
        <v>80</v>
      </c>
      <c r="C1430" t="s">
        <v>73</v>
      </c>
      <c r="D1430" s="1">
        <v>14390</v>
      </c>
      <c r="E1430" t="s">
        <v>1802</v>
      </c>
      <c r="F1430" t="s">
        <v>873</v>
      </c>
    </row>
    <row r="1431" spans="1:6" x14ac:dyDescent="0.25">
      <c r="A1431">
        <v>1529</v>
      </c>
      <c r="B1431" t="s">
        <v>72</v>
      </c>
      <c r="C1431" t="s">
        <v>73</v>
      </c>
      <c r="D1431" s="1">
        <v>34386</v>
      </c>
      <c r="E1431" t="s">
        <v>1803</v>
      </c>
      <c r="F1431" t="s">
        <v>869</v>
      </c>
    </row>
    <row r="1432" spans="1:6" x14ac:dyDescent="0.25">
      <c r="A1432">
        <v>1530</v>
      </c>
      <c r="B1432" t="s">
        <v>120</v>
      </c>
      <c r="C1432" t="s">
        <v>73</v>
      </c>
      <c r="D1432" s="1">
        <v>11733</v>
      </c>
      <c r="E1432" t="s">
        <v>1804</v>
      </c>
      <c r="F1432" t="s">
        <v>869</v>
      </c>
    </row>
    <row r="1433" spans="1:6" x14ac:dyDescent="0.25">
      <c r="A1433">
        <v>1531</v>
      </c>
      <c r="B1433" t="s">
        <v>125</v>
      </c>
      <c r="C1433" t="s">
        <v>76</v>
      </c>
      <c r="D1433" s="1">
        <v>10335</v>
      </c>
      <c r="E1433" t="s">
        <v>1805</v>
      </c>
      <c r="F1433" t="s">
        <v>866</v>
      </c>
    </row>
    <row r="1434" spans="1:6" x14ac:dyDescent="0.25">
      <c r="A1434">
        <v>1532</v>
      </c>
      <c r="B1434" t="s">
        <v>84</v>
      </c>
      <c r="C1434" t="s">
        <v>73</v>
      </c>
      <c r="D1434" s="1">
        <v>12667</v>
      </c>
      <c r="E1434" t="s">
        <v>1806</v>
      </c>
      <c r="F1434" t="s">
        <v>867</v>
      </c>
    </row>
    <row r="1435" spans="1:6" x14ac:dyDescent="0.25">
      <c r="A1435">
        <v>1533</v>
      </c>
      <c r="B1435" t="s">
        <v>104</v>
      </c>
      <c r="C1435" t="s">
        <v>76</v>
      </c>
      <c r="D1435" s="1">
        <v>16077</v>
      </c>
      <c r="E1435" t="s">
        <v>1807</v>
      </c>
      <c r="F1435" t="s">
        <v>871</v>
      </c>
    </row>
    <row r="1436" spans="1:6" x14ac:dyDescent="0.25">
      <c r="A1436">
        <v>1534</v>
      </c>
      <c r="B1436" t="s">
        <v>104</v>
      </c>
      <c r="C1436" t="s">
        <v>76</v>
      </c>
      <c r="D1436" s="1">
        <v>42238</v>
      </c>
      <c r="E1436" t="s">
        <v>1808</v>
      </c>
      <c r="F1436" t="s">
        <v>871</v>
      </c>
    </row>
    <row r="1437" spans="1:6" x14ac:dyDescent="0.25">
      <c r="A1437">
        <v>1535</v>
      </c>
      <c r="B1437" t="s">
        <v>89</v>
      </c>
      <c r="C1437" t="s">
        <v>76</v>
      </c>
      <c r="D1437" s="1">
        <v>38204</v>
      </c>
      <c r="E1437" t="s">
        <v>1809</v>
      </c>
      <c r="F1437" t="s">
        <v>873</v>
      </c>
    </row>
    <row r="1438" spans="1:6" x14ac:dyDescent="0.25">
      <c r="A1438">
        <v>1536</v>
      </c>
      <c r="B1438" t="s">
        <v>122</v>
      </c>
      <c r="C1438" t="s">
        <v>73</v>
      </c>
      <c r="D1438" s="1">
        <v>20692</v>
      </c>
      <c r="E1438" t="s">
        <v>1810</v>
      </c>
      <c r="F1438" t="s">
        <v>869</v>
      </c>
    </row>
    <row r="1439" spans="1:6" x14ac:dyDescent="0.25">
      <c r="A1439">
        <v>1537</v>
      </c>
      <c r="B1439" t="s">
        <v>104</v>
      </c>
      <c r="C1439" t="s">
        <v>76</v>
      </c>
      <c r="D1439" s="1">
        <v>36675</v>
      </c>
      <c r="E1439" t="s">
        <v>1811</v>
      </c>
      <c r="F1439" t="s">
        <v>866</v>
      </c>
    </row>
    <row r="1440" spans="1:6" x14ac:dyDescent="0.25">
      <c r="A1440">
        <v>1538</v>
      </c>
      <c r="B1440" t="s">
        <v>120</v>
      </c>
      <c r="C1440" t="s">
        <v>73</v>
      </c>
      <c r="D1440" s="1">
        <v>44041</v>
      </c>
      <c r="E1440" t="s">
        <v>1812</v>
      </c>
      <c r="F1440" t="s">
        <v>869</v>
      </c>
    </row>
    <row r="1441" spans="1:6" x14ac:dyDescent="0.25">
      <c r="A1441">
        <v>1539</v>
      </c>
      <c r="B1441" t="s">
        <v>84</v>
      </c>
      <c r="C1441" t="s">
        <v>73</v>
      </c>
      <c r="D1441" s="1">
        <v>11679</v>
      </c>
      <c r="E1441" t="s">
        <v>1813</v>
      </c>
      <c r="F1441" t="s">
        <v>873</v>
      </c>
    </row>
    <row r="1442" spans="1:6" x14ac:dyDescent="0.25">
      <c r="A1442">
        <v>1540</v>
      </c>
      <c r="B1442" t="s">
        <v>125</v>
      </c>
      <c r="C1442" t="s">
        <v>76</v>
      </c>
      <c r="D1442" s="1">
        <v>29772</v>
      </c>
      <c r="E1442" t="s">
        <v>1814</v>
      </c>
      <c r="F1442" t="s">
        <v>870</v>
      </c>
    </row>
    <row r="1443" spans="1:6" x14ac:dyDescent="0.25">
      <c r="A1443">
        <v>1541</v>
      </c>
      <c r="B1443" t="s">
        <v>89</v>
      </c>
      <c r="C1443" t="s">
        <v>76</v>
      </c>
      <c r="D1443" s="1">
        <v>41948</v>
      </c>
      <c r="E1443" t="s">
        <v>1815</v>
      </c>
      <c r="F1443" t="s">
        <v>868</v>
      </c>
    </row>
    <row r="1444" spans="1:6" x14ac:dyDescent="0.25">
      <c r="A1444">
        <v>1542</v>
      </c>
      <c r="B1444" t="s">
        <v>82</v>
      </c>
      <c r="C1444" t="s">
        <v>73</v>
      </c>
      <c r="D1444" s="1">
        <v>40280</v>
      </c>
      <c r="E1444" t="s">
        <v>1816</v>
      </c>
      <c r="F1444" t="s">
        <v>868</v>
      </c>
    </row>
    <row r="1445" spans="1:6" x14ac:dyDescent="0.25">
      <c r="A1445">
        <v>1543</v>
      </c>
      <c r="B1445" t="s">
        <v>82</v>
      </c>
      <c r="C1445" t="s">
        <v>73</v>
      </c>
      <c r="D1445" s="1">
        <v>34897</v>
      </c>
      <c r="E1445" t="s">
        <v>1817</v>
      </c>
      <c r="F1445" t="s">
        <v>872</v>
      </c>
    </row>
    <row r="1446" spans="1:6" x14ac:dyDescent="0.25">
      <c r="A1446">
        <v>1544</v>
      </c>
      <c r="B1446" t="s">
        <v>94</v>
      </c>
      <c r="C1446" t="s">
        <v>73</v>
      </c>
      <c r="D1446" s="1">
        <v>33165</v>
      </c>
      <c r="E1446" t="s">
        <v>1818</v>
      </c>
      <c r="F1446" t="s">
        <v>866</v>
      </c>
    </row>
    <row r="1447" spans="1:6" x14ac:dyDescent="0.25">
      <c r="A1447">
        <v>1545</v>
      </c>
      <c r="B1447" t="s">
        <v>72</v>
      </c>
      <c r="C1447" t="s">
        <v>73</v>
      </c>
      <c r="D1447" s="1">
        <v>34546</v>
      </c>
      <c r="E1447" t="s">
        <v>1819</v>
      </c>
      <c r="F1447" t="s">
        <v>869</v>
      </c>
    </row>
    <row r="1448" spans="1:6" x14ac:dyDescent="0.25">
      <c r="A1448">
        <v>1546</v>
      </c>
      <c r="B1448" t="s">
        <v>104</v>
      </c>
      <c r="C1448" t="s">
        <v>76</v>
      </c>
      <c r="D1448" s="1">
        <v>33254</v>
      </c>
      <c r="E1448" t="s">
        <v>1820</v>
      </c>
      <c r="F1448" t="s">
        <v>873</v>
      </c>
    </row>
    <row r="1449" spans="1:6" x14ac:dyDescent="0.25">
      <c r="A1449">
        <v>1547</v>
      </c>
      <c r="B1449" t="s">
        <v>122</v>
      </c>
      <c r="C1449" t="s">
        <v>73</v>
      </c>
      <c r="D1449" s="1">
        <v>25669</v>
      </c>
      <c r="E1449" t="s">
        <v>1821</v>
      </c>
      <c r="F1449" t="s">
        <v>873</v>
      </c>
    </row>
    <row r="1450" spans="1:6" x14ac:dyDescent="0.25">
      <c r="A1450">
        <v>1548</v>
      </c>
      <c r="B1450" t="s">
        <v>89</v>
      </c>
      <c r="C1450" t="s">
        <v>76</v>
      </c>
      <c r="D1450" s="1">
        <v>42242</v>
      </c>
      <c r="E1450" t="s">
        <v>1822</v>
      </c>
      <c r="F1450" t="s">
        <v>870</v>
      </c>
    </row>
    <row r="1451" spans="1:6" x14ac:dyDescent="0.25">
      <c r="A1451">
        <v>1549</v>
      </c>
      <c r="B1451" t="s">
        <v>75</v>
      </c>
      <c r="C1451" t="s">
        <v>76</v>
      </c>
      <c r="D1451" s="1">
        <v>36031</v>
      </c>
      <c r="E1451" t="s">
        <v>1823</v>
      </c>
      <c r="F1451" t="s">
        <v>867</v>
      </c>
    </row>
    <row r="1452" spans="1:6" x14ac:dyDescent="0.25">
      <c r="A1452">
        <v>1550</v>
      </c>
      <c r="B1452" t="s">
        <v>120</v>
      </c>
      <c r="C1452" t="s">
        <v>73</v>
      </c>
      <c r="D1452" s="1">
        <v>25702</v>
      </c>
      <c r="E1452" t="s">
        <v>1824</v>
      </c>
      <c r="F1452" t="s">
        <v>869</v>
      </c>
    </row>
    <row r="1453" spans="1:6" x14ac:dyDescent="0.25">
      <c r="A1453">
        <v>1551</v>
      </c>
      <c r="B1453" t="s">
        <v>92</v>
      </c>
      <c r="C1453" t="s">
        <v>76</v>
      </c>
      <c r="D1453" s="1">
        <v>33795</v>
      </c>
      <c r="E1453" t="s">
        <v>1825</v>
      </c>
      <c r="F1453" t="s">
        <v>870</v>
      </c>
    </row>
    <row r="1454" spans="1:6" x14ac:dyDescent="0.25">
      <c r="A1454">
        <v>1552</v>
      </c>
      <c r="B1454" t="s">
        <v>127</v>
      </c>
      <c r="C1454" t="s">
        <v>76</v>
      </c>
      <c r="D1454" s="1">
        <v>43363</v>
      </c>
      <c r="E1454" t="s">
        <v>1826</v>
      </c>
      <c r="F1454" t="s">
        <v>868</v>
      </c>
    </row>
    <row r="1455" spans="1:6" x14ac:dyDescent="0.25">
      <c r="A1455">
        <v>1553</v>
      </c>
      <c r="B1455" t="s">
        <v>75</v>
      </c>
      <c r="C1455" t="s">
        <v>76</v>
      </c>
      <c r="D1455" s="1">
        <v>24384</v>
      </c>
      <c r="E1455" t="s">
        <v>1827</v>
      </c>
      <c r="F1455" t="s">
        <v>869</v>
      </c>
    </row>
    <row r="1456" spans="1:6" x14ac:dyDescent="0.25">
      <c r="A1456">
        <v>1554</v>
      </c>
      <c r="B1456" t="s">
        <v>92</v>
      </c>
      <c r="C1456" t="s">
        <v>76</v>
      </c>
      <c r="D1456" s="1">
        <v>32054</v>
      </c>
      <c r="E1456" t="s">
        <v>1828</v>
      </c>
      <c r="F1456" t="s">
        <v>870</v>
      </c>
    </row>
    <row r="1457" spans="1:6" x14ac:dyDescent="0.25">
      <c r="A1457">
        <v>1555</v>
      </c>
      <c r="B1457" t="s">
        <v>72</v>
      </c>
      <c r="C1457" t="s">
        <v>73</v>
      </c>
      <c r="D1457" s="1">
        <v>43570</v>
      </c>
      <c r="E1457" t="s">
        <v>1829</v>
      </c>
      <c r="F1457" t="s">
        <v>866</v>
      </c>
    </row>
    <row r="1458" spans="1:6" x14ac:dyDescent="0.25">
      <c r="A1458">
        <v>1556</v>
      </c>
      <c r="B1458" t="s">
        <v>120</v>
      </c>
      <c r="C1458" t="s">
        <v>73</v>
      </c>
      <c r="D1458" s="1">
        <v>22940</v>
      </c>
      <c r="E1458" t="s">
        <v>1830</v>
      </c>
      <c r="F1458" t="s">
        <v>867</v>
      </c>
    </row>
    <row r="1459" spans="1:6" x14ac:dyDescent="0.25">
      <c r="A1459">
        <v>1557</v>
      </c>
      <c r="B1459" t="s">
        <v>127</v>
      </c>
      <c r="C1459" t="s">
        <v>76</v>
      </c>
      <c r="D1459" s="1">
        <v>29730</v>
      </c>
      <c r="E1459" t="s">
        <v>1831</v>
      </c>
      <c r="F1459" t="s">
        <v>866</v>
      </c>
    </row>
    <row r="1460" spans="1:6" x14ac:dyDescent="0.25">
      <c r="A1460">
        <v>1558</v>
      </c>
      <c r="B1460" t="s">
        <v>104</v>
      </c>
      <c r="C1460" t="s">
        <v>76</v>
      </c>
      <c r="D1460" s="1">
        <v>29331</v>
      </c>
      <c r="E1460" t="s">
        <v>1832</v>
      </c>
      <c r="F1460" t="s">
        <v>870</v>
      </c>
    </row>
    <row r="1461" spans="1:6" x14ac:dyDescent="0.25">
      <c r="A1461">
        <v>1559</v>
      </c>
      <c r="B1461" t="s">
        <v>92</v>
      </c>
      <c r="C1461" t="s">
        <v>76</v>
      </c>
      <c r="D1461" s="1">
        <v>35771</v>
      </c>
      <c r="E1461" t="s">
        <v>1833</v>
      </c>
      <c r="F1461" t="s">
        <v>873</v>
      </c>
    </row>
    <row r="1462" spans="1:6" x14ac:dyDescent="0.25">
      <c r="A1462">
        <v>1560</v>
      </c>
      <c r="B1462" t="s">
        <v>120</v>
      </c>
      <c r="C1462" t="s">
        <v>73</v>
      </c>
      <c r="D1462" s="1">
        <v>40128</v>
      </c>
      <c r="E1462" t="s">
        <v>1834</v>
      </c>
      <c r="F1462" t="s">
        <v>869</v>
      </c>
    </row>
    <row r="1463" spans="1:6" x14ac:dyDescent="0.25">
      <c r="A1463">
        <v>1561</v>
      </c>
      <c r="B1463" t="s">
        <v>94</v>
      </c>
      <c r="C1463" t="s">
        <v>73</v>
      </c>
      <c r="D1463" s="1">
        <v>26396</v>
      </c>
      <c r="E1463" t="s">
        <v>1835</v>
      </c>
      <c r="F1463" t="s">
        <v>870</v>
      </c>
    </row>
    <row r="1464" spans="1:6" x14ac:dyDescent="0.25">
      <c r="A1464">
        <v>1562</v>
      </c>
      <c r="B1464" t="s">
        <v>125</v>
      </c>
      <c r="C1464" t="s">
        <v>76</v>
      </c>
      <c r="D1464" s="1">
        <v>45510</v>
      </c>
      <c r="E1464" t="s">
        <v>1836</v>
      </c>
      <c r="F1464" t="s">
        <v>870</v>
      </c>
    </row>
    <row r="1465" spans="1:6" x14ac:dyDescent="0.25">
      <c r="A1465">
        <v>1563</v>
      </c>
      <c r="B1465" t="s">
        <v>82</v>
      </c>
      <c r="C1465" t="s">
        <v>73</v>
      </c>
      <c r="D1465" s="1">
        <v>32362</v>
      </c>
      <c r="E1465" t="s">
        <v>1837</v>
      </c>
      <c r="F1465" t="s">
        <v>872</v>
      </c>
    </row>
    <row r="1466" spans="1:6" x14ac:dyDescent="0.25">
      <c r="A1466">
        <v>1564</v>
      </c>
      <c r="B1466" t="s">
        <v>78</v>
      </c>
      <c r="C1466" t="s">
        <v>73</v>
      </c>
      <c r="D1466" s="1">
        <v>32607</v>
      </c>
      <c r="E1466" t="s">
        <v>1838</v>
      </c>
      <c r="F1466" t="s">
        <v>872</v>
      </c>
    </row>
    <row r="1467" spans="1:6" x14ac:dyDescent="0.25">
      <c r="A1467">
        <v>1565</v>
      </c>
      <c r="B1467" t="s">
        <v>82</v>
      </c>
      <c r="C1467" t="s">
        <v>73</v>
      </c>
      <c r="D1467" s="1">
        <v>42000</v>
      </c>
      <c r="E1467" t="s">
        <v>1839</v>
      </c>
      <c r="F1467" t="s">
        <v>871</v>
      </c>
    </row>
    <row r="1468" spans="1:6" x14ac:dyDescent="0.25">
      <c r="A1468">
        <v>1566</v>
      </c>
      <c r="B1468" t="s">
        <v>94</v>
      </c>
      <c r="C1468" t="s">
        <v>73</v>
      </c>
      <c r="D1468" s="1">
        <v>27829</v>
      </c>
      <c r="E1468" t="s">
        <v>1840</v>
      </c>
      <c r="F1468" t="s">
        <v>872</v>
      </c>
    </row>
    <row r="1469" spans="1:6" x14ac:dyDescent="0.25">
      <c r="A1469">
        <v>1567</v>
      </c>
      <c r="B1469" t="s">
        <v>80</v>
      </c>
      <c r="C1469" t="s">
        <v>73</v>
      </c>
      <c r="D1469" s="1">
        <v>25950</v>
      </c>
      <c r="E1469" t="s">
        <v>1841</v>
      </c>
      <c r="F1469" t="s">
        <v>867</v>
      </c>
    </row>
    <row r="1470" spans="1:6" x14ac:dyDescent="0.25">
      <c r="A1470">
        <v>1568</v>
      </c>
      <c r="B1470" t="s">
        <v>75</v>
      </c>
      <c r="C1470" t="s">
        <v>76</v>
      </c>
      <c r="D1470" s="1">
        <v>14155</v>
      </c>
      <c r="E1470" t="s">
        <v>1842</v>
      </c>
      <c r="F1470" t="s">
        <v>869</v>
      </c>
    </row>
    <row r="1471" spans="1:6" x14ac:dyDescent="0.25">
      <c r="A1471">
        <v>1569</v>
      </c>
      <c r="B1471" t="s">
        <v>89</v>
      </c>
      <c r="C1471" t="s">
        <v>76</v>
      </c>
      <c r="D1471" s="1">
        <v>34075</v>
      </c>
      <c r="E1471" t="s">
        <v>1843</v>
      </c>
      <c r="F1471" t="s">
        <v>868</v>
      </c>
    </row>
    <row r="1472" spans="1:6" x14ac:dyDescent="0.25">
      <c r="A1472">
        <v>1570</v>
      </c>
      <c r="B1472" t="s">
        <v>120</v>
      </c>
      <c r="C1472" t="s">
        <v>73</v>
      </c>
      <c r="D1472" s="1">
        <v>28156</v>
      </c>
      <c r="E1472" t="s">
        <v>1844</v>
      </c>
      <c r="F1472" t="s">
        <v>867</v>
      </c>
    </row>
    <row r="1473" spans="1:6" x14ac:dyDescent="0.25">
      <c r="A1473">
        <v>1571</v>
      </c>
      <c r="B1473" t="s">
        <v>122</v>
      </c>
      <c r="C1473" t="s">
        <v>73</v>
      </c>
      <c r="D1473" s="1">
        <v>26793</v>
      </c>
      <c r="E1473" t="s">
        <v>1845</v>
      </c>
      <c r="F1473" t="s">
        <v>870</v>
      </c>
    </row>
    <row r="1474" spans="1:6" x14ac:dyDescent="0.25">
      <c r="A1474">
        <v>1572</v>
      </c>
      <c r="B1474" t="s">
        <v>127</v>
      </c>
      <c r="C1474" t="s">
        <v>76</v>
      </c>
      <c r="D1474" s="1">
        <v>21291</v>
      </c>
      <c r="E1474" t="s">
        <v>1846</v>
      </c>
      <c r="F1474" t="s">
        <v>867</v>
      </c>
    </row>
    <row r="1475" spans="1:6" x14ac:dyDescent="0.25">
      <c r="A1475">
        <v>1573</v>
      </c>
      <c r="B1475" t="s">
        <v>99</v>
      </c>
      <c r="C1475" t="s">
        <v>76</v>
      </c>
      <c r="D1475" s="1">
        <v>42968</v>
      </c>
      <c r="E1475" t="s">
        <v>1847</v>
      </c>
      <c r="F1475" t="s">
        <v>868</v>
      </c>
    </row>
    <row r="1476" spans="1:6" x14ac:dyDescent="0.25">
      <c r="A1476">
        <v>1574</v>
      </c>
      <c r="B1476" t="s">
        <v>92</v>
      </c>
      <c r="C1476" t="s">
        <v>76</v>
      </c>
      <c r="D1476" s="1">
        <v>16536</v>
      </c>
      <c r="E1476" t="s">
        <v>1848</v>
      </c>
      <c r="F1476" t="s">
        <v>871</v>
      </c>
    </row>
    <row r="1477" spans="1:6" x14ac:dyDescent="0.25">
      <c r="A1477">
        <v>1575</v>
      </c>
      <c r="B1477" t="s">
        <v>120</v>
      </c>
      <c r="C1477" t="s">
        <v>73</v>
      </c>
      <c r="D1477" s="1">
        <v>16500</v>
      </c>
      <c r="E1477" t="s">
        <v>1849</v>
      </c>
      <c r="F1477" t="s">
        <v>872</v>
      </c>
    </row>
    <row r="1478" spans="1:6" x14ac:dyDescent="0.25">
      <c r="A1478">
        <v>1576</v>
      </c>
      <c r="B1478" t="s">
        <v>86</v>
      </c>
      <c r="C1478" t="s">
        <v>76</v>
      </c>
      <c r="D1478" s="1">
        <v>16549</v>
      </c>
      <c r="E1478" t="s">
        <v>1850</v>
      </c>
      <c r="F1478" t="s">
        <v>868</v>
      </c>
    </row>
    <row r="1479" spans="1:6" x14ac:dyDescent="0.25">
      <c r="A1479">
        <v>1577</v>
      </c>
      <c r="B1479" t="s">
        <v>122</v>
      </c>
      <c r="C1479" t="s">
        <v>73</v>
      </c>
      <c r="D1479" s="1">
        <v>36339</v>
      </c>
      <c r="E1479" t="s">
        <v>1851</v>
      </c>
      <c r="F1479" t="s">
        <v>867</v>
      </c>
    </row>
    <row r="1480" spans="1:6" x14ac:dyDescent="0.25">
      <c r="A1480">
        <v>1578</v>
      </c>
      <c r="B1480" t="s">
        <v>99</v>
      </c>
      <c r="C1480" t="s">
        <v>76</v>
      </c>
      <c r="D1480" s="1">
        <v>23336</v>
      </c>
      <c r="E1480" t="s">
        <v>1852</v>
      </c>
      <c r="F1480" t="s">
        <v>868</v>
      </c>
    </row>
    <row r="1481" spans="1:6" x14ac:dyDescent="0.25">
      <c r="A1481">
        <v>1579</v>
      </c>
      <c r="B1481" t="s">
        <v>127</v>
      </c>
      <c r="C1481" t="s">
        <v>76</v>
      </c>
      <c r="D1481" s="1">
        <v>43474</v>
      </c>
      <c r="E1481" t="s">
        <v>1853</v>
      </c>
      <c r="F1481" t="s">
        <v>869</v>
      </c>
    </row>
    <row r="1482" spans="1:6" x14ac:dyDescent="0.25">
      <c r="A1482">
        <v>1580</v>
      </c>
      <c r="B1482" t="s">
        <v>125</v>
      </c>
      <c r="C1482" t="s">
        <v>76</v>
      </c>
      <c r="D1482" s="1">
        <v>45487</v>
      </c>
      <c r="E1482" t="s">
        <v>1854</v>
      </c>
      <c r="F1482" t="s">
        <v>868</v>
      </c>
    </row>
    <row r="1483" spans="1:6" x14ac:dyDescent="0.25">
      <c r="A1483">
        <v>1581</v>
      </c>
      <c r="B1483" t="s">
        <v>84</v>
      </c>
      <c r="C1483" t="s">
        <v>73</v>
      </c>
      <c r="D1483" s="1">
        <v>45681</v>
      </c>
      <c r="E1483" t="s">
        <v>1855</v>
      </c>
      <c r="F1483" t="s">
        <v>871</v>
      </c>
    </row>
    <row r="1484" spans="1:6" x14ac:dyDescent="0.25">
      <c r="A1484">
        <v>1582</v>
      </c>
      <c r="B1484" t="s">
        <v>75</v>
      </c>
      <c r="C1484" t="s">
        <v>76</v>
      </c>
      <c r="D1484" s="1">
        <v>27252</v>
      </c>
      <c r="E1484" t="s">
        <v>1856</v>
      </c>
      <c r="F1484" t="s">
        <v>871</v>
      </c>
    </row>
    <row r="1485" spans="1:6" x14ac:dyDescent="0.25">
      <c r="A1485">
        <v>1583</v>
      </c>
      <c r="B1485" t="s">
        <v>72</v>
      </c>
      <c r="C1485" t="s">
        <v>73</v>
      </c>
      <c r="D1485" s="1">
        <v>11865</v>
      </c>
      <c r="E1485" t="s">
        <v>1857</v>
      </c>
      <c r="F1485" t="s">
        <v>866</v>
      </c>
    </row>
    <row r="1486" spans="1:6" x14ac:dyDescent="0.25">
      <c r="A1486">
        <v>1584</v>
      </c>
      <c r="B1486" t="s">
        <v>99</v>
      </c>
      <c r="C1486" t="s">
        <v>76</v>
      </c>
      <c r="D1486" s="1">
        <v>23662</v>
      </c>
      <c r="E1486" t="s">
        <v>1858</v>
      </c>
      <c r="F1486" t="s">
        <v>867</v>
      </c>
    </row>
    <row r="1487" spans="1:6" x14ac:dyDescent="0.25">
      <c r="A1487">
        <v>1585</v>
      </c>
      <c r="B1487" t="s">
        <v>78</v>
      </c>
      <c r="C1487" t="s">
        <v>73</v>
      </c>
      <c r="D1487" s="1">
        <v>41693</v>
      </c>
      <c r="E1487" t="s">
        <v>1859</v>
      </c>
      <c r="F1487" t="s">
        <v>870</v>
      </c>
    </row>
    <row r="1488" spans="1:6" x14ac:dyDescent="0.25">
      <c r="A1488">
        <v>1586</v>
      </c>
      <c r="B1488" t="s">
        <v>80</v>
      </c>
      <c r="C1488" t="s">
        <v>73</v>
      </c>
      <c r="D1488" s="1">
        <v>13034</v>
      </c>
      <c r="E1488" t="s">
        <v>1860</v>
      </c>
      <c r="F1488" t="s">
        <v>868</v>
      </c>
    </row>
    <row r="1489" spans="1:6" x14ac:dyDescent="0.25">
      <c r="A1489">
        <v>1587</v>
      </c>
      <c r="B1489" t="s">
        <v>120</v>
      </c>
      <c r="C1489" t="s">
        <v>73</v>
      </c>
      <c r="D1489" s="1">
        <v>11440</v>
      </c>
      <c r="E1489" t="s">
        <v>1861</v>
      </c>
      <c r="F1489" t="s">
        <v>866</v>
      </c>
    </row>
    <row r="1490" spans="1:6" x14ac:dyDescent="0.25">
      <c r="A1490">
        <v>1588</v>
      </c>
      <c r="B1490" t="s">
        <v>72</v>
      </c>
      <c r="C1490" t="s">
        <v>73</v>
      </c>
      <c r="D1490" s="1">
        <v>17788</v>
      </c>
      <c r="E1490" t="s">
        <v>1862</v>
      </c>
      <c r="F1490" t="s">
        <v>868</v>
      </c>
    </row>
    <row r="1491" spans="1:6" x14ac:dyDescent="0.25">
      <c r="A1491">
        <v>1589</v>
      </c>
      <c r="B1491" t="s">
        <v>99</v>
      </c>
      <c r="C1491" t="s">
        <v>76</v>
      </c>
      <c r="D1491" s="1">
        <v>20186</v>
      </c>
      <c r="E1491" t="s">
        <v>1863</v>
      </c>
      <c r="F1491" t="s">
        <v>866</v>
      </c>
    </row>
    <row r="1492" spans="1:6" x14ac:dyDescent="0.25">
      <c r="A1492">
        <v>1590</v>
      </c>
      <c r="B1492" t="s">
        <v>75</v>
      </c>
      <c r="C1492" t="s">
        <v>76</v>
      </c>
      <c r="D1492" s="1">
        <v>33155</v>
      </c>
      <c r="E1492" t="s">
        <v>1864</v>
      </c>
      <c r="F1492" t="s">
        <v>869</v>
      </c>
    </row>
    <row r="1493" spans="1:6" x14ac:dyDescent="0.25">
      <c r="A1493">
        <v>1591</v>
      </c>
      <c r="B1493" t="s">
        <v>78</v>
      </c>
      <c r="C1493" t="s">
        <v>73</v>
      </c>
      <c r="D1493" s="1">
        <v>41390</v>
      </c>
      <c r="E1493" t="s">
        <v>1865</v>
      </c>
      <c r="F1493" t="s">
        <v>871</v>
      </c>
    </row>
    <row r="1494" spans="1:6" x14ac:dyDescent="0.25">
      <c r="A1494">
        <v>1592</v>
      </c>
      <c r="B1494" t="s">
        <v>86</v>
      </c>
      <c r="C1494" t="s">
        <v>76</v>
      </c>
      <c r="D1494" s="1">
        <v>33859</v>
      </c>
      <c r="E1494" t="s">
        <v>1866</v>
      </c>
      <c r="F1494" t="s">
        <v>871</v>
      </c>
    </row>
    <row r="1495" spans="1:6" x14ac:dyDescent="0.25">
      <c r="A1495">
        <v>1593</v>
      </c>
      <c r="B1495" t="s">
        <v>104</v>
      </c>
      <c r="C1495" t="s">
        <v>76</v>
      </c>
      <c r="D1495" s="1">
        <v>31126</v>
      </c>
      <c r="E1495" t="s">
        <v>1867</v>
      </c>
      <c r="F1495" t="s">
        <v>868</v>
      </c>
    </row>
    <row r="1496" spans="1:6" x14ac:dyDescent="0.25">
      <c r="A1496">
        <v>1594</v>
      </c>
      <c r="B1496" t="s">
        <v>84</v>
      </c>
      <c r="C1496" t="s">
        <v>73</v>
      </c>
      <c r="D1496" s="1">
        <v>14334</v>
      </c>
      <c r="E1496" t="s">
        <v>1868</v>
      </c>
      <c r="F1496" t="s">
        <v>866</v>
      </c>
    </row>
    <row r="1497" spans="1:6" x14ac:dyDescent="0.25">
      <c r="A1497">
        <v>1595</v>
      </c>
      <c r="B1497" t="s">
        <v>84</v>
      </c>
      <c r="C1497" t="s">
        <v>73</v>
      </c>
      <c r="D1497" s="1">
        <v>19560</v>
      </c>
      <c r="E1497" t="s">
        <v>1869</v>
      </c>
      <c r="F1497" t="s">
        <v>867</v>
      </c>
    </row>
    <row r="1498" spans="1:6" x14ac:dyDescent="0.25">
      <c r="A1498">
        <v>1596</v>
      </c>
      <c r="B1498" t="s">
        <v>92</v>
      </c>
      <c r="C1498" t="s">
        <v>76</v>
      </c>
      <c r="D1498" s="1">
        <v>11687</v>
      </c>
      <c r="E1498" t="s">
        <v>1870</v>
      </c>
      <c r="F1498" t="s">
        <v>873</v>
      </c>
    </row>
    <row r="1499" spans="1:6" x14ac:dyDescent="0.25">
      <c r="A1499">
        <v>1597</v>
      </c>
      <c r="B1499" t="s">
        <v>104</v>
      </c>
      <c r="C1499" t="s">
        <v>76</v>
      </c>
      <c r="D1499" s="1">
        <v>43287</v>
      </c>
      <c r="E1499" t="s">
        <v>1871</v>
      </c>
      <c r="F1499" t="s">
        <v>868</v>
      </c>
    </row>
    <row r="1500" spans="1:6" x14ac:dyDescent="0.25">
      <c r="A1500">
        <v>1598</v>
      </c>
      <c r="B1500" t="s">
        <v>82</v>
      </c>
      <c r="C1500" t="s">
        <v>73</v>
      </c>
      <c r="D1500" s="1">
        <v>41074</v>
      </c>
      <c r="E1500" t="s">
        <v>1872</v>
      </c>
      <c r="F1500" t="s">
        <v>867</v>
      </c>
    </row>
    <row r="1501" spans="1:6" x14ac:dyDescent="0.25">
      <c r="A1501">
        <v>1599</v>
      </c>
      <c r="B1501" t="s">
        <v>125</v>
      </c>
      <c r="C1501" t="s">
        <v>76</v>
      </c>
      <c r="D1501" s="1">
        <v>31276</v>
      </c>
      <c r="E1501" t="s">
        <v>1873</v>
      </c>
      <c r="F1501" t="s">
        <v>873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01"/>
  <sheetViews>
    <sheetView topLeftCell="E1" zoomScale="127" workbookViewId="0">
      <selection activeCell="H14" sqref="H14"/>
    </sheetView>
  </sheetViews>
  <sheetFormatPr defaultRowHeight="15" x14ac:dyDescent="0.25"/>
  <cols>
    <col min="1" max="1" width="11.28515625" bestFit="1" customWidth="1"/>
    <col min="2" max="2" width="9.7109375" bestFit="1" customWidth="1"/>
    <col min="3" max="3" width="11.85546875" bestFit="1" customWidth="1"/>
    <col min="4" max="4" width="14.42578125" style="1" bestFit="1" customWidth="1"/>
    <col min="5" max="5" width="29.28515625" bestFit="1" customWidth="1"/>
    <col min="6" max="6" width="34.85546875" bestFit="1" customWidth="1"/>
    <col min="7" max="7" width="21" bestFit="1" customWidth="1"/>
    <col min="8" max="8" width="14.5703125" bestFit="1" customWidth="1"/>
    <col min="9" max="9" width="22" bestFit="1" customWidth="1"/>
    <col min="10" max="10" width="17" bestFit="1" customWidth="1"/>
    <col min="11" max="11" width="19.85546875" bestFit="1" customWidth="1"/>
    <col min="12" max="12" width="19.85546875" customWidth="1"/>
  </cols>
  <sheetData>
    <row r="1" spans="1:12" x14ac:dyDescent="0.25">
      <c r="A1" s="2" t="s">
        <v>308</v>
      </c>
      <c r="B1" s="2" t="s">
        <v>2</v>
      </c>
      <c r="C1" s="2" t="s">
        <v>1</v>
      </c>
      <c r="D1" s="5" t="s">
        <v>309</v>
      </c>
      <c r="E1" s="2" t="s">
        <v>310</v>
      </c>
      <c r="F1" s="2" t="s">
        <v>311</v>
      </c>
      <c r="G1" s="2" t="s">
        <v>2000</v>
      </c>
      <c r="H1" s="5" t="s">
        <v>312</v>
      </c>
      <c r="I1" s="11" t="s">
        <v>1996</v>
      </c>
      <c r="J1" s="2" t="s">
        <v>1964</v>
      </c>
      <c r="K1" s="2" t="s">
        <v>1965</v>
      </c>
      <c r="L1" s="2" t="s">
        <v>1999</v>
      </c>
    </row>
    <row r="2" spans="1:12" x14ac:dyDescent="0.25">
      <c r="A2">
        <v>1</v>
      </c>
      <c r="B2">
        <v>1027</v>
      </c>
      <c r="C2">
        <v>1057</v>
      </c>
      <c r="D2" s="1">
        <v>45823</v>
      </c>
      <c r="E2" t="s">
        <v>313</v>
      </c>
      <c r="F2" t="s">
        <v>314</v>
      </c>
      <c r="G2" t="str">
        <f>_xlfn.XLOOKUP(TRIM(E3),MedicineInfo!A:A,MedicineInfo!B:B,"Not Found")</f>
        <v>Sumatriptan</v>
      </c>
      <c r="H2" s="1" cm="1">
        <f t="array" ref="H2">_xlfn.IFS(
OR(E2="Type 2 Diabetes",E2="Essential Hypertension",E2="Angina Pectoris",E2="Bronchial Asthma",E2="Cardiac Arrhythmia"), D2+30,
OR(E2="Gastritis",E2="Osteoarthritis",E2="Bronchitis",E2="Iron Deficiency Anemia"), D2+14,
OR(E2="Lumbar Strain",E2="Migraine Headache"), D2+7,
OR(E2="Viral Fever",E2="General Checkup","Routine Health Check"), "",
TRUE,""
)</f>
        <v>45830</v>
      </c>
      <c r="I2" s="1" t="str">
        <f t="shared" ref="I2:I65" si="0">IF(H2="","No Follow-up Required","Follow-up Scheduled")</f>
        <v>Follow-up Scheduled</v>
      </c>
      <c r="J2" t="str">
        <f>TEXT(Table8[[#This Row],[visit_Date]],"DDDD")</f>
        <v>Sunday</v>
      </c>
      <c r="K2" t="str">
        <f>TEXT(Table8[[#This Row],[visit_Date]],"mmmm")</f>
        <v>June</v>
      </c>
      <c r="L2" t="str">
        <f t="shared" ref="L2:L65" si="1">IF(OR(MONTH(D2)=12,MONTH(D2)&lt;=2),"Winter",
IF(MONTH(D2)&lt;=5,"Summer","Monsoon"))</f>
        <v>Monsoon</v>
      </c>
    </row>
    <row r="3" spans="1:12" x14ac:dyDescent="0.25">
      <c r="A3">
        <v>2</v>
      </c>
      <c r="B3">
        <v>1009</v>
      </c>
      <c r="C3">
        <v>1568</v>
      </c>
      <c r="D3" s="1">
        <v>45823</v>
      </c>
      <c r="E3" t="s">
        <v>315</v>
      </c>
      <c r="F3" t="s">
        <v>316</v>
      </c>
      <c r="G3" t="str">
        <f>_xlfn.XLOOKUP(TRIM(E4),MedicineInfo!A:A,MedicineInfo!B:B,"Not Found")</f>
        <v>Metformin</v>
      </c>
      <c r="H3" s="1" cm="1">
        <f t="array" ref="H3">_xlfn.IFS(
OR(E3="Type 2 Diabetes",E3="Essential Hypertension",E3="Angina Pectoris",E3="Bronchial Asthma",E3="Cardiac Arrhythmia"), D3+30,
OR(E3="Gastritis",E3="Osteoarthritis",E3="Bronchitis",E3="Iron Deficiency Anemia"), D3+14,
OR(E3="Lumbar Strain",E3="Migraine Headache"), D3+7,
OR(E3="Viral Fever",E3="General Checkup","Routine Health Check"), "",
TRUE,""
)</f>
        <v>45830</v>
      </c>
      <c r="I3" s="1" t="str">
        <f t="shared" si="0"/>
        <v>Follow-up Scheduled</v>
      </c>
      <c r="J3" t="str">
        <f>TEXT(Table8[[#This Row],[visit_Date]],"DDDD")</f>
        <v>Sunday</v>
      </c>
      <c r="K3" t="str">
        <f>TEXT(Table8[[#This Row],[visit_Date]],"mmmm")</f>
        <v>June</v>
      </c>
      <c r="L3" t="str">
        <f t="shared" si="1"/>
        <v>Monsoon</v>
      </c>
    </row>
    <row r="4" spans="1:12" x14ac:dyDescent="0.25">
      <c r="A4">
        <v>3</v>
      </c>
      <c r="B4">
        <v>1024</v>
      </c>
      <c r="C4">
        <v>449</v>
      </c>
      <c r="D4" s="1">
        <v>45758</v>
      </c>
      <c r="E4" t="s">
        <v>317</v>
      </c>
      <c r="F4" t="s">
        <v>318</v>
      </c>
      <c r="G4" t="str">
        <f>_xlfn.XLOOKUP(TRIM(E5),MedicineInfo!A:A,MedicineInfo!B:B,"Not Found")</f>
        <v>Sumatriptan</v>
      </c>
      <c r="H4" s="1" cm="1">
        <f t="array" ref="H4">_xlfn.IFS(
OR(E4="Type 2 Diabetes",E4="Essential Hypertension",E4="Angina Pectoris",E4="Bronchial Asthma",E4="Cardiac Arrhythmia"), D4+30,
OR(E4="Gastritis",E4="Osteoarthritis",E4="Bronchitis",E4="Iron Deficiency Anemia"), D4+14,
OR(E4="Lumbar Strain",E4="Migraine Headache"), D4+7,
OR(E4="Viral Fever",E4="General Checkup","Routine Health Check"), "",
TRUE,""
)</f>
        <v>45788</v>
      </c>
      <c r="I4" s="1" t="str">
        <f t="shared" si="0"/>
        <v>Follow-up Scheduled</v>
      </c>
      <c r="J4" t="str">
        <f>TEXT(Table8[[#This Row],[visit_Date]],"DDDD")</f>
        <v>Friday</v>
      </c>
      <c r="K4" t="str">
        <f>TEXT(Table8[[#This Row],[visit_Date]],"mmmm")</f>
        <v>April</v>
      </c>
      <c r="L4" t="str">
        <f t="shared" si="1"/>
        <v>Summer</v>
      </c>
    </row>
    <row r="5" spans="1:12" x14ac:dyDescent="0.25">
      <c r="A5">
        <v>4</v>
      </c>
      <c r="B5">
        <v>1008</v>
      </c>
      <c r="C5">
        <v>279</v>
      </c>
      <c r="D5" s="1">
        <v>45767</v>
      </c>
      <c r="E5" t="s">
        <v>315</v>
      </c>
      <c r="F5" t="s">
        <v>316</v>
      </c>
      <c r="G5" t="str">
        <f>_xlfn.XLOOKUP(TRIM(E6),MedicineInfo!A:A,MedicineInfo!B:B,"Not Found")</f>
        <v>Amlodipine</v>
      </c>
      <c r="H5" s="1" cm="1">
        <f t="array" ref="H5">_xlfn.IFS(
OR(E5="Type 2 Diabetes",E5="Essential Hypertension",E5="Angina Pectoris",E5="Bronchial Asthma",E5="Cardiac Arrhythmia"), D5+30,
OR(E5="Gastritis",E5="Osteoarthritis",E5="Bronchitis",E5="Iron Deficiency Anemia"), D5+14,
OR(E5="Lumbar Strain",E5="Migraine Headache"), D5+7,
OR(E5="Viral Fever",E5="General Checkup","Routine Health Check"), "",
TRUE,""
)</f>
        <v>45774</v>
      </c>
      <c r="I5" s="1" t="str">
        <f t="shared" si="0"/>
        <v>Follow-up Scheduled</v>
      </c>
      <c r="J5" t="str">
        <f>TEXT(Table8[[#This Row],[visit_Date]],"DDDD")</f>
        <v>Sunday</v>
      </c>
      <c r="K5" t="str">
        <f>TEXT(Table8[[#This Row],[visit_Date]],"mmmm")</f>
        <v>April</v>
      </c>
      <c r="L5" t="str">
        <f t="shared" si="1"/>
        <v>Summer</v>
      </c>
    </row>
    <row r="6" spans="1:12" x14ac:dyDescent="0.25">
      <c r="A6">
        <v>5</v>
      </c>
      <c r="B6">
        <v>1001</v>
      </c>
      <c r="C6">
        <v>1089</v>
      </c>
      <c r="D6" s="1">
        <v>45814</v>
      </c>
      <c r="E6" t="s">
        <v>319</v>
      </c>
      <c r="F6" t="s">
        <v>320</v>
      </c>
      <c r="G6" t="str">
        <f>_xlfn.XLOOKUP(TRIM(E7),MedicineInfo!A:A,MedicineInfo!B:B,"Not Found")</f>
        <v>Sumatriptan</v>
      </c>
      <c r="H6" s="1" cm="1">
        <f t="array" ref="H6">_xlfn.IFS(
OR(E6="Type 2 Diabetes",E6="Essential Hypertension",E6="Angina Pectoris",E6="Bronchial Asthma",E6="Cardiac Arrhythmia"), D6+30,
OR(E6="Gastritis",E6="Osteoarthritis",E6="Bronchitis",E6="Iron Deficiency Anemia"), D6+14,
OR(E6="Lumbar Strain",E6="Migraine Headache"), D6+7,
OR(E6="Viral Fever",E6="General Checkup","Routine Health Check"), "",
TRUE,""
)</f>
        <v>45844</v>
      </c>
      <c r="I6" s="1" t="str">
        <f t="shared" si="0"/>
        <v>Follow-up Scheduled</v>
      </c>
      <c r="J6" t="str">
        <f>TEXT(Table8[[#This Row],[visit_Date]],"DDDD")</f>
        <v>Friday</v>
      </c>
      <c r="K6" t="str">
        <f>TEXT(Table8[[#This Row],[visit_Date]],"mmmm")</f>
        <v>June</v>
      </c>
      <c r="L6" t="str">
        <f t="shared" si="1"/>
        <v>Monsoon</v>
      </c>
    </row>
    <row r="7" spans="1:12" x14ac:dyDescent="0.25">
      <c r="A7">
        <v>6</v>
      </c>
      <c r="B7">
        <v>1009</v>
      </c>
      <c r="C7">
        <v>450</v>
      </c>
      <c r="D7" s="1">
        <v>45759</v>
      </c>
      <c r="E7" t="s">
        <v>315</v>
      </c>
      <c r="F7" t="s">
        <v>316</v>
      </c>
      <c r="G7" t="str">
        <f>_xlfn.XLOOKUP(TRIM(E8),MedicineInfo!A:A,MedicineInfo!B:B,"Not Found")</f>
        <v>Multivitamin</v>
      </c>
      <c r="H7" s="1" cm="1">
        <f t="array" ref="H7">_xlfn.IFS(
OR(E7="Type 2 Diabetes",E7="Essential Hypertension",E7="Angina Pectoris",E7="Bronchial Asthma",E7="Cardiac Arrhythmia"), D7+30,
OR(E7="Gastritis",E7="Osteoarthritis",E7="Bronchitis",E7="Iron Deficiency Anemia"), D7+14,
OR(E7="Lumbar Strain",E7="Migraine Headache"), D7+7,
OR(E7="Viral Fever",E7="General Checkup","Routine Health Check"), "",
TRUE,""
)</f>
        <v>45766</v>
      </c>
      <c r="I7" s="1" t="str">
        <f t="shared" si="0"/>
        <v>Follow-up Scheduled</v>
      </c>
      <c r="J7" t="str">
        <f>TEXT(Table8[[#This Row],[visit_Date]],"DDDD")</f>
        <v>Saturday</v>
      </c>
      <c r="K7" t="str">
        <f>TEXT(Table8[[#This Row],[visit_Date]],"mmmm")</f>
        <v>April</v>
      </c>
      <c r="L7" t="str">
        <f t="shared" si="1"/>
        <v>Summer</v>
      </c>
    </row>
    <row r="8" spans="1:12" x14ac:dyDescent="0.25">
      <c r="A8">
        <v>7</v>
      </c>
      <c r="B8">
        <v>1027</v>
      </c>
      <c r="C8">
        <v>540</v>
      </c>
      <c r="D8" s="1">
        <v>45719</v>
      </c>
      <c r="E8" t="s">
        <v>24</v>
      </c>
      <c r="F8" t="s">
        <v>321</v>
      </c>
      <c r="G8" t="str">
        <f>_xlfn.XLOOKUP(TRIM(E9),MedicineInfo!A:A,MedicineInfo!B:B,"Not Found")</f>
        <v>Nitroglycerin</v>
      </c>
      <c r="H8" s="1" t="str" cm="1">
        <f t="array" ref="H8">_xlfn.IFS(
OR(E8="Type 2 Diabetes",E8="Essential Hypertension",E8="Angina Pectoris",E8="Bronchial Asthma",E8="Cardiac Arrhythmia"), D8+30,
OR(E8="Gastritis",E8="Osteoarthritis",E8="Bronchitis",E8="Iron Deficiency Anemia"), D8+14,
OR(E8="Lumbar Strain",E8="Migraine Headache"), D8+7,
OR(E8="Viral Fever",E8="General Checkup","Routine Health Check"), "",
TRUE,""
)</f>
        <v/>
      </c>
      <c r="I8" s="1" t="str">
        <f t="shared" si="0"/>
        <v>No Follow-up Required</v>
      </c>
      <c r="J8" t="str">
        <f>TEXT(Table8[[#This Row],[visit_Date]],"DDDD")</f>
        <v>Monday</v>
      </c>
      <c r="K8" t="str">
        <f>TEXT(Table8[[#This Row],[visit_Date]],"mmmm")</f>
        <v>March</v>
      </c>
      <c r="L8" t="str">
        <f t="shared" si="1"/>
        <v>Summer</v>
      </c>
    </row>
    <row r="9" spans="1:12" x14ac:dyDescent="0.25">
      <c r="A9">
        <v>8</v>
      </c>
      <c r="B9">
        <v>1027</v>
      </c>
      <c r="C9">
        <v>1309</v>
      </c>
      <c r="D9" s="1">
        <v>45758</v>
      </c>
      <c r="E9" t="s">
        <v>322</v>
      </c>
      <c r="F9" t="s">
        <v>323</v>
      </c>
      <c r="G9" t="str">
        <f>_xlfn.XLOOKUP(TRIM(E10),MedicineInfo!A:A,MedicineInfo!B:B,"Not Found")</f>
        <v>Multivitamin</v>
      </c>
      <c r="H9" s="1" cm="1">
        <f t="array" ref="H9">_xlfn.IFS(
OR(E9="Type 2 Diabetes",E9="Essential Hypertension",E9="Angina Pectoris",E9="Bronchial Asthma",E9="Cardiac Arrhythmia"), D9+30,
OR(E9="Gastritis",E9="Osteoarthritis",E9="Bronchitis",E9="Iron Deficiency Anemia"), D9+14,
OR(E9="Lumbar Strain",E9="Migraine Headache"), D9+7,
OR(E9="Viral Fever",E9="General Checkup","Routine Health Check"), "",
TRUE,""
)</f>
        <v>45788</v>
      </c>
      <c r="I9" s="1" t="str">
        <f t="shared" si="0"/>
        <v>Follow-up Scheduled</v>
      </c>
      <c r="J9" t="str">
        <f>TEXT(Table8[[#This Row],[visit_Date]],"DDDD")</f>
        <v>Friday</v>
      </c>
      <c r="K9" t="str">
        <f>TEXT(Table8[[#This Row],[visit_Date]],"mmmm")</f>
        <v>April</v>
      </c>
      <c r="L9" t="str">
        <f t="shared" si="1"/>
        <v>Summer</v>
      </c>
    </row>
    <row r="10" spans="1:12" x14ac:dyDescent="0.25">
      <c r="A10">
        <v>9</v>
      </c>
      <c r="B10">
        <v>1027</v>
      </c>
      <c r="C10">
        <v>734</v>
      </c>
      <c r="D10" s="1">
        <v>45853</v>
      </c>
      <c r="E10" t="s">
        <v>24</v>
      </c>
      <c r="F10" t="s">
        <v>321</v>
      </c>
      <c r="G10" t="str">
        <f>_xlfn.XLOOKUP(TRIM(E11),MedicineInfo!A:A,MedicineInfo!B:B,"Not Found")</f>
        <v>Salbutamol Inhaler</v>
      </c>
      <c r="H10" s="1" t="str" cm="1">
        <f t="array" ref="H10">_xlfn.IFS(
OR(E10="Type 2 Diabetes",E10="Essential Hypertension",E10="Angina Pectoris",E10="Bronchial Asthma",E10="Cardiac Arrhythmia"), D10+30,
OR(E10="Gastritis",E10="Osteoarthritis",E10="Bronchitis",E10="Iron Deficiency Anemia"), D10+14,
OR(E10="Lumbar Strain",E10="Migraine Headache"), D10+7,
OR(E10="Viral Fever",E10="General Checkup","Routine Health Check"), "",
TRUE,""
)</f>
        <v/>
      </c>
      <c r="I10" s="1" t="str">
        <f t="shared" si="0"/>
        <v>No Follow-up Required</v>
      </c>
      <c r="J10" t="str">
        <f>TEXT(Table8[[#This Row],[visit_Date]],"DDDD")</f>
        <v>Tuesday</v>
      </c>
      <c r="K10" t="str">
        <f>TEXT(Table8[[#This Row],[visit_Date]],"mmmm")</f>
        <v>July</v>
      </c>
      <c r="L10" t="str">
        <f t="shared" si="1"/>
        <v>Monsoon</v>
      </c>
    </row>
    <row r="11" spans="1:12" x14ac:dyDescent="0.25">
      <c r="A11">
        <v>10</v>
      </c>
      <c r="B11">
        <v>1020</v>
      </c>
      <c r="C11">
        <v>927</v>
      </c>
      <c r="D11" s="1">
        <v>45712</v>
      </c>
      <c r="E11" t="s">
        <v>324</v>
      </c>
      <c r="F11" t="s">
        <v>325</v>
      </c>
      <c r="G11" t="str">
        <f>_xlfn.XLOOKUP(TRIM(E12),MedicineInfo!A:A,MedicineInfo!B:B,"Not Found")</f>
        <v>Multivitamin</v>
      </c>
      <c r="H11" s="1" cm="1">
        <f t="array" ref="H11">_xlfn.IFS(
OR(E11="Type 2 Diabetes",E11="Essential Hypertension",E11="Angina Pectoris",E11="Bronchial Asthma",E11="Cardiac Arrhythmia"), D11+30,
OR(E11="Gastritis",E11="Osteoarthritis",E11="Bronchitis",E11="Iron Deficiency Anemia"), D11+14,
OR(E11="Lumbar Strain",E11="Migraine Headache"), D11+7,
OR(E11="Viral Fever",E11="General Checkup","Routine Health Check"), "",
TRUE,""
)</f>
        <v>45742</v>
      </c>
      <c r="I11" s="1" t="str">
        <f t="shared" si="0"/>
        <v>Follow-up Scheduled</v>
      </c>
      <c r="J11" t="str">
        <f>TEXT(Table8[[#This Row],[visit_Date]],"DDDD")</f>
        <v>Monday</v>
      </c>
      <c r="K11" t="str">
        <f>TEXT(Table8[[#This Row],[visit_Date]],"mmmm")</f>
        <v>February</v>
      </c>
      <c r="L11" t="str">
        <f t="shared" si="1"/>
        <v>Winter</v>
      </c>
    </row>
    <row r="12" spans="1:12" x14ac:dyDescent="0.25">
      <c r="A12">
        <v>11</v>
      </c>
      <c r="B12">
        <v>1027</v>
      </c>
      <c r="C12">
        <v>228</v>
      </c>
      <c r="D12" s="1">
        <v>45731</v>
      </c>
      <c r="E12" t="s">
        <v>24</v>
      </c>
      <c r="F12" t="s">
        <v>321</v>
      </c>
      <c r="G12" t="str">
        <f>_xlfn.XLOOKUP(TRIM(E13),MedicineInfo!A:A,MedicineInfo!B:B,"Not Found")</f>
        <v>Paracetamol</v>
      </c>
      <c r="H12" s="1" t="str" cm="1">
        <f t="array" ref="H12">_xlfn.IFS(
OR(E12="Type 2 Diabetes",E12="Essential Hypertension",E12="Angina Pectoris",E12="Bronchial Asthma",E12="Cardiac Arrhythmia"), D12+30,
OR(E12="Gastritis",E12="Osteoarthritis",E12="Bronchitis",E12="Iron Deficiency Anemia"), D12+14,
OR(E12="Lumbar Strain",E12="Migraine Headache"), D12+7,
OR(E12="Viral Fever",E12="General Checkup","Routine Health Check"), "",
TRUE,""
)</f>
        <v/>
      </c>
      <c r="I12" s="1" t="str">
        <f t="shared" si="0"/>
        <v>No Follow-up Required</v>
      </c>
      <c r="J12" t="str">
        <f>TEXT(Table8[[#This Row],[visit_Date]],"DDDD")</f>
        <v>Saturday</v>
      </c>
      <c r="K12" t="str">
        <f>TEXT(Table8[[#This Row],[visit_Date]],"mmmm")</f>
        <v>March</v>
      </c>
      <c r="L12" t="str">
        <f t="shared" si="1"/>
        <v>Summer</v>
      </c>
    </row>
    <row r="13" spans="1:12" x14ac:dyDescent="0.25">
      <c r="A13">
        <v>12</v>
      </c>
      <c r="B13">
        <v>1027</v>
      </c>
      <c r="C13">
        <v>464</v>
      </c>
      <c r="D13" s="1">
        <v>45830</v>
      </c>
      <c r="E13" t="s">
        <v>326</v>
      </c>
      <c r="F13" t="s">
        <v>327</v>
      </c>
      <c r="G13" t="str">
        <f>_xlfn.XLOOKUP(TRIM(E14),MedicineInfo!A:A,MedicineInfo!B:B,"Not Found")</f>
        <v>Multivitamin</v>
      </c>
      <c r="H13" s="1" t="str" cm="1">
        <f t="array" ref="H13">_xlfn.IFS(
OR(E13="Type 2 Diabetes",E13="Essential Hypertension",E13="Angina Pectoris",E13="Bronchial Asthma",E13="Cardiac Arrhythmia"), D13+30,
OR(E13="Gastritis",E13="Osteoarthritis",E13="Bronchitis",E13="Iron Deficiency Anemia"), D13+14,
OR(E13="Lumbar Strain",E13="Migraine Headache"), D13+7,
OR(E13="Viral Fever",E13="General Checkup","Routine Health Check"), "",
TRUE,""
)</f>
        <v/>
      </c>
      <c r="I13" s="1" t="str">
        <f t="shared" si="0"/>
        <v>No Follow-up Required</v>
      </c>
      <c r="J13" t="str">
        <f>TEXT(Table8[[#This Row],[visit_Date]],"DDDD")</f>
        <v>Sunday</v>
      </c>
      <c r="K13" t="str">
        <f>TEXT(Table8[[#This Row],[visit_Date]],"mmmm")</f>
        <v>June</v>
      </c>
      <c r="L13" t="str">
        <f t="shared" si="1"/>
        <v>Monsoon</v>
      </c>
    </row>
    <row r="14" spans="1:12" x14ac:dyDescent="0.25">
      <c r="A14">
        <v>13</v>
      </c>
      <c r="B14">
        <v>1027</v>
      </c>
      <c r="C14">
        <v>1090</v>
      </c>
      <c r="D14" s="1">
        <v>45823</v>
      </c>
      <c r="E14" t="s">
        <v>24</v>
      </c>
      <c r="F14" t="s">
        <v>321</v>
      </c>
      <c r="G14" t="str">
        <f>_xlfn.XLOOKUP(TRIM(E15),MedicineInfo!A:A,MedicineInfo!B:B,"Not Found")</f>
        <v>Metformin</v>
      </c>
      <c r="H14" s="1" t="str" cm="1">
        <f t="array" ref="H14">_xlfn.IFS(
OR(E14="Type 2 Diabetes",E14="Essential Hypertension",E14="Angina Pectoris",E14="Bronchial Asthma",E14="Cardiac Arrhythmia"), D14+30,
OR(E14="Gastritis",E14="Osteoarthritis",E14="Bronchitis",E14="Iron Deficiency Anemia"), D14+14,
OR(E14="Lumbar Strain",E14="Migraine Headache"), D14+7,
OR(E14="Viral Fever",E14="General Checkup","Routine Health Check"), "",
TRUE,""
)</f>
        <v/>
      </c>
      <c r="I14" s="1" t="str">
        <f t="shared" si="0"/>
        <v>No Follow-up Required</v>
      </c>
      <c r="J14" t="str">
        <f>TEXT(Table8[[#This Row],[visit_Date]],"DDDD")</f>
        <v>Sunday</v>
      </c>
      <c r="K14" t="str">
        <f>TEXT(Table8[[#This Row],[visit_Date]],"mmmm")</f>
        <v>June</v>
      </c>
      <c r="L14" t="str">
        <f t="shared" si="1"/>
        <v>Monsoon</v>
      </c>
    </row>
    <row r="15" spans="1:12" x14ac:dyDescent="0.25">
      <c r="A15">
        <v>14</v>
      </c>
      <c r="B15">
        <v>1024</v>
      </c>
      <c r="C15">
        <v>896</v>
      </c>
      <c r="D15" s="1">
        <v>45792</v>
      </c>
      <c r="E15" t="s">
        <v>317</v>
      </c>
      <c r="F15" t="s">
        <v>318</v>
      </c>
      <c r="G15" t="str">
        <f>_xlfn.XLOOKUP(TRIM(E16),MedicineInfo!A:A,MedicineInfo!B:B,"Not Found")</f>
        <v>Diclofenac</v>
      </c>
      <c r="H15" s="1" cm="1">
        <f t="array" ref="H15">_xlfn.IFS(
OR(E15="Type 2 Diabetes",E15="Essential Hypertension",E15="Angina Pectoris",E15="Bronchial Asthma",E15="Cardiac Arrhythmia"), D15+30,
OR(E15="Gastritis",E15="Osteoarthritis",E15="Bronchitis",E15="Iron Deficiency Anemia"), D15+14,
OR(E15="Lumbar Strain",E15="Migraine Headache"), D15+7,
OR(E15="Viral Fever",E15="General Checkup","Routine Health Check"), "",
TRUE,""
)</f>
        <v>45822</v>
      </c>
      <c r="I15" s="1" t="str">
        <f t="shared" si="0"/>
        <v>Follow-up Scheduled</v>
      </c>
      <c r="J15" t="str">
        <f>TEXT(Table8[[#This Row],[visit_Date]],"DDDD")</f>
        <v>Thursday</v>
      </c>
      <c r="K15" t="str">
        <f>TEXT(Table8[[#This Row],[visit_Date]],"mmmm")</f>
        <v>May</v>
      </c>
      <c r="L15" t="str">
        <f t="shared" si="1"/>
        <v>Summer</v>
      </c>
    </row>
    <row r="16" spans="1:12" x14ac:dyDescent="0.25">
      <c r="A16">
        <v>15</v>
      </c>
      <c r="B16">
        <v>1027</v>
      </c>
      <c r="C16">
        <v>996</v>
      </c>
      <c r="D16" s="1">
        <v>45853</v>
      </c>
      <c r="E16" t="s">
        <v>313</v>
      </c>
      <c r="F16" t="s">
        <v>314</v>
      </c>
      <c r="G16" t="str">
        <f>_xlfn.XLOOKUP(TRIM(E17),MedicineInfo!A:A,MedicineInfo!B:B,"Not Found")</f>
        <v>Amlodipine</v>
      </c>
      <c r="H16" s="1" cm="1">
        <f t="array" ref="H16">_xlfn.IFS(
OR(E16="Type 2 Diabetes",E16="Essential Hypertension",E16="Angina Pectoris",E16="Bronchial Asthma",E16="Cardiac Arrhythmia"), D16+30,
OR(E16="Gastritis",E16="Osteoarthritis",E16="Bronchitis",E16="Iron Deficiency Anemia"), D16+14,
OR(E16="Lumbar Strain",E16="Migraine Headache"), D16+7,
OR(E16="Viral Fever",E16="General Checkup","Routine Health Check"), "",
TRUE,""
)</f>
        <v>45860</v>
      </c>
      <c r="I16" s="1" t="str">
        <f t="shared" si="0"/>
        <v>Follow-up Scheduled</v>
      </c>
      <c r="J16" t="str">
        <f>TEXT(Table8[[#This Row],[visit_Date]],"DDDD")</f>
        <v>Tuesday</v>
      </c>
      <c r="K16" t="str">
        <f>TEXT(Table8[[#This Row],[visit_Date]],"mmmm")</f>
        <v>July</v>
      </c>
      <c r="L16" t="str">
        <f t="shared" si="1"/>
        <v>Monsoon</v>
      </c>
    </row>
    <row r="17" spans="1:12" x14ac:dyDescent="0.25">
      <c r="A17">
        <v>16</v>
      </c>
      <c r="B17">
        <v>1003</v>
      </c>
      <c r="C17">
        <v>1463</v>
      </c>
      <c r="D17" s="1">
        <v>45777</v>
      </c>
      <c r="E17" t="s">
        <v>319</v>
      </c>
      <c r="F17" t="s">
        <v>320</v>
      </c>
      <c r="G17" t="str">
        <f>_xlfn.XLOOKUP(TRIM(E18),MedicineInfo!A:A,MedicineInfo!B:B,"Not Found")</f>
        <v>Amlodipine</v>
      </c>
      <c r="H17" s="1" cm="1">
        <f t="array" ref="H17">_xlfn.IFS(
OR(E17="Type 2 Diabetes",E17="Essential Hypertension",E17="Angina Pectoris",E17="Bronchial Asthma",E17="Cardiac Arrhythmia"), D17+30,
OR(E17="Gastritis",E17="Osteoarthritis",E17="Bronchitis",E17="Iron Deficiency Anemia"), D17+14,
OR(E17="Lumbar Strain",E17="Migraine Headache"), D17+7,
OR(E17="Viral Fever",E17="General Checkup","Routine Health Check"), "",
TRUE,""
)</f>
        <v>45807</v>
      </c>
      <c r="I17" s="1" t="str">
        <f t="shared" si="0"/>
        <v>Follow-up Scheduled</v>
      </c>
      <c r="J17" t="str">
        <f>TEXT(Table8[[#This Row],[visit_Date]],"DDDD")</f>
        <v>Wednesday</v>
      </c>
      <c r="K17" t="str">
        <f>TEXT(Table8[[#This Row],[visit_Date]],"mmmm")</f>
        <v>April</v>
      </c>
      <c r="L17" t="str">
        <f t="shared" si="1"/>
        <v>Summer</v>
      </c>
    </row>
    <row r="18" spans="1:12" x14ac:dyDescent="0.25">
      <c r="A18">
        <v>17</v>
      </c>
      <c r="B18">
        <v>1001</v>
      </c>
      <c r="C18">
        <v>1528</v>
      </c>
      <c r="D18" s="1">
        <v>45691</v>
      </c>
      <c r="E18" t="s">
        <v>319</v>
      </c>
      <c r="F18" t="s">
        <v>320</v>
      </c>
      <c r="G18" t="str">
        <f>_xlfn.XLOOKUP(TRIM(E19),MedicineInfo!A:A,MedicineInfo!B:B,"Not Found")</f>
        <v>Multivitamin</v>
      </c>
      <c r="H18" s="1" cm="1">
        <f t="array" ref="H18">_xlfn.IFS(
OR(E18="Type 2 Diabetes",E18="Essential Hypertension",E18="Angina Pectoris",E18="Bronchial Asthma",E18="Cardiac Arrhythmia"), D18+30,
OR(E18="Gastritis",E18="Osteoarthritis",E18="Bronchitis",E18="Iron Deficiency Anemia"), D18+14,
OR(E18="Lumbar Strain",E18="Migraine Headache"), D18+7,
OR(E18="Viral Fever",E18="General Checkup","Routine Health Check"), "",
TRUE,""
)</f>
        <v>45721</v>
      </c>
      <c r="I18" s="1" t="str">
        <f t="shared" si="0"/>
        <v>Follow-up Scheduled</v>
      </c>
      <c r="J18" t="str">
        <f>TEXT(Table8[[#This Row],[visit_Date]],"DDDD")</f>
        <v>Monday</v>
      </c>
      <c r="K18" t="str">
        <f>TEXT(Table8[[#This Row],[visit_Date]],"mmmm")</f>
        <v>February</v>
      </c>
      <c r="L18" t="str">
        <f t="shared" si="1"/>
        <v>Winter</v>
      </c>
    </row>
    <row r="19" spans="1:12" x14ac:dyDescent="0.25">
      <c r="A19">
        <v>18</v>
      </c>
      <c r="B19">
        <v>1027</v>
      </c>
      <c r="C19">
        <v>1190</v>
      </c>
      <c r="D19" s="1">
        <v>45674</v>
      </c>
      <c r="E19" t="s">
        <v>24</v>
      </c>
      <c r="F19" t="s">
        <v>321</v>
      </c>
      <c r="G19" t="str">
        <f>_xlfn.XLOOKUP(TRIM(E20),MedicineInfo!A:A,MedicineInfo!B:B,"Not Found")</f>
        <v>Amlodipine</v>
      </c>
      <c r="H19" s="1" t="str" cm="1">
        <f t="array" ref="H19">_xlfn.IFS(
OR(E19="Type 2 Diabetes",E19="Essential Hypertension",E19="Angina Pectoris",E19="Bronchial Asthma",E19="Cardiac Arrhythmia"), D19+30,
OR(E19="Gastritis",E19="Osteoarthritis",E19="Bronchitis",E19="Iron Deficiency Anemia"), D19+14,
OR(E19="Lumbar Strain",E19="Migraine Headache"), D19+7,
OR(E19="Viral Fever",E19="General Checkup","Routine Health Check"), "",
TRUE,""
)</f>
        <v/>
      </c>
      <c r="I19" s="1" t="str">
        <f t="shared" si="0"/>
        <v>No Follow-up Required</v>
      </c>
      <c r="J19" t="str">
        <f>TEXT(Table8[[#This Row],[visit_Date]],"DDDD")</f>
        <v>Friday</v>
      </c>
      <c r="K19" t="str">
        <f>TEXT(Table8[[#This Row],[visit_Date]],"mmmm")</f>
        <v>January</v>
      </c>
      <c r="L19" t="str">
        <f t="shared" si="1"/>
        <v>Winter</v>
      </c>
    </row>
    <row r="20" spans="1:12" x14ac:dyDescent="0.25">
      <c r="A20">
        <v>19</v>
      </c>
      <c r="B20">
        <v>1004</v>
      </c>
      <c r="C20">
        <v>366</v>
      </c>
      <c r="D20" s="1">
        <v>45823</v>
      </c>
      <c r="E20" t="s">
        <v>319</v>
      </c>
      <c r="F20" t="s">
        <v>320</v>
      </c>
      <c r="G20" t="str">
        <f>_xlfn.XLOOKUP(TRIM(E21),MedicineInfo!A:A,MedicineInfo!B:B,"Not Found")</f>
        <v>Sumatriptan</v>
      </c>
      <c r="H20" s="1" cm="1">
        <f t="array" ref="H20">_xlfn.IFS(
OR(E20="Type 2 Diabetes",E20="Essential Hypertension",E20="Angina Pectoris",E20="Bronchial Asthma",E20="Cardiac Arrhythmia"), D20+30,
OR(E20="Gastritis",E20="Osteoarthritis",E20="Bronchitis",E20="Iron Deficiency Anemia"), D20+14,
OR(E20="Lumbar Strain",E20="Migraine Headache"), D20+7,
OR(E20="Viral Fever",E20="General Checkup","Routine Health Check"), "",
TRUE,""
)</f>
        <v>45853</v>
      </c>
      <c r="I20" s="1" t="str">
        <f t="shared" si="0"/>
        <v>Follow-up Scheduled</v>
      </c>
      <c r="J20" t="str">
        <f>TEXT(Table8[[#This Row],[visit_Date]],"DDDD")</f>
        <v>Sunday</v>
      </c>
      <c r="K20" t="str">
        <f>TEXT(Table8[[#This Row],[visit_Date]],"mmmm")</f>
        <v>June</v>
      </c>
      <c r="L20" t="str">
        <f t="shared" si="1"/>
        <v>Monsoon</v>
      </c>
    </row>
    <row r="21" spans="1:12" x14ac:dyDescent="0.25">
      <c r="A21">
        <v>20</v>
      </c>
      <c r="B21">
        <v>1009</v>
      </c>
      <c r="C21">
        <v>1449</v>
      </c>
      <c r="D21" s="1">
        <v>45814</v>
      </c>
      <c r="E21" t="s">
        <v>315</v>
      </c>
      <c r="F21" t="s">
        <v>316</v>
      </c>
      <c r="G21" t="str">
        <f>_xlfn.XLOOKUP(TRIM(E22),MedicineInfo!A:A,MedicineInfo!B:B,"Not Found")</f>
        <v>Multivitamin</v>
      </c>
      <c r="H21" s="1" cm="1">
        <f t="array" ref="H21">_xlfn.IFS(
OR(E21="Type 2 Diabetes",E21="Essential Hypertension",E21="Angina Pectoris",E21="Bronchial Asthma",E21="Cardiac Arrhythmia"), D21+30,
OR(E21="Gastritis",E21="Osteoarthritis",E21="Bronchitis",E21="Iron Deficiency Anemia"), D21+14,
OR(E21="Lumbar Strain",E21="Migraine Headache"), D21+7,
OR(E21="Viral Fever",E21="General Checkup","Routine Health Check"), "",
TRUE,""
)</f>
        <v>45821</v>
      </c>
      <c r="I21" s="1" t="str">
        <f t="shared" si="0"/>
        <v>Follow-up Scheduled</v>
      </c>
      <c r="J21" t="str">
        <f>TEXT(Table8[[#This Row],[visit_Date]],"DDDD")</f>
        <v>Friday</v>
      </c>
      <c r="K21" t="str">
        <f>TEXT(Table8[[#This Row],[visit_Date]],"mmmm")</f>
        <v>June</v>
      </c>
      <c r="L21" t="str">
        <f t="shared" si="1"/>
        <v>Monsoon</v>
      </c>
    </row>
    <row r="22" spans="1:12" x14ac:dyDescent="0.25">
      <c r="A22">
        <v>21</v>
      </c>
      <c r="B22">
        <v>1027</v>
      </c>
      <c r="C22">
        <v>1453</v>
      </c>
      <c r="D22" s="1">
        <v>45686</v>
      </c>
      <c r="E22" t="s">
        <v>24</v>
      </c>
      <c r="F22" t="s">
        <v>321</v>
      </c>
      <c r="G22" t="str">
        <f>_xlfn.XLOOKUP(TRIM(E23),MedicineInfo!A:A,MedicineInfo!B:B,"Not Found")</f>
        <v>Amlodipine</v>
      </c>
      <c r="H22" s="1" t="str" cm="1">
        <f t="array" ref="H22">_xlfn.IFS(
OR(E22="Type 2 Diabetes",E22="Essential Hypertension",E22="Angina Pectoris",E22="Bronchial Asthma",E22="Cardiac Arrhythmia"), D22+30,
OR(E22="Gastritis",E22="Osteoarthritis",E22="Bronchitis",E22="Iron Deficiency Anemia"), D22+14,
OR(E22="Lumbar Strain",E22="Migraine Headache"), D22+7,
OR(E22="Viral Fever",E22="General Checkup","Routine Health Check"), "",
TRUE,""
)</f>
        <v/>
      </c>
      <c r="I22" s="1" t="str">
        <f t="shared" si="0"/>
        <v>No Follow-up Required</v>
      </c>
      <c r="J22" t="str">
        <f>TEXT(Table8[[#This Row],[visit_Date]],"DDDD")</f>
        <v>Wednesday</v>
      </c>
      <c r="K22" t="str">
        <f>TEXT(Table8[[#This Row],[visit_Date]],"mmmm")</f>
        <v>January</v>
      </c>
      <c r="L22" t="str">
        <f t="shared" si="1"/>
        <v>Winter</v>
      </c>
    </row>
    <row r="23" spans="1:12" x14ac:dyDescent="0.25">
      <c r="A23">
        <v>22</v>
      </c>
      <c r="B23">
        <v>1001</v>
      </c>
      <c r="C23">
        <v>127</v>
      </c>
      <c r="D23" s="1">
        <v>45758</v>
      </c>
      <c r="E23" t="s">
        <v>319</v>
      </c>
      <c r="F23" t="s">
        <v>320</v>
      </c>
      <c r="G23" t="str">
        <f>_xlfn.XLOOKUP(TRIM(E24),MedicineInfo!A:A,MedicineInfo!B:B,"Not Found")</f>
        <v>Multivitamin</v>
      </c>
      <c r="H23" s="1" cm="1">
        <f t="array" ref="H23">_xlfn.IFS(
OR(E23="Type 2 Diabetes",E23="Essential Hypertension",E23="Angina Pectoris",E23="Bronchial Asthma",E23="Cardiac Arrhythmia"), D23+30,
OR(E23="Gastritis",E23="Osteoarthritis",E23="Bronchitis",E23="Iron Deficiency Anemia"), D23+14,
OR(E23="Lumbar Strain",E23="Migraine Headache"), D23+7,
OR(E23="Viral Fever",E23="General Checkup","Routine Health Check"), "",
TRUE,""
)</f>
        <v>45788</v>
      </c>
      <c r="I23" s="1" t="str">
        <f t="shared" si="0"/>
        <v>Follow-up Scheduled</v>
      </c>
      <c r="J23" t="str">
        <f>TEXT(Table8[[#This Row],[visit_Date]],"DDDD")</f>
        <v>Friday</v>
      </c>
      <c r="K23" t="str">
        <f>TEXT(Table8[[#This Row],[visit_Date]],"mmmm")</f>
        <v>April</v>
      </c>
      <c r="L23" t="str">
        <f t="shared" si="1"/>
        <v>Summer</v>
      </c>
    </row>
    <row r="24" spans="1:12" x14ac:dyDescent="0.25">
      <c r="A24">
        <v>23</v>
      </c>
      <c r="B24">
        <v>1027</v>
      </c>
      <c r="C24">
        <v>1538</v>
      </c>
      <c r="D24" s="1">
        <v>45814</v>
      </c>
      <c r="E24" t="s">
        <v>24</v>
      </c>
      <c r="F24" t="s">
        <v>321</v>
      </c>
      <c r="G24" t="str">
        <f>_xlfn.XLOOKUP(TRIM(E25),MedicineInfo!A:A,MedicineInfo!B:B,"Not Found")</f>
        <v>Multivitamin</v>
      </c>
      <c r="H24" s="1" t="str" cm="1">
        <f t="array" ref="H24">_xlfn.IFS(
OR(E24="Type 2 Diabetes",E24="Essential Hypertension",E24="Angina Pectoris",E24="Bronchial Asthma",E24="Cardiac Arrhythmia"), D24+30,
OR(E24="Gastritis",E24="Osteoarthritis",E24="Bronchitis",E24="Iron Deficiency Anemia"), D24+14,
OR(E24="Lumbar Strain",E24="Migraine Headache"), D24+7,
OR(E24="Viral Fever",E24="General Checkup","Routine Health Check"), "",
TRUE,""
)</f>
        <v/>
      </c>
      <c r="I24" s="1" t="str">
        <f t="shared" si="0"/>
        <v>No Follow-up Required</v>
      </c>
      <c r="J24" t="str">
        <f>TEXT(Table8[[#This Row],[visit_Date]],"DDDD")</f>
        <v>Friday</v>
      </c>
      <c r="K24" t="str">
        <f>TEXT(Table8[[#This Row],[visit_Date]],"mmmm")</f>
        <v>June</v>
      </c>
      <c r="L24" t="str">
        <f t="shared" si="1"/>
        <v>Monsoon</v>
      </c>
    </row>
    <row r="25" spans="1:12" x14ac:dyDescent="0.25">
      <c r="A25">
        <v>24</v>
      </c>
      <c r="B25">
        <v>1027</v>
      </c>
      <c r="C25">
        <v>551</v>
      </c>
      <c r="D25" s="1">
        <v>45791</v>
      </c>
      <c r="E25" t="s">
        <v>24</v>
      </c>
      <c r="F25" t="s">
        <v>321</v>
      </c>
      <c r="G25" t="str">
        <f>_xlfn.XLOOKUP(TRIM(E26),MedicineInfo!A:A,MedicineInfo!B:B,"Not Found")</f>
        <v>Amlodipine</v>
      </c>
      <c r="H25" s="1" t="str" cm="1">
        <f t="array" ref="H25">_xlfn.IFS(
OR(E25="Type 2 Diabetes",E25="Essential Hypertension",E25="Angina Pectoris",E25="Bronchial Asthma",E25="Cardiac Arrhythmia"), D25+30,
OR(E25="Gastritis",E25="Osteoarthritis",E25="Bronchitis",E25="Iron Deficiency Anemia"), D25+14,
OR(E25="Lumbar Strain",E25="Migraine Headache"), D25+7,
OR(E25="Viral Fever",E25="General Checkup","Routine Health Check"), "",
TRUE,""
)</f>
        <v/>
      </c>
      <c r="I25" s="1" t="str">
        <f t="shared" si="0"/>
        <v>No Follow-up Required</v>
      </c>
      <c r="J25" t="str">
        <f>TEXT(Table8[[#This Row],[visit_Date]],"DDDD")</f>
        <v>Wednesday</v>
      </c>
      <c r="K25" t="str">
        <f>TEXT(Table8[[#This Row],[visit_Date]],"mmmm")</f>
        <v>May</v>
      </c>
      <c r="L25" t="str">
        <f t="shared" si="1"/>
        <v>Summer</v>
      </c>
    </row>
    <row r="26" spans="1:12" x14ac:dyDescent="0.25">
      <c r="A26">
        <v>25</v>
      </c>
      <c r="B26">
        <v>1004</v>
      </c>
      <c r="C26">
        <v>1429</v>
      </c>
      <c r="D26" s="1">
        <v>45792</v>
      </c>
      <c r="E26" t="s">
        <v>319</v>
      </c>
      <c r="F26" t="s">
        <v>320</v>
      </c>
      <c r="G26" t="str">
        <f>_xlfn.XLOOKUP(TRIM(E27),MedicineInfo!A:A,MedicineInfo!B:B,"Not Found")</f>
        <v>Multivitamin</v>
      </c>
      <c r="H26" s="1" cm="1">
        <f t="array" ref="H26">_xlfn.IFS(
OR(E26="Type 2 Diabetes",E26="Essential Hypertension",E26="Angina Pectoris",E26="Bronchial Asthma",E26="Cardiac Arrhythmia"), D26+30,
OR(E26="Gastritis",E26="Osteoarthritis",E26="Bronchitis",E26="Iron Deficiency Anemia"), D26+14,
OR(E26="Lumbar Strain",E26="Migraine Headache"), D26+7,
OR(E26="Viral Fever",E26="General Checkup","Routine Health Check"), "",
TRUE,""
)</f>
        <v>45822</v>
      </c>
      <c r="I26" s="1" t="str">
        <f t="shared" si="0"/>
        <v>Follow-up Scheduled</v>
      </c>
      <c r="J26" t="str">
        <f>TEXT(Table8[[#This Row],[visit_Date]],"DDDD")</f>
        <v>Thursday</v>
      </c>
      <c r="K26" t="str">
        <f>TEXT(Table8[[#This Row],[visit_Date]],"mmmm")</f>
        <v>May</v>
      </c>
      <c r="L26" t="str">
        <f t="shared" si="1"/>
        <v>Summer</v>
      </c>
    </row>
    <row r="27" spans="1:12" x14ac:dyDescent="0.25">
      <c r="A27">
        <v>26</v>
      </c>
      <c r="B27">
        <v>1027</v>
      </c>
      <c r="C27">
        <v>770</v>
      </c>
      <c r="D27" s="1">
        <v>45791</v>
      </c>
      <c r="E27" t="s">
        <v>24</v>
      </c>
      <c r="F27" t="s">
        <v>321</v>
      </c>
      <c r="G27" t="str">
        <f>_xlfn.XLOOKUP(TRIM(E28),MedicineInfo!A:A,MedicineInfo!B:B,"Not Found")</f>
        <v>Nitroglycerin</v>
      </c>
      <c r="H27" s="1" t="str" cm="1">
        <f t="array" ref="H27">_xlfn.IFS(
OR(E27="Type 2 Diabetes",E27="Essential Hypertension",E27="Angina Pectoris",E27="Bronchial Asthma",E27="Cardiac Arrhythmia"), D27+30,
OR(E27="Gastritis",E27="Osteoarthritis",E27="Bronchitis",E27="Iron Deficiency Anemia"), D27+14,
OR(E27="Lumbar Strain",E27="Migraine Headache"), D27+7,
OR(E27="Viral Fever",E27="General Checkup","Routine Health Check"), "",
TRUE,""
)</f>
        <v/>
      </c>
      <c r="I27" s="1" t="str">
        <f t="shared" si="0"/>
        <v>No Follow-up Required</v>
      </c>
      <c r="J27" t="str">
        <f>TEXT(Table8[[#This Row],[visit_Date]],"DDDD")</f>
        <v>Wednesday</v>
      </c>
      <c r="K27" t="str">
        <f>TEXT(Table8[[#This Row],[visit_Date]],"mmmm")</f>
        <v>May</v>
      </c>
      <c r="L27" t="str">
        <f t="shared" si="1"/>
        <v>Summer</v>
      </c>
    </row>
    <row r="28" spans="1:12" x14ac:dyDescent="0.25">
      <c r="A28">
        <v>27</v>
      </c>
      <c r="B28">
        <v>1027</v>
      </c>
      <c r="C28">
        <v>399</v>
      </c>
      <c r="D28" s="1">
        <v>45783</v>
      </c>
      <c r="E28" t="s">
        <v>322</v>
      </c>
      <c r="F28" t="s">
        <v>323</v>
      </c>
      <c r="G28" t="str">
        <f>_xlfn.XLOOKUP(TRIM(E29),MedicineInfo!A:A,MedicineInfo!B:B,"Not Found")</f>
        <v>Multivitamin</v>
      </c>
      <c r="H28" s="1" cm="1">
        <f t="array" ref="H28">_xlfn.IFS(
OR(E28="Type 2 Diabetes",E28="Essential Hypertension",E28="Angina Pectoris",E28="Bronchial Asthma",E28="Cardiac Arrhythmia"), D28+30,
OR(E28="Gastritis",E28="Osteoarthritis",E28="Bronchitis",E28="Iron Deficiency Anemia"), D28+14,
OR(E28="Lumbar Strain",E28="Migraine Headache"), D28+7,
OR(E28="Viral Fever",E28="General Checkup","Routine Health Check"), "",
TRUE,""
)</f>
        <v>45813</v>
      </c>
      <c r="I28" s="1" t="str">
        <f t="shared" si="0"/>
        <v>Follow-up Scheduled</v>
      </c>
      <c r="J28" t="str">
        <f>TEXT(Table8[[#This Row],[visit_Date]],"DDDD")</f>
        <v>Tuesday</v>
      </c>
      <c r="K28" t="str">
        <f>TEXT(Table8[[#This Row],[visit_Date]],"mmmm")</f>
        <v>May</v>
      </c>
      <c r="L28" t="str">
        <f t="shared" si="1"/>
        <v>Summer</v>
      </c>
    </row>
    <row r="29" spans="1:12" x14ac:dyDescent="0.25">
      <c r="A29">
        <v>28</v>
      </c>
      <c r="B29">
        <v>1027</v>
      </c>
      <c r="C29">
        <v>1003</v>
      </c>
      <c r="D29" s="1">
        <v>45792</v>
      </c>
      <c r="E29" t="s">
        <v>24</v>
      </c>
      <c r="F29" t="s">
        <v>321</v>
      </c>
      <c r="G29" t="str">
        <f>_xlfn.XLOOKUP(TRIM(E30),MedicineInfo!A:A,MedicineInfo!B:B,"Not Found")</f>
        <v>Amlodipine</v>
      </c>
      <c r="H29" s="1" t="str" cm="1">
        <f t="array" ref="H29">_xlfn.IFS(
OR(E29="Type 2 Diabetes",E29="Essential Hypertension",E29="Angina Pectoris",E29="Bronchial Asthma",E29="Cardiac Arrhythmia"), D29+30,
OR(E29="Gastritis",E29="Osteoarthritis",E29="Bronchitis",E29="Iron Deficiency Anemia"), D29+14,
OR(E29="Lumbar Strain",E29="Migraine Headache"), D29+7,
OR(E29="Viral Fever",E29="General Checkup","Routine Health Check"), "",
TRUE,""
)</f>
        <v/>
      </c>
      <c r="I29" s="1" t="str">
        <f t="shared" si="0"/>
        <v>No Follow-up Required</v>
      </c>
      <c r="J29" t="str">
        <f>TEXT(Table8[[#This Row],[visit_Date]],"DDDD")</f>
        <v>Thursday</v>
      </c>
      <c r="K29" t="str">
        <f>TEXT(Table8[[#This Row],[visit_Date]],"mmmm")</f>
        <v>May</v>
      </c>
      <c r="L29" t="str">
        <f t="shared" si="1"/>
        <v>Summer</v>
      </c>
    </row>
    <row r="30" spans="1:12" x14ac:dyDescent="0.25">
      <c r="A30">
        <v>29</v>
      </c>
      <c r="B30">
        <v>1004</v>
      </c>
      <c r="C30">
        <v>437</v>
      </c>
      <c r="D30" s="1">
        <v>45757</v>
      </c>
      <c r="E30" t="s">
        <v>319</v>
      </c>
      <c r="F30" t="s">
        <v>320</v>
      </c>
      <c r="G30" t="str">
        <f>_xlfn.XLOOKUP(TRIM(E31),MedicineInfo!A:A,MedicineInfo!B:B,"Not Found")</f>
        <v>Multivitamin</v>
      </c>
      <c r="H30" s="1" cm="1">
        <f t="array" ref="H30">_xlfn.IFS(
OR(E30="Type 2 Diabetes",E30="Essential Hypertension",E30="Angina Pectoris",E30="Bronchial Asthma",E30="Cardiac Arrhythmia"), D30+30,
OR(E30="Gastritis",E30="Osteoarthritis",E30="Bronchitis",E30="Iron Deficiency Anemia"), D30+14,
OR(E30="Lumbar Strain",E30="Migraine Headache"), D30+7,
OR(E30="Viral Fever",E30="General Checkup","Routine Health Check"), "",
TRUE,""
)</f>
        <v>45787</v>
      </c>
      <c r="I30" s="1" t="str">
        <f t="shared" si="0"/>
        <v>Follow-up Scheduled</v>
      </c>
      <c r="J30" t="str">
        <f>TEXT(Table8[[#This Row],[visit_Date]],"DDDD")</f>
        <v>Thursday</v>
      </c>
      <c r="K30" t="str">
        <f>TEXT(Table8[[#This Row],[visit_Date]],"mmmm")</f>
        <v>April</v>
      </c>
      <c r="L30" t="str">
        <f t="shared" si="1"/>
        <v>Summer</v>
      </c>
    </row>
    <row r="31" spans="1:12" x14ac:dyDescent="0.25">
      <c r="A31">
        <v>30</v>
      </c>
      <c r="B31">
        <v>1027</v>
      </c>
      <c r="C31">
        <v>1413</v>
      </c>
      <c r="D31" s="1">
        <v>45669</v>
      </c>
      <c r="E31" t="s">
        <v>24</v>
      </c>
      <c r="F31" t="s">
        <v>321</v>
      </c>
      <c r="G31" t="str">
        <f>_xlfn.XLOOKUP(TRIM(E32),MedicineInfo!A:A,MedicineInfo!B:B,"Not Found")</f>
        <v>Multivitamin</v>
      </c>
      <c r="H31" s="1" t="str" cm="1">
        <f t="array" ref="H31">_xlfn.IFS(
OR(E31="Type 2 Diabetes",E31="Essential Hypertension",E31="Angina Pectoris",E31="Bronchial Asthma",E31="Cardiac Arrhythmia"), D31+30,
OR(E31="Gastritis",E31="Osteoarthritis",E31="Bronchitis",E31="Iron Deficiency Anemia"), D31+14,
OR(E31="Lumbar Strain",E31="Migraine Headache"), D31+7,
OR(E31="Viral Fever",E31="General Checkup","Routine Health Check"), "",
TRUE,""
)</f>
        <v/>
      </c>
      <c r="I31" s="1" t="str">
        <f t="shared" si="0"/>
        <v>No Follow-up Required</v>
      </c>
      <c r="J31" t="str">
        <f>TEXT(Table8[[#This Row],[visit_Date]],"DDDD")</f>
        <v>Sunday</v>
      </c>
      <c r="K31" t="str">
        <f>TEXT(Table8[[#This Row],[visit_Date]],"mmmm")</f>
        <v>January</v>
      </c>
      <c r="L31" t="str">
        <f t="shared" si="1"/>
        <v>Winter</v>
      </c>
    </row>
    <row r="32" spans="1:12" x14ac:dyDescent="0.25">
      <c r="A32">
        <v>31</v>
      </c>
      <c r="B32">
        <v>1027</v>
      </c>
      <c r="C32">
        <v>783</v>
      </c>
      <c r="D32" s="1">
        <v>45854</v>
      </c>
      <c r="E32" t="s">
        <v>24</v>
      </c>
      <c r="F32" t="s">
        <v>321</v>
      </c>
      <c r="G32" t="str">
        <f>_xlfn.XLOOKUP(TRIM(E33),MedicineInfo!A:A,MedicineInfo!B:B,"Not Found")</f>
        <v>Salbutamol Inhaler</v>
      </c>
      <c r="H32" s="1" t="str" cm="1">
        <f t="array" ref="H32">_xlfn.IFS(
OR(E32="Type 2 Diabetes",E32="Essential Hypertension",E32="Angina Pectoris",E32="Bronchial Asthma",E32="Cardiac Arrhythmia"), D32+30,
OR(E32="Gastritis",E32="Osteoarthritis",E32="Bronchitis",E32="Iron Deficiency Anemia"), D32+14,
OR(E32="Lumbar Strain",E32="Migraine Headache"), D32+7,
OR(E32="Viral Fever",E32="General Checkup","Routine Health Check"), "",
TRUE,""
)</f>
        <v/>
      </c>
      <c r="I32" s="1" t="str">
        <f t="shared" si="0"/>
        <v>No Follow-up Required</v>
      </c>
      <c r="J32" t="str">
        <f>TEXT(Table8[[#This Row],[visit_Date]],"DDDD")</f>
        <v>Wednesday</v>
      </c>
      <c r="K32" t="str">
        <f>TEXT(Table8[[#This Row],[visit_Date]],"mmmm")</f>
        <v>July</v>
      </c>
      <c r="L32" t="str">
        <f t="shared" si="1"/>
        <v>Monsoon</v>
      </c>
    </row>
    <row r="33" spans="1:12" x14ac:dyDescent="0.25">
      <c r="A33">
        <v>32</v>
      </c>
      <c r="B33">
        <v>1020</v>
      </c>
      <c r="C33">
        <v>1266</v>
      </c>
      <c r="D33" s="1">
        <v>45692</v>
      </c>
      <c r="E33" t="s">
        <v>324</v>
      </c>
      <c r="F33" t="s">
        <v>325</v>
      </c>
      <c r="G33" t="str">
        <f>_xlfn.XLOOKUP(TRIM(E34),MedicineInfo!A:A,MedicineInfo!B:B,"Not Found")</f>
        <v>Nitroglycerin</v>
      </c>
      <c r="H33" s="1" cm="1">
        <f t="array" ref="H33">_xlfn.IFS(
OR(E33="Type 2 Diabetes",E33="Essential Hypertension",E33="Angina Pectoris",E33="Bronchial Asthma",E33="Cardiac Arrhythmia"), D33+30,
OR(E33="Gastritis",E33="Osteoarthritis",E33="Bronchitis",E33="Iron Deficiency Anemia"), D33+14,
OR(E33="Lumbar Strain",E33="Migraine Headache"), D33+7,
OR(E33="Viral Fever",E33="General Checkup","Routine Health Check"), "",
TRUE,""
)</f>
        <v>45722</v>
      </c>
      <c r="I33" s="1" t="str">
        <f t="shared" si="0"/>
        <v>Follow-up Scheduled</v>
      </c>
      <c r="J33" t="str">
        <f>TEXT(Table8[[#This Row],[visit_Date]],"DDDD")</f>
        <v>Tuesday</v>
      </c>
      <c r="K33" t="str">
        <f>TEXT(Table8[[#This Row],[visit_Date]],"mmmm")</f>
        <v>February</v>
      </c>
      <c r="L33" t="str">
        <f t="shared" si="1"/>
        <v>Winter</v>
      </c>
    </row>
    <row r="34" spans="1:12" x14ac:dyDescent="0.25">
      <c r="A34">
        <v>33</v>
      </c>
      <c r="B34">
        <v>1001</v>
      </c>
      <c r="C34">
        <v>1341</v>
      </c>
      <c r="D34" s="1">
        <v>45819</v>
      </c>
      <c r="E34" t="s">
        <v>322</v>
      </c>
      <c r="F34" t="s">
        <v>323</v>
      </c>
      <c r="G34" t="str">
        <f>_xlfn.XLOOKUP(TRIM(E35),MedicineInfo!A:A,MedicineInfo!B:B,"Not Found")</f>
        <v>Multivitamin</v>
      </c>
      <c r="H34" s="1" cm="1">
        <f t="array" ref="H34">_xlfn.IFS(
OR(E34="Type 2 Diabetes",E34="Essential Hypertension",E34="Angina Pectoris",E34="Bronchial Asthma",E34="Cardiac Arrhythmia"), D34+30,
OR(E34="Gastritis",E34="Osteoarthritis",E34="Bronchitis",E34="Iron Deficiency Anemia"), D34+14,
OR(E34="Lumbar Strain",E34="Migraine Headache"), D34+7,
OR(E34="Viral Fever",E34="General Checkup","Routine Health Check"), "",
TRUE,""
)</f>
        <v>45849</v>
      </c>
      <c r="I34" s="1" t="str">
        <f t="shared" si="0"/>
        <v>Follow-up Scheduled</v>
      </c>
      <c r="J34" t="str">
        <f>TEXT(Table8[[#This Row],[visit_Date]],"DDDD")</f>
        <v>Wednesday</v>
      </c>
      <c r="K34" t="str">
        <f>TEXT(Table8[[#This Row],[visit_Date]],"mmmm")</f>
        <v>June</v>
      </c>
      <c r="L34" t="str">
        <f t="shared" si="1"/>
        <v>Monsoon</v>
      </c>
    </row>
    <row r="35" spans="1:12" x14ac:dyDescent="0.25">
      <c r="A35">
        <v>34</v>
      </c>
      <c r="B35">
        <v>1027</v>
      </c>
      <c r="C35">
        <v>694</v>
      </c>
      <c r="D35" s="1">
        <v>45792</v>
      </c>
      <c r="E35" t="s">
        <v>24</v>
      </c>
      <c r="F35" t="s">
        <v>321</v>
      </c>
      <c r="G35" t="str">
        <f>_xlfn.XLOOKUP(TRIM(E36),MedicineInfo!A:A,MedicineInfo!B:B,"Not Found")</f>
        <v>Nitroglycerin</v>
      </c>
      <c r="H35" s="1" t="str" cm="1">
        <f t="array" ref="H35">_xlfn.IFS(
OR(E35="Type 2 Diabetes",E35="Essential Hypertension",E35="Angina Pectoris",E35="Bronchial Asthma",E35="Cardiac Arrhythmia"), D35+30,
OR(E35="Gastritis",E35="Osteoarthritis",E35="Bronchitis",E35="Iron Deficiency Anemia"), D35+14,
OR(E35="Lumbar Strain",E35="Migraine Headache"), D35+7,
OR(E35="Viral Fever",E35="General Checkup","Routine Health Check"), "",
TRUE,""
)</f>
        <v/>
      </c>
      <c r="I35" s="1" t="str">
        <f t="shared" si="0"/>
        <v>No Follow-up Required</v>
      </c>
      <c r="J35" t="str">
        <f>TEXT(Table8[[#This Row],[visit_Date]],"DDDD")</f>
        <v>Thursday</v>
      </c>
      <c r="K35" t="str">
        <f>TEXT(Table8[[#This Row],[visit_Date]],"mmmm")</f>
        <v>May</v>
      </c>
      <c r="L35" t="str">
        <f t="shared" si="1"/>
        <v>Summer</v>
      </c>
    </row>
    <row r="36" spans="1:12" x14ac:dyDescent="0.25">
      <c r="A36">
        <v>35</v>
      </c>
      <c r="B36">
        <v>1001</v>
      </c>
      <c r="C36">
        <v>1506</v>
      </c>
      <c r="D36" s="1">
        <v>45744</v>
      </c>
      <c r="E36" t="s">
        <v>322</v>
      </c>
      <c r="F36" t="s">
        <v>323</v>
      </c>
      <c r="G36" t="str">
        <f>_xlfn.XLOOKUP(TRIM(E37),MedicineInfo!A:A,MedicineInfo!B:B,"Not Found")</f>
        <v>Sumatriptan</v>
      </c>
      <c r="H36" s="1" cm="1">
        <f t="array" ref="H36">_xlfn.IFS(
OR(E36="Type 2 Diabetes",E36="Essential Hypertension",E36="Angina Pectoris",E36="Bronchial Asthma",E36="Cardiac Arrhythmia"), D36+30,
OR(E36="Gastritis",E36="Osteoarthritis",E36="Bronchitis",E36="Iron Deficiency Anemia"), D36+14,
OR(E36="Lumbar Strain",E36="Migraine Headache"), D36+7,
OR(E36="Viral Fever",E36="General Checkup","Routine Health Check"), "",
TRUE,""
)</f>
        <v>45774</v>
      </c>
      <c r="I36" s="1" t="str">
        <f t="shared" si="0"/>
        <v>Follow-up Scheduled</v>
      </c>
      <c r="J36" t="str">
        <f>TEXT(Table8[[#This Row],[visit_Date]],"DDDD")</f>
        <v>Friday</v>
      </c>
      <c r="K36" t="str">
        <f>TEXT(Table8[[#This Row],[visit_Date]],"mmmm")</f>
        <v>March</v>
      </c>
      <c r="L36" t="str">
        <f t="shared" si="1"/>
        <v>Summer</v>
      </c>
    </row>
    <row r="37" spans="1:12" x14ac:dyDescent="0.25">
      <c r="A37">
        <v>36</v>
      </c>
      <c r="B37">
        <v>1009</v>
      </c>
      <c r="C37">
        <v>689</v>
      </c>
      <c r="D37" s="1">
        <v>45821</v>
      </c>
      <c r="E37" t="s">
        <v>315</v>
      </c>
      <c r="F37" t="s">
        <v>316</v>
      </c>
      <c r="G37" t="str">
        <f>_xlfn.XLOOKUP(TRIM(E38),MedicineInfo!A:A,MedicineInfo!B:B,"Not Found")</f>
        <v>Salbutamol Inhaler</v>
      </c>
      <c r="H37" s="1" cm="1">
        <f t="array" ref="H37">_xlfn.IFS(
OR(E37="Type 2 Diabetes",E37="Essential Hypertension",E37="Angina Pectoris",E37="Bronchial Asthma",E37="Cardiac Arrhythmia"), D37+30,
OR(E37="Gastritis",E37="Osteoarthritis",E37="Bronchitis",E37="Iron Deficiency Anemia"), D37+14,
OR(E37="Lumbar Strain",E37="Migraine Headache"), D37+7,
OR(E37="Viral Fever",E37="General Checkup","Routine Health Check"), "",
TRUE,""
)</f>
        <v>45828</v>
      </c>
      <c r="I37" s="1" t="str">
        <f t="shared" si="0"/>
        <v>Follow-up Scheduled</v>
      </c>
      <c r="J37" t="str">
        <f>TEXT(Table8[[#This Row],[visit_Date]],"DDDD")</f>
        <v>Friday</v>
      </c>
      <c r="K37" t="str">
        <f>TEXT(Table8[[#This Row],[visit_Date]],"mmmm")</f>
        <v>June</v>
      </c>
      <c r="L37" t="str">
        <f t="shared" si="1"/>
        <v>Monsoon</v>
      </c>
    </row>
    <row r="38" spans="1:12" x14ac:dyDescent="0.25">
      <c r="A38">
        <v>37</v>
      </c>
      <c r="B38">
        <v>1020</v>
      </c>
      <c r="C38">
        <v>1339</v>
      </c>
      <c r="D38" s="1">
        <v>45758</v>
      </c>
      <c r="E38" t="s">
        <v>324</v>
      </c>
      <c r="F38" t="s">
        <v>325</v>
      </c>
      <c r="G38" t="str">
        <f>_xlfn.XLOOKUP(TRIM(E39),MedicineInfo!A:A,MedicineInfo!B:B,"Not Found")</f>
        <v>Paracetamol</v>
      </c>
      <c r="H38" s="1" cm="1">
        <f t="array" ref="H38">_xlfn.IFS(
OR(E38="Type 2 Diabetes",E38="Essential Hypertension",E38="Angina Pectoris",E38="Bronchial Asthma",E38="Cardiac Arrhythmia"), D38+30,
OR(E38="Gastritis",E38="Osteoarthritis",E38="Bronchitis",E38="Iron Deficiency Anemia"), D38+14,
OR(E38="Lumbar Strain",E38="Migraine Headache"), D38+7,
OR(E38="Viral Fever",E38="General Checkup","Routine Health Check"), "",
TRUE,""
)</f>
        <v>45788</v>
      </c>
      <c r="I38" s="1" t="str">
        <f t="shared" si="0"/>
        <v>Follow-up Scheduled</v>
      </c>
      <c r="J38" t="str">
        <f>TEXT(Table8[[#This Row],[visit_Date]],"DDDD")</f>
        <v>Friday</v>
      </c>
      <c r="K38" t="str">
        <f>TEXT(Table8[[#This Row],[visit_Date]],"mmmm")</f>
        <v>April</v>
      </c>
      <c r="L38" t="str">
        <f t="shared" si="1"/>
        <v>Summer</v>
      </c>
    </row>
    <row r="39" spans="1:12" x14ac:dyDescent="0.25">
      <c r="A39">
        <v>38</v>
      </c>
      <c r="B39">
        <v>1027</v>
      </c>
      <c r="C39">
        <v>715</v>
      </c>
      <c r="D39" s="1">
        <v>45711</v>
      </c>
      <c r="E39" t="s">
        <v>326</v>
      </c>
      <c r="F39" t="s">
        <v>327</v>
      </c>
      <c r="G39" t="str">
        <f>_xlfn.XLOOKUP(TRIM(E40),MedicineInfo!A:A,MedicineInfo!B:B,"Not Found")</f>
        <v>Metformin</v>
      </c>
      <c r="H39" s="1" t="str" cm="1">
        <f t="array" ref="H39">_xlfn.IFS(
OR(E39="Type 2 Diabetes",E39="Essential Hypertension",E39="Angina Pectoris",E39="Bronchial Asthma",E39="Cardiac Arrhythmia"), D39+30,
OR(E39="Gastritis",E39="Osteoarthritis",E39="Bronchitis",E39="Iron Deficiency Anemia"), D39+14,
OR(E39="Lumbar Strain",E39="Migraine Headache"), D39+7,
OR(E39="Viral Fever",E39="General Checkup","Routine Health Check"), "",
TRUE,""
)</f>
        <v/>
      </c>
      <c r="I39" s="1" t="str">
        <f t="shared" si="0"/>
        <v>No Follow-up Required</v>
      </c>
      <c r="J39" t="str">
        <f>TEXT(Table8[[#This Row],[visit_Date]],"DDDD")</f>
        <v>Sunday</v>
      </c>
      <c r="K39" t="str">
        <f>TEXT(Table8[[#This Row],[visit_Date]],"mmmm")</f>
        <v>February</v>
      </c>
      <c r="L39" t="str">
        <f t="shared" si="1"/>
        <v>Winter</v>
      </c>
    </row>
    <row r="40" spans="1:12" x14ac:dyDescent="0.25">
      <c r="A40">
        <v>39</v>
      </c>
      <c r="B40">
        <v>1024</v>
      </c>
      <c r="C40">
        <v>1088</v>
      </c>
      <c r="D40" s="1">
        <v>45843</v>
      </c>
      <c r="E40" t="s">
        <v>317</v>
      </c>
      <c r="F40" t="s">
        <v>318</v>
      </c>
      <c r="G40" t="str">
        <f>_xlfn.XLOOKUP(TRIM(E41),MedicineInfo!A:A,MedicineInfo!B:B,"Not Found")</f>
        <v>Amlodipine</v>
      </c>
      <c r="H40" s="1" cm="1">
        <f t="array" ref="H40">_xlfn.IFS(
OR(E40="Type 2 Diabetes",E40="Essential Hypertension",E40="Angina Pectoris",E40="Bronchial Asthma",E40="Cardiac Arrhythmia"), D40+30,
OR(E40="Gastritis",E40="Osteoarthritis",E40="Bronchitis",E40="Iron Deficiency Anemia"), D40+14,
OR(E40="Lumbar Strain",E40="Migraine Headache"), D40+7,
OR(E40="Viral Fever",E40="General Checkup","Routine Health Check"), "",
TRUE,""
)</f>
        <v>45873</v>
      </c>
      <c r="I40" s="1" t="str">
        <f t="shared" si="0"/>
        <v>Follow-up Scheduled</v>
      </c>
      <c r="J40" t="str">
        <f>TEXT(Table8[[#This Row],[visit_Date]],"DDDD")</f>
        <v>Saturday</v>
      </c>
      <c r="K40" t="str">
        <f>TEXT(Table8[[#This Row],[visit_Date]],"mmmm")</f>
        <v>July</v>
      </c>
      <c r="L40" t="str">
        <f t="shared" si="1"/>
        <v>Monsoon</v>
      </c>
    </row>
    <row r="41" spans="1:12" x14ac:dyDescent="0.25">
      <c r="A41">
        <v>40</v>
      </c>
      <c r="B41">
        <v>1002</v>
      </c>
      <c r="C41">
        <v>195</v>
      </c>
      <c r="D41" s="1">
        <v>45792</v>
      </c>
      <c r="E41" t="s">
        <v>319</v>
      </c>
      <c r="F41" t="s">
        <v>320</v>
      </c>
      <c r="G41" t="str">
        <f>_xlfn.XLOOKUP(TRIM(E42),MedicineInfo!A:A,MedicineInfo!B:B,"Not Found")</f>
        <v>Diclofenac</v>
      </c>
      <c r="H41" s="1" cm="1">
        <f t="array" ref="H41">_xlfn.IFS(
OR(E41="Type 2 Diabetes",E41="Essential Hypertension",E41="Angina Pectoris",E41="Bronchial Asthma",E41="Cardiac Arrhythmia"), D41+30,
OR(E41="Gastritis",E41="Osteoarthritis",E41="Bronchitis",E41="Iron Deficiency Anemia"), D41+14,
OR(E41="Lumbar Strain",E41="Migraine Headache"), D41+7,
OR(E41="Viral Fever",E41="General Checkup","Routine Health Check"), "",
TRUE,""
)</f>
        <v>45822</v>
      </c>
      <c r="I41" s="1" t="str">
        <f t="shared" si="0"/>
        <v>Follow-up Scheduled</v>
      </c>
      <c r="J41" t="str">
        <f>TEXT(Table8[[#This Row],[visit_Date]],"DDDD")</f>
        <v>Thursday</v>
      </c>
      <c r="K41" t="str">
        <f>TEXT(Table8[[#This Row],[visit_Date]],"mmmm")</f>
        <v>May</v>
      </c>
      <c r="L41" t="str">
        <f t="shared" si="1"/>
        <v>Summer</v>
      </c>
    </row>
    <row r="42" spans="1:12" x14ac:dyDescent="0.25">
      <c r="A42">
        <v>41</v>
      </c>
      <c r="B42">
        <v>1027</v>
      </c>
      <c r="C42">
        <v>1249</v>
      </c>
      <c r="D42" s="1">
        <v>45838</v>
      </c>
      <c r="E42" t="s">
        <v>313</v>
      </c>
      <c r="F42" t="s">
        <v>314</v>
      </c>
      <c r="G42" t="str">
        <f>_xlfn.XLOOKUP(TRIM(E43),MedicineInfo!A:A,MedicineInfo!B:B,"Not Found")</f>
        <v>Salbutamol Inhaler</v>
      </c>
      <c r="H42" s="1" cm="1">
        <f t="array" ref="H42">_xlfn.IFS(
OR(E42="Type 2 Diabetes",E42="Essential Hypertension",E42="Angina Pectoris",E42="Bronchial Asthma",E42="Cardiac Arrhythmia"), D42+30,
OR(E42="Gastritis",E42="Osteoarthritis",E42="Bronchitis",E42="Iron Deficiency Anemia"), D42+14,
OR(E42="Lumbar Strain",E42="Migraine Headache"), D42+7,
OR(E42="Viral Fever",E42="General Checkup","Routine Health Check"), "",
TRUE,""
)</f>
        <v>45845</v>
      </c>
      <c r="I42" s="1" t="str">
        <f t="shared" si="0"/>
        <v>Follow-up Scheduled</v>
      </c>
      <c r="J42" t="str">
        <f>TEXT(Table8[[#This Row],[visit_Date]],"DDDD")</f>
        <v>Monday</v>
      </c>
      <c r="K42" t="str">
        <f>TEXT(Table8[[#This Row],[visit_Date]],"mmmm")</f>
        <v>June</v>
      </c>
      <c r="L42" t="str">
        <f t="shared" si="1"/>
        <v>Monsoon</v>
      </c>
    </row>
    <row r="43" spans="1:12" x14ac:dyDescent="0.25">
      <c r="A43">
        <v>42</v>
      </c>
      <c r="B43">
        <v>1020</v>
      </c>
      <c r="C43">
        <v>531</v>
      </c>
      <c r="D43" s="1">
        <v>45804</v>
      </c>
      <c r="E43" t="s">
        <v>324</v>
      </c>
      <c r="F43" t="s">
        <v>325</v>
      </c>
      <c r="G43" t="str">
        <f>_xlfn.XLOOKUP(TRIM(E44),MedicineInfo!A:A,MedicineInfo!B:B,"Not Found")</f>
        <v>Sumatriptan</v>
      </c>
      <c r="H43" s="1" cm="1">
        <f t="array" ref="H43">_xlfn.IFS(
OR(E43="Type 2 Diabetes",E43="Essential Hypertension",E43="Angina Pectoris",E43="Bronchial Asthma",E43="Cardiac Arrhythmia"), D43+30,
OR(E43="Gastritis",E43="Osteoarthritis",E43="Bronchitis",E43="Iron Deficiency Anemia"), D43+14,
OR(E43="Lumbar Strain",E43="Migraine Headache"), D43+7,
OR(E43="Viral Fever",E43="General Checkup","Routine Health Check"), "",
TRUE,""
)</f>
        <v>45834</v>
      </c>
      <c r="I43" s="1" t="str">
        <f t="shared" si="0"/>
        <v>Follow-up Scheduled</v>
      </c>
      <c r="J43" t="str">
        <f>TEXT(Table8[[#This Row],[visit_Date]],"DDDD")</f>
        <v>Tuesday</v>
      </c>
      <c r="K43" t="str">
        <f>TEXT(Table8[[#This Row],[visit_Date]],"mmmm")</f>
        <v>May</v>
      </c>
      <c r="L43" t="str">
        <f t="shared" si="1"/>
        <v>Summer</v>
      </c>
    </row>
    <row r="44" spans="1:12" x14ac:dyDescent="0.25">
      <c r="A44">
        <v>43</v>
      </c>
      <c r="B44">
        <v>1009</v>
      </c>
      <c r="C44">
        <v>238</v>
      </c>
      <c r="D44" s="1">
        <v>45768</v>
      </c>
      <c r="E44" t="s">
        <v>315</v>
      </c>
      <c r="F44" t="s">
        <v>316</v>
      </c>
      <c r="G44" t="str">
        <f>_xlfn.XLOOKUP(TRIM(E45),MedicineInfo!A:A,MedicineInfo!B:B,"Not Found")</f>
        <v>Amlodipine</v>
      </c>
      <c r="H44" s="1" cm="1">
        <f t="array" ref="H44">_xlfn.IFS(
OR(E44="Type 2 Diabetes",E44="Essential Hypertension",E44="Angina Pectoris",E44="Bronchial Asthma",E44="Cardiac Arrhythmia"), D44+30,
OR(E44="Gastritis",E44="Osteoarthritis",E44="Bronchitis",E44="Iron Deficiency Anemia"), D44+14,
OR(E44="Lumbar Strain",E44="Migraine Headache"), D44+7,
OR(E44="Viral Fever",E44="General Checkup","Routine Health Check"), "",
TRUE,""
)</f>
        <v>45775</v>
      </c>
      <c r="I44" s="1" t="str">
        <f t="shared" si="0"/>
        <v>Follow-up Scheduled</v>
      </c>
      <c r="J44" t="str">
        <f>TEXT(Table8[[#This Row],[visit_Date]],"DDDD")</f>
        <v>Monday</v>
      </c>
      <c r="K44" t="str">
        <f>TEXT(Table8[[#This Row],[visit_Date]],"mmmm")</f>
        <v>April</v>
      </c>
      <c r="L44" t="str">
        <f t="shared" si="1"/>
        <v>Summer</v>
      </c>
    </row>
    <row r="45" spans="1:12" x14ac:dyDescent="0.25">
      <c r="A45">
        <v>44</v>
      </c>
      <c r="B45">
        <v>1003</v>
      </c>
      <c r="C45">
        <v>299</v>
      </c>
      <c r="D45" s="1">
        <v>45790</v>
      </c>
      <c r="E45" t="s">
        <v>319</v>
      </c>
      <c r="F45" t="s">
        <v>320</v>
      </c>
      <c r="G45" t="str">
        <f>_xlfn.XLOOKUP(TRIM(E46),MedicineInfo!A:A,MedicineInfo!B:B,"Not Found")</f>
        <v>Salbutamol Inhaler</v>
      </c>
      <c r="H45" s="1" cm="1">
        <f t="array" ref="H45">_xlfn.IFS(
OR(E45="Type 2 Diabetes",E45="Essential Hypertension",E45="Angina Pectoris",E45="Bronchial Asthma",E45="Cardiac Arrhythmia"), D45+30,
OR(E45="Gastritis",E45="Osteoarthritis",E45="Bronchitis",E45="Iron Deficiency Anemia"), D45+14,
OR(E45="Lumbar Strain",E45="Migraine Headache"), D45+7,
OR(E45="Viral Fever",E45="General Checkup","Routine Health Check"), "",
TRUE,""
)</f>
        <v>45820</v>
      </c>
      <c r="I45" s="1" t="str">
        <f t="shared" si="0"/>
        <v>Follow-up Scheduled</v>
      </c>
      <c r="J45" t="str">
        <f>TEXT(Table8[[#This Row],[visit_Date]],"DDDD")</f>
        <v>Tuesday</v>
      </c>
      <c r="K45" t="str">
        <f>TEXT(Table8[[#This Row],[visit_Date]],"mmmm")</f>
        <v>May</v>
      </c>
      <c r="L45" t="str">
        <f t="shared" si="1"/>
        <v>Summer</v>
      </c>
    </row>
    <row r="46" spans="1:12" x14ac:dyDescent="0.25">
      <c r="A46">
        <v>45</v>
      </c>
      <c r="B46">
        <v>1020</v>
      </c>
      <c r="C46">
        <v>122</v>
      </c>
      <c r="D46" s="1">
        <v>45797</v>
      </c>
      <c r="E46" t="s">
        <v>324</v>
      </c>
      <c r="F46" t="s">
        <v>325</v>
      </c>
      <c r="G46" t="str">
        <f>_xlfn.XLOOKUP(TRIM(E47),MedicineInfo!A:A,MedicineInfo!B:B,"Not Found")</f>
        <v>Amlodipine</v>
      </c>
      <c r="H46" s="1" cm="1">
        <f t="array" ref="H46">_xlfn.IFS(
OR(E46="Type 2 Diabetes",E46="Essential Hypertension",E46="Angina Pectoris",E46="Bronchial Asthma",E46="Cardiac Arrhythmia"), D46+30,
OR(E46="Gastritis",E46="Osteoarthritis",E46="Bronchitis",E46="Iron Deficiency Anemia"), D46+14,
OR(E46="Lumbar Strain",E46="Migraine Headache"), D46+7,
OR(E46="Viral Fever",E46="General Checkup","Routine Health Check"), "",
TRUE,""
)</f>
        <v>45827</v>
      </c>
      <c r="I46" s="1" t="str">
        <f t="shared" si="0"/>
        <v>Follow-up Scheduled</v>
      </c>
      <c r="J46" t="str">
        <f>TEXT(Table8[[#This Row],[visit_Date]],"DDDD")</f>
        <v>Tuesday</v>
      </c>
      <c r="K46" t="str">
        <f>TEXT(Table8[[#This Row],[visit_Date]],"mmmm")</f>
        <v>May</v>
      </c>
      <c r="L46" t="str">
        <f t="shared" si="1"/>
        <v>Summer</v>
      </c>
    </row>
    <row r="47" spans="1:12" x14ac:dyDescent="0.25">
      <c r="A47">
        <v>46</v>
      </c>
      <c r="B47">
        <v>1003</v>
      </c>
      <c r="C47">
        <v>824</v>
      </c>
      <c r="D47" s="1">
        <v>45814</v>
      </c>
      <c r="E47" t="s">
        <v>319</v>
      </c>
      <c r="F47" t="s">
        <v>320</v>
      </c>
      <c r="G47" t="str">
        <f>_xlfn.XLOOKUP(TRIM(E48),MedicineInfo!A:A,MedicineInfo!B:B,"Not Found")</f>
        <v>Multivitamin</v>
      </c>
      <c r="H47" s="1" cm="1">
        <f t="array" ref="H47">_xlfn.IFS(
OR(E47="Type 2 Diabetes",E47="Essential Hypertension",E47="Angina Pectoris",E47="Bronchial Asthma",E47="Cardiac Arrhythmia"), D47+30,
OR(E47="Gastritis",E47="Osteoarthritis",E47="Bronchitis",E47="Iron Deficiency Anemia"), D47+14,
OR(E47="Lumbar Strain",E47="Migraine Headache"), D47+7,
OR(E47="Viral Fever",E47="General Checkup","Routine Health Check"), "",
TRUE,""
)</f>
        <v>45844</v>
      </c>
      <c r="I47" s="1" t="str">
        <f t="shared" si="0"/>
        <v>Follow-up Scheduled</v>
      </c>
      <c r="J47" t="str">
        <f>TEXT(Table8[[#This Row],[visit_Date]],"DDDD")</f>
        <v>Friday</v>
      </c>
      <c r="K47" t="str">
        <f>TEXT(Table8[[#This Row],[visit_Date]],"mmmm")</f>
        <v>June</v>
      </c>
      <c r="L47" t="str">
        <f t="shared" si="1"/>
        <v>Monsoon</v>
      </c>
    </row>
    <row r="48" spans="1:12" x14ac:dyDescent="0.25">
      <c r="A48">
        <v>47</v>
      </c>
      <c r="B48">
        <v>1027</v>
      </c>
      <c r="C48">
        <v>1423</v>
      </c>
      <c r="D48" s="1">
        <v>45672</v>
      </c>
      <c r="E48" t="s">
        <v>24</v>
      </c>
      <c r="F48" t="s">
        <v>321</v>
      </c>
      <c r="G48" t="str">
        <f>_xlfn.XLOOKUP(TRIM(E49),MedicineInfo!A:A,MedicineInfo!B:B,"Not Found")</f>
        <v>Diclofenac</v>
      </c>
      <c r="H48" s="1" t="str" cm="1">
        <f t="array" ref="H48">_xlfn.IFS(
OR(E48="Type 2 Diabetes",E48="Essential Hypertension",E48="Angina Pectoris",E48="Bronchial Asthma",E48="Cardiac Arrhythmia"), D48+30,
OR(E48="Gastritis",E48="Osteoarthritis",E48="Bronchitis",E48="Iron Deficiency Anemia"), D48+14,
OR(E48="Lumbar Strain",E48="Migraine Headache"), D48+7,
OR(E48="Viral Fever",E48="General Checkup","Routine Health Check"), "",
TRUE,""
)</f>
        <v/>
      </c>
      <c r="I48" s="1" t="str">
        <f t="shared" si="0"/>
        <v>No Follow-up Required</v>
      </c>
      <c r="J48" t="str">
        <f>TEXT(Table8[[#This Row],[visit_Date]],"DDDD")</f>
        <v>Wednesday</v>
      </c>
      <c r="K48" t="str">
        <f>TEXT(Table8[[#This Row],[visit_Date]],"mmmm")</f>
        <v>January</v>
      </c>
      <c r="L48" t="str">
        <f t="shared" si="1"/>
        <v>Winter</v>
      </c>
    </row>
    <row r="49" spans="1:12" x14ac:dyDescent="0.25">
      <c r="A49">
        <v>48</v>
      </c>
      <c r="B49">
        <v>1027</v>
      </c>
      <c r="C49">
        <v>473</v>
      </c>
      <c r="D49" s="1">
        <v>45804</v>
      </c>
      <c r="E49" t="s">
        <v>313</v>
      </c>
      <c r="F49" t="s">
        <v>314</v>
      </c>
      <c r="G49" t="str">
        <f>_xlfn.XLOOKUP(TRIM(E50),MedicineInfo!A:A,MedicineInfo!B:B,"Not Found")</f>
        <v>Multivitamin</v>
      </c>
      <c r="H49" s="1" cm="1">
        <f t="array" ref="H49">_xlfn.IFS(
OR(E49="Type 2 Diabetes",E49="Essential Hypertension",E49="Angina Pectoris",E49="Bronchial Asthma",E49="Cardiac Arrhythmia"), D49+30,
OR(E49="Gastritis",E49="Osteoarthritis",E49="Bronchitis",E49="Iron Deficiency Anemia"), D49+14,
OR(E49="Lumbar Strain",E49="Migraine Headache"), D49+7,
OR(E49="Viral Fever",E49="General Checkup","Routine Health Check"), "",
TRUE,""
)</f>
        <v>45811</v>
      </c>
      <c r="I49" s="1" t="str">
        <f t="shared" si="0"/>
        <v>Follow-up Scheduled</v>
      </c>
      <c r="J49" t="str">
        <f>TEXT(Table8[[#This Row],[visit_Date]],"DDDD")</f>
        <v>Tuesday</v>
      </c>
      <c r="K49" t="str">
        <f>TEXT(Table8[[#This Row],[visit_Date]],"mmmm")</f>
        <v>May</v>
      </c>
      <c r="L49" t="str">
        <f t="shared" si="1"/>
        <v>Summer</v>
      </c>
    </row>
    <row r="50" spans="1:12" x14ac:dyDescent="0.25">
      <c r="A50">
        <v>49</v>
      </c>
      <c r="B50">
        <v>1027</v>
      </c>
      <c r="C50">
        <v>316</v>
      </c>
      <c r="D50" s="1">
        <v>45691</v>
      </c>
      <c r="E50" t="s">
        <v>24</v>
      </c>
      <c r="F50" t="s">
        <v>321</v>
      </c>
      <c r="G50" t="str">
        <f>_xlfn.XLOOKUP(TRIM(E51),MedicineInfo!A:A,MedicineInfo!B:B,"Not Found")</f>
        <v>Multivitamin</v>
      </c>
      <c r="H50" s="1" t="str" cm="1">
        <f t="array" ref="H50">_xlfn.IFS(
OR(E50="Type 2 Diabetes",E50="Essential Hypertension",E50="Angina Pectoris",E50="Bronchial Asthma",E50="Cardiac Arrhythmia"), D50+30,
OR(E50="Gastritis",E50="Osteoarthritis",E50="Bronchitis",E50="Iron Deficiency Anemia"), D50+14,
OR(E50="Lumbar Strain",E50="Migraine Headache"), D50+7,
OR(E50="Viral Fever",E50="General Checkup","Routine Health Check"), "",
TRUE,""
)</f>
        <v/>
      </c>
      <c r="I50" s="1" t="str">
        <f t="shared" si="0"/>
        <v>No Follow-up Required</v>
      </c>
      <c r="J50" t="str">
        <f>TEXT(Table8[[#This Row],[visit_Date]],"DDDD")</f>
        <v>Monday</v>
      </c>
      <c r="K50" t="str">
        <f>TEXT(Table8[[#This Row],[visit_Date]],"mmmm")</f>
        <v>February</v>
      </c>
      <c r="L50" t="str">
        <f t="shared" si="1"/>
        <v>Winter</v>
      </c>
    </row>
    <row r="51" spans="1:12" x14ac:dyDescent="0.25">
      <c r="A51">
        <v>50</v>
      </c>
      <c r="B51">
        <v>1027</v>
      </c>
      <c r="C51">
        <v>637</v>
      </c>
      <c r="D51" s="1">
        <v>45692</v>
      </c>
      <c r="E51" t="s">
        <v>24</v>
      </c>
      <c r="F51" t="s">
        <v>321</v>
      </c>
      <c r="G51" t="str">
        <f>_xlfn.XLOOKUP(TRIM(E52),MedicineInfo!A:A,MedicineInfo!B:B,"Not Found")</f>
        <v>Nitroglycerin</v>
      </c>
      <c r="H51" s="1" t="str" cm="1">
        <f t="array" ref="H51">_xlfn.IFS(
OR(E51="Type 2 Diabetes",E51="Essential Hypertension",E51="Angina Pectoris",E51="Bronchial Asthma",E51="Cardiac Arrhythmia"), D51+30,
OR(E51="Gastritis",E51="Osteoarthritis",E51="Bronchitis",E51="Iron Deficiency Anemia"), D51+14,
OR(E51="Lumbar Strain",E51="Migraine Headache"), D51+7,
OR(E51="Viral Fever",E51="General Checkup","Routine Health Check"), "",
TRUE,""
)</f>
        <v/>
      </c>
      <c r="I51" s="1" t="str">
        <f t="shared" si="0"/>
        <v>No Follow-up Required</v>
      </c>
      <c r="J51" t="str">
        <f>TEXT(Table8[[#This Row],[visit_Date]],"DDDD")</f>
        <v>Tuesday</v>
      </c>
      <c r="K51" t="str">
        <f>TEXT(Table8[[#This Row],[visit_Date]],"mmmm")</f>
        <v>February</v>
      </c>
      <c r="L51" t="str">
        <f t="shared" si="1"/>
        <v>Winter</v>
      </c>
    </row>
    <row r="52" spans="1:12" x14ac:dyDescent="0.25">
      <c r="A52">
        <v>51</v>
      </c>
      <c r="B52">
        <v>1027</v>
      </c>
      <c r="C52">
        <v>1237</v>
      </c>
      <c r="D52" s="1">
        <v>45769</v>
      </c>
      <c r="E52" t="s">
        <v>322</v>
      </c>
      <c r="F52" t="s">
        <v>323</v>
      </c>
      <c r="G52" t="str">
        <f>_xlfn.XLOOKUP(TRIM(E53),MedicineInfo!A:A,MedicineInfo!B:B,"Not Found")</f>
        <v>Nitroglycerin</v>
      </c>
      <c r="H52" s="1" cm="1">
        <f t="array" ref="H52">_xlfn.IFS(
OR(E52="Type 2 Diabetes",E52="Essential Hypertension",E52="Angina Pectoris",E52="Bronchial Asthma",E52="Cardiac Arrhythmia"), D52+30,
OR(E52="Gastritis",E52="Osteoarthritis",E52="Bronchitis",E52="Iron Deficiency Anemia"), D52+14,
OR(E52="Lumbar Strain",E52="Migraine Headache"), D52+7,
OR(E52="Viral Fever",E52="General Checkup","Routine Health Check"), "",
TRUE,""
)</f>
        <v>45799</v>
      </c>
      <c r="I52" s="1" t="str">
        <f t="shared" si="0"/>
        <v>Follow-up Scheduled</v>
      </c>
      <c r="J52" t="str">
        <f>TEXT(Table8[[#This Row],[visit_Date]],"DDDD")</f>
        <v>Tuesday</v>
      </c>
      <c r="K52" t="str">
        <f>TEXT(Table8[[#This Row],[visit_Date]],"mmmm")</f>
        <v>April</v>
      </c>
      <c r="L52" t="str">
        <f t="shared" si="1"/>
        <v>Summer</v>
      </c>
    </row>
    <row r="53" spans="1:12" x14ac:dyDescent="0.25">
      <c r="A53">
        <v>52</v>
      </c>
      <c r="B53">
        <v>1027</v>
      </c>
      <c r="C53">
        <v>1360</v>
      </c>
      <c r="D53" s="1">
        <v>45867</v>
      </c>
      <c r="E53" t="s">
        <v>322</v>
      </c>
      <c r="F53" t="s">
        <v>323</v>
      </c>
      <c r="G53" t="str">
        <f>_xlfn.XLOOKUP(TRIM(E54),MedicineInfo!A:A,MedicineInfo!B:B,"Not Found")</f>
        <v>Multivitamin</v>
      </c>
      <c r="H53" s="1" cm="1">
        <f t="array" ref="H53">_xlfn.IFS(
OR(E53="Type 2 Diabetes",E53="Essential Hypertension",E53="Angina Pectoris",E53="Bronchial Asthma",E53="Cardiac Arrhythmia"), D53+30,
OR(E53="Gastritis",E53="Osteoarthritis",E53="Bronchitis",E53="Iron Deficiency Anemia"), D53+14,
OR(E53="Lumbar Strain",E53="Migraine Headache"), D53+7,
OR(E53="Viral Fever",E53="General Checkup","Routine Health Check"), "",
TRUE,""
)</f>
        <v>45897</v>
      </c>
      <c r="I53" s="1" t="str">
        <f t="shared" si="0"/>
        <v>Follow-up Scheduled</v>
      </c>
      <c r="J53" t="str">
        <f>TEXT(Table8[[#This Row],[visit_Date]],"DDDD")</f>
        <v>Tuesday</v>
      </c>
      <c r="K53" t="str">
        <f>TEXT(Table8[[#This Row],[visit_Date]],"mmmm")</f>
        <v>July</v>
      </c>
      <c r="L53" t="str">
        <f t="shared" si="1"/>
        <v>Monsoon</v>
      </c>
    </row>
    <row r="54" spans="1:12" x14ac:dyDescent="0.25">
      <c r="A54">
        <v>53</v>
      </c>
      <c r="B54">
        <v>1027</v>
      </c>
      <c r="C54">
        <v>1581</v>
      </c>
      <c r="D54" s="1">
        <v>45783</v>
      </c>
      <c r="E54" t="s">
        <v>24</v>
      </c>
      <c r="F54" t="s">
        <v>321</v>
      </c>
      <c r="G54" t="str">
        <f>_xlfn.XLOOKUP(TRIM(E55),MedicineInfo!A:A,MedicineInfo!B:B,"Not Found")</f>
        <v>Multivitamin</v>
      </c>
      <c r="H54" s="1" t="str" cm="1">
        <f t="array" ref="H54">_xlfn.IFS(
OR(E54="Type 2 Diabetes",E54="Essential Hypertension",E54="Angina Pectoris",E54="Bronchial Asthma",E54="Cardiac Arrhythmia"), D54+30,
OR(E54="Gastritis",E54="Osteoarthritis",E54="Bronchitis",E54="Iron Deficiency Anemia"), D54+14,
OR(E54="Lumbar Strain",E54="Migraine Headache"), D54+7,
OR(E54="Viral Fever",E54="General Checkup","Routine Health Check"), "",
TRUE,""
)</f>
        <v/>
      </c>
      <c r="I54" s="1" t="str">
        <f t="shared" si="0"/>
        <v>No Follow-up Required</v>
      </c>
      <c r="J54" t="str">
        <f>TEXT(Table8[[#This Row],[visit_Date]],"DDDD")</f>
        <v>Tuesday</v>
      </c>
      <c r="K54" t="str">
        <f>TEXT(Table8[[#This Row],[visit_Date]],"mmmm")</f>
        <v>May</v>
      </c>
      <c r="L54" t="str">
        <f t="shared" si="1"/>
        <v>Summer</v>
      </c>
    </row>
    <row r="55" spans="1:12" x14ac:dyDescent="0.25">
      <c r="A55">
        <v>54</v>
      </c>
      <c r="B55">
        <v>1027</v>
      </c>
      <c r="C55">
        <v>466</v>
      </c>
      <c r="D55" s="1">
        <v>45799</v>
      </c>
      <c r="E55" t="s">
        <v>24</v>
      </c>
      <c r="F55" t="s">
        <v>321</v>
      </c>
      <c r="G55" t="str">
        <f>_xlfn.XLOOKUP(TRIM(E56),MedicineInfo!A:A,MedicineInfo!B:B,"Not Found")</f>
        <v>Multivitamin</v>
      </c>
      <c r="H55" s="1" t="str" cm="1">
        <f t="array" ref="H55">_xlfn.IFS(
OR(E55="Type 2 Diabetes",E55="Essential Hypertension",E55="Angina Pectoris",E55="Bronchial Asthma",E55="Cardiac Arrhythmia"), D55+30,
OR(E55="Gastritis",E55="Osteoarthritis",E55="Bronchitis",E55="Iron Deficiency Anemia"), D55+14,
OR(E55="Lumbar Strain",E55="Migraine Headache"), D55+7,
OR(E55="Viral Fever",E55="General Checkup","Routine Health Check"), "",
TRUE,""
)</f>
        <v/>
      </c>
      <c r="I55" s="1" t="str">
        <f t="shared" si="0"/>
        <v>No Follow-up Required</v>
      </c>
      <c r="J55" t="str">
        <f>TEXT(Table8[[#This Row],[visit_Date]],"DDDD")</f>
        <v>Thursday</v>
      </c>
      <c r="K55" t="str">
        <f>TEXT(Table8[[#This Row],[visit_Date]],"mmmm")</f>
        <v>May</v>
      </c>
      <c r="L55" t="str">
        <f t="shared" si="1"/>
        <v>Summer</v>
      </c>
    </row>
    <row r="56" spans="1:12" x14ac:dyDescent="0.25">
      <c r="A56">
        <v>55</v>
      </c>
      <c r="B56">
        <v>1027</v>
      </c>
      <c r="C56">
        <v>180</v>
      </c>
      <c r="D56" s="1">
        <v>45731</v>
      </c>
      <c r="E56" t="s">
        <v>24</v>
      </c>
      <c r="F56" t="s">
        <v>321</v>
      </c>
      <c r="G56" t="str">
        <f>_xlfn.XLOOKUP(TRIM(E57),MedicineInfo!A:A,MedicineInfo!B:B,"Not Found")</f>
        <v>Diclofenac</v>
      </c>
      <c r="H56" s="1" t="str" cm="1">
        <f t="array" ref="H56">_xlfn.IFS(
OR(E56="Type 2 Diabetes",E56="Essential Hypertension",E56="Angina Pectoris",E56="Bronchial Asthma",E56="Cardiac Arrhythmia"), D56+30,
OR(E56="Gastritis",E56="Osteoarthritis",E56="Bronchitis",E56="Iron Deficiency Anemia"), D56+14,
OR(E56="Lumbar Strain",E56="Migraine Headache"), D56+7,
OR(E56="Viral Fever",E56="General Checkup","Routine Health Check"), "",
TRUE,""
)</f>
        <v/>
      </c>
      <c r="I56" s="1" t="str">
        <f t="shared" si="0"/>
        <v>No Follow-up Required</v>
      </c>
      <c r="J56" t="str">
        <f>TEXT(Table8[[#This Row],[visit_Date]],"DDDD")</f>
        <v>Saturday</v>
      </c>
      <c r="K56" t="str">
        <f>TEXT(Table8[[#This Row],[visit_Date]],"mmmm")</f>
        <v>March</v>
      </c>
      <c r="L56" t="str">
        <f t="shared" si="1"/>
        <v>Summer</v>
      </c>
    </row>
    <row r="57" spans="1:12" x14ac:dyDescent="0.25">
      <c r="A57">
        <v>56</v>
      </c>
      <c r="B57">
        <v>1027</v>
      </c>
      <c r="C57">
        <v>606</v>
      </c>
      <c r="D57" s="1">
        <v>45691</v>
      </c>
      <c r="E57" t="s">
        <v>313</v>
      </c>
      <c r="F57" t="s">
        <v>314</v>
      </c>
      <c r="G57" t="str">
        <f>_xlfn.XLOOKUP(TRIM(E58),MedicineInfo!A:A,MedicineInfo!B:B,"Not Found")</f>
        <v>Amlodipine</v>
      </c>
      <c r="H57" s="1" cm="1">
        <f t="array" ref="H57">_xlfn.IFS(
OR(E57="Type 2 Diabetes",E57="Essential Hypertension",E57="Angina Pectoris",E57="Bronchial Asthma",E57="Cardiac Arrhythmia"), D57+30,
OR(E57="Gastritis",E57="Osteoarthritis",E57="Bronchitis",E57="Iron Deficiency Anemia"), D57+14,
OR(E57="Lumbar Strain",E57="Migraine Headache"), D57+7,
OR(E57="Viral Fever",E57="General Checkup","Routine Health Check"), "",
TRUE,""
)</f>
        <v>45698</v>
      </c>
      <c r="I57" s="1" t="str">
        <f t="shared" si="0"/>
        <v>Follow-up Scheduled</v>
      </c>
      <c r="J57" t="str">
        <f>TEXT(Table8[[#This Row],[visit_Date]],"DDDD")</f>
        <v>Monday</v>
      </c>
      <c r="K57" t="str">
        <f>TEXT(Table8[[#This Row],[visit_Date]],"mmmm")</f>
        <v>February</v>
      </c>
      <c r="L57" t="str">
        <f t="shared" si="1"/>
        <v>Winter</v>
      </c>
    </row>
    <row r="58" spans="1:12" x14ac:dyDescent="0.25">
      <c r="A58">
        <v>57</v>
      </c>
      <c r="B58">
        <v>1004</v>
      </c>
      <c r="C58">
        <v>251</v>
      </c>
      <c r="D58" s="1">
        <v>45847</v>
      </c>
      <c r="E58" t="s">
        <v>319</v>
      </c>
      <c r="F58" t="s">
        <v>320</v>
      </c>
      <c r="G58" t="str">
        <f>_xlfn.XLOOKUP(TRIM(E59),MedicineInfo!A:A,MedicineInfo!B:B,"Not Found")</f>
        <v>Nitroglycerin</v>
      </c>
      <c r="H58" s="1" cm="1">
        <f t="array" ref="H58">_xlfn.IFS(
OR(E58="Type 2 Diabetes",E58="Essential Hypertension",E58="Angina Pectoris",E58="Bronchial Asthma",E58="Cardiac Arrhythmia"), D58+30,
OR(E58="Gastritis",E58="Osteoarthritis",E58="Bronchitis",E58="Iron Deficiency Anemia"), D58+14,
OR(E58="Lumbar Strain",E58="Migraine Headache"), D58+7,
OR(E58="Viral Fever",E58="General Checkup","Routine Health Check"), "",
TRUE,""
)</f>
        <v>45877</v>
      </c>
      <c r="I58" s="1" t="str">
        <f t="shared" si="0"/>
        <v>Follow-up Scheduled</v>
      </c>
      <c r="J58" t="str">
        <f>TEXT(Table8[[#This Row],[visit_Date]],"DDDD")</f>
        <v>Wednesday</v>
      </c>
      <c r="K58" t="str">
        <f>TEXT(Table8[[#This Row],[visit_Date]],"mmmm")</f>
        <v>July</v>
      </c>
      <c r="L58" t="str">
        <f t="shared" si="1"/>
        <v>Monsoon</v>
      </c>
    </row>
    <row r="59" spans="1:12" x14ac:dyDescent="0.25">
      <c r="A59">
        <v>58</v>
      </c>
      <c r="B59">
        <v>1001</v>
      </c>
      <c r="C59">
        <v>154</v>
      </c>
      <c r="D59" s="1">
        <v>45748</v>
      </c>
      <c r="E59" t="s">
        <v>322</v>
      </c>
      <c r="F59" t="s">
        <v>323</v>
      </c>
      <c r="G59" t="str">
        <f>_xlfn.XLOOKUP(TRIM(E60),MedicineInfo!A:A,MedicineInfo!B:B,"Not Found")</f>
        <v>Diclofenac</v>
      </c>
      <c r="H59" s="1" cm="1">
        <f t="array" ref="H59">_xlfn.IFS(
OR(E59="Type 2 Diabetes",E59="Essential Hypertension",E59="Angina Pectoris",E59="Bronchial Asthma",E59="Cardiac Arrhythmia"), D59+30,
OR(E59="Gastritis",E59="Osteoarthritis",E59="Bronchitis",E59="Iron Deficiency Anemia"), D59+14,
OR(E59="Lumbar Strain",E59="Migraine Headache"), D59+7,
OR(E59="Viral Fever",E59="General Checkup","Routine Health Check"), "",
TRUE,""
)</f>
        <v>45778</v>
      </c>
      <c r="I59" s="1" t="str">
        <f t="shared" si="0"/>
        <v>Follow-up Scheduled</v>
      </c>
      <c r="J59" t="str">
        <f>TEXT(Table8[[#This Row],[visit_Date]],"DDDD")</f>
        <v>Tuesday</v>
      </c>
      <c r="K59" t="str">
        <f>TEXT(Table8[[#This Row],[visit_Date]],"mmmm")</f>
        <v>April</v>
      </c>
      <c r="L59" t="str">
        <f t="shared" si="1"/>
        <v>Summer</v>
      </c>
    </row>
    <row r="60" spans="1:12" x14ac:dyDescent="0.25">
      <c r="A60">
        <v>59</v>
      </c>
      <c r="B60">
        <v>1027</v>
      </c>
      <c r="C60">
        <v>1072</v>
      </c>
      <c r="D60" s="1">
        <v>45684</v>
      </c>
      <c r="E60" t="s">
        <v>313</v>
      </c>
      <c r="F60" t="s">
        <v>314</v>
      </c>
      <c r="G60" t="str">
        <f>_xlfn.XLOOKUP(TRIM(E61),MedicineInfo!A:A,MedicineInfo!B:B,"Not Found")</f>
        <v>Multivitamin</v>
      </c>
      <c r="H60" s="1" cm="1">
        <f t="array" ref="H60">_xlfn.IFS(
OR(E60="Type 2 Diabetes",E60="Essential Hypertension",E60="Angina Pectoris",E60="Bronchial Asthma",E60="Cardiac Arrhythmia"), D60+30,
OR(E60="Gastritis",E60="Osteoarthritis",E60="Bronchitis",E60="Iron Deficiency Anemia"), D60+14,
OR(E60="Lumbar Strain",E60="Migraine Headache"), D60+7,
OR(E60="Viral Fever",E60="General Checkup","Routine Health Check"), "",
TRUE,""
)</f>
        <v>45691</v>
      </c>
      <c r="I60" s="1" t="str">
        <f t="shared" si="0"/>
        <v>Follow-up Scheduled</v>
      </c>
      <c r="J60" t="str">
        <f>TEXT(Table8[[#This Row],[visit_Date]],"DDDD")</f>
        <v>Monday</v>
      </c>
      <c r="K60" t="str">
        <f>TEXT(Table8[[#This Row],[visit_Date]],"mmmm")</f>
        <v>January</v>
      </c>
      <c r="L60" t="str">
        <f t="shared" si="1"/>
        <v>Winter</v>
      </c>
    </row>
    <row r="61" spans="1:12" x14ac:dyDescent="0.25">
      <c r="A61">
        <v>60</v>
      </c>
      <c r="B61">
        <v>1027</v>
      </c>
      <c r="C61">
        <v>1469</v>
      </c>
      <c r="D61" s="1">
        <v>45672</v>
      </c>
      <c r="E61" t="s">
        <v>24</v>
      </c>
      <c r="F61" t="s">
        <v>321</v>
      </c>
      <c r="G61" t="str">
        <f>_xlfn.XLOOKUP(TRIM(E62),MedicineInfo!A:A,MedicineInfo!B:B,"Not Found")</f>
        <v>Diclofenac</v>
      </c>
      <c r="H61" s="1" t="str" cm="1">
        <f t="array" ref="H61">_xlfn.IFS(
OR(E61="Type 2 Diabetes",E61="Essential Hypertension",E61="Angina Pectoris",E61="Bronchial Asthma",E61="Cardiac Arrhythmia"), D61+30,
OR(E61="Gastritis",E61="Osteoarthritis",E61="Bronchitis",E61="Iron Deficiency Anemia"), D61+14,
OR(E61="Lumbar Strain",E61="Migraine Headache"), D61+7,
OR(E61="Viral Fever",E61="General Checkup","Routine Health Check"), "",
TRUE,""
)</f>
        <v/>
      </c>
      <c r="I61" s="1" t="str">
        <f t="shared" si="0"/>
        <v>No Follow-up Required</v>
      </c>
      <c r="J61" t="str">
        <f>TEXT(Table8[[#This Row],[visit_Date]],"DDDD")</f>
        <v>Wednesday</v>
      </c>
      <c r="K61" t="str">
        <f>TEXT(Table8[[#This Row],[visit_Date]],"mmmm")</f>
        <v>January</v>
      </c>
      <c r="L61" t="str">
        <f t="shared" si="1"/>
        <v>Winter</v>
      </c>
    </row>
    <row r="62" spans="1:12" x14ac:dyDescent="0.25">
      <c r="A62">
        <v>61</v>
      </c>
      <c r="B62">
        <v>1027</v>
      </c>
      <c r="C62">
        <v>161</v>
      </c>
      <c r="D62" s="1">
        <v>45776</v>
      </c>
      <c r="E62" t="s">
        <v>313</v>
      </c>
      <c r="F62" t="s">
        <v>314</v>
      </c>
      <c r="G62" t="str">
        <f>_xlfn.XLOOKUP(TRIM(E63),MedicineInfo!A:A,MedicineInfo!B:B,"Not Found")</f>
        <v>Nitroglycerin</v>
      </c>
      <c r="H62" s="1" cm="1">
        <f t="array" ref="H62">_xlfn.IFS(
OR(E62="Type 2 Diabetes",E62="Essential Hypertension",E62="Angina Pectoris",E62="Bronchial Asthma",E62="Cardiac Arrhythmia"), D62+30,
OR(E62="Gastritis",E62="Osteoarthritis",E62="Bronchitis",E62="Iron Deficiency Anemia"), D62+14,
OR(E62="Lumbar Strain",E62="Migraine Headache"), D62+7,
OR(E62="Viral Fever",E62="General Checkup","Routine Health Check"), "",
TRUE,""
)</f>
        <v>45783</v>
      </c>
      <c r="I62" s="1" t="str">
        <f t="shared" si="0"/>
        <v>Follow-up Scheduled</v>
      </c>
      <c r="J62" t="str">
        <f>TEXT(Table8[[#This Row],[visit_Date]],"DDDD")</f>
        <v>Tuesday</v>
      </c>
      <c r="K62" t="str">
        <f>TEXT(Table8[[#This Row],[visit_Date]],"mmmm")</f>
        <v>April</v>
      </c>
      <c r="L62" t="str">
        <f t="shared" si="1"/>
        <v>Summer</v>
      </c>
    </row>
    <row r="63" spans="1:12" x14ac:dyDescent="0.25">
      <c r="A63">
        <v>62</v>
      </c>
      <c r="B63">
        <v>1001</v>
      </c>
      <c r="C63">
        <v>1112</v>
      </c>
      <c r="D63" s="1">
        <v>45803</v>
      </c>
      <c r="E63" t="s">
        <v>322</v>
      </c>
      <c r="F63" t="s">
        <v>323</v>
      </c>
      <c r="G63" t="str">
        <f>_xlfn.XLOOKUP(TRIM(E64),MedicineInfo!A:A,MedicineInfo!B:B,"Not Found")</f>
        <v>Multivitamin</v>
      </c>
      <c r="H63" s="1" cm="1">
        <f t="array" ref="H63">_xlfn.IFS(
OR(E63="Type 2 Diabetes",E63="Essential Hypertension",E63="Angina Pectoris",E63="Bronchial Asthma",E63="Cardiac Arrhythmia"), D63+30,
OR(E63="Gastritis",E63="Osteoarthritis",E63="Bronchitis",E63="Iron Deficiency Anemia"), D63+14,
OR(E63="Lumbar Strain",E63="Migraine Headache"), D63+7,
OR(E63="Viral Fever",E63="General Checkup","Routine Health Check"), "",
TRUE,""
)</f>
        <v>45833</v>
      </c>
      <c r="I63" s="1" t="str">
        <f t="shared" si="0"/>
        <v>Follow-up Scheduled</v>
      </c>
      <c r="J63" t="str">
        <f>TEXT(Table8[[#This Row],[visit_Date]],"DDDD")</f>
        <v>Monday</v>
      </c>
      <c r="K63" t="str">
        <f>TEXT(Table8[[#This Row],[visit_Date]],"mmmm")</f>
        <v>May</v>
      </c>
      <c r="L63" t="str">
        <f t="shared" si="1"/>
        <v>Summer</v>
      </c>
    </row>
    <row r="64" spans="1:12" x14ac:dyDescent="0.25">
      <c r="A64">
        <v>63</v>
      </c>
      <c r="B64">
        <v>1027</v>
      </c>
      <c r="C64">
        <v>1319</v>
      </c>
      <c r="D64" s="1">
        <v>45706</v>
      </c>
      <c r="E64" t="s">
        <v>24</v>
      </c>
      <c r="F64" t="s">
        <v>321</v>
      </c>
      <c r="G64" t="str">
        <f>_xlfn.XLOOKUP(TRIM(E65),MedicineInfo!A:A,MedicineInfo!B:B,"Not Found")</f>
        <v>Sumatriptan</v>
      </c>
      <c r="H64" s="1" t="str" cm="1">
        <f t="array" ref="H64">_xlfn.IFS(
OR(E64="Type 2 Diabetes",E64="Essential Hypertension",E64="Angina Pectoris",E64="Bronchial Asthma",E64="Cardiac Arrhythmia"), D64+30,
OR(E64="Gastritis",E64="Osteoarthritis",E64="Bronchitis",E64="Iron Deficiency Anemia"), D64+14,
OR(E64="Lumbar Strain",E64="Migraine Headache"), D64+7,
OR(E64="Viral Fever",E64="General Checkup","Routine Health Check"), "",
TRUE,""
)</f>
        <v/>
      </c>
      <c r="I64" s="1" t="str">
        <f t="shared" si="0"/>
        <v>No Follow-up Required</v>
      </c>
      <c r="J64" t="str">
        <f>TEXT(Table8[[#This Row],[visit_Date]],"DDDD")</f>
        <v>Tuesday</v>
      </c>
      <c r="K64" t="str">
        <f>TEXT(Table8[[#This Row],[visit_Date]],"mmmm")</f>
        <v>February</v>
      </c>
      <c r="L64" t="str">
        <f t="shared" si="1"/>
        <v>Winter</v>
      </c>
    </row>
    <row r="65" spans="1:12" x14ac:dyDescent="0.25">
      <c r="A65">
        <v>64</v>
      </c>
      <c r="B65">
        <v>1008</v>
      </c>
      <c r="C65">
        <v>1595</v>
      </c>
      <c r="D65" s="1">
        <v>45750</v>
      </c>
      <c r="E65" t="s">
        <v>315</v>
      </c>
      <c r="F65" t="s">
        <v>316</v>
      </c>
      <c r="G65" t="str">
        <f>_xlfn.XLOOKUP(TRIM(E66),MedicineInfo!A:A,MedicineInfo!B:B,"Not Found")</f>
        <v>Salbutamol Inhaler</v>
      </c>
      <c r="H65" s="1" cm="1">
        <f t="array" ref="H65">_xlfn.IFS(
OR(E65="Type 2 Diabetes",E65="Essential Hypertension",E65="Angina Pectoris",E65="Bronchial Asthma",E65="Cardiac Arrhythmia"), D65+30,
OR(E65="Gastritis",E65="Osteoarthritis",E65="Bronchitis",E65="Iron Deficiency Anemia"), D65+14,
OR(E65="Lumbar Strain",E65="Migraine Headache"), D65+7,
OR(E65="Viral Fever",E65="General Checkup","Routine Health Check"), "",
TRUE,""
)</f>
        <v>45757</v>
      </c>
      <c r="I65" s="1" t="str">
        <f t="shared" si="0"/>
        <v>Follow-up Scheduled</v>
      </c>
      <c r="J65" t="str">
        <f>TEXT(Table8[[#This Row],[visit_Date]],"DDDD")</f>
        <v>Thursday</v>
      </c>
      <c r="K65" t="str">
        <f>TEXT(Table8[[#This Row],[visit_Date]],"mmmm")</f>
        <v>April</v>
      </c>
      <c r="L65" t="str">
        <f t="shared" si="1"/>
        <v>Summer</v>
      </c>
    </row>
    <row r="66" spans="1:12" x14ac:dyDescent="0.25">
      <c r="A66">
        <v>65</v>
      </c>
      <c r="B66">
        <v>1020</v>
      </c>
      <c r="C66">
        <v>1206</v>
      </c>
      <c r="D66" s="1">
        <v>45695</v>
      </c>
      <c r="E66" t="s">
        <v>324</v>
      </c>
      <c r="F66" t="s">
        <v>325</v>
      </c>
      <c r="G66" t="str">
        <f>_xlfn.XLOOKUP(TRIM(E67),MedicineInfo!A:A,MedicineInfo!B:B,"Not Found")</f>
        <v>Amlodipine</v>
      </c>
      <c r="H66" s="1" cm="1">
        <f t="array" ref="H66">_xlfn.IFS(
OR(E66="Type 2 Diabetes",E66="Essential Hypertension",E66="Angina Pectoris",E66="Bronchial Asthma",E66="Cardiac Arrhythmia"), D66+30,
OR(E66="Gastritis",E66="Osteoarthritis",E66="Bronchitis",E66="Iron Deficiency Anemia"), D66+14,
OR(E66="Lumbar Strain",E66="Migraine Headache"), D66+7,
OR(E66="Viral Fever",E66="General Checkup","Routine Health Check"), "",
TRUE,""
)</f>
        <v>45725</v>
      </c>
      <c r="I66" s="1" t="str">
        <f t="shared" ref="I66:I129" si="2">IF(H66="","No Follow-up Required","Follow-up Scheduled")</f>
        <v>Follow-up Scheduled</v>
      </c>
      <c r="J66" t="str">
        <f>TEXT(Table8[[#This Row],[visit_Date]],"DDDD")</f>
        <v>Friday</v>
      </c>
      <c r="K66" t="str">
        <f>TEXT(Table8[[#This Row],[visit_Date]],"mmmm")</f>
        <v>February</v>
      </c>
      <c r="L66" t="str">
        <f t="shared" ref="L66:L129" si="3">IF(OR(MONTH(D66)=12,MONTH(D66)&lt;=2),"Winter",
IF(MONTH(D66)&lt;=5,"Summer","Monsoon"))</f>
        <v>Winter</v>
      </c>
    </row>
    <row r="67" spans="1:12" x14ac:dyDescent="0.25">
      <c r="A67">
        <v>66</v>
      </c>
      <c r="B67">
        <v>1002</v>
      </c>
      <c r="C67">
        <v>958</v>
      </c>
      <c r="D67" s="1">
        <v>45691</v>
      </c>
      <c r="E67" t="s">
        <v>319</v>
      </c>
      <c r="F67" t="s">
        <v>320</v>
      </c>
      <c r="G67" t="str">
        <f>_xlfn.XLOOKUP(TRIM(E68),MedicineInfo!A:A,MedicineInfo!B:B,"Not Found")</f>
        <v>Multivitamin</v>
      </c>
      <c r="H67" s="1" cm="1">
        <f t="array" ref="H67">_xlfn.IFS(
OR(E67="Type 2 Diabetes",E67="Essential Hypertension",E67="Angina Pectoris",E67="Bronchial Asthma",E67="Cardiac Arrhythmia"), D67+30,
OR(E67="Gastritis",E67="Osteoarthritis",E67="Bronchitis",E67="Iron Deficiency Anemia"), D67+14,
OR(E67="Lumbar Strain",E67="Migraine Headache"), D67+7,
OR(E67="Viral Fever",E67="General Checkup","Routine Health Check"), "",
TRUE,""
)</f>
        <v>45721</v>
      </c>
      <c r="I67" s="1" t="str">
        <f t="shared" si="2"/>
        <v>Follow-up Scheduled</v>
      </c>
      <c r="J67" t="str">
        <f>TEXT(Table8[[#This Row],[visit_Date]],"DDDD")</f>
        <v>Monday</v>
      </c>
      <c r="K67" t="str">
        <f>TEXT(Table8[[#This Row],[visit_Date]],"mmmm")</f>
        <v>February</v>
      </c>
      <c r="L67" t="str">
        <f t="shared" si="3"/>
        <v>Winter</v>
      </c>
    </row>
    <row r="68" spans="1:12" x14ac:dyDescent="0.25">
      <c r="A68">
        <v>67</v>
      </c>
      <c r="B68">
        <v>1027</v>
      </c>
      <c r="C68">
        <v>665</v>
      </c>
      <c r="D68" s="1">
        <v>45758</v>
      </c>
      <c r="E68" t="s">
        <v>24</v>
      </c>
      <c r="F68" t="s">
        <v>321</v>
      </c>
      <c r="G68" t="str">
        <f>_xlfn.XLOOKUP(TRIM(E69),MedicineInfo!A:A,MedicineInfo!B:B,"Not Found")</f>
        <v>Multivitamin</v>
      </c>
      <c r="H68" s="1" t="str" cm="1">
        <f t="array" ref="H68">_xlfn.IFS(
OR(E68="Type 2 Diabetes",E68="Essential Hypertension",E68="Angina Pectoris",E68="Bronchial Asthma",E68="Cardiac Arrhythmia"), D68+30,
OR(E68="Gastritis",E68="Osteoarthritis",E68="Bronchitis",E68="Iron Deficiency Anemia"), D68+14,
OR(E68="Lumbar Strain",E68="Migraine Headache"), D68+7,
OR(E68="Viral Fever",E68="General Checkup","Routine Health Check"), "",
TRUE,""
)</f>
        <v/>
      </c>
      <c r="I68" s="1" t="str">
        <f t="shared" si="2"/>
        <v>No Follow-up Required</v>
      </c>
      <c r="J68" t="str">
        <f>TEXT(Table8[[#This Row],[visit_Date]],"DDDD")</f>
        <v>Friday</v>
      </c>
      <c r="K68" t="str">
        <f>TEXT(Table8[[#This Row],[visit_Date]],"mmmm")</f>
        <v>April</v>
      </c>
      <c r="L68" t="str">
        <f t="shared" si="3"/>
        <v>Summer</v>
      </c>
    </row>
    <row r="69" spans="1:12" x14ac:dyDescent="0.25">
      <c r="A69">
        <v>68</v>
      </c>
      <c r="B69">
        <v>1027</v>
      </c>
      <c r="C69">
        <v>178</v>
      </c>
      <c r="D69" s="1">
        <v>45856</v>
      </c>
      <c r="E69" t="s">
        <v>24</v>
      </c>
      <c r="F69" t="s">
        <v>321</v>
      </c>
      <c r="G69" t="str">
        <f>_xlfn.XLOOKUP(TRIM(E70),MedicineInfo!A:A,MedicineInfo!B:B,"Not Found")</f>
        <v>Multivitamin</v>
      </c>
      <c r="H69" s="1" t="str" cm="1">
        <f t="array" ref="H69">_xlfn.IFS(
OR(E69="Type 2 Diabetes",E69="Essential Hypertension",E69="Angina Pectoris",E69="Bronchial Asthma",E69="Cardiac Arrhythmia"), D69+30,
OR(E69="Gastritis",E69="Osteoarthritis",E69="Bronchitis",E69="Iron Deficiency Anemia"), D69+14,
OR(E69="Lumbar Strain",E69="Migraine Headache"), D69+7,
OR(E69="Viral Fever",E69="General Checkup","Routine Health Check"), "",
TRUE,""
)</f>
        <v/>
      </c>
      <c r="I69" s="1" t="str">
        <f t="shared" si="2"/>
        <v>No Follow-up Required</v>
      </c>
      <c r="J69" t="str">
        <f>TEXT(Table8[[#This Row],[visit_Date]],"DDDD")</f>
        <v>Friday</v>
      </c>
      <c r="K69" t="str">
        <f>TEXT(Table8[[#This Row],[visit_Date]],"mmmm")</f>
        <v>July</v>
      </c>
      <c r="L69" t="str">
        <f t="shared" si="3"/>
        <v>Monsoon</v>
      </c>
    </row>
    <row r="70" spans="1:12" x14ac:dyDescent="0.25">
      <c r="A70">
        <v>69</v>
      </c>
      <c r="B70">
        <v>1027</v>
      </c>
      <c r="C70">
        <v>204</v>
      </c>
      <c r="D70" s="1">
        <v>45777</v>
      </c>
      <c r="E70" t="s">
        <v>24</v>
      </c>
      <c r="F70" t="s">
        <v>321</v>
      </c>
      <c r="G70" t="str">
        <f>_xlfn.XLOOKUP(TRIM(E71),MedicineInfo!A:A,MedicineInfo!B:B,"Not Found")</f>
        <v>Sumatriptan</v>
      </c>
      <c r="H70" s="1" t="str" cm="1">
        <f t="array" ref="H70">_xlfn.IFS(
OR(E70="Type 2 Diabetes",E70="Essential Hypertension",E70="Angina Pectoris",E70="Bronchial Asthma",E70="Cardiac Arrhythmia"), D70+30,
OR(E70="Gastritis",E70="Osteoarthritis",E70="Bronchitis",E70="Iron Deficiency Anemia"), D70+14,
OR(E70="Lumbar Strain",E70="Migraine Headache"), D70+7,
OR(E70="Viral Fever",E70="General Checkup","Routine Health Check"), "",
TRUE,""
)</f>
        <v/>
      </c>
      <c r="I70" s="1" t="str">
        <f t="shared" si="2"/>
        <v>No Follow-up Required</v>
      </c>
      <c r="J70" t="str">
        <f>TEXT(Table8[[#This Row],[visit_Date]],"DDDD")</f>
        <v>Wednesday</v>
      </c>
      <c r="K70" t="str">
        <f>TEXT(Table8[[#This Row],[visit_Date]],"mmmm")</f>
        <v>April</v>
      </c>
      <c r="L70" t="str">
        <f t="shared" si="3"/>
        <v>Summer</v>
      </c>
    </row>
    <row r="71" spans="1:12" x14ac:dyDescent="0.25">
      <c r="A71">
        <v>70</v>
      </c>
      <c r="B71">
        <v>1009</v>
      </c>
      <c r="C71">
        <v>1591</v>
      </c>
      <c r="D71" s="1">
        <v>45688</v>
      </c>
      <c r="E71" t="s">
        <v>315</v>
      </c>
      <c r="F71" t="s">
        <v>316</v>
      </c>
      <c r="G71" t="str">
        <f>_xlfn.XLOOKUP(TRIM(E72),MedicineInfo!A:A,MedicineInfo!B:B,"Not Found")</f>
        <v>Multivitamin</v>
      </c>
      <c r="H71" s="1" cm="1">
        <f t="array" ref="H71">_xlfn.IFS(
OR(E71="Type 2 Diabetes",E71="Essential Hypertension",E71="Angina Pectoris",E71="Bronchial Asthma",E71="Cardiac Arrhythmia"), D71+30,
OR(E71="Gastritis",E71="Osteoarthritis",E71="Bronchitis",E71="Iron Deficiency Anemia"), D71+14,
OR(E71="Lumbar Strain",E71="Migraine Headache"), D71+7,
OR(E71="Viral Fever",E71="General Checkup","Routine Health Check"), "",
TRUE,""
)</f>
        <v>45695</v>
      </c>
      <c r="I71" s="1" t="str">
        <f t="shared" si="2"/>
        <v>Follow-up Scheduled</v>
      </c>
      <c r="J71" t="str">
        <f>TEXT(Table8[[#This Row],[visit_Date]],"DDDD")</f>
        <v>Friday</v>
      </c>
      <c r="K71" t="str">
        <f>TEXT(Table8[[#This Row],[visit_Date]],"mmmm")</f>
        <v>January</v>
      </c>
      <c r="L71" t="str">
        <f t="shared" si="3"/>
        <v>Winter</v>
      </c>
    </row>
    <row r="72" spans="1:12" x14ac:dyDescent="0.25">
      <c r="A72">
        <v>71</v>
      </c>
      <c r="B72">
        <v>1027</v>
      </c>
      <c r="C72">
        <v>737</v>
      </c>
      <c r="D72" s="1">
        <v>45783</v>
      </c>
      <c r="E72" t="s">
        <v>24</v>
      </c>
      <c r="F72" t="s">
        <v>321</v>
      </c>
      <c r="G72" t="str">
        <f>_xlfn.XLOOKUP(TRIM(E73),MedicineInfo!A:A,MedicineInfo!B:B,"Not Found")</f>
        <v>Multivitamin</v>
      </c>
      <c r="H72" s="1" t="str" cm="1">
        <f t="array" ref="H72">_xlfn.IFS(
OR(E72="Type 2 Diabetes",E72="Essential Hypertension",E72="Angina Pectoris",E72="Bronchial Asthma",E72="Cardiac Arrhythmia"), D72+30,
OR(E72="Gastritis",E72="Osteoarthritis",E72="Bronchitis",E72="Iron Deficiency Anemia"), D72+14,
OR(E72="Lumbar Strain",E72="Migraine Headache"), D72+7,
OR(E72="Viral Fever",E72="General Checkup","Routine Health Check"), "",
TRUE,""
)</f>
        <v/>
      </c>
      <c r="I72" s="1" t="str">
        <f t="shared" si="2"/>
        <v>No Follow-up Required</v>
      </c>
      <c r="J72" t="str">
        <f>TEXT(Table8[[#This Row],[visit_Date]],"DDDD")</f>
        <v>Tuesday</v>
      </c>
      <c r="K72" t="str">
        <f>TEXT(Table8[[#This Row],[visit_Date]],"mmmm")</f>
        <v>May</v>
      </c>
      <c r="L72" t="str">
        <f t="shared" si="3"/>
        <v>Summer</v>
      </c>
    </row>
    <row r="73" spans="1:12" x14ac:dyDescent="0.25">
      <c r="A73">
        <v>72</v>
      </c>
      <c r="B73">
        <v>1027</v>
      </c>
      <c r="C73">
        <v>113</v>
      </c>
      <c r="D73" s="1">
        <v>45838</v>
      </c>
      <c r="E73" t="s">
        <v>24</v>
      </c>
      <c r="F73" t="s">
        <v>321</v>
      </c>
      <c r="G73" t="str">
        <f>_xlfn.XLOOKUP(TRIM(E74),MedicineInfo!A:A,MedicineInfo!B:B,"Not Found")</f>
        <v>Diclofenac</v>
      </c>
      <c r="H73" s="1" t="str" cm="1">
        <f t="array" ref="H73">_xlfn.IFS(
OR(E73="Type 2 Diabetes",E73="Essential Hypertension",E73="Angina Pectoris",E73="Bronchial Asthma",E73="Cardiac Arrhythmia"), D73+30,
OR(E73="Gastritis",E73="Osteoarthritis",E73="Bronchitis",E73="Iron Deficiency Anemia"), D73+14,
OR(E73="Lumbar Strain",E73="Migraine Headache"), D73+7,
OR(E73="Viral Fever",E73="General Checkup","Routine Health Check"), "",
TRUE,""
)</f>
        <v/>
      </c>
      <c r="I73" s="1" t="str">
        <f t="shared" si="2"/>
        <v>No Follow-up Required</v>
      </c>
      <c r="J73" t="str">
        <f>TEXT(Table8[[#This Row],[visit_Date]],"DDDD")</f>
        <v>Monday</v>
      </c>
      <c r="K73" t="str">
        <f>TEXT(Table8[[#This Row],[visit_Date]],"mmmm")</f>
        <v>June</v>
      </c>
      <c r="L73" t="str">
        <f t="shared" si="3"/>
        <v>Monsoon</v>
      </c>
    </row>
    <row r="74" spans="1:12" x14ac:dyDescent="0.25">
      <c r="A74">
        <v>73</v>
      </c>
      <c r="B74">
        <v>1027</v>
      </c>
      <c r="C74">
        <v>261</v>
      </c>
      <c r="D74" s="1">
        <v>45864</v>
      </c>
      <c r="E74" t="s">
        <v>313</v>
      </c>
      <c r="F74" t="s">
        <v>314</v>
      </c>
      <c r="G74" t="str">
        <f>_xlfn.XLOOKUP(TRIM(E75),MedicineInfo!A:A,MedicineInfo!B:B,"Not Found")</f>
        <v>Multivitamin</v>
      </c>
      <c r="H74" s="1" cm="1">
        <f t="array" ref="H74">_xlfn.IFS(
OR(E74="Type 2 Diabetes",E74="Essential Hypertension",E74="Angina Pectoris",E74="Bronchial Asthma",E74="Cardiac Arrhythmia"), D74+30,
OR(E74="Gastritis",E74="Osteoarthritis",E74="Bronchitis",E74="Iron Deficiency Anemia"), D74+14,
OR(E74="Lumbar Strain",E74="Migraine Headache"), D74+7,
OR(E74="Viral Fever",E74="General Checkup","Routine Health Check"), "",
TRUE,""
)</f>
        <v>45871</v>
      </c>
      <c r="I74" s="1" t="str">
        <f t="shared" si="2"/>
        <v>Follow-up Scheduled</v>
      </c>
      <c r="J74" t="str">
        <f>TEXT(Table8[[#This Row],[visit_Date]],"DDDD")</f>
        <v>Saturday</v>
      </c>
      <c r="K74" t="str">
        <f>TEXT(Table8[[#This Row],[visit_Date]],"mmmm")</f>
        <v>July</v>
      </c>
      <c r="L74" t="str">
        <f t="shared" si="3"/>
        <v>Monsoon</v>
      </c>
    </row>
    <row r="75" spans="1:12" x14ac:dyDescent="0.25">
      <c r="A75">
        <v>74</v>
      </c>
      <c r="B75">
        <v>1027</v>
      </c>
      <c r="C75">
        <v>653</v>
      </c>
      <c r="D75" s="1">
        <v>45792</v>
      </c>
      <c r="E75" t="s">
        <v>24</v>
      </c>
      <c r="F75" t="s">
        <v>321</v>
      </c>
      <c r="G75" t="str">
        <f>_xlfn.XLOOKUP(TRIM(E76),MedicineInfo!A:A,MedicineInfo!B:B,"Not Found")</f>
        <v>Nitroglycerin</v>
      </c>
      <c r="H75" s="1" t="str" cm="1">
        <f t="array" ref="H75">_xlfn.IFS(
OR(E75="Type 2 Diabetes",E75="Essential Hypertension",E75="Angina Pectoris",E75="Bronchial Asthma",E75="Cardiac Arrhythmia"), D75+30,
OR(E75="Gastritis",E75="Osteoarthritis",E75="Bronchitis",E75="Iron Deficiency Anemia"), D75+14,
OR(E75="Lumbar Strain",E75="Migraine Headache"), D75+7,
OR(E75="Viral Fever",E75="General Checkup","Routine Health Check"), "",
TRUE,""
)</f>
        <v/>
      </c>
      <c r="I75" s="1" t="str">
        <f t="shared" si="2"/>
        <v>No Follow-up Required</v>
      </c>
      <c r="J75" t="str">
        <f>TEXT(Table8[[#This Row],[visit_Date]],"DDDD")</f>
        <v>Thursday</v>
      </c>
      <c r="K75" t="str">
        <f>TEXT(Table8[[#This Row],[visit_Date]],"mmmm")</f>
        <v>May</v>
      </c>
      <c r="L75" t="str">
        <f t="shared" si="3"/>
        <v>Summer</v>
      </c>
    </row>
    <row r="76" spans="1:12" x14ac:dyDescent="0.25">
      <c r="A76">
        <v>75</v>
      </c>
      <c r="B76">
        <v>1027</v>
      </c>
      <c r="C76">
        <v>820</v>
      </c>
      <c r="D76" s="1">
        <v>45694</v>
      </c>
      <c r="E76" t="s">
        <v>322</v>
      </c>
      <c r="F76" t="s">
        <v>323</v>
      </c>
      <c r="G76" t="str">
        <f>_xlfn.XLOOKUP(TRIM(E77),MedicineInfo!A:A,MedicineInfo!B:B,"Not Found")</f>
        <v>Nitroglycerin</v>
      </c>
      <c r="H76" s="1" cm="1">
        <f t="array" ref="H76">_xlfn.IFS(
OR(E76="Type 2 Diabetes",E76="Essential Hypertension",E76="Angina Pectoris",E76="Bronchial Asthma",E76="Cardiac Arrhythmia"), D76+30,
OR(E76="Gastritis",E76="Osteoarthritis",E76="Bronchitis",E76="Iron Deficiency Anemia"), D76+14,
OR(E76="Lumbar Strain",E76="Migraine Headache"), D76+7,
OR(E76="Viral Fever",E76="General Checkup","Routine Health Check"), "",
TRUE,""
)</f>
        <v>45724</v>
      </c>
      <c r="I76" s="1" t="str">
        <f t="shared" si="2"/>
        <v>Follow-up Scheduled</v>
      </c>
      <c r="J76" t="str">
        <f>TEXT(Table8[[#This Row],[visit_Date]],"DDDD")</f>
        <v>Thursday</v>
      </c>
      <c r="K76" t="str">
        <f>TEXT(Table8[[#This Row],[visit_Date]],"mmmm")</f>
        <v>February</v>
      </c>
      <c r="L76" t="str">
        <f t="shared" si="3"/>
        <v>Winter</v>
      </c>
    </row>
    <row r="77" spans="1:12" x14ac:dyDescent="0.25">
      <c r="A77">
        <v>76</v>
      </c>
      <c r="B77">
        <v>1001</v>
      </c>
      <c r="C77">
        <v>233</v>
      </c>
      <c r="D77" s="1">
        <v>45691</v>
      </c>
      <c r="E77" t="s">
        <v>322</v>
      </c>
      <c r="F77" t="s">
        <v>323</v>
      </c>
      <c r="G77" t="str">
        <f>_xlfn.XLOOKUP(TRIM(E78),MedicineInfo!A:A,MedicineInfo!B:B,"Not Found")</f>
        <v>Paracetamol</v>
      </c>
      <c r="H77" s="1" cm="1">
        <f t="array" ref="H77">_xlfn.IFS(
OR(E77="Type 2 Diabetes",E77="Essential Hypertension",E77="Angina Pectoris",E77="Bronchial Asthma",E77="Cardiac Arrhythmia"), D77+30,
OR(E77="Gastritis",E77="Osteoarthritis",E77="Bronchitis",E77="Iron Deficiency Anemia"), D77+14,
OR(E77="Lumbar Strain",E77="Migraine Headache"), D77+7,
OR(E77="Viral Fever",E77="General Checkup","Routine Health Check"), "",
TRUE,""
)</f>
        <v>45721</v>
      </c>
      <c r="I77" s="1" t="str">
        <f t="shared" si="2"/>
        <v>Follow-up Scheduled</v>
      </c>
      <c r="J77" t="str">
        <f>TEXT(Table8[[#This Row],[visit_Date]],"DDDD")</f>
        <v>Monday</v>
      </c>
      <c r="K77" t="str">
        <f>TEXT(Table8[[#This Row],[visit_Date]],"mmmm")</f>
        <v>February</v>
      </c>
      <c r="L77" t="str">
        <f t="shared" si="3"/>
        <v>Winter</v>
      </c>
    </row>
    <row r="78" spans="1:12" x14ac:dyDescent="0.25">
      <c r="A78">
        <v>77</v>
      </c>
      <c r="B78">
        <v>1027</v>
      </c>
      <c r="C78">
        <v>376</v>
      </c>
      <c r="D78" s="1">
        <v>45826</v>
      </c>
      <c r="E78" t="s">
        <v>326</v>
      </c>
      <c r="F78" t="s">
        <v>327</v>
      </c>
      <c r="G78" t="str">
        <f>_xlfn.XLOOKUP(TRIM(E79),MedicineInfo!A:A,MedicineInfo!B:B,"Not Found")</f>
        <v>Nitroglycerin</v>
      </c>
      <c r="H78" s="1" t="str" cm="1">
        <f t="array" ref="H78">_xlfn.IFS(
OR(E78="Type 2 Diabetes",E78="Essential Hypertension",E78="Angina Pectoris",E78="Bronchial Asthma",E78="Cardiac Arrhythmia"), D78+30,
OR(E78="Gastritis",E78="Osteoarthritis",E78="Bronchitis",E78="Iron Deficiency Anemia"), D78+14,
OR(E78="Lumbar Strain",E78="Migraine Headache"), D78+7,
OR(E78="Viral Fever",E78="General Checkup","Routine Health Check"), "",
TRUE,""
)</f>
        <v/>
      </c>
      <c r="I78" s="1" t="str">
        <f t="shared" si="2"/>
        <v>No Follow-up Required</v>
      </c>
      <c r="J78" t="str">
        <f>TEXT(Table8[[#This Row],[visit_Date]],"DDDD")</f>
        <v>Wednesday</v>
      </c>
      <c r="K78" t="str">
        <f>TEXT(Table8[[#This Row],[visit_Date]],"mmmm")</f>
        <v>June</v>
      </c>
      <c r="L78" t="str">
        <f t="shared" si="3"/>
        <v>Monsoon</v>
      </c>
    </row>
    <row r="79" spans="1:12" x14ac:dyDescent="0.25">
      <c r="A79">
        <v>78</v>
      </c>
      <c r="B79">
        <v>1001</v>
      </c>
      <c r="C79">
        <v>1252</v>
      </c>
      <c r="D79" s="1">
        <v>45783</v>
      </c>
      <c r="E79" t="s">
        <v>322</v>
      </c>
      <c r="F79" t="s">
        <v>323</v>
      </c>
      <c r="G79" t="str">
        <f>_xlfn.XLOOKUP(TRIM(E80),MedicineInfo!A:A,MedicineInfo!B:B,"Not Found")</f>
        <v>Nitroglycerin</v>
      </c>
      <c r="H79" s="1" cm="1">
        <f t="array" ref="H79">_xlfn.IFS(
OR(E79="Type 2 Diabetes",E79="Essential Hypertension",E79="Angina Pectoris",E79="Bronchial Asthma",E79="Cardiac Arrhythmia"), D79+30,
OR(E79="Gastritis",E79="Osteoarthritis",E79="Bronchitis",E79="Iron Deficiency Anemia"), D79+14,
OR(E79="Lumbar Strain",E79="Migraine Headache"), D79+7,
OR(E79="Viral Fever",E79="General Checkup","Routine Health Check"), "",
TRUE,""
)</f>
        <v>45813</v>
      </c>
      <c r="I79" s="1" t="str">
        <f t="shared" si="2"/>
        <v>Follow-up Scheduled</v>
      </c>
      <c r="J79" t="str">
        <f>TEXT(Table8[[#This Row],[visit_Date]],"DDDD")</f>
        <v>Tuesday</v>
      </c>
      <c r="K79" t="str">
        <f>TEXT(Table8[[#This Row],[visit_Date]],"mmmm")</f>
        <v>May</v>
      </c>
      <c r="L79" t="str">
        <f t="shared" si="3"/>
        <v>Summer</v>
      </c>
    </row>
    <row r="80" spans="1:12" x14ac:dyDescent="0.25">
      <c r="A80">
        <v>79</v>
      </c>
      <c r="B80">
        <v>1027</v>
      </c>
      <c r="C80">
        <v>1589</v>
      </c>
      <c r="D80" s="1">
        <v>45853</v>
      </c>
      <c r="E80" t="s">
        <v>322</v>
      </c>
      <c r="F80" t="s">
        <v>323</v>
      </c>
      <c r="G80" t="str">
        <f>_xlfn.XLOOKUP(TRIM(E81),MedicineInfo!A:A,MedicineInfo!B:B,"Not Found")</f>
        <v>Salbutamol Inhaler</v>
      </c>
      <c r="H80" s="1" cm="1">
        <f t="array" ref="H80">_xlfn.IFS(
OR(E80="Type 2 Diabetes",E80="Essential Hypertension",E80="Angina Pectoris",E80="Bronchial Asthma",E80="Cardiac Arrhythmia"), D80+30,
OR(E80="Gastritis",E80="Osteoarthritis",E80="Bronchitis",E80="Iron Deficiency Anemia"), D80+14,
OR(E80="Lumbar Strain",E80="Migraine Headache"), D80+7,
OR(E80="Viral Fever",E80="General Checkup","Routine Health Check"), "",
TRUE,""
)</f>
        <v>45883</v>
      </c>
      <c r="I80" s="1" t="str">
        <f t="shared" si="2"/>
        <v>Follow-up Scheduled</v>
      </c>
      <c r="J80" t="str">
        <f>TEXT(Table8[[#This Row],[visit_Date]],"DDDD")</f>
        <v>Tuesday</v>
      </c>
      <c r="K80" t="str">
        <f>TEXT(Table8[[#This Row],[visit_Date]],"mmmm")</f>
        <v>July</v>
      </c>
      <c r="L80" t="str">
        <f t="shared" si="3"/>
        <v>Monsoon</v>
      </c>
    </row>
    <row r="81" spans="1:12" x14ac:dyDescent="0.25">
      <c r="A81">
        <v>80</v>
      </c>
      <c r="B81">
        <v>1020</v>
      </c>
      <c r="C81">
        <v>1384</v>
      </c>
      <c r="D81" s="1">
        <v>45711</v>
      </c>
      <c r="E81" t="s">
        <v>324</v>
      </c>
      <c r="F81" t="s">
        <v>325</v>
      </c>
      <c r="G81" t="str">
        <f>_xlfn.XLOOKUP(TRIM(E82),MedicineInfo!A:A,MedicineInfo!B:B,"Not Found")</f>
        <v>Sumatriptan</v>
      </c>
      <c r="H81" s="1" cm="1">
        <f t="array" ref="H81">_xlfn.IFS(
OR(E81="Type 2 Diabetes",E81="Essential Hypertension",E81="Angina Pectoris",E81="Bronchial Asthma",E81="Cardiac Arrhythmia"), D81+30,
OR(E81="Gastritis",E81="Osteoarthritis",E81="Bronchitis",E81="Iron Deficiency Anemia"), D81+14,
OR(E81="Lumbar Strain",E81="Migraine Headache"), D81+7,
OR(E81="Viral Fever",E81="General Checkup","Routine Health Check"), "",
TRUE,""
)</f>
        <v>45741</v>
      </c>
      <c r="I81" s="1" t="str">
        <f t="shared" si="2"/>
        <v>Follow-up Scheduled</v>
      </c>
      <c r="J81" t="str">
        <f>TEXT(Table8[[#This Row],[visit_Date]],"DDDD")</f>
        <v>Sunday</v>
      </c>
      <c r="K81" t="str">
        <f>TEXT(Table8[[#This Row],[visit_Date]],"mmmm")</f>
        <v>February</v>
      </c>
      <c r="L81" t="str">
        <f t="shared" si="3"/>
        <v>Winter</v>
      </c>
    </row>
    <row r="82" spans="1:12" x14ac:dyDescent="0.25">
      <c r="A82">
        <v>81</v>
      </c>
      <c r="B82">
        <v>1009</v>
      </c>
      <c r="C82">
        <v>494</v>
      </c>
      <c r="D82" s="1">
        <v>45725</v>
      </c>
      <c r="E82" t="s">
        <v>315</v>
      </c>
      <c r="F82" t="s">
        <v>316</v>
      </c>
      <c r="G82" t="str">
        <f>_xlfn.XLOOKUP(TRIM(E83),MedicineInfo!A:A,MedicineInfo!B:B,"Not Found")</f>
        <v>Multivitamin</v>
      </c>
      <c r="H82" s="1" cm="1">
        <f t="array" ref="H82">_xlfn.IFS(
OR(E82="Type 2 Diabetes",E82="Essential Hypertension",E82="Angina Pectoris",E82="Bronchial Asthma",E82="Cardiac Arrhythmia"), D82+30,
OR(E82="Gastritis",E82="Osteoarthritis",E82="Bronchitis",E82="Iron Deficiency Anemia"), D82+14,
OR(E82="Lumbar Strain",E82="Migraine Headache"), D82+7,
OR(E82="Viral Fever",E82="General Checkup","Routine Health Check"), "",
TRUE,""
)</f>
        <v>45732</v>
      </c>
      <c r="I82" s="1" t="str">
        <f t="shared" si="2"/>
        <v>Follow-up Scheduled</v>
      </c>
      <c r="J82" t="str">
        <f>TEXT(Table8[[#This Row],[visit_Date]],"DDDD")</f>
        <v>Sunday</v>
      </c>
      <c r="K82" t="str">
        <f>TEXT(Table8[[#This Row],[visit_Date]],"mmmm")</f>
        <v>March</v>
      </c>
      <c r="L82" t="str">
        <f t="shared" si="3"/>
        <v>Summer</v>
      </c>
    </row>
    <row r="83" spans="1:12" x14ac:dyDescent="0.25">
      <c r="A83">
        <v>82</v>
      </c>
      <c r="B83">
        <v>1027</v>
      </c>
      <c r="C83">
        <v>1245</v>
      </c>
      <c r="D83" s="1">
        <v>45766</v>
      </c>
      <c r="E83" t="s">
        <v>24</v>
      </c>
      <c r="F83" t="s">
        <v>321</v>
      </c>
      <c r="G83" t="str">
        <f>_xlfn.XLOOKUP(TRIM(E84),MedicineInfo!A:A,MedicineInfo!B:B,"Not Found")</f>
        <v>Salbutamol Inhaler</v>
      </c>
      <c r="H83" s="1" t="str" cm="1">
        <f t="array" ref="H83">_xlfn.IFS(
OR(E83="Type 2 Diabetes",E83="Essential Hypertension",E83="Angina Pectoris",E83="Bronchial Asthma",E83="Cardiac Arrhythmia"), D83+30,
OR(E83="Gastritis",E83="Osteoarthritis",E83="Bronchitis",E83="Iron Deficiency Anemia"), D83+14,
OR(E83="Lumbar Strain",E83="Migraine Headache"), D83+7,
OR(E83="Viral Fever",E83="General Checkup","Routine Health Check"), "",
TRUE,""
)</f>
        <v/>
      </c>
      <c r="I83" s="1" t="str">
        <f t="shared" si="2"/>
        <v>No Follow-up Required</v>
      </c>
      <c r="J83" t="str">
        <f>TEXT(Table8[[#This Row],[visit_Date]],"DDDD")</f>
        <v>Saturday</v>
      </c>
      <c r="K83" t="str">
        <f>TEXT(Table8[[#This Row],[visit_Date]],"mmmm")</f>
        <v>April</v>
      </c>
      <c r="L83" t="str">
        <f t="shared" si="3"/>
        <v>Summer</v>
      </c>
    </row>
    <row r="84" spans="1:12" x14ac:dyDescent="0.25">
      <c r="A84">
        <v>83</v>
      </c>
      <c r="B84">
        <v>1020</v>
      </c>
      <c r="C84">
        <v>262</v>
      </c>
      <c r="D84" s="1">
        <v>45754</v>
      </c>
      <c r="E84" t="s">
        <v>324</v>
      </c>
      <c r="F84" t="s">
        <v>325</v>
      </c>
      <c r="G84" t="str">
        <f>_xlfn.XLOOKUP(TRIM(E85),MedicineInfo!A:A,MedicineInfo!B:B,"Not Found")</f>
        <v>Multivitamin</v>
      </c>
      <c r="H84" s="1" cm="1">
        <f t="array" ref="H84">_xlfn.IFS(
OR(E84="Type 2 Diabetes",E84="Essential Hypertension",E84="Angina Pectoris",E84="Bronchial Asthma",E84="Cardiac Arrhythmia"), D84+30,
OR(E84="Gastritis",E84="Osteoarthritis",E84="Bronchitis",E84="Iron Deficiency Anemia"), D84+14,
OR(E84="Lumbar Strain",E84="Migraine Headache"), D84+7,
OR(E84="Viral Fever",E84="General Checkup","Routine Health Check"), "",
TRUE,""
)</f>
        <v>45784</v>
      </c>
      <c r="I84" s="1" t="str">
        <f t="shared" si="2"/>
        <v>Follow-up Scheduled</v>
      </c>
      <c r="J84" t="str">
        <f>TEXT(Table8[[#This Row],[visit_Date]],"DDDD")</f>
        <v>Monday</v>
      </c>
      <c r="K84" t="str">
        <f>TEXT(Table8[[#This Row],[visit_Date]],"mmmm")</f>
        <v>April</v>
      </c>
      <c r="L84" t="str">
        <f t="shared" si="3"/>
        <v>Summer</v>
      </c>
    </row>
    <row r="85" spans="1:12" x14ac:dyDescent="0.25">
      <c r="A85">
        <v>84</v>
      </c>
      <c r="B85">
        <v>1027</v>
      </c>
      <c r="C85">
        <v>1085</v>
      </c>
      <c r="D85" s="1">
        <v>45747</v>
      </c>
      <c r="E85" t="s">
        <v>24</v>
      </c>
      <c r="F85" t="s">
        <v>321</v>
      </c>
      <c r="G85" t="str">
        <f>_xlfn.XLOOKUP(TRIM(E86),MedicineInfo!A:A,MedicineInfo!B:B,"Not Found")</f>
        <v>Diclofenac</v>
      </c>
      <c r="H85" s="1" t="str" cm="1">
        <f t="array" ref="H85">_xlfn.IFS(
OR(E85="Type 2 Diabetes",E85="Essential Hypertension",E85="Angina Pectoris",E85="Bronchial Asthma",E85="Cardiac Arrhythmia"), D85+30,
OR(E85="Gastritis",E85="Osteoarthritis",E85="Bronchitis",E85="Iron Deficiency Anemia"), D85+14,
OR(E85="Lumbar Strain",E85="Migraine Headache"), D85+7,
OR(E85="Viral Fever",E85="General Checkup","Routine Health Check"), "",
TRUE,""
)</f>
        <v/>
      </c>
      <c r="I85" s="1" t="str">
        <f t="shared" si="2"/>
        <v>No Follow-up Required</v>
      </c>
      <c r="J85" t="str">
        <f>TEXT(Table8[[#This Row],[visit_Date]],"DDDD")</f>
        <v>Monday</v>
      </c>
      <c r="K85" t="str">
        <f>TEXT(Table8[[#This Row],[visit_Date]],"mmmm")</f>
        <v>March</v>
      </c>
      <c r="L85" t="str">
        <f t="shared" si="3"/>
        <v>Summer</v>
      </c>
    </row>
    <row r="86" spans="1:12" x14ac:dyDescent="0.25">
      <c r="A86">
        <v>85</v>
      </c>
      <c r="B86">
        <v>1027</v>
      </c>
      <c r="C86">
        <v>1599</v>
      </c>
      <c r="D86" s="1">
        <v>45829</v>
      </c>
      <c r="E86" t="s">
        <v>313</v>
      </c>
      <c r="F86" t="s">
        <v>314</v>
      </c>
      <c r="G86" t="str">
        <f>_xlfn.XLOOKUP(TRIM(E87),MedicineInfo!A:A,MedicineInfo!B:B,"Not Found")</f>
        <v>Amlodipine</v>
      </c>
      <c r="H86" s="1" cm="1">
        <f t="array" ref="H86">_xlfn.IFS(
OR(E86="Type 2 Diabetes",E86="Essential Hypertension",E86="Angina Pectoris",E86="Bronchial Asthma",E86="Cardiac Arrhythmia"), D86+30,
OR(E86="Gastritis",E86="Osteoarthritis",E86="Bronchitis",E86="Iron Deficiency Anemia"), D86+14,
OR(E86="Lumbar Strain",E86="Migraine Headache"), D86+7,
OR(E86="Viral Fever",E86="General Checkup","Routine Health Check"), "",
TRUE,""
)</f>
        <v>45836</v>
      </c>
      <c r="I86" s="1" t="str">
        <f t="shared" si="2"/>
        <v>Follow-up Scheduled</v>
      </c>
      <c r="J86" t="str">
        <f>TEXT(Table8[[#This Row],[visit_Date]],"DDDD")</f>
        <v>Saturday</v>
      </c>
      <c r="K86" t="str">
        <f>TEXT(Table8[[#This Row],[visit_Date]],"mmmm")</f>
        <v>June</v>
      </c>
      <c r="L86" t="str">
        <f t="shared" si="3"/>
        <v>Monsoon</v>
      </c>
    </row>
    <row r="87" spans="1:12" x14ac:dyDescent="0.25">
      <c r="A87">
        <v>86</v>
      </c>
      <c r="B87">
        <v>1001</v>
      </c>
      <c r="C87">
        <v>904</v>
      </c>
      <c r="D87" s="1">
        <v>45809</v>
      </c>
      <c r="E87" t="s">
        <v>319</v>
      </c>
      <c r="F87" t="s">
        <v>320</v>
      </c>
      <c r="G87" t="str">
        <f>_xlfn.XLOOKUP(TRIM(E88),MedicineInfo!A:A,MedicineInfo!B:B,"Not Found")</f>
        <v>Amlodipine</v>
      </c>
      <c r="H87" s="1" cm="1">
        <f t="array" ref="H87">_xlfn.IFS(
OR(E87="Type 2 Diabetes",E87="Essential Hypertension",E87="Angina Pectoris",E87="Bronchial Asthma",E87="Cardiac Arrhythmia"), D87+30,
OR(E87="Gastritis",E87="Osteoarthritis",E87="Bronchitis",E87="Iron Deficiency Anemia"), D87+14,
OR(E87="Lumbar Strain",E87="Migraine Headache"), D87+7,
OR(E87="Viral Fever",E87="General Checkup","Routine Health Check"), "",
TRUE,""
)</f>
        <v>45839</v>
      </c>
      <c r="I87" s="1" t="str">
        <f t="shared" si="2"/>
        <v>Follow-up Scheduled</v>
      </c>
      <c r="J87" t="str">
        <f>TEXT(Table8[[#This Row],[visit_Date]],"DDDD")</f>
        <v>Sunday</v>
      </c>
      <c r="K87" t="str">
        <f>TEXT(Table8[[#This Row],[visit_Date]],"mmmm")</f>
        <v>June</v>
      </c>
      <c r="L87" t="str">
        <f t="shared" si="3"/>
        <v>Monsoon</v>
      </c>
    </row>
    <row r="88" spans="1:12" x14ac:dyDescent="0.25">
      <c r="A88">
        <v>87</v>
      </c>
      <c r="B88">
        <v>1003</v>
      </c>
      <c r="C88">
        <v>1479</v>
      </c>
      <c r="D88" s="1">
        <v>45814</v>
      </c>
      <c r="E88" t="s">
        <v>319</v>
      </c>
      <c r="F88" t="s">
        <v>320</v>
      </c>
      <c r="G88" t="str">
        <f>_xlfn.XLOOKUP(TRIM(E89),MedicineInfo!A:A,MedicineInfo!B:B,"Not Found")</f>
        <v>Diclofenac</v>
      </c>
      <c r="H88" s="1" cm="1">
        <f t="array" ref="H88">_xlfn.IFS(
OR(E88="Type 2 Diabetes",E88="Essential Hypertension",E88="Angina Pectoris",E88="Bronchial Asthma",E88="Cardiac Arrhythmia"), D88+30,
OR(E88="Gastritis",E88="Osteoarthritis",E88="Bronchitis",E88="Iron Deficiency Anemia"), D88+14,
OR(E88="Lumbar Strain",E88="Migraine Headache"), D88+7,
OR(E88="Viral Fever",E88="General Checkup","Routine Health Check"), "",
TRUE,""
)</f>
        <v>45844</v>
      </c>
      <c r="I88" s="1" t="str">
        <f t="shared" si="2"/>
        <v>Follow-up Scheduled</v>
      </c>
      <c r="J88" t="str">
        <f>TEXT(Table8[[#This Row],[visit_Date]],"DDDD")</f>
        <v>Friday</v>
      </c>
      <c r="K88" t="str">
        <f>TEXT(Table8[[#This Row],[visit_Date]],"mmmm")</f>
        <v>June</v>
      </c>
      <c r="L88" t="str">
        <f t="shared" si="3"/>
        <v>Monsoon</v>
      </c>
    </row>
    <row r="89" spans="1:12" x14ac:dyDescent="0.25">
      <c r="A89">
        <v>88</v>
      </c>
      <c r="B89">
        <v>1027</v>
      </c>
      <c r="C89">
        <v>1000</v>
      </c>
      <c r="D89" s="1">
        <v>45812</v>
      </c>
      <c r="E89" t="s">
        <v>313</v>
      </c>
      <c r="F89" t="s">
        <v>314</v>
      </c>
      <c r="G89" t="str">
        <f>_xlfn.XLOOKUP(TRIM(E90),MedicineInfo!A:A,MedicineInfo!B:B,"Not Found")</f>
        <v>Salbutamol Inhaler</v>
      </c>
      <c r="H89" s="1" cm="1">
        <f t="array" ref="H89">_xlfn.IFS(
OR(E89="Type 2 Diabetes",E89="Essential Hypertension",E89="Angina Pectoris",E89="Bronchial Asthma",E89="Cardiac Arrhythmia"), D89+30,
OR(E89="Gastritis",E89="Osteoarthritis",E89="Bronchitis",E89="Iron Deficiency Anemia"), D89+14,
OR(E89="Lumbar Strain",E89="Migraine Headache"), D89+7,
OR(E89="Viral Fever",E89="General Checkup","Routine Health Check"), "",
TRUE,""
)</f>
        <v>45819</v>
      </c>
      <c r="I89" s="1" t="str">
        <f t="shared" si="2"/>
        <v>Follow-up Scheduled</v>
      </c>
      <c r="J89" t="str">
        <f>TEXT(Table8[[#This Row],[visit_Date]],"DDDD")</f>
        <v>Wednesday</v>
      </c>
      <c r="K89" t="str">
        <f>TEXT(Table8[[#This Row],[visit_Date]],"mmmm")</f>
        <v>June</v>
      </c>
      <c r="L89" t="str">
        <f t="shared" si="3"/>
        <v>Monsoon</v>
      </c>
    </row>
    <row r="90" spans="1:12" x14ac:dyDescent="0.25">
      <c r="A90">
        <v>89</v>
      </c>
      <c r="B90">
        <v>1020</v>
      </c>
      <c r="C90">
        <v>682</v>
      </c>
      <c r="D90" s="1">
        <v>45720</v>
      </c>
      <c r="E90" t="s">
        <v>324</v>
      </c>
      <c r="F90" t="s">
        <v>325</v>
      </c>
      <c r="G90" t="str">
        <f>_xlfn.XLOOKUP(TRIM(E91),MedicineInfo!A:A,MedicineInfo!B:B,"Not Found")</f>
        <v>Sumatriptan</v>
      </c>
      <c r="H90" s="1" cm="1">
        <f t="array" ref="H90">_xlfn.IFS(
OR(E90="Type 2 Diabetes",E90="Essential Hypertension",E90="Angina Pectoris",E90="Bronchial Asthma",E90="Cardiac Arrhythmia"), D90+30,
OR(E90="Gastritis",E90="Osteoarthritis",E90="Bronchitis",E90="Iron Deficiency Anemia"), D90+14,
OR(E90="Lumbar Strain",E90="Migraine Headache"), D90+7,
OR(E90="Viral Fever",E90="General Checkup","Routine Health Check"), "",
TRUE,""
)</f>
        <v>45750</v>
      </c>
      <c r="I90" s="1" t="str">
        <f t="shared" si="2"/>
        <v>Follow-up Scheduled</v>
      </c>
      <c r="J90" t="str">
        <f>TEXT(Table8[[#This Row],[visit_Date]],"DDDD")</f>
        <v>Tuesday</v>
      </c>
      <c r="K90" t="str">
        <f>TEXT(Table8[[#This Row],[visit_Date]],"mmmm")</f>
        <v>March</v>
      </c>
      <c r="L90" t="str">
        <f t="shared" si="3"/>
        <v>Summer</v>
      </c>
    </row>
    <row r="91" spans="1:12" x14ac:dyDescent="0.25">
      <c r="A91">
        <v>90</v>
      </c>
      <c r="B91">
        <v>1008</v>
      </c>
      <c r="C91">
        <v>1407</v>
      </c>
      <c r="D91" s="1">
        <v>45669</v>
      </c>
      <c r="E91" t="s">
        <v>315</v>
      </c>
      <c r="F91" t="s">
        <v>316</v>
      </c>
      <c r="G91" t="str">
        <f>_xlfn.XLOOKUP(TRIM(E92),MedicineInfo!A:A,MedicineInfo!B:B,"Not Found")</f>
        <v>Nitroglycerin</v>
      </c>
      <c r="H91" s="1" cm="1">
        <f t="array" ref="H91">_xlfn.IFS(
OR(E91="Type 2 Diabetes",E91="Essential Hypertension",E91="Angina Pectoris",E91="Bronchial Asthma",E91="Cardiac Arrhythmia"), D91+30,
OR(E91="Gastritis",E91="Osteoarthritis",E91="Bronchitis",E91="Iron Deficiency Anemia"), D91+14,
OR(E91="Lumbar Strain",E91="Migraine Headache"), D91+7,
OR(E91="Viral Fever",E91="General Checkup","Routine Health Check"), "",
TRUE,""
)</f>
        <v>45676</v>
      </c>
      <c r="I91" s="1" t="str">
        <f t="shared" si="2"/>
        <v>Follow-up Scheduled</v>
      </c>
      <c r="J91" t="str">
        <f>TEXT(Table8[[#This Row],[visit_Date]],"DDDD")</f>
        <v>Sunday</v>
      </c>
      <c r="K91" t="str">
        <f>TEXT(Table8[[#This Row],[visit_Date]],"mmmm")</f>
        <v>January</v>
      </c>
      <c r="L91" t="str">
        <f t="shared" si="3"/>
        <v>Winter</v>
      </c>
    </row>
    <row r="92" spans="1:12" x14ac:dyDescent="0.25">
      <c r="A92">
        <v>91</v>
      </c>
      <c r="B92">
        <v>1027</v>
      </c>
      <c r="C92">
        <v>162</v>
      </c>
      <c r="D92" s="1">
        <v>45822</v>
      </c>
      <c r="E92" t="s">
        <v>322</v>
      </c>
      <c r="F92" t="s">
        <v>323</v>
      </c>
      <c r="G92" t="str">
        <f>_xlfn.XLOOKUP(TRIM(E93),MedicineInfo!A:A,MedicineInfo!B:B,"Not Found")</f>
        <v>Metformin</v>
      </c>
      <c r="H92" s="1" cm="1">
        <f t="array" ref="H92">_xlfn.IFS(
OR(E92="Type 2 Diabetes",E92="Essential Hypertension",E92="Angina Pectoris",E92="Bronchial Asthma",E92="Cardiac Arrhythmia"), D92+30,
OR(E92="Gastritis",E92="Osteoarthritis",E92="Bronchitis",E92="Iron Deficiency Anemia"), D92+14,
OR(E92="Lumbar Strain",E92="Migraine Headache"), D92+7,
OR(E92="Viral Fever",E92="General Checkup","Routine Health Check"), "",
TRUE,""
)</f>
        <v>45852</v>
      </c>
      <c r="I92" s="1" t="str">
        <f t="shared" si="2"/>
        <v>Follow-up Scheduled</v>
      </c>
      <c r="J92" t="str">
        <f>TEXT(Table8[[#This Row],[visit_Date]],"DDDD")</f>
        <v>Saturday</v>
      </c>
      <c r="K92" t="str">
        <f>TEXT(Table8[[#This Row],[visit_Date]],"mmmm")</f>
        <v>June</v>
      </c>
      <c r="L92" t="str">
        <f t="shared" si="3"/>
        <v>Monsoon</v>
      </c>
    </row>
    <row r="93" spans="1:12" x14ac:dyDescent="0.25">
      <c r="A93">
        <v>92</v>
      </c>
      <c r="B93">
        <v>1024</v>
      </c>
      <c r="C93">
        <v>613</v>
      </c>
      <c r="D93" s="1">
        <v>45836</v>
      </c>
      <c r="E93" t="s">
        <v>317</v>
      </c>
      <c r="F93" t="s">
        <v>318</v>
      </c>
      <c r="G93" t="str">
        <f>_xlfn.XLOOKUP(TRIM(E94),MedicineInfo!A:A,MedicineInfo!B:B,"Not Found")</f>
        <v>Amlodipine</v>
      </c>
      <c r="H93" s="1" cm="1">
        <f t="array" ref="H93">_xlfn.IFS(
OR(E93="Type 2 Diabetes",E93="Essential Hypertension",E93="Angina Pectoris",E93="Bronchial Asthma",E93="Cardiac Arrhythmia"), D93+30,
OR(E93="Gastritis",E93="Osteoarthritis",E93="Bronchitis",E93="Iron Deficiency Anemia"), D93+14,
OR(E93="Lumbar Strain",E93="Migraine Headache"), D93+7,
OR(E93="Viral Fever",E93="General Checkup","Routine Health Check"), "",
TRUE,""
)</f>
        <v>45866</v>
      </c>
      <c r="I93" s="1" t="str">
        <f t="shared" si="2"/>
        <v>Follow-up Scheduled</v>
      </c>
      <c r="J93" t="str">
        <f>TEXT(Table8[[#This Row],[visit_Date]],"DDDD")</f>
        <v>Saturday</v>
      </c>
      <c r="K93" t="str">
        <f>TEXT(Table8[[#This Row],[visit_Date]],"mmmm")</f>
        <v>June</v>
      </c>
      <c r="L93" t="str">
        <f t="shared" si="3"/>
        <v>Monsoon</v>
      </c>
    </row>
    <row r="94" spans="1:12" x14ac:dyDescent="0.25">
      <c r="A94">
        <v>93</v>
      </c>
      <c r="B94">
        <v>1003</v>
      </c>
      <c r="C94">
        <v>1295</v>
      </c>
      <c r="D94" s="1">
        <v>45823</v>
      </c>
      <c r="E94" t="s">
        <v>319</v>
      </c>
      <c r="F94" t="s">
        <v>320</v>
      </c>
      <c r="G94" t="str">
        <f>_xlfn.XLOOKUP(TRIM(E95),MedicineInfo!A:A,MedicineInfo!B:B,"Not Found")</f>
        <v>Multivitamin</v>
      </c>
      <c r="H94" s="1" cm="1">
        <f t="array" ref="H94">_xlfn.IFS(
OR(E94="Type 2 Diabetes",E94="Essential Hypertension",E94="Angina Pectoris",E94="Bronchial Asthma",E94="Cardiac Arrhythmia"), D94+30,
OR(E94="Gastritis",E94="Osteoarthritis",E94="Bronchitis",E94="Iron Deficiency Anemia"), D94+14,
OR(E94="Lumbar Strain",E94="Migraine Headache"), D94+7,
OR(E94="Viral Fever",E94="General Checkup","Routine Health Check"), "",
TRUE,""
)</f>
        <v>45853</v>
      </c>
      <c r="I94" s="1" t="str">
        <f t="shared" si="2"/>
        <v>Follow-up Scheduled</v>
      </c>
      <c r="J94" t="str">
        <f>TEXT(Table8[[#This Row],[visit_Date]],"DDDD")</f>
        <v>Sunday</v>
      </c>
      <c r="K94" t="str">
        <f>TEXT(Table8[[#This Row],[visit_Date]],"mmmm")</f>
        <v>June</v>
      </c>
      <c r="L94" t="str">
        <f t="shared" si="3"/>
        <v>Monsoon</v>
      </c>
    </row>
    <row r="95" spans="1:12" x14ac:dyDescent="0.25">
      <c r="A95">
        <v>94</v>
      </c>
      <c r="B95">
        <v>1027</v>
      </c>
      <c r="C95">
        <v>789</v>
      </c>
      <c r="D95" s="1">
        <v>45767</v>
      </c>
      <c r="E95" t="s">
        <v>24</v>
      </c>
      <c r="F95" t="s">
        <v>321</v>
      </c>
      <c r="G95" t="str">
        <f>_xlfn.XLOOKUP(TRIM(E96),MedicineInfo!A:A,MedicineInfo!B:B,"Not Found")</f>
        <v>Diclofenac</v>
      </c>
      <c r="H95" s="1" t="str" cm="1">
        <f t="array" ref="H95">_xlfn.IFS(
OR(E95="Type 2 Diabetes",E95="Essential Hypertension",E95="Angina Pectoris",E95="Bronchial Asthma",E95="Cardiac Arrhythmia"), D95+30,
OR(E95="Gastritis",E95="Osteoarthritis",E95="Bronchitis",E95="Iron Deficiency Anemia"), D95+14,
OR(E95="Lumbar Strain",E95="Migraine Headache"), D95+7,
OR(E95="Viral Fever",E95="General Checkup","Routine Health Check"), "",
TRUE,""
)</f>
        <v/>
      </c>
      <c r="I95" s="1" t="str">
        <f t="shared" si="2"/>
        <v>No Follow-up Required</v>
      </c>
      <c r="J95" t="str">
        <f>TEXT(Table8[[#This Row],[visit_Date]],"DDDD")</f>
        <v>Sunday</v>
      </c>
      <c r="K95" t="str">
        <f>TEXT(Table8[[#This Row],[visit_Date]],"mmmm")</f>
        <v>April</v>
      </c>
      <c r="L95" t="str">
        <f t="shared" si="3"/>
        <v>Summer</v>
      </c>
    </row>
    <row r="96" spans="1:12" x14ac:dyDescent="0.25">
      <c r="A96">
        <v>95</v>
      </c>
      <c r="B96">
        <v>1027</v>
      </c>
      <c r="C96">
        <v>1383</v>
      </c>
      <c r="D96" s="1">
        <v>45772</v>
      </c>
      <c r="E96" t="s">
        <v>313</v>
      </c>
      <c r="F96" t="s">
        <v>314</v>
      </c>
      <c r="G96" t="str">
        <f>_xlfn.XLOOKUP(TRIM(E97),MedicineInfo!A:A,MedicineInfo!B:B,"Not Found")</f>
        <v>Amlodipine</v>
      </c>
      <c r="H96" s="1" cm="1">
        <f t="array" ref="H96">_xlfn.IFS(
OR(E96="Type 2 Diabetes",E96="Essential Hypertension",E96="Angina Pectoris",E96="Bronchial Asthma",E96="Cardiac Arrhythmia"), D96+30,
OR(E96="Gastritis",E96="Osteoarthritis",E96="Bronchitis",E96="Iron Deficiency Anemia"), D96+14,
OR(E96="Lumbar Strain",E96="Migraine Headache"), D96+7,
OR(E96="Viral Fever",E96="General Checkup","Routine Health Check"), "",
TRUE,""
)</f>
        <v>45779</v>
      </c>
      <c r="I96" s="1" t="str">
        <f t="shared" si="2"/>
        <v>Follow-up Scheduled</v>
      </c>
      <c r="J96" t="str">
        <f>TEXT(Table8[[#This Row],[visit_Date]],"DDDD")</f>
        <v>Friday</v>
      </c>
      <c r="K96" t="str">
        <f>TEXT(Table8[[#This Row],[visit_Date]],"mmmm")</f>
        <v>April</v>
      </c>
      <c r="L96" t="str">
        <f t="shared" si="3"/>
        <v>Summer</v>
      </c>
    </row>
    <row r="97" spans="1:12" x14ac:dyDescent="0.25">
      <c r="A97">
        <v>96</v>
      </c>
      <c r="B97">
        <v>1002</v>
      </c>
      <c r="C97">
        <v>615</v>
      </c>
      <c r="D97" s="1">
        <v>45792</v>
      </c>
      <c r="E97" t="s">
        <v>319</v>
      </c>
      <c r="F97" t="s">
        <v>320</v>
      </c>
      <c r="G97" t="str">
        <f>_xlfn.XLOOKUP(TRIM(E98),MedicineInfo!A:A,MedicineInfo!B:B,"Not Found")</f>
        <v>Amlodipine</v>
      </c>
      <c r="H97" s="1" cm="1">
        <f t="array" ref="H97">_xlfn.IFS(
OR(E97="Type 2 Diabetes",E97="Essential Hypertension",E97="Angina Pectoris",E97="Bronchial Asthma",E97="Cardiac Arrhythmia"), D97+30,
OR(E97="Gastritis",E97="Osteoarthritis",E97="Bronchitis",E97="Iron Deficiency Anemia"), D97+14,
OR(E97="Lumbar Strain",E97="Migraine Headache"), D97+7,
OR(E97="Viral Fever",E97="General Checkup","Routine Health Check"), "",
TRUE,""
)</f>
        <v>45822</v>
      </c>
      <c r="I97" s="1" t="str">
        <f t="shared" si="2"/>
        <v>Follow-up Scheduled</v>
      </c>
      <c r="J97" t="str">
        <f>TEXT(Table8[[#This Row],[visit_Date]],"DDDD")</f>
        <v>Thursday</v>
      </c>
      <c r="K97" t="str">
        <f>TEXT(Table8[[#This Row],[visit_Date]],"mmmm")</f>
        <v>May</v>
      </c>
      <c r="L97" t="str">
        <f t="shared" si="3"/>
        <v>Summer</v>
      </c>
    </row>
    <row r="98" spans="1:12" x14ac:dyDescent="0.25">
      <c r="A98">
        <v>97</v>
      </c>
      <c r="B98">
        <v>1004</v>
      </c>
      <c r="C98">
        <v>489</v>
      </c>
      <c r="D98" s="1">
        <v>45669</v>
      </c>
      <c r="E98" t="s">
        <v>319</v>
      </c>
      <c r="F98" t="s">
        <v>320</v>
      </c>
      <c r="G98" t="str">
        <f>_xlfn.XLOOKUP(TRIM(E99),MedicineInfo!A:A,MedicineInfo!B:B,"Not Found")</f>
        <v>Amlodipine</v>
      </c>
      <c r="H98" s="1" cm="1">
        <f t="array" ref="H98">_xlfn.IFS(
OR(E98="Type 2 Diabetes",E98="Essential Hypertension",E98="Angina Pectoris",E98="Bronchial Asthma",E98="Cardiac Arrhythmia"), D98+30,
OR(E98="Gastritis",E98="Osteoarthritis",E98="Bronchitis",E98="Iron Deficiency Anemia"), D98+14,
OR(E98="Lumbar Strain",E98="Migraine Headache"), D98+7,
OR(E98="Viral Fever",E98="General Checkup","Routine Health Check"), "",
TRUE,""
)</f>
        <v>45699</v>
      </c>
      <c r="I98" s="1" t="str">
        <f t="shared" si="2"/>
        <v>Follow-up Scheduled</v>
      </c>
      <c r="J98" t="str">
        <f>TEXT(Table8[[#This Row],[visit_Date]],"DDDD")</f>
        <v>Sunday</v>
      </c>
      <c r="K98" t="str">
        <f>TEXT(Table8[[#This Row],[visit_Date]],"mmmm")</f>
        <v>January</v>
      </c>
      <c r="L98" t="str">
        <f t="shared" si="3"/>
        <v>Winter</v>
      </c>
    </row>
    <row r="99" spans="1:12" x14ac:dyDescent="0.25">
      <c r="A99">
        <v>98</v>
      </c>
      <c r="B99">
        <v>1001</v>
      </c>
      <c r="C99">
        <v>1159</v>
      </c>
      <c r="D99" s="1">
        <v>45672</v>
      </c>
      <c r="E99" t="s">
        <v>319</v>
      </c>
      <c r="F99" t="s">
        <v>320</v>
      </c>
      <c r="G99" t="str">
        <f>_xlfn.XLOOKUP(TRIM(E100),MedicineInfo!A:A,MedicineInfo!B:B,"Not Found")</f>
        <v>Salbutamol Inhaler</v>
      </c>
      <c r="H99" s="1" cm="1">
        <f t="array" ref="H99">_xlfn.IFS(
OR(E99="Type 2 Diabetes",E99="Essential Hypertension",E99="Angina Pectoris",E99="Bronchial Asthma",E99="Cardiac Arrhythmia"), D99+30,
OR(E99="Gastritis",E99="Osteoarthritis",E99="Bronchitis",E99="Iron Deficiency Anemia"), D99+14,
OR(E99="Lumbar Strain",E99="Migraine Headache"), D99+7,
OR(E99="Viral Fever",E99="General Checkup","Routine Health Check"), "",
TRUE,""
)</f>
        <v>45702</v>
      </c>
      <c r="I99" s="1" t="str">
        <f t="shared" si="2"/>
        <v>Follow-up Scheduled</v>
      </c>
      <c r="J99" t="str">
        <f>TEXT(Table8[[#This Row],[visit_Date]],"DDDD")</f>
        <v>Wednesday</v>
      </c>
      <c r="K99" t="str">
        <f>TEXT(Table8[[#This Row],[visit_Date]],"mmmm")</f>
        <v>January</v>
      </c>
      <c r="L99" t="str">
        <f t="shared" si="3"/>
        <v>Winter</v>
      </c>
    </row>
    <row r="100" spans="1:12" x14ac:dyDescent="0.25">
      <c r="A100">
        <v>99</v>
      </c>
      <c r="B100">
        <v>1020</v>
      </c>
      <c r="C100">
        <v>973</v>
      </c>
      <c r="D100" s="1">
        <v>45773</v>
      </c>
      <c r="E100" t="s">
        <v>324</v>
      </c>
      <c r="F100" t="s">
        <v>325</v>
      </c>
      <c r="G100" t="str">
        <f>_xlfn.XLOOKUP(TRIM(E101),MedicineInfo!A:A,MedicineInfo!B:B,"Not Found")</f>
        <v>Metformin</v>
      </c>
      <c r="H100" s="1" cm="1">
        <f t="array" ref="H100">_xlfn.IFS(
OR(E100="Type 2 Diabetes",E100="Essential Hypertension",E100="Angina Pectoris",E100="Bronchial Asthma",E100="Cardiac Arrhythmia"), D100+30,
OR(E100="Gastritis",E100="Osteoarthritis",E100="Bronchitis",E100="Iron Deficiency Anemia"), D100+14,
OR(E100="Lumbar Strain",E100="Migraine Headache"), D100+7,
OR(E100="Viral Fever",E100="General Checkup","Routine Health Check"), "",
TRUE,""
)</f>
        <v>45803</v>
      </c>
      <c r="I100" s="1" t="str">
        <f t="shared" si="2"/>
        <v>Follow-up Scheduled</v>
      </c>
      <c r="J100" t="str">
        <f>TEXT(Table8[[#This Row],[visit_Date]],"DDDD")</f>
        <v>Saturday</v>
      </c>
      <c r="K100" t="str">
        <f>TEXT(Table8[[#This Row],[visit_Date]],"mmmm")</f>
        <v>April</v>
      </c>
      <c r="L100" t="str">
        <f t="shared" si="3"/>
        <v>Summer</v>
      </c>
    </row>
    <row r="101" spans="1:12" x14ac:dyDescent="0.25">
      <c r="A101">
        <v>100</v>
      </c>
      <c r="B101">
        <v>1024</v>
      </c>
      <c r="C101">
        <v>193</v>
      </c>
      <c r="D101" s="1">
        <v>45729</v>
      </c>
      <c r="E101" t="s">
        <v>317</v>
      </c>
      <c r="F101" t="s">
        <v>318</v>
      </c>
      <c r="G101" t="str">
        <f>_xlfn.XLOOKUP(TRIM(E102),MedicineInfo!A:A,MedicineInfo!B:B,"Not Found")</f>
        <v>Amlodipine</v>
      </c>
      <c r="H101" s="1" cm="1">
        <f t="array" ref="H101">_xlfn.IFS(
OR(E101="Type 2 Diabetes",E101="Essential Hypertension",E101="Angina Pectoris",E101="Bronchial Asthma",E101="Cardiac Arrhythmia"), D101+30,
OR(E101="Gastritis",E101="Osteoarthritis",E101="Bronchitis",E101="Iron Deficiency Anemia"), D101+14,
OR(E101="Lumbar Strain",E101="Migraine Headache"), D101+7,
OR(E101="Viral Fever",E101="General Checkup","Routine Health Check"), "",
TRUE,""
)</f>
        <v>45759</v>
      </c>
      <c r="I101" s="1" t="str">
        <f t="shared" si="2"/>
        <v>Follow-up Scheduled</v>
      </c>
      <c r="J101" t="str">
        <f>TEXT(Table8[[#This Row],[visit_Date]],"DDDD")</f>
        <v>Thursday</v>
      </c>
      <c r="K101" t="str">
        <f>TEXT(Table8[[#This Row],[visit_Date]],"mmmm")</f>
        <v>March</v>
      </c>
      <c r="L101" t="str">
        <f t="shared" si="3"/>
        <v>Summer</v>
      </c>
    </row>
    <row r="102" spans="1:12" x14ac:dyDescent="0.25">
      <c r="A102">
        <v>101</v>
      </c>
      <c r="B102">
        <v>1001</v>
      </c>
      <c r="C102">
        <v>214</v>
      </c>
      <c r="D102" s="1">
        <v>45748</v>
      </c>
      <c r="E102" t="s">
        <v>319</v>
      </c>
      <c r="F102" t="s">
        <v>320</v>
      </c>
      <c r="G102" t="str">
        <f>_xlfn.XLOOKUP(TRIM(E103),MedicineInfo!A:A,MedicineInfo!B:B,"Not Found")</f>
        <v>Sumatriptan</v>
      </c>
      <c r="H102" s="1" cm="1">
        <f t="array" ref="H102">_xlfn.IFS(
OR(E102="Type 2 Diabetes",E102="Essential Hypertension",E102="Angina Pectoris",E102="Bronchial Asthma",E102="Cardiac Arrhythmia"), D102+30,
OR(E102="Gastritis",E102="Osteoarthritis",E102="Bronchitis",E102="Iron Deficiency Anemia"), D102+14,
OR(E102="Lumbar Strain",E102="Migraine Headache"), D102+7,
OR(E102="Viral Fever",E102="General Checkup","Routine Health Check"), "",
TRUE,""
)</f>
        <v>45778</v>
      </c>
      <c r="I102" s="1" t="str">
        <f t="shared" si="2"/>
        <v>Follow-up Scheduled</v>
      </c>
      <c r="J102" t="str">
        <f>TEXT(Table8[[#This Row],[visit_Date]],"DDDD")</f>
        <v>Tuesday</v>
      </c>
      <c r="K102" t="str">
        <f>TEXT(Table8[[#This Row],[visit_Date]],"mmmm")</f>
        <v>April</v>
      </c>
      <c r="L102" t="str">
        <f t="shared" si="3"/>
        <v>Summer</v>
      </c>
    </row>
    <row r="103" spans="1:12" x14ac:dyDescent="0.25">
      <c r="A103">
        <v>102</v>
      </c>
      <c r="B103">
        <v>1008</v>
      </c>
      <c r="C103">
        <v>1279</v>
      </c>
      <c r="D103" s="1">
        <v>45691</v>
      </c>
      <c r="E103" t="s">
        <v>315</v>
      </c>
      <c r="F103" t="s">
        <v>316</v>
      </c>
      <c r="G103" t="str">
        <f>_xlfn.XLOOKUP(TRIM(E104),MedicineInfo!A:A,MedicineInfo!B:B,"Not Found")</f>
        <v>Multivitamin</v>
      </c>
      <c r="H103" s="1" cm="1">
        <f t="array" ref="H103">_xlfn.IFS(
OR(E103="Type 2 Diabetes",E103="Essential Hypertension",E103="Angina Pectoris",E103="Bronchial Asthma",E103="Cardiac Arrhythmia"), D103+30,
OR(E103="Gastritis",E103="Osteoarthritis",E103="Bronchitis",E103="Iron Deficiency Anemia"), D103+14,
OR(E103="Lumbar Strain",E103="Migraine Headache"), D103+7,
OR(E103="Viral Fever",E103="General Checkup","Routine Health Check"), "",
TRUE,""
)</f>
        <v>45698</v>
      </c>
      <c r="I103" s="1" t="str">
        <f t="shared" si="2"/>
        <v>Follow-up Scheduled</v>
      </c>
      <c r="J103" t="str">
        <f>TEXT(Table8[[#This Row],[visit_Date]],"DDDD")</f>
        <v>Monday</v>
      </c>
      <c r="K103" t="str">
        <f>TEXT(Table8[[#This Row],[visit_Date]],"mmmm")</f>
        <v>February</v>
      </c>
      <c r="L103" t="str">
        <f t="shared" si="3"/>
        <v>Winter</v>
      </c>
    </row>
    <row r="104" spans="1:12" x14ac:dyDescent="0.25">
      <c r="A104">
        <v>103</v>
      </c>
      <c r="B104">
        <v>1027</v>
      </c>
      <c r="C104">
        <v>175</v>
      </c>
      <c r="D104" s="1">
        <v>45814</v>
      </c>
      <c r="E104" t="s">
        <v>24</v>
      </c>
      <c r="F104" t="s">
        <v>321</v>
      </c>
      <c r="G104" t="str">
        <f>_xlfn.XLOOKUP(TRIM(E105),MedicineInfo!A:A,MedicineInfo!B:B,"Not Found")</f>
        <v>Sumatriptan</v>
      </c>
      <c r="H104" s="1" t="str" cm="1">
        <f t="array" ref="H104">_xlfn.IFS(
OR(E104="Type 2 Diabetes",E104="Essential Hypertension",E104="Angina Pectoris",E104="Bronchial Asthma",E104="Cardiac Arrhythmia"), D104+30,
OR(E104="Gastritis",E104="Osteoarthritis",E104="Bronchitis",E104="Iron Deficiency Anemia"), D104+14,
OR(E104="Lumbar Strain",E104="Migraine Headache"), D104+7,
OR(E104="Viral Fever",E104="General Checkup","Routine Health Check"), "",
TRUE,""
)</f>
        <v/>
      </c>
      <c r="I104" s="1" t="str">
        <f t="shared" si="2"/>
        <v>No Follow-up Required</v>
      </c>
      <c r="J104" t="str">
        <f>TEXT(Table8[[#This Row],[visit_Date]],"DDDD")</f>
        <v>Friday</v>
      </c>
      <c r="K104" t="str">
        <f>TEXT(Table8[[#This Row],[visit_Date]],"mmmm")</f>
        <v>June</v>
      </c>
      <c r="L104" t="str">
        <f t="shared" si="3"/>
        <v>Monsoon</v>
      </c>
    </row>
    <row r="105" spans="1:12" x14ac:dyDescent="0.25">
      <c r="A105">
        <v>104</v>
      </c>
      <c r="B105">
        <v>1008</v>
      </c>
      <c r="C105">
        <v>1000</v>
      </c>
      <c r="D105" s="1">
        <v>45793</v>
      </c>
      <c r="E105" t="s">
        <v>315</v>
      </c>
      <c r="F105" t="s">
        <v>316</v>
      </c>
      <c r="G105" t="str">
        <f>_xlfn.XLOOKUP(TRIM(E106),MedicineInfo!A:A,MedicineInfo!B:B,"Not Found")</f>
        <v>Nitroglycerin</v>
      </c>
      <c r="H105" s="1" cm="1">
        <f t="array" ref="H105">_xlfn.IFS(
OR(E105="Type 2 Diabetes",E105="Essential Hypertension",E105="Angina Pectoris",E105="Bronchial Asthma",E105="Cardiac Arrhythmia"), D105+30,
OR(E105="Gastritis",E105="Osteoarthritis",E105="Bronchitis",E105="Iron Deficiency Anemia"), D105+14,
OR(E105="Lumbar Strain",E105="Migraine Headache"), D105+7,
OR(E105="Viral Fever",E105="General Checkup","Routine Health Check"), "",
TRUE,""
)</f>
        <v>45800</v>
      </c>
      <c r="I105" s="1" t="str">
        <f t="shared" si="2"/>
        <v>Follow-up Scheduled</v>
      </c>
      <c r="J105" t="str">
        <f>TEXT(Table8[[#This Row],[visit_Date]],"DDDD")</f>
        <v>Friday</v>
      </c>
      <c r="K105" t="str">
        <f>TEXT(Table8[[#This Row],[visit_Date]],"mmmm")</f>
        <v>May</v>
      </c>
      <c r="L105" t="str">
        <f t="shared" si="3"/>
        <v>Summer</v>
      </c>
    </row>
    <row r="106" spans="1:12" x14ac:dyDescent="0.25">
      <c r="A106">
        <v>105</v>
      </c>
      <c r="B106">
        <v>1027</v>
      </c>
      <c r="C106">
        <v>527</v>
      </c>
      <c r="D106" s="1">
        <v>45684</v>
      </c>
      <c r="E106" t="s">
        <v>322</v>
      </c>
      <c r="F106" t="s">
        <v>323</v>
      </c>
      <c r="G106" t="str">
        <f>_xlfn.XLOOKUP(TRIM(E107),MedicineInfo!A:A,MedicineInfo!B:B,"Not Found")</f>
        <v>Salbutamol Inhaler</v>
      </c>
      <c r="H106" s="1" cm="1">
        <f t="array" ref="H106">_xlfn.IFS(
OR(E106="Type 2 Diabetes",E106="Essential Hypertension",E106="Angina Pectoris",E106="Bronchial Asthma",E106="Cardiac Arrhythmia"), D106+30,
OR(E106="Gastritis",E106="Osteoarthritis",E106="Bronchitis",E106="Iron Deficiency Anemia"), D106+14,
OR(E106="Lumbar Strain",E106="Migraine Headache"), D106+7,
OR(E106="Viral Fever",E106="General Checkup","Routine Health Check"), "",
TRUE,""
)</f>
        <v>45714</v>
      </c>
      <c r="I106" s="1" t="str">
        <f t="shared" si="2"/>
        <v>Follow-up Scheduled</v>
      </c>
      <c r="J106" t="str">
        <f>TEXT(Table8[[#This Row],[visit_Date]],"DDDD")</f>
        <v>Monday</v>
      </c>
      <c r="K106" t="str">
        <f>TEXT(Table8[[#This Row],[visit_Date]],"mmmm")</f>
        <v>January</v>
      </c>
      <c r="L106" t="str">
        <f t="shared" si="3"/>
        <v>Winter</v>
      </c>
    </row>
    <row r="107" spans="1:12" x14ac:dyDescent="0.25">
      <c r="A107">
        <v>106</v>
      </c>
      <c r="B107">
        <v>1020</v>
      </c>
      <c r="C107">
        <v>1486</v>
      </c>
      <c r="D107" s="1">
        <v>45681</v>
      </c>
      <c r="E107" t="s">
        <v>324</v>
      </c>
      <c r="F107" t="s">
        <v>325</v>
      </c>
      <c r="G107" t="str">
        <f>_xlfn.XLOOKUP(TRIM(E108),MedicineInfo!A:A,MedicineInfo!B:B,"Not Found")</f>
        <v>Paracetamol</v>
      </c>
      <c r="H107" s="1" cm="1">
        <f t="array" ref="H107">_xlfn.IFS(
OR(E107="Type 2 Diabetes",E107="Essential Hypertension",E107="Angina Pectoris",E107="Bronchial Asthma",E107="Cardiac Arrhythmia"), D107+30,
OR(E107="Gastritis",E107="Osteoarthritis",E107="Bronchitis",E107="Iron Deficiency Anemia"), D107+14,
OR(E107="Lumbar Strain",E107="Migraine Headache"), D107+7,
OR(E107="Viral Fever",E107="General Checkup","Routine Health Check"), "",
TRUE,""
)</f>
        <v>45711</v>
      </c>
      <c r="I107" s="1" t="str">
        <f t="shared" si="2"/>
        <v>Follow-up Scheduled</v>
      </c>
      <c r="J107" t="str">
        <f>TEXT(Table8[[#This Row],[visit_Date]],"DDDD")</f>
        <v>Friday</v>
      </c>
      <c r="K107" t="str">
        <f>TEXT(Table8[[#This Row],[visit_Date]],"mmmm")</f>
        <v>January</v>
      </c>
      <c r="L107" t="str">
        <f t="shared" si="3"/>
        <v>Winter</v>
      </c>
    </row>
    <row r="108" spans="1:12" x14ac:dyDescent="0.25">
      <c r="A108">
        <v>107</v>
      </c>
      <c r="B108">
        <v>1027</v>
      </c>
      <c r="C108">
        <v>336</v>
      </c>
      <c r="D108" s="1">
        <v>45819</v>
      </c>
      <c r="E108" t="s">
        <v>326</v>
      </c>
      <c r="F108" t="s">
        <v>327</v>
      </c>
      <c r="G108" t="str">
        <f>_xlfn.XLOOKUP(TRIM(E109),MedicineInfo!A:A,MedicineInfo!B:B,"Not Found")</f>
        <v>Metformin</v>
      </c>
      <c r="H108" s="1" t="str" cm="1">
        <f t="array" ref="H108">_xlfn.IFS(
OR(E108="Type 2 Diabetes",E108="Essential Hypertension",E108="Angina Pectoris",E108="Bronchial Asthma",E108="Cardiac Arrhythmia"), D108+30,
OR(E108="Gastritis",E108="Osteoarthritis",E108="Bronchitis",E108="Iron Deficiency Anemia"), D108+14,
OR(E108="Lumbar Strain",E108="Migraine Headache"), D108+7,
OR(E108="Viral Fever",E108="General Checkup","Routine Health Check"), "",
TRUE,""
)</f>
        <v/>
      </c>
      <c r="I108" s="1" t="str">
        <f t="shared" si="2"/>
        <v>No Follow-up Required</v>
      </c>
      <c r="J108" t="str">
        <f>TEXT(Table8[[#This Row],[visit_Date]],"DDDD")</f>
        <v>Wednesday</v>
      </c>
      <c r="K108" t="str">
        <f>TEXT(Table8[[#This Row],[visit_Date]],"mmmm")</f>
        <v>June</v>
      </c>
      <c r="L108" t="str">
        <f t="shared" si="3"/>
        <v>Monsoon</v>
      </c>
    </row>
    <row r="109" spans="1:12" x14ac:dyDescent="0.25">
      <c r="A109">
        <v>108</v>
      </c>
      <c r="B109">
        <v>1024</v>
      </c>
      <c r="C109">
        <v>1038</v>
      </c>
      <c r="D109" s="1">
        <v>45825</v>
      </c>
      <c r="E109" t="s">
        <v>317</v>
      </c>
      <c r="F109" t="s">
        <v>318</v>
      </c>
      <c r="G109" t="str">
        <f>_xlfn.XLOOKUP(TRIM(E110),MedicineInfo!A:A,MedicineInfo!B:B,"Not Found")</f>
        <v>Multivitamin</v>
      </c>
      <c r="H109" s="1" cm="1">
        <f t="array" ref="H109">_xlfn.IFS(
OR(E109="Type 2 Diabetes",E109="Essential Hypertension",E109="Angina Pectoris",E109="Bronchial Asthma",E109="Cardiac Arrhythmia"), D109+30,
OR(E109="Gastritis",E109="Osteoarthritis",E109="Bronchitis",E109="Iron Deficiency Anemia"), D109+14,
OR(E109="Lumbar Strain",E109="Migraine Headache"), D109+7,
OR(E109="Viral Fever",E109="General Checkup","Routine Health Check"), "",
TRUE,""
)</f>
        <v>45855</v>
      </c>
      <c r="I109" s="1" t="str">
        <f t="shared" si="2"/>
        <v>Follow-up Scheduled</v>
      </c>
      <c r="J109" t="str">
        <f>TEXT(Table8[[#This Row],[visit_Date]],"DDDD")</f>
        <v>Tuesday</v>
      </c>
      <c r="K109" t="str">
        <f>TEXT(Table8[[#This Row],[visit_Date]],"mmmm")</f>
        <v>June</v>
      </c>
      <c r="L109" t="str">
        <f t="shared" si="3"/>
        <v>Monsoon</v>
      </c>
    </row>
    <row r="110" spans="1:12" x14ac:dyDescent="0.25">
      <c r="A110">
        <v>109</v>
      </c>
      <c r="B110">
        <v>1027</v>
      </c>
      <c r="C110">
        <v>1561</v>
      </c>
      <c r="D110" s="1">
        <v>45666</v>
      </c>
      <c r="E110" t="s">
        <v>24</v>
      </c>
      <c r="F110" t="s">
        <v>321</v>
      </c>
      <c r="G110" t="str">
        <f>_xlfn.XLOOKUP(TRIM(E111),MedicineInfo!A:A,MedicineInfo!B:B,"Not Found")</f>
        <v>Multivitamin</v>
      </c>
      <c r="H110" s="1" t="str" cm="1">
        <f t="array" ref="H110">_xlfn.IFS(
OR(E110="Type 2 Diabetes",E110="Essential Hypertension",E110="Angina Pectoris",E110="Bronchial Asthma",E110="Cardiac Arrhythmia"), D110+30,
OR(E110="Gastritis",E110="Osteoarthritis",E110="Bronchitis",E110="Iron Deficiency Anemia"), D110+14,
OR(E110="Lumbar Strain",E110="Migraine Headache"), D110+7,
OR(E110="Viral Fever",E110="General Checkup","Routine Health Check"), "",
TRUE,""
)</f>
        <v/>
      </c>
      <c r="I110" s="1" t="str">
        <f t="shared" si="2"/>
        <v>No Follow-up Required</v>
      </c>
      <c r="J110" t="str">
        <f>TEXT(Table8[[#This Row],[visit_Date]],"DDDD")</f>
        <v>Thursday</v>
      </c>
      <c r="K110" t="str">
        <f>TEXT(Table8[[#This Row],[visit_Date]],"mmmm")</f>
        <v>January</v>
      </c>
      <c r="L110" t="str">
        <f t="shared" si="3"/>
        <v>Winter</v>
      </c>
    </row>
    <row r="111" spans="1:12" x14ac:dyDescent="0.25">
      <c r="A111">
        <v>110</v>
      </c>
      <c r="B111">
        <v>1027</v>
      </c>
      <c r="C111">
        <v>1392</v>
      </c>
      <c r="D111" s="1">
        <v>45694</v>
      </c>
      <c r="E111" t="s">
        <v>24</v>
      </c>
      <c r="F111" t="s">
        <v>321</v>
      </c>
      <c r="G111" t="str">
        <f>_xlfn.XLOOKUP(TRIM(E112),MedicineInfo!A:A,MedicineInfo!B:B,"Not Found")</f>
        <v>Sumatriptan</v>
      </c>
      <c r="H111" s="1" t="str" cm="1">
        <f t="array" ref="H111">_xlfn.IFS(
OR(E111="Type 2 Diabetes",E111="Essential Hypertension",E111="Angina Pectoris",E111="Bronchial Asthma",E111="Cardiac Arrhythmia"), D111+30,
OR(E111="Gastritis",E111="Osteoarthritis",E111="Bronchitis",E111="Iron Deficiency Anemia"), D111+14,
OR(E111="Lumbar Strain",E111="Migraine Headache"), D111+7,
OR(E111="Viral Fever",E111="General Checkup","Routine Health Check"), "",
TRUE,""
)</f>
        <v/>
      </c>
      <c r="I111" s="1" t="str">
        <f t="shared" si="2"/>
        <v>No Follow-up Required</v>
      </c>
      <c r="J111" t="str">
        <f>TEXT(Table8[[#This Row],[visit_Date]],"DDDD")</f>
        <v>Thursday</v>
      </c>
      <c r="K111" t="str">
        <f>TEXT(Table8[[#This Row],[visit_Date]],"mmmm")</f>
        <v>February</v>
      </c>
      <c r="L111" t="str">
        <f t="shared" si="3"/>
        <v>Winter</v>
      </c>
    </row>
    <row r="112" spans="1:12" x14ac:dyDescent="0.25">
      <c r="A112">
        <v>111</v>
      </c>
      <c r="B112">
        <v>1008</v>
      </c>
      <c r="C112">
        <v>240</v>
      </c>
      <c r="D112" s="1">
        <v>45658</v>
      </c>
      <c r="E112" t="s">
        <v>315</v>
      </c>
      <c r="F112" t="s">
        <v>316</v>
      </c>
      <c r="G112" t="str">
        <f>_xlfn.XLOOKUP(TRIM(E113),MedicineInfo!A:A,MedicineInfo!B:B,"Not Found")</f>
        <v>Nitroglycerin</v>
      </c>
      <c r="H112" s="1" cm="1">
        <f t="array" ref="H112">_xlfn.IFS(
OR(E112="Type 2 Diabetes",E112="Essential Hypertension",E112="Angina Pectoris",E112="Bronchial Asthma",E112="Cardiac Arrhythmia"), D112+30,
OR(E112="Gastritis",E112="Osteoarthritis",E112="Bronchitis",E112="Iron Deficiency Anemia"), D112+14,
OR(E112="Lumbar Strain",E112="Migraine Headache"), D112+7,
OR(E112="Viral Fever",E112="General Checkup","Routine Health Check"), "",
TRUE,""
)</f>
        <v>45665</v>
      </c>
      <c r="I112" s="1" t="str">
        <f t="shared" si="2"/>
        <v>Follow-up Scheduled</v>
      </c>
      <c r="J112" t="str">
        <f>TEXT(Table8[[#This Row],[visit_Date]],"DDDD")</f>
        <v>Wednesday</v>
      </c>
      <c r="K112" t="str">
        <f>TEXT(Table8[[#This Row],[visit_Date]],"mmmm")</f>
        <v>January</v>
      </c>
      <c r="L112" t="str">
        <f t="shared" si="3"/>
        <v>Winter</v>
      </c>
    </row>
    <row r="113" spans="1:12" x14ac:dyDescent="0.25">
      <c r="A113">
        <v>112</v>
      </c>
      <c r="B113">
        <v>1027</v>
      </c>
      <c r="C113">
        <v>805</v>
      </c>
      <c r="D113" s="1">
        <v>45789</v>
      </c>
      <c r="E113" t="s">
        <v>322</v>
      </c>
      <c r="F113" t="s">
        <v>323</v>
      </c>
      <c r="G113" t="str">
        <f>_xlfn.XLOOKUP(TRIM(E114),MedicineInfo!A:A,MedicineInfo!B:B,"Not Found")</f>
        <v>Nitroglycerin</v>
      </c>
      <c r="H113" s="1" cm="1">
        <f t="array" ref="H113">_xlfn.IFS(
OR(E113="Type 2 Diabetes",E113="Essential Hypertension",E113="Angina Pectoris",E113="Bronchial Asthma",E113="Cardiac Arrhythmia"), D113+30,
OR(E113="Gastritis",E113="Osteoarthritis",E113="Bronchitis",E113="Iron Deficiency Anemia"), D113+14,
OR(E113="Lumbar Strain",E113="Migraine Headache"), D113+7,
OR(E113="Viral Fever",E113="General Checkup","Routine Health Check"), "",
TRUE,""
)</f>
        <v>45819</v>
      </c>
      <c r="I113" s="1" t="str">
        <f t="shared" si="2"/>
        <v>Follow-up Scheduled</v>
      </c>
      <c r="J113" t="str">
        <f>TEXT(Table8[[#This Row],[visit_Date]],"DDDD")</f>
        <v>Monday</v>
      </c>
      <c r="K113" t="str">
        <f>TEXT(Table8[[#This Row],[visit_Date]],"mmmm")</f>
        <v>May</v>
      </c>
      <c r="L113" t="str">
        <f t="shared" si="3"/>
        <v>Summer</v>
      </c>
    </row>
    <row r="114" spans="1:12" x14ac:dyDescent="0.25">
      <c r="A114">
        <v>113</v>
      </c>
      <c r="B114">
        <v>1027</v>
      </c>
      <c r="C114">
        <v>514</v>
      </c>
      <c r="D114" s="1">
        <v>45691</v>
      </c>
      <c r="E114" t="s">
        <v>322</v>
      </c>
      <c r="F114" t="s">
        <v>323</v>
      </c>
      <c r="G114" t="str">
        <f>_xlfn.XLOOKUP(TRIM(E115),MedicineInfo!A:A,MedicineInfo!B:B,"Not Found")</f>
        <v>Metformin</v>
      </c>
      <c r="H114" s="1" cm="1">
        <f t="array" ref="H114">_xlfn.IFS(
OR(E114="Type 2 Diabetes",E114="Essential Hypertension",E114="Angina Pectoris",E114="Bronchial Asthma",E114="Cardiac Arrhythmia"), D114+30,
OR(E114="Gastritis",E114="Osteoarthritis",E114="Bronchitis",E114="Iron Deficiency Anemia"), D114+14,
OR(E114="Lumbar Strain",E114="Migraine Headache"), D114+7,
OR(E114="Viral Fever",E114="General Checkup","Routine Health Check"), "",
TRUE,""
)</f>
        <v>45721</v>
      </c>
      <c r="I114" s="1" t="str">
        <f t="shared" si="2"/>
        <v>Follow-up Scheduled</v>
      </c>
      <c r="J114" t="str">
        <f>TEXT(Table8[[#This Row],[visit_Date]],"DDDD")</f>
        <v>Monday</v>
      </c>
      <c r="K114" t="str">
        <f>TEXT(Table8[[#This Row],[visit_Date]],"mmmm")</f>
        <v>February</v>
      </c>
      <c r="L114" t="str">
        <f t="shared" si="3"/>
        <v>Winter</v>
      </c>
    </row>
    <row r="115" spans="1:12" x14ac:dyDescent="0.25">
      <c r="A115">
        <v>114</v>
      </c>
      <c r="B115">
        <v>1024</v>
      </c>
      <c r="C115">
        <v>1222</v>
      </c>
      <c r="D115" s="1">
        <v>45724</v>
      </c>
      <c r="E115" t="s">
        <v>317</v>
      </c>
      <c r="F115" t="s">
        <v>318</v>
      </c>
      <c r="G115" t="str">
        <f>_xlfn.XLOOKUP(TRIM(E116),MedicineInfo!A:A,MedicineInfo!B:B,"Not Found")</f>
        <v>Salbutamol Inhaler</v>
      </c>
      <c r="H115" s="1" cm="1">
        <f t="array" ref="H115">_xlfn.IFS(
OR(E115="Type 2 Diabetes",E115="Essential Hypertension",E115="Angina Pectoris",E115="Bronchial Asthma",E115="Cardiac Arrhythmia"), D115+30,
OR(E115="Gastritis",E115="Osteoarthritis",E115="Bronchitis",E115="Iron Deficiency Anemia"), D115+14,
OR(E115="Lumbar Strain",E115="Migraine Headache"), D115+7,
OR(E115="Viral Fever",E115="General Checkup","Routine Health Check"), "",
TRUE,""
)</f>
        <v>45754</v>
      </c>
      <c r="I115" s="1" t="str">
        <f t="shared" si="2"/>
        <v>Follow-up Scheduled</v>
      </c>
      <c r="J115" t="str">
        <f>TEXT(Table8[[#This Row],[visit_Date]],"DDDD")</f>
        <v>Saturday</v>
      </c>
      <c r="K115" t="str">
        <f>TEXT(Table8[[#This Row],[visit_Date]],"mmmm")</f>
        <v>March</v>
      </c>
      <c r="L115" t="str">
        <f t="shared" si="3"/>
        <v>Summer</v>
      </c>
    </row>
    <row r="116" spans="1:12" x14ac:dyDescent="0.25">
      <c r="A116">
        <v>115</v>
      </c>
      <c r="B116">
        <v>1020</v>
      </c>
      <c r="C116">
        <v>1587</v>
      </c>
      <c r="D116" s="1">
        <v>45792</v>
      </c>
      <c r="E116" t="s">
        <v>324</v>
      </c>
      <c r="F116" t="s">
        <v>325</v>
      </c>
      <c r="G116" t="str">
        <f>_xlfn.XLOOKUP(TRIM(E117),MedicineInfo!A:A,MedicineInfo!B:B,"Not Found")</f>
        <v>Multivitamin</v>
      </c>
      <c r="H116" s="1" cm="1">
        <f t="array" ref="H116">_xlfn.IFS(
OR(E116="Type 2 Diabetes",E116="Essential Hypertension",E116="Angina Pectoris",E116="Bronchial Asthma",E116="Cardiac Arrhythmia"), D116+30,
OR(E116="Gastritis",E116="Osteoarthritis",E116="Bronchitis",E116="Iron Deficiency Anemia"), D116+14,
OR(E116="Lumbar Strain",E116="Migraine Headache"), D116+7,
OR(E116="Viral Fever",E116="General Checkup","Routine Health Check"), "",
TRUE,""
)</f>
        <v>45822</v>
      </c>
      <c r="I116" s="1" t="str">
        <f t="shared" si="2"/>
        <v>Follow-up Scheduled</v>
      </c>
      <c r="J116" t="str">
        <f>TEXT(Table8[[#This Row],[visit_Date]],"DDDD")</f>
        <v>Thursday</v>
      </c>
      <c r="K116" t="str">
        <f>TEXT(Table8[[#This Row],[visit_Date]],"mmmm")</f>
        <v>May</v>
      </c>
      <c r="L116" t="str">
        <f t="shared" si="3"/>
        <v>Summer</v>
      </c>
    </row>
    <row r="117" spans="1:12" x14ac:dyDescent="0.25">
      <c r="A117">
        <v>116</v>
      </c>
      <c r="B117">
        <v>1027</v>
      </c>
      <c r="C117">
        <v>1592</v>
      </c>
      <c r="D117" s="1">
        <v>45720</v>
      </c>
      <c r="E117" t="s">
        <v>24</v>
      </c>
      <c r="F117" t="s">
        <v>321</v>
      </c>
      <c r="G117" t="str">
        <f>_xlfn.XLOOKUP(TRIM(E118),MedicineInfo!A:A,MedicineInfo!B:B,"Not Found")</f>
        <v>Salbutamol Inhaler</v>
      </c>
      <c r="H117" s="1" t="str" cm="1">
        <f t="array" ref="H117">_xlfn.IFS(
OR(E117="Type 2 Diabetes",E117="Essential Hypertension",E117="Angina Pectoris",E117="Bronchial Asthma",E117="Cardiac Arrhythmia"), D117+30,
OR(E117="Gastritis",E117="Osteoarthritis",E117="Bronchitis",E117="Iron Deficiency Anemia"), D117+14,
OR(E117="Lumbar Strain",E117="Migraine Headache"), D117+7,
OR(E117="Viral Fever",E117="General Checkup","Routine Health Check"), "",
TRUE,""
)</f>
        <v/>
      </c>
      <c r="I117" s="1" t="str">
        <f t="shared" si="2"/>
        <v>No Follow-up Required</v>
      </c>
      <c r="J117" t="str">
        <f>TEXT(Table8[[#This Row],[visit_Date]],"DDDD")</f>
        <v>Tuesday</v>
      </c>
      <c r="K117" t="str">
        <f>TEXT(Table8[[#This Row],[visit_Date]],"mmmm")</f>
        <v>March</v>
      </c>
      <c r="L117" t="str">
        <f t="shared" si="3"/>
        <v>Summer</v>
      </c>
    </row>
    <row r="118" spans="1:12" x14ac:dyDescent="0.25">
      <c r="A118">
        <v>117</v>
      </c>
      <c r="B118">
        <v>1020</v>
      </c>
      <c r="C118">
        <v>1281</v>
      </c>
      <c r="D118" s="1">
        <v>45804</v>
      </c>
      <c r="E118" t="s">
        <v>324</v>
      </c>
      <c r="F118" t="s">
        <v>325</v>
      </c>
      <c r="G118" t="str">
        <f>_xlfn.XLOOKUP(TRIM(E119),MedicineInfo!A:A,MedicineInfo!B:B,"Not Found")</f>
        <v>Multivitamin</v>
      </c>
      <c r="H118" s="1" cm="1">
        <f t="array" ref="H118">_xlfn.IFS(
OR(E118="Type 2 Diabetes",E118="Essential Hypertension",E118="Angina Pectoris",E118="Bronchial Asthma",E118="Cardiac Arrhythmia"), D118+30,
OR(E118="Gastritis",E118="Osteoarthritis",E118="Bronchitis",E118="Iron Deficiency Anemia"), D118+14,
OR(E118="Lumbar Strain",E118="Migraine Headache"), D118+7,
OR(E118="Viral Fever",E118="General Checkup","Routine Health Check"), "",
TRUE,""
)</f>
        <v>45834</v>
      </c>
      <c r="I118" s="1" t="str">
        <f t="shared" si="2"/>
        <v>Follow-up Scheduled</v>
      </c>
      <c r="J118" t="str">
        <f>TEXT(Table8[[#This Row],[visit_Date]],"DDDD")</f>
        <v>Tuesday</v>
      </c>
      <c r="K118" t="str">
        <f>TEXT(Table8[[#This Row],[visit_Date]],"mmmm")</f>
        <v>May</v>
      </c>
      <c r="L118" t="str">
        <f t="shared" si="3"/>
        <v>Summer</v>
      </c>
    </row>
    <row r="119" spans="1:12" x14ac:dyDescent="0.25">
      <c r="A119">
        <v>118</v>
      </c>
      <c r="B119">
        <v>1027</v>
      </c>
      <c r="C119">
        <v>1068</v>
      </c>
      <c r="D119" s="1">
        <v>45710</v>
      </c>
      <c r="E119" t="s">
        <v>24</v>
      </c>
      <c r="F119" t="s">
        <v>321</v>
      </c>
      <c r="G119" t="str">
        <f>_xlfn.XLOOKUP(TRIM(E120),MedicineInfo!A:A,MedicineInfo!B:B,"Not Found")</f>
        <v>Multivitamin</v>
      </c>
      <c r="H119" s="1" t="str" cm="1">
        <f t="array" ref="H119">_xlfn.IFS(
OR(E119="Type 2 Diabetes",E119="Essential Hypertension",E119="Angina Pectoris",E119="Bronchial Asthma",E119="Cardiac Arrhythmia"), D119+30,
OR(E119="Gastritis",E119="Osteoarthritis",E119="Bronchitis",E119="Iron Deficiency Anemia"), D119+14,
OR(E119="Lumbar Strain",E119="Migraine Headache"), D119+7,
OR(E119="Viral Fever",E119="General Checkup","Routine Health Check"), "",
TRUE,""
)</f>
        <v/>
      </c>
      <c r="I119" s="1" t="str">
        <f t="shared" si="2"/>
        <v>No Follow-up Required</v>
      </c>
      <c r="J119" t="str">
        <f>TEXT(Table8[[#This Row],[visit_Date]],"DDDD")</f>
        <v>Saturday</v>
      </c>
      <c r="K119" t="str">
        <f>TEXT(Table8[[#This Row],[visit_Date]],"mmmm")</f>
        <v>February</v>
      </c>
      <c r="L119" t="str">
        <f t="shared" si="3"/>
        <v>Winter</v>
      </c>
    </row>
    <row r="120" spans="1:12" x14ac:dyDescent="0.25">
      <c r="A120">
        <v>119</v>
      </c>
      <c r="B120">
        <v>1027</v>
      </c>
      <c r="C120">
        <v>545</v>
      </c>
      <c r="D120" s="1">
        <v>45758</v>
      </c>
      <c r="E120" t="s">
        <v>24</v>
      </c>
      <c r="F120" t="s">
        <v>321</v>
      </c>
      <c r="G120" t="str">
        <f>_xlfn.XLOOKUP(TRIM(E121),MedicineInfo!A:A,MedicineInfo!B:B,"Not Found")</f>
        <v>Metformin</v>
      </c>
      <c r="H120" s="1" t="str" cm="1">
        <f t="array" ref="H120">_xlfn.IFS(
OR(E120="Type 2 Diabetes",E120="Essential Hypertension",E120="Angina Pectoris",E120="Bronchial Asthma",E120="Cardiac Arrhythmia"), D120+30,
OR(E120="Gastritis",E120="Osteoarthritis",E120="Bronchitis",E120="Iron Deficiency Anemia"), D120+14,
OR(E120="Lumbar Strain",E120="Migraine Headache"), D120+7,
OR(E120="Viral Fever",E120="General Checkup","Routine Health Check"), "",
TRUE,""
)</f>
        <v/>
      </c>
      <c r="I120" s="1" t="str">
        <f t="shared" si="2"/>
        <v>No Follow-up Required</v>
      </c>
      <c r="J120" t="str">
        <f>TEXT(Table8[[#This Row],[visit_Date]],"DDDD")</f>
        <v>Friday</v>
      </c>
      <c r="K120" t="str">
        <f>TEXT(Table8[[#This Row],[visit_Date]],"mmmm")</f>
        <v>April</v>
      </c>
      <c r="L120" t="str">
        <f t="shared" si="3"/>
        <v>Summer</v>
      </c>
    </row>
    <row r="121" spans="1:12" x14ac:dyDescent="0.25">
      <c r="A121">
        <v>120</v>
      </c>
      <c r="B121">
        <v>1024</v>
      </c>
      <c r="C121">
        <v>229</v>
      </c>
      <c r="D121" s="1">
        <v>45792</v>
      </c>
      <c r="E121" t="s">
        <v>317</v>
      </c>
      <c r="F121" t="s">
        <v>318</v>
      </c>
      <c r="G121" t="str">
        <f>_xlfn.XLOOKUP(TRIM(E122),MedicineInfo!A:A,MedicineInfo!B:B,"Not Found")</f>
        <v>Multivitamin</v>
      </c>
      <c r="H121" s="1" cm="1">
        <f t="array" ref="H121">_xlfn.IFS(
OR(E121="Type 2 Diabetes",E121="Essential Hypertension",E121="Angina Pectoris",E121="Bronchial Asthma",E121="Cardiac Arrhythmia"), D121+30,
OR(E121="Gastritis",E121="Osteoarthritis",E121="Bronchitis",E121="Iron Deficiency Anemia"), D121+14,
OR(E121="Lumbar Strain",E121="Migraine Headache"), D121+7,
OR(E121="Viral Fever",E121="General Checkup","Routine Health Check"), "",
TRUE,""
)</f>
        <v>45822</v>
      </c>
      <c r="I121" s="1" t="str">
        <f t="shared" si="2"/>
        <v>Follow-up Scheduled</v>
      </c>
      <c r="J121" t="str">
        <f>TEXT(Table8[[#This Row],[visit_Date]],"DDDD")</f>
        <v>Thursday</v>
      </c>
      <c r="K121" t="str">
        <f>TEXT(Table8[[#This Row],[visit_Date]],"mmmm")</f>
        <v>May</v>
      </c>
      <c r="L121" t="str">
        <f t="shared" si="3"/>
        <v>Summer</v>
      </c>
    </row>
    <row r="122" spans="1:12" x14ac:dyDescent="0.25">
      <c r="A122">
        <v>121</v>
      </c>
      <c r="B122">
        <v>1027</v>
      </c>
      <c r="C122">
        <v>1412</v>
      </c>
      <c r="D122" s="1">
        <v>45814</v>
      </c>
      <c r="E122" t="s">
        <v>24</v>
      </c>
      <c r="F122" t="s">
        <v>321</v>
      </c>
      <c r="G122" t="str">
        <f>_xlfn.XLOOKUP(TRIM(E123),MedicineInfo!A:A,MedicineInfo!B:B,"Not Found")</f>
        <v>Paracetamol</v>
      </c>
      <c r="H122" s="1" t="str" cm="1">
        <f t="array" ref="H122">_xlfn.IFS(
OR(E122="Type 2 Diabetes",E122="Essential Hypertension",E122="Angina Pectoris",E122="Bronchial Asthma",E122="Cardiac Arrhythmia"), D122+30,
OR(E122="Gastritis",E122="Osteoarthritis",E122="Bronchitis",E122="Iron Deficiency Anemia"), D122+14,
OR(E122="Lumbar Strain",E122="Migraine Headache"), D122+7,
OR(E122="Viral Fever",E122="General Checkup","Routine Health Check"), "",
TRUE,""
)</f>
        <v/>
      </c>
      <c r="I122" s="1" t="str">
        <f t="shared" si="2"/>
        <v>No Follow-up Required</v>
      </c>
      <c r="J122" t="str">
        <f>TEXT(Table8[[#This Row],[visit_Date]],"DDDD")</f>
        <v>Friday</v>
      </c>
      <c r="K122" t="str">
        <f>TEXT(Table8[[#This Row],[visit_Date]],"mmmm")</f>
        <v>June</v>
      </c>
      <c r="L122" t="str">
        <f t="shared" si="3"/>
        <v>Monsoon</v>
      </c>
    </row>
    <row r="123" spans="1:12" x14ac:dyDescent="0.25">
      <c r="A123">
        <v>122</v>
      </c>
      <c r="B123">
        <v>1027</v>
      </c>
      <c r="C123">
        <v>1101</v>
      </c>
      <c r="D123" s="1">
        <v>45686</v>
      </c>
      <c r="E123" t="s">
        <v>326</v>
      </c>
      <c r="F123" t="s">
        <v>327</v>
      </c>
      <c r="G123" t="str">
        <f>_xlfn.XLOOKUP(TRIM(E124),MedicineInfo!A:A,MedicineInfo!B:B,"Not Found")</f>
        <v>Nitroglycerin</v>
      </c>
      <c r="H123" s="1" t="str" cm="1">
        <f t="array" ref="H123">_xlfn.IFS(
OR(E123="Type 2 Diabetes",E123="Essential Hypertension",E123="Angina Pectoris",E123="Bronchial Asthma",E123="Cardiac Arrhythmia"), D123+30,
OR(E123="Gastritis",E123="Osteoarthritis",E123="Bronchitis",E123="Iron Deficiency Anemia"), D123+14,
OR(E123="Lumbar Strain",E123="Migraine Headache"), D123+7,
OR(E123="Viral Fever",E123="General Checkup","Routine Health Check"), "",
TRUE,""
)</f>
        <v/>
      </c>
      <c r="I123" s="1" t="str">
        <f t="shared" si="2"/>
        <v>No Follow-up Required</v>
      </c>
      <c r="J123" t="str">
        <f>TEXT(Table8[[#This Row],[visit_Date]],"DDDD")</f>
        <v>Wednesday</v>
      </c>
      <c r="K123" t="str">
        <f>TEXT(Table8[[#This Row],[visit_Date]],"mmmm")</f>
        <v>January</v>
      </c>
      <c r="L123" t="str">
        <f t="shared" si="3"/>
        <v>Winter</v>
      </c>
    </row>
    <row r="124" spans="1:12" x14ac:dyDescent="0.25">
      <c r="A124">
        <v>123</v>
      </c>
      <c r="B124">
        <v>1027</v>
      </c>
      <c r="C124">
        <v>402</v>
      </c>
      <c r="D124" s="1">
        <v>45830</v>
      </c>
      <c r="E124" t="s">
        <v>322</v>
      </c>
      <c r="F124" t="s">
        <v>323</v>
      </c>
      <c r="G124" t="str">
        <f>_xlfn.XLOOKUP(TRIM(E125),MedicineInfo!A:A,MedicineInfo!B:B,"Not Found")</f>
        <v>Diclofenac</v>
      </c>
      <c r="H124" s="1" cm="1">
        <f t="array" ref="H124">_xlfn.IFS(
OR(E124="Type 2 Diabetes",E124="Essential Hypertension",E124="Angina Pectoris",E124="Bronchial Asthma",E124="Cardiac Arrhythmia"), D124+30,
OR(E124="Gastritis",E124="Osteoarthritis",E124="Bronchitis",E124="Iron Deficiency Anemia"), D124+14,
OR(E124="Lumbar Strain",E124="Migraine Headache"), D124+7,
OR(E124="Viral Fever",E124="General Checkup","Routine Health Check"), "",
TRUE,""
)</f>
        <v>45860</v>
      </c>
      <c r="I124" s="1" t="str">
        <f t="shared" si="2"/>
        <v>Follow-up Scheduled</v>
      </c>
      <c r="J124" t="str">
        <f>TEXT(Table8[[#This Row],[visit_Date]],"DDDD")</f>
        <v>Sunday</v>
      </c>
      <c r="K124" t="str">
        <f>TEXT(Table8[[#This Row],[visit_Date]],"mmmm")</f>
        <v>June</v>
      </c>
      <c r="L124" t="str">
        <f t="shared" si="3"/>
        <v>Monsoon</v>
      </c>
    </row>
    <row r="125" spans="1:12" x14ac:dyDescent="0.25">
      <c r="A125">
        <v>124</v>
      </c>
      <c r="B125">
        <v>1027</v>
      </c>
      <c r="C125">
        <v>235</v>
      </c>
      <c r="D125" s="1">
        <v>45694</v>
      </c>
      <c r="E125" t="s">
        <v>313</v>
      </c>
      <c r="F125" t="s">
        <v>314</v>
      </c>
      <c r="G125" t="str">
        <f>_xlfn.XLOOKUP(TRIM(E126),MedicineInfo!A:A,MedicineInfo!B:B,"Not Found")</f>
        <v>Multivitamin</v>
      </c>
      <c r="H125" s="1" cm="1">
        <f t="array" ref="H125">_xlfn.IFS(
OR(E125="Type 2 Diabetes",E125="Essential Hypertension",E125="Angina Pectoris",E125="Bronchial Asthma",E125="Cardiac Arrhythmia"), D125+30,
OR(E125="Gastritis",E125="Osteoarthritis",E125="Bronchitis",E125="Iron Deficiency Anemia"), D125+14,
OR(E125="Lumbar Strain",E125="Migraine Headache"), D125+7,
OR(E125="Viral Fever",E125="General Checkup","Routine Health Check"), "",
TRUE,""
)</f>
        <v>45701</v>
      </c>
      <c r="I125" s="1" t="str">
        <f t="shared" si="2"/>
        <v>Follow-up Scheduled</v>
      </c>
      <c r="J125" t="str">
        <f>TEXT(Table8[[#This Row],[visit_Date]],"DDDD")</f>
        <v>Thursday</v>
      </c>
      <c r="K125" t="str">
        <f>TEXT(Table8[[#This Row],[visit_Date]],"mmmm")</f>
        <v>February</v>
      </c>
      <c r="L125" t="str">
        <f t="shared" si="3"/>
        <v>Winter</v>
      </c>
    </row>
    <row r="126" spans="1:12" x14ac:dyDescent="0.25">
      <c r="A126">
        <v>125</v>
      </c>
      <c r="B126">
        <v>1027</v>
      </c>
      <c r="C126">
        <v>757</v>
      </c>
      <c r="D126" s="1">
        <v>45664</v>
      </c>
      <c r="E126" t="s">
        <v>24</v>
      </c>
      <c r="F126" t="s">
        <v>321</v>
      </c>
      <c r="G126" t="str">
        <f>_xlfn.XLOOKUP(TRIM(E127),MedicineInfo!A:A,MedicineInfo!B:B,"Not Found")</f>
        <v>Multivitamin</v>
      </c>
      <c r="H126" s="1" t="str" cm="1">
        <f t="array" ref="H126">_xlfn.IFS(
OR(E126="Type 2 Diabetes",E126="Essential Hypertension",E126="Angina Pectoris",E126="Bronchial Asthma",E126="Cardiac Arrhythmia"), D126+30,
OR(E126="Gastritis",E126="Osteoarthritis",E126="Bronchitis",E126="Iron Deficiency Anemia"), D126+14,
OR(E126="Lumbar Strain",E126="Migraine Headache"), D126+7,
OR(E126="Viral Fever",E126="General Checkup","Routine Health Check"), "",
TRUE,""
)</f>
        <v/>
      </c>
      <c r="I126" s="1" t="str">
        <f t="shared" si="2"/>
        <v>No Follow-up Required</v>
      </c>
      <c r="J126" t="str">
        <f>TEXT(Table8[[#This Row],[visit_Date]],"DDDD")</f>
        <v>Tuesday</v>
      </c>
      <c r="K126" t="str">
        <f>TEXT(Table8[[#This Row],[visit_Date]],"mmmm")</f>
        <v>January</v>
      </c>
      <c r="L126" t="str">
        <f t="shared" si="3"/>
        <v>Winter</v>
      </c>
    </row>
    <row r="127" spans="1:12" x14ac:dyDescent="0.25">
      <c r="A127">
        <v>126</v>
      </c>
      <c r="B127">
        <v>1027</v>
      </c>
      <c r="C127">
        <v>765</v>
      </c>
      <c r="D127" s="1">
        <v>45672</v>
      </c>
      <c r="E127" t="s">
        <v>24</v>
      </c>
      <c r="F127" t="s">
        <v>321</v>
      </c>
      <c r="G127" t="str">
        <f>_xlfn.XLOOKUP(TRIM(E128),MedicineInfo!A:A,MedicineInfo!B:B,"Not Found")</f>
        <v>Nitroglycerin</v>
      </c>
      <c r="H127" s="1" t="str" cm="1">
        <f t="array" ref="H127">_xlfn.IFS(
OR(E127="Type 2 Diabetes",E127="Essential Hypertension",E127="Angina Pectoris",E127="Bronchial Asthma",E127="Cardiac Arrhythmia"), D127+30,
OR(E127="Gastritis",E127="Osteoarthritis",E127="Bronchitis",E127="Iron Deficiency Anemia"), D127+14,
OR(E127="Lumbar Strain",E127="Migraine Headache"), D127+7,
OR(E127="Viral Fever",E127="General Checkup","Routine Health Check"), "",
TRUE,""
)</f>
        <v/>
      </c>
      <c r="I127" s="1" t="str">
        <f t="shared" si="2"/>
        <v>No Follow-up Required</v>
      </c>
      <c r="J127" t="str">
        <f>TEXT(Table8[[#This Row],[visit_Date]],"DDDD")</f>
        <v>Wednesday</v>
      </c>
      <c r="K127" t="str">
        <f>TEXT(Table8[[#This Row],[visit_Date]],"mmmm")</f>
        <v>January</v>
      </c>
      <c r="L127" t="str">
        <f t="shared" si="3"/>
        <v>Winter</v>
      </c>
    </row>
    <row r="128" spans="1:12" x14ac:dyDescent="0.25">
      <c r="A128">
        <v>127</v>
      </c>
      <c r="B128">
        <v>1001</v>
      </c>
      <c r="C128">
        <v>202</v>
      </c>
      <c r="D128" s="1">
        <v>45769</v>
      </c>
      <c r="E128" t="s">
        <v>322</v>
      </c>
      <c r="F128" t="s">
        <v>323</v>
      </c>
      <c r="G128" t="str">
        <f>_xlfn.XLOOKUP(TRIM(E129),MedicineInfo!A:A,MedicineInfo!B:B,"Not Found")</f>
        <v>Sumatriptan</v>
      </c>
      <c r="H128" s="1" cm="1">
        <f t="array" ref="H128">_xlfn.IFS(
OR(E128="Type 2 Diabetes",E128="Essential Hypertension",E128="Angina Pectoris",E128="Bronchial Asthma",E128="Cardiac Arrhythmia"), D128+30,
OR(E128="Gastritis",E128="Osteoarthritis",E128="Bronchitis",E128="Iron Deficiency Anemia"), D128+14,
OR(E128="Lumbar Strain",E128="Migraine Headache"), D128+7,
OR(E128="Viral Fever",E128="General Checkup","Routine Health Check"), "",
TRUE,""
)</f>
        <v>45799</v>
      </c>
      <c r="I128" s="1" t="str">
        <f t="shared" si="2"/>
        <v>Follow-up Scheduled</v>
      </c>
      <c r="J128" t="str">
        <f>TEXT(Table8[[#This Row],[visit_Date]],"DDDD")</f>
        <v>Tuesday</v>
      </c>
      <c r="K128" t="str">
        <f>TEXT(Table8[[#This Row],[visit_Date]],"mmmm")</f>
        <v>April</v>
      </c>
      <c r="L128" t="str">
        <f t="shared" si="3"/>
        <v>Summer</v>
      </c>
    </row>
    <row r="129" spans="1:12" x14ac:dyDescent="0.25">
      <c r="A129">
        <v>128</v>
      </c>
      <c r="B129">
        <v>1009</v>
      </c>
      <c r="C129">
        <v>1561</v>
      </c>
      <c r="D129" s="1">
        <v>45791</v>
      </c>
      <c r="E129" t="s">
        <v>315</v>
      </c>
      <c r="F129" t="s">
        <v>316</v>
      </c>
      <c r="G129" t="str">
        <f>_xlfn.XLOOKUP(TRIM(E130),MedicineInfo!A:A,MedicineInfo!B:B,"Not Found")</f>
        <v>Multivitamin</v>
      </c>
      <c r="H129" s="1" cm="1">
        <f t="array" ref="H129">_xlfn.IFS(
OR(E129="Type 2 Diabetes",E129="Essential Hypertension",E129="Angina Pectoris",E129="Bronchial Asthma",E129="Cardiac Arrhythmia"), D129+30,
OR(E129="Gastritis",E129="Osteoarthritis",E129="Bronchitis",E129="Iron Deficiency Anemia"), D129+14,
OR(E129="Lumbar Strain",E129="Migraine Headache"), D129+7,
OR(E129="Viral Fever",E129="General Checkup","Routine Health Check"), "",
TRUE,""
)</f>
        <v>45798</v>
      </c>
      <c r="I129" s="1" t="str">
        <f t="shared" si="2"/>
        <v>Follow-up Scheduled</v>
      </c>
      <c r="J129" t="str">
        <f>TEXT(Table8[[#This Row],[visit_Date]],"DDDD")</f>
        <v>Wednesday</v>
      </c>
      <c r="K129" t="str">
        <f>TEXT(Table8[[#This Row],[visit_Date]],"mmmm")</f>
        <v>May</v>
      </c>
      <c r="L129" t="str">
        <f t="shared" si="3"/>
        <v>Summer</v>
      </c>
    </row>
    <row r="130" spans="1:12" x14ac:dyDescent="0.25">
      <c r="A130">
        <v>129</v>
      </c>
      <c r="B130">
        <v>1027</v>
      </c>
      <c r="C130">
        <v>1184</v>
      </c>
      <c r="D130" s="1">
        <v>45792</v>
      </c>
      <c r="E130" t="s">
        <v>24</v>
      </c>
      <c r="F130" t="s">
        <v>321</v>
      </c>
      <c r="G130" t="str">
        <f>_xlfn.XLOOKUP(TRIM(E131),MedicineInfo!A:A,MedicineInfo!B:B,"Not Found")</f>
        <v>Paracetamol</v>
      </c>
      <c r="H130" s="1" t="str" cm="1">
        <f t="array" ref="H130">_xlfn.IFS(
OR(E130="Type 2 Diabetes",E130="Essential Hypertension",E130="Angina Pectoris",E130="Bronchial Asthma",E130="Cardiac Arrhythmia"), D130+30,
OR(E130="Gastritis",E130="Osteoarthritis",E130="Bronchitis",E130="Iron Deficiency Anemia"), D130+14,
OR(E130="Lumbar Strain",E130="Migraine Headache"), D130+7,
OR(E130="Viral Fever",E130="General Checkup","Routine Health Check"), "",
TRUE,""
)</f>
        <v/>
      </c>
      <c r="I130" s="1" t="str">
        <f t="shared" ref="I130:I193" si="4">IF(H130="","No Follow-up Required","Follow-up Scheduled")</f>
        <v>No Follow-up Required</v>
      </c>
      <c r="J130" t="str">
        <f>TEXT(Table8[[#This Row],[visit_Date]],"DDDD")</f>
        <v>Thursday</v>
      </c>
      <c r="K130" t="str">
        <f>TEXT(Table8[[#This Row],[visit_Date]],"mmmm")</f>
        <v>May</v>
      </c>
      <c r="L130" t="str">
        <f t="shared" ref="L130:L193" si="5">IF(OR(MONTH(D130)=12,MONTH(D130)&lt;=2),"Winter",
IF(MONTH(D130)&lt;=5,"Summer","Monsoon"))</f>
        <v>Summer</v>
      </c>
    </row>
    <row r="131" spans="1:12" x14ac:dyDescent="0.25">
      <c r="A131">
        <v>130</v>
      </c>
      <c r="B131">
        <v>1027</v>
      </c>
      <c r="C131">
        <v>643</v>
      </c>
      <c r="D131" s="1">
        <v>45745</v>
      </c>
      <c r="E131" t="s">
        <v>326</v>
      </c>
      <c r="F131" t="s">
        <v>327</v>
      </c>
      <c r="G131" t="str">
        <f>_xlfn.XLOOKUP(TRIM(E132),MedicineInfo!A:A,MedicineInfo!B:B,"Not Found")</f>
        <v>Salbutamol Inhaler</v>
      </c>
      <c r="H131" s="1" t="str" cm="1">
        <f t="array" ref="H131">_xlfn.IFS(
OR(E131="Type 2 Diabetes",E131="Essential Hypertension",E131="Angina Pectoris",E131="Bronchial Asthma",E131="Cardiac Arrhythmia"), D131+30,
OR(E131="Gastritis",E131="Osteoarthritis",E131="Bronchitis",E131="Iron Deficiency Anemia"), D131+14,
OR(E131="Lumbar Strain",E131="Migraine Headache"), D131+7,
OR(E131="Viral Fever",E131="General Checkup","Routine Health Check"), "",
TRUE,""
)</f>
        <v/>
      </c>
      <c r="I131" s="1" t="str">
        <f t="shared" si="4"/>
        <v>No Follow-up Required</v>
      </c>
      <c r="J131" t="str">
        <f>TEXT(Table8[[#This Row],[visit_Date]],"DDDD")</f>
        <v>Saturday</v>
      </c>
      <c r="K131" t="str">
        <f>TEXT(Table8[[#This Row],[visit_Date]],"mmmm")</f>
        <v>March</v>
      </c>
      <c r="L131" t="str">
        <f t="shared" si="5"/>
        <v>Summer</v>
      </c>
    </row>
    <row r="132" spans="1:12" x14ac:dyDescent="0.25">
      <c r="A132">
        <v>131</v>
      </c>
      <c r="B132">
        <v>1020</v>
      </c>
      <c r="C132">
        <v>759</v>
      </c>
      <c r="D132" s="1">
        <v>45745</v>
      </c>
      <c r="E132" t="s">
        <v>324</v>
      </c>
      <c r="F132" t="s">
        <v>325</v>
      </c>
      <c r="G132" t="str">
        <f>_xlfn.XLOOKUP(TRIM(E133),MedicineInfo!A:A,MedicineInfo!B:B,"Not Found")</f>
        <v>Multivitamin</v>
      </c>
      <c r="H132" s="1" cm="1">
        <f t="array" ref="H132">_xlfn.IFS(
OR(E132="Type 2 Diabetes",E132="Essential Hypertension",E132="Angina Pectoris",E132="Bronchial Asthma",E132="Cardiac Arrhythmia"), D132+30,
OR(E132="Gastritis",E132="Osteoarthritis",E132="Bronchitis",E132="Iron Deficiency Anemia"), D132+14,
OR(E132="Lumbar Strain",E132="Migraine Headache"), D132+7,
OR(E132="Viral Fever",E132="General Checkup","Routine Health Check"), "",
TRUE,""
)</f>
        <v>45775</v>
      </c>
      <c r="I132" s="1" t="str">
        <f t="shared" si="4"/>
        <v>Follow-up Scheduled</v>
      </c>
      <c r="J132" t="str">
        <f>TEXT(Table8[[#This Row],[visit_Date]],"DDDD")</f>
        <v>Saturday</v>
      </c>
      <c r="K132" t="str">
        <f>TEXT(Table8[[#This Row],[visit_Date]],"mmmm")</f>
        <v>March</v>
      </c>
      <c r="L132" t="str">
        <f t="shared" si="5"/>
        <v>Summer</v>
      </c>
    </row>
    <row r="133" spans="1:12" x14ac:dyDescent="0.25">
      <c r="A133">
        <v>132</v>
      </c>
      <c r="B133">
        <v>1027</v>
      </c>
      <c r="C133">
        <v>428</v>
      </c>
      <c r="D133" s="1">
        <v>45694</v>
      </c>
      <c r="E133" t="s">
        <v>24</v>
      </c>
      <c r="F133" t="s">
        <v>321</v>
      </c>
      <c r="G133" t="str">
        <f>_xlfn.XLOOKUP(TRIM(E134),MedicineInfo!A:A,MedicineInfo!B:B,"Not Found")</f>
        <v>Multivitamin</v>
      </c>
      <c r="H133" s="1" t="str" cm="1">
        <f t="array" ref="H133">_xlfn.IFS(
OR(E133="Type 2 Diabetes",E133="Essential Hypertension",E133="Angina Pectoris",E133="Bronchial Asthma",E133="Cardiac Arrhythmia"), D133+30,
OR(E133="Gastritis",E133="Osteoarthritis",E133="Bronchitis",E133="Iron Deficiency Anemia"), D133+14,
OR(E133="Lumbar Strain",E133="Migraine Headache"), D133+7,
OR(E133="Viral Fever",E133="General Checkup","Routine Health Check"), "",
TRUE,""
)</f>
        <v/>
      </c>
      <c r="I133" s="1" t="str">
        <f t="shared" si="4"/>
        <v>No Follow-up Required</v>
      </c>
      <c r="J133" t="str">
        <f>TEXT(Table8[[#This Row],[visit_Date]],"DDDD")</f>
        <v>Thursday</v>
      </c>
      <c r="K133" t="str">
        <f>TEXT(Table8[[#This Row],[visit_Date]],"mmmm")</f>
        <v>February</v>
      </c>
      <c r="L133" t="str">
        <f t="shared" si="5"/>
        <v>Winter</v>
      </c>
    </row>
    <row r="134" spans="1:12" x14ac:dyDescent="0.25">
      <c r="A134">
        <v>133</v>
      </c>
      <c r="B134">
        <v>1027</v>
      </c>
      <c r="C134">
        <v>1170</v>
      </c>
      <c r="D134" s="1">
        <v>45718</v>
      </c>
      <c r="E134" t="s">
        <v>24</v>
      </c>
      <c r="F134" t="s">
        <v>321</v>
      </c>
      <c r="G134" t="str">
        <f>_xlfn.XLOOKUP(TRIM(E135),MedicineInfo!A:A,MedicineInfo!B:B,"Not Found")</f>
        <v>Diclofenac</v>
      </c>
      <c r="H134" s="1" t="str" cm="1">
        <f t="array" ref="H134">_xlfn.IFS(
OR(E134="Type 2 Diabetes",E134="Essential Hypertension",E134="Angina Pectoris",E134="Bronchial Asthma",E134="Cardiac Arrhythmia"), D134+30,
OR(E134="Gastritis",E134="Osteoarthritis",E134="Bronchitis",E134="Iron Deficiency Anemia"), D134+14,
OR(E134="Lumbar Strain",E134="Migraine Headache"), D134+7,
OR(E134="Viral Fever",E134="General Checkup","Routine Health Check"), "",
TRUE,""
)</f>
        <v/>
      </c>
      <c r="I134" s="1" t="str">
        <f t="shared" si="4"/>
        <v>No Follow-up Required</v>
      </c>
      <c r="J134" t="str">
        <f>TEXT(Table8[[#This Row],[visit_Date]],"DDDD")</f>
        <v>Sunday</v>
      </c>
      <c r="K134" t="str">
        <f>TEXT(Table8[[#This Row],[visit_Date]],"mmmm")</f>
        <v>March</v>
      </c>
      <c r="L134" t="str">
        <f t="shared" si="5"/>
        <v>Summer</v>
      </c>
    </row>
    <row r="135" spans="1:12" x14ac:dyDescent="0.25">
      <c r="A135">
        <v>134</v>
      </c>
      <c r="B135">
        <v>1027</v>
      </c>
      <c r="C135">
        <v>1449</v>
      </c>
      <c r="D135" s="1">
        <v>45814</v>
      </c>
      <c r="E135" t="s">
        <v>313</v>
      </c>
      <c r="F135" t="s">
        <v>314</v>
      </c>
      <c r="G135" t="str">
        <f>_xlfn.XLOOKUP(TRIM(E136),MedicineInfo!A:A,MedicineInfo!B:B,"Not Found")</f>
        <v>Metformin</v>
      </c>
      <c r="H135" s="1" cm="1">
        <f t="array" ref="H135">_xlfn.IFS(
OR(E135="Type 2 Diabetes",E135="Essential Hypertension",E135="Angina Pectoris",E135="Bronchial Asthma",E135="Cardiac Arrhythmia"), D135+30,
OR(E135="Gastritis",E135="Osteoarthritis",E135="Bronchitis",E135="Iron Deficiency Anemia"), D135+14,
OR(E135="Lumbar Strain",E135="Migraine Headache"), D135+7,
OR(E135="Viral Fever",E135="General Checkup","Routine Health Check"), "",
TRUE,""
)</f>
        <v>45821</v>
      </c>
      <c r="I135" s="1" t="str">
        <f t="shared" si="4"/>
        <v>Follow-up Scheduled</v>
      </c>
      <c r="J135" t="str">
        <f>TEXT(Table8[[#This Row],[visit_Date]],"DDDD")</f>
        <v>Friday</v>
      </c>
      <c r="K135" t="str">
        <f>TEXT(Table8[[#This Row],[visit_Date]],"mmmm")</f>
        <v>June</v>
      </c>
      <c r="L135" t="str">
        <f t="shared" si="5"/>
        <v>Monsoon</v>
      </c>
    </row>
    <row r="136" spans="1:12" x14ac:dyDescent="0.25">
      <c r="A136">
        <v>135</v>
      </c>
      <c r="B136">
        <v>1024</v>
      </c>
      <c r="C136">
        <v>513</v>
      </c>
      <c r="D136" s="1">
        <v>45869</v>
      </c>
      <c r="E136" t="s">
        <v>317</v>
      </c>
      <c r="F136" t="s">
        <v>318</v>
      </c>
      <c r="G136" t="str">
        <f>_xlfn.XLOOKUP(TRIM(E137),MedicineInfo!A:A,MedicineInfo!B:B,"Not Found")</f>
        <v>Sumatriptan</v>
      </c>
      <c r="H136" s="1" cm="1">
        <f t="array" ref="H136">_xlfn.IFS(
OR(E136="Type 2 Diabetes",E136="Essential Hypertension",E136="Angina Pectoris",E136="Bronchial Asthma",E136="Cardiac Arrhythmia"), D136+30,
OR(E136="Gastritis",E136="Osteoarthritis",E136="Bronchitis",E136="Iron Deficiency Anemia"), D136+14,
OR(E136="Lumbar Strain",E136="Migraine Headache"), D136+7,
OR(E136="Viral Fever",E136="General Checkup","Routine Health Check"), "",
TRUE,""
)</f>
        <v>45899</v>
      </c>
      <c r="I136" s="1" t="str">
        <f t="shared" si="4"/>
        <v>Follow-up Scheduled</v>
      </c>
      <c r="J136" t="str">
        <f>TEXT(Table8[[#This Row],[visit_Date]],"DDDD")</f>
        <v>Thursday</v>
      </c>
      <c r="K136" t="str">
        <f>TEXT(Table8[[#This Row],[visit_Date]],"mmmm")</f>
        <v>July</v>
      </c>
      <c r="L136" t="str">
        <f t="shared" si="5"/>
        <v>Monsoon</v>
      </c>
    </row>
    <row r="137" spans="1:12" x14ac:dyDescent="0.25">
      <c r="A137">
        <v>136</v>
      </c>
      <c r="B137">
        <v>1008</v>
      </c>
      <c r="C137">
        <v>1534</v>
      </c>
      <c r="D137" s="1">
        <v>45819</v>
      </c>
      <c r="E137" t="s">
        <v>315</v>
      </c>
      <c r="F137" t="s">
        <v>316</v>
      </c>
      <c r="G137" t="str">
        <f>_xlfn.XLOOKUP(TRIM(E138),MedicineInfo!A:A,MedicineInfo!B:B,"Not Found")</f>
        <v>Metformin</v>
      </c>
      <c r="H137" s="1" cm="1">
        <f t="array" ref="H137">_xlfn.IFS(
OR(E137="Type 2 Diabetes",E137="Essential Hypertension",E137="Angina Pectoris",E137="Bronchial Asthma",E137="Cardiac Arrhythmia"), D137+30,
OR(E137="Gastritis",E137="Osteoarthritis",E137="Bronchitis",E137="Iron Deficiency Anemia"), D137+14,
OR(E137="Lumbar Strain",E137="Migraine Headache"), D137+7,
OR(E137="Viral Fever",E137="General Checkup","Routine Health Check"), "",
TRUE,""
)</f>
        <v>45826</v>
      </c>
      <c r="I137" s="1" t="str">
        <f t="shared" si="4"/>
        <v>Follow-up Scheduled</v>
      </c>
      <c r="J137" t="str">
        <f>TEXT(Table8[[#This Row],[visit_Date]],"DDDD")</f>
        <v>Wednesday</v>
      </c>
      <c r="K137" t="str">
        <f>TEXT(Table8[[#This Row],[visit_Date]],"mmmm")</f>
        <v>June</v>
      </c>
      <c r="L137" t="str">
        <f t="shared" si="5"/>
        <v>Monsoon</v>
      </c>
    </row>
    <row r="138" spans="1:12" x14ac:dyDescent="0.25">
      <c r="A138">
        <v>137</v>
      </c>
      <c r="B138">
        <v>1024</v>
      </c>
      <c r="C138">
        <v>1104</v>
      </c>
      <c r="D138" s="1">
        <v>45819</v>
      </c>
      <c r="E138" t="s">
        <v>317</v>
      </c>
      <c r="F138" t="s">
        <v>318</v>
      </c>
      <c r="G138" t="str">
        <f>_xlfn.XLOOKUP(TRIM(E139),MedicineInfo!A:A,MedicineInfo!B:B,"Not Found")</f>
        <v>Nitroglycerin</v>
      </c>
      <c r="H138" s="1" cm="1">
        <f t="array" ref="H138">_xlfn.IFS(
OR(E138="Type 2 Diabetes",E138="Essential Hypertension",E138="Angina Pectoris",E138="Bronchial Asthma",E138="Cardiac Arrhythmia"), D138+30,
OR(E138="Gastritis",E138="Osteoarthritis",E138="Bronchitis",E138="Iron Deficiency Anemia"), D138+14,
OR(E138="Lumbar Strain",E138="Migraine Headache"), D138+7,
OR(E138="Viral Fever",E138="General Checkup","Routine Health Check"), "",
TRUE,""
)</f>
        <v>45849</v>
      </c>
      <c r="I138" s="1" t="str">
        <f t="shared" si="4"/>
        <v>Follow-up Scheduled</v>
      </c>
      <c r="J138" t="str">
        <f>TEXT(Table8[[#This Row],[visit_Date]],"DDDD")</f>
        <v>Wednesday</v>
      </c>
      <c r="K138" t="str">
        <f>TEXT(Table8[[#This Row],[visit_Date]],"mmmm")</f>
        <v>June</v>
      </c>
      <c r="L138" t="str">
        <f t="shared" si="5"/>
        <v>Monsoon</v>
      </c>
    </row>
    <row r="139" spans="1:12" x14ac:dyDescent="0.25">
      <c r="A139">
        <v>138</v>
      </c>
      <c r="B139">
        <v>1001</v>
      </c>
      <c r="C139">
        <v>112</v>
      </c>
      <c r="D139" s="1">
        <v>45845</v>
      </c>
      <c r="E139" t="s">
        <v>322</v>
      </c>
      <c r="F139" t="s">
        <v>323</v>
      </c>
      <c r="G139" t="str">
        <f>_xlfn.XLOOKUP(TRIM(E140),MedicineInfo!A:A,MedicineInfo!B:B,"Not Found")</f>
        <v>Sumatriptan</v>
      </c>
      <c r="H139" s="1" cm="1">
        <f t="array" ref="H139">_xlfn.IFS(
OR(E139="Type 2 Diabetes",E139="Essential Hypertension",E139="Angina Pectoris",E139="Bronchial Asthma",E139="Cardiac Arrhythmia"), D139+30,
OR(E139="Gastritis",E139="Osteoarthritis",E139="Bronchitis",E139="Iron Deficiency Anemia"), D139+14,
OR(E139="Lumbar Strain",E139="Migraine Headache"), D139+7,
OR(E139="Viral Fever",E139="General Checkup","Routine Health Check"), "",
TRUE,""
)</f>
        <v>45875</v>
      </c>
      <c r="I139" s="1" t="str">
        <f t="shared" si="4"/>
        <v>Follow-up Scheduled</v>
      </c>
      <c r="J139" t="str">
        <f>TEXT(Table8[[#This Row],[visit_Date]],"DDDD")</f>
        <v>Monday</v>
      </c>
      <c r="K139" t="str">
        <f>TEXT(Table8[[#This Row],[visit_Date]],"mmmm")</f>
        <v>July</v>
      </c>
      <c r="L139" t="str">
        <f t="shared" si="5"/>
        <v>Monsoon</v>
      </c>
    </row>
    <row r="140" spans="1:12" x14ac:dyDescent="0.25">
      <c r="A140">
        <v>139</v>
      </c>
      <c r="B140">
        <v>1008</v>
      </c>
      <c r="C140">
        <v>196</v>
      </c>
      <c r="D140" s="1">
        <v>45792</v>
      </c>
      <c r="E140" t="s">
        <v>315</v>
      </c>
      <c r="F140" t="s">
        <v>316</v>
      </c>
      <c r="G140" t="str">
        <f>_xlfn.XLOOKUP(TRIM(E141),MedicineInfo!A:A,MedicineInfo!B:B,"Not Found")</f>
        <v>Paracetamol</v>
      </c>
      <c r="H140" s="1" cm="1">
        <f t="array" ref="H140">_xlfn.IFS(
OR(E140="Type 2 Diabetes",E140="Essential Hypertension",E140="Angina Pectoris",E140="Bronchial Asthma",E140="Cardiac Arrhythmia"), D140+30,
OR(E140="Gastritis",E140="Osteoarthritis",E140="Bronchitis",E140="Iron Deficiency Anemia"), D140+14,
OR(E140="Lumbar Strain",E140="Migraine Headache"), D140+7,
OR(E140="Viral Fever",E140="General Checkup","Routine Health Check"), "",
TRUE,""
)</f>
        <v>45799</v>
      </c>
      <c r="I140" s="1" t="str">
        <f t="shared" si="4"/>
        <v>Follow-up Scheduled</v>
      </c>
      <c r="J140" t="str">
        <f>TEXT(Table8[[#This Row],[visit_Date]],"DDDD")</f>
        <v>Thursday</v>
      </c>
      <c r="K140" t="str">
        <f>TEXT(Table8[[#This Row],[visit_Date]],"mmmm")</f>
        <v>May</v>
      </c>
      <c r="L140" t="str">
        <f t="shared" si="5"/>
        <v>Summer</v>
      </c>
    </row>
    <row r="141" spans="1:12" x14ac:dyDescent="0.25">
      <c r="A141">
        <v>140</v>
      </c>
      <c r="B141">
        <v>1027</v>
      </c>
      <c r="C141">
        <v>572</v>
      </c>
      <c r="D141" s="1">
        <v>45733</v>
      </c>
      <c r="E141" t="s">
        <v>326</v>
      </c>
      <c r="F141" t="s">
        <v>327</v>
      </c>
      <c r="G141" t="str">
        <f>_xlfn.XLOOKUP(TRIM(E142),MedicineInfo!A:A,MedicineInfo!B:B,"Not Found")</f>
        <v>Amlodipine</v>
      </c>
      <c r="H141" s="1" t="str" cm="1">
        <f t="array" ref="H141">_xlfn.IFS(
OR(E141="Type 2 Diabetes",E141="Essential Hypertension",E141="Angina Pectoris",E141="Bronchial Asthma",E141="Cardiac Arrhythmia"), D141+30,
OR(E141="Gastritis",E141="Osteoarthritis",E141="Bronchitis",E141="Iron Deficiency Anemia"), D141+14,
OR(E141="Lumbar Strain",E141="Migraine Headache"), D141+7,
OR(E141="Viral Fever",E141="General Checkup","Routine Health Check"), "",
TRUE,""
)</f>
        <v/>
      </c>
      <c r="I141" s="1" t="str">
        <f t="shared" si="4"/>
        <v>No Follow-up Required</v>
      </c>
      <c r="J141" t="str">
        <f>TEXT(Table8[[#This Row],[visit_Date]],"DDDD")</f>
        <v>Monday</v>
      </c>
      <c r="K141" t="str">
        <f>TEXT(Table8[[#This Row],[visit_Date]],"mmmm")</f>
        <v>March</v>
      </c>
      <c r="L141" t="str">
        <f t="shared" si="5"/>
        <v>Summer</v>
      </c>
    </row>
    <row r="142" spans="1:12" x14ac:dyDescent="0.25">
      <c r="A142">
        <v>141</v>
      </c>
      <c r="B142">
        <v>1002</v>
      </c>
      <c r="C142">
        <v>1360</v>
      </c>
      <c r="D142" s="1">
        <v>45681</v>
      </c>
      <c r="E142" t="s">
        <v>319</v>
      </c>
      <c r="F142" t="s">
        <v>320</v>
      </c>
      <c r="G142" t="str">
        <f>_xlfn.XLOOKUP(TRIM(E143),MedicineInfo!A:A,MedicineInfo!B:B,"Not Found")</f>
        <v>Diclofenac</v>
      </c>
      <c r="H142" s="1" cm="1">
        <f t="array" ref="H142">_xlfn.IFS(
OR(E142="Type 2 Diabetes",E142="Essential Hypertension",E142="Angina Pectoris",E142="Bronchial Asthma",E142="Cardiac Arrhythmia"), D142+30,
OR(E142="Gastritis",E142="Osteoarthritis",E142="Bronchitis",E142="Iron Deficiency Anemia"), D142+14,
OR(E142="Lumbar Strain",E142="Migraine Headache"), D142+7,
OR(E142="Viral Fever",E142="General Checkup","Routine Health Check"), "",
TRUE,""
)</f>
        <v>45711</v>
      </c>
      <c r="I142" s="1" t="str">
        <f t="shared" si="4"/>
        <v>Follow-up Scheduled</v>
      </c>
      <c r="J142" t="str">
        <f>TEXT(Table8[[#This Row],[visit_Date]],"DDDD")</f>
        <v>Friday</v>
      </c>
      <c r="K142" t="str">
        <f>TEXT(Table8[[#This Row],[visit_Date]],"mmmm")</f>
        <v>January</v>
      </c>
      <c r="L142" t="str">
        <f t="shared" si="5"/>
        <v>Winter</v>
      </c>
    </row>
    <row r="143" spans="1:12" x14ac:dyDescent="0.25">
      <c r="A143">
        <v>142</v>
      </c>
      <c r="B143">
        <v>1027</v>
      </c>
      <c r="C143">
        <v>536</v>
      </c>
      <c r="D143" s="1">
        <v>45669</v>
      </c>
      <c r="E143" t="s">
        <v>313</v>
      </c>
      <c r="F143" t="s">
        <v>314</v>
      </c>
      <c r="G143" t="str">
        <f>_xlfn.XLOOKUP(TRIM(E144),MedicineInfo!A:A,MedicineInfo!B:B,"Not Found")</f>
        <v>Multivitamin</v>
      </c>
      <c r="H143" s="1" cm="1">
        <f t="array" ref="H143">_xlfn.IFS(
OR(E143="Type 2 Diabetes",E143="Essential Hypertension",E143="Angina Pectoris",E143="Bronchial Asthma",E143="Cardiac Arrhythmia"), D143+30,
OR(E143="Gastritis",E143="Osteoarthritis",E143="Bronchitis",E143="Iron Deficiency Anemia"), D143+14,
OR(E143="Lumbar Strain",E143="Migraine Headache"), D143+7,
OR(E143="Viral Fever",E143="General Checkup","Routine Health Check"), "",
TRUE,""
)</f>
        <v>45676</v>
      </c>
      <c r="I143" s="1" t="str">
        <f t="shared" si="4"/>
        <v>Follow-up Scheduled</v>
      </c>
      <c r="J143" t="str">
        <f>TEXT(Table8[[#This Row],[visit_Date]],"DDDD")</f>
        <v>Sunday</v>
      </c>
      <c r="K143" t="str">
        <f>TEXT(Table8[[#This Row],[visit_Date]],"mmmm")</f>
        <v>January</v>
      </c>
      <c r="L143" t="str">
        <f t="shared" si="5"/>
        <v>Winter</v>
      </c>
    </row>
    <row r="144" spans="1:12" x14ac:dyDescent="0.25">
      <c r="A144">
        <v>143</v>
      </c>
      <c r="B144">
        <v>1027</v>
      </c>
      <c r="C144">
        <v>680</v>
      </c>
      <c r="D144" s="1">
        <v>45852</v>
      </c>
      <c r="E144" t="s">
        <v>24</v>
      </c>
      <c r="F144" t="s">
        <v>321</v>
      </c>
      <c r="G144" t="str">
        <f>_xlfn.XLOOKUP(TRIM(E145),MedicineInfo!A:A,MedicineInfo!B:B,"Not Found")</f>
        <v>Salbutamol Inhaler</v>
      </c>
      <c r="H144" s="1" t="str" cm="1">
        <f t="array" ref="H144">_xlfn.IFS(
OR(E144="Type 2 Diabetes",E144="Essential Hypertension",E144="Angina Pectoris",E144="Bronchial Asthma",E144="Cardiac Arrhythmia"), D144+30,
OR(E144="Gastritis",E144="Osteoarthritis",E144="Bronchitis",E144="Iron Deficiency Anemia"), D144+14,
OR(E144="Lumbar Strain",E144="Migraine Headache"), D144+7,
OR(E144="Viral Fever",E144="General Checkup","Routine Health Check"), "",
TRUE,""
)</f>
        <v/>
      </c>
      <c r="I144" s="1" t="str">
        <f t="shared" si="4"/>
        <v>No Follow-up Required</v>
      </c>
      <c r="J144" t="str">
        <f>TEXT(Table8[[#This Row],[visit_Date]],"DDDD")</f>
        <v>Monday</v>
      </c>
      <c r="K144" t="str">
        <f>TEXT(Table8[[#This Row],[visit_Date]],"mmmm")</f>
        <v>July</v>
      </c>
      <c r="L144" t="str">
        <f t="shared" si="5"/>
        <v>Monsoon</v>
      </c>
    </row>
    <row r="145" spans="1:12" x14ac:dyDescent="0.25">
      <c r="A145">
        <v>144</v>
      </c>
      <c r="B145">
        <v>1020</v>
      </c>
      <c r="C145">
        <v>455</v>
      </c>
      <c r="D145" s="1">
        <v>45691</v>
      </c>
      <c r="E145" t="s">
        <v>324</v>
      </c>
      <c r="F145" t="s">
        <v>325</v>
      </c>
      <c r="G145" t="str">
        <f>_xlfn.XLOOKUP(TRIM(E146),MedicineInfo!A:A,MedicineInfo!B:B,"Not Found")</f>
        <v>Nitroglycerin</v>
      </c>
      <c r="H145" s="1" cm="1">
        <f t="array" ref="H145">_xlfn.IFS(
OR(E145="Type 2 Diabetes",E145="Essential Hypertension",E145="Angina Pectoris",E145="Bronchial Asthma",E145="Cardiac Arrhythmia"), D145+30,
OR(E145="Gastritis",E145="Osteoarthritis",E145="Bronchitis",E145="Iron Deficiency Anemia"), D145+14,
OR(E145="Lumbar Strain",E145="Migraine Headache"), D145+7,
OR(E145="Viral Fever",E145="General Checkup","Routine Health Check"), "",
TRUE,""
)</f>
        <v>45721</v>
      </c>
      <c r="I145" s="1" t="str">
        <f t="shared" si="4"/>
        <v>Follow-up Scheduled</v>
      </c>
      <c r="J145" t="str">
        <f>TEXT(Table8[[#This Row],[visit_Date]],"DDDD")</f>
        <v>Monday</v>
      </c>
      <c r="K145" t="str">
        <f>TEXT(Table8[[#This Row],[visit_Date]],"mmmm")</f>
        <v>February</v>
      </c>
      <c r="L145" t="str">
        <f t="shared" si="5"/>
        <v>Winter</v>
      </c>
    </row>
    <row r="146" spans="1:12" x14ac:dyDescent="0.25">
      <c r="A146">
        <v>145</v>
      </c>
      <c r="B146">
        <v>1027</v>
      </c>
      <c r="C146">
        <v>411</v>
      </c>
      <c r="D146" s="1">
        <v>45738</v>
      </c>
      <c r="E146" t="s">
        <v>322</v>
      </c>
      <c r="F146" t="s">
        <v>323</v>
      </c>
      <c r="G146" t="str">
        <f>_xlfn.XLOOKUP(TRIM(E147),MedicineInfo!A:A,MedicineInfo!B:B,"Not Found")</f>
        <v>Paracetamol</v>
      </c>
      <c r="H146" s="1" cm="1">
        <f t="array" ref="H146">_xlfn.IFS(
OR(E146="Type 2 Diabetes",E146="Essential Hypertension",E146="Angina Pectoris",E146="Bronchial Asthma",E146="Cardiac Arrhythmia"), D146+30,
OR(E146="Gastritis",E146="Osteoarthritis",E146="Bronchitis",E146="Iron Deficiency Anemia"), D146+14,
OR(E146="Lumbar Strain",E146="Migraine Headache"), D146+7,
OR(E146="Viral Fever",E146="General Checkup","Routine Health Check"), "",
TRUE,""
)</f>
        <v>45768</v>
      </c>
      <c r="I146" s="1" t="str">
        <f t="shared" si="4"/>
        <v>Follow-up Scheduled</v>
      </c>
      <c r="J146" t="str">
        <f>TEXT(Table8[[#This Row],[visit_Date]],"DDDD")</f>
        <v>Saturday</v>
      </c>
      <c r="K146" t="str">
        <f>TEXT(Table8[[#This Row],[visit_Date]],"mmmm")</f>
        <v>March</v>
      </c>
      <c r="L146" t="str">
        <f t="shared" si="5"/>
        <v>Summer</v>
      </c>
    </row>
    <row r="147" spans="1:12" x14ac:dyDescent="0.25">
      <c r="A147">
        <v>146</v>
      </c>
      <c r="B147">
        <v>1027</v>
      </c>
      <c r="C147">
        <v>668</v>
      </c>
      <c r="D147" s="1">
        <v>45691</v>
      </c>
      <c r="E147" t="s">
        <v>326</v>
      </c>
      <c r="F147" t="s">
        <v>327</v>
      </c>
      <c r="G147" t="str">
        <f>_xlfn.XLOOKUP(TRIM(E148),MedicineInfo!A:A,MedicineInfo!B:B,"Not Found")</f>
        <v>Multivitamin</v>
      </c>
      <c r="H147" s="1" t="str" cm="1">
        <f t="array" ref="H147">_xlfn.IFS(
OR(E147="Type 2 Diabetes",E147="Essential Hypertension",E147="Angina Pectoris",E147="Bronchial Asthma",E147="Cardiac Arrhythmia"), D147+30,
OR(E147="Gastritis",E147="Osteoarthritis",E147="Bronchitis",E147="Iron Deficiency Anemia"), D147+14,
OR(E147="Lumbar Strain",E147="Migraine Headache"), D147+7,
OR(E147="Viral Fever",E147="General Checkup","Routine Health Check"), "",
TRUE,""
)</f>
        <v/>
      </c>
      <c r="I147" s="1" t="str">
        <f t="shared" si="4"/>
        <v>No Follow-up Required</v>
      </c>
      <c r="J147" t="str">
        <f>TEXT(Table8[[#This Row],[visit_Date]],"DDDD")</f>
        <v>Monday</v>
      </c>
      <c r="K147" t="str">
        <f>TEXT(Table8[[#This Row],[visit_Date]],"mmmm")</f>
        <v>February</v>
      </c>
      <c r="L147" t="str">
        <f t="shared" si="5"/>
        <v>Winter</v>
      </c>
    </row>
    <row r="148" spans="1:12" x14ac:dyDescent="0.25">
      <c r="A148">
        <v>147</v>
      </c>
      <c r="B148">
        <v>1027</v>
      </c>
      <c r="C148">
        <v>986</v>
      </c>
      <c r="D148" s="1">
        <v>45745</v>
      </c>
      <c r="E148" t="s">
        <v>24</v>
      </c>
      <c r="F148" t="s">
        <v>321</v>
      </c>
      <c r="G148" t="str">
        <f>_xlfn.XLOOKUP(TRIM(E149),MedicineInfo!A:A,MedicineInfo!B:B,"Not Found")</f>
        <v>Salbutamol Inhaler</v>
      </c>
      <c r="H148" s="1" t="str" cm="1">
        <f t="array" ref="H148">_xlfn.IFS(
OR(E148="Type 2 Diabetes",E148="Essential Hypertension",E148="Angina Pectoris",E148="Bronchial Asthma",E148="Cardiac Arrhythmia"), D148+30,
OR(E148="Gastritis",E148="Osteoarthritis",E148="Bronchitis",E148="Iron Deficiency Anemia"), D148+14,
OR(E148="Lumbar Strain",E148="Migraine Headache"), D148+7,
OR(E148="Viral Fever",E148="General Checkup","Routine Health Check"), "",
TRUE,""
)</f>
        <v/>
      </c>
      <c r="I148" s="1" t="str">
        <f t="shared" si="4"/>
        <v>No Follow-up Required</v>
      </c>
      <c r="J148" t="str">
        <f>TEXT(Table8[[#This Row],[visit_Date]],"DDDD")</f>
        <v>Saturday</v>
      </c>
      <c r="K148" t="str">
        <f>TEXT(Table8[[#This Row],[visit_Date]],"mmmm")</f>
        <v>March</v>
      </c>
      <c r="L148" t="str">
        <f t="shared" si="5"/>
        <v>Summer</v>
      </c>
    </row>
    <row r="149" spans="1:12" x14ac:dyDescent="0.25">
      <c r="A149">
        <v>148</v>
      </c>
      <c r="B149">
        <v>1020</v>
      </c>
      <c r="C149">
        <v>1320</v>
      </c>
      <c r="D149" s="1">
        <v>45758</v>
      </c>
      <c r="E149" t="s">
        <v>324</v>
      </c>
      <c r="F149" t="s">
        <v>325</v>
      </c>
      <c r="G149" t="str">
        <f>_xlfn.XLOOKUP(TRIM(E150),MedicineInfo!A:A,MedicineInfo!B:B,"Not Found")</f>
        <v>Multivitamin</v>
      </c>
      <c r="H149" s="1" cm="1">
        <f t="array" ref="H149">_xlfn.IFS(
OR(E149="Type 2 Diabetes",E149="Essential Hypertension",E149="Angina Pectoris",E149="Bronchial Asthma",E149="Cardiac Arrhythmia"), D149+30,
OR(E149="Gastritis",E149="Osteoarthritis",E149="Bronchitis",E149="Iron Deficiency Anemia"), D149+14,
OR(E149="Lumbar Strain",E149="Migraine Headache"), D149+7,
OR(E149="Viral Fever",E149="General Checkup","Routine Health Check"), "",
TRUE,""
)</f>
        <v>45788</v>
      </c>
      <c r="I149" s="1" t="str">
        <f t="shared" si="4"/>
        <v>Follow-up Scheduled</v>
      </c>
      <c r="J149" t="str">
        <f>TEXT(Table8[[#This Row],[visit_Date]],"DDDD")</f>
        <v>Friday</v>
      </c>
      <c r="K149" t="str">
        <f>TEXT(Table8[[#This Row],[visit_Date]],"mmmm")</f>
        <v>April</v>
      </c>
      <c r="L149" t="str">
        <f t="shared" si="5"/>
        <v>Summer</v>
      </c>
    </row>
    <row r="150" spans="1:12" x14ac:dyDescent="0.25">
      <c r="A150">
        <v>149</v>
      </c>
      <c r="B150">
        <v>1027</v>
      </c>
      <c r="C150">
        <v>504</v>
      </c>
      <c r="D150" s="1">
        <v>45792</v>
      </c>
      <c r="E150" t="s">
        <v>24</v>
      </c>
      <c r="F150" t="s">
        <v>321</v>
      </c>
      <c r="G150" t="str">
        <f>_xlfn.XLOOKUP(TRIM(E151),MedicineInfo!A:A,MedicineInfo!B:B,"Not Found")</f>
        <v>Metformin</v>
      </c>
      <c r="H150" s="1" t="str" cm="1">
        <f t="array" ref="H150">_xlfn.IFS(
OR(E150="Type 2 Diabetes",E150="Essential Hypertension",E150="Angina Pectoris",E150="Bronchial Asthma",E150="Cardiac Arrhythmia"), D150+30,
OR(E150="Gastritis",E150="Osteoarthritis",E150="Bronchitis",E150="Iron Deficiency Anemia"), D150+14,
OR(E150="Lumbar Strain",E150="Migraine Headache"), D150+7,
OR(E150="Viral Fever",E150="General Checkup","Routine Health Check"), "",
TRUE,""
)</f>
        <v/>
      </c>
      <c r="I150" s="1" t="str">
        <f t="shared" si="4"/>
        <v>No Follow-up Required</v>
      </c>
      <c r="J150" t="str">
        <f>TEXT(Table8[[#This Row],[visit_Date]],"DDDD")</f>
        <v>Thursday</v>
      </c>
      <c r="K150" t="str">
        <f>TEXT(Table8[[#This Row],[visit_Date]],"mmmm")</f>
        <v>May</v>
      </c>
      <c r="L150" t="str">
        <f t="shared" si="5"/>
        <v>Summer</v>
      </c>
    </row>
    <row r="151" spans="1:12" x14ac:dyDescent="0.25">
      <c r="A151">
        <v>150</v>
      </c>
      <c r="B151">
        <v>1024</v>
      </c>
      <c r="C151">
        <v>915</v>
      </c>
      <c r="D151" s="1">
        <v>45737</v>
      </c>
      <c r="E151" t="s">
        <v>317</v>
      </c>
      <c r="F151" t="s">
        <v>318</v>
      </c>
      <c r="G151" t="str">
        <f>_xlfn.XLOOKUP(TRIM(E152),MedicineInfo!A:A,MedicineInfo!B:B,"Not Found")</f>
        <v>Diclofenac</v>
      </c>
      <c r="H151" s="1" cm="1">
        <f t="array" ref="H151">_xlfn.IFS(
OR(E151="Type 2 Diabetes",E151="Essential Hypertension",E151="Angina Pectoris",E151="Bronchial Asthma",E151="Cardiac Arrhythmia"), D151+30,
OR(E151="Gastritis",E151="Osteoarthritis",E151="Bronchitis",E151="Iron Deficiency Anemia"), D151+14,
OR(E151="Lumbar Strain",E151="Migraine Headache"), D151+7,
OR(E151="Viral Fever",E151="General Checkup","Routine Health Check"), "",
TRUE,""
)</f>
        <v>45767</v>
      </c>
      <c r="I151" s="1" t="str">
        <f t="shared" si="4"/>
        <v>Follow-up Scheduled</v>
      </c>
      <c r="J151" t="str">
        <f>TEXT(Table8[[#This Row],[visit_Date]],"DDDD")</f>
        <v>Friday</v>
      </c>
      <c r="K151" t="str">
        <f>TEXT(Table8[[#This Row],[visit_Date]],"mmmm")</f>
        <v>March</v>
      </c>
      <c r="L151" t="str">
        <f t="shared" si="5"/>
        <v>Summer</v>
      </c>
    </row>
    <row r="152" spans="1:12" x14ac:dyDescent="0.25">
      <c r="A152">
        <v>151</v>
      </c>
      <c r="B152">
        <v>1027</v>
      </c>
      <c r="C152">
        <v>1424</v>
      </c>
      <c r="D152" s="1">
        <v>45744</v>
      </c>
      <c r="E152" t="s">
        <v>313</v>
      </c>
      <c r="F152" t="s">
        <v>314</v>
      </c>
      <c r="G152" t="str">
        <f>_xlfn.XLOOKUP(TRIM(E153),MedicineInfo!A:A,MedicineInfo!B:B,"Not Found")</f>
        <v>Metformin</v>
      </c>
      <c r="H152" s="1" cm="1">
        <f t="array" ref="H152">_xlfn.IFS(
OR(E152="Type 2 Diabetes",E152="Essential Hypertension",E152="Angina Pectoris",E152="Bronchial Asthma",E152="Cardiac Arrhythmia"), D152+30,
OR(E152="Gastritis",E152="Osteoarthritis",E152="Bronchitis",E152="Iron Deficiency Anemia"), D152+14,
OR(E152="Lumbar Strain",E152="Migraine Headache"), D152+7,
OR(E152="Viral Fever",E152="General Checkup","Routine Health Check"), "",
TRUE,""
)</f>
        <v>45751</v>
      </c>
      <c r="I152" s="1" t="str">
        <f t="shared" si="4"/>
        <v>Follow-up Scheduled</v>
      </c>
      <c r="J152" t="str">
        <f>TEXT(Table8[[#This Row],[visit_Date]],"DDDD")</f>
        <v>Friday</v>
      </c>
      <c r="K152" t="str">
        <f>TEXT(Table8[[#This Row],[visit_Date]],"mmmm")</f>
        <v>March</v>
      </c>
      <c r="L152" t="str">
        <f t="shared" si="5"/>
        <v>Summer</v>
      </c>
    </row>
    <row r="153" spans="1:12" x14ac:dyDescent="0.25">
      <c r="A153">
        <v>152</v>
      </c>
      <c r="B153">
        <v>1024</v>
      </c>
      <c r="C153">
        <v>1090</v>
      </c>
      <c r="D153" s="1">
        <v>45792</v>
      </c>
      <c r="E153" t="s">
        <v>317</v>
      </c>
      <c r="F153" t="s">
        <v>318</v>
      </c>
      <c r="G153" t="str">
        <f>_xlfn.XLOOKUP(TRIM(E154),MedicineInfo!A:A,MedicineInfo!B:B,"Not Found")</f>
        <v>Metformin</v>
      </c>
      <c r="H153" s="1" cm="1">
        <f t="array" ref="H153">_xlfn.IFS(
OR(E153="Type 2 Diabetes",E153="Essential Hypertension",E153="Angina Pectoris",E153="Bronchial Asthma",E153="Cardiac Arrhythmia"), D153+30,
OR(E153="Gastritis",E153="Osteoarthritis",E153="Bronchitis",E153="Iron Deficiency Anemia"), D153+14,
OR(E153="Lumbar Strain",E153="Migraine Headache"), D153+7,
OR(E153="Viral Fever",E153="General Checkup","Routine Health Check"), "",
TRUE,""
)</f>
        <v>45822</v>
      </c>
      <c r="I153" s="1" t="str">
        <f t="shared" si="4"/>
        <v>Follow-up Scheduled</v>
      </c>
      <c r="J153" t="str">
        <f>TEXT(Table8[[#This Row],[visit_Date]],"DDDD")</f>
        <v>Thursday</v>
      </c>
      <c r="K153" t="str">
        <f>TEXT(Table8[[#This Row],[visit_Date]],"mmmm")</f>
        <v>May</v>
      </c>
      <c r="L153" t="str">
        <f t="shared" si="5"/>
        <v>Summer</v>
      </c>
    </row>
    <row r="154" spans="1:12" x14ac:dyDescent="0.25">
      <c r="A154">
        <v>153</v>
      </c>
      <c r="B154">
        <v>1024</v>
      </c>
      <c r="C154">
        <v>470</v>
      </c>
      <c r="D154" s="1">
        <v>45792</v>
      </c>
      <c r="E154" t="s">
        <v>317</v>
      </c>
      <c r="F154" t="s">
        <v>318</v>
      </c>
      <c r="G154" t="str">
        <f>_xlfn.XLOOKUP(TRIM(E155),MedicineInfo!A:A,MedicineInfo!B:B,"Not Found")</f>
        <v>Multivitamin</v>
      </c>
      <c r="H154" s="1" cm="1">
        <f t="array" ref="H154">_xlfn.IFS(
OR(E154="Type 2 Diabetes",E154="Essential Hypertension",E154="Angina Pectoris",E154="Bronchial Asthma",E154="Cardiac Arrhythmia"), D154+30,
OR(E154="Gastritis",E154="Osteoarthritis",E154="Bronchitis",E154="Iron Deficiency Anemia"), D154+14,
OR(E154="Lumbar Strain",E154="Migraine Headache"), D154+7,
OR(E154="Viral Fever",E154="General Checkup","Routine Health Check"), "",
TRUE,""
)</f>
        <v>45822</v>
      </c>
      <c r="I154" s="1" t="str">
        <f t="shared" si="4"/>
        <v>Follow-up Scheduled</v>
      </c>
      <c r="J154" t="str">
        <f>TEXT(Table8[[#This Row],[visit_Date]],"DDDD")</f>
        <v>Thursday</v>
      </c>
      <c r="K154" t="str">
        <f>TEXT(Table8[[#This Row],[visit_Date]],"mmmm")</f>
        <v>May</v>
      </c>
      <c r="L154" t="str">
        <f t="shared" si="5"/>
        <v>Summer</v>
      </c>
    </row>
    <row r="155" spans="1:12" x14ac:dyDescent="0.25">
      <c r="A155">
        <v>154</v>
      </c>
      <c r="B155">
        <v>1027</v>
      </c>
      <c r="C155">
        <v>1455</v>
      </c>
      <c r="D155" s="1">
        <v>45792</v>
      </c>
      <c r="E155" t="s">
        <v>24</v>
      </c>
      <c r="F155" t="s">
        <v>321</v>
      </c>
      <c r="G155" t="str">
        <f>_xlfn.XLOOKUP(TRIM(E156),MedicineInfo!A:A,MedicineInfo!B:B,"Not Found")</f>
        <v>Sumatriptan</v>
      </c>
      <c r="H155" s="1" t="str" cm="1">
        <f t="array" ref="H155">_xlfn.IFS(
OR(E155="Type 2 Diabetes",E155="Essential Hypertension",E155="Angina Pectoris",E155="Bronchial Asthma",E155="Cardiac Arrhythmia"), D155+30,
OR(E155="Gastritis",E155="Osteoarthritis",E155="Bronchitis",E155="Iron Deficiency Anemia"), D155+14,
OR(E155="Lumbar Strain",E155="Migraine Headache"), D155+7,
OR(E155="Viral Fever",E155="General Checkup","Routine Health Check"), "",
TRUE,""
)</f>
        <v/>
      </c>
      <c r="I155" s="1" t="str">
        <f t="shared" si="4"/>
        <v>No Follow-up Required</v>
      </c>
      <c r="J155" t="str">
        <f>TEXT(Table8[[#This Row],[visit_Date]],"DDDD")</f>
        <v>Thursday</v>
      </c>
      <c r="K155" t="str">
        <f>TEXT(Table8[[#This Row],[visit_Date]],"mmmm")</f>
        <v>May</v>
      </c>
      <c r="L155" t="str">
        <f t="shared" si="5"/>
        <v>Summer</v>
      </c>
    </row>
    <row r="156" spans="1:12" x14ac:dyDescent="0.25">
      <c r="A156">
        <v>155</v>
      </c>
      <c r="B156">
        <v>1009</v>
      </c>
      <c r="C156">
        <v>1515</v>
      </c>
      <c r="D156" s="1">
        <v>45691</v>
      </c>
      <c r="E156" t="s">
        <v>315</v>
      </c>
      <c r="F156" t="s">
        <v>316</v>
      </c>
      <c r="G156" t="str">
        <f>_xlfn.XLOOKUP(TRIM(E157),MedicineInfo!A:A,MedicineInfo!B:B,"Not Found")</f>
        <v>Multivitamin</v>
      </c>
      <c r="H156" s="1" cm="1">
        <f t="array" ref="H156">_xlfn.IFS(
OR(E156="Type 2 Diabetes",E156="Essential Hypertension",E156="Angina Pectoris",E156="Bronchial Asthma",E156="Cardiac Arrhythmia"), D156+30,
OR(E156="Gastritis",E156="Osteoarthritis",E156="Bronchitis",E156="Iron Deficiency Anemia"), D156+14,
OR(E156="Lumbar Strain",E156="Migraine Headache"), D156+7,
OR(E156="Viral Fever",E156="General Checkup","Routine Health Check"), "",
TRUE,""
)</f>
        <v>45698</v>
      </c>
      <c r="I156" s="1" t="str">
        <f t="shared" si="4"/>
        <v>Follow-up Scheduled</v>
      </c>
      <c r="J156" t="str">
        <f>TEXT(Table8[[#This Row],[visit_Date]],"DDDD")</f>
        <v>Monday</v>
      </c>
      <c r="K156" t="str">
        <f>TEXT(Table8[[#This Row],[visit_Date]],"mmmm")</f>
        <v>February</v>
      </c>
      <c r="L156" t="str">
        <f t="shared" si="5"/>
        <v>Winter</v>
      </c>
    </row>
    <row r="157" spans="1:12" x14ac:dyDescent="0.25">
      <c r="A157">
        <v>156</v>
      </c>
      <c r="B157">
        <v>1027</v>
      </c>
      <c r="C157">
        <v>320</v>
      </c>
      <c r="D157" s="1">
        <v>45686</v>
      </c>
      <c r="E157" t="s">
        <v>24</v>
      </c>
      <c r="F157" t="s">
        <v>321</v>
      </c>
      <c r="G157" t="str">
        <f>_xlfn.XLOOKUP(TRIM(E158),MedicineInfo!A:A,MedicineInfo!B:B,"Not Found")</f>
        <v>Paracetamol</v>
      </c>
      <c r="H157" s="1" t="str" cm="1">
        <f t="array" ref="H157">_xlfn.IFS(
OR(E157="Type 2 Diabetes",E157="Essential Hypertension",E157="Angina Pectoris",E157="Bronchial Asthma",E157="Cardiac Arrhythmia"), D157+30,
OR(E157="Gastritis",E157="Osteoarthritis",E157="Bronchitis",E157="Iron Deficiency Anemia"), D157+14,
OR(E157="Lumbar Strain",E157="Migraine Headache"), D157+7,
OR(E157="Viral Fever",E157="General Checkup","Routine Health Check"), "",
TRUE,""
)</f>
        <v/>
      </c>
      <c r="I157" s="1" t="str">
        <f t="shared" si="4"/>
        <v>No Follow-up Required</v>
      </c>
      <c r="J157" t="str">
        <f>TEXT(Table8[[#This Row],[visit_Date]],"DDDD")</f>
        <v>Wednesday</v>
      </c>
      <c r="K157" t="str">
        <f>TEXT(Table8[[#This Row],[visit_Date]],"mmmm")</f>
        <v>January</v>
      </c>
      <c r="L157" t="str">
        <f t="shared" si="5"/>
        <v>Winter</v>
      </c>
    </row>
    <row r="158" spans="1:12" x14ac:dyDescent="0.25">
      <c r="A158">
        <v>157</v>
      </c>
      <c r="B158">
        <v>1027</v>
      </c>
      <c r="C158">
        <v>1155</v>
      </c>
      <c r="D158" s="1">
        <v>45790</v>
      </c>
      <c r="E158" t="s">
        <v>326</v>
      </c>
      <c r="F158" t="s">
        <v>327</v>
      </c>
      <c r="G158" t="str">
        <f>_xlfn.XLOOKUP(TRIM(E159),MedicineInfo!A:A,MedicineInfo!B:B,"Not Found")</f>
        <v>Metformin</v>
      </c>
      <c r="H158" s="1" t="str" cm="1">
        <f t="array" ref="H158">_xlfn.IFS(
OR(E158="Type 2 Diabetes",E158="Essential Hypertension",E158="Angina Pectoris",E158="Bronchial Asthma",E158="Cardiac Arrhythmia"), D158+30,
OR(E158="Gastritis",E158="Osteoarthritis",E158="Bronchitis",E158="Iron Deficiency Anemia"), D158+14,
OR(E158="Lumbar Strain",E158="Migraine Headache"), D158+7,
OR(E158="Viral Fever",E158="General Checkup","Routine Health Check"), "",
TRUE,""
)</f>
        <v/>
      </c>
      <c r="I158" s="1" t="str">
        <f t="shared" si="4"/>
        <v>No Follow-up Required</v>
      </c>
      <c r="J158" t="str">
        <f>TEXT(Table8[[#This Row],[visit_Date]],"DDDD")</f>
        <v>Tuesday</v>
      </c>
      <c r="K158" t="str">
        <f>TEXT(Table8[[#This Row],[visit_Date]],"mmmm")</f>
        <v>May</v>
      </c>
      <c r="L158" t="str">
        <f t="shared" si="5"/>
        <v>Summer</v>
      </c>
    </row>
    <row r="159" spans="1:12" x14ac:dyDescent="0.25">
      <c r="A159">
        <v>158</v>
      </c>
      <c r="B159">
        <v>1024</v>
      </c>
      <c r="C159">
        <v>1586</v>
      </c>
      <c r="D159" s="1">
        <v>45847</v>
      </c>
      <c r="E159" t="s">
        <v>317</v>
      </c>
      <c r="F159" t="s">
        <v>318</v>
      </c>
      <c r="G159" t="str">
        <f>_xlfn.XLOOKUP(TRIM(E160),MedicineInfo!A:A,MedicineInfo!B:B,"Not Found")</f>
        <v>Multivitamin</v>
      </c>
      <c r="H159" s="1" cm="1">
        <f t="array" ref="H159">_xlfn.IFS(
OR(E159="Type 2 Diabetes",E159="Essential Hypertension",E159="Angina Pectoris",E159="Bronchial Asthma",E159="Cardiac Arrhythmia"), D159+30,
OR(E159="Gastritis",E159="Osteoarthritis",E159="Bronchitis",E159="Iron Deficiency Anemia"), D159+14,
OR(E159="Lumbar Strain",E159="Migraine Headache"), D159+7,
OR(E159="Viral Fever",E159="General Checkup","Routine Health Check"), "",
TRUE,""
)</f>
        <v>45877</v>
      </c>
      <c r="I159" s="1" t="str">
        <f t="shared" si="4"/>
        <v>Follow-up Scheduled</v>
      </c>
      <c r="J159" t="str">
        <f>TEXT(Table8[[#This Row],[visit_Date]],"DDDD")</f>
        <v>Wednesday</v>
      </c>
      <c r="K159" t="str">
        <f>TEXT(Table8[[#This Row],[visit_Date]],"mmmm")</f>
        <v>July</v>
      </c>
      <c r="L159" t="str">
        <f t="shared" si="5"/>
        <v>Monsoon</v>
      </c>
    </row>
    <row r="160" spans="1:12" x14ac:dyDescent="0.25">
      <c r="A160">
        <v>159</v>
      </c>
      <c r="B160">
        <v>1027</v>
      </c>
      <c r="C160">
        <v>475</v>
      </c>
      <c r="D160" s="1">
        <v>45823</v>
      </c>
      <c r="E160" t="s">
        <v>24</v>
      </c>
      <c r="F160" t="s">
        <v>321</v>
      </c>
      <c r="G160" t="str">
        <f>_xlfn.XLOOKUP(TRIM(E161),MedicineInfo!A:A,MedicineInfo!B:B,"Not Found")</f>
        <v>Multivitamin</v>
      </c>
      <c r="H160" s="1" t="str" cm="1">
        <f t="array" ref="H160">_xlfn.IFS(
OR(E160="Type 2 Diabetes",E160="Essential Hypertension",E160="Angina Pectoris",E160="Bronchial Asthma",E160="Cardiac Arrhythmia"), D160+30,
OR(E160="Gastritis",E160="Osteoarthritis",E160="Bronchitis",E160="Iron Deficiency Anemia"), D160+14,
OR(E160="Lumbar Strain",E160="Migraine Headache"), D160+7,
OR(E160="Viral Fever",E160="General Checkup","Routine Health Check"), "",
TRUE,""
)</f>
        <v/>
      </c>
      <c r="I160" s="1" t="str">
        <f t="shared" si="4"/>
        <v>No Follow-up Required</v>
      </c>
      <c r="J160" t="str">
        <f>TEXT(Table8[[#This Row],[visit_Date]],"DDDD")</f>
        <v>Sunday</v>
      </c>
      <c r="K160" t="str">
        <f>TEXT(Table8[[#This Row],[visit_Date]],"mmmm")</f>
        <v>June</v>
      </c>
      <c r="L160" t="str">
        <f t="shared" si="5"/>
        <v>Monsoon</v>
      </c>
    </row>
    <row r="161" spans="1:12" x14ac:dyDescent="0.25">
      <c r="A161">
        <v>160</v>
      </c>
      <c r="B161">
        <v>1027</v>
      </c>
      <c r="C161">
        <v>1083</v>
      </c>
      <c r="D161" s="1">
        <v>45792</v>
      </c>
      <c r="E161" t="s">
        <v>24</v>
      </c>
      <c r="F161" t="s">
        <v>321</v>
      </c>
      <c r="G161" t="str">
        <f>_xlfn.XLOOKUP(TRIM(E162),MedicineInfo!A:A,MedicineInfo!B:B,"Not Found")</f>
        <v>Nitroglycerin</v>
      </c>
      <c r="H161" s="1" t="str" cm="1">
        <f t="array" ref="H161">_xlfn.IFS(
OR(E161="Type 2 Diabetes",E161="Essential Hypertension",E161="Angina Pectoris",E161="Bronchial Asthma",E161="Cardiac Arrhythmia"), D161+30,
OR(E161="Gastritis",E161="Osteoarthritis",E161="Bronchitis",E161="Iron Deficiency Anemia"), D161+14,
OR(E161="Lumbar Strain",E161="Migraine Headache"), D161+7,
OR(E161="Viral Fever",E161="General Checkup","Routine Health Check"), "",
TRUE,""
)</f>
        <v/>
      </c>
      <c r="I161" s="1" t="str">
        <f t="shared" si="4"/>
        <v>No Follow-up Required</v>
      </c>
      <c r="J161" t="str">
        <f>TEXT(Table8[[#This Row],[visit_Date]],"DDDD")</f>
        <v>Thursday</v>
      </c>
      <c r="K161" t="str">
        <f>TEXT(Table8[[#This Row],[visit_Date]],"mmmm")</f>
        <v>May</v>
      </c>
      <c r="L161" t="str">
        <f t="shared" si="5"/>
        <v>Summer</v>
      </c>
    </row>
    <row r="162" spans="1:12" x14ac:dyDescent="0.25">
      <c r="A162">
        <v>161</v>
      </c>
      <c r="B162">
        <v>1027</v>
      </c>
      <c r="C162">
        <v>1185</v>
      </c>
      <c r="D162" s="1">
        <v>45747</v>
      </c>
      <c r="E162" t="s">
        <v>322</v>
      </c>
      <c r="F162" t="s">
        <v>323</v>
      </c>
      <c r="G162" t="str">
        <f>_xlfn.XLOOKUP(TRIM(E163),MedicineInfo!A:A,MedicineInfo!B:B,"Not Found")</f>
        <v>Diclofenac</v>
      </c>
      <c r="H162" s="1" cm="1">
        <f t="array" ref="H162">_xlfn.IFS(
OR(E162="Type 2 Diabetes",E162="Essential Hypertension",E162="Angina Pectoris",E162="Bronchial Asthma",E162="Cardiac Arrhythmia"), D162+30,
OR(E162="Gastritis",E162="Osteoarthritis",E162="Bronchitis",E162="Iron Deficiency Anemia"), D162+14,
OR(E162="Lumbar Strain",E162="Migraine Headache"), D162+7,
OR(E162="Viral Fever",E162="General Checkup","Routine Health Check"), "",
TRUE,""
)</f>
        <v>45777</v>
      </c>
      <c r="I162" s="1" t="str">
        <f t="shared" si="4"/>
        <v>Follow-up Scheduled</v>
      </c>
      <c r="J162" t="str">
        <f>TEXT(Table8[[#This Row],[visit_Date]],"DDDD")</f>
        <v>Monday</v>
      </c>
      <c r="K162" t="str">
        <f>TEXT(Table8[[#This Row],[visit_Date]],"mmmm")</f>
        <v>March</v>
      </c>
      <c r="L162" t="str">
        <f t="shared" si="5"/>
        <v>Summer</v>
      </c>
    </row>
    <row r="163" spans="1:12" x14ac:dyDescent="0.25">
      <c r="A163">
        <v>162</v>
      </c>
      <c r="B163">
        <v>1027</v>
      </c>
      <c r="C163">
        <v>1257</v>
      </c>
      <c r="D163" s="1">
        <v>45792</v>
      </c>
      <c r="E163" t="s">
        <v>313</v>
      </c>
      <c r="F163" t="s">
        <v>314</v>
      </c>
      <c r="G163" t="str">
        <f>_xlfn.XLOOKUP(TRIM(E164),MedicineInfo!A:A,MedicineInfo!B:B,"Not Found")</f>
        <v>Multivitamin</v>
      </c>
      <c r="H163" s="1" cm="1">
        <f t="array" ref="H163">_xlfn.IFS(
OR(E163="Type 2 Diabetes",E163="Essential Hypertension",E163="Angina Pectoris",E163="Bronchial Asthma",E163="Cardiac Arrhythmia"), D163+30,
OR(E163="Gastritis",E163="Osteoarthritis",E163="Bronchitis",E163="Iron Deficiency Anemia"), D163+14,
OR(E163="Lumbar Strain",E163="Migraine Headache"), D163+7,
OR(E163="Viral Fever",E163="General Checkup","Routine Health Check"), "",
TRUE,""
)</f>
        <v>45799</v>
      </c>
      <c r="I163" s="1" t="str">
        <f t="shared" si="4"/>
        <v>Follow-up Scheduled</v>
      </c>
      <c r="J163" t="str">
        <f>TEXT(Table8[[#This Row],[visit_Date]],"DDDD")</f>
        <v>Thursday</v>
      </c>
      <c r="K163" t="str">
        <f>TEXT(Table8[[#This Row],[visit_Date]],"mmmm")</f>
        <v>May</v>
      </c>
      <c r="L163" t="str">
        <f t="shared" si="5"/>
        <v>Summer</v>
      </c>
    </row>
    <row r="164" spans="1:12" x14ac:dyDescent="0.25">
      <c r="A164">
        <v>163</v>
      </c>
      <c r="B164">
        <v>1027</v>
      </c>
      <c r="C164">
        <v>1514</v>
      </c>
      <c r="D164" s="1">
        <v>45859</v>
      </c>
      <c r="E164" t="s">
        <v>24</v>
      </c>
      <c r="F164" t="s">
        <v>321</v>
      </c>
      <c r="G164" t="str">
        <f>_xlfn.XLOOKUP(TRIM(E165),MedicineInfo!A:A,MedicineInfo!B:B,"Not Found")</f>
        <v>Paracetamol</v>
      </c>
      <c r="H164" s="1" t="str" cm="1">
        <f t="array" ref="H164">_xlfn.IFS(
OR(E164="Type 2 Diabetes",E164="Essential Hypertension",E164="Angina Pectoris",E164="Bronchial Asthma",E164="Cardiac Arrhythmia"), D164+30,
OR(E164="Gastritis",E164="Osteoarthritis",E164="Bronchitis",E164="Iron Deficiency Anemia"), D164+14,
OR(E164="Lumbar Strain",E164="Migraine Headache"), D164+7,
OR(E164="Viral Fever",E164="General Checkup","Routine Health Check"), "",
TRUE,""
)</f>
        <v/>
      </c>
      <c r="I164" s="1" t="str">
        <f t="shared" si="4"/>
        <v>No Follow-up Required</v>
      </c>
      <c r="J164" t="str">
        <f>TEXT(Table8[[#This Row],[visit_Date]],"DDDD")</f>
        <v>Monday</v>
      </c>
      <c r="K164" t="str">
        <f>TEXT(Table8[[#This Row],[visit_Date]],"mmmm")</f>
        <v>July</v>
      </c>
      <c r="L164" t="str">
        <f t="shared" si="5"/>
        <v>Monsoon</v>
      </c>
    </row>
    <row r="165" spans="1:12" x14ac:dyDescent="0.25">
      <c r="A165">
        <v>164</v>
      </c>
      <c r="B165">
        <v>1027</v>
      </c>
      <c r="C165">
        <v>1206</v>
      </c>
      <c r="D165" s="1">
        <v>45747</v>
      </c>
      <c r="E165" t="s">
        <v>326</v>
      </c>
      <c r="F165" t="s">
        <v>327</v>
      </c>
      <c r="G165" t="str">
        <f>_xlfn.XLOOKUP(TRIM(E166),MedicineInfo!A:A,MedicineInfo!B:B,"Not Found")</f>
        <v>Salbutamol Inhaler</v>
      </c>
      <c r="H165" s="1" t="str" cm="1">
        <f t="array" ref="H165">_xlfn.IFS(
OR(E165="Type 2 Diabetes",E165="Essential Hypertension",E165="Angina Pectoris",E165="Bronchial Asthma",E165="Cardiac Arrhythmia"), D165+30,
OR(E165="Gastritis",E165="Osteoarthritis",E165="Bronchitis",E165="Iron Deficiency Anemia"), D165+14,
OR(E165="Lumbar Strain",E165="Migraine Headache"), D165+7,
OR(E165="Viral Fever",E165="General Checkup","Routine Health Check"), "",
TRUE,""
)</f>
        <v/>
      </c>
      <c r="I165" s="1" t="str">
        <f t="shared" si="4"/>
        <v>No Follow-up Required</v>
      </c>
      <c r="J165" t="str">
        <f>TEXT(Table8[[#This Row],[visit_Date]],"DDDD")</f>
        <v>Monday</v>
      </c>
      <c r="K165" t="str">
        <f>TEXT(Table8[[#This Row],[visit_Date]],"mmmm")</f>
        <v>March</v>
      </c>
      <c r="L165" t="str">
        <f t="shared" si="5"/>
        <v>Summer</v>
      </c>
    </row>
    <row r="166" spans="1:12" x14ac:dyDescent="0.25">
      <c r="A166">
        <v>165</v>
      </c>
      <c r="B166">
        <v>1020</v>
      </c>
      <c r="C166">
        <v>881</v>
      </c>
      <c r="D166" s="1">
        <v>45789</v>
      </c>
      <c r="E166" t="s">
        <v>324</v>
      </c>
      <c r="F166" t="s">
        <v>325</v>
      </c>
      <c r="G166" t="str">
        <f>_xlfn.XLOOKUP(TRIM(E167),MedicineInfo!A:A,MedicineInfo!B:B,"Not Found")</f>
        <v>Metformin</v>
      </c>
      <c r="H166" s="1" cm="1">
        <f t="array" ref="H166">_xlfn.IFS(
OR(E166="Type 2 Diabetes",E166="Essential Hypertension",E166="Angina Pectoris",E166="Bronchial Asthma",E166="Cardiac Arrhythmia"), D166+30,
OR(E166="Gastritis",E166="Osteoarthritis",E166="Bronchitis",E166="Iron Deficiency Anemia"), D166+14,
OR(E166="Lumbar Strain",E166="Migraine Headache"), D166+7,
OR(E166="Viral Fever",E166="General Checkup","Routine Health Check"), "",
TRUE,""
)</f>
        <v>45819</v>
      </c>
      <c r="I166" s="1" t="str">
        <f t="shared" si="4"/>
        <v>Follow-up Scheduled</v>
      </c>
      <c r="J166" t="str">
        <f>TEXT(Table8[[#This Row],[visit_Date]],"DDDD")</f>
        <v>Monday</v>
      </c>
      <c r="K166" t="str">
        <f>TEXT(Table8[[#This Row],[visit_Date]],"mmmm")</f>
        <v>May</v>
      </c>
      <c r="L166" t="str">
        <f t="shared" si="5"/>
        <v>Summer</v>
      </c>
    </row>
    <row r="167" spans="1:12" x14ac:dyDescent="0.25">
      <c r="A167">
        <v>166</v>
      </c>
      <c r="B167">
        <v>1024</v>
      </c>
      <c r="C167">
        <v>443</v>
      </c>
      <c r="D167" s="1">
        <v>45722</v>
      </c>
      <c r="E167" t="s">
        <v>317</v>
      </c>
      <c r="F167" t="s">
        <v>318</v>
      </c>
      <c r="G167" t="str">
        <f>_xlfn.XLOOKUP(TRIM(E168),MedicineInfo!A:A,MedicineInfo!B:B,"Not Found")</f>
        <v>Sumatriptan</v>
      </c>
      <c r="H167" s="1" cm="1">
        <f t="array" ref="H167">_xlfn.IFS(
OR(E167="Type 2 Diabetes",E167="Essential Hypertension",E167="Angina Pectoris",E167="Bronchial Asthma",E167="Cardiac Arrhythmia"), D167+30,
OR(E167="Gastritis",E167="Osteoarthritis",E167="Bronchitis",E167="Iron Deficiency Anemia"), D167+14,
OR(E167="Lumbar Strain",E167="Migraine Headache"), D167+7,
OR(E167="Viral Fever",E167="General Checkup","Routine Health Check"), "",
TRUE,""
)</f>
        <v>45752</v>
      </c>
      <c r="I167" s="1" t="str">
        <f t="shared" si="4"/>
        <v>Follow-up Scheduled</v>
      </c>
      <c r="J167" t="str">
        <f>TEXT(Table8[[#This Row],[visit_Date]],"DDDD")</f>
        <v>Thursday</v>
      </c>
      <c r="K167" t="str">
        <f>TEXT(Table8[[#This Row],[visit_Date]],"mmmm")</f>
        <v>March</v>
      </c>
      <c r="L167" t="str">
        <f t="shared" si="5"/>
        <v>Summer</v>
      </c>
    </row>
    <row r="168" spans="1:12" x14ac:dyDescent="0.25">
      <c r="A168">
        <v>167</v>
      </c>
      <c r="B168">
        <v>1009</v>
      </c>
      <c r="C168">
        <v>271</v>
      </c>
      <c r="D168" s="1">
        <v>45865</v>
      </c>
      <c r="E168" t="s">
        <v>315</v>
      </c>
      <c r="F168" t="s">
        <v>316</v>
      </c>
      <c r="G168" t="str">
        <f>_xlfn.XLOOKUP(TRIM(E169),MedicineInfo!A:A,MedicineInfo!B:B,"Not Found")</f>
        <v>Metformin</v>
      </c>
      <c r="H168" s="1" cm="1">
        <f t="array" ref="H168">_xlfn.IFS(
OR(E168="Type 2 Diabetes",E168="Essential Hypertension",E168="Angina Pectoris",E168="Bronchial Asthma",E168="Cardiac Arrhythmia"), D168+30,
OR(E168="Gastritis",E168="Osteoarthritis",E168="Bronchitis",E168="Iron Deficiency Anemia"), D168+14,
OR(E168="Lumbar Strain",E168="Migraine Headache"), D168+7,
OR(E168="Viral Fever",E168="General Checkup","Routine Health Check"), "",
TRUE,""
)</f>
        <v>45872</v>
      </c>
      <c r="I168" s="1" t="str">
        <f t="shared" si="4"/>
        <v>Follow-up Scheduled</v>
      </c>
      <c r="J168" t="str">
        <f>TEXT(Table8[[#This Row],[visit_Date]],"DDDD")</f>
        <v>Sunday</v>
      </c>
      <c r="K168" t="str">
        <f>TEXT(Table8[[#This Row],[visit_Date]],"mmmm")</f>
        <v>July</v>
      </c>
      <c r="L168" t="str">
        <f t="shared" si="5"/>
        <v>Monsoon</v>
      </c>
    </row>
    <row r="169" spans="1:12" x14ac:dyDescent="0.25">
      <c r="A169">
        <v>168</v>
      </c>
      <c r="B169">
        <v>1024</v>
      </c>
      <c r="C169">
        <v>952</v>
      </c>
      <c r="D169" s="1">
        <v>45822</v>
      </c>
      <c r="E169" t="s">
        <v>317</v>
      </c>
      <c r="F169" t="s">
        <v>318</v>
      </c>
      <c r="G169" t="str">
        <f>_xlfn.XLOOKUP(TRIM(E170),MedicineInfo!A:A,MedicineInfo!B:B,"Not Found")</f>
        <v>Sumatriptan</v>
      </c>
      <c r="H169" s="1" cm="1">
        <f t="array" ref="H169">_xlfn.IFS(
OR(E169="Type 2 Diabetes",E169="Essential Hypertension",E169="Angina Pectoris",E169="Bronchial Asthma",E169="Cardiac Arrhythmia"), D169+30,
OR(E169="Gastritis",E169="Osteoarthritis",E169="Bronchitis",E169="Iron Deficiency Anemia"), D169+14,
OR(E169="Lumbar Strain",E169="Migraine Headache"), D169+7,
OR(E169="Viral Fever",E169="General Checkup","Routine Health Check"), "",
TRUE,""
)</f>
        <v>45852</v>
      </c>
      <c r="I169" s="1" t="str">
        <f t="shared" si="4"/>
        <v>Follow-up Scheduled</v>
      </c>
      <c r="J169" t="str">
        <f>TEXT(Table8[[#This Row],[visit_Date]],"DDDD")</f>
        <v>Saturday</v>
      </c>
      <c r="K169" t="str">
        <f>TEXT(Table8[[#This Row],[visit_Date]],"mmmm")</f>
        <v>June</v>
      </c>
      <c r="L169" t="str">
        <f t="shared" si="5"/>
        <v>Monsoon</v>
      </c>
    </row>
    <row r="170" spans="1:12" x14ac:dyDescent="0.25">
      <c r="A170">
        <v>169</v>
      </c>
      <c r="B170">
        <v>1008</v>
      </c>
      <c r="C170">
        <v>403</v>
      </c>
      <c r="D170" s="1">
        <v>45669</v>
      </c>
      <c r="E170" t="s">
        <v>315</v>
      </c>
      <c r="F170" t="s">
        <v>316</v>
      </c>
      <c r="G170" t="str">
        <f>_xlfn.XLOOKUP(TRIM(E171),MedicineInfo!A:A,MedicineInfo!B:B,"Not Found")</f>
        <v>Salbutamol Inhaler</v>
      </c>
      <c r="H170" s="1" cm="1">
        <f t="array" ref="H170">_xlfn.IFS(
OR(E170="Type 2 Diabetes",E170="Essential Hypertension",E170="Angina Pectoris",E170="Bronchial Asthma",E170="Cardiac Arrhythmia"), D170+30,
OR(E170="Gastritis",E170="Osteoarthritis",E170="Bronchitis",E170="Iron Deficiency Anemia"), D170+14,
OR(E170="Lumbar Strain",E170="Migraine Headache"), D170+7,
OR(E170="Viral Fever",E170="General Checkup","Routine Health Check"), "",
TRUE,""
)</f>
        <v>45676</v>
      </c>
      <c r="I170" s="1" t="str">
        <f t="shared" si="4"/>
        <v>Follow-up Scheduled</v>
      </c>
      <c r="J170" t="str">
        <f>TEXT(Table8[[#This Row],[visit_Date]],"DDDD")</f>
        <v>Sunday</v>
      </c>
      <c r="K170" t="str">
        <f>TEXT(Table8[[#This Row],[visit_Date]],"mmmm")</f>
        <v>January</v>
      </c>
      <c r="L170" t="str">
        <f t="shared" si="5"/>
        <v>Winter</v>
      </c>
    </row>
    <row r="171" spans="1:12" x14ac:dyDescent="0.25">
      <c r="A171">
        <v>170</v>
      </c>
      <c r="B171">
        <v>1020</v>
      </c>
      <c r="C171">
        <v>627</v>
      </c>
      <c r="D171" s="1">
        <v>45672</v>
      </c>
      <c r="E171" t="s">
        <v>324</v>
      </c>
      <c r="F171" t="s">
        <v>325</v>
      </c>
      <c r="G171" t="str">
        <f>_xlfn.XLOOKUP(TRIM(E172),MedicineInfo!A:A,MedicineInfo!B:B,"Not Found")</f>
        <v>Salbutamol Inhaler</v>
      </c>
      <c r="H171" s="1" cm="1">
        <f t="array" ref="H171">_xlfn.IFS(
OR(E171="Type 2 Diabetes",E171="Essential Hypertension",E171="Angina Pectoris",E171="Bronchial Asthma",E171="Cardiac Arrhythmia"), D171+30,
OR(E171="Gastritis",E171="Osteoarthritis",E171="Bronchitis",E171="Iron Deficiency Anemia"), D171+14,
OR(E171="Lumbar Strain",E171="Migraine Headache"), D171+7,
OR(E171="Viral Fever",E171="General Checkup","Routine Health Check"), "",
TRUE,""
)</f>
        <v>45702</v>
      </c>
      <c r="I171" s="1" t="str">
        <f t="shared" si="4"/>
        <v>Follow-up Scheduled</v>
      </c>
      <c r="J171" t="str">
        <f>TEXT(Table8[[#This Row],[visit_Date]],"DDDD")</f>
        <v>Wednesday</v>
      </c>
      <c r="K171" t="str">
        <f>TEXT(Table8[[#This Row],[visit_Date]],"mmmm")</f>
        <v>January</v>
      </c>
      <c r="L171" t="str">
        <f t="shared" si="5"/>
        <v>Winter</v>
      </c>
    </row>
    <row r="172" spans="1:12" x14ac:dyDescent="0.25">
      <c r="A172">
        <v>171</v>
      </c>
      <c r="B172">
        <v>1020</v>
      </c>
      <c r="C172">
        <v>1507</v>
      </c>
      <c r="D172" s="1">
        <v>45786</v>
      </c>
      <c r="E172" t="s">
        <v>324</v>
      </c>
      <c r="F172" t="s">
        <v>325</v>
      </c>
      <c r="G172" t="str">
        <f>_xlfn.XLOOKUP(TRIM(E173),MedicineInfo!A:A,MedicineInfo!B:B,"Not Found")</f>
        <v>Salbutamol Inhaler</v>
      </c>
      <c r="H172" s="1" cm="1">
        <f t="array" ref="H172">_xlfn.IFS(
OR(E172="Type 2 Diabetes",E172="Essential Hypertension",E172="Angina Pectoris",E172="Bronchial Asthma",E172="Cardiac Arrhythmia"), D172+30,
OR(E172="Gastritis",E172="Osteoarthritis",E172="Bronchitis",E172="Iron Deficiency Anemia"), D172+14,
OR(E172="Lumbar Strain",E172="Migraine Headache"), D172+7,
OR(E172="Viral Fever",E172="General Checkup","Routine Health Check"), "",
TRUE,""
)</f>
        <v>45816</v>
      </c>
      <c r="I172" s="1" t="str">
        <f t="shared" si="4"/>
        <v>Follow-up Scheduled</v>
      </c>
      <c r="J172" t="str">
        <f>TEXT(Table8[[#This Row],[visit_Date]],"DDDD")</f>
        <v>Friday</v>
      </c>
      <c r="K172" t="str">
        <f>TEXT(Table8[[#This Row],[visit_Date]],"mmmm")</f>
        <v>May</v>
      </c>
      <c r="L172" t="str">
        <f t="shared" si="5"/>
        <v>Summer</v>
      </c>
    </row>
    <row r="173" spans="1:12" x14ac:dyDescent="0.25">
      <c r="A173">
        <v>172</v>
      </c>
      <c r="B173">
        <v>1020</v>
      </c>
      <c r="C173">
        <v>1582</v>
      </c>
      <c r="D173" s="1">
        <v>45799</v>
      </c>
      <c r="E173" t="s">
        <v>324</v>
      </c>
      <c r="F173" t="s">
        <v>325</v>
      </c>
      <c r="G173" t="str">
        <f>_xlfn.XLOOKUP(TRIM(E174),MedicineInfo!A:A,MedicineInfo!B:B,"Not Found")</f>
        <v>Amlodipine</v>
      </c>
      <c r="H173" s="1" cm="1">
        <f t="array" ref="H173">_xlfn.IFS(
OR(E173="Type 2 Diabetes",E173="Essential Hypertension",E173="Angina Pectoris",E173="Bronchial Asthma",E173="Cardiac Arrhythmia"), D173+30,
OR(E173="Gastritis",E173="Osteoarthritis",E173="Bronchitis",E173="Iron Deficiency Anemia"), D173+14,
OR(E173="Lumbar Strain",E173="Migraine Headache"), D173+7,
OR(E173="Viral Fever",E173="General Checkup","Routine Health Check"), "",
TRUE,""
)</f>
        <v>45829</v>
      </c>
      <c r="I173" s="1" t="str">
        <f t="shared" si="4"/>
        <v>Follow-up Scheduled</v>
      </c>
      <c r="J173" t="str">
        <f>TEXT(Table8[[#This Row],[visit_Date]],"DDDD")</f>
        <v>Thursday</v>
      </c>
      <c r="K173" t="str">
        <f>TEXT(Table8[[#This Row],[visit_Date]],"mmmm")</f>
        <v>May</v>
      </c>
      <c r="L173" t="str">
        <f t="shared" si="5"/>
        <v>Summer</v>
      </c>
    </row>
    <row r="174" spans="1:12" x14ac:dyDescent="0.25">
      <c r="A174">
        <v>173</v>
      </c>
      <c r="B174">
        <v>1003</v>
      </c>
      <c r="C174">
        <v>387</v>
      </c>
      <c r="D174" s="1">
        <v>45742</v>
      </c>
      <c r="E174" t="s">
        <v>319</v>
      </c>
      <c r="F174" t="s">
        <v>320</v>
      </c>
      <c r="G174" t="str">
        <f>_xlfn.XLOOKUP(TRIM(E175),MedicineInfo!A:A,MedicineInfo!B:B,"Not Found")</f>
        <v>Multivitamin</v>
      </c>
      <c r="H174" s="1" cm="1">
        <f t="array" ref="H174">_xlfn.IFS(
OR(E174="Type 2 Diabetes",E174="Essential Hypertension",E174="Angina Pectoris",E174="Bronchial Asthma",E174="Cardiac Arrhythmia"), D174+30,
OR(E174="Gastritis",E174="Osteoarthritis",E174="Bronchitis",E174="Iron Deficiency Anemia"), D174+14,
OR(E174="Lumbar Strain",E174="Migraine Headache"), D174+7,
OR(E174="Viral Fever",E174="General Checkup","Routine Health Check"), "",
TRUE,""
)</f>
        <v>45772</v>
      </c>
      <c r="I174" s="1" t="str">
        <f t="shared" si="4"/>
        <v>Follow-up Scheduled</v>
      </c>
      <c r="J174" t="str">
        <f>TEXT(Table8[[#This Row],[visit_Date]],"DDDD")</f>
        <v>Wednesday</v>
      </c>
      <c r="K174" t="str">
        <f>TEXT(Table8[[#This Row],[visit_Date]],"mmmm")</f>
        <v>March</v>
      </c>
      <c r="L174" t="str">
        <f t="shared" si="5"/>
        <v>Summer</v>
      </c>
    </row>
    <row r="175" spans="1:12" x14ac:dyDescent="0.25">
      <c r="A175">
        <v>174</v>
      </c>
      <c r="B175">
        <v>1027</v>
      </c>
      <c r="C175">
        <v>436</v>
      </c>
      <c r="D175" s="1">
        <v>45740</v>
      </c>
      <c r="E175" t="s">
        <v>24</v>
      </c>
      <c r="F175" t="s">
        <v>321</v>
      </c>
      <c r="G175" t="str">
        <f>_xlfn.XLOOKUP(TRIM(E176),MedicineInfo!A:A,MedicineInfo!B:B,"Not Found")</f>
        <v>Amlodipine</v>
      </c>
      <c r="H175" s="1" t="str" cm="1">
        <f t="array" ref="H175">_xlfn.IFS(
OR(E175="Type 2 Diabetes",E175="Essential Hypertension",E175="Angina Pectoris",E175="Bronchial Asthma",E175="Cardiac Arrhythmia"), D175+30,
OR(E175="Gastritis",E175="Osteoarthritis",E175="Bronchitis",E175="Iron Deficiency Anemia"), D175+14,
OR(E175="Lumbar Strain",E175="Migraine Headache"), D175+7,
OR(E175="Viral Fever",E175="General Checkup","Routine Health Check"), "",
TRUE,""
)</f>
        <v/>
      </c>
      <c r="I175" s="1" t="str">
        <f t="shared" si="4"/>
        <v>No Follow-up Required</v>
      </c>
      <c r="J175" t="str">
        <f>TEXT(Table8[[#This Row],[visit_Date]],"DDDD")</f>
        <v>Monday</v>
      </c>
      <c r="K175" t="str">
        <f>TEXT(Table8[[#This Row],[visit_Date]],"mmmm")</f>
        <v>March</v>
      </c>
      <c r="L175" t="str">
        <f t="shared" si="5"/>
        <v>Summer</v>
      </c>
    </row>
    <row r="176" spans="1:12" x14ac:dyDescent="0.25">
      <c r="A176">
        <v>175</v>
      </c>
      <c r="B176">
        <v>1004</v>
      </c>
      <c r="C176">
        <v>362</v>
      </c>
      <c r="D176" s="1">
        <v>45669</v>
      </c>
      <c r="E176" t="s">
        <v>319</v>
      </c>
      <c r="F176" t="s">
        <v>320</v>
      </c>
      <c r="G176" t="str">
        <f>_xlfn.XLOOKUP(TRIM(E177),MedicineInfo!A:A,MedicineInfo!B:B,"Not Found")</f>
        <v>Diclofenac</v>
      </c>
      <c r="H176" s="1" cm="1">
        <f t="array" ref="H176">_xlfn.IFS(
OR(E176="Type 2 Diabetes",E176="Essential Hypertension",E176="Angina Pectoris",E176="Bronchial Asthma",E176="Cardiac Arrhythmia"), D176+30,
OR(E176="Gastritis",E176="Osteoarthritis",E176="Bronchitis",E176="Iron Deficiency Anemia"), D176+14,
OR(E176="Lumbar Strain",E176="Migraine Headache"), D176+7,
OR(E176="Viral Fever",E176="General Checkup","Routine Health Check"), "",
TRUE,""
)</f>
        <v>45699</v>
      </c>
      <c r="I176" s="1" t="str">
        <f t="shared" si="4"/>
        <v>Follow-up Scheduled</v>
      </c>
      <c r="J176" t="str">
        <f>TEXT(Table8[[#This Row],[visit_Date]],"DDDD")</f>
        <v>Sunday</v>
      </c>
      <c r="K176" t="str">
        <f>TEXT(Table8[[#This Row],[visit_Date]],"mmmm")</f>
        <v>January</v>
      </c>
      <c r="L176" t="str">
        <f t="shared" si="5"/>
        <v>Winter</v>
      </c>
    </row>
    <row r="177" spans="1:12" x14ac:dyDescent="0.25">
      <c r="A177">
        <v>176</v>
      </c>
      <c r="B177">
        <v>1027</v>
      </c>
      <c r="C177">
        <v>738</v>
      </c>
      <c r="D177" s="1">
        <v>45792</v>
      </c>
      <c r="E177" t="s">
        <v>313</v>
      </c>
      <c r="F177" t="s">
        <v>314</v>
      </c>
      <c r="G177" t="str">
        <f>_xlfn.XLOOKUP(TRIM(E178),MedicineInfo!A:A,MedicineInfo!B:B,"Not Found")</f>
        <v>Multivitamin</v>
      </c>
      <c r="H177" s="1" cm="1">
        <f t="array" ref="H177">_xlfn.IFS(
OR(E177="Type 2 Diabetes",E177="Essential Hypertension",E177="Angina Pectoris",E177="Bronchial Asthma",E177="Cardiac Arrhythmia"), D177+30,
OR(E177="Gastritis",E177="Osteoarthritis",E177="Bronchitis",E177="Iron Deficiency Anemia"), D177+14,
OR(E177="Lumbar Strain",E177="Migraine Headache"), D177+7,
OR(E177="Viral Fever",E177="General Checkup","Routine Health Check"), "",
TRUE,""
)</f>
        <v>45799</v>
      </c>
      <c r="I177" s="1" t="str">
        <f t="shared" si="4"/>
        <v>Follow-up Scheduled</v>
      </c>
      <c r="J177" t="str">
        <f>TEXT(Table8[[#This Row],[visit_Date]],"DDDD")</f>
        <v>Thursday</v>
      </c>
      <c r="K177" t="str">
        <f>TEXT(Table8[[#This Row],[visit_Date]],"mmmm")</f>
        <v>May</v>
      </c>
      <c r="L177" t="str">
        <f t="shared" si="5"/>
        <v>Summer</v>
      </c>
    </row>
    <row r="178" spans="1:12" x14ac:dyDescent="0.25">
      <c r="A178">
        <v>177</v>
      </c>
      <c r="B178">
        <v>1027</v>
      </c>
      <c r="C178">
        <v>1060</v>
      </c>
      <c r="D178" s="1">
        <v>45700</v>
      </c>
      <c r="E178" t="s">
        <v>24</v>
      </c>
      <c r="F178" t="s">
        <v>321</v>
      </c>
      <c r="G178" t="str">
        <f>_xlfn.XLOOKUP(TRIM(E179),MedicineInfo!A:A,MedicineInfo!B:B,"Not Found")</f>
        <v>Amlodipine</v>
      </c>
      <c r="H178" s="1" t="str" cm="1">
        <f t="array" ref="H178">_xlfn.IFS(
OR(E178="Type 2 Diabetes",E178="Essential Hypertension",E178="Angina Pectoris",E178="Bronchial Asthma",E178="Cardiac Arrhythmia"), D178+30,
OR(E178="Gastritis",E178="Osteoarthritis",E178="Bronchitis",E178="Iron Deficiency Anemia"), D178+14,
OR(E178="Lumbar Strain",E178="Migraine Headache"), D178+7,
OR(E178="Viral Fever",E178="General Checkup","Routine Health Check"), "",
TRUE,""
)</f>
        <v/>
      </c>
      <c r="I178" s="1" t="str">
        <f t="shared" si="4"/>
        <v>No Follow-up Required</v>
      </c>
      <c r="J178" t="str">
        <f>TEXT(Table8[[#This Row],[visit_Date]],"DDDD")</f>
        <v>Wednesday</v>
      </c>
      <c r="K178" t="str">
        <f>TEXT(Table8[[#This Row],[visit_Date]],"mmmm")</f>
        <v>February</v>
      </c>
      <c r="L178" t="str">
        <f t="shared" si="5"/>
        <v>Winter</v>
      </c>
    </row>
    <row r="179" spans="1:12" x14ac:dyDescent="0.25">
      <c r="A179">
        <v>178</v>
      </c>
      <c r="B179">
        <v>1002</v>
      </c>
      <c r="C179">
        <v>1597</v>
      </c>
      <c r="D179" s="1">
        <v>45814</v>
      </c>
      <c r="E179" t="s">
        <v>319</v>
      </c>
      <c r="F179" t="s">
        <v>320</v>
      </c>
      <c r="G179" t="str">
        <f>_xlfn.XLOOKUP(TRIM(E180),MedicineInfo!A:A,MedicineInfo!B:B,"Not Found")</f>
        <v>Metformin</v>
      </c>
      <c r="H179" s="1" cm="1">
        <f t="array" ref="H179">_xlfn.IFS(
OR(E179="Type 2 Diabetes",E179="Essential Hypertension",E179="Angina Pectoris",E179="Bronchial Asthma",E179="Cardiac Arrhythmia"), D179+30,
OR(E179="Gastritis",E179="Osteoarthritis",E179="Bronchitis",E179="Iron Deficiency Anemia"), D179+14,
OR(E179="Lumbar Strain",E179="Migraine Headache"), D179+7,
OR(E179="Viral Fever",E179="General Checkup","Routine Health Check"), "",
TRUE,""
)</f>
        <v>45844</v>
      </c>
      <c r="I179" s="1" t="str">
        <f t="shared" si="4"/>
        <v>Follow-up Scheduled</v>
      </c>
      <c r="J179" t="str">
        <f>TEXT(Table8[[#This Row],[visit_Date]],"DDDD")</f>
        <v>Friday</v>
      </c>
      <c r="K179" t="str">
        <f>TEXT(Table8[[#This Row],[visit_Date]],"mmmm")</f>
        <v>June</v>
      </c>
      <c r="L179" t="str">
        <f t="shared" si="5"/>
        <v>Monsoon</v>
      </c>
    </row>
    <row r="180" spans="1:12" x14ac:dyDescent="0.25">
      <c r="A180">
        <v>179</v>
      </c>
      <c r="B180">
        <v>1024</v>
      </c>
      <c r="C180">
        <v>680</v>
      </c>
      <c r="D180" s="1">
        <v>45691</v>
      </c>
      <c r="E180" t="s">
        <v>317</v>
      </c>
      <c r="F180" t="s">
        <v>318</v>
      </c>
      <c r="G180" t="str">
        <f>_xlfn.XLOOKUP(TRIM(E181),MedicineInfo!A:A,MedicineInfo!B:B,"Not Found")</f>
        <v>Salbutamol Inhaler</v>
      </c>
      <c r="H180" s="1" cm="1">
        <f t="array" ref="H180">_xlfn.IFS(
OR(E180="Type 2 Diabetes",E180="Essential Hypertension",E180="Angina Pectoris",E180="Bronchial Asthma",E180="Cardiac Arrhythmia"), D180+30,
OR(E180="Gastritis",E180="Osteoarthritis",E180="Bronchitis",E180="Iron Deficiency Anemia"), D180+14,
OR(E180="Lumbar Strain",E180="Migraine Headache"), D180+7,
OR(E180="Viral Fever",E180="General Checkup","Routine Health Check"), "",
TRUE,""
)</f>
        <v>45721</v>
      </c>
      <c r="I180" s="1" t="str">
        <f t="shared" si="4"/>
        <v>Follow-up Scheduled</v>
      </c>
      <c r="J180" t="str">
        <f>TEXT(Table8[[#This Row],[visit_Date]],"DDDD")</f>
        <v>Monday</v>
      </c>
      <c r="K180" t="str">
        <f>TEXT(Table8[[#This Row],[visit_Date]],"mmmm")</f>
        <v>February</v>
      </c>
      <c r="L180" t="str">
        <f t="shared" si="5"/>
        <v>Winter</v>
      </c>
    </row>
    <row r="181" spans="1:12" x14ac:dyDescent="0.25">
      <c r="A181">
        <v>180</v>
      </c>
      <c r="B181">
        <v>1020</v>
      </c>
      <c r="C181">
        <v>528</v>
      </c>
      <c r="D181" s="1">
        <v>45767</v>
      </c>
      <c r="E181" t="s">
        <v>324</v>
      </c>
      <c r="F181" t="s">
        <v>325</v>
      </c>
      <c r="G181" t="str">
        <f>_xlfn.XLOOKUP(TRIM(E182),MedicineInfo!A:A,MedicineInfo!B:B,"Not Found")</f>
        <v>Diclofenac</v>
      </c>
      <c r="H181" s="1" cm="1">
        <f t="array" ref="H181">_xlfn.IFS(
OR(E181="Type 2 Diabetes",E181="Essential Hypertension",E181="Angina Pectoris",E181="Bronchial Asthma",E181="Cardiac Arrhythmia"), D181+30,
OR(E181="Gastritis",E181="Osteoarthritis",E181="Bronchitis",E181="Iron Deficiency Anemia"), D181+14,
OR(E181="Lumbar Strain",E181="Migraine Headache"), D181+7,
OR(E181="Viral Fever",E181="General Checkup","Routine Health Check"), "",
TRUE,""
)</f>
        <v>45797</v>
      </c>
      <c r="I181" s="1" t="str">
        <f t="shared" si="4"/>
        <v>Follow-up Scheduled</v>
      </c>
      <c r="J181" t="str">
        <f>TEXT(Table8[[#This Row],[visit_Date]],"DDDD")</f>
        <v>Sunday</v>
      </c>
      <c r="K181" t="str">
        <f>TEXT(Table8[[#This Row],[visit_Date]],"mmmm")</f>
        <v>April</v>
      </c>
      <c r="L181" t="str">
        <f t="shared" si="5"/>
        <v>Summer</v>
      </c>
    </row>
    <row r="182" spans="1:12" x14ac:dyDescent="0.25">
      <c r="A182">
        <v>181</v>
      </c>
      <c r="B182">
        <v>1027</v>
      </c>
      <c r="C182">
        <v>1167</v>
      </c>
      <c r="D182" s="1">
        <v>45814</v>
      </c>
      <c r="E182" t="s">
        <v>313</v>
      </c>
      <c r="F182" t="s">
        <v>314</v>
      </c>
      <c r="G182" t="str">
        <f>_xlfn.XLOOKUP(TRIM(E183),MedicineInfo!A:A,MedicineInfo!B:B,"Not Found")</f>
        <v>Multivitamin</v>
      </c>
      <c r="H182" s="1" cm="1">
        <f t="array" ref="H182">_xlfn.IFS(
OR(E182="Type 2 Diabetes",E182="Essential Hypertension",E182="Angina Pectoris",E182="Bronchial Asthma",E182="Cardiac Arrhythmia"), D182+30,
OR(E182="Gastritis",E182="Osteoarthritis",E182="Bronchitis",E182="Iron Deficiency Anemia"), D182+14,
OR(E182="Lumbar Strain",E182="Migraine Headache"), D182+7,
OR(E182="Viral Fever",E182="General Checkup","Routine Health Check"), "",
TRUE,""
)</f>
        <v>45821</v>
      </c>
      <c r="I182" s="1" t="str">
        <f t="shared" si="4"/>
        <v>Follow-up Scheduled</v>
      </c>
      <c r="J182" t="str">
        <f>TEXT(Table8[[#This Row],[visit_Date]],"DDDD")</f>
        <v>Friday</v>
      </c>
      <c r="K182" t="str">
        <f>TEXT(Table8[[#This Row],[visit_Date]],"mmmm")</f>
        <v>June</v>
      </c>
      <c r="L182" t="str">
        <f t="shared" si="5"/>
        <v>Monsoon</v>
      </c>
    </row>
    <row r="183" spans="1:12" x14ac:dyDescent="0.25">
      <c r="A183">
        <v>182</v>
      </c>
      <c r="B183">
        <v>1027</v>
      </c>
      <c r="C183">
        <v>414</v>
      </c>
      <c r="D183" s="1">
        <v>45795</v>
      </c>
      <c r="E183" t="s">
        <v>24</v>
      </c>
      <c r="F183" t="s">
        <v>321</v>
      </c>
      <c r="G183" t="str">
        <f>_xlfn.XLOOKUP(TRIM(E184),MedicineInfo!A:A,MedicineInfo!B:B,"Not Found")</f>
        <v>Amlodipine</v>
      </c>
      <c r="H183" s="1" t="str" cm="1">
        <f t="array" ref="H183">_xlfn.IFS(
OR(E183="Type 2 Diabetes",E183="Essential Hypertension",E183="Angina Pectoris",E183="Bronchial Asthma",E183="Cardiac Arrhythmia"), D183+30,
OR(E183="Gastritis",E183="Osteoarthritis",E183="Bronchitis",E183="Iron Deficiency Anemia"), D183+14,
OR(E183="Lumbar Strain",E183="Migraine Headache"), D183+7,
OR(E183="Viral Fever",E183="General Checkup","Routine Health Check"), "",
TRUE,""
)</f>
        <v/>
      </c>
      <c r="I183" s="1" t="str">
        <f t="shared" si="4"/>
        <v>No Follow-up Required</v>
      </c>
      <c r="J183" t="str">
        <f>TEXT(Table8[[#This Row],[visit_Date]],"DDDD")</f>
        <v>Sunday</v>
      </c>
      <c r="K183" t="str">
        <f>TEXT(Table8[[#This Row],[visit_Date]],"mmmm")</f>
        <v>May</v>
      </c>
      <c r="L183" t="str">
        <f t="shared" si="5"/>
        <v>Summer</v>
      </c>
    </row>
    <row r="184" spans="1:12" x14ac:dyDescent="0.25">
      <c r="A184">
        <v>183</v>
      </c>
      <c r="B184">
        <v>1002</v>
      </c>
      <c r="C184">
        <v>852</v>
      </c>
      <c r="D184" s="1">
        <v>45797</v>
      </c>
      <c r="E184" t="s">
        <v>319</v>
      </c>
      <c r="F184" t="s">
        <v>320</v>
      </c>
      <c r="G184" t="str">
        <f>_xlfn.XLOOKUP(TRIM(E185),MedicineInfo!A:A,MedicineInfo!B:B,"Not Found")</f>
        <v>Multivitamin</v>
      </c>
      <c r="H184" s="1" cm="1">
        <f t="array" ref="H184">_xlfn.IFS(
OR(E184="Type 2 Diabetes",E184="Essential Hypertension",E184="Angina Pectoris",E184="Bronchial Asthma",E184="Cardiac Arrhythmia"), D184+30,
OR(E184="Gastritis",E184="Osteoarthritis",E184="Bronchitis",E184="Iron Deficiency Anemia"), D184+14,
OR(E184="Lumbar Strain",E184="Migraine Headache"), D184+7,
OR(E184="Viral Fever",E184="General Checkup","Routine Health Check"), "",
TRUE,""
)</f>
        <v>45827</v>
      </c>
      <c r="I184" s="1" t="str">
        <f t="shared" si="4"/>
        <v>Follow-up Scheduled</v>
      </c>
      <c r="J184" t="str">
        <f>TEXT(Table8[[#This Row],[visit_Date]],"DDDD")</f>
        <v>Tuesday</v>
      </c>
      <c r="K184" t="str">
        <f>TEXT(Table8[[#This Row],[visit_Date]],"mmmm")</f>
        <v>May</v>
      </c>
      <c r="L184" t="str">
        <f t="shared" si="5"/>
        <v>Summer</v>
      </c>
    </row>
    <row r="185" spans="1:12" x14ac:dyDescent="0.25">
      <c r="A185">
        <v>184</v>
      </c>
      <c r="B185">
        <v>1027</v>
      </c>
      <c r="C185">
        <v>822</v>
      </c>
      <c r="D185" s="1">
        <v>45853</v>
      </c>
      <c r="E185" t="s">
        <v>24</v>
      </c>
      <c r="F185" t="s">
        <v>321</v>
      </c>
      <c r="G185" t="str">
        <f>_xlfn.XLOOKUP(TRIM(E186),MedicineInfo!A:A,MedicineInfo!B:B,"Not Found")</f>
        <v>Sumatriptan</v>
      </c>
      <c r="H185" s="1" t="str" cm="1">
        <f t="array" ref="H185">_xlfn.IFS(
OR(E185="Type 2 Diabetes",E185="Essential Hypertension",E185="Angina Pectoris",E185="Bronchial Asthma",E185="Cardiac Arrhythmia"), D185+30,
OR(E185="Gastritis",E185="Osteoarthritis",E185="Bronchitis",E185="Iron Deficiency Anemia"), D185+14,
OR(E185="Lumbar Strain",E185="Migraine Headache"), D185+7,
OR(E185="Viral Fever",E185="General Checkup","Routine Health Check"), "",
TRUE,""
)</f>
        <v/>
      </c>
      <c r="I185" s="1" t="str">
        <f t="shared" si="4"/>
        <v>No Follow-up Required</v>
      </c>
      <c r="J185" t="str">
        <f>TEXT(Table8[[#This Row],[visit_Date]],"DDDD")</f>
        <v>Tuesday</v>
      </c>
      <c r="K185" t="str">
        <f>TEXT(Table8[[#This Row],[visit_Date]],"mmmm")</f>
        <v>July</v>
      </c>
      <c r="L185" t="str">
        <f t="shared" si="5"/>
        <v>Monsoon</v>
      </c>
    </row>
    <row r="186" spans="1:12" x14ac:dyDescent="0.25">
      <c r="A186">
        <v>185</v>
      </c>
      <c r="B186">
        <v>1009</v>
      </c>
      <c r="C186">
        <v>1550</v>
      </c>
      <c r="D186" s="1">
        <v>45814</v>
      </c>
      <c r="E186" t="s">
        <v>315</v>
      </c>
      <c r="F186" t="s">
        <v>316</v>
      </c>
      <c r="G186" t="str">
        <f>_xlfn.XLOOKUP(TRIM(E187),MedicineInfo!A:A,MedicineInfo!B:B,"Not Found")</f>
        <v>Nitroglycerin</v>
      </c>
      <c r="H186" s="1" cm="1">
        <f t="array" ref="H186">_xlfn.IFS(
OR(E186="Type 2 Diabetes",E186="Essential Hypertension",E186="Angina Pectoris",E186="Bronchial Asthma",E186="Cardiac Arrhythmia"), D186+30,
OR(E186="Gastritis",E186="Osteoarthritis",E186="Bronchitis",E186="Iron Deficiency Anemia"), D186+14,
OR(E186="Lumbar Strain",E186="Migraine Headache"), D186+7,
OR(E186="Viral Fever",E186="General Checkup","Routine Health Check"), "",
TRUE,""
)</f>
        <v>45821</v>
      </c>
      <c r="I186" s="1" t="str">
        <f t="shared" si="4"/>
        <v>Follow-up Scheduled</v>
      </c>
      <c r="J186" t="str">
        <f>TEXT(Table8[[#This Row],[visit_Date]],"DDDD")</f>
        <v>Friday</v>
      </c>
      <c r="K186" t="str">
        <f>TEXT(Table8[[#This Row],[visit_Date]],"mmmm")</f>
        <v>June</v>
      </c>
      <c r="L186" t="str">
        <f t="shared" si="5"/>
        <v>Monsoon</v>
      </c>
    </row>
    <row r="187" spans="1:12" x14ac:dyDescent="0.25">
      <c r="A187">
        <v>186</v>
      </c>
      <c r="B187">
        <v>1001</v>
      </c>
      <c r="C187">
        <v>1454</v>
      </c>
      <c r="D187" s="1">
        <v>45669</v>
      </c>
      <c r="E187" t="s">
        <v>322</v>
      </c>
      <c r="F187" t="s">
        <v>323</v>
      </c>
      <c r="G187" t="str">
        <f>_xlfn.XLOOKUP(TRIM(E188),MedicineInfo!A:A,MedicineInfo!B:B,"Not Found")</f>
        <v>Diclofenac</v>
      </c>
      <c r="H187" s="1" cm="1">
        <f t="array" ref="H187">_xlfn.IFS(
OR(E187="Type 2 Diabetes",E187="Essential Hypertension",E187="Angina Pectoris",E187="Bronchial Asthma",E187="Cardiac Arrhythmia"), D187+30,
OR(E187="Gastritis",E187="Osteoarthritis",E187="Bronchitis",E187="Iron Deficiency Anemia"), D187+14,
OR(E187="Lumbar Strain",E187="Migraine Headache"), D187+7,
OR(E187="Viral Fever",E187="General Checkup","Routine Health Check"), "",
TRUE,""
)</f>
        <v>45699</v>
      </c>
      <c r="I187" s="1" t="str">
        <f t="shared" si="4"/>
        <v>Follow-up Scheduled</v>
      </c>
      <c r="J187" t="str">
        <f>TEXT(Table8[[#This Row],[visit_Date]],"DDDD")</f>
        <v>Sunday</v>
      </c>
      <c r="K187" t="str">
        <f>TEXT(Table8[[#This Row],[visit_Date]],"mmmm")</f>
        <v>January</v>
      </c>
      <c r="L187" t="str">
        <f t="shared" si="5"/>
        <v>Winter</v>
      </c>
    </row>
    <row r="188" spans="1:12" x14ac:dyDescent="0.25">
      <c r="A188">
        <v>187</v>
      </c>
      <c r="B188">
        <v>1027</v>
      </c>
      <c r="C188">
        <v>1465</v>
      </c>
      <c r="D188" s="1">
        <v>45732</v>
      </c>
      <c r="E188" t="s">
        <v>313</v>
      </c>
      <c r="F188" t="s">
        <v>314</v>
      </c>
      <c r="G188" t="str">
        <f>_xlfn.XLOOKUP(TRIM(E189),MedicineInfo!A:A,MedicineInfo!B:B,"Not Found")</f>
        <v>Metformin</v>
      </c>
      <c r="H188" s="1" cm="1">
        <f t="array" ref="H188">_xlfn.IFS(
OR(E188="Type 2 Diabetes",E188="Essential Hypertension",E188="Angina Pectoris",E188="Bronchial Asthma",E188="Cardiac Arrhythmia"), D188+30,
OR(E188="Gastritis",E188="Osteoarthritis",E188="Bronchitis",E188="Iron Deficiency Anemia"), D188+14,
OR(E188="Lumbar Strain",E188="Migraine Headache"), D188+7,
OR(E188="Viral Fever",E188="General Checkup","Routine Health Check"), "",
TRUE,""
)</f>
        <v>45739</v>
      </c>
      <c r="I188" s="1" t="str">
        <f t="shared" si="4"/>
        <v>Follow-up Scheduled</v>
      </c>
      <c r="J188" t="str">
        <f>TEXT(Table8[[#This Row],[visit_Date]],"DDDD")</f>
        <v>Sunday</v>
      </c>
      <c r="K188" t="str">
        <f>TEXT(Table8[[#This Row],[visit_Date]],"mmmm")</f>
        <v>March</v>
      </c>
      <c r="L188" t="str">
        <f t="shared" si="5"/>
        <v>Summer</v>
      </c>
    </row>
    <row r="189" spans="1:12" x14ac:dyDescent="0.25">
      <c r="A189">
        <v>188</v>
      </c>
      <c r="B189">
        <v>1024</v>
      </c>
      <c r="C189">
        <v>932</v>
      </c>
      <c r="D189" s="1">
        <v>45783</v>
      </c>
      <c r="E189" t="s">
        <v>317</v>
      </c>
      <c r="F189" t="s">
        <v>318</v>
      </c>
      <c r="G189" t="str">
        <f>_xlfn.XLOOKUP(TRIM(E190),MedicineInfo!A:A,MedicineInfo!B:B,"Not Found")</f>
        <v>Multivitamin</v>
      </c>
      <c r="H189" s="1" cm="1">
        <f t="array" ref="H189">_xlfn.IFS(
OR(E189="Type 2 Diabetes",E189="Essential Hypertension",E189="Angina Pectoris",E189="Bronchial Asthma",E189="Cardiac Arrhythmia"), D189+30,
OR(E189="Gastritis",E189="Osteoarthritis",E189="Bronchitis",E189="Iron Deficiency Anemia"), D189+14,
OR(E189="Lumbar Strain",E189="Migraine Headache"), D189+7,
OR(E189="Viral Fever",E189="General Checkup","Routine Health Check"), "",
TRUE,""
)</f>
        <v>45813</v>
      </c>
      <c r="I189" s="1" t="str">
        <f t="shared" si="4"/>
        <v>Follow-up Scheduled</v>
      </c>
      <c r="J189" t="str">
        <f>TEXT(Table8[[#This Row],[visit_Date]],"DDDD")</f>
        <v>Tuesday</v>
      </c>
      <c r="K189" t="str">
        <f>TEXT(Table8[[#This Row],[visit_Date]],"mmmm")</f>
        <v>May</v>
      </c>
      <c r="L189" t="str">
        <f t="shared" si="5"/>
        <v>Summer</v>
      </c>
    </row>
    <row r="190" spans="1:12" x14ac:dyDescent="0.25">
      <c r="A190">
        <v>189</v>
      </c>
      <c r="B190">
        <v>1027</v>
      </c>
      <c r="C190">
        <v>703</v>
      </c>
      <c r="D190" s="1">
        <v>45693</v>
      </c>
      <c r="E190" t="s">
        <v>24</v>
      </c>
      <c r="F190" t="s">
        <v>321</v>
      </c>
      <c r="G190" t="str">
        <f>_xlfn.XLOOKUP(TRIM(E191),MedicineInfo!A:A,MedicineInfo!B:B,"Not Found")</f>
        <v>Sumatriptan</v>
      </c>
      <c r="H190" s="1" t="str" cm="1">
        <f t="array" ref="H190">_xlfn.IFS(
OR(E190="Type 2 Diabetes",E190="Essential Hypertension",E190="Angina Pectoris",E190="Bronchial Asthma",E190="Cardiac Arrhythmia"), D190+30,
OR(E190="Gastritis",E190="Osteoarthritis",E190="Bronchitis",E190="Iron Deficiency Anemia"), D190+14,
OR(E190="Lumbar Strain",E190="Migraine Headache"), D190+7,
OR(E190="Viral Fever",E190="General Checkup","Routine Health Check"), "",
TRUE,""
)</f>
        <v/>
      </c>
      <c r="I190" s="1" t="str">
        <f t="shared" si="4"/>
        <v>No Follow-up Required</v>
      </c>
      <c r="J190" t="str">
        <f>TEXT(Table8[[#This Row],[visit_Date]],"DDDD")</f>
        <v>Wednesday</v>
      </c>
      <c r="K190" t="str">
        <f>TEXT(Table8[[#This Row],[visit_Date]],"mmmm")</f>
        <v>February</v>
      </c>
      <c r="L190" t="str">
        <f t="shared" si="5"/>
        <v>Winter</v>
      </c>
    </row>
    <row r="191" spans="1:12" x14ac:dyDescent="0.25">
      <c r="A191">
        <v>190</v>
      </c>
      <c r="B191">
        <v>1008</v>
      </c>
      <c r="C191">
        <v>442</v>
      </c>
      <c r="D191" s="1">
        <v>45796</v>
      </c>
      <c r="E191" t="s">
        <v>315</v>
      </c>
      <c r="F191" t="s">
        <v>316</v>
      </c>
      <c r="G191" t="str">
        <f>_xlfn.XLOOKUP(TRIM(E192),MedicineInfo!A:A,MedicineInfo!B:B,"Not Found")</f>
        <v>Multivitamin</v>
      </c>
      <c r="H191" s="1" cm="1">
        <f t="array" ref="H191">_xlfn.IFS(
OR(E191="Type 2 Diabetes",E191="Essential Hypertension",E191="Angina Pectoris",E191="Bronchial Asthma",E191="Cardiac Arrhythmia"), D191+30,
OR(E191="Gastritis",E191="Osteoarthritis",E191="Bronchitis",E191="Iron Deficiency Anemia"), D191+14,
OR(E191="Lumbar Strain",E191="Migraine Headache"), D191+7,
OR(E191="Viral Fever",E191="General Checkup","Routine Health Check"), "",
TRUE,""
)</f>
        <v>45803</v>
      </c>
      <c r="I191" s="1" t="str">
        <f t="shared" si="4"/>
        <v>Follow-up Scheduled</v>
      </c>
      <c r="J191" t="str">
        <f>TEXT(Table8[[#This Row],[visit_Date]],"DDDD")</f>
        <v>Monday</v>
      </c>
      <c r="K191" t="str">
        <f>TEXT(Table8[[#This Row],[visit_Date]],"mmmm")</f>
        <v>May</v>
      </c>
      <c r="L191" t="str">
        <f t="shared" si="5"/>
        <v>Summer</v>
      </c>
    </row>
    <row r="192" spans="1:12" x14ac:dyDescent="0.25">
      <c r="A192">
        <v>191</v>
      </c>
      <c r="B192">
        <v>1027</v>
      </c>
      <c r="C192">
        <v>100</v>
      </c>
      <c r="D192" s="1">
        <v>45694</v>
      </c>
      <c r="E192" t="s">
        <v>24</v>
      </c>
      <c r="F192" t="s">
        <v>321</v>
      </c>
      <c r="G192" t="str">
        <f>_xlfn.XLOOKUP(TRIM(E193),MedicineInfo!A:A,MedicineInfo!B:B,"Not Found")</f>
        <v>Nitroglycerin</v>
      </c>
      <c r="H192" s="1" t="str" cm="1">
        <f t="array" ref="H192">_xlfn.IFS(
OR(E192="Type 2 Diabetes",E192="Essential Hypertension",E192="Angina Pectoris",E192="Bronchial Asthma",E192="Cardiac Arrhythmia"), D192+30,
OR(E192="Gastritis",E192="Osteoarthritis",E192="Bronchitis",E192="Iron Deficiency Anemia"), D192+14,
OR(E192="Lumbar Strain",E192="Migraine Headache"), D192+7,
OR(E192="Viral Fever",E192="General Checkup","Routine Health Check"), "",
TRUE,""
)</f>
        <v/>
      </c>
      <c r="I192" s="1" t="str">
        <f t="shared" si="4"/>
        <v>No Follow-up Required</v>
      </c>
      <c r="J192" t="str">
        <f>TEXT(Table8[[#This Row],[visit_Date]],"DDDD")</f>
        <v>Thursday</v>
      </c>
      <c r="K192" t="str">
        <f>TEXT(Table8[[#This Row],[visit_Date]],"mmmm")</f>
        <v>February</v>
      </c>
      <c r="L192" t="str">
        <f t="shared" si="5"/>
        <v>Winter</v>
      </c>
    </row>
    <row r="193" spans="1:12" x14ac:dyDescent="0.25">
      <c r="A193">
        <v>192</v>
      </c>
      <c r="B193">
        <v>1027</v>
      </c>
      <c r="C193">
        <v>189</v>
      </c>
      <c r="D193" s="1">
        <v>45853</v>
      </c>
      <c r="E193" t="s">
        <v>322</v>
      </c>
      <c r="F193" t="s">
        <v>323</v>
      </c>
      <c r="G193" t="str">
        <f>_xlfn.XLOOKUP(TRIM(E194),MedicineInfo!A:A,MedicineInfo!B:B,"Not Found")</f>
        <v>Salbutamol Inhaler</v>
      </c>
      <c r="H193" s="1" cm="1">
        <f t="array" ref="H193">_xlfn.IFS(
OR(E193="Type 2 Diabetes",E193="Essential Hypertension",E193="Angina Pectoris",E193="Bronchial Asthma",E193="Cardiac Arrhythmia"), D193+30,
OR(E193="Gastritis",E193="Osteoarthritis",E193="Bronchitis",E193="Iron Deficiency Anemia"), D193+14,
OR(E193="Lumbar Strain",E193="Migraine Headache"), D193+7,
OR(E193="Viral Fever",E193="General Checkup","Routine Health Check"), "",
TRUE,""
)</f>
        <v>45883</v>
      </c>
      <c r="I193" s="1" t="str">
        <f t="shared" si="4"/>
        <v>Follow-up Scheduled</v>
      </c>
      <c r="J193" t="str">
        <f>TEXT(Table8[[#This Row],[visit_Date]],"DDDD")</f>
        <v>Tuesday</v>
      </c>
      <c r="K193" t="str">
        <f>TEXT(Table8[[#This Row],[visit_Date]],"mmmm")</f>
        <v>July</v>
      </c>
      <c r="L193" t="str">
        <f t="shared" si="5"/>
        <v>Monsoon</v>
      </c>
    </row>
    <row r="194" spans="1:12" x14ac:dyDescent="0.25">
      <c r="A194">
        <v>193</v>
      </c>
      <c r="B194">
        <v>1020</v>
      </c>
      <c r="C194">
        <v>1406</v>
      </c>
      <c r="D194" s="1">
        <v>45843</v>
      </c>
      <c r="E194" t="s">
        <v>324</v>
      </c>
      <c r="F194" t="s">
        <v>325</v>
      </c>
      <c r="G194" t="str">
        <f>_xlfn.XLOOKUP(TRIM(E195),MedicineInfo!A:A,MedicineInfo!B:B,"Not Found")</f>
        <v>Metformin</v>
      </c>
      <c r="H194" s="1" cm="1">
        <f t="array" ref="H194">_xlfn.IFS(
OR(E194="Type 2 Diabetes",E194="Essential Hypertension",E194="Angina Pectoris",E194="Bronchial Asthma",E194="Cardiac Arrhythmia"), D194+30,
OR(E194="Gastritis",E194="Osteoarthritis",E194="Bronchitis",E194="Iron Deficiency Anemia"), D194+14,
OR(E194="Lumbar Strain",E194="Migraine Headache"), D194+7,
OR(E194="Viral Fever",E194="General Checkup","Routine Health Check"), "",
TRUE,""
)</f>
        <v>45873</v>
      </c>
      <c r="I194" s="1" t="str">
        <f t="shared" ref="I194:I257" si="6">IF(H194="","No Follow-up Required","Follow-up Scheduled")</f>
        <v>Follow-up Scheduled</v>
      </c>
      <c r="J194" t="str">
        <f>TEXT(Table8[[#This Row],[visit_Date]],"DDDD")</f>
        <v>Saturday</v>
      </c>
      <c r="K194" t="str">
        <f>TEXT(Table8[[#This Row],[visit_Date]],"mmmm")</f>
        <v>July</v>
      </c>
      <c r="L194" t="str">
        <f t="shared" ref="L194:L257" si="7">IF(OR(MONTH(D194)=12,MONTH(D194)&lt;=2),"Winter",
IF(MONTH(D194)&lt;=5,"Summer","Monsoon"))</f>
        <v>Monsoon</v>
      </c>
    </row>
    <row r="195" spans="1:12" x14ac:dyDescent="0.25">
      <c r="A195">
        <v>194</v>
      </c>
      <c r="B195">
        <v>1024</v>
      </c>
      <c r="C195">
        <v>580</v>
      </c>
      <c r="D195" s="1">
        <v>45694</v>
      </c>
      <c r="E195" t="s">
        <v>317</v>
      </c>
      <c r="F195" t="s">
        <v>318</v>
      </c>
      <c r="G195" t="str">
        <f>_xlfn.XLOOKUP(TRIM(E196),MedicineInfo!A:A,MedicineInfo!B:B,"Not Found")</f>
        <v>Sumatriptan</v>
      </c>
      <c r="H195" s="1" cm="1">
        <f t="array" ref="H195">_xlfn.IFS(
OR(E195="Type 2 Diabetes",E195="Essential Hypertension",E195="Angina Pectoris",E195="Bronchial Asthma",E195="Cardiac Arrhythmia"), D195+30,
OR(E195="Gastritis",E195="Osteoarthritis",E195="Bronchitis",E195="Iron Deficiency Anemia"), D195+14,
OR(E195="Lumbar Strain",E195="Migraine Headache"), D195+7,
OR(E195="Viral Fever",E195="General Checkup","Routine Health Check"), "",
TRUE,""
)</f>
        <v>45724</v>
      </c>
      <c r="I195" s="1" t="str">
        <f t="shared" si="6"/>
        <v>Follow-up Scheduled</v>
      </c>
      <c r="J195" t="str">
        <f>TEXT(Table8[[#This Row],[visit_Date]],"DDDD")</f>
        <v>Thursday</v>
      </c>
      <c r="K195" t="str">
        <f>TEXT(Table8[[#This Row],[visit_Date]],"mmmm")</f>
        <v>February</v>
      </c>
      <c r="L195" t="str">
        <f t="shared" si="7"/>
        <v>Winter</v>
      </c>
    </row>
    <row r="196" spans="1:12" x14ac:dyDescent="0.25">
      <c r="A196">
        <v>195</v>
      </c>
      <c r="B196">
        <v>1009</v>
      </c>
      <c r="C196">
        <v>751</v>
      </c>
      <c r="D196" s="1">
        <v>45747</v>
      </c>
      <c r="E196" t="s">
        <v>315</v>
      </c>
      <c r="F196" t="s">
        <v>316</v>
      </c>
      <c r="G196" t="str">
        <f>_xlfn.XLOOKUP(TRIM(E197),MedicineInfo!A:A,MedicineInfo!B:B,"Not Found")</f>
        <v>Paracetamol</v>
      </c>
      <c r="H196" s="1" cm="1">
        <f t="array" ref="H196">_xlfn.IFS(
OR(E196="Type 2 Diabetes",E196="Essential Hypertension",E196="Angina Pectoris",E196="Bronchial Asthma",E196="Cardiac Arrhythmia"), D196+30,
OR(E196="Gastritis",E196="Osteoarthritis",E196="Bronchitis",E196="Iron Deficiency Anemia"), D196+14,
OR(E196="Lumbar Strain",E196="Migraine Headache"), D196+7,
OR(E196="Viral Fever",E196="General Checkup","Routine Health Check"), "",
TRUE,""
)</f>
        <v>45754</v>
      </c>
      <c r="I196" s="1" t="str">
        <f t="shared" si="6"/>
        <v>Follow-up Scheduled</v>
      </c>
      <c r="J196" t="str">
        <f>TEXT(Table8[[#This Row],[visit_Date]],"DDDD")</f>
        <v>Monday</v>
      </c>
      <c r="K196" t="str">
        <f>TEXT(Table8[[#This Row],[visit_Date]],"mmmm")</f>
        <v>March</v>
      </c>
      <c r="L196" t="str">
        <f t="shared" si="7"/>
        <v>Summer</v>
      </c>
    </row>
    <row r="197" spans="1:12" x14ac:dyDescent="0.25">
      <c r="A197">
        <v>196</v>
      </c>
      <c r="B197">
        <v>1027</v>
      </c>
      <c r="C197">
        <v>1112</v>
      </c>
      <c r="D197" s="1">
        <v>45747</v>
      </c>
      <c r="E197" t="s">
        <v>326</v>
      </c>
      <c r="F197" t="s">
        <v>327</v>
      </c>
      <c r="G197" t="str">
        <f>_xlfn.XLOOKUP(TRIM(E198),MedicineInfo!A:A,MedicineInfo!B:B,"Not Found")</f>
        <v>Diclofenac</v>
      </c>
      <c r="H197" s="1" t="str" cm="1">
        <f t="array" ref="H197">_xlfn.IFS(
OR(E197="Type 2 Diabetes",E197="Essential Hypertension",E197="Angina Pectoris",E197="Bronchial Asthma",E197="Cardiac Arrhythmia"), D197+30,
OR(E197="Gastritis",E197="Osteoarthritis",E197="Bronchitis",E197="Iron Deficiency Anemia"), D197+14,
OR(E197="Lumbar Strain",E197="Migraine Headache"), D197+7,
OR(E197="Viral Fever",E197="General Checkup","Routine Health Check"), "",
TRUE,""
)</f>
        <v/>
      </c>
      <c r="I197" s="1" t="str">
        <f t="shared" si="6"/>
        <v>No Follow-up Required</v>
      </c>
      <c r="J197" t="str">
        <f>TEXT(Table8[[#This Row],[visit_Date]],"DDDD")</f>
        <v>Monday</v>
      </c>
      <c r="K197" t="str">
        <f>TEXT(Table8[[#This Row],[visit_Date]],"mmmm")</f>
        <v>March</v>
      </c>
      <c r="L197" t="str">
        <f t="shared" si="7"/>
        <v>Summer</v>
      </c>
    </row>
    <row r="198" spans="1:12" x14ac:dyDescent="0.25">
      <c r="A198">
        <v>197</v>
      </c>
      <c r="B198">
        <v>1027</v>
      </c>
      <c r="C198">
        <v>874</v>
      </c>
      <c r="D198" s="1">
        <v>45673</v>
      </c>
      <c r="E198" t="s">
        <v>313</v>
      </c>
      <c r="F198" t="s">
        <v>314</v>
      </c>
      <c r="G198" t="str">
        <f>_xlfn.XLOOKUP(TRIM(E199),MedicineInfo!A:A,MedicineInfo!B:B,"Not Found")</f>
        <v>Salbutamol Inhaler</v>
      </c>
      <c r="H198" s="1" cm="1">
        <f t="array" ref="H198">_xlfn.IFS(
OR(E198="Type 2 Diabetes",E198="Essential Hypertension",E198="Angina Pectoris",E198="Bronchial Asthma",E198="Cardiac Arrhythmia"), D198+30,
OR(E198="Gastritis",E198="Osteoarthritis",E198="Bronchitis",E198="Iron Deficiency Anemia"), D198+14,
OR(E198="Lumbar Strain",E198="Migraine Headache"), D198+7,
OR(E198="Viral Fever",E198="General Checkup","Routine Health Check"), "",
TRUE,""
)</f>
        <v>45680</v>
      </c>
      <c r="I198" s="1" t="str">
        <f t="shared" si="6"/>
        <v>Follow-up Scheduled</v>
      </c>
      <c r="J198" t="str">
        <f>TEXT(Table8[[#This Row],[visit_Date]],"DDDD")</f>
        <v>Thursday</v>
      </c>
      <c r="K198" t="str">
        <f>TEXT(Table8[[#This Row],[visit_Date]],"mmmm")</f>
        <v>January</v>
      </c>
      <c r="L198" t="str">
        <f t="shared" si="7"/>
        <v>Winter</v>
      </c>
    </row>
    <row r="199" spans="1:12" x14ac:dyDescent="0.25">
      <c r="A199">
        <v>198</v>
      </c>
      <c r="B199">
        <v>1020</v>
      </c>
      <c r="C199">
        <v>476</v>
      </c>
      <c r="D199" s="1">
        <v>45814</v>
      </c>
      <c r="E199" t="s">
        <v>324</v>
      </c>
      <c r="F199" t="s">
        <v>325</v>
      </c>
      <c r="G199" t="str">
        <f>_xlfn.XLOOKUP(TRIM(E200),MedicineInfo!A:A,MedicineInfo!B:B,"Not Found")</f>
        <v>Amlodipine</v>
      </c>
      <c r="H199" s="1" cm="1">
        <f t="array" ref="H199">_xlfn.IFS(
OR(E199="Type 2 Diabetes",E199="Essential Hypertension",E199="Angina Pectoris",E199="Bronchial Asthma",E199="Cardiac Arrhythmia"), D199+30,
OR(E199="Gastritis",E199="Osteoarthritis",E199="Bronchitis",E199="Iron Deficiency Anemia"), D199+14,
OR(E199="Lumbar Strain",E199="Migraine Headache"), D199+7,
OR(E199="Viral Fever",E199="General Checkup","Routine Health Check"), "",
TRUE,""
)</f>
        <v>45844</v>
      </c>
      <c r="I199" s="1" t="str">
        <f t="shared" si="6"/>
        <v>Follow-up Scheduled</v>
      </c>
      <c r="J199" t="str">
        <f>TEXT(Table8[[#This Row],[visit_Date]],"DDDD")</f>
        <v>Friday</v>
      </c>
      <c r="K199" t="str">
        <f>TEXT(Table8[[#This Row],[visit_Date]],"mmmm")</f>
        <v>June</v>
      </c>
      <c r="L199" t="str">
        <f t="shared" si="7"/>
        <v>Monsoon</v>
      </c>
    </row>
    <row r="200" spans="1:12" x14ac:dyDescent="0.25">
      <c r="A200">
        <v>199</v>
      </c>
      <c r="B200">
        <v>1004</v>
      </c>
      <c r="C200">
        <v>566</v>
      </c>
      <c r="D200" s="1">
        <v>45694</v>
      </c>
      <c r="E200" t="s">
        <v>319</v>
      </c>
      <c r="F200" t="s">
        <v>320</v>
      </c>
      <c r="G200" t="str">
        <f>_xlfn.XLOOKUP(TRIM(E201),MedicineInfo!A:A,MedicineInfo!B:B,"Not Found")</f>
        <v>Metformin</v>
      </c>
      <c r="H200" s="1" cm="1">
        <f t="array" ref="H200">_xlfn.IFS(
OR(E200="Type 2 Diabetes",E200="Essential Hypertension",E200="Angina Pectoris",E200="Bronchial Asthma",E200="Cardiac Arrhythmia"), D200+30,
OR(E200="Gastritis",E200="Osteoarthritis",E200="Bronchitis",E200="Iron Deficiency Anemia"), D200+14,
OR(E200="Lumbar Strain",E200="Migraine Headache"), D200+7,
OR(E200="Viral Fever",E200="General Checkup","Routine Health Check"), "",
TRUE,""
)</f>
        <v>45724</v>
      </c>
      <c r="I200" s="1" t="str">
        <f t="shared" si="6"/>
        <v>Follow-up Scheduled</v>
      </c>
      <c r="J200" t="str">
        <f>TEXT(Table8[[#This Row],[visit_Date]],"DDDD")</f>
        <v>Thursday</v>
      </c>
      <c r="K200" t="str">
        <f>TEXT(Table8[[#This Row],[visit_Date]],"mmmm")</f>
        <v>February</v>
      </c>
      <c r="L200" t="str">
        <f t="shared" si="7"/>
        <v>Winter</v>
      </c>
    </row>
    <row r="201" spans="1:12" x14ac:dyDescent="0.25">
      <c r="A201">
        <v>200</v>
      </c>
      <c r="B201">
        <v>1024</v>
      </c>
      <c r="C201">
        <v>1022</v>
      </c>
      <c r="D201" s="1">
        <v>45747</v>
      </c>
      <c r="E201" t="s">
        <v>317</v>
      </c>
      <c r="F201" t="s">
        <v>318</v>
      </c>
      <c r="G201" t="str">
        <f>_xlfn.XLOOKUP(TRIM(E202),MedicineInfo!A:A,MedicineInfo!B:B,"Not Found")</f>
        <v>Metformin</v>
      </c>
      <c r="H201" s="1" cm="1">
        <f t="array" ref="H201">_xlfn.IFS(
OR(E201="Type 2 Diabetes",E201="Essential Hypertension",E201="Angina Pectoris",E201="Bronchial Asthma",E201="Cardiac Arrhythmia"), D201+30,
OR(E201="Gastritis",E201="Osteoarthritis",E201="Bronchitis",E201="Iron Deficiency Anemia"), D201+14,
OR(E201="Lumbar Strain",E201="Migraine Headache"), D201+7,
OR(E201="Viral Fever",E201="General Checkup","Routine Health Check"), "",
TRUE,""
)</f>
        <v>45777</v>
      </c>
      <c r="I201" s="1" t="str">
        <f t="shared" si="6"/>
        <v>Follow-up Scheduled</v>
      </c>
      <c r="J201" t="str">
        <f>TEXT(Table8[[#This Row],[visit_Date]],"DDDD")</f>
        <v>Monday</v>
      </c>
      <c r="K201" t="str">
        <f>TEXT(Table8[[#This Row],[visit_Date]],"mmmm")</f>
        <v>March</v>
      </c>
      <c r="L201" t="str">
        <f t="shared" si="7"/>
        <v>Summer</v>
      </c>
    </row>
    <row r="202" spans="1:12" x14ac:dyDescent="0.25">
      <c r="A202">
        <v>201</v>
      </c>
      <c r="B202">
        <v>1024</v>
      </c>
      <c r="C202">
        <v>390</v>
      </c>
      <c r="D202" s="1">
        <v>45790</v>
      </c>
      <c r="E202" t="s">
        <v>317</v>
      </c>
      <c r="F202" t="s">
        <v>318</v>
      </c>
      <c r="G202" t="str">
        <f>_xlfn.XLOOKUP(TRIM(E203),MedicineInfo!A:A,MedicineInfo!B:B,"Not Found")</f>
        <v>Paracetamol</v>
      </c>
      <c r="H202" s="1" cm="1">
        <f t="array" ref="H202">_xlfn.IFS(
OR(E202="Type 2 Diabetes",E202="Essential Hypertension",E202="Angina Pectoris",E202="Bronchial Asthma",E202="Cardiac Arrhythmia"), D202+30,
OR(E202="Gastritis",E202="Osteoarthritis",E202="Bronchitis",E202="Iron Deficiency Anemia"), D202+14,
OR(E202="Lumbar Strain",E202="Migraine Headache"), D202+7,
OR(E202="Viral Fever",E202="General Checkup","Routine Health Check"), "",
TRUE,""
)</f>
        <v>45820</v>
      </c>
      <c r="I202" s="1" t="str">
        <f t="shared" si="6"/>
        <v>Follow-up Scheduled</v>
      </c>
      <c r="J202" t="str">
        <f>TEXT(Table8[[#This Row],[visit_Date]],"DDDD")</f>
        <v>Tuesday</v>
      </c>
      <c r="K202" t="str">
        <f>TEXT(Table8[[#This Row],[visit_Date]],"mmmm")</f>
        <v>May</v>
      </c>
      <c r="L202" t="str">
        <f t="shared" si="7"/>
        <v>Summer</v>
      </c>
    </row>
    <row r="203" spans="1:12" x14ac:dyDescent="0.25">
      <c r="A203">
        <v>202</v>
      </c>
      <c r="B203">
        <v>1027</v>
      </c>
      <c r="C203">
        <v>699</v>
      </c>
      <c r="D203" s="1">
        <v>45770</v>
      </c>
      <c r="E203" t="s">
        <v>326</v>
      </c>
      <c r="F203" t="s">
        <v>327</v>
      </c>
      <c r="G203" t="str">
        <f>_xlfn.XLOOKUP(TRIM(E204),MedicineInfo!A:A,MedicineInfo!B:B,"Not Found")</f>
        <v>Paracetamol</v>
      </c>
      <c r="H203" s="1" t="str" cm="1">
        <f t="array" ref="H203">_xlfn.IFS(
OR(E203="Type 2 Diabetes",E203="Essential Hypertension",E203="Angina Pectoris",E203="Bronchial Asthma",E203="Cardiac Arrhythmia"), D203+30,
OR(E203="Gastritis",E203="Osteoarthritis",E203="Bronchitis",E203="Iron Deficiency Anemia"), D203+14,
OR(E203="Lumbar Strain",E203="Migraine Headache"), D203+7,
OR(E203="Viral Fever",E203="General Checkup","Routine Health Check"), "",
TRUE,""
)</f>
        <v/>
      </c>
      <c r="I203" s="1" t="str">
        <f t="shared" si="6"/>
        <v>No Follow-up Required</v>
      </c>
      <c r="J203" t="str">
        <f>TEXT(Table8[[#This Row],[visit_Date]],"DDDD")</f>
        <v>Wednesday</v>
      </c>
      <c r="K203" t="str">
        <f>TEXT(Table8[[#This Row],[visit_Date]],"mmmm")</f>
        <v>April</v>
      </c>
      <c r="L203" t="str">
        <f t="shared" si="7"/>
        <v>Summer</v>
      </c>
    </row>
    <row r="204" spans="1:12" x14ac:dyDescent="0.25">
      <c r="A204">
        <v>203</v>
      </c>
      <c r="B204">
        <v>1027</v>
      </c>
      <c r="C204">
        <v>903</v>
      </c>
      <c r="D204" s="1">
        <v>45823</v>
      </c>
      <c r="E204" t="s">
        <v>326</v>
      </c>
      <c r="F204" t="s">
        <v>327</v>
      </c>
      <c r="G204" t="str">
        <f>_xlfn.XLOOKUP(TRIM(E205),MedicineInfo!A:A,MedicineInfo!B:B,"Not Found")</f>
        <v>Sumatriptan</v>
      </c>
      <c r="H204" s="1" t="str" cm="1">
        <f t="array" ref="H204">_xlfn.IFS(
OR(E204="Type 2 Diabetes",E204="Essential Hypertension",E204="Angina Pectoris",E204="Bronchial Asthma",E204="Cardiac Arrhythmia"), D204+30,
OR(E204="Gastritis",E204="Osteoarthritis",E204="Bronchitis",E204="Iron Deficiency Anemia"), D204+14,
OR(E204="Lumbar Strain",E204="Migraine Headache"), D204+7,
OR(E204="Viral Fever",E204="General Checkup","Routine Health Check"), "",
TRUE,""
)</f>
        <v/>
      </c>
      <c r="I204" s="1" t="str">
        <f t="shared" si="6"/>
        <v>No Follow-up Required</v>
      </c>
      <c r="J204" t="str">
        <f>TEXT(Table8[[#This Row],[visit_Date]],"DDDD")</f>
        <v>Sunday</v>
      </c>
      <c r="K204" t="str">
        <f>TEXT(Table8[[#This Row],[visit_Date]],"mmmm")</f>
        <v>June</v>
      </c>
      <c r="L204" t="str">
        <f t="shared" si="7"/>
        <v>Monsoon</v>
      </c>
    </row>
    <row r="205" spans="1:12" x14ac:dyDescent="0.25">
      <c r="A205">
        <v>204</v>
      </c>
      <c r="B205">
        <v>1008</v>
      </c>
      <c r="C205">
        <v>544</v>
      </c>
      <c r="D205" s="1">
        <v>45686</v>
      </c>
      <c r="E205" t="s">
        <v>315</v>
      </c>
      <c r="F205" t="s">
        <v>316</v>
      </c>
      <c r="G205" t="str">
        <f>_xlfn.XLOOKUP(TRIM(E206),MedicineInfo!A:A,MedicineInfo!B:B,"Not Found")</f>
        <v>Diclofenac</v>
      </c>
      <c r="H205" s="1" cm="1">
        <f t="array" ref="H205">_xlfn.IFS(
OR(E205="Type 2 Diabetes",E205="Essential Hypertension",E205="Angina Pectoris",E205="Bronchial Asthma",E205="Cardiac Arrhythmia"), D205+30,
OR(E205="Gastritis",E205="Osteoarthritis",E205="Bronchitis",E205="Iron Deficiency Anemia"), D205+14,
OR(E205="Lumbar Strain",E205="Migraine Headache"), D205+7,
OR(E205="Viral Fever",E205="General Checkup","Routine Health Check"), "",
TRUE,""
)</f>
        <v>45693</v>
      </c>
      <c r="I205" s="1" t="str">
        <f t="shared" si="6"/>
        <v>Follow-up Scheduled</v>
      </c>
      <c r="J205" t="str">
        <f>TEXT(Table8[[#This Row],[visit_Date]],"DDDD")</f>
        <v>Wednesday</v>
      </c>
      <c r="K205" t="str">
        <f>TEXT(Table8[[#This Row],[visit_Date]],"mmmm")</f>
        <v>January</v>
      </c>
      <c r="L205" t="str">
        <f t="shared" si="7"/>
        <v>Winter</v>
      </c>
    </row>
    <row r="206" spans="1:12" x14ac:dyDescent="0.25">
      <c r="A206">
        <v>205</v>
      </c>
      <c r="B206">
        <v>1027</v>
      </c>
      <c r="C206">
        <v>247</v>
      </c>
      <c r="D206" s="1">
        <v>45688</v>
      </c>
      <c r="E206" t="s">
        <v>313</v>
      </c>
      <c r="F206" t="s">
        <v>314</v>
      </c>
      <c r="G206" t="str">
        <f>_xlfn.XLOOKUP(TRIM(E207),MedicineInfo!A:A,MedicineInfo!B:B,"Not Found")</f>
        <v>Nitroglycerin</v>
      </c>
      <c r="H206" s="1" cm="1">
        <f t="array" ref="H206">_xlfn.IFS(
OR(E206="Type 2 Diabetes",E206="Essential Hypertension",E206="Angina Pectoris",E206="Bronchial Asthma",E206="Cardiac Arrhythmia"), D206+30,
OR(E206="Gastritis",E206="Osteoarthritis",E206="Bronchitis",E206="Iron Deficiency Anemia"), D206+14,
OR(E206="Lumbar Strain",E206="Migraine Headache"), D206+7,
OR(E206="Viral Fever",E206="General Checkup","Routine Health Check"), "",
TRUE,""
)</f>
        <v>45695</v>
      </c>
      <c r="I206" s="1" t="str">
        <f t="shared" si="6"/>
        <v>Follow-up Scheduled</v>
      </c>
      <c r="J206" t="str">
        <f>TEXT(Table8[[#This Row],[visit_Date]],"DDDD")</f>
        <v>Friday</v>
      </c>
      <c r="K206" t="str">
        <f>TEXT(Table8[[#This Row],[visit_Date]],"mmmm")</f>
        <v>January</v>
      </c>
      <c r="L206" t="str">
        <f t="shared" si="7"/>
        <v>Winter</v>
      </c>
    </row>
    <row r="207" spans="1:12" x14ac:dyDescent="0.25">
      <c r="A207">
        <v>206</v>
      </c>
      <c r="B207">
        <v>1001</v>
      </c>
      <c r="C207">
        <v>499</v>
      </c>
      <c r="D207" s="1">
        <v>45691</v>
      </c>
      <c r="E207" t="s">
        <v>322</v>
      </c>
      <c r="F207" t="s">
        <v>323</v>
      </c>
      <c r="G207" t="str">
        <f>_xlfn.XLOOKUP(TRIM(E208),MedicineInfo!A:A,MedicineInfo!B:B,"Not Found")</f>
        <v>Amlodipine</v>
      </c>
      <c r="H207" s="1" cm="1">
        <f t="array" ref="H207">_xlfn.IFS(
OR(E207="Type 2 Diabetes",E207="Essential Hypertension",E207="Angina Pectoris",E207="Bronchial Asthma",E207="Cardiac Arrhythmia"), D207+30,
OR(E207="Gastritis",E207="Osteoarthritis",E207="Bronchitis",E207="Iron Deficiency Anemia"), D207+14,
OR(E207="Lumbar Strain",E207="Migraine Headache"), D207+7,
OR(E207="Viral Fever",E207="General Checkup","Routine Health Check"), "",
TRUE,""
)</f>
        <v>45721</v>
      </c>
      <c r="I207" s="1" t="str">
        <f t="shared" si="6"/>
        <v>Follow-up Scheduled</v>
      </c>
      <c r="J207" t="str">
        <f>TEXT(Table8[[#This Row],[visit_Date]],"DDDD")</f>
        <v>Monday</v>
      </c>
      <c r="K207" t="str">
        <f>TEXT(Table8[[#This Row],[visit_Date]],"mmmm")</f>
        <v>February</v>
      </c>
      <c r="L207" t="str">
        <f t="shared" si="7"/>
        <v>Winter</v>
      </c>
    </row>
    <row r="208" spans="1:12" x14ac:dyDescent="0.25">
      <c r="A208">
        <v>207</v>
      </c>
      <c r="B208">
        <v>1004</v>
      </c>
      <c r="C208">
        <v>876</v>
      </c>
      <c r="D208" s="1">
        <v>45790</v>
      </c>
      <c r="E208" t="s">
        <v>319</v>
      </c>
      <c r="F208" t="s">
        <v>320</v>
      </c>
      <c r="G208" t="str">
        <f>_xlfn.XLOOKUP(TRIM(E209),MedicineInfo!A:A,MedicineInfo!B:B,"Not Found")</f>
        <v>Multivitamin</v>
      </c>
      <c r="H208" s="1" cm="1">
        <f t="array" ref="H208">_xlfn.IFS(
OR(E208="Type 2 Diabetes",E208="Essential Hypertension",E208="Angina Pectoris",E208="Bronchial Asthma",E208="Cardiac Arrhythmia"), D208+30,
OR(E208="Gastritis",E208="Osteoarthritis",E208="Bronchitis",E208="Iron Deficiency Anemia"), D208+14,
OR(E208="Lumbar Strain",E208="Migraine Headache"), D208+7,
OR(E208="Viral Fever",E208="General Checkup","Routine Health Check"), "",
TRUE,""
)</f>
        <v>45820</v>
      </c>
      <c r="I208" s="1" t="str">
        <f t="shared" si="6"/>
        <v>Follow-up Scheduled</v>
      </c>
      <c r="J208" t="str">
        <f>TEXT(Table8[[#This Row],[visit_Date]],"DDDD")</f>
        <v>Tuesday</v>
      </c>
      <c r="K208" t="str">
        <f>TEXT(Table8[[#This Row],[visit_Date]],"mmmm")</f>
        <v>May</v>
      </c>
      <c r="L208" t="str">
        <f t="shared" si="7"/>
        <v>Summer</v>
      </c>
    </row>
    <row r="209" spans="1:12" x14ac:dyDescent="0.25">
      <c r="A209">
        <v>208</v>
      </c>
      <c r="B209">
        <v>1027</v>
      </c>
      <c r="C209">
        <v>564</v>
      </c>
      <c r="D209" s="1">
        <v>45694</v>
      </c>
      <c r="E209" t="s">
        <v>24</v>
      </c>
      <c r="F209" t="s">
        <v>321</v>
      </c>
      <c r="G209" t="str">
        <f>_xlfn.XLOOKUP(TRIM(E210),MedicineInfo!A:A,MedicineInfo!B:B,"Not Found")</f>
        <v>Nitroglycerin</v>
      </c>
      <c r="H209" s="1" t="str" cm="1">
        <f t="array" ref="H209">_xlfn.IFS(
OR(E209="Type 2 Diabetes",E209="Essential Hypertension",E209="Angina Pectoris",E209="Bronchial Asthma",E209="Cardiac Arrhythmia"), D209+30,
OR(E209="Gastritis",E209="Osteoarthritis",E209="Bronchitis",E209="Iron Deficiency Anemia"), D209+14,
OR(E209="Lumbar Strain",E209="Migraine Headache"), D209+7,
OR(E209="Viral Fever",E209="General Checkup","Routine Health Check"), "",
TRUE,""
)</f>
        <v/>
      </c>
      <c r="I209" s="1" t="str">
        <f t="shared" si="6"/>
        <v>No Follow-up Required</v>
      </c>
      <c r="J209" t="str">
        <f>TEXT(Table8[[#This Row],[visit_Date]],"DDDD")</f>
        <v>Thursday</v>
      </c>
      <c r="K209" t="str">
        <f>TEXT(Table8[[#This Row],[visit_Date]],"mmmm")</f>
        <v>February</v>
      </c>
      <c r="L209" t="str">
        <f t="shared" si="7"/>
        <v>Winter</v>
      </c>
    </row>
    <row r="210" spans="1:12" x14ac:dyDescent="0.25">
      <c r="A210">
        <v>209</v>
      </c>
      <c r="B210">
        <v>1027</v>
      </c>
      <c r="C210">
        <v>1503</v>
      </c>
      <c r="D210" s="1">
        <v>45814</v>
      </c>
      <c r="E210" t="s">
        <v>322</v>
      </c>
      <c r="F210" t="s">
        <v>323</v>
      </c>
      <c r="G210" t="str">
        <f>_xlfn.XLOOKUP(TRIM(E211),MedicineInfo!A:A,MedicineInfo!B:B,"Not Found")</f>
        <v>Multivitamin</v>
      </c>
      <c r="H210" s="1" cm="1">
        <f t="array" ref="H210">_xlfn.IFS(
OR(E210="Type 2 Diabetes",E210="Essential Hypertension",E210="Angina Pectoris",E210="Bronchial Asthma",E210="Cardiac Arrhythmia"), D210+30,
OR(E210="Gastritis",E210="Osteoarthritis",E210="Bronchitis",E210="Iron Deficiency Anemia"), D210+14,
OR(E210="Lumbar Strain",E210="Migraine Headache"), D210+7,
OR(E210="Viral Fever",E210="General Checkup","Routine Health Check"), "",
TRUE,""
)</f>
        <v>45844</v>
      </c>
      <c r="I210" s="1" t="str">
        <f t="shared" si="6"/>
        <v>Follow-up Scheduled</v>
      </c>
      <c r="J210" t="str">
        <f>TEXT(Table8[[#This Row],[visit_Date]],"DDDD")</f>
        <v>Friday</v>
      </c>
      <c r="K210" t="str">
        <f>TEXT(Table8[[#This Row],[visit_Date]],"mmmm")</f>
        <v>June</v>
      </c>
      <c r="L210" t="str">
        <f t="shared" si="7"/>
        <v>Monsoon</v>
      </c>
    </row>
    <row r="211" spans="1:12" x14ac:dyDescent="0.25">
      <c r="A211">
        <v>210</v>
      </c>
      <c r="B211">
        <v>1027</v>
      </c>
      <c r="C211">
        <v>166</v>
      </c>
      <c r="D211" s="1">
        <v>45672</v>
      </c>
      <c r="E211" t="s">
        <v>24</v>
      </c>
      <c r="F211" t="s">
        <v>321</v>
      </c>
      <c r="G211" t="str">
        <f>_xlfn.XLOOKUP(TRIM(E212),MedicineInfo!A:A,MedicineInfo!B:B,"Not Found")</f>
        <v>Nitroglycerin</v>
      </c>
      <c r="H211" s="1" t="str" cm="1">
        <f t="array" ref="H211">_xlfn.IFS(
OR(E211="Type 2 Diabetes",E211="Essential Hypertension",E211="Angina Pectoris",E211="Bronchial Asthma",E211="Cardiac Arrhythmia"), D211+30,
OR(E211="Gastritis",E211="Osteoarthritis",E211="Bronchitis",E211="Iron Deficiency Anemia"), D211+14,
OR(E211="Lumbar Strain",E211="Migraine Headache"), D211+7,
OR(E211="Viral Fever",E211="General Checkup","Routine Health Check"), "",
TRUE,""
)</f>
        <v/>
      </c>
      <c r="I211" s="1" t="str">
        <f t="shared" si="6"/>
        <v>No Follow-up Required</v>
      </c>
      <c r="J211" t="str">
        <f>TEXT(Table8[[#This Row],[visit_Date]],"DDDD")</f>
        <v>Wednesday</v>
      </c>
      <c r="K211" t="str">
        <f>TEXT(Table8[[#This Row],[visit_Date]],"mmmm")</f>
        <v>January</v>
      </c>
      <c r="L211" t="str">
        <f t="shared" si="7"/>
        <v>Winter</v>
      </c>
    </row>
    <row r="212" spans="1:12" x14ac:dyDescent="0.25">
      <c r="A212">
        <v>211</v>
      </c>
      <c r="B212">
        <v>1001</v>
      </c>
      <c r="C212">
        <v>304</v>
      </c>
      <c r="D212" s="1">
        <v>45740</v>
      </c>
      <c r="E212" t="s">
        <v>322</v>
      </c>
      <c r="F212" t="s">
        <v>323</v>
      </c>
      <c r="G212" t="str">
        <f>_xlfn.XLOOKUP(TRIM(E213),MedicineInfo!A:A,MedicineInfo!B:B,"Not Found")</f>
        <v>Multivitamin</v>
      </c>
      <c r="H212" s="1" cm="1">
        <f t="array" ref="H212">_xlfn.IFS(
OR(E212="Type 2 Diabetes",E212="Essential Hypertension",E212="Angina Pectoris",E212="Bronchial Asthma",E212="Cardiac Arrhythmia"), D212+30,
OR(E212="Gastritis",E212="Osteoarthritis",E212="Bronchitis",E212="Iron Deficiency Anemia"), D212+14,
OR(E212="Lumbar Strain",E212="Migraine Headache"), D212+7,
OR(E212="Viral Fever",E212="General Checkup","Routine Health Check"), "",
TRUE,""
)</f>
        <v>45770</v>
      </c>
      <c r="I212" s="1" t="str">
        <f t="shared" si="6"/>
        <v>Follow-up Scheduled</v>
      </c>
      <c r="J212" t="str">
        <f>TEXT(Table8[[#This Row],[visit_Date]],"DDDD")</f>
        <v>Monday</v>
      </c>
      <c r="K212" t="str">
        <f>TEXT(Table8[[#This Row],[visit_Date]],"mmmm")</f>
        <v>March</v>
      </c>
      <c r="L212" t="str">
        <f t="shared" si="7"/>
        <v>Summer</v>
      </c>
    </row>
    <row r="213" spans="1:12" x14ac:dyDescent="0.25">
      <c r="A213">
        <v>212</v>
      </c>
      <c r="B213">
        <v>1027</v>
      </c>
      <c r="C213">
        <v>1384</v>
      </c>
      <c r="D213" s="1">
        <v>45799</v>
      </c>
      <c r="E213" t="s">
        <v>24</v>
      </c>
      <c r="F213" t="s">
        <v>321</v>
      </c>
      <c r="G213" t="str">
        <f>_xlfn.XLOOKUP(TRIM(E214),MedicineInfo!A:A,MedicineInfo!B:B,"Not Found")</f>
        <v>Metformin</v>
      </c>
      <c r="H213" s="1" t="str" cm="1">
        <f t="array" ref="H213">_xlfn.IFS(
OR(E213="Type 2 Diabetes",E213="Essential Hypertension",E213="Angina Pectoris",E213="Bronchial Asthma",E213="Cardiac Arrhythmia"), D213+30,
OR(E213="Gastritis",E213="Osteoarthritis",E213="Bronchitis",E213="Iron Deficiency Anemia"), D213+14,
OR(E213="Lumbar Strain",E213="Migraine Headache"), D213+7,
OR(E213="Viral Fever",E213="General Checkup","Routine Health Check"), "",
TRUE,""
)</f>
        <v/>
      </c>
      <c r="I213" s="1" t="str">
        <f t="shared" si="6"/>
        <v>No Follow-up Required</v>
      </c>
      <c r="J213" t="str">
        <f>TEXT(Table8[[#This Row],[visit_Date]],"DDDD")</f>
        <v>Thursday</v>
      </c>
      <c r="K213" t="str">
        <f>TEXT(Table8[[#This Row],[visit_Date]],"mmmm")</f>
        <v>May</v>
      </c>
      <c r="L213" t="str">
        <f t="shared" si="7"/>
        <v>Summer</v>
      </c>
    </row>
    <row r="214" spans="1:12" x14ac:dyDescent="0.25">
      <c r="A214">
        <v>213</v>
      </c>
      <c r="B214">
        <v>1024</v>
      </c>
      <c r="C214">
        <v>152</v>
      </c>
      <c r="D214" s="1">
        <v>45669</v>
      </c>
      <c r="E214" t="s">
        <v>317</v>
      </c>
      <c r="F214" t="s">
        <v>318</v>
      </c>
      <c r="G214" t="str">
        <f>_xlfn.XLOOKUP(TRIM(E215),MedicineInfo!A:A,MedicineInfo!B:B,"Not Found")</f>
        <v>Multivitamin</v>
      </c>
      <c r="H214" s="1" cm="1">
        <f t="array" ref="H214">_xlfn.IFS(
OR(E214="Type 2 Diabetes",E214="Essential Hypertension",E214="Angina Pectoris",E214="Bronchial Asthma",E214="Cardiac Arrhythmia"), D214+30,
OR(E214="Gastritis",E214="Osteoarthritis",E214="Bronchitis",E214="Iron Deficiency Anemia"), D214+14,
OR(E214="Lumbar Strain",E214="Migraine Headache"), D214+7,
OR(E214="Viral Fever",E214="General Checkup","Routine Health Check"), "",
TRUE,""
)</f>
        <v>45699</v>
      </c>
      <c r="I214" s="1" t="str">
        <f t="shared" si="6"/>
        <v>Follow-up Scheduled</v>
      </c>
      <c r="J214" t="str">
        <f>TEXT(Table8[[#This Row],[visit_Date]],"DDDD")</f>
        <v>Sunday</v>
      </c>
      <c r="K214" t="str">
        <f>TEXT(Table8[[#This Row],[visit_Date]],"mmmm")</f>
        <v>January</v>
      </c>
      <c r="L214" t="str">
        <f t="shared" si="7"/>
        <v>Winter</v>
      </c>
    </row>
    <row r="215" spans="1:12" x14ac:dyDescent="0.25">
      <c r="A215">
        <v>214</v>
      </c>
      <c r="B215">
        <v>1027</v>
      </c>
      <c r="C215">
        <v>1148</v>
      </c>
      <c r="D215" s="1">
        <v>45756</v>
      </c>
      <c r="E215" t="s">
        <v>24</v>
      </c>
      <c r="F215" t="s">
        <v>321</v>
      </c>
      <c r="G215" t="str">
        <f>_xlfn.XLOOKUP(TRIM(E216),MedicineInfo!A:A,MedicineInfo!B:B,"Not Found")</f>
        <v>Sumatriptan</v>
      </c>
      <c r="H215" s="1" t="str" cm="1">
        <f t="array" ref="H215">_xlfn.IFS(
OR(E215="Type 2 Diabetes",E215="Essential Hypertension",E215="Angina Pectoris",E215="Bronchial Asthma",E215="Cardiac Arrhythmia"), D215+30,
OR(E215="Gastritis",E215="Osteoarthritis",E215="Bronchitis",E215="Iron Deficiency Anemia"), D215+14,
OR(E215="Lumbar Strain",E215="Migraine Headache"), D215+7,
OR(E215="Viral Fever",E215="General Checkup","Routine Health Check"), "",
TRUE,""
)</f>
        <v/>
      </c>
      <c r="I215" s="1" t="str">
        <f t="shared" si="6"/>
        <v>No Follow-up Required</v>
      </c>
      <c r="J215" t="str">
        <f>TEXT(Table8[[#This Row],[visit_Date]],"DDDD")</f>
        <v>Wednesday</v>
      </c>
      <c r="K215" t="str">
        <f>TEXT(Table8[[#This Row],[visit_Date]],"mmmm")</f>
        <v>April</v>
      </c>
      <c r="L215" t="str">
        <f t="shared" si="7"/>
        <v>Summer</v>
      </c>
    </row>
    <row r="216" spans="1:12" x14ac:dyDescent="0.25">
      <c r="A216">
        <v>215</v>
      </c>
      <c r="B216">
        <v>1009</v>
      </c>
      <c r="C216">
        <v>694</v>
      </c>
      <c r="D216" s="1">
        <v>45777</v>
      </c>
      <c r="E216" t="s">
        <v>315</v>
      </c>
      <c r="F216" t="s">
        <v>316</v>
      </c>
      <c r="G216" t="str">
        <f>_xlfn.XLOOKUP(TRIM(E217),MedicineInfo!A:A,MedicineInfo!B:B,"Not Found")</f>
        <v>Metformin</v>
      </c>
      <c r="H216" s="1" cm="1">
        <f t="array" ref="H216">_xlfn.IFS(
OR(E216="Type 2 Diabetes",E216="Essential Hypertension",E216="Angina Pectoris",E216="Bronchial Asthma",E216="Cardiac Arrhythmia"), D216+30,
OR(E216="Gastritis",E216="Osteoarthritis",E216="Bronchitis",E216="Iron Deficiency Anemia"), D216+14,
OR(E216="Lumbar Strain",E216="Migraine Headache"), D216+7,
OR(E216="Viral Fever",E216="General Checkup","Routine Health Check"), "",
TRUE,""
)</f>
        <v>45784</v>
      </c>
      <c r="I216" s="1" t="str">
        <f t="shared" si="6"/>
        <v>Follow-up Scheduled</v>
      </c>
      <c r="J216" t="str">
        <f>TEXT(Table8[[#This Row],[visit_Date]],"DDDD")</f>
        <v>Wednesday</v>
      </c>
      <c r="K216" t="str">
        <f>TEXT(Table8[[#This Row],[visit_Date]],"mmmm")</f>
        <v>April</v>
      </c>
      <c r="L216" t="str">
        <f t="shared" si="7"/>
        <v>Summer</v>
      </c>
    </row>
    <row r="217" spans="1:12" x14ac:dyDescent="0.25">
      <c r="A217">
        <v>216</v>
      </c>
      <c r="B217">
        <v>1024</v>
      </c>
      <c r="C217">
        <v>1035</v>
      </c>
      <c r="D217" s="1">
        <v>45723</v>
      </c>
      <c r="E217" t="s">
        <v>317</v>
      </c>
      <c r="F217" t="s">
        <v>318</v>
      </c>
      <c r="G217" t="str">
        <f>_xlfn.XLOOKUP(TRIM(E218),MedicineInfo!A:A,MedicineInfo!B:B,"Not Found")</f>
        <v>Multivitamin</v>
      </c>
      <c r="H217" s="1" cm="1">
        <f t="array" ref="H217">_xlfn.IFS(
OR(E217="Type 2 Diabetes",E217="Essential Hypertension",E217="Angina Pectoris",E217="Bronchial Asthma",E217="Cardiac Arrhythmia"), D217+30,
OR(E217="Gastritis",E217="Osteoarthritis",E217="Bronchitis",E217="Iron Deficiency Anemia"), D217+14,
OR(E217="Lumbar Strain",E217="Migraine Headache"), D217+7,
OR(E217="Viral Fever",E217="General Checkup","Routine Health Check"), "",
TRUE,""
)</f>
        <v>45753</v>
      </c>
      <c r="I217" s="1" t="str">
        <f t="shared" si="6"/>
        <v>Follow-up Scheduled</v>
      </c>
      <c r="J217" t="str">
        <f>TEXT(Table8[[#This Row],[visit_Date]],"DDDD")</f>
        <v>Friday</v>
      </c>
      <c r="K217" t="str">
        <f>TEXT(Table8[[#This Row],[visit_Date]],"mmmm")</f>
        <v>March</v>
      </c>
      <c r="L217" t="str">
        <f t="shared" si="7"/>
        <v>Summer</v>
      </c>
    </row>
    <row r="218" spans="1:12" x14ac:dyDescent="0.25">
      <c r="A218">
        <v>217</v>
      </c>
      <c r="B218">
        <v>1027</v>
      </c>
      <c r="C218">
        <v>1006</v>
      </c>
      <c r="D218" s="1">
        <v>45780</v>
      </c>
      <c r="E218" t="s">
        <v>24</v>
      </c>
      <c r="F218" t="s">
        <v>321</v>
      </c>
      <c r="G218" t="str">
        <f>_xlfn.XLOOKUP(TRIM(E219),MedicineInfo!A:A,MedicineInfo!B:B,"Not Found")</f>
        <v>Salbutamol Inhaler</v>
      </c>
      <c r="H218" s="1" t="str" cm="1">
        <f t="array" ref="H218">_xlfn.IFS(
OR(E218="Type 2 Diabetes",E218="Essential Hypertension",E218="Angina Pectoris",E218="Bronchial Asthma",E218="Cardiac Arrhythmia"), D218+30,
OR(E218="Gastritis",E218="Osteoarthritis",E218="Bronchitis",E218="Iron Deficiency Anemia"), D218+14,
OR(E218="Lumbar Strain",E218="Migraine Headache"), D218+7,
OR(E218="Viral Fever",E218="General Checkup","Routine Health Check"), "",
TRUE,""
)</f>
        <v/>
      </c>
      <c r="I218" s="1" t="str">
        <f t="shared" si="6"/>
        <v>No Follow-up Required</v>
      </c>
      <c r="J218" t="str">
        <f>TEXT(Table8[[#This Row],[visit_Date]],"DDDD")</f>
        <v>Saturday</v>
      </c>
      <c r="K218" t="str">
        <f>TEXT(Table8[[#This Row],[visit_Date]],"mmmm")</f>
        <v>May</v>
      </c>
      <c r="L218" t="str">
        <f t="shared" si="7"/>
        <v>Summer</v>
      </c>
    </row>
    <row r="219" spans="1:12" x14ac:dyDescent="0.25">
      <c r="A219">
        <v>218</v>
      </c>
      <c r="B219">
        <v>1020</v>
      </c>
      <c r="C219">
        <v>1368</v>
      </c>
      <c r="D219" s="1">
        <v>45772</v>
      </c>
      <c r="E219" t="s">
        <v>324</v>
      </c>
      <c r="F219" t="s">
        <v>325</v>
      </c>
      <c r="G219" t="str">
        <f>_xlfn.XLOOKUP(TRIM(E220),MedicineInfo!A:A,MedicineInfo!B:B,"Not Found")</f>
        <v>Amlodipine</v>
      </c>
      <c r="H219" s="1" cm="1">
        <f t="array" ref="H219">_xlfn.IFS(
OR(E219="Type 2 Diabetes",E219="Essential Hypertension",E219="Angina Pectoris",E219="Bronchial Asthma",E219="Cardiac Arrhythmia"), D219+30,
OR(E219="Gastritis",E219="Osteoarthritis",E219="Bronchitis",E219="Iron Deficiency Anemia"), D219+14,
OR(E219="Lumbar Strain",E219="Migraine Headache"), D219+7,
OR(E219="Viral Fever",E219="General Checkup","Routine Health Check"), "",
TRUE,""
)</f>
        <v>45802</v>
      </c>
      <c r="I219" s="1" t="str">
        <f t="shared" si="6"/>
        <v>Follow-up Scheduled</v>
      </c>
      <c r="J219" t="str">
        <f>TEXT(Table8[[#This Row],[visit_Date]],"DDDD")</f>
        <v>Friday</v>
      </c>
      <c r="K219" t="str">
        <f>TEXT(Table8[[#This Row],[visit_Date]],"mmmm")</f>
        <v>April</v>
      </c>
      <c r="L219" t="str">
        <f t="shared" si="7"/>
        <v>Summer</v>
      </c>
    </row>
    <row r="220" spans="1:12" x14ac:dyDescent="0.25">
      <c r="A220">
        <v>219</v>
      </c>
      <c r="B220">
        <v>1004</v>
      </c>
      <c r="C220">
        <v>1456</v>
      </c>
      <c r="D220" s="1">
        <v>45691</v>
      </c>
      <c r="E220" t="s">
        <v>319</v>
      </c>
      <c r="F220" t="s">
        <v>320</v>
      </c>
      <c r="G220" t="str">
        <f>_xlfn.XLOOKUP(TRIM(E221),MedicineInfo!A:A,MedicineInfo!B:B,"Not Found")</f>
        <v>Metformin</v>
      </c>
      <c r="H220" s="1" cm="1">
        <f t="array" ref="H220">_xlfn.IFS(
OR(E220="Type 2 Diabetes",E220="Essential Hypertension",E220="Angina Pectoris",E220="Bronchial Asthma",E220="Cardiac Arrhythmia"), D220+30,
OR(E220="Gastritis",E220="Osteoarthritis",E220="Bronchitis",E220="Iron Deficiency Anemia"), D220+14,
OR(E220="Lumbar Strain",E220="Migraine Headache"), D220+7,
OR(E220="Viral Fever",E220="General Checkup","Routine Health Check"), "",
TRUE,""
)</f>
        <v>45721</v>
      </c>
      <c r="I220" s="1" t="str">
        <f t="shared" si="6"/>
        <v>Follow-up Scheduled</v>
      </c>
      <c r="J220" t="str">
        <f>TEXT(Table8[[#This Row],[visit_Date]],"DDDD")</f>
        <v>Monday</v>
      </c>
      <c r="K220" t="str">
        <f>TEXT(Table8[[#This Row],[visit_Date]],"mmmm")</f>
        <v>February</v>
      </c>
      <c r="L220" t="str">
        <f t="shared" si="7"/>
        <v>Winter</v>
      </c>
    </row>
    <row r="221" spans="1:12" x14ac:dyDescent="0.25">
      <c r="A221">
        <v>220</v>
      </c>
      <c r="B221">
        <v>1024</v>
      </c>
      <c r="C221">
        <v>405</v>
      </c>
      <c r="D221" s="1">
        <v>45790</v>
      </c>
      <c r="E221" t="s">
        <v>317</v>
      </c>
      <c r="F221" t="s">
        <v>318</v>
      </c>
      <c r="G221" t="str">
        <f>_xlfn.XLOOKUP(TRIM(E222),MedicineInfo!A:A,MedicineInfo!B:B,"Not Found")</f>
        <v>Amlodipine</v>
      </c>
      <c r="H221" s="1" cm="1">
        <f t="array" ref="H221">_xlfn.IFS(
OR(E221="Type 2 Diabetes",E221="Essential Hypertension",E221="Angina Pectoris",E221="Bronchial Asthma",E221="Cardiac Arrhythmia"), D221+30,
OR(E221="Gastritis",E221="Osteoarthritis",E221="Bronchitis",E221="Iron Deficiency Anemia"), D221+14,
OR(E221="Lumbar Strain",E221="Migraine Headache"), D221+7,
OR(E221="Viral Fever",E221="General Checkup","Routine Health Check"), "",
TRUE,""
)</f>
        <v>45820</v>
      </c>
      <c r="I221" s="1" t="str">
        <f t="shared" si="6"/>
        <v>Follow-up Scheduled</v>
      </c>
      <c r="J221" t="str">
        <f>TEXT(Table8[[#This Row],[visit_Date]],"DDDD")</f>
        <v>Tuesday</v>
      </c>
      <c r="K221" t="str">
        <f>TEXT(Table8[[#This Row],[visit_Date]],"mmmm")</f>
        <v>May</v>
      </c>
      <c r="L221" t="str">
        <f t="shared" si="7"/>
        <v>Summer</v>
      </c>
    </row>
    <row r="222" spans="1:12" x14ac:dyDescent="0.25">
      <c r="A222">
        <v>221</v>
      </c>
      <c r="B222">
        <v>1003</v>
      </c>
      <c r="C222">
        <v>646</v>
      </c>
      <c r="D222" s="1">
        <v>45791</v>
      </c>
      <c r="E222" t="s">
        <v>319</v>
      </c>
      <c r="F222" t="s">
        <v>320</v>
      </c>
      <c r="G222" t="str">
        <f>_xlfn.XLOOKUP(TRIM(E223),MedicineInfo!A:A,MedicineInfo!B:B,"Not Found")</f>
        <v>Metformin</v>
      </c>
      <c r="H222" s="1" cm="1">
        <f t="array" ref="H222">_xlfn.IFS(
OR(E222="Type 2 Diabetes",E222="Essential Hypertension",E222="Angina Pectoris",E222="Bronchial Asthma",E222="Cardiac Arrhythmia"), D222+30,
OR(E222="Gastritis",E222="Osteoarthritis",E222="Bronchitis",E222="Iron Deficiency Anemia"), D222+14,
OR(E222="Lumbar Strain",E222="Migraine Headache"), D222+7,
OR(E222="Viral Fever",E222="General Checkup","Routine Health Check"), "",
TRUE,""
)</f>
        <v>45821</v>
      </c>
      <c r="I222" s="1" t="str">
        <f t="shared" si="6"/>
        <v>Follow-up Scheduled</v>
      </c>
      <c r="J222" t="str">
        <f>TEXT(Table8[[#This Row],[visit_Date]],"DDDD")</f>
        <v>Wednesday</v>
      </c>
      <c r="K222" t="str">
        <f>TEXT(Table8[[#This Row],[visit_Date]],"mmmm")</f>
        <v>May</v>
      </c>
      <c r="L222" t="str">
        <f t="shared" si="7"/>
        <v>Summer</v>
      </c>
    </row>
    <row r="223" spans="1:12" x14ac:dyDescent="0.25">
      <c r="A223">
        <v>222</v>
      </c>
      <c r="B223">
        <v>1024</v>
      </c>
      <c r="C223">
        <v>1153</v>
      </c>
      <c r="D223" s="1">
        <v>45695</v>
      </c>
      <c r="E223" t="s">
        <v>317</v>
      </c>
      <c r="F223" t="s">
        <v>318</v>
      </c>
      <c r="G223" t="str">
        <f>_xlfn.XLOOKUP(TRIM(E224),MedicineInfo!A:A,MedicineInfo!B:B,"Not Found")</f>
        <v>Diclofenac</v>
      </c>
      <c r="H223" s="1" cm="1">
        <f t="array" ref="H223">_xlfn.IFS(
OR(E223="Type 2 Diabetes",E223="Essential Hypertension",E223="Angina Pectoris",E223="Bronchial Asthma",E223="Cardiac Arrhythmia"), D223+30,
OR(E223="Gastritis",E223="Osteoarthritis",E223="Bronchitis",E223="Iron Deficiency Anemia"), D223+14,
OR(E223="Lumbar Strain",E223="Migraine Headache"), D223+7,
OR(E223="Viral Fever",E223="General Checkup","Routine Health Check"), "",
TRUE,""
)</f>
        <v>45725</v>
      </c>
      <c r="I223" s="1" t="str">
        <f t="shared" si="6"/>
        <v>Follow-up Scheduled</v>
      </c>
      <c r="J223" t="str">
        <f>TEXT(Table8[[#This Row],[visit_Date]],"DDDD")</f>
        <v>Friday</v>
      </c>
      <c r="K223" t="str">
        <f>TEXT(Table8[[#This Row],[visit_Date]],"mmmm")</f>
        <v>February</v>
      </c>
      <c r="L223" t="str">
        <f t="shared" si="7"/>
        <v>Winter</v>
      </c>
    </row>
    <row r="224" spans="1:12" x14ac:dyDescent="0.25">
      <c r="A224">
        <v>223</v>
      </c>
      <c r="B224">
        <v>1027</v>
      </c>
      <c r="C224">
        <v>310</v>
      </c>
      <c r="D224" s="1">
        <v>45719</v>
      </c>
      <c r="E224" t="s">
        <v>313</v>
      </c>
      <c r="F224" t="s">
        <v>314</v>
      </c>
      <c r="G224" t="str">
        <f>_xlfn.XLOOKUP(TRIM(E225),MedicineInfo!A:A,MedicineInfo!B:B,"Not Found")</f>
        <v>Metformin</v>
      </c>
      <c r="H224" s="1" cm="1">
        <f t="array" ref="H224">_xlfn.IFS(
OR(E224="Type 2 Diabetes",E224="Essential Hypertension",E224="Angina Pectoris",E224="Bronchial Asthma",E224="Cardiac Arrhythmia"), D224+30,
OR(E224="Gastritis",E224="Osteoarthritis",E224="Bronchitis",E224="Iron Deficiency Anemia"), D224+14,
OR(E224="Lumbar Strain",E224="Migraine Headache"), D224+7,
OR(E224="Viral Fever",E224="General Checkup","Routine Health Check"), "",
TRUE,""
)</f>
        <v>45726</v>
      </c>
      <c r="I224" s="1" t="str">
        <f t="shared" si="6"/>
        <v>Follow-up Scheduled</v>
      </c>
      <c r="J224" t="str">
        <f>TEXT(Table8[[#This Row],[visit_Date]],"DDDD")</f>
        <v>Monday</v>
      </c>
      <c r="K224" t="str">
        <f>TEXT(Table8[[#This Row],[visit_Date]],"mmmm")</f>
        <v>March</v>
      </c>
      <c r="L224" t="str">
        <f t="shared" si="7"/>
        <v>Summer</v>
      </c>
    </row>
    <row r="225" spans="1:12" x14ac:dyDescent="0.25">
      <c r="A225">
        <v>224</v>
      </c>
      <c r="B225">
        <v>1024</v>
      </c>
      <c r="C225">
        <v>1562</v>
      </c>
      <c r="D225" s="1">
        <v>45838</v>
      </c>
      <c r="E225" t="s">
        <v>317</v>
      </c>
      <c r="F225" t="s">
        <v>318</v>
      </c>
      <c r="G225" t="str">
        <f>_xlfn.XLOOKUP(TRIM(E226),MedicineInfo!A:A,MedicineInfo!B:B,"Not Found")</f>
        <v>Diclofenac</v>
      </c>
      <c r="H225" s="1" cm="1">
        <f t="array" ref="H225">_xlfn.IFS(
OR(E225="Type 2 Diabetes",E225="Essential Hypertension",E225="Angina Pectoris",E225="Bronchial Asthma",E225="Cardiac Arrhythmia"), D225+30,
OR(E225="Gastritis",E225="Osteoarthritis",E225="Bronchitis",E225="Iron Deficiency Anemia"), D225+14,
OR(E225="Lumbar Strain",E225="Migraine Headache"), D225+7,
OR(E225="Viral Fever",E225="General Checkup","Routine Health Check"), "",
TRUE,""
)</f>
        <v>45868</v>
      </c>
      <c r="I225" s="1" t="str">
        <f t="shared" si="6"/>
        <v>Follow-up Scheduled</v>
      </c>
      <c r="J225" t="str">
        <f>TEXT(Table8[[#This Row],[visit_Date]],"DDDD")</f>
        <v>Monday</v>
      </c>
      <c r="K225" t="str">
        <f>TEXT(Table8[[#This Row],[visit_Date]],"mmmm")</f>
        <v>June</v>
      </c>
      <c r="L225" t="str">
        <f t="shared" si="7"/>
        <v>Monsoon</v>
      </c>
    </row>
    <row r="226" spans="1:12" x14ac:dyDescent="0.25">
      <c r="A226">
        <v>225</v>
      </c>
      <c r="B226">
        <v>1027</v>
      </c>
      <c r="C226">
        <v>177</v>
      </c>
      <c r="D226" s="1">
        <v>45686</v>
      </c>
      <c r="E226" t="s">
        <v>313</v>
      </c>
      <c r="F226" t="s">
        <v>314</v>
      </c>
      <c r="G226" t="str">
        <f>_xlfn.XLOOKUP(TRIM(E227),MedicineInfo!A:A,MedicineInfo!B:B,"Not Found")</f>
        <v>Multivitamin</v>
      </c>
      <c r="H226" s="1" cm="1">
        <f t="array" ref="H226">_xlfn.IFS(
OR(E226="Type 2 Diabetes",E226="Essential Hypertension",E226="Angina Pectoris",E226="Bronchial Asthma",E226="Cardiac Arrhythmia"), D226+30,
OR(E226="Gastritis",E226="Osteoarthritis",E226="Bronchitis",E226="Iron Deficiency Anemia"), D226+14,
OR(E226="Lumbar Strain",E226="Migraine Headache"), D226+7,
OR(E226="Viral Fever",E226="General Checkup","Routine Health Check"), "",
TRUE,""
)</f>
        <v>45693</v>
      </c>
      <c r="I226" s="1" t="str">
        <f t="shared" si="6"/>
        <v>Follow-up Scheduled</v>
      </c>
      <c r="J226" t="str">
        <f>TEXT(Table8[[#This Row],[visit_Date]],"DDDD")</f>
        <v>Wednesday</v>
      </c>
      <c r="K226" t="str">
        <f>TEXT(Table8[[#This Row],[visit_Date]],"mmmm")</f>
        <v>January</v>
      </c>
      <c r="L226" t="str">
        <f t="shared" si="7"/>
        <v>Winter</v>
      </c>
    </row>
    <row r="227" spans="1:12" x14ac:dyDescent="0.25">
      <c r="A227">
        <v>226</v>
      </c>
      <c r="B227">
        <v>1027</v>
      </c>
      <c r="C227">
        <v>845</v>
      </c>
      <c r="D227" s="1">
        <v>45767</v>
      </c>
      <c r="E227" t="s">
        <v>24</v>
      </c>
      <c r="F227" t="s">
        <v>321</v>
      </c>
      <c r="G227" t="str">
        <f>_xlfn.XLOOKUP(TRIM(E228),MedicineInfo!A:A,MedicineInfo!B:B,"Not Found")</f>
        <v>Diclofenac</v>
      </c>
      <c r="H227" s="1" t="str" cm="1">
        <f t="array" ref="H227">_xlfn.IFS(
OR(E227="Type 2 Diabetes",E227="Essential Hypertension",E227="Angina Pectoris",E227="Bronchial Asthma",E227="Cardiac Arrhythmia"), D227+30,
OR(E227="Gastritis",E227="Osteoarthritis",E227="Bronchitis",E227="Iron Deficiency Anemia"), D227+14,
OR(E227="Lumbar Strain",E227="Migraine Headache"), D227+7,
OR(E227="Viral Fever",E227="General Checkup","Routine Health Check"), "",
TRUE,""
)</f>
        <v/>
      </c>
      <c r="I227" s="1" t="str">
        <f t="shared" si="6"/>
        <v>No Follow-up Required</v>
      </c>
      <c r="J227" t="str">
        <f>TEXT(Table8[[#This Row],[visit_Date]],"DDDD")</f>
        <v>Sunday</v>
      </c>
      <c r="K227" t="str">
        <f>TEXT(Table8[[#This Row],[visit_Date]],"mmmm")</f>
        <v>April</v>
      </c>
      <c r="L227" t="str">
        <f t="shared" si="7"/>
        <v>Summer</v>
      </c>
    </row>
    <row r="228" spans="1:12" x14ac:dyDescent="0.25">
      <c r="A228">
        <v>227</v>
      </c>
      <c r="B228">
        <v>1027</v>
      </c>
      <c r="C228">
        <v>616</v>
      </c>
      <c r="D228" s="1">
        <v>45843</v>
      </c>
      <c r="E228" t="s">
        <v>313</v>
      </c>
      <c r="F228" t="s">
        <v>314</v>
      </c>
      <c r="G228" t="str">
        <f>_xlfn.XLOOKUP(TRIM(E229),MedicineInfo!A:A,MedicineInfo!B:B,"Not Found")</f>
        <v>Diclofenac</v>
      </c>
      <c r="H228" s="1" cm="1">
        <f t="array" ref="H228">_xlfn.IFS(
OR(E228="Type 2 Diabetes",E228="Essential Hypertension",E228="Angina Pectoris",E228="Bronchial Asthma",E228="Cardiac Arrhythmia"), D228+30,
OR(E228="Gastritis",E228="Osteoarthritis",E228="Bronchitis",E228="Iron Deficiency Anemia"), D228+14,
OR(E228="Lumbar Strain",E228="Migraine Headache"), D228+7,
OR(E228="Viral Fever",E228="General Checkup","Routine Health Check"), "",
TRUE,""
)</f>
        <v>45850</v>
      </c>
      <c r="I228" s="1" t="str">
        <f t="shared" si="6"/>
        <v>Follow-up Scheduled</v>
      </c>
      <c r="J228" t="str">
        <f>TEXT(Table8[[#This Row],[visit_Date]],"DDDD")</f>
        <v>Saturday</v>
      </c>
      <c r="K228" t="str">
        <f>TEXT(Table8[[#This Row],[visit_Date]],"mmmm")</f>
        <v>July</v>
      </c>
      <c r="L228" t="str">
        <f t="shared" si="7"/>
        <v>Monsoon</v>
      </c>
    </row>
    <row r="229" spans="1:12" x14ac:dyDescent="0.25">
      <c r="A229">
        <v>228</v>
      </c>
      <c r="B229">
        <v>1027</v>
      </c>
      <c r="C229">
        <v>1484</v>
      </c>
      <c r="D229" s="1">
        <v>45792</v>
      </c>
      <c r="E229" t="s">
        <v>313</v>
      </c>
      <c r="F229" t="s">
        <v>314</v>
      </c>
      <c r="G229" t="str">
        <f>_xlfn.XLOOKUP(TRIM(E230),MedicineInfo!A:A,MedicineInfo!B:B,"Not Found")</f>
        <v>Paracetamol</v>
      </c>
      <c r="H229" s="1" cm="1">
        <f t="array" ref="H229">_xlfn.IFS(
OR(E229="Type 2 Diabetes",E229="Essential Hypertension",E229="Angina Pectoris",E229="Bronchial Asthma",E229="Cardiac Arrhythmia"), D229+30,
OR(E229="Gastritis",E229="Osteoarthritis",E229="Bronchitis",E229="Iron Deficiency Anemia"), D229+14,
OR(E229="Lumbar Strain",E229="Migraine Headache"), D229+7,
OR(E229="Viral Fever",E229="General Checkup","Routine Health Check"), "",
TRUE,""
)</f>
        <v>45799</v>
      </c>
      <c r="I229" s="1" t="str">
        <f t="shared" si="6"/>
        <v>Follow-up Scheduled</v>
      </c>
      <c r="J229" t="str">
        <f>TEXT(Table8[[#This Row],[visit_Date]],"DDDD")</f>
        <v>Thursday</v>
      </c>
      <c r="K229" t="str">
        <f>TEXT(Table8[[#This Row],[visit_Date]],"mmmm")</f>
        <v>May</v>
      </c>
      <c r="L229" t="str">
        <f t="shared" si="7"/>
        <v>Summer</v>
      </c>
    </row>
    <row r="230" spans="1:12" x14ac:dyDescent="0.25">
      <c r="A230">
        <v>229</v>
      </c>
      <c r="B230">
        <v>1027</v>
      </c>
      <c r="C230">
        <v>596</v>
      </c>
      <c r="D230" s="1">
        <v>45790</v>
      </c>
      <c r="E230" t="s">
        <v>326</v>
      </c>
      <c r="F230" t="s">
        <v>327</v>
      </c>
      <c r="G230" t="str">
        <f>_xlfn.XLOOKUP(TRIM(E231),MedicineInfo!A:A,MedicineInfo!B:B,"Not Found")</f>
        <v>Nitroglycerin</v>
      </c>
      <c r="H230" s="1" t="str" cm="1">
        <f t="array" ref="H230">_xlfn.IFS(
OR(E230="Type 2 Diabetes",E230="Essential Hypertension",E230="Angina Pectoris",E230="Bronchial Asthma",E230="Cardiac Arrhythmia"), D230+30,
OR(E230="Gastritis",E230="Osteoarthritis",E230="Bronchitis",E230="Iron Deficiency Anemia"), D230+14,
OR(E230="Lumbar Strain",E230="Migraine Headache"), D230+7,
OR(E230="Viral Fever",E230="General Checkup","Routine Health Check"), "",
TRUE,""
)</f>
        <v/>
      </c>
      <c r="I230" s="1" t="str">
        <f t="shared" si="6"/>
        <v>No Follow-up Required</v>
      </c>
      <c r="J230" t="str">
        <f>TEXT(Table8[[#This Row],[visit_Date]],"DDDD")</f>
        <v>Tuesday</v>
      </c>
      <c r="K230" t="str">
        <f>TEXT(Table8[[#This Row],[visit_Date]],"mmmm")</f>
        <v>May</v>
      </c>
      <c r="L230" t="str">
        <f t="shared" si="7"/>
        <v>Summer</v>
      </c>
    </row>
    <row r="231" spans="1:12" x14ac:dyDescent="0.25">
      <c r="A231">
        <v>230</v>
      </c>
      <c r="B231">
        <v>1027</v>
      </c>
      <c r="C231">
        <v>813</v>
      </c>
      <c r="D231" s="1">
        <v>45758</v>
      </c>
      <c r="E231" t="s">
        <v>322</v>
      </c>
      <c r="F231" t="s">
        <v>323</v>
      </c>
      <c r="G231" t="str">
        <f>_xlfn.XLOOKUP(TRIM(E232),MedicineInfo!A:A,MedicineInfo!B:B,"Not Found")</f>
        <v>Multivitamin</v>
      </c>
      <c r="H231" s="1" cm="1">
        <f t="array" ref="H231">_xlfn.IFS(
OR(E231="Type 2 Diabetes",E231="Essential Hypertension",E231="Angina Pectoris",E231="Bronchial Asthma",E231="Cardiac Arrhythmia"), D231+30,
OR(E231="Gastritis",E231="Osteoarthritis",E231="Bronchitis",E231="Iron Deficiency Anemia"), D231+14,
OR(E231="Lumbar Strain",E231="Migraine Headache"), D231+7,
OR(E231="Viral Fever",E231="General Checkup","Routine Health Check"), "",
TRUE,""
)</f>
        <v>45788</v>
      </c>
      <c r="I231" s="1" t="str">
        <f t="shared" si="6"/>
        <v>Follow-up Scheduled</v>
      </c>
      <c r="J231" t="str">
        <f>TEXT(Table8[[#This Row],[visit_Date]],"DDDD")</f>
        <v>Friday</v>
      </c>
      <c r="K231" t="str">
        <f>TEXT(Table8[[#This Row],[visit_Date]],"mmmm")</f>
        <v>April</v>
      </c>
      <c r="L231" t="str">
        <f t="shared" si="7"/>
        <v>Summer</v>
      </c>
    </row>
    <row r="232" spans="1:12" x14ac:dyDescent="0.25">
      <c r="A232">
        <v>231</v>
      </c>
      <c r="B232">
        <v>1027</v>
      </c>
      <c r="C232">
        <v>752</v>
      </c>
      <c r="D232" s="1">
        <v>45823</v>
      </c>
      <c r="E232" t="s">
        <v>24</v>
      </c>
      <c r="F232" t="s">
        <v>321</v>
      </c>
      <c r="G232" t="str">
        <f>_xlfn.XLOOKUP(TRIM(E233),MedicineInfo!A:A,MedicineInfo!B:B,"Not Found")</f>
        <v>Amlodipine</v>
      </c>
      <c r="H232" s="1" t="str" cm="1">
        <f t="array" ref="H232">_xlfn.IFS(
OR(E232="Type 2 Diabetes",E232="Essential Hypertension",E232="Angina Pectoris",E232="Bronchial Asthma",E232="Cardiac Arrhythmia"), D232+30,
OR(E232="Gastritis",E232="Osteoarthritis",E232="Bronchitis",E232="Iron Deficiency Anemia"), D232+14,
OR(E232="Lumbar Strain",E232="Migraine Headache"), D232+7,
OR(E232="Viral Fever",E232="General Checkup","Routine Health Check"), "",
TRUE,""
)</f>
        <v/>
      </c>
      <c r="I232" s="1" t="str">
        <f t="shared" si="6"/>
        <v>No Follow-up Required</v>
      </c>
      <c r="J232" t="str">
        <f>TEXT(Table8[[#This Row],[visit_Date]],"DDDD")</f>
        <v>Sunday</v>
      </c>
      <c r="K232" t="str">
        <f>TEXT(Table8[[#This Row],[visit_Date]],"mmmm")</f>
        <v>June</v>
      </c>
      <c r="L232" t="str">
        <f t="shared" si="7"/>
        <v>Monsoon</v>
      </c>
    </row>
    <row r="233" spans="1:12" x14ac:dyDescent="0.25">
      <c r="A233">
        <v>232</v>
      </c>
      <c r="B233">
        <v>1001</v>
      </c>
      <c r="C233">
        <v>1186</v>
      </c>
      <c r="D233" s="1">
        <v>45792</v>
      </c>
      <c r="E233" t="s">
        <v>319</v>
      </c>
      <c r="F233" t="s">
        <v>320</v>
      </c>
      <c r="G233" t="str">
        <f>_xlfn.XLOOKUP(TRIM(E234),MedicineInfo!A:A,MedicineInfo!B:B,"Not Found")</f>
        <v>Multivitamin</v>
      </c>
      <c r="H233" s="1" cm="1">
        <f t="array" ref="H233">_xlfn.IFS(
OR(E233="Type 2 Diabetes",E233="Essential Hypertension",E233="Angina Pectoris",E233="Bronchial Asthma",E233="Cardiac Arrhythmia"), D233+30,
OR(E233="Gastritis",E233="Osteoarthritis",E233="Bronchitis",E233="Iron Deficiency Anemia"), D233+14,
OR(E233="Lumbar Strain",E233="Migraine Headache"), D233+7,
OR(E233="Viral Fever",E233="General Checkup","Routine Health Check"), "",
TRUE,""
)</f>
        <v>45822</v>
      </c>
      <c r="I233" s="1" t="str">
        <f t="shared" si="6"/>
        <v>Follow-up Scheduled</v>
      </c>
      <c r="J233" t="str">
        <f>TEXT(Table8[[#This Row],[visit_Date]],"DDDD")</f>
        <v>Thursday</v>
      </c>
      <c r="K233" t="str">
        <f>TEXT(Table8[[#This Row],[visit_Date]],"mmmm")</f>
        <v>May</v>
      </c>
      <c r="L233" t="str">
        <f t="shared" si="7"/>
        <v>Summer</v>
      </c>
    </row>
    <row r="234" spans="1:12" x14ac:dyDescent="0.25">
      <c r="A234">
        <v>233</v>
      </c>
      <c r="B234">
        <v>1027</v>
      </c>
      <c r="C234">
        <v>1161</v>
      </c>
      <c r="D234" s="1">
        <v>45792</v>
      </c>
      <c r="E234" t="s">
        <v>24</v>
      </c>
      <c r="F234" t="s">
        <v>321</v>
      </c>
      <c r="G234" t="str">
        <f>_xlfn.XLOOKUP(TRIM(E235),MedicineInfo!A:A,MedicineInfo!B:B,"Not Found")</f>
        <v>Diclofenac</v>
      </c>
      <c r="H234" s="1" t="str" cm="1">
        <f t="array" ref="H234">_xlfn.IFS(
OR(E234="Type 2 Diabetes",E234="Essential Hypertension",E234="Angina Pectoris",E234="Bronchial Asthma",E234="Cardiac Arrhythmia"), D234+30,
OR(E234="Gastritis",E234="Osteoarthritis",E234="Bronchitis",E234="Iron Deficiency Anemia"), D234+14,
OR(E234="Lumbar Strain",E234="Migraine Headache"), D234+7,
OR(E234="Viral Fever",E234="General Checkup","Routine Health Check"), "",
TRUE,""
)</f>
        <v/>
      </c>
      <c r="I234" s="1" t="str">
        <f t="shared" si="6"/>
        <v>No Follow-up Required</v>
      </c>
      <c r="J234" t="str">
        <f>TEXT(Table8[[#This Row],[visit_Date]],"DDDD")</f>
        <v>Thursday</v>
      </c>
      <c r="K234" t="str">
        <f>TEXT(Table8[[#This Row],[visit_Date]],"mmmm")</f>
        <v>May</v>
      </c>
      <c r="L234" t="str">
        <f t="shared" si="7"/>
        <v>Summer</v>
      </c>
    </row>
    <row r="235" spans="1:12" x14ac:dyDescent="0.25">
      <c r="A235">
        <v>234</v>
      </c>
      <c r="B235">
        <v>1027</v>
      </c>
      <c r="C235">
        <v>684</v>
      </c>
      <c r="D235" s="1">
        <v>45672</v>
      </c>
      <c r="E235" t="s">
        <v>313</v>
      </c>
      <c r="F235" t="s">
        <v>314</v>
      </c>
      <c r="G235" t="str">
        <f>_xlfn.XLOOKUP(TRIM(E236),MedicineInfo!A:A,MedicineInfo!B:B,"Not Found")</f>
        <v>Multivitamin</v>
      </c>
      <c r="H235" s="1" cm="1">
        <f t="array" ref="H235">_xlfn.IFS(
OR(E235="Type 2 Diabetes",E235="Essential Hypertension",E235="Angina Pectoris",E235="Bronchial Asthma",E235="Cardiac Arrhythmia"), D235+30,
OR(E235="Gastritis",E235="Osteoarthritis",E235="Bronchitis",E235="Iron Deficiency Anemia"), D235+14,
OR(E235="Lumbar Strain",E235="Migraine Headache"), D235+7,
OR(E235="Viral Fever",E235="General Checkup","Routine Health Check"), "",
TRUE,""
)</f>
        <v>45679</v>
      </c>
      <c r="I235" s="1" t="str">
        <f t="shared" si="6"/>
        <v>Follow-up Scheduled</v>
      </c>
      <c r="J235" t="str">
        <f>TEXT(Table8[[#This Row],[visit_Date]],"DDDD")</f>
        <v>Wednesday</v>
      </c>
      <c r="K235" t="str">
        <f>TEXT(Table8[[#This Row],[visit_Date]],"mmmm")</f>
        <v>January</v>
      </c>
      <c r="L235" t="str">
        <f t="shared" si="7"/>
        <v>Winter</v>
      </c>
    </row>
    <row r="236" spans="1:12" x14ac:dyDescent="0.25">
      <c r="A236">
        <v>235</v>
      </c>
      <c r="B236">
        <v>1027</v>
      </c>
      <c r="C236">
        <v>1366</v>
      </c>
      <c r="D236" s="1">
        <v>45790</v>
      </c>
      <c r="E236" t="s">
        <v>24</v>
      </c>
      <c r="F236" t="s">
        <v>321</v>
      </c>
      <c r="G236" t="str">
        <f>_xlfn.XLOOKUP(TRIM(E237),MedicineInfo!A:A,MedicineInfo!B:B,"Not Found")</f>
        <v>Paracetamol</v>
      </c>
      <c r="H236" s="1" t="str" cm="1">
        <f t="array" ref="H236">_xlfn.IFS(
OR(E236="Type 2 Diabetes",E236="Essential Hypertension",E236="Angina Pectoris",E236="Bronchial Asthma",E236="Cardiac Arrhythmia"), D236+30,
OR(E236="Gastritis",E236="Osteoarthritis",E236="Bronchitis",E236="Iron Deficiency Anemia"), D236+14,
OR(E236="Lumbar Strain",E236="Migraine Headache"), D236+7,
OR(E236="Viral Fever",E236="General Checkup","Routine Health Check"), "",
TRUE,""
)</f>
        <v/>
      </c>
      <c r="I236" s="1" t="str">
        <f t="shared" si="6"/>
        <v>No Follow-up Required</v>
      </c>
      <c r="J236" t="str">
        <f>TEXT(Table8[[#This Row],[visit_Date]],"DDDD")</f>
        <v>Tuesday</v>
      </c>
      <c r="K236" t="str">
        <f>TEXT(Table8[[#This Row],[visit_Date]],"mmmm")</f>
        <v>May</v>
      </c>
      <c r="L236" t="str">
        <f t="shared" si="7"/>
        <v>Summer</v>
      </c>
    </row>
    <row r="237" spans="1:12" x14ac:dyDescent="0.25">
      <c r="A237">
        <v>236</v>
      </c>
      <c r="B237">
        <v>1027</v>
      </c>
      <c r="C237">
        <v>290</v>
      </c>
      <c r="D237" s="1">
        <v>45775</v>
      </c>
      <c r="E237" t="s">
        <v>326</v>
      </c>
      <c r="F237" t="s">
        <v>327</v>
      </c>
      <c r="G237" t="str">
        <f>_xlfn.XLOOKUP(TRIM(E238),MedicineInfo!A:A,MedicineInfo!B:B,"Not Found")</f>
        <v>Metformin</v>
      </c>
      <c r="H237" s="1" t="str" cm="1">
        <f t="array" ref="H237">_xlfn.IFS(
OR(E237="Type 2 Diabetes",E237="Essential Hypertension",E237="Angina Pectoris",E237="Bronchial Asthma",E237="Cardiac Arrhythmia"), D237+30,
OR(E237="Gastritis",E237="Osteoarthritis",E237="Bronchitis",E237="Iron Deficiency Anemia"), D237+14,
OR(E237="Lumbar Strain",E237="Migraine Headache"), D237+7,
OR(E237="Viral Fever",E237="General Checkup","Routine Health Check"), "",
TRUE,""
)</f>
        <v/>
      </c>
      <c r="I237" s="1" t="str">
        <f t="shared" si="6"/>
        <v>No Follow-up Required</v>
      </c>
      <c r="J237" t="str">
        <f>TEXT(Table8[[#This Row],[visit_Date]],"DDDD")</f>
        <v>Monday</v>
      </c>
      <c r="K237" t="str">
        <f>TEXT(Table8[[#This Row],[visit_Date]],"mmmm")</f>
        <v>April</v>
      </c>
      <c r="L237" t="str">
        <f t="shared" si="7"/>
        <v>Summer</v>
      </c>
    </row>
    <row r="238" spans="1:12" x14ac:dyDescent="0.25">
      <c r="A238">
        <v>237</v>
      </c>
      <c r="B238">
        <v>1024</v>
      </c>
      <c r="C238">
        <v>249</v>
      </c>
      <c r="D238" s="1">
        <v>45718</v>
      </c>
      <c r="E238" t="s">
        <v>317</v>
      </c>
      <c r="F238" t="s">
        <v>318</v>
      </c>
      <c r="G238" t="str">
        <f>_xlfn.XLOOKUP(TRIM(E239),MedicineInfo!A:A,MedicineInfo!B:B,"Not Found")</f>
        <v>Amlodipine</v>
      </c>
      <c r="H238" s="1" cm="1">
        <f t="array" ref="H238">_xlfn.IFS(
OR(E238="Type 2 Diabetes",E238="Essential Hypertension",E238="Angina Pectoris",E238="Bronchial Asthma",E238="Cardiac Arrhythmia"), D238+30,
OR(E238="Gastritis",E238="Osteoarthritis",E238="Bronchitis",E238="Iron Deficiency Anemia"), D238+14,
OR(E238="Lumbar Strain",E238="Migraine Headache"), D238+7,
OR(E238="Viral Fever",E238="General Checkup","Routine Health Check"), "",
TRUE,""
)</f>
        <v>45748</v>
      </c>
      <c r="I238" s="1" t="str">
        <f t="shared" si="6"/>
        <v>Follow-up Scheduled</v>
      </c>
      <c r="J238" t="str">
        <f>TEXT(Table8[[#This Row],[visit_Date]],"DDDD")</f>
        <v>Sunday</v>
      </c>
      <c r="K238" t="str">
        <f>TEXT(Table8[[#This Row],[visit_Date]],"mmmm")</f>
        <v>March</v>
      </c>
      <c r="L238" t="str">
        <f t="shared" si="7"/>
        <v>Summer</v>
      </c>
    </row>
    <row r="239" spans="1:12" x14ac:dyDescent="0.25">
      <c r="A239">
        <v>238</v>
      </c>
      <c r="B239">
        <v>1001</v>
      </c>
      <c r="C239">
        <v>507</v>
      </c>
      <c r="D239" s="1">
        <v>45767</v>
      </c>
      <c r="E239" t="s">
        <v>319</v>
      </c>
      <c r="F239" t="s">
        <v>320</v>
      </c>
      <c r="G239" t="str">
        <f>_xlfn.XLOOKUP(TRIM(E240),MedicineInfo!A:A,MedicineInfo!B:B,"Not Found")</f>
        <v>Sumatriptan</v>
      </c>
      <c r="H239" s="1" cm="1">
        <f t="array" ref="H239">_xlfn.IFS(
OR(E239="Type 2 Diabetes",E239="Essential Hypertension",E239="Angina Pectoris",E239="Bronchial Asthma",E239="Cardiac Arrhythmia"), D239+30,
OR(E239="Gastritis",E239="Osteoarthritis",E239="Bronchitis",E239="Iron Deficiency Anemia"), D239+14,
OR(E239="Lumbar Strain",E239="Migraine Headache"), D239+7,
OR(E239="Viral Fever",E239="General Checkup","Routine Health Check"), "",
TRUE,""
)</f>
        <v>45797</v>
      </c>
      <c r="I239" s="1" t="str">
        <f t="shared" si="6"/>
        <v>Follow-up Scheduled</v>
      </c>
      <c r="J239" t="str">
        <f>TEXT(Table8[[#This Row],[visit_Date]],"DDDD")</f>
        <v>Sunday</v>
      </c>
      <c r="K239" t="str">
        <f>TEXT(Table8[[#This Row],[visit_Date]],"mmmm")</f>
        <v>April</v>
      </c>
      <c r="L239" t="str">
        <f t="shared" si="7"/>
        <v>Summer</v>
      </c>
    </row>
    <row r="240" spans="1:12" x14ac:dyDescent="0.25">
      <c r="A240">
        <v>239</v>
      </c>
      <c r="B240">
        <v>1008</v>
      </c>
      <c r="C240">
        <v>277</v>
      </c>
      <c r="D240" s="1">
        <v>45690</v>
      </c>
      <c r="E240" t="s">
        <v>315</v>
      </c>
      <c r="F240" t="s">
        <v>316</v>
      </c>
      <c r="G240" t="str">
        <f>_xlfn.XLOOKUP(TRIM(E241),MedicineInfo!A:A,MedicineInfo!B:B,"Not Found")</f>
        <v>Metformin</v>
      </c>
      <c r="H240" s="1" cm="1">
        <f t="array" ref="H240">_xlfn.IFS(
OR(E240="Type 2 Diabetes",E240="Essential Hypertension",E240="Angina Pectoris",E240="Bronchial Asthma",E240="Cardiac Arrhythmia"), D240+30,
OR(E240="Gastritis",E240="Osteoarthritis",E240="Bronchitis",E240="Iron Deficiency Anemia"), D240+14,
OR(E240="Lumbar Strain",E240="Migraine Headache"), D240+7,
OR(E240="Viral Fever",E240="General Checkup","Routine Health Check"), "",
TRUE,""
)</f>
        <v>45697</v>
      </c>
      <c r="I240" s="1" t="str">
        <f t="shared" si="6"/>
        <v>Follow-up Scheduled</v>
      </c>
      <c r="J240" t="str">
        <f>TEXT(Table8[[#This Row],[visit_Date]],"DDDD")</f>
        <v>Sunday</v>
      </c>
      <c r="K240" t="str">
        <f>TEXT(Table8[[#This Row],[visit_Date]],"mmmm")</f>
        <v>February</v>
      </c>
      <c r="L240" t="str">
        <f t="shared" si="7"/>
        <v>Winter</v>
      </c>
    </row>
    <row r="241" spans="1:12" x14ac:dyDescent="0.25">
      <c r="A241">
        <v>240</v>
      </c>
      <c r="B241">
        <v>1024</v>
      </c>
      <c r="C241">
        <v>1042</v>
      </c>
      <c r="D241" s="1">
        <v>45790</v>
      </c>
      <c r="E241" t="s">
        <v>317</v>
      </c>
      <c r="F241" t="s">
        <v>318</v>
      </c>
      <c r="G241" t="str">
        <f>_xlfn.XLOOKUP(TRIM(E242),MedicineInfo!A:A,MedicineInfo!B:B,"Not Found")</f>
        <v>Amlodipine</v>
      </c>
      <c r="H241" s="1" cm="1">
        <f t="array" ref="H241">_xlfn.IFS(
OR(E241="Type 2 Diabetes",E241="Essential Hypertension",E241="Angina Pectoris",E241="Bronchial Asthma",E241="Cardiac Arrhythmia"), D241+30,
OR(E241="Gastritis",E241="Osteoarthritis",E241="Bronchitis",E241="Iron Deficiency Anemia"), D241+14,
OR(E241="Lumbar Strain",E241="Migraine Headache"), D241+7,
OR(E241="Viral Fever",E241="General Checkup","Routine Health Check"), "",
TRUE,""
)</f>
        <v>45820</v>
      </c>
      <c r="I241" s="1" t="str">
        <f t="shared" si="6"/>
        <v>Follow-up Scheduled</v>
      </c>
      <c r="J241" t="str">
        <f>TEXT(Table8[[#This Row],[visit_Date]],"DDDD")</f>
        <v>Tuesday</v>
      </c>
      <c r="K241" t="str">
        <f>TEXT(Table8[[#This Row],[visit_Date]],"mmmm")</f>
        <v>May</v>
      </c>
      <c r="L241" t="str">
        <f t="shared" si="7"/>
        <v>Summer</v>
      </c>
    </row>
    <row r="242" spans="1:12" x14ac:dyDescent="0.25">
      <c r="A242">
        <v>241</v>
      </c>
      <c r="B242">
        <v>1004</v>
      </c>
      <c r="C242">
        <v>1377</v>
      </c>
      <c r="D242" s="1">
        <v>45737</v>
      </c>
      <c r="E242" t="s">
        <v>319</v>
      </c>
      <c r="F242" t="s">
        <v>320</v>
      </c>
      <c r="G242" t="str">
        <f>_xlfn.XLOOKUP(TRIM(E243),MedicineInfo!A:A,MedicineInfo!B:B,"Not Found")</f>
        <v>Salbutamol Inhaler</v>
      </c>
      <c r="H242" s="1" cm="1">
        <f t="array" ref="H242">_xlfn.IFS(
OR(E242="Type 2 Diabetes",E242="Essential Hypertension",E242="Angina Pectoris",E242="Bronchial Asthma",E242="Cardiac Arrhythmia"), D242+30,
OR(E242="Gastritis",E242="Osteoarthritis",E242="Bronchitis",E242="Iron Deficiency Anemia"), D242+14,
OR(E242="Lumbar Strain",E242="Migraine Headache"), D242+7,
OR(E242="Viral Fever",E242="General Checkup","Routine Health Check"), "",
TRUE,""
)</f>
        <v>45767</v>
      </c>
      <c r="I242" s="1" t="str">
        <f t="shared" si="6"/>
        <v>Follow-up Scheduled</v>
      </c>
      <c r="J242" t="str">
        <f>TEXT(Table8[[#This Row],[visit_Date]],"DDDD")</f>
        <v>Friday</v>
      </c>
      <c r="K242" t="str">
        <f>TEXT(Table8[[#This Row],[visit_Date]],"mmmm")</f>
        <v>March</v>
      </c>
      <c r="L242" t="str">
        <f t="shared" si="7"/>
        <v>Summer</v>
      </c>
    </row>
    <row r="243" spans="1:12" x14ac:dyDescent="0.25">
      <c r="A243">
        <v>242</v>
      </c>
      <c r="B243">
        <v>1020</v>
      </c>
      <c r="C243">
        <v>944</v>
      </c>
      <c r="D243" s="1">
        <v>45783</v>
      </c>
      <c r="E243" t="s">
        <v>324</v>
      </c>
      <c r="F243" t="s">
        <v>325</v>
      </c>
      <c r="G243" t="str">
        <f>_xlfn.XLOOKUP(TRIM(E244),MedicineInfo!A:A,MedicineInfo!B:B,"Not Found")</f>
        <v>Metformin</v>
      </c>
      <c r="H243" s="1" cm="1">
        <f t="array" ref="H243">_xlfn.IFS(
OR(E243="Type 2 Diabetes",E243="Essential Hypertension",E243="Angina Pectoris",E243="Bronchial Asthma",E243="Cardiac Arrhythmia"), D243+30,
OR(E243="Gastritis",E243="Osteoarthritis",E243="Bronchitis",E243="Iron Deficiency Anemia"), D243+14,
OR(E243="Lumbar Strain",E243="Migraine Headache"), D243+7,
OR(E243="Viral Fever",E243="General Checkup","Routine Health Check"), "",
TRUE,""
)</f>
        <v>45813</v>
      </c>
      <c r="I243" s="1" t="str">
        <f t="shared" si="6"/>
        <v>Follow-up Scheduled</v>
      </c>
      <c r="J243" t="str">
        <f>TEXT(Table8[[#This Row],[visit_Date]],"DDDD")</f>
        <v>Tuesday</v>
      </c>
      <c r="K243" t="str">
        <f>TEXT(Table8[[#This Row],[visit_Date]],"mmmm")</f>
        <v>May</v>
      </c>
      <c r="L243" t="str">
        <f t="shared" si="7"/>
        <v>Summer</v>
      </c>
    </row>
    <row r="244" spans="1:12" x14ac:dyDescent="0.25">
      <c r="A244">
        <v>243</v>
      </c>
      <c r="B244">
        <v>1024</v>
      </c>
      <c r="C244">
        <v>483</v>
      </c>
      <c r="D244" s="1">
        <v>45815</v>
      </c>
      <c r="E244" t="s">
        <v>317</v>
      </c>
      <c r="F244" t="s">
        <v>318</v>
      </c>
      <c r="G244" t="str">
        <f>_xlfn.XLOOKUP(TRIM(E245),MedicineInfo!A:A,MedicineInfo!B:B,"Not Found")</f>
        <v>Multivitamin</v>
      </c>
      <c r="H244" s="1" cm="1">
        <f t="array" ref="H244">_xlfn.IFS(
OR(E244="Type 2 Diabetes",E244="Essential Hypertension",E244="Angina Pectoris",E244="Bronchial Asthma",E244="Cardiac Arrhythmia"), D244+30,
OR(E244="Gastritis",E244="Osteoarthritis",E244="Bronchitis",E244="Iron Deficiency Anemia"), D244+14,
OR(E244="Lumbar Strain",E244="Migraine Headache"), D244+7,
OR(E244="Viral Fever",E244="General Checkup","Routine Health Check"), "",
TRUE,""
)</f>
        <v>45845</v>
      </c>
      <c r="I244" s="1" t="str">
        <f t="shared" si="6"/>
        <v>Follow-up Scheduled</v>
      </c>
      <c r="J244" t="str">
        <f>TEXT(Table8[[#This Row],[visit_Date]],"DDDD")</f>
        <v>Saturday</v>
      </c>
      <c r="K244" t="str">
        <f>TEXT(Table8[[#This Row],[visit_Date]],"mmmm")</f>
        <v>June</v>
      </c>
      <c r="L244" t="str">
        <f t="shared" si="7"/>
        <v>Monsoon</v>
      </c>
    </row>
    <row r="245" spans="1:12" x14ac:dyDescent="0.25">
      <c r="A245">
        <v>244</v>
      </c>
      <c r="B245">
        <v>1027</v>
      </c>
      <c r="C245">
        <v>1021</v>
      </c>
      <c r="D245" s="1">
        <v>45720</v>
      </c>
      <c r="E245" t="s">
        <v>24</v>
      </c>
      <c r="F245" t="s">
        <v>321</v>
      </c>
      <c r="G245" t="str">
        <f>_xlfn.XLOOKUP(TRIM(E246),MedicineInfo!A:A,MedicineInfo!B:B,"Not Found")</f>
        <v>Multivitamin</v>
      </c>
      <c r="H245" s="1" t="str" cm="1">
        <f t="array" ref="H245">_xlfn.IFS(
OR(E245="Type 2 Diabetes",E245="Essential Hypertension",E245="Angina Pectoris",E245="Bronchial Asthma",E245="Cardiac Arrhythmia"), D245+30,
OR(E245="Gastritis",E245="Osteoarthritis",E245="Bronchitis",E245="Iron Deficiency Anemia"), D245+14,
OR(E245="Lumbar Strain",E245="Migraine Headache"), D245+7,
OR(E245="Viral Fever",E245="General Checkup","Routine Health Check"), "",
TRUE,""
)</f>
        <v/>
      </c>
      <c r="I245" s="1" t="str">
        <f t="shared" si="6"/>
        <v>No Follow-up Required</v>
      </c>
      <c r="J245" t="str">
        <f>TEXT(Table8[[#This Row],[visit_Date]],"DDDD")</f>
        <v>Tuesday</v>
      </c>
      <c r="K245" t="str">
        <f>TEXT(Table8[[#This Row],[visit_Date]],"mmmm")</f>
        <v>March</v>
      </c>
      <c r="L245" t="str">
        <f t="shared" si="7"/>
        <v>Summer</v>
      </c>
    </row>
    <row r="246" spans="1:12" x14ac:dyDescent="0.25">
      <c r="A246">
        <v>245</v>
      </c>
      <c r="B246">
        <v>1027</v>
      </c>
      <c r="C246">
        <v>1267</v>
      </c>
      <c r="D246" s="1">
        <v>45684</v>
      </c>
      <c r="E246" t="s">
        <v>24</v>
      </c>
      <c r="F246" t="s">
        <v>321</v>
      </c>
      <c r="G246" t="str">
        <f>_xlfn.XLOOKUP(TRIM(E247),MedicineInfo!A:A,MedicineInfo!B:B,"Not Found")</f>
        <v>Salbutamol Inhaler</v>
      </c>
      <c r="H246" s="1" t="str" cm="1">
        <f t="array" ref="H246">_xlfn.IFS(
OR(E246="Type 2 Diabetes",E246="Essential Hypertension",E246="Angina Pectoris",E246="Bronchial Asthma",E246="Cardiac Arrhythmia"), D246+30,
OR(E246="Gastritis",E246="Osteoarthritis",E246="Bronchitis",E246="Iron Deficiency Anemia"), D246+14,
OR(E246="Lumbar Strain",E246="Migraine Headache"), D246+7,
OR(E246="Viral Fever",E246="General Checkup","Routine Health Check"), "",
TRUE,""
)</f>
        <v/>
      </c>
      <c r="I246" s="1" t="str">
        <f t="shared" si="6"/>
        <v>No Follow-up Required</v>
      </c>
      <c r="J246" t="str">
        <f>TEXT(Table8[[#This Row],[visit_Date]],"DDDD")</f>
        <v>Monday</v>
      </c>
      <c r="K246" t="str">
        <f>TEXT(Table8[[#This Row],[visit_Date]],"mmmm")</f>
        <v>January</v>
      </c>
      <c r="L246" t="str">
        <f t="shared" si="7"/>
        <v>Winter</v>
      </c>
    </row>
    <row r="247" spans="1:12" x14ac:dyDescent="0.25">
      <c r="A247">
        <v>246</v>
      </c>
      <c r="B247">
        <v>1020</v>
      </c>
      <c r="C247">
        <v>733</v>
      </c>
      <c r="D247" s="1">
        <v>45792</v>
      </c>
      <c r="E247" t="s">
        <v>324</v>
      </c>
      <c r="F247" t="s">
        <v>325</v>
      </c>
      <c r="G247" t="str">
        <f>_xlfn.XLOOKUP(TRIM(E248),MedicineInfo!A:A,MedicineInfo!B:B,"Not Found")</f>
        <v>Sumatriptan</v>
      </c>
      <c r="H247" s="1" cm="1">
        <f t="array" ref="H247">_xlfn.IFS(
OR(E247="Type 2 Diabetes",E247="Essential Hypertension",E247="Angina Pectoris",E247="Bronchial Asthma",E247="Cardiac Arrhythmia"), D247+30,
OR(E247="Gastritis",E247="Osteoarthritis",E247="Bronchitis",E247="Iron Deficiency Anemia"), D247+14,
OR(E247="Lumbar Strain",E247="Migraine Headache"), D247+7,
OR(E247="Viral Fever",E247="General Checkup","Routine Health Check"), "",
TRUE,""
)</f>
        <v>45822</v>
      </c>
      <c r="I247" s="1" t="str">
        <f t="shared" si="6"/>
        <v>Follow-up Scheduled</v>
      </c>
      <c r="J247" t="str">
        <f>TEXT(Table8[[#This Row],[visit_Date]],"DDDD")</f>
        <v>Thursday</v>
      </c>
      <c r="K247" t="str">
        <f>TEXT(Table8[[#This Row],[visit_Date]],"mmmm")</f>
        <v>May</v>
      </c>
      <c r="L247" t="str">
        <f t="shared" si="7"/>
        <v>Summer</v>
      </c>
    </row>
    <row r="248" spans="1:12" x14ac:dyDescent="0.25">
      <c r="A248">
        <v>247</v>
      </c>
      <c r="B248">
        <v>1009</v>
      </c>
      <c r="C248">
        <v>1078</v>
      </c>
      <c r="D248" s="1">
        <v>45792</v>
      </c>
      <c r="E248" t="s">
        <v>315</v>
      </c>
      <c r="F248" t="s">
        <v>316</v>
      </c>
      <c r="G248" t="str">
        <f>_xlfn.XLOOKUP(TRIM(E249),MedicineInfo!A:A,MedicineInfo!B:B,"Not Found")</f>
        <v>Sumatriptan</v>
      </c>
      <c r="H248" s="1" cm="1">
        <f t="array" ref="H248">_xlfn.IFS(
OR(E248="Type 2 Diabetes",E248="Essential Hypertension",E248="Angina Pectoris",E248="Bronchial Asthma",E248="Cardiac Arrhythmia"), D248+30,
OR(E248="Gastritis",E248="Osteoarthritis",E248="Bronchitis",E248="Iron Deficiency Anemia"), D248+14,
OR(E248="Lumbar Strain",E248="Migraine Headache"), D248+7,
OR(E248="Viral Fever",E248="General Checkup","Routine Health Check"), "",
TRUE,""
)</f>
        <v>45799</v>
      </c>
      <c r="I248" s="1" t="str">
        <f t="shared" si="6"/>
        <v>Follow-up Scheduled</v>
      </c>
      <c r="J248" t="str">
        <f>TEXT(Table8[[#This Row],[visit_Date]],"DDDD")</f>
        <v>Thursday</v>
      </c>
      <c r="K248" t="str">
        <f>TEXT(Table8[[#This Row],[visit_Date]],"mmmm")</f>
        <v>May</v>
      </c>
      <c r="L248" t="str">
        <f t="shared" si="7"/>
        <v>Summer</v>
      </c>
    </row>
    <row r="249" spans="1:12" x14ac:dyDescent="0.25">
      <c r="A249">
        <v>248</v>
      </c>
      <c r="B249">
        <v>1008</v>
      </c>
      <c r="C249">
        <v>652</v>
      </c>
      <c r="D249" s="1">
        <v>45672</v>
      </c>
      <c r="E249" t="s">
        <v>315</v>
      </c>
      <c r="F249" t="s">
        <v>316</v>
      </c>
      <c r="G249" t="str">
        <f>_xlfn.XLOOKUP(TRIM(E250),MedicineInfo!A:A,MedicineInfo!B:B,"Not Found")</f>
        <v>Sumatriptan</v>
      </c>
      <c r="H249" s="1" cm="1">
        <f t="array" ref="H249">_xlfn.IFS(
OR(E249="Type 2 Diabetes",E249="Essential Hypertension",E249="Angina Pectoris",E249="Bronchial Asthma",E249="Cardiac Arrhythmia"), D249+30,
OR(E249="Gastritis",E249="Osteoarthritis",E249="Bronchitis",E249="Iron Deficiency Anemia"), D249+14,
OR(E249="Lumbar Strain",E249="Migraine Headache"), D249+7,
OR(E249="Viral Fever",E249="General Checkup","Routine Health Check"), "",
TRUE,""
)</f>
        <v>45679</v>
      </c>
      <c r="I249" s="1" t="str">
        <f t="shared" si="6"/>
        <v>Follow-up Scheduled</v>
      </c>
      <c r="J249" t="str">
        <f>TEXT(Table8[[#This Row],[visit_Date]],"DDDD")</f>
        <v>Wednesday</v>
      </c>
      <c r="K249" t="str">
        <f>TEXT(Table8[[#This Row],[visit_Date]],"mmmm")</f>
        <v>January</v>
      </c>
      <c r="L249" t="str">
        <f t="shared" si="7"/>
        <v>Winter</v>
      </c>
    </row>
    <row r="250" spans="1:12" x14ac:dyDescent="0.25">
      <c r="A250">
        <v>249</v>
      </c>
      <c r="B250">
        <v>1009</v>
      </c>
      <c r="C250">
        <v>507</v>
      </c>
      <c r="D250" s="1">
        <v>45689</v>
      </c>
      <c r="E250" t="s">
        <v>315</v>
      </c>
      <c r="F250" t="s">
        <v>316</v>
      </c>
      <c r="G250" t="str">
        <f>_xlfn.XLOOKUP(TRIM(E251),MedicineInfo!A:A,MedicineInfo!B:B,"Not Found")</f>
        <v>Multivitamin</v>
      </c>
      <c r="H250" s="1" cm="1">
        <f t="array" ref="H250">_xlfn.IFS(
OR(E250="Type 2 Diabetes",E250="Essential Hypertension",E250="Angina Pectoris",E250="Bronchial Asthma",E250="Cardiac Arrhythmia"), D250+30,
OR(E250="Gastritis",E250="Osteoarthritis",E250="Bronchitis",E250="Iron Deficiency Anemia"), D250+14,
OR(E250="Lumbar Strain",E250="Migraine Headache"), D250+7,
OR(E250="Viral Fever",E250="General Checkup","Routine Health Check"), "",
TRUE,""
)</f>
        <v>45696</v>
      </c>
      <c r="I250" s="1" t="str">
        <f t="shared" si="6"/>
        <v>Follow-up Scheduled</v>
      </c>
      <c r="J250" t="str">
        <f>TEXT(Table8[[#This Row],[visit_Date]],"DDDD")</f>
        <v>Saturday</v>
      </c>
      <c r="K250" t="str">
        <f>TEXT(Table8[[#This Row],[visit_Date]],"mmmm")</f>
        <v>February</v>
      </c>
      <c r="L250" t="str">
        <f t="shared" si="7"/>
        <v>Winter</v>
      </c>
    </row>
    <row r="251" spans="1:12" x14ac:dyDescent="0.25">
      <c r="A251">
        <v>250</v>
      </c>
      <c r="B251">
        <v>1027</v>
      </c>
      <c r="C251">
        <v>713</v>
      </c>
      <c r="D251" s="1">
        <v>45747</v>
      </c>
      <c r="E251" t="s">
        <v>24</v>
      </c>
      <c r="F251" t="s">
        <v>321</v>
      </c>
      <c r="G251" t="str">
        <f>_xlfn.XLOOKUP(TRIM(E252),MedicineInfo!A:A,MedicineInfo!B:B,"Not Found")</f>
        <v>Multivitamin</v>
      </c>
      <c r="H251" s="1" t="str" cm="1">
        <f t="array" ref="H251">_xlfn.IFS(
OR(E251="Type 2 Diabetes",E251="Essential Hypertension",E251="Angina Pectoris",E251="Bronchial Asthma",E251="Cardiac Arrhythmia"), D251+30,
OR(E251="Gastritis",E251="Osteoarthritis",E251="Bronchitis",E251="Iron Deficiency Anemia"), D251+14,
OR(E251="Lumbar Strain",E251="Migraine Headache"), D251+7,
OR(E251="Viral Fever",E251="General Checkup","Routine Health Check"), "",
TRUE,""
)</f>
        <v/>
      </c>
      <c r="I251" s="1" t="str">
        <f t="shared" si="6"/>
        <v>No Follow-up Required</v>
      </c>
      <c r="J251" t="str">
        <f>TEXT(Table8[[#This Row],[visit_Date]],"DDDD")</f>
        <v>Monday</v>
      </c>
      <c r="K251" t="str">
        <f>TEXT(Table8[[#This Row],[visit_Date]],"mmmm")</f>
        <v>March</v>
      </c>
      <c r="L251" t="str">
        <f t="shared" si="7"/>
        <v>Summer</v>
      </c>
    </row>
    <row r="252" spans="1:12" x14ac:dyDescent="0.25">
      <c r="A252">
        <v>251</v>
      </c>
      <c r="B252">
        <v>1027</v>
      </c>
      <c r="C252">
        <v>345</v>
      </c>
      <c r="D252" s="1">
        <v>45747</v>
      </c>
      <c r="E252" t="s">
        <v>24</v>
      </c>
      <c r="F252" t="s">
        <v>321</v>
      </c>
      <c r="G252" t="str">
        <f>_xlfn.XLOOKUP(TRIM(E253),MedicineInfo!A:A,MedicineInfo!B:B,"Not Found")</f>
        <v>Sumatriptan</v>
      </c>
      <c r="H252" s="1" t="str" cm="1">
        <f t="array" ref="H252">_xlfn.IFS(
OR(E252="Type 2 Diabetes",E252="Essential Hypertension",E252="Angina Pectoris",E252="Bronchial Asthma",E252="Cardiac Arrhythmia"), D252+30,
OR(E252="Gastritis",E252="Osteoarthritis",E252="Bronchitis",E252="Iron Deficiency Anemia"), D252+14,
OR(E252="Lumbar Strain",E252="Migraine Headache"), D252+7,
OR(E252="Viral Fever",E252="General Checkup","Routine Health Check"), "",
TRUE,""
)</f>
        <v/>
      </c>
      <c r="I252" s="1" t="str">
        <f t="shared" si="6"/>
        <v>No Follow-up Required</v>
      </c>
      <c r="J252" t="str">
        <f>TEXT(Table8[[#This Row],[visit_Date]],"DDDD")</f>
        <v>Monday</v>
      </c>
      <c r="K252" t="str">
        <f>TEXT(Table8[[#This Row],[visit_Date]],"mmmm")</f>
        <v>March</v>
      </c>
      <c r="L252" t="str">
        <f t="shared" si="7"/>
        <v>Summer</v>
      </c>
    </row>
    <row r="253" spans="1:12" x14ac:dyDescent="0.25">
      <c r="A253">
        <v>252</v>
      </c>
      <c r="B253">
        <v>1009</v>
      </c>
      <c r="C253">
        <v>339</v>
      </c>
      <c r="D253" s="1">
        <v>45791</v>
      </c>
      <c r="E253" t="s">
        <v>315</v>
      </c>
      <c r="F253" t="s">
        <v>316</v>
      </c>
      <c r="G253" t="str">
        <f>_xlfn.XLOOKUP(TRIM(E254),MedicineInfo!A:A,MedicineInfo!B:B,"Not Found")</f>
        <v>Metformin</v>
      </c>
      <c r="H253" s="1" cm="1">
        <f t="array" ref="H253">_xlfn.IFS(
OR(E253="Type 2 Diabetes",E253="Essential Hypertension",E253="Angina Pectoris",E253="Bronchial Asthma",E253="Cardiac Arrhythmia"), D253+30,
OR(E253="Gastritis",E253="Osteoarthritis",E253="Bronchitis",E253="Iron Deficiency Anemia"), D253+14,
OR(E253="Lumbar Strain",E253="Migraine Headache"), D253+7,
OR(E253="Viral Fever",E253="General Checkup","Routine Health Check"), "",
TRUE,""
)</f>
        <v>45798</v>
      </c>
      <c r="I253" s="1" t="str">
        <f t="shared" si="6"/>
        <v>Follow-up Scheduled</v>
      </c>
      <c r="J253" t="str">
        <f>TEXT(Table8[[#This Row],[visit_Date]],"DDDD")</f>
        <v>Wednesday</v>
      </c>
      <c r="K253" t="str">
        <f>TEXT(Table8[[#This Row],[visit_Date]],"mmmm")</f>
        <v>May</v>
      </c>
      <c r="L253" t="str">
        <f t="shared" si="7"/>
        <v>Summer</v>
      </c>
    </row>
    <row r="254" spans="1:12" x14ac:dyDescent="0.25">
      <c r="A254">
        <v>253</v>
      </c>
      <c r="B254">
        <v>1024</v>
      </c>
      <c r="C254">
        <v>281</v>
      </c>
      <c r="D254" s="1">
        <v>45792</v>
      </c>
      <c r="E254" t="s">
        <v>317</v>
      </c>
      <c r="F254" t="s">
        <v>318</v>
      </c>
      <c r="G254" t="str">
        <f>_xlfn.XLOOKUP(TRIM(E255),MedicineInfo!A:A,MedicineInfo!B:B,"Not Found")</f>
        <v>Metformin</v>
      </c>
      <c r="H254" s="1" cm="1">
        <f t="array" ref="H254">_xlfn.IFS(
OR(E254="Type 2 Diabetes",E254="Essential Hypertension",E254="Angina Pectoris",E254="Bronchial Asthma",E254="Cardiac Arrhythmia"), D254+30,
OR(E254="Gastritis",E254="Osteoarthritis",E254="Bronchitis",E254="Iron Deficiency Anemia"), D254+14,
OR(E254="Lumbar Strain",E254="Migraine Headache"), D254+7,
OR(E254="Viral Fever",E254="General Checkup","Routine Health Check"), "",
TRUE,""
)</f>
        <v>45822</v>
      </c>
      <c r="I254" s="1" t="str">
        <f t="shared" si="6"/>
        <v>Follow-up Scheduled</v>
      </c>
      <c r="J254" t="str">
        <f>TEXT(Table8[[#This Row],[visit_Date]],"DDDD")</f>
        <v>Thursday</v>
      </c>
      <c r="K254" t="str">
        <f>TEXT(Table8[[#This Row],[visit_Date]],"mmmm")</f>
        <v>May</v>
      </c>
      <c r="L254" t="str">
        <f t="shared" si="7"/>
        <v>Summer</v>
      </c>
    </row>
    <row r="255" spans="1:12" x14ac:dyDescent="0.25">
      <c r="A255">
        <v>254</v>
      </c>
      <c r="B255">
        <v>1024</v>
      </c>
      <c r="C255">
        <v>1006</v>
      </c>
      <c r="D255" s="1">
        <v>45669</v>
      </c>
      <c r="E255" t="s">
        <v>317</v>
      </c>
      <c r="F255" t="s">
        <v>318</v>
      </c>
      <c r="G255" t="str">
        <f>_xlfn.XLOOKUP(TRIM(E256),MedicineInfo!A:A,MedicineInfo!B:B,"Not Found")</f>
        <v>Multivitamin</v>
      </c>
      <c r="H255" s="1" cm="1">
        <f t="array" ref="H255">_xlfn.IFS(
OR(E255="Type 2 Diabetes",E255="Essential Hypertension",E255="Angina Pectoris",E255="Bronchial Asthma",E255="Cardiac Arrhythmia"), D255+30,
OR(E255="Gastritis",E255="Osteoarthritis",E255="Bronchitis",E255="Iron Deficiency Anemia"), D255+14,
OR(E255="Lumbar Strain",E255="Migraine Headache"), D255+7,
OR(E255="Viral Fever",E255="General Checkup","Routine Health Check"), "",
TRUE,""
)</f>
        <v>45699</v>
      </c>
      <c r="I255" s="1" t="str">
        <f t="shared" si="6"/>
        <v>Follow-up Scheduled</v>
      </c>
      <c r="J255" t="str">
        <f>TEXT(Table8[[#This Row],[visit_Date]],"DDDD")</f>
        <v>Sunday</v>
      </c>
      <c r="K255" t="str">
        <f>TEXT(Table8[[#This Row],[visit_Date]],"mmmm")</f>
        <v>January</v>
      </c>
      <c r="L255" t="str">
        <f t="shared" si="7"/>
        <v>Winter</v>
      </c>
    </row>
    <row r="256" spans="1:12" x14ac:dyDescent="0.25">
      <c r="A256">
        <v>255</v>
      </c>
      <c r="B256">
        <v>1027</v>
      </c>
      <c r="C256">
        <v>181</v>
      </c>
      <c r="D256" s="1">
        <v>45691</v>
      </c>
      <c r="E256" t="s">
        <v>24</v>
      </c>
      <c r="F256" t="s">
        <v>321</v>
      </c>
      <c r="G256" t="str">
        <f>_xlfn.XLOOKUP(TRIM(E257),MedicineInfo!A:A,MedicineInfo!B:B,"Not Found")</f>
        <v>Amlodipine</v>
      </c>
      <c r="H256" s="1" t="str" cm="1">
        <f t="array" ref="H256">_xlfn.IFS(
OR(E256="Type 2 Diabetes",E256="Essential Hypertension",E256="Angina Pectoris",E256="Bronchial Asthma",E256="Cardiac Arrhythmia"), D256+30,
OR(E256="Gastritis",E256="Osteoarthritis",E256="Bronchitis",E256="Iron Deficiency Anemia"), D256+14,
OR(E256="Lumbar Strain",E256="Migraine Headache"), D256+7,
OR(E256="Viral Fever",E256="General Checkup","Routine Health Check"), "",
TRUE,""
)</f>
        <v/>
      </c>
      <c r="I256" s="1" t="str">
        <f t="shared" si="6"/>
        <v>No Follow-up Required</v>
      </c>
      <c r="J256" t="str">
        <f>TEXT(Table8[[#This Row],[visit_Date]],"DDDD")</f>
        <v>Monday</v>
      </c>
      <c r="K256" t="str">
        <f>TEXT(Table8[[#This Row],[visit_Date]],"mmmm")</f>
        <v>February</v>
      </c>
      <c r="L256" t="str">
        <f t="shared" si="7"/>
        <v>Winter</v>
      </c>
    </row>
    <row r="257" spans="1:12" x14ac:dyDescent="0.25">
      <c r="A257">
        <v>256</v>
      </c>
      <c r="B257">
        <v>1003</v>
      </c>
      <c r="C257">
        <v>222</v>
      </c>
      <c r="D257" s="1">
        <v>45808</v>
      </c>
      <c r="E257" t="s">
        <v>319</v>
      </c>
      <c r="F257" t="s">
        <v>320</v>
      </c>
      <c r="G257" t="str">
        <f>_xlfn.XLOOKUP(TRIM(E258),MedicineInfo!A:A,MedicineInfo!B:B,"Not Found")</f>
        <v>Multivitamin</v>
      </c>
      <c r="H257" s="1" cm="1">
        <f t="array" ref="H257">_xlfn.IFS(
OR(E257="Type 2 Diabetes",E257="Essential Hypertension",E257="Angina Pectoris",E257="Bronchial Asthma",E257="Cardiac Arrhythmia"), D257+30,
OR(E257="Gastritis",E257="Osteoarthritis",E257="Bronchitis",E257="Iron Deficiency Anemia"), D257+14,
OR(E257="Lumbar Strain",E257="Migraine Headache"), D257+7,
OR(E257="Viral Fever",E257="General Checkup","Routine Health Check"), "",
TRUE,""
)</f>
        <v>45838</v>
      </c>
      <c r="I257" s="1" t="str">
        <f t="shared" si="6"/>
        <v>Follow-up Scheduled</v>
      </c>
      <c r="J257" t="str">
        <f>TEXT(Table8[[#This Row],[visit_Date]],"DDDD")</f>
        <v>Saturday</v>
      </c>
      <c r="K257" t="str">
        <f>TEXT(Table8[[#This Row],[visit_Date]],"mmmm")</f>
        <v>May</v>
      </c>
      <c r="L257" t="str">
        <f t="shared" si="7"/>
        <v>Summer</v>
      </c>
    </row>
    <row r="258" spans="1:12" x14ac:dyDescent="0.25">
      <c r="A258">
        <v>257</v>
      </c>
      <c r="B258">
        <v>1027</v>
      </c>
      <c r="C258">
        <v>1533</v>
      </c>
      <c r="D258" s="1">
        <v>45823</v>
      </c>
      <c r="E258" t="s">
        <v>24</v>
      </c>
      <c r="F258" t="s">
        <v>321</v>
      </c>
      <c r="G258" t="str">
        <f>_xlfn.XLOOKUP(TRIM(E259),MedicineInfo!A:A,MedicineInfo!B:B,"Not Found")</f>
        <v>Metformin</v>
      </c>
      <c r="H258" s="1" t="str" cm="1">
        <f t="array" ref="H258">_xlfn.IFS(
OR(E258="Type 2 Diabetes",E258="Essential Hypertension",E258="Angina Pectoris",E258="Bronchial Asthma",E258="Cardiac Arrhythmia"), D258+30,
OR(E258="Gastritis",E258="Osteoarthritis",E258="Bronchitis",E258="Iron Deficiency Anemia"), D258+14,
OR(E258="Lumbar Strain",E258="Migraine Headache"), D258+7,
OR(E258="Viral Fever",E258="General Checkup","Routine Health Check"), "",
TRUE,""
)</f>
        <v/>
      </c>
      <c r="I258" s="1" t="str">
        <f t="shared" ref="I258:I321" si="8">IF(H258="","No Follow-up Required","Follow-up Scheduled")</f>
        <v>No Follow-up Required</v>
      </c>
      <c r="J258" t="str">
        <f>TEXT(Table8[[#This Row],[visit_Date]],"DDDD")</f>
        <v>Sunday</v>
      </c>
      <c r="K258" t="str">
        <f>TEXT(Table8[[#This Row],[visit_Date]],"mmmm")</f>
        <v>June</v>
      </c>
      <c r="L258" t="str">
        <f t="shared" ref="L258:L321" si="9">IF(OR(MONTH(D258)=12,MONTH(D258)&lt;=2),"Winter",
IF(MONTH(D258)&lt;=5,"Summer","Monsoon"))</f>
        <v>Monsoon</v>
      </c>
    </row>
    <row r="259" spans="1:12" x14ac:dyDescent="0.25">
      <c r="A259">
        <v>258</v>
      </c>
      <c r="B259">
        <v>1024</v>
      </c>
      <c r="C259">
        <v>1383</v>
      </c>
      <c r="D259" s="1">
        <v>45858</v>
      </c>
      <c r="E259" t="s">
        <v>317</v>
      </c>
      <c r="F259" t="s">
        <v>318</v>
      </c>
      <c r="G259" t="str">
        <f>_xlfn.XLOOKUP(TRIM(E260),MedicineInfo!A:A,MedicineInfo!B:B,"Not Found")</f>
        <v>Paracetamol</v>
      </c>
      <c r="H259" s="1" cm="1">
        <f t="array" ref="H259">_xlfn.IFS(
OR(E259="Type 2 Diabetes",E259="Essential Hypertension",E259="Angina Pectoris",E259="Bronchial Asthma",E259="Cardiac Arrhythmia"), D259+30,
OR(E259="Gastritis",E259="Osteoarthritis",E259="Bronchitis",E259="Iron Deficiency Anemia"), D259+14,
OR(E259="Lumbar Strain",E259="Migraine Headache"), D259+7,
OR(E259="Viral Fever",E259="General Checkup","Routine Health Check"), "",
TRUE,""
)</f>
        <v>45888</v>
      </c>
      <c r="I259" s="1" t="str">
        <f t="shared" si="8"/>
        <v>Follow-up Scheduled</v>
      </c>
      <c r="J259" t="str">
        <f>TEXT(Table8[[#This Row],[visit_Date]],"DDDD")</f>
        <v>Sunday</v>
      </c>
      <c r="K259" t="str">
        <f>TEXT(Table8[[#This Row],[visit_Date]],"mmmm")</f>
        <v>July</v>
      </c>
      <c r="L259" t="str">
        <f t="shared" si="9"/>
        <v>Monsoon</v>
      </c>
    </row>
    <row r="260" spans="1:12" x14ac:dyDescent="0.25">
      <c r="A260">
        <v>259</v>
      </c>
      <c r="B260">
        <v>1027</v>
      </c>
      <c r="C260">
        <v>1497</v>
      </c>
      <c r="D260" s="1">
        <v>45818</v>
      </c>
      <c r="E260" t="s">
        <v>326</v>
      </c>
      <c r="F260" t="s">
        <v>327</v>
      </c>
      <c r="G260" t="str">
        <f>_xlfn.XLOOKUP(TRIM(E261),MedicineInfo!A:A,MedicineInfo!B:B,"Not Found")</f>
        <v>Salbutamol Inhaler</v>
      </c>
      <c r="H260" s="1" t="str" cm="1">
        <f t="array" ref="H260">_xlfn.IFS(
OR(E260="Type 2 Diabetes",E260="Essential Hypertension",E260="Angina Pectoris",E260="Bronchial Asthma",E260="Cardiac Arrhythmia"), D260+30,
OR(E260="Gastritis",E260="Osteoarthritis",E260="Bronchitis",E260="Iron Deficiency Anemia"), D260+14,
OR(E260="Lumbar Strain",E260="Migraine Headache"), D260+7,
OR(E260="Viral Fever",E260="General Checkup","Routine Health Check"), "",
TRUE,""
)</f>
        <v/>
      </c>
      <c r="I260" s="1" t="str">
        <f t="shared" si="8"/>
        <v>No Follow-up Required</v>
      </c>
      <c r="J260" t="str">
        <f>TEXT(Table8[[#This Row],[visit_Date]],"DDDD")</f>
        <v>Tuesday</v>
      </c>
      <c r="K260" t="str">
        <f>TEXT(Table8[[#This Row],[visit_Date]],"mmmm")</f>
        <v>June</v>
      </c>
      <c r="L260" t="str">
        <f t="shared" si="9"/>
        <v>Monsoon</v>
      </c>
    </row>
    <row r="261" spans="1:12" x14ac:dyDescent="0.25">
      <c r="A261">
        <v>260</v>
      </c>
      <c r="B261">
        <v>1020</v>
      </c>
      <c r="C261">
        <v>1389</v>
      </c>
      <c r="D261" s="1">
        <v>45771</v>
      </c>
      <c r="E261" t="s">
        <v>324</v>
      </c>
      <c r="F261" t="s">
        <v>325</v>
      </c>
      <c r="G261" t="str">
        <f>_xlfn.XLOOKUP(TRIM(E262),MedicineInfo!A:A,MedicineInfo!B:B,"Not Found")</f>
        <v>Multivitamin</v>
      </c>
      <c r="H261" s="1" cm="1">
        <f t="array" ref="H261">_xlfn.IFS(
OR(E261="Type 2 Diabetes",E261="Essential Hypertension",E261="Angina Pectoris",E261="Bronchial Asthma",E261="Cardiac Arrhythmia"), D261+30,
OR(E261="Gastritis",E261="Osteoarthritis",E261="Bronchitis",E261="Iron Deficiency Anemia"), D261+14,
OR(E261="Lumbar Strain",E261="Migraine Headache"), D261+7,
OR(E261="Viral Fever",E261="General Checkup","Routine Health Check"), "",
TRUE,""
)</f>
        <v>45801</v>
      </c>
      <c r="I261" s="1" t="str">
        <f t="shared" si="8"/>
        <v>Follow-up Scheduled</v>
      </c>
      <c r="J261" t="str">
        <f>TEXT(Table8[[#This Row],[visit_Date]],"DDDD")</f>
        <v>Thursday</v>
      </c>
      <c r="K261" t="str">
        <f>TEXT(Table8[[#This Row],[visit_Date]],"mmmm")</f>
        <v>April</v>
      </c>
      <c r="L261" t="str">
        <f t="shared" si="9"/>
        <v>Summer</v>
      </c>
    </row>
    <row r="262" spans="1:12" x14ac:dyDescent="0.25">
      <c r="A262">
        <v>261</v>
      </c>
      <c r="B262">
        <v>1027</v>
      </c>
      <c r="C262">
        <v>716</v>
      </c>
      <c r="D262" s="1">
        <v>45783</v>
      </c>
      <c r="E262" t="s">
        <v>24</v>
      </c>
      <c r="F262" t="s">
        <v>321</v>
      </c>
      <c r="G262" t="str">
        <f>_xlfn.XLOOKUP(TRIM(E263),MedicineInfo!A:A,MedicineInfo!B:B,"Not Found")</f>
        <v>Sumatriptan</v>
      </c>
      <c r="H262" s="1" t="str" cm="1">
        <f t="array" ref="H262">_xlfn.IFS(
OR(E262="Type 2 Diabetes",E262="Essential Hypertension",E262="Angina Pectoris",E262="Bronchial Asthma",E262="Cardiac Arrhythmia"), D262+30,
OR(E262="Gastritis",E262="Osteoarthritis",E262="Bronchitis",E262="Iron Deficiency Anemia"), D262+14,
OR(E262="Lumbar Strain",E262="Migraine Headache"), D262+7,
OR(E262="Viral Fever",E262="General Checkup","Routine Health Check"), "",
TRUE,""
)</f>
        <v/>
      </c>
      <c r="I262" s="1" t="str">
        <f t="shared" si="8"/>
        <v>No Follow-up Required</v>
      </c>
      <c r="J262" t="str">
        <f>TEXT(Table8[[#This Row],[visit_Date]],"DDDD")</f>
        <v>Tuesday</v>
      </c>
      <c r="K262" t="str">
        <f>TEXT(Table8[[#This Row],[visit_Date]],"mmmm")</f>
        <v>May</v>
      </c>
      <c r="L262" t="str">
        <f t="shared" si="9"/>
        <v>Summer</v>
      </c>
    </row>
    <row r="263" spans="1:12" x14ac:dyDescent="0.25">
      <c r="A263">
        <v>262</v>
      </c>
      <c r="B263">
        <v>1009</v>
      </c>
      <c r="C263">
        <v>835</v>
      </c>
      <c r="D263" s="1">
        <v>45694</v>
      </c>
      <c r="E263" t="s">
        <v>315</v>
      </c>
      <c r="F263" t="s">
        <v>316</v>
      </c>
      <c r="G263" t="str">
        <f>_xlfn.XLOOKUP(TRIM(E264),MedicineInfo!A:A,MedicineInfo!B:B,"Not Found")</f>
        <v>Multivitamin</v>
      </c>
      <c r="H263" s="1" cm="1">
        <f t="array" ref="H263">_xlfn.IFS(
OR(E263="Type 2 Diabetes",E263="Essential Hypertension",E263="Angina Pectoris",E263="Bronchial Asthma",E263="Cardiac Arrhythmia"), D263+30,
OR(E263="Gastritis",E263="Osteoarthritis",E263="Bronchitis",E263="Iron Deficiency Anemia"), D263+14,
OR(E263="Lumbar Strain",E263="Migraine Headache"), D263+7,
OR(E263="Viral Fever",E263="General Checkup","Routine Health Check"), "",
TRUE,""
)</f>
        <v>45701</v>
      </c>
      <c r="I263" s="1" t="str">
        <f t="shared" si="8"/>
        <v>Follow-up Scheduled</v>
      </c>
      <c r="J263" t="str">
        <f>TEXT(Table8[[#This Row],[visit_Date]],"DDDD")</f>
        <v>Thursday</v>
      </c>
      <c r="K263" t="str">
        <f>TEXT(Table8[[#This Row],[visit_Date]],"mmmm")</f>
        <v>February</v>
      </c>
      <c r="L263" t="str">
        <f t="shared" si="9"/>
        <v>Winter</v>
      </c>
    </row>
    <row r="264" spans="1:12" x14ac:dyDescent="0.25">
      <c r="A264">
        <v>263</v>
      </c>
      <c r="B264">
        <v>1027</v>
      </c>
      <c r="C264">
        <v>487</v>
      </c>
      <c r="D264" s="1">
        <v>45718</v>
      </c>
      <c r="E264" t="s">
        <v>24</v>
      </c>
      <c r="F264" t="s">
        <v>321</v>
      </c>
      <c r="G264" t="str">
        <f>_xlfn.XLOOKUP(TRIM(E265),MedicineInfo!A:A,MedicineInfo!B:B,"Not Found")</f>
        <v>Paracetamol</v>
      </c>
      <c r="H264" s="1" t="str" cm="1">
        <f t="array" ref="H264">_xlfn.IFS(
OR(E264="Type 2 Diabetes",E264="Essential Hypertension",E264="Angina Pectoris",E264="Bronchial Asthma",E264="Cardiac Arrhythmia"), D264+30,
OR(E264="Gastritis",E264="Osteoarthritis",E264="Bronchitis",E264="Iron Deficiency Anemia"), D264+14,
OR(E264="Lumbar Strain",E264="Migraine Headache"), D264+7,
OR(E264="Viral Fever",E264="General Checkup","Routine Health Check"), "",
TRUE,""
)</f>
        <v/>
      </c>
      <c r="I264" s="1" t="str">
        <f t="shared" si="8"/>
        <v>No Follow-up Required</v>
      </c>
      <c r="J264" t="str">
        <f>TEXT(Table8[[#This Row],[visit_Date]],"DDDD")</f>
        <v>Sunday</v>
      </c>
      <c r="K264" t="str">
        <f>TEXT(Table8[[#This Row],[visit_Date]],"mmmm")</f>
        <v>March</v>
      </c>
      <c r="L264" t="str">
        <f t="shared" si="9"/>
        <v>Summer</v>
      </c>
    </row>
    <row r="265" spans="1:12" x14ac:dyDescent="0.25">
      <c r="A265">
        <v>264</v>
      </c>
      <c r="B265">
        <v>1027</v>
      </c>
      <c r="C265">
        <v>1540</v>
      </c>
      <c r="D265" s="1">
        <v>45792</v>
      </c>
      <c r="E265" t="s">
        <v>326</v>
      </c>
      <c r="F265" t="s">
        <v>327</v>
      </c>
      <c r="G265" t="str">
        <f>_xlfn.XLOOKUP(TRIM(E266),MedicineInfo!A:A,MedicineInfo!B:B,"Not Found")</f>
        <v>Sumatriptan</v>
      </c>
      <c r="H265" s="1" t="str" cm="1">
        <f t="array" ref="H265">_xlfn.IFS(
OR(E265="Type 2 Diabetes",E265="Essential Hypertension",E265="Angina Pectoris",E265="Bronchial Asthma",E265="Cardiac Arrhythmia"), D265+30,
OR(E265="Gastritis",E265="Osteoarthritis",E265="Bronchitis",E265="Iron Deficiency Anemia"), D265+14,
OR(E265="Lumbar Strain",E265="Migraine Headache"), D265+7,
OR(E265="Viral Fever",E265="General Checkup","Routine Health Check"), "",
TRUE,""
)</f>
        <v/>
      </c>
      <c r="I265" s="1" t="str">
        <f t="shared" si="8"/>
        <v>No Follow-up Required</v>
      </c>
      <c r="J265" t="str">
        <f>TEXT(Table8[[#This Row],[visit_Date]],"DDDD")</f>
        <v>Thursday</v>
      </c>
      <c r="K265" t="str">
        <f>TEXT(Table8[[#This Row],[visit_Date]],"mmmm")</f>
        <v>May</v>
      </c>
      <c r="L265" t="str">
        <f t="shared" si="9"/>
        <v>Summer</v>
      </c>
    </row>
    <row r="266" spans="1:12" x14ac:dyDescent="0.25">
      <c r="A266">
        <v>265</v>
      </c>
      <c r="B266">
        <v>1008</v>
      </c>
      <c r="C266">
        <v>944</v>
      </c>
      <c r="D266" s="1">
        <v>45758</v>
      </c>
      <c r="E266" t="s">
        <v>315</v>
      </c>
      <c r="F266" t="s">
        <v>316</v>
      </c>
      <c r="G266" t="str">
        <f>_xlfn.XLOOKUP(TRIM(E267),MedicineInfo!A:A,MedicineInfo!B:B,"Not Found")</f>
        <v>Diclofenac</v>
      </c>
      <c r="H266" s="1" cm="1">
        <f t="array" ref="H266">_xlfn.IFS(
OR(E266="Type 2 Diabetes",E266="Essential Hypertension",E266="Angina Pectoris",E266="Bronchial Asthma",E266="Cardiac Arrhythmia"), D266+30,
OR(E266="Gastritis",E266="Osteoarthritis",E266="Bronchitis",E266="Iron Deficiency Anemia"), D266+14,
OR(E266="Lumbar Strain",E266="Migraine Headache"), D266+7,
OR(E266="Viral Fever",E266="General Checkup","Routine Health Check"), "",
TRUE,""
)</f>
        <v>45765</v>
      </c>
      <c r="I266" s="1" t="str">
        <f t="shared" si="8"/>
        <v>Follow-up Scheduled</v>
      </c>
      <c r="J266" t="str">
        <f>TEXT(Table8[[#This Row],[visit_Date]],"DDDD")</f>
        <v>Friday</v>
      </c>
      <c r="K266" t="str">
        <f>TEXT(Table8[[#This Row],[visit_Date]],"mmmm")</f>
        <v>April</v>
      </c>
      <c r="L266" t="str">
        <f t="shared" si="9"/>
        <v>Summer</v>
      </c>
    </row>
    <row r="267" spans="1:12" x14ac:dyDescent="0.25">
      <c r="A267">
        <v>266</v>
      </c>
      <c r="B267">
        <v>1027</v>
      </c>
      <c r="C267">
        <v>1594</v>
      </c>
      <c r="D267" s="1">
        <v>45772</v>
      </c>
      <c r="E267" t="s">
        <v>313</v>
      </c>
      <c r="F267" t="s">
        <v>314</v>
      </c>
      <c r="G267" t="str">
        <f>_xlfn.XLOOKUP(TRIM(E268),MedicineInfo!A:A,MedicineInfo!B:B,"Not Found")</f>
        <v>Metformin</v>
      </c>
      <c r="H267" s="1" cm="1">
        <f t="array" ref="H267">_xlfn.IFS(
OR(E267="Type 2 Diabetes",E267="Essential Hypertension",E267="Angina Pectoris",E267="Bronchial Asthma",E267="Cardiac Arrhythmia"), D267+30,
OR(E267="Gastritis",E267="Osteoarthritis",E267="Bronchitis",E267="Iron Deficiency Anemia"), D267+14,
OR(E267="Lumbar Strain",E267="Migraine Headache"), D267+7,
OR(E267="Viral Fever",E267="General Checkup","Routine Health Check"), "",
TRUE,""
)</f>
        <v>45779</v>
      </c>
      <c r="I267" s="1" t="str">
        <f t="shared" si="8"/>
        <v>Follow-up Scheduled</v>
      </c>
      <c r="J267" t="str">
        <f>TEXT(Table8[[#This Row],[visit_Date]],"DDDD")</f>
        <v>Friday</v>
      </c>
      <c r="K267" t="str">
        <f>TEXT(Table8[[#This Row],[visit_Date]],"mmmm")</f>
        <v>April</v>
      </c>
      <c r="L267" t="str">
        <f t="shared" si="9"/>
        <v>Summer</v>
      </c>
    </row>
    <row r="268" spans="1:12" x14ac:dyDescent="0.25">
      <c r="A268">
        <v>267</v>
      </c>
      <c r="B268">
        <v>1024</v>
      </c>
      <c r="C268">
        <v>1274</v>
      </c>
      <c r="D268" s="1">
        <v>45777</v>
      </c>
      <c r="E268" t="s">
        <v>317</v>
      </c>
      <c r="F268" t="s">
        <v>318</v>
      </c>
      <c r="G268" t="str">
        <f>_xlfn.XLOOKUP(TRIM(E269),MedicineInfo!A:A,MedicineInfo!B:B,"Not Found")</f>
        <v>Sumatriptan</v>
      </c>
      <c r="H268" s="1" cm="1">
        <f t="array" ref="H268">_xlfn.IFS(
OR(E268="Type 2 Diabetes",E268="Essential Hypertension",E268="Angina Pectoris",E268="Bronchial Asthma",E268="Cardiac Arrhythmia"), D268+30,
OR(E268="Gastritis",E268="Osteoarthritis",E268="Bronchitis",E268="Iron Deficiency Anemia"), D268+14,
OR(E268="Lumbar Strain",E268="Migraine Headache"), D268+7,
OR(E268="Viral Fever",E268="General Checkup","Routine Health Check"), "",
TRUE,""
)</f>
        <v>45807</v>
      </c>
      <c r="I268" s="1" t="str">
        <f t="shared" si="8"/>
        <v>Follow-up Scheduled</v>
      </c>
      <c r="J268" t="str">
        <f>TEXT(Table8[[#This Row],[visit_Date]],"DDDD")</f>
        <v>Wednesday</v>
      </c>
      <c r="K268" t="str">
        <f>TEXT(Table8[[#This Row],[visit_Date]],"mmmm")</f>
        <v>April</v>
      </c>
      <c r="L268" t="str">
        <f t="shared" si="9"/>
        <v>Summer</v>
      </c>
    </row>
    <row r="269" spans="1:12" x14ac:dyDescent="0.25">
      <c r="A269">
        <v>268</v>
      </c>
      <c r="B269">
        <v>1008</v>
      </c>
      <c r="C269">
        <v>1294</v>
      </c>
      <c r="D269" s="1">
        <v>45792</v>
      </c>
      <c r="E269" t="s">
        <v>315</v>
      </c>
      <c r="F269" t="s">
        <v>316</v>
      </c>
      <c r="G269" t="str">
        <f>_xlfn.XLOOKUP(TRIM(E270),MedicineInfo!A:A,MedicineInfo!B:B,"Not Found")</f>
        <v>Diclofenac</v>
      </c>
      <c r="H269" s="1" cm="1">
        <f t="array" ref="H269">_xlfn.IFS(
OR(E269="Type 2 Diabetes",E269="Essential Hypertension",E269="Angina Pectoris",E269="Bronchial Asthma",E269="Cardiac Arrhythmia"), D269+30,
OR(E269="Gastritis",E269="Osteoarthritis",E269="Bronchitis",E269="Iron Deficiency Anemia"), D269+14,
OR(E269="Lumbar Strain",E269="Migraine Headache"), D269+7,
OR(E269="Viral Fever",E269="General Checkup","Routine Health Check"), "",
TRUE,""
)</f>
        <v>45799</v>
      </c>
      <c r="I269" s="1" t="str">
        <f t="shared" si="8"/>
        <v>Follow-up Scheduled</v>
      </c>
      <c r="J269" t="str">
        <f>TEXT(Table8[[#This Row],[visit_Date]],"DDDD")</f>
        <v>Thursday</v>
      </c>
      <c r="K269" t="str">
        <f>TEXT(Table8[[#This Row],[visit_Date]],"mmmm")</f>
        <v>May</v>
      </c>
      <c r="L269" t="str">
        <f t="shared" si="9"/>
        <v>Summer</v>
      </c>
    </row>
    <row r="270" spans="1:12" x14ac:dyDescent="0.25">
      <c r="A270">
        <v>269</v>
      </c>
      <c r="B270">
        <v>1027</v>
      </c>
      <c r="C270">
        <v>1061</v>
      </c>
      <c r="D270" s="1">
        <v>45679</v>
      </c>
      <c r="E270" t="s">
        <v>313</v>
      </c>
      <c r="F270" t="s">
        <v>314</v>
      </c>
      <c r="G270" t="str">
        <f>_xlfn.XLOOKUP(TRIM(E271),MedicineInfo!A:A,MedicineInfo!B:B,"Not Found")</f>
        <v>Multivitamin</v>
      </c>
      <c r="H270" s="1" cm="1">
        <f t="array" ref="H270">_xlfn.IFS(
OR(E270="Type 2 Diabetes",E270="Essential Hypertension",E270="Angina Pectoris",E270="Bronchial Asthma",E270="Cardiac Arrhythmia"), D270+30,
OR(E270="Gastritis",E270="Osteoarthritis",E270="Bronchitis",E270="Iron Deficiency Anemia"), D270+14,
OR(E270="Lumbar Strain",E270="Migraine Headache"), D270+7,
OR(E270="Viral Fever",E270="General Checkup","Routine Health Check"), "",
TRUE,""
)</f>
        <v>45686</v>
      </c>
      <c r="I270" s="1" t="str">
        <f t="shared" si="8"/>
        <v>Follow-up Scheduled</v>
      </c>
      <c r="J270" t="str">
        <f>TEXT(Table8[[#This Row],[visit_Date]],"DDDD")</f>
        <v>Wednesday</v>
      </c>
      <c r="K270" t="str">
        <f>TEXT(Table8[[#This Row],[visit_Date]],"mmmm")</f>
        <v>January</v>
      </c>
      <c r="L270" t="str">
        <f t="shared" si="9"/>
        <v>Winter</v>
      </c>
    </row>
    <row r="271" spans="1:12" x14ac:dyDescent="0.25">
      <c r="A271">
        <v>270</v>
      </c>
      <c r="B271">
        <v>1027</v>
      </c>
      <c r="C271">
        <v>273</v>
      </c>
      <c r="D271" s="1">
        <v>45814</v>
      </c>
      <c r="E271" t="s">
        <v>24</v>
      </c>
      <c r="F271" t="s">
        <v>321</v>
      </c>
      <c r="G271" t="str">
        <f>_xlfn.XLOOKUP(TRIM(E272),MedicineInfo!A:A,MedicineInfo!B:B,"Not Found")</f>
        <v>Sumatriptan</v>
      </c>
      <c r="H271" s="1" t="str" cm="1">
        <f t="array" ref="H271">_xlfn.IFS(
OR(E271="Type 2 Diabetes",E271="Essential Hypertension",E271="Angina Pectoris",E271="Bronchial Asthma",E271="Cardiac Arrhythmia"), D271+30,
OR(E271="Gastritis",E271="Osteoarthritis",E271="Bronchitis",E271="Iron Deficiency Anemia"), D271+14,
OR(E271="Lumbar Strain",E271="Migraine Headache"), D271+7,
OR(E271="Viral Fever",E271="General Checkup","Routine Health Check"), "",
TRUE,""
)</f>
        <v/>
      </c>
      <c r="I271" s="1" t="str">
        <f t="shared" si="8"/>
        <v>No Follow-up Required</v>
      </c>
      <c r="J271" t="str">
        <f>TEXT(Table8[[#This Row],[visit_Date]],"DDDD")</f>
        <v>Friday</v>
      </c>
      <c r="K271" t="str">
        <f>TEXT(Table8[[#This Row],[visit_Date]],"mmmm")</f>
        <v>June</v>
      </c>
      <c r="L271" t="str">
        <f t="shared" si="9"/>
        <v>Monsoon</v>
      </c>
    </row>
    <row r="272" spans="1:12" x14ac:dyDescent="0.25">
      <c r="A272">
        <v>271</v>
      </c>
      <c r="B272">
        <v>1009</v>
      </c>
      <c r="C272">
        <v>510</v>
      </c>
      <c r="D272" s="1">
        <v>45766</v>
      </c>
      <c r="E272" t="s">
        <v>315</v>
      </c>
      <c r="F272" t="s">
        <v>316</v>
      </c>
      <c r="G272" t="str">
        <f>_xlfn.XLOOKUP(TRIM(E273),MedicineInfo!A:A,MedicineInfo!B:B,"Not Found")</f>
        <v>Nitroglycerin</v>
      </c>
      <c r="H272" s="1" cm="1">
        <f t="array" ref="H272">_xlfn.IFS(
OR(E272="Type 2 Diabetes",E272="Essential Hypertension",E272="Angina Pectoris",E272="Bronchial Asthma",E272="Cardiac Arrhythmia"), D272+30,
OR(E272="Gastritis",E272="Osteoarthritis",E272="Bronchitis",E272="Iron Deficiency Anemia"), D272+14,
OR(E272="Lumbar Strain",E272="Migraine Headache"), D272+7,
OR(E272="Viral Fever",E272="General Checkup","Routine Health Check"), "",
TRUE,""
)</f>
        <v>45773</v>
      </c>
      <c r="I272" s="1" t="str">
        <f t="shared" si="8"/>
        <v>Follow-up Scheduled</v>
      </c>
      <c r="J272" t="str">
        <f>TEXT(Table8[[#This Row],[visit_Date]],"DDDD")</f>
        <v>Saturday</v>
      </c>
      <c r="K272" t="str">
        <f>TEXT(Table8[[#This Row],[visit_Date]],"mmmm")</f>
        <v>April</v>
      </c>
      <c r="L272" t="str">
        <f t="shared" si="9"/>
        <v>Summer</v>
      </c>
    </row>
    <row r="273" spans="1:12" x14ac:dyDescent="0.25">
      <c r="A273">
        <v>272</v>
      </c>
      <c r="B273">
        <v>1001</v>
      </c>
      <c r="C273">
        <v>512</v>
      </c>
      <c r="D273" s="1">
        <v>45669</v>
      </c>
      <c r="E273" t="s">
        <v>322</v>
      </c>
      <c r="F273" t="s">
        <v>323</v>
      </c>
      <c r="G273" t="str">
        <f>_xlfn.XLOOKUP(TRIM(E274),MedicineInfo!A:A,MedicineInfo!B:B,"Not Found")</f>
        <v>Paracetamol</v>
      </c>
      <c r="H273" s="1" cm="1">
        <f t="array" ref="H273">_xlfn.IFS(
OR(E273="Type 2 Diabetes",E273="Essential Hypertension",E273="Angina Pectoris",E273="Bronchial Asthma",E273="Cardiac Arrhythmia"), D273+30,
OR(E273="Gastritis",E273="Osteoarthritis",E273="Bronchitis",E273="Iron Deficiency Anemia"), D273+14,
OR(E273="Lumbar Strain",E273="Migraine Headache"), D273+7,
OR(E273="Viral Fever",E273="General Checkup","Routine Health Check"), "",
TRUE,""
)</f>
        <v>45699</v>
      </c>
      <c r="I273" s="1" t="str">
        <f t="shared" si="8"/>
        <v>Follow-up Scheduled</v>
      </c>
      <c r="J273" t="str">
        <f>TEXT(Table8[[#This Row],[visit_Date]],"DDDD")</f>
        <v>Sunday</v>
      </c>
      <c r="K273" t="str">
        <f>TEXT(Table8[[#This Row],[visit_Date]],"mmmm")</f>
        <v>January</v>
      </c>
      <c r="L273" t="str">
        <f t="shared" si="9"/>
        <v>Winter</v>
      </c>
    </row>
    <row r="274" spans="1:12" x14ac:dyDescent="0.25">
      <c r="A274">
        <v>273</v>
      </c>
      <c r="B274">
        <v>1027</v>
      </c>
      <c r="C274">
        <v>1054</v>
      </c>
      <c r="D274" s="1">
        <v>45839</v>
      </c>
      <c r="E274" t="s">
        <v>326</v>
      </c>
      <c r="F274" t="s">
        <v>327</v>
      </c>
      <c r="G274" t="str">
        <f>_xlfn.XLOOKUP(TRIM(E275),MedicineInfo!A:A,MedicineInfo!B:B,"Not Found")</f>
        <v>Multivitamin</v>
      </c>
      <c r="H274" s="1" t="str" cm="1">
        <f t="array" ref="H274">_xlfn.IFS(
OR(E274="Type 2 Diabetes",E274="Essential Hypertension",E274="Angina Pectoris",E274="Bronchial Asthma",E274="Cardiac Arrhythmia"), D274+30,
OR(E274="Gastritis",E274="Osteoarthritis",E274="Bronchitis",E274="Iron Deficiency Anemia"), D274+14,
OR(E274="Lumbar Strain",E274="Migraine Headache"), D274+7,
OR(E274="Viral Fever",E274="General Checkup","Routine Health Check"), "",
TRUE,""
)</f>
        <v/>
      </c>
      <c r="I274" s="1" t="str">
        <f t="shared" si="8"/>
        <v>No Follow-up Required</v>
      </c>
      <c r="J274" t="str">
        <f>TEXT(Table8[[#This Row],[visit_Date]],"DDDD")</f>
        <v>Tuesday</v>
      </c>
      <c r="K274" t="str">
        <f>TEXT(Table8[[#This Row],[visit_Date]],"mmmm")</f>
        <v>July</v>
      </c>
      <c r="L274" t="str">
        <f t="shared" si="9"/>
        <v>Monsoon</v>
      </c>
    </row>
    <row r="275" spans="1:12" x14ac:dyDescent="0.25">
      <c r="A275">
        <v>274</v>
      </c>
      <c r="B275">
        <v>1027</v>
      </c>
      <c r="C275">
        <v>1517</v>
      </c>
      <c r="D275" s="1">
        <v>45686</v>
      </c>
      <c r="E275" t="s">
        <v>24</v>
      </c>
      <c r="F275" t="s">
        <v>321</v>
      </c>
      <c r="G275" t="str">
        <f>_xlfn.XLOOKUP(TRIM(E276),MedicineInfo!A:A,MedicineInfo!B:B,"Not Found")</f>
        <v>Amlodipine</v>
      </c>
      <c r="H275" s="1" t="str" cm="1">
        <f t="array" ref="H275">_xlfn.IFS(
OR(E275="Type 2 Diabetes",E275="Essential Hypertension",E275="Angina Pectoris",E275="Bronchial Asthma",E275="Cardiac Arrhythmia"), D275+30,
OR(E275="Gastritis",E275="Osteoarthritis",E275="Bronchitis",E275="Iron Deficiency Anemia"), D275+14,
OR(E275="Lumbar Strain",E275="Migraine Headache"), D275+7,
OR(E275="Viral Fever",E275="General Checkup","Routine Health Check"), "",
TRUE,""
)</f>
        <v/>
      </c>
      <c r="I275" s="1" t="str">
        <f t="shared" si="8"/>
        <v>No Follow-up Required</v>
      </c>
      <c r="J275" t="str">
        <f>TEXT(Table8[[#This Row],[visit_Date]],"DDDD")</f>
        <v>Wednesday</v>
      </c>
      <c r="K275" t="str">
        <f>TEXT(Table8[[#This Row],[visit_Date]],"mmmm")</f>
        <v>January</v>
      </c>
      <c r="L275" t="str">
        <f t="shared" si="9"/>
        <v>Winter</v>
      </c>
    </row>
    <row r="276" spans="1:12" x14ac:dyDescent="0.25">
      <c r="A276">
        <v>275</v>
      </c>
      <c r="B276">
        <v>1003</v>
      </c>
      <c r="C276">
        <v>613</v>
      </c>
      <c r="D276" s="1">
        <v>45692</v>
      </c>
      <c r="E276" t="s">
        <v>319</v>
      </c>
      <c r="F276" t="s">
        <v>320</v>
      </c>
      <c r="G276" t="str">
        <f>_xlfn.XLOOKUP(TRIM(E277),MedicineInfo!A:A,MedicineInfo!B:B,"Not Found")</f>
        <v>Multivitamin</v>
      </c>
      <c r="H276" s="1" cm="1">
        <f t="array" ref="H276">_xlfn.IFS(
OR(E276="Type 2 Diabetes",E276="Essential Hypertension",E276="Angina Pectoris",E276="Bronchial Asthma",E276="Cardiac Arrhythmia"), D276+30,
OR(E276="Gastritis",E276="Osteoarthritis",E276="Bronchitis",E276="Iron Deficiency Anemia"), D276+14,
OR(E276="Lumbar Strain",E276="Migraine Headache"), D276+7,
OR(E276="Viral Fever",E276="General Checkup","Routine Health Check"), "",
TRUE,""
)</f>
        <v>45722</v>
      </c>
      <c r="I276" s="1" t="str">
        <f t="shared" si="8"/>
        <v>Follow-up Scheduled</v>
      </c>
      <c r="J276" t="str">
        <f>TEXT(Table8[[#This Row],[visit_Date]],"DDDD")</f>
        <v>Tuesday</v>
      </c>
      <c r="K276" t="str">
        <f>TEXT(Table8[[#This Row],[visit_Date]],"mmmm")</f>
        <v>February</v>
      </c>
      <c r="L276" t="str">
        <f t="shared" si="9"/>
        <v>Winter</v>
      </c>
    </row>
    <row r="277" spans="1:12" x14ac:dyDescent="0.25">
      <c r="A277">
        <v>276</v>
      </c>
      <c r="B277">
        <v>1027</v>
      </c>
      <c r="C277">
        <v>515</v>
      </c>
      <c r="D277" s="1">
        <v>45780</v>
      </c>
      <c r="E277" t="s">
        <v>24</v>
      </c>
      <c r="F277" t="s">
        <v>321</v>
      </c>
      <c r="G277" t="str">
        <f>_xlfn.XLOOKUP(TRIM(E278),MedicineInfo!A:A,MedicineInfo!B:B,"Not Found")</f>
        <v>Nitroglycerin</v>
      </c>
      <c r="H277" s="1" t="str" cm="1">
        <f t="array" ref="H277">_xlfn.IFS(
OR(E277="Type 2 Diabetes",E277="Essential Hypertension",E277="Angina Pectoris",E277="Bronchial Asthma",E277="Cardiac Arrhythmia"), D277+30,
OR(E277="Gastritis",E277="Osteoarthritis",E277="Bronchitis",E277="Iron Deficiency Anemia"), D277+14,
OR(E277="Lumbar Strain",E277="Migraine Headache"), D277+7,
OR(E277="Viral Fever",E277="General Checkup","Routine Health Check"), "",
TRUE,""
)</f>
        <v/>
      </c>
      <c r="I277" s="1" t="str">
        <f t="shared" si="8"/>
        <v>No Follow-up Required</v>
      </c>
      <c r="J277" t="str">
        <f>TEXT(Table8[[#This Row],[visit_Date]],"DDDD")</f>
        <v>Saturday</v>
      </c>
      <c r="K277" t="str">
        <f>TEXT(Table8[[#This Row],[visit_Date]],"mmmm")</f>
        <v>May</v>
      </c>
      <c r="L277" t="str">
        <f t="shared" si="9"/>
        <v>Summer</v>
      </c>
    </row>
    <row r="278" spans="1:12" x14ac:dyDescent="0.25">
      <c r="A278">
        <v>277</v>
      </c>
      <c r="B278">
        <v>1027</v>
      </c>
      <c r="C278">
        <v>1047</v>
      </c>
      <c r="D278" s="1">
        <v>45792</v>
      </c>
      <c r="E278" t="s">
        <v>322</v>
      </c>
      <c r="F278" t="s">
        <v>323</v>
      </c>
      <c r="G278" t="str">
        <f>_xlfn.XLOOKUP(TRIM(E279),MedicineInfo!A:A,MedicineInfo!B:B,"Not Found")</f>
        <v>Sumatriptan</v>
      </c>
      <c r="H278" s="1" cm="1">
        <f t="array" ref="H278">_xlfn.IFS(
OR(E278="Type 2 Diabetes",E278="Essential Hypertension",E278="Angina Pectoris",E278="Bronchial Asthma",E278="Cardiac Arrhythmia"), D278+30,
OR(E278="Gastritis",E278="Osteoarthritis",E278="Bronchitis",E278="Iron Deficiency Anemia"), D278+14,
OR(E278="Lumbar Strain",E278="Migraine Headache"), D278+7,
OR(E278="Viral Fever",E278="General Checkup","Routine Health Check"), "",
TRUE,""
)</f>
        <v>45822</v>
      </c>
      <c r="I278" s="1" t="str">
        <f t="shared" si="8"/>
        <v>Follow-up Scheduled</v>
      </c>
      <c r="J278" t="str">
        <f>TEXT(Table8[[#This Row],[visit_Date]],"DDDD")</f>
        <v>Thursday</v>
      </c>
      <c r="K278" t="str">
        <f>TEXT(Table8[[#This Row],[visit_Date]],"mmmm")</f>
        <v>May</v>
      </c>
      <c r="L278" t="str">
        <f t="shared" si="9"/>
        <v>Summer</v>
      </c>
    </row>
    <row r="279" spans="1:12" x14ac:dyDescent="0.25">
      <c r="A279">
        <v>278</v>
      </c>
      <c r="B279">
        <v>1008</v>
      </c>
      <c r="C279">
        <v>1337</v>
      </c>
      <c r="D279" s="1">
        <v>45863</v>
      </c>
      <c r="E279" t="s">
        <v>315</v>
      </c>
      <c r="F279" t="s">
        <v>316</v>
      </c>
      <c r="G279" t="str">
        <f>_xlfn.XLOOKUP(TRIM(E280),MedicineInfo!A:A,MedicineInfo!B:B,"Not Found")</f>
        <v>Metformin</v>
      </c>
      <c r="H279" s="1" cm="1">
        <f t="array" ref="H279">_xlfn.IFS(
OR(E279="Type 2 Diabetes",E279="Essential Hypertension",E279="Angina Pectoris",E279="Bronchial Asthma",E279="Cardiac Arrhythmia"), D279+30,
OR(E279="Gastritis",E279="Osteoarthritis",E279="Bronchitis",E279="Iron Deficiency Anemia"), D279+14,
OR(E279="Lumbar Strain",E279="Migraine Headache"), D279+7,
OR(E279="Viral Fever",E279="General Checkup","Routine Health Check"), "",
TRUE,""
)</f>
        <v>45870</v>
      </c>
      <c r="I279" s="1" t="str">
        <f t="shared" si="8"/>
        <v>Follow-up Scheduled</v>
      </c>
      <c r="J279" t="str">
        <f>TEXT(Table8[[#This Row],[visit_Date]],"DDDD")</f>
        <v>Friday</v>
      </c>
      <c r="K279" t="str">
        <f>TEXT(Table8[[#This Row],[visit_Date]],"mmmm")</f>
        <v>July</v>
      </c>
      <c r="L279" t="str">
        <f t="shared" si="9"/>
        <v>Monsoon</v>
      </c>
    </row>
    <row r="280" spans="1:12" x14ac:dyDescent="0.25">
      <c r="A280">
        <v>279</v>
      </c>
      <c r="B280">
        <v>1024</v>
      </c>
      <c r="C280">
        <v>1273</v>
      </c>
      <c r="D280" s="1">
        <v>45792</v>
      </c>
      <c r="E280" t="s">
        <v>317</v>
      </c>
      <c r="F280" t="s">
        <v>318</v>
      </c>
      <c r="G280" t="str">
        <f>_xlfn.XLOOKUP(TRIM(E281),MedicineInfo!A:A,MedicineInfo!B:B,"Not Found")</f>
        <v>Multivitamin</v>
      </c>
      <c r="H280" s="1" cm="1">
        <f t="array" ref="H280">_xlfn.IFS(
OR(E280="Type 2 Diabetes",E280="Essential Hypertension",E280="Angina Pectoris",E280="Bronchial Asthma",E280="Cardiac Arrhythmia"), D280+30,
OR(E280="Gastritis",E280="Osteoarthritis",E280="Bronchitis",E280="Iron Deficiency Anemia"), D280+14,
OR(E280="Lumbar Strain",E280="Migraine Headache"), D280+7,
OR(E280="Viral Fever",E280="General Checkup","Routine Health Check"), "",
TRUE,""
)</f>
        <v>45822</v>
      </c>
      <c r="I280" s="1" t="str">
        <f t="shared" si="8"/>
        <v>Follow-up Scheduled</v>
      </c>
      <c r="J280" t="str">
        <f>TEXT(Table8[[#This Row],[visit_Date]],"DDDD")</f>
        <v>Thursday</v>
      </c>
      <c r="K280" t="str">
        <f>TEXT(Table8[[#This Row],[visit_Date]],"mmmm")</f>
        <v>May</v>
      </c>
      <c r="L280" t="str">
        <f t="shared" si="9"/>
        <v>Summer</v>
      </c>
    </row>
    <row r="281" spans="1:12" x14ac:dyDescent="0.25">
      <c r="A281">
        <v>280</v>
      </c>
      <c r="B281">
        <v>1027</v>
      </c>
      <c r="C281">
        <v>601</v>
      </c>
      <c r="D281" s="1">
        <v>45691</v>
      </c>
      <c r="E281" t="s">
        <v>24</v>
      </c>
      <c r="F281" t="s">
        <v>321</v>
      </c>
      <c r="G281" t="str">
        <f>_xlfn.XLOOKUP(TRIM(E282),MedicineInfo!A:A,MedicineInfo!B:B,"Not Found")</f>
        <v>Paracetamol</v>
      </c>
      <c r="H281" s="1" t="str" cm="1">
        <f t="array" ref="H281">_xlfn.IFS(
OR(E281="Type 2 Diabetes",E281="Essential Hypertension",E281="Angina Pectoris",E281="Bronchial Asthma",E281="Cardiac Arrhythmia"), D281+30,
OR(E281="Gastritis",E281="Osteoarthritis",E281="Bronchitis",E281="Iron Deficiency Anemia"), D281+14,
OR(E281="Lumbar Strain",E281="Migraine Headache"), D281+7,
OR(E281="Viral Fever",E281="General Checkup","Routine Health Check"), "",
TRUE,""
)</f>
        <v/>
      </c>
      <c r="I281" s="1" t="str">
        <f t="shared" si="8"/>
        <v>No Follow-up Required</v>
      </c>
      <c r="J281" t="str">
        <f>TEXT(Table8[[#This Row],[visit_Date]],"DDDD")</f>
        <v>Monday</v>
      </c>
      <c r="K281" t="str">
        <f>TEXT(Table8[[#This Row],[visit_Date]],"mmmm")</f>
        <v>February</v>
      </c>
      <c r="L281" t="str">
        <f t="shared" si="9"/>
        <v>Winter</v>
      </c>
    </row>
    <row r="282" spans="1:12" x14ac:dyDescent="0.25">
      <c r="A282">
        <v>281</v>
      </c>
      <c r="B282">
        <v>1027</v>
      </c>
      <c r="C282">
        <v>899</v>
      </c>
      <c r="D282" s="1">
        <v>45684</v>
      </c>
      <c r="E282" t="s">
        <v>326</v>
      </c>
      <c r="F282" t="s">
        <v>327</v>
      </c>
      <c r="G282" t="str">
        <f>_xlfn.XLOOKUP(TRIM(E283),MedicineInfo!A:A,MedicineInfo!B:B,"Not Found")</f>
        <v>Sumatriptan</v>
      </c>
      <c r="H282" s="1" t="str" cm="1">
        <f t="array" ref="H282">_xlfn.IFS(
OR(E282="Type 2 Diabetes",E282="Essential Hypertension",E282="Angina Pectoris",E282="Bronchial Asthma",E282="Cardiac Arrhythmia"), D282+30,
OR(E282="Gastritis",E282="Osteoarthritis",E282="Bronchitis",E282="Iron Deficiency Anemia"), D282+14,
OR(E282="Lumbar Strain",E282="Migraine Headache"), D282+7,
OR(E282="Viral Fever",E282="General Checkup","Routine Health Check"), "",
TRUE,""
)</f>
        <v/>
      </c>
      <c r="I282" s="1" t="str">
        <f t="shared" si="8"/>
        <v>No Follow-up Required</v>
      </c>
      <c r="J282" t="str">
        <f>TEXT(Table8[[#This Row],[visit_Date]],"DDDD")</f>
        <v>Monday</v>
      </c>
      <c r="K282" t="str">
        <f>TEXT(Table8[[#This Row],[visit_Date]],"mmmm")</f>
        <v>January</v>
      </c>
      <c r="L282" t="str">
        <f t="shared" si="9"/>
        <v>Winter</v>
      </c>
    </row>
    <row r="283" spans="1:12" x14ac:dyDescent="0.25">
      <c r="A283">
        <v>282</v>
      </c>
      <c r="B283">
        <v>1009</v>
      </c>
      <c r="C283">
        <v>1584</v>
      </c>
      <c r="D283" s="1">
        <v>45814</v>
      </c>
      <c r="E283" t="s">
        <v>315</v>
      </c>
      <c r="F283" t="s">
        <v>316</v>
      </c>
      <c r="G283" t="str">
        <f>_xlfn.XLOOKUP(TRIM(E284),MedicineInfo!A:A,MedicineInfo!B:B,"Not Found")</f>
        <v>Diclofenac</v>
      </c>
      <c r="H283" s="1" cm="1">
        <f t="array" ref="H283">_xlfn.IFS(
OR(E283="Type 2 Diabetes",E283="Essential Hypertension",E283="Angina Pectoris",E283="Bronchial Asthma",E283="Cardiac Arrhythmia"), D283+30,
OR(E283="Gastritis",E283="Osteoarthritis",E283="Bronchitis",E283="Iron Deficiency Anemia"), D283+14,
OR(E283="Lumbar Strain",E283="Migraine Headache"), D283+7,
OR(E283="Viral Fever",E283="General Checkup","Routine Health Check"), "",
TRUE,""
)</f>
        <v>45821</v>
      </c>
      <c r="I283" s="1" t="str">
        <f t="shared" si="8"/>
        <v>Follow-up Scheduled</v>
      </c>
      <c r="J283" t="str">
        <f>TEXT(Table8[[#This Row],[visit_Date]],"DDDD")</f>
        <v>Friday</v>
      </c>
      <c r="K283" t="str">
        <f>TEXT(Table8[[#This Row],[visit_Date]],"mmmm")</f>
        <v>June</v>
      </c>
      <c r="L283" t="str">
        <f t="shared" si="9"/>
        <v>Monsoon</v>
      </c>
    </row>
    <row r="284" spans="1:12" x14ac:dyDescent="0.25">
      <c r="A284">
        <v>283</v>
      </c>
      <c r="B284">
        <v>1027</v>
      </c>
      <c r="C284">
        <v>281</v>
      </c>
      <c r="D284" s="1">
        <v>45694</v>
      </c>
      <c r="E284" t="s">
        <v>313</v>
      </c>
      <c r="F284" t="s">
        <v>314</v>
      </c>
      <c r="G284" t="str">
        <f>_xlfn.XLOOKUP(TRIM(E285),MedicineInfo!A:A,MedicineInfo!B:B,"Not Found")</f>
        <v>Nitroglycerin</v>
      </c>
      <c r="H284" s="1" cm="1">
        <f t="array" ref="H284">_xlfn.IFS(
OR(E284="Type 2 Diabetes",E284="Essential Hypertension",E284="Angina Pectoris",E284="Bronchial Asthma",E284="Cardiac Arrhythmia"), D284+30,
OR(E284="Gastritis",E284="Osteoarthritis",E284="Bronchitis",E284="Iron Deficiency Anemia"), D284+14,
OR(E284="Lumbar Strain",E284="Migraine Headache"), D284+7,
OR(E284="Viral Fever",E284="General Checkup","Routine Health Check"), "",
TRUE,""
)</f>
        <v>45701</v>
      </c>
      <c r="I284" s="1" t="str">
        <f t="shared" si="8"/>
        <v>Follow-up Scheduled</v>
      </c>
      <c r="J284" t="str">
        <f>TEXT(Table8[[#This Row],[visit_Date]],"DDDD")</f>
        <v>Thursday</v>
      </c>
      <c r="K284" t="str">
        <f>TEXT(Table8[[#This Row],[visit_Date]],"mmmm")</f>
        <v>February</v>
      </c>
      <c r="L284" t="str">
        <f t="shared" si="9"/>
        <v>Winter</v>
      </c>
    </row>
    <row r="285" spans="1:12" x14ac:dyDescent="0.25">
      <c r="A285">
        <v>284</v>
      </c>
      <c r="B285">
        <v>1001</v>
      </c>
      <c r="C285">
        <v>1135</v>
      </c>
      <c r="D285" s="1">
        <v>45758</v>
      </c>
      <c r="E285" t="s">
        <v>322</v>
      </c>
      <c r="F285" t="s">
        <v>323</v>
      </c>
      <c r="G285" t="str">
        <f>_xlfn.XLOOKUP(TRIM(E286),MedicineInfo!A:A,MedicineInfo!B:B,"Not Found")</f>
        <v>Multivitamin</v>
      </c>
      <c r="H285" s="1" cm="1">
        <f t="array" ref="H285">_xlfn.IFS(
OR(E285="Type 2 Diabetes",E285="Essential Hypertension",E285="Angina Pectoris",E285="Bronchial Asthma",E285="Cardiac Arrhythmia"), D285+30,
OR(E285="Gastritis",E285="Osteoarthritis",E285="Bronchitis",E285="Iron Deficiency Anemia"), D285+14,
OR(E285="Lumbar Strain",E285="Migraine Headache"), D285+7,
OR(E285="Viral Fever",E285="General Checkup","Routine Health Check"), "",
TRUE,""
)</f>
        <v>45788</v>
      </c>
      <c r="I285" s="1" t="str">
        <f t="shared" si="8"/>
        <v>Follow-up Scheduled</v>
      </c>
      <c r="J285" t="str">
        <f>TEXT(Table8[[#This Row],[visit_Date]],"DDDD")</f>
        <v>Friday</v>
      </c>
      <c r="K285" t="str">
        <f>TEXT(Table8[[#This Row],[visit_Date]],"mmmm")</f>
        <v>April</v>
      </c>
      <c r="L285" t="str">
        <f t="shared" si="9"/>
        <v>Summer</v>
      </c>
    </row>
    <row r="286" spans="1:12" x14ac:dyDescent="0.25">
      <c r="A286">
        <v>285</v>
      </c>
      <c r="B286">
        <v>1027</v>
      </c>
      <c r="C286">
        <v>289</v>
      </c>
      <c r="D286" s="1">
        <v>45792</v>
      </c>
      <c r="E286" t="s">
        <v>24</v>
      </c>
      <c r="F286" t="s">
        <v>321</v>
      </c>
      <c r="G286" t="str">
        <f>_xlfn.XLOOKUP(TRIM(E287),MedicineInfo!A:A,MedicineInfo!B:B,"Not Found")</f>
        <v>Nitroglycerin</v>
      </c>
      <c r="H286" s="1" t="str" cm="1">
        <f t="array" ref="H286">_xlfn.IFS(
OR(E286="Type 2 Diabetes",E286="Essential Hypertension",E286="Angina Pectoris",E286="Bronchial Asthma",E286="Cardiac Arrhythmia"), D286+30,
OR(E286="Gastritis",E286="Osteoarthritis",E286="Bronchitis",E286="Iron Deficiency Anemia"), D286+14,
OR(E286="Lumbar Strain",E286="Migraine Headache"), D286+7,
OR(E286="Viral Fever",E286="General Checkup","Routine Health Check"), "",
TRUE,""
)</f>
        <v/>
      </c>
      <c r="I286" s="1" t="str">
        <f t="shared" si="8"/>
        <v>No Follow-up Required</v>
      </c>
      <c r="J286" t="str">
        <f>TEXT(Table8[[#This Row],[visit_Date]],"DDDD")</f>
        <v>Thursday</v>
      </c>
      <c r="K286" t="str">
        <f>TEXT(Table8[[#This Row],[visit_Date]],"mmmm")</f>
        <v>May</v>
      </c>
      <c r="L286" t="str">
        <f t="shared" si="9"/>
        <v>Summer</v>
      </c>
    </row>
    <row r="287" spans="1:12" x14ac:dyDescent="0.25">
      <c r="A287">
        <v>286</v>
      </c>
      <c r="B287">
        <v>1027</v>
      </c>
      <c r="C287">
        <v>948</v>
      </c>
      <c r="D287" s="1">
        <v>45777</v>
      </c>
      <c r="E287" t="s">
        <v>322</v>
      </c>
      <c r="F287" t="s">
        <v>323</v>
      </c>
      <c r="G287" t="str">
        <f>_xlfn.XLOOKUP(TRIM(E288),MedicineInfo!A:A,MedicineInfo!B:B,"Not Found")</f>
        <v>Multivitamin</v>
      </c>
      <c r="H287" s="1" cm="1">
        <f t="array" ref="H287">_xlfn.IFS(
OR(E287="Type 2 Diabetes",E287="Essential Hypertension",E287="Angina Pectoris",E287="Bronchial Asthma",E287="Cardiac Arrhythmia"), D287+30,
OR(E287="Gastritis",E287="Osteoarthritis",E287="Bronchitis",E287="Iron Deficiency Anemia"), D287+14,
OR(E287="Lumbar Strain",E287="Migraine Headache"), D287+7,
OR(E287="Viral Fever",E287="General Checkup","Routine Health Check"), "",
TRUE,""
)</f>
        <v>45807</v>
      </c>
      <c r="I287" s="1" t="str">
        <f t="shared" si="8"/>
        <v>Follow-up Scheduled</v>
      </c>
      <c r="J287" t="str">
        <f>TEXT(Table8[[#This Row],[visit_Date]],"DDDD")</f>
        <v>Wednesday</v>
      </c>
      <c r="K287" t="str">
        <f>TEXT(Table8[[#This Row],[visit_Date]],"mmmm")</f>
        <v>April</v>
      </c>
      <c r="L287" t="str">
        <f t="shared" si="9"/>
        <v>Summer</v>
      </c>
    </row>
    <row r="288" spans="1:12" x14ac:dyDescent="0.25">
      <c r="A288">
        <v>287</v>
      </c>
      <c r="B288">
        <v>1027</v>
      </c>
      <c r="C288">
        <v>1495</v>
      </c>
      <c r="D288" s="1">
        <v>45820</v>
      </c>
      <c r="E288" t="s">
        <v>24</v>
      </c>
      <c r="F288" t="s">
        <v>321</v>
      </c>
      <c r="G288" t="str">
        <f>_xlfn.XLOOKUP(TRIM(E289),MedicineInfo!A:A,MedicineInfo!B:B,"Not Found")</f>
        <v>Paracetamol</v>
      </c>
      <c r="H288" s="1" t="str" cm="1">
        <f t="array" ref="H288">_xlfn.IFS(
OR(E288="Type 2 Diabetes",E288="Essential Hypertension",E288="Angina Pectoris",E288="Bronchial Asthma",E288="Cardiac Arrhythmia"), D288+30,
OR(E288="Gastritis",E288="Osteoarthritis",E288="Bronchitis",E288="Iron Deficiency Anemia"), D288+14,
OR(E288="Lumbar Strain",E288="Migraine Headache"), D288+7,
OR(E288="Viral Fever",E288="General Checkup","Routine Health Check"), "",
TRUE,""
)</f>
        <v/>
      </c>
      <c r="I288" s="1" t="str">
        <f t="shared" si="8"/>
        <v>No Follow-up Required</v>
      </c>
      <c r="J288" t="str">
        <f>TEXT(Table8[[#This Row],[visit_Date]],"DDDD")</f>
        <v>Thursday</v>
      </c>
      <c r="K288" t="str">
        <f>TEXT(Table8[[#This Row],[visit_Date]],"mmmm")</f>
        <v>June</v>
      </c>
      <c r="L288" t="str">
        <f t="shared" si="9"/>
        <v>Monsoon</v>
      </c>
    </row>
    <row r="289" spans="1:12" x14ac:dyDescent="0.25">
      <c r="A289">
        <v>288</v>
      </c>
      <c r="B289">
        <v>1027</v>
      </c>
      <c r="C289">
        <v>625</v>
      </c>
      <c r="D289" s="1">
        <v>45777</v>
      </c>
      <c r="E289" t="s">
        <v>326</v>
      </c>
      <c r="F289" t="s">
        <v>327</v>
      </c>
      <c r="G289" t="str">
        <f>_xlfn.XLOOKUP(TRIM(E290),MedicineInfo!A:A,MedicineInfo!B:B,"Not Found")</f>
        <v>Amlodipine</v>
      </c>
      <c r="H289" s="1" t="str" cm="1">
        <f t="array" ref="H289">_xlfn.IFS(
OR(E289="Type 2 Diabetes",E289="Essential Hypertension",E289="Angina Pectoris",E289="Bronchial Asthma",E289="Cardiac Arrhythmia"), D289+30,
OR(E289="Gastritis",E289="Osteoarthritis",E289="Bronchitis",E289="Iron Deficiency Anemia"), D289+14,
OR(E289="Lumbar Strain",E289="Migraine Headache"), D289+7,
OR(E289="Viral Fever",E289="General Checkup","Routine Health Check"), "",
TRUE,""
)</f>
        <v/>
      </c>
      <c r="I289" s="1" t="str">
        <f t="shared" si="8"/>
        <v>No Follow-up Required</v>
      </c>
      <c r="J289" t="str">
        <f>TEXT(Table8[[#This Row],[visit_Date]],"DDDD")</f>
        <v>Wednesday</v>
      </c>
      <c r="K289" t="str">
        <f>TEXT(Table8[[#This Row],[visit_Date]],"mmmm")</f>
        <v>April</v>
      </c>
      <c r="L289" t="str">
        <f t="shared" si="9"/>
        <v>Summer</v>
      </c>
    </row>
    <row r="290" spans="1:12" x14ac:dyDescent="0.25">
      <c r="A290">
        <v>289</v>
      </c>
      <c r="B290">
        <v>1001</v>
      </c>
      <c r="C290">
        <v>496</v>
      </c>
      <c r="D290" s="1">
        <v>45814</v>
      </c>
      <c r="E290" t="s">
        <v>319</v>
      </c>
      <c r="F290" t="s">
        <v>320</v>
      </c>
      <c r="G290" t="str">
        <f>_xlfn.XLOOKUP(TRIM(E291),MedicineInfo!A:A,MedicineInfo!B:B,"Not Found")</f>
        <v>Metformin</v>
      </c>
      <c r="H290" s="1" cm="1">
        <f t="array" ref="H290">_xlfn.IFS(
OR(E290="Type 2 Diabetes",E290="Essential Hypertension",E290="Angina Pectoris",E290="Bronchial Asthma",E290="Cardiac Arrhythmia"), D290+30,
OR(E290="Gastritis",E290="Osteoarthritis",E290="Bronchitis",E290="Iron Deficiency Anemia"), D290+14,
OR(E290="Lumbar Strain",E290="Migraine Headache"), D290+7,
OR(E290="Viral Fever",E290="General Checkup","Routine Health Check"), "",
TRUE,""
)</f>
        <v>45844</v>
      </c>
      <c r="I290" s="1" t="str">
        <f t="shared" si="8"/>
        <v>Follow-up Scheduled</v>
      </c>
      <c r="J290" t="str">
        <f>TEXT(Table8[[#This Row],[visit_Date]],"DDDD")</f>
        <v>Friday</v>
      </c>
      <c r="K290" t="str">
        <f>TEXT(Table8[[#This Row],[visit_Date]],"mmmm")</f>
        <v>June</v>
      </c>
      <c r="L290" t="str">
        <f t="shared" si="9"/>
        <v>Monsoon</v>
      </c>
    </row>
    <row r="291" spans="1:12" x14ac:dyDescent="0.25">
      <c r="A291">
        <v>290</v>
      </c>
      <c r="B291">
        <v>1024</v>
      </c>
      <c r="C291">
        <v>153</v>
      </c>
      <c r="D291" s="1">
        <v>45747</v>
      </c>
      <c r="E291" t="s">
        <v>317</v>
      </c>
      <c r="F291" t="s">
        <v>318</v>
      </c>
      <c r="G291" t="str">
        <f>_xlfn.XLOOKUP(TRIM(E292),MedicineInfo!A:A,MedicineInfo!B:B,"Not Found")</f>
        <v>Nitroglycerin</v>
      </c>
      <c r="H291" s="1" cm="1">
        <f t="array" ref="H291">_xlfn.IFS(
OR(E291="Type 2 Diabetes",E291="Essential Hypertension",E291="Angina Pectoris",E291="Bronchial Asthma",E291="Cardiac Arrhythmia"), D291+30,
OR(E291="Gastritis",E291="Osteoarthritis",E291="Bronchitis",E291="Iron Deficiency Anemia"), D291+14,
OR(E291="Lumbar Strain",E291="Migraine Headache"), D291+7,
OR(E291="Viral Fever",E291="General Checkup","Routine Health Check"), "",
TRUE,""
)</f>
        <v>45777</v>
      </c>
      <c r="I291" s="1" t="str">
        <f t="shared" si="8"/>
        <v>Follow-up Scheduled</v>
      </c>
      <c r="J291" t="str">
        <f>TEXT(Table8[[#This Row],[visit_Date]],"DDDD")</f>
        <v>Monday</v>
      </c>
      <c r="K291" t="str">
        <f>TEXT(Table8[[#This Row],[visit_Date]],"mmmm")</f>
        <v>March</v>
      </c>
      <c r="L291" t="str">
        <f t="shared" si="9"/>
        <v>Summer</v>
      </c>
    </row>
    <row r="292" spans="1:12" x14ac:dyDescent="0.25">
      <c r="A292">
        <v>291</v>
      </c>
      <c r="B292">
        <v>1027</v>
      </c>
      <c r="C292">
        <v>548</v>
      </c>
      <c r="D292" s="1">
        <v>45658</v>
      </c>
      <c r="E292" t="s">
        <v>322</v>
      </c>
      <c r="F292" t="s">
        <v>323</v>
      </c>
      <c r="G292" t="str">
        <f>_xlfn.XLOOKUP(TRIM(E293),MedicineInfo!A:A,MedicineInfo!B:B,"Not Found")</f>
        <v>Metformin</v>
      </c>
      <c r="H292" s="1" cm="1">
        <f t="array" ref="H292">_xlfn.IFS(
OR(E292="Type 2 Diabetes",E292="Essential Hypertension",E292="Angina Pectoris",E292="Bronchial Asthma",E292="Cardiac Arrhythmia"), D292+30,
OR(E292="Gastritis",E292="Osteoarthritis",E292="Bronchitis",E292="Iron Deficiency Anemia"), D292+14,
OR(E292="Lumbar Strain",E292="Migraine Headache"), D292+7,
OR(E292="Viral Fever",E292="General Checkup","Routine Health Check"), "",
TRUE,""
)</f>
        <v>45688</v>
      </c>
      <c r="I292" s="1" t="str">
        <f t="shared" si="8"/>
        <v>Follow-up Scheduled</v>
      </c>
      <c r="J292" t="str">
        <f>TEXT(Table8[[#This Row],[visit_Date]],"DDDD")</f>
        <v>Wednesday</v>
      </c>
      <c r="K292" t="str">
        <f>TEXT(Table8[[#This Row],[visit_Date]],"mmmm")</f>
        <v>January</v>
      </c>
      <c r="L292" t="str">
        <f t="shared" si="9"/>
        <v>Winter</v>
      </c>
    </row>
    <row r="293" spans="1:12" x14ac:dyDescent="0.25">
      <c r="A293">
        <v>292</v>
      </c>
      <c r="B293">
        <v>1024</v>
      </c>
      <c r="C293">
        <v>304</v>
      </c>
      <c r="D293" s="1">
        <v>45823</v>
      </c>
      <c r="E293" t="s">
        <v>317</v>
      </c>
      <c r="F293" t="s">
        <v>318</v>
      </c>
      <c r="G293" t="str">
        <f>_xlfn.XLOOKUP(TRIM(E294),MedicineInfo!A:A,MedicineInfo!B:B,"Not Found")</f>
        <v>Sumatriptan</v>
      </c>
      <c r="H293" s="1" cm="1">
        <f t="array" ref="H293">_xlfn.IFS(
OR(E293="Type 2 Diabetes",E293="Essential Hypertension",E293="Angina Pectoris",E293="Bronchial Asthma",E293="Cardiac Arrhythmia"), D293+30,
OR(E293="Gastritis",E293="Osteoarthritis",E293="Bronchitis",E293="Iron Deficiency Anemia"), D293+14,
OR(E293="Lumbar Strain",E293="Migraine Headache"), D293+7,
OR(E293="Viral Fever",E293="General Checkup","Routine Health Check"), "",
TRUE,""
)</f>
        <v>45853</v>
      </c>
      <c r="I293" s="1" t="str">
        <f t="shared" si="8"/>
        <v>Follow-up Scheduled</v>
      </c>
      <c r="J293" t="str">
        <f>TEXT(Table8[[#This Row],[visit_Date]],"DDDD")</f>
        <v>Sunday</v>
      </c>
      <c r="K293" t="str">
        <f>TEXT(Table8[[#This Row],[visit_Date]],"mmmm")</f>
        <v>June</v>
      </c>
      <c r="L293" t="str">
        <f t="shared" si="9"/>
        <v>Monsoon</v>
      </c>
    </row>
    <row r="294" spans="1:12" x14ac:dyDescent="0.25">
      <c r="A294">
        <v>293</v>
      </c>
      <c r="B294">
        <v>1009</v>
      </c>
      <c r="C294">
        <v>276</v>
      </c>
      <c r="D294" s="1">
        <v>45672</v>
      </c>
      <c r="E294" t="s">
        <v>315</v>
      </c>
      <c r="F294" t="s">
        <v>316</v>
      </c>
      <c r="G294" t="str">
        <f>_xlfn.XLOOKUP(TRIM(E295),MedicineInfo!A:A,MedicineInfo!B:B,"Not Found")</f>
        <v>Multivitamin</v>
      </c>
      <c r="H294" s="1" cm="1">
        <f t="array" ref="H294">_xlfn.IFS(
OR(E294="Type 2 Diabetes",E294="Essential Hypertension",E294="Angina Pectoris",E294="Bronchial Asthma",E294="Cardiac Arrhythmia"), D294+30,
OR(E294="Gastritis",E294="Osteoarthritis",E294="Bronchitis",E294="Iron Deficiency Anemia"), D294+14,
OR(E294="Lumbar Strain",E294="Migraine Headache"), D294+7,
OR(E294="Viral Fever",E294="General Checkup","Routine Health Check"), "",
TRUE,""
)</f>
        <v>45679</v>
      </c>
      <c r="I294" s="1" t="str">
        <f t="shared" si="8"/>
        <v>Follow-up Scheduled</v>
      </c>
      <c r="J294" t="str">
        <f>TEXT(Table8[[#This Row],[visit_Date]],"DDDD")</f>
        <v>Wednesday</v>
      </c>
      <c r="K294" t="str">
        <f>TEXT(Table8[[#This Row],[visit_Date]],"mmmm")</f>
        <v>January</v>
      </c>
      <c r="L294" t="str">
        <f t="shared" si="9"/>
        <v>Winter</v>
      </c>
    </row>
    <row r="295" spans="1:12" x14ac:dyDescent="0.25">
      <c r="A295">
        <v>294</v>
      </c>
      <c r="B295">
        <v>1027</v>
      </c>
      <c r="C295">
        <v>690</v>
      </c>
      <c r="D295" s="1">
        <v>45672</v>
      </c>
      <c r="E295" t="s">
        <v>24</v>
      </c>
      <c r="F295" t="s">
        <v>321</v>
      </c>
      <c r="G295" t="str">
        <f>_xlfn.XLOOKUP(TRIM(E296),MedicineInfo!A:A,MedicineInfo!B:B,"Not Found")</f>
        <v>Metformin</v>
      </c>
      <c r="H295" s="1" t="str" cm="1">
        <f t="array" ref="H295">_xlfn.IFS(
OR(E295="Type 2 Diabetes",E295="Essential Hypertension",E295="Angina Pectoris",E295="Bronchial Asthma",E295="Cardiac Arrhythmia"), D295+30,
OR(E295="Gastritis",E295="Osteoarthritis",E295="Bronchitis",E295="Iron Deficiency Anemia"), D295+14,
OR(E295="Lumbar Strain",E295="Migraine Headache"), D295+7,
OR(E295="Viral Fever",E295="General Checkup","Routine Health Check"), "",
TRUE,""
)</f>
        <v/>
      </c>
      <c r="I295" s="1" t="str">
        <f t="shared" si="8"/>
        <v>No Follow-up Required</v>
      </c>
      <c r="J295" t="str">
        <f>TEXT(Table8[[#This Row],[visit_Date]],"DDDD")</f>
        <v>Wednesday</v>
      </c>
      <c r="K295" t="str">
        <f>TEXT(Table8[[#This Row],[visit_Date]],"mmmm")</f>
        <v>January</v>
      </c>
      <c r="L295" t="str">
        <f t="shared" si="9"/>
        <v>Winter</v>
      </c>
    </row>
    <row r="296" spans="1:12" x14ac:dyDescent="0.25">
      <c r="A296">
        <v>295</v>
      </c>
      <c r="B296">
        <v>1024</v>
      </c>
      <c r="C296">
        <v>1316</v>
      </c>
      <c r="D296" s="1">
        <v>45691</v>
      </c>
      <c r="E296" t="s">
        <v>317</v>
      </c>
      <c r="F296" t="s">
        <v>318</v>
      </c>
      <c r="G296" t="str">
        <f>_xlfn.XLOOKUP(TRIM(E297),MedicineInfo!A:A,MedicineInfo!B:B,"Not Found")</f>
        <v>Multivitamin</v>
      </c>
      <c r="H296" s="1" cm="1">
        <f t="array" ref="H296">_xlfn.IFS(
OR(E296="Type 2 Diabetes",E296="Essential Hypertension",E296="Angina Pectoris",E296="Bronchial Asthma",E296="Cardiac Arrhythmia"), D296+30,
OR(E296="Gastritis",E296="Osteoarthritis",E296="Bronchitis",E296="Iron Deficiency Anemia"), D296+14,
OR(E296="Lumbar Strain",E296="Migraine Headache"), D296+7,
OR(E296="Viral Fever",E296="General Checkup","Routine Health Check"), "",
TRUE,""
)</f>
        <v>45721</v>
      </c>
      <c r="I296" s="1" t="str">
        <f t="shared" si="8"/>
        <v>Follow-up Scheduled</v>
      </c>
      <c r="J296" t="str">
        <f>TEXT(Table8[[#This Row],[visit_Date]],"DDDD")</f>
        <v>Monday</v>
      </c>
      <c r="K296" t="str">
        <f>TEXT(Table8[[#This Row],[visit_Date]],"mmmm")</f>
        <v>February</v>
      </c>
      <c r="L296" t="str">
        <f t="shared" si="9"/>
        <v>Winter</v>
      </c>
    </row>
    <row r="297" spans="1:12" x14ac:dyDescent="0.25">
      <c r="A297">
        <v>296</v>
      </c>
      <c r="B297">
        <v>1027</v>
      </c>
      <c r="C297">
        <v>803</v>
      </c>
      <c r="D297" s="1">
        <v>45720</v>
      </c>
      <c r="E297" t="s">
        <v>24</v>
      </c>
      <c r="F297" t="s">
        <v>321</v>
      </c>
      <c r="G297" t="str">
        <f>_xlfn.XLOOKUP(TRIM(E298),MedicineInfo!A:A,MedicineInfo!B:B,"Not Found")</f>
        <v>Salbutamol Inhaler</v>
      </c>
      <c r="H297" s="1" t="str" cm="1">
        <f t="array" ref="H297">_xlfn.IFS(
OR(E297="Type 2 Diabetes",E297="Essential Hypertension",E297="Angina Pectoris",E297="Bronchial Asthma",E297="Cardiac Arrhythmia"), D297+30,
OR(E297="Gastritis",E297="Osteoarthritis",E297="Bronchitis",E297="Iron Deficiency Anemia"), D297+14,
OR(E297="Lumbar Strain",E297="Migraine Headache"), D297+7,
OR(E297="Viral Fever",E297="General Checkup","Routine Health Check"), "",
TRUE,""
)</f>
        <v/>
      </c>
      <c r="I297" s="1" t="str">
        <f t="shared" si="8"/>
        <v>No Follow-up Required</v>
      </c>
      <c r="J297" t="str">
        <f>TEXT(Table8[[#This Row],[visit_Date]],"DDDD")</f>
        <v>Tuesday</v>
      </c>
      <c r="K297" t="str">
        <f>TEXT(Table8[[#This Row],[visit_Date]],"mmmm")</f>
        <v>March</v>
      </c>
      <c r="L297" t="str">
        <f t="shared" si="9"/>
        <v>Summer</v>
      </c>
    </row>
    <row r="298" spans="1:12" x14ac:dyDescent="0.25">
      <c r="A298">
        <v>297</v>
      </c>
      <c r="B298">
        <v>1020</v>
      </c>
      <c r="C298">
        <v>524</v>
      </c>
      <c r="D298" s="1">
        <v>45822</v>
      </c>
      <c r="E298" t="s">
        <v>324</v>
      </c>
      <c r="F298" t="s">
        <v>325</v>
      </c>
      <c r="G298" t="str">
        <f>_xlfn.XLOOKUP(TRIM(E299),MedicineInfo!A:A,MedicineInfo!B:B,"Not Found")</f>
        <v>Diclofenac</v>
      </c>
      <c r="H298" s="1" cm="1">
        <f t="array" ref="H298">_xlfn.IFS(
OR(E298="Type 2 Diabetes",E298="Essential Hypertension",E298="Angina Pectoris",E298="Bronchial Asthma",E298="Cardiac Arrhythmia"), D298+30,
OR(E298="Gastritis",E298="Osteoarthritis",E298="Bronchitis",E298="Iron Deficiency Anemia"), D298+14,
OR(E298="Lumbar Strain",E298="Migraine Headache"), D298+7,
OR(E298="Viral Fever",E298="General Checkup","Routine Health Check"), "",
TRUE,""
)</f>
        <v>45852</v>
      </c>
      <c r="I298" s="1" t="str">
        <f t="shared" si="8"/>
        <v>Follow-up Scheduled</v>
      </c>
      <c r="J298" t="str">
        <f>TEXT(Table8[[#This Row],[visit_Date]],"DDDD")</f>
        <v>Saturday</v>
      </c>
      <c r="K298" t="str">
        <f>TEXT(Table8[[#This Row],[visit_Date]],"mmmm")</f>
        <v>June</v>
      </c>
      <c r="L298" t="str">
        <f t="shared" si="9"/>
        <v>Monsoon</v>
      </c>
    </row>
    <row r="299" spans="1:12" x14ac:dyDescent="0.25">
      <c r="A299">
        <v>298</v>
      </c>
      <c r="B299">
        <v>1027</v>
      </c>
      <c r="C299">
        <v>213</v>
      </c>
      <c r="D299" s="1">
        <v>45814</v>
      </c>
      <c r="E299" t="s">
        <v>313</v>
      </c>
      <c r="F299" t="s">
        <v>314</v>
      </c>
      <c r="G299" t="str">
        <f>_xlfn.XLOOKUP(TRIM(E300),MedicineInfo!A:A,MedicineInfo!B:B,"Not Found")</f>
        <v>Metformin</v>
      </c>
      <c r="H299" s="1" cm="1">
        <f t="array" ref="H299">_xlfn.IFS(
OR(E299="Type 2 Diabetes",E299="Essential Hypertension",E299="Angina Pectoris",E299="Bronchial Asthma",E299="Cardiac Arrhythmia"), D299+30,
OR(E299="Gastritis",E299="Osteoarthritis",E299="Bronchitis",E299="Iron Deficiency Anemia"), D299+14,
OR(E299="Lumbar Strain",E299="Migraine Headache"), D299+7,
OR(E299="Viral Fever",E299="General Checkup","Routine Health Check"), "",
TRUE,""
)</f>
        <v>45821</v>
      </c>
      <c r="I299" s="1" t="str">
        <f t="shared" si="8"/>
        <v>Follow-up Scheduled</v>
      </c>
      <c r="J299" t="str">
        <f>TEXT(Table8[[#This Row],[visit_Date]],"DDDD")</f>
        <v>Friday</v>
      </c>
      <c r="K299" t="str">
        <f>TEXT(Table8[[#This Row],[visit_Date]],"mmmm")</f>
        <v>June</v>
      </c>
      <c r="L299" t="str">
        <f t="shared" si="9"/>
        <v>Monsoon</v>
      </c>
    </row>
    <row r="300" spans="1:12" x14ac:dyDescent="0.25">
      <c r="A300">
        <v>299</v>
      </c>
      <c r="B300">
        <v>1024</v>
      </c>
      <c r="C300">
        <v>1190</v>
      </c>
      <c r="D300" s="1">
        <v>45669</v>
      </c>
      <c r="E300" t="s">
        <v>317</v>
      </c>
      <c r="F300" t="s">
        <v>318</v>
      </c>
      <c r="G300" t="str">
        <f>_xlfn.XLOOKUP(TRIM(E301),MedicineInfo!A:A,MedicineInfo!B:B,"Not Found")</f>
        <v>Salbutamol Inhaler</v>
      </c>
      <c r="H300" s="1" cm="1">
        <f t="array" ref="H300">_xlfn.IFS(
OR(E300="Type 2 Diabetes",E300="Essential Hypertension",E300="Angina Pectoris",E300="Bronchial Asthma",E300="Cardiac Arrhythmia"), D300+30,
OR(E300="Gastritis",E300="Osteoarthritis",E300="Bronchitis",E300="Iron Deficiency Anemia"), D300+14,
OR(E300="Lumbar Strain",E300="Migraine Headache"), D300+7,
OR(E300="Viral Fever",E300="General Checkup","Routine Health Check"), "",
TRUE,""
)</f>
        <v>45699</v>
      </c>
      <c r="I300" s="1" t="str">
        <f t="shared" si="8"/>
        <v>Follow-up Scheduled</v>
      </c>
      <c r="J300" t="str">
        <f>TEXT(Table8[[#This Row],[visit_Date]],"DDDD")</f>
        <v>Sunday</v>
      </c>
      <c r="K300" t="str">
        <f>TEXT(Table8[[#This Row],[visit_Date]],"mmmm")</f>
        <v>January</v>
      </c>
      <c r="L300" t="str">
        <f t="shared" si="9"/>
        <v>Winter</v>
      </c>
    </row>
    <row r="301" spans="1:12" x14ac:dyDescent="0.25">
      <c r="A301">
        <v>300</v>
      </c>
      <c r="B301">
        <v>1020</v>
      </c>
      <c r="C301">
        <v>934</v>
      </c>
      <c r="D301" s="1">
        <v>45730</v>
      </c>
      <c r="E301" t="s">
        <v>324</v>
      </c>
      <c r="F301" t="s">
        <v>325</v>
      </c>
      <c r="G301" t="str">
        <f>_xlfn.XLOOKUP(TRIM(E302),MedicineInfo!A:A,MedicineInfo!B:B,"Not Found")</f>
        <v>Amlodipine</v>
      </c>
      <c r="H301" s="1" cm="1">
        <f t="array" ref="H301">_xlfn.IFS(
OR(E301="Type 2 Diabetes",E301="Essential Hypertension",E301="Angina Pectoris",E301="Bronchial Asthma",E301="Cardiac Arrhythmia"), D301+30,
OR(E301="Gastritis",E301="Osteoarthritis",E301="Bronchitis",E301="Iron Deficiency Anemia"), D301+14,
OR(E301="Lumbar Strain",E301="Migraine Headache"), D301+7,
OR(E301="Viral Fever",E301="General Checkup","Routine Health Check"), "",
TRUE,""
)</f>
        <v>45760</v>
      </c>
      <c r="I301" s="1" t="str">
        <f t="shared" si="8"/>
        <v>Follow-up Scheduled</v>
      </c>
      <c r="J301" t="str">
        <f>TEXT(Table8[[#This Row],[visit_Date]],"DDDD")</f>
        <v>Friday</v>
      </c>
      <c r="K301" t="str">
        <f>TEXT(Table8[[#This Row],[visit_Date]],"mmmm")</f>
        <v>March</v>
      </c>
      <c r="L301" t="str">
        <f t="shared" si="9"/>
        <v>Summer</v>
      </c>
    </row>
    <row r="302" spans="1:12" x14ac:dyDescent="0.25">
      <c r="A302">
        <v>301</v>
      </c>
      <c r="B302">
        <v>1004</v>
      </c>
      <c r="C302">
        <v>1082</v>
      </c>
      <c r="D302" s="1">
        <v>45746</v>
      </c>
      <c r="E302" t="s">
        <v>319</v>
      </c>
      <c r="F302" t="s">
        <v>320</v>
      </c>
      <c r="G302" t="str">
        <f>_xlfn.XLOOKUP(TRIM(E303),MedicineInfo!A:A,MedicineInfo!B:B,"Not Found")</f>
        <v>Salbutamol Inhaler</v>
      </c>
      <c r="H302" s="1" cm="1">
        <f t="array" ref="H302">_xlfn.IFS(
OR(E302="Type 2 Diabetes",E302="Essential Hypertension",E302="Angina Pectoris",E302="Bronchial Asthma",E302="Cardiac Arrhythmia"), D302+30,
OR(E302="Gastritis",E302="Osteoarthritis",E302="Bronchitis",E302="Iron Deficiency Anemia"), D302+14,
OR(E302="Lumbar Strain",E302="Migraine Headache"), D302+7,
OR(E302="Viral Fever",E302="General Checkup","Routine Health Check"), "",
TRUE,""
)</f>
        <v>45776</v>
      </c>
      <c r="I302" s="1" t="str">
        <f t="shared" si="8"/>
        <v>Follow-up Scheduled</v>
      </c>
      <c r="J302" t="str">
        <f>TEXT(Table8[[#This Row],[visit_Date]],"DDDD")</f>
        <v>Sunday</v>
      </c>
      <c r="K302" t="str">
        <f>TEXT(Table8[[#This Row],[visit_Date]],"mmmm")</f>
        <v>March</v>
      </c>
      <c r="L302" t="str">
        <f t="shared" si="9"/>
        <v>Summer</v>
      </c>
    </row>
    <row r="303" spans="1:12" x14ac:dyDescent="0.25">
      <c r="A303">
        <v>302</v>
      </c>
      <c r="B303">
        <v>1020</v>
      </c>
      <c r="C303">
        <v>977</v>
      </c>
      <c r="D303" s="1">
        <v>45686</v>
      </c>
      <c r="E303" t="s">
        <v>324</v>
      </c>
      <c r="F303" t="s">
        <v>325</v>
      </c>
      <c r="G303" t="str">
        <f>_xlfn.XLOOKUP(TRIM(E304),MedicineInfo!A:A,MedicineInfo!B:B,"Not Found")</f>
        <v>Multivitamin</v>
      </c>
      <c r="H303" s="1" cm="1">
        <f t="array" ref="H303">_xlfn.IFS(
OR(E303="Type 2 Diabetes",E303="Essential Hypertension",E303="Angina Pectoris",E303="Bronchial Asthma",E303="Cardiac Arrhythmia"), D303+30,
OR(E303="Gastritis",E303="Osteoarthritis",E303="Bronchitis",E303="Iron Deficiency Anemia"), D303+14,
OR(E303="Lumbar Strain",E303="Migraine Headache"), D303+7,
OR(E303="Viral Fever",E303="General Checkup","Routine Health Check"), "",
TRUE,""
)</f>
        <v>45716</v>
      </c>
      <c r="I303" s="1" t="str">
        <f t="shared" si="8"/>
        <v>Follow-up Scheduled</v>
      </c>
      <c r="J303" t="str">
        <f>TEXT(Table8[[#This Row],[visit_Date]],"DDDD")</f>
        <v>Wednesday</v>
      </c>
      <c r="K303" t="str">
        <f>TEXT(Table8[[#This Row],[visit_Date]],"mmmm")</f>
        <v>January</v>
      </c>
      <c r="L303" t="str">
        <f t="shared" si="9"/>
        <v>Winter</v>
      </c>
    </row>
    <row r="304" spans="1:12" x14ac:dyDescent="0.25">
      <c r="A304">
        <v>303</v>
      </c>
      <c r="B304">
        <v>1027</v>
      </c>
      <c r="C304">
        <v>1486</v>
      </c>
      <c r="D304" s="1">
        <v>45858</v>
      </c>
      <c r="E304" t="s">
        <v>24</v>
      </c>
      <c r="F304" t="s">
        <v>321</v>
      </c>
      <c r="G304" t="str">
        <f>_xlfn.XLOOKUP(TRIM(E305),MedicineInfo!A:A,MedicineInfo!B:B,"Not Found")</f>
        <v>Metformin</v>
      </c>
      <c r="H304" s="1" t="str" cm="1">
        <f t="array" ref="H304">_xlfn.IFS(
OR(E304="Type 2 Diabetes",E304="Essential Hypertension",E304="Angina Pectoris",E304="Bronchial Asthma",E304="Cardiac Arrhythmia"), D304+30,
OR(E304="Gastritis",E304="Osteoarthritis",E304="Bronchitis",E304="Iron Deficiency Anemia"), D304+14,
OR(E304="Lumbar Strain",E304="Migraine Headache"), D304+7,
OR(E304="Viral Fever",E304="General Checkup","Routine Health Check"), "",
TRUE,""
)</f>
        <v/>
      </c>
      <c r="I304" s="1" t="str">
        <f t="shared" si="8"/>
        <v>No Follow-up Required</v>
      </c>
      <c r="J304" t="str">
        <f>TEXT(Table8[[#This Row],[visit_Date]],"DDDD")</f>
        <v>Sunday</v>
      </c>
      <c r="K304" t="str">
        <f>TEXT(Table8[[#This Row],[visit_Date]],"mmmm")</f>
        <v>July</v>
      </c>
      <c r="L304" t="str">
        <f t="shared" si="9"/>
        <v>Monsoon</v>
      </c>
    </row>
    <row r="305" spans="1:12" x14ac:dyDescent="0.25">
      <c r="A305">
        <v>304</v>
      </c>
      <c r="B305">
        <v>1024</v>
      </c>
      <c r="C305">
        <v>705</v>
      </c>
      <c r="D305" s="1">
        <v>45792</v>
      </c>
      <c r="E305" t="s">
        <v>317</v>
      </c>
      <c r="F305" t="s">
        <v>318</v>
      </c>
      <c r="G305" t="str">
        <f>_xlfn.XLOOKUP(TRIM(E306),MedicineInfo!A:A,MedicineInfo!B:B,"Not Found")</f>
        <v>Multivitamin</v>
      </c>
      <c r="H305" s="1" cm="1">
        <f t="array" ref="H305">_xlfn.IFS(
OR(E305="Type 2 Diabetes",E305="Essential Hypertension",E305="Angina Pectoris",E305="Bronchial Asthma",E305="Cardiac Arrhythmia"), D305+30,
OR(E305="Gastritis",E305="Osteoarthritis",E305="Bronchitis",E305="Iron Deficiency Anemia"), D305+14,
OR(E305="Lumbar Strain",E305="Migraine Headache"), D305+7,
OR(E305="Viral Fever",E305="General Checkup","Routine Health Check"), "",
TRUE,""
)</f>
        <v>45822</v>
      </c>
      <c r="I305" s="1" t="str">
        <f t="shared" si="8"/>
        <v>Follow-up Scheduled</v>
      </c>
      <c r="J305" t="str">
        <f>TEXT(Table8[[#This Row],[visit_Date]],"DDDD")</f>
        <v>Thursday</v>
      </c>
      <c r="K305" t="str">
        <f>TEXT(Table8[[#This Row],[visit_Date]],"mmmm")</f>
        <v>May</v>
      </c>
      <c r="L305" t="str">
        <f t="shared" si="9"/>
        <v>Summer</v>
      </c>
    </row>
    <row r="306" spans="1:12" x14ac:dyDescent="0.25">
      <c r="A306">
        <v>305</v>
      </c>
      <c r="B306">
        <v>1027</v>
      </c>
      <c r="C306">
        <v>1399</v>
      </c>
      <c r="D306" s="1">
        <v>45686</v>
      </c>
      <c r="E306" t="s">
        <v>24</v>
      </c>
      <c r="F306" t="s">
        <v>321</v>
      </c>
      <c r="G306" t="str">
        <f>_xlfn.XLOOKUP(TRIM(E307),MedicineInfo!A:A,MedicineInfo!B:B,"Not Found")</f>
        <v>Paracetamol</v>
      </c>
      <c r="H306" s="1" t="str" cm="1">
        <f t="array" ref="H306">_xlfn.IFS(
OR(E306="Type 2 Diabetes",E306="Essential Hypertension",E306="Angina Pectoris",E306="Bronchial Asthma",E306="Cardiac Arrhythmia"), D306+30,
OR(E306="Gastritis",E306="Osteoarthritis",E306="Bronchitis",E306="Iron Deficiency Anemia"), D306+14,
OR(E306="Lumbar Strain",E306="Migraine Headache"), D306+7,
OR(E306="Viral Fever",E306="General Checkup","Routine Health Check"), "",
TRUE,""
)</f>
        <v/>
      </c>
      <c r="I306" s="1" t="str">
        <f t="shared" si="8"/>
        <v>No Follow-up Required</v>
      </c>
      <c r="J306" t="str">
        <f>TEXT(Table8[[#This Row],[visit_Date]],"DDDD")</f>
        <v>Wednesday</v>
      </c>
      <c r="K306" t="str">
        <f>TEXT(Table8[[#This Row],[visit_Date]],"mmmm")</f>
        <v>January</v>
      </c>
      <c r="L306" t="str">
        <f t="shared" si="9"/>
        <v>Winter</v>
      </c>
    </row>
    <row r="307" spans="1:12" x14ac:dyDescent="0.25">
      <c r="A307">
        <v>306</v>
      </c>
      <c r="B307">
        <v>1027</v>
      </c>
      <c r="C307">
        <v>271</v>
      </c>
      <c r="D307" s="1">
        <v>45792</v>
      </c>
      <c r="E307" t="s">
        <v>326</v>
      </c>
      <c r="F307" t="s">
        <v>327</v>
      </c>
      <c r="G307" t="str">
        <f>_xlfn.XLOOKUP(TRIM(E308),MedicineInfo!A:A,MedicineInfo!B:B,"Not Found")</f>
        <v>Salbutamol Inhaler</v>
      </c>
      <c r="H307" s="1" t="str" cm="1">
        <f t="array" ref="H307">_xlfn.IFS(
OR(E307="Type 2 Diabetes",E307="Essential Hypertension",E307="Angina Pectoris",E307="Bronchial Asthma",E307="Cardiac Arrhythmia"), D307+30,
OR(E307="Gastritis",E307="Osteoarthritis",E307="Bronchitis",E307="Iron Deficiency Anemia"), D307+14,
OR(E307="Lumbar Strain",E307="Migraine Headache"), D307+7,
OR(E307="Viral Fever",E307="General Checkup","Routine Health Check"), "",
TRUE,""
)</f>
        <v/>
      </c>
      <c r="I307" s="1" t="str">
        <f t="shared" si="8"/>
        <v>No Follow-up Required</v>
      </c>
      <c r="J307" t="str">
        <f>TEXT(Table8[[#This Row],[visit_Date]],"DDDD")</f>
        <v>Thursday</v>
      </c>
      <c r="K307" t="str">
        <f>TEXT(Table8[[#This Row],[visit_Date]],"mmmm")</f>
        <v>May</v>
      </c>
      <c r="L307" t="str">
        <f t="shared" si="9"/>
        <v>Summer</v>
      </c>
    </row>
    <row r="308" spans="1:12" x14ac:dyDescent="0.25">
      <c r="A308">
        <v>307</v>
      </c>
      <c r="B308">
        <v>1020</v>
      </c>
      <c r="C308">
        <v>181</v>
      </c>
      <c r="D308" s="1">
        <v>45814</v>
      </c>
      <c r="E308" t="s">
        <v>324</v>
      </c>
      <c r="F308" t="s">
        <v>325</v>
      </c>
      <c r="G308" t="str">
        <f>_xlfn.XLOOKUP(TRIM(E309),MedicineInfo!A:A,MedicineInfo!B:B,"Not Found")</f>
        <v>Multivitamin</v>
      </c>
      <c r="H308" s="1" cm="1">
        <f t="array" ref="H308">_xlfn.IFS(
OR(E308="Type 2 Diabetes",E308="Essential Hypertension",E308="Angina Pectoris",E308="Bronchial Asthma",E308="Cardiac Arrhythmia"), D308+30,
OR(E308="Gastritis",E308="Osteoarthritis",E308="Bronchitis",E308="Iron Deficiency Anemia"), D308+14,
OR(E308="Lumbar Strain",E308="Migraine Headache"), D308+7,
OR(E308="Viral Fever",E308="General Checkup","Routine Health Check"), "",
TRUE,""
)</f>
        <v>45844</v>
      </c>
      <c r="I308" s="1" t="str">
        <f t="shared" si="8"/>
        <v>Follow-up Scheduled</v>
      </c>
      <c r="J308" t="str">
        <f>TEXT(Table8[[#This Row],[visit_Date]],"DDDD")</f>
        <v>Friday</v>
      </c>
      <c r="K308" t="str">
        <f>TEXT(Table8[[#This Row],[visit_Date]],"mmmm")</f>
        <v>June</v>
      </c>
      <c r="L308" t="str">
        <f t="shared" si="9"/>
        <v>Monsoon</v>
      </c>
    </row>
    <row r="309" spans="1:12" x14ac:dyDescent="0.25">
      <c r="A309">
        <v>308</v>
      </c>
      <c r="B309">
        <v>1027</v>
      </c>
      <c r="C309">
        <v>839</v>
      </c>
      <c r="D309" s="1">
        <v>45662</v>
      </c>
      <c r="E309" t="s">
        <v>24</v>
      </c>
      <c r="F309" t="s">
        <v>321</v>
      </c>
      <c r="G309" t="str">
        <f>_xlfn.XLOOKUP(TRIM(E310),MedicineInfo!A:A,MedicineInfo!B:B,"Not Found")</f>
        <v>Multivitamin</v>
      </c>
      <c r="H309" s="1" t="str" cm="1">
        <f t="array" ref="H309">_xlfn.IFS(
OR(E309="Type 2 Diabetes",E309="Essential Hypertension",E309="Angina Pectoris",E309="Bronchial Asthma",E309="Cardiac Arrhythmia"), D309+30,
OR(E309="Gastritis",E309="Osteoarthritis",E309="Bronchitis",E309="Iron Deficiency Anemia"), D309+14,
OR(E309="Lumbar Strain",E309="Migraine Headache"), D309+7,
OR(E309="Viral Fever",E309="General Checkup","Routine Health Check"), "",
TRUE,""
)</f>
        <v/>
      </c>
      <c r="I309" s="1" t="str">
        <f t="shared" si="8"/>
        <v>No Follow-up Required</v>
      </c>
      <c r="J309" t="str">
        <f>TEXT(Table8[[#This Row],[visit_Date]],"DDDD")</f>
        <v>Sunday</v>
      </c>
      <c r="K309" t="str">
        <f>TEXT(Table8[[#This Row],[visit_Date]],"mmmm")</f>
        <v>January</v>
      </c>
      <c r="L309" t="str">
        <f t="shared" si="9"/>
        <v>Winter</v>
      </c>
    </row>
    <row r="310" spans="1:12" x14ac:dyDescent="0.25">
      <c r="A310">
        <v>309</v>
      </c>
      <c r="B310">
        <v>1027</v>
      </c>
      <c r="C310">
        <v>818</v>
      </c>
      <c r="D310" s="1">
        <v>45686</v>
      </c>
      <c r="E310" t="s">
        <v>24</v>
      </c>
      <c r="F310" t="s">
        <v>321</v>
      </c>
      <c r="G310" t="str">
        <f>_xlfn.XLOOKUP(TRIM(E311),MedicineInfo!A:A,MedicineInfo!B:B,"Not Found")</f>
        <v>Salbutamol Inhaler</v>
      </c>
      <c r="H310" s="1" t="str" cm="1">
        <f t="array" ref="H310">_xlfn.IFS(
OR(E310="Type 2 Diabetes",E310="Essential Hypertension",E310="Angina Pectoris",E310="Bronchial Asthma",E310="Cardiac Arrhythmia"), D310+30,
OR(E310="Gastritis",E310="Osteoarthritis",E310="Bronchitis",E310="Iron Deficiency Anemia"), D310+14,
OR(E310="Lumbar Strain",E310="Migraine Headache"), D310+7,
OR(E310="Viral Fever",E310="General Checkup","Routine Health Check"), "",
TRUE,""
)</f>
        <v/>
      </c>
      <c r="I310" s="1" t="str">
        <f t="shared" si="8"/>
        <v>No Follow-up Required</v>
      </c>
      <c r="J310" t="str">
        <f>TEXT(Table8[[#This Row],[visit_Date]],"DDDD")</f>
        <v>Wednesday</v>
      </c>
      <c r="K310" t="str">
        <f>TEXT(Table8[[#This Row],[visit_Date]],"mmmm")</f>
        <v>January</v>
      </c>
      <c r="L310" t="str">
        <f t="shared" si="9"/>
        <v>Winter</v>
      </c>
    </row>
    <row r="311" spans="1:12" x14ac:dyDescent="0.25">
      <c r="A311">
        <v>310</v>
      </c>
      <c r="B311">
        <v>1020</v>
      </c>
      <c r="C311">
        <v>302</v>
      </c>
      <c r="D311" s="1">
        <v>45694</v>
      </c>
      <c r="E311" t="s">
        <v>324</v>
      </c>
      <c r="F311" t="s">
        <v>325</v>
      </c>
      <c r="G311" t="str">
        <f>_xlfn.XLOOKUP(TRIM(E312),MedicineInfo!A:A,MedicineInfo!B:B,"Not Found")</f>
        <v>Multivitamin</v>
      </c>
      <c r="H311" s="1" cm="1">
        <f t="array" ref="H311">_xlfn.IFS(
OR(E311="Type 2 Diabetes",E311="Essential Hypertension",E311="Angina Pectoris",E311="Bronchial Asthma",E311="Cardiac Arrhythmia"), D311+30,
OR(E311="Gastritis",E311="Osteoarthritis",E311="Bronchitis",E311="Iron Deficiency Anemia"), D311+14,
OR(E311="Lumbar Strain",E311="Migraine Headache"), D311+7,
OR(E311="Viral Fever",E311="General Checkup","Routine Health Check"), "",
TRUE,""
)</f>
        <v>45724</v>
      </c>
      <c r="I311" s="1" t="str">
        <f t="shared" si="8"/>
        <v>Follow-up Scheduled</v>
      </c>
      <c r="J311" t="str">
        <f>TEXT(Table8[[#This Row],[visit_Date]],"DDDD")</f>
        <v>Thursday</v>
      </c>
      <c r="K311" t="str">
        <f>TEXT(Table8[[#This Row],[visit_Date]],"mmmm")</f>
        <v>February</v>
      </c>
      <c r="L311" t="str">
        <f t="shared" si="9"/>
        <v>Winter</v>
      </c>
    </row>
    <row r="312" spans="1:12" x14ac:dyDescent="0.25">
      <c r="A312">
        <v>311</v>
      </c>
      <c r="B312">
        <v>1027</v>
      </c>
      <c r="C312">
        <v>1373</v>
      </c>
      <c r="D312" s="1">
        <v>45686</v>
      </c>
      <c r="E312" t="s">
        <v>24</v>
      </c>
      <c r="F312" t="s">
        <v>321</v>
      </c>
      <c r="G312" t="str">
        <f>_xlfn.XLOOKUP(TRIM(E313),MedicineInfo!A:A,MedicineInfo!B:B,"Not Found")</f>
        <v>Amlodipine</v>
      </c>
      <c r="H312" s="1" t="str" cm="1">
        <f t="array" ref="H312">_xlfn.IFS(
OR(E312="Type 2 Diabetes",E312="Essential Hypertension",E312="Angina Pectoris",E312="Bronchial Asthma",E312="Cardiac Arrhythmia"), D312+30,
OR(E312="Gastritis",E312="Osteoarthritis",E312="Bronchitis",E312="Iron Deficiency Anemia"), D312+14,
OR(E312="Lumbar Strain",E312="Migraine Headache"), D312+7,
OR(E312="Viral Fever",E312="General Checkup","Routine Health Check"), "",
TRUE,""
)</f>
        <v/>
      </c>
      <c r="I312" s="1" t="str">
        <f t="shared" si="8"/>
        <v>No Follow-up Required</v>
      </c>
      <c r="J312" t="str">
        <f>TEXT(Table8[[#This Row],[visit_Date]],"DDDD")</f>
        <v>Wednesday</v>
      </c>
      <c r="K312" t="str">
        <f>TEXT(Table8[[#This Row],[visit_Date]],"mmmm")</f>
        <v>January</v>
      </c>
      <c r="L312" t="str">
        <f t="shared" si="9"/>
        <v>Winter</v>
      </c>
    </row>
    <row r="313" spans="1:12" x14ac:dyDescent="0.25">
      <c r="A313">
        <v>312</v>
      </c>
      <c r="B313">
        <v>1002</v>
      </c>
      <c r="C313">
        <v>1004</v>
      </c>
      <c r="D313" s="1">
        <v>45762</v>
      </c>
      <c r="E313" t="s">
        <v>319</v>
      </c>
      <c r="F313" t="s">
        <v>320</v>
      </c>
      <c r="G313" t="str">
        <f>_xlfn.XLOOKUP(TRIM(E314),MedicineInfo!A:A,MedicineInfo!B:B,"Not Found")</f>
        <v>Paracetamol</v>
      </c>
      <c r="H313" s="1" cm="1">
        <f t="array" ref="H313">_xlfn.IFS(
OR(E313="Type 2 Diabetes",E313="Essential Hypertension",E313="Angina Pectoris",E313="Bronchial Asthma",E313="Cardiac Arrhythmia"), D313+30,
OR(E313="Gastritis",E313="Osteoarthritis",E313="Bronchitis",E313="Iron Deficiency Anemia"), D313+14,
OR(E313="Lumbar Strain",E313="Migraine Headache"), D313+7,
OR(E313="Viral Fever",E313="General Checkup","Routine Health Check"), "",
TRUE,""
)</f>
        <v>45792</v>
      </c>
      <c r="I313" s="1" t="str">
        <f t="shared" si="8"/>
        <v>Follow-up Scheduled</v>
      </c>
      <c r="J313" t="str">
        <f>TEXT(Table8[[#This Row],[visit_Date]],"DDDD")</f>
        <v>Tuesday</v>
      </c>
      <c r="K313" t="str">
        <f>TEXT(Table8[[#This Row],[visit_Date]],"mmmm")</f>
        <v>April</v>
      </c>
      <c r="L313" t="str">
        <f t="shared" si="9"/>
        <v>Summer</v>
      </c>
    </row>
    <row r="314" spans="1:12" x14ac:dyDescent="0.25">
      <c r="A314">
        <v>313</v>
      </c>
      <c r="B314">
        <v>1027</v>
      </c>
      <c r="C314">
        <v>387</v>
      </c>
      <c r="D314" s="1">
        <v>45868</v>
      </c>
      <c r="E314" t="s">
        <v>326</v>
      </c>
      <c r="F314" t="s">
        <v>327</v>
      </c>
      <c r="G314" t="str">
        <f>_xlfn.XLOOKUP(TRIM(E315),MedicineInfo!A:A,MedicineInfo!B:B,"Not Found")</f>
        <v>Salbutamol Inhaler</v>
      </c>
      <c r="H314" s="1" t="str" cm="1">
        <f t="array" ref="H314">_xlfn.IFS(
OR(E314="Type 2 Diabetes",E314="Essential Hypertension",E314="Angina Pectoris",E314="Bronchial Asthma",E314="Cardiac Arrhythmia"), D314+30,
OR(E314="Gastritis",E314="Osteoarthritis",E314="Bronchitis",E314="Iron Deficiency Anemia"), D314+14,
OR(E314="Lumbar Strain",E314="Migraine Headache"), D314+7,
OR(E314="Viral Fever",E314="General Checkup","Routine Health Check"), "",
TRUE,""
)</f>
        <v/>
      </c>
      <c r="I314" s="1" t="str">
        <f t="shared" si="8"/>
        <v>No Follow-up Required</v>
      </c>
      <c r="J314" t="str">
        <f>TEXT(Table8[[#This Row],[visit_Date]],"DDDD")</f>
        <v>Wednesday</v>
      </c>
      <c r="K314" t="str">
        <f>TEXT(Table8[[#This Row],[visit_Date]],"mmmm")</f>
        <v>July</v>
      </c>
      <c r="L314" t="str">
        <f t="shared" si="9"/>
        <v>Monsoon</v>
      </c>
    </row>
    <row r="315" spans="1:12" x14ac:dyDescent="0.25">
      <c r="A315">
        <v>314</v>
      </c>
      <c r="B315">
        <v>1020</v>
      </c>
      <c r="C315">
        <v>1079</v>
      </c>
      <c r="D315" s="1">
        <v>45799</v>
      </c>
      <c r="E315" t="s">
        <v>324</v>
      </c>
      <c r="F315" t="s">
        <v>325</v>
      </c>
      <c r="G315" t="str">
        <f>_xlfn.XLOOKUP(TRIM(E316),MedicineInfo!A:A,MedicineInfo!B:B,"Not Found")</f>
        <v>Sumatriptan</v>
      </c>
      <c r="H315" s="1" cm="1">
        <f t="array" ref="H315">_xlfn.IFS(
OR(E315="Type 2 Diabetes",E315="Essential Hypertension",E315="Angina Pectoris",E315="Bronchial Asthma",E315="Cardiac Arrhythmia"), D315+30,
OR(E315="Gastritis",E315="Osteoarthritis",E315="Bronchitis",E315="Iron Deficiency Anemia"), D315+14,
OR(E315="Lumbar Strain",E315="Migraine Headache"), D315+7,
OR(E315="Viral Fever",E315="General Checkup","Routine Health Check"), "",
TRUE,""
)</f>
        <v>45829</v>
      </c>
      <c r="I315" s="1" t="str">
        <f t="shared" si="8"/>
        <v>Follow-up Scheduled</v>
      </c>
      <c r="J315" t="str">
        <f>TEXT(Table8[[#This Row],[visit_Date]],"DDDD")</f>
        <v>Thursday</v>
      </c>
      <c r="K315" t="str">
        <f>TEXT(Table8[[#This Row],[visit_Date]],"mmmm")</f>
        <v>May</v>
      </c>
      <c r="L315" t="str">
        <f t="shared" si="9"/>
        <v>Summer</v>
      </c>
    </row>
    <row r="316" spans="1:12" x14ac:dyDescent="0.25">
      <c r="A316">
        <v>315</v>
      </c>
      <c r="B316">
        <v>1008</v>
      </c>
      <c r="C316">
        <v>735</v>
      </c>
      <c r="D316" s="1">
        <v>45694</v>
      </c>
      <c r="E316" t="s">
        <v>315</v>
      </c>
      <c r="F316" t="s">
        <v>316</v>
      </c>
      <c r="G316" t="str">
        <f>_xlfn.XLOOKUP(TRIM(E317),MedicineInfo!A:A,MedicineInfo!B:B,"Not Found")</f>
        <v>Nitroglycerin</v>
      </c>
      <c r="H316" s="1" cm="1">
        <f t="array" ref="H316">_xlfn.IFS(
OR(E316="Type 2 Diabetes",E316="Essential Hypertension",E316="Angina Pectoris",E316="Bronchial Asthma",E316="Cardiac Arrhythmia"), D316+30,
OR(E316="Gastritis",E316="Osteoarthritis",E316="Bronchitis",E316="Iron Deficiency Anemia"), D316+14,
OR(E316="Lumbar Strain",E316="Migraine Headache"), D316+7,
OR(E316="Viral Fever",E316="General Checkup","Routine Health Check"), "",
TRUE,""
)</f>
        <v>45701</v>
      </c>
      <c r="I316" s="1" t="str">
        <f t="shared" si="8"/>
        <v>Follow-up Scheduled</v>
      </c>
      <c r="J316" t="str">
        <f>TEXT(Table8[[#This Row],[visit_Date]],"DDDD")</f>
        <v>Thursday</v>
      </c>
      <c r="K316" t="str">
        <f>TEXT(Table8[[#This Row],[visit_Date]],"mmmm")</f>
        <v>February</v>
      </c>
      <c r="L316" t="str">
        <f t="shared" si="9"/>
        <v>Winter</v>
      </c>
    </row>
    <row r="317" spans="1:12" x14ac:dyDescent="0.25">
      <c r="A317">
        <v>316</v>
      </c>
      <c r="B317">
        <v>1001</v>
      </c>
      <c r="C317">
        <v>1226</v>
      </c>
      <c r="D317" s="1">
        <v>45860</v>
      </c>
      <c r="E317" t="s">
        <v>322</v>
      </c>
      <c r="F317" t="s">
        <v>323</v>
      </c>
      <c r="G317" t="str">
        <f>_xlfn.XLOOKUP(TRIM(E318),MedicineInfo!A:A,MedicineInfo!B:B,"Not Found")</f>
        <v>Paracetamol</v>
      </c>
      <c r="H317" s="1" cm="1">
        <f t="array" ref="H317">_xlfn.IFS(
OR(E317="Type 2 Diabetes",E317="Essential Hypertension",E317="Angina Pectoris",E317="Bronchial Asthma",E317="Cardiac Arrhythmia"), D317+30,
OR(E317="Gastritis",E317="Osteoarthritis",E317="Bronchitis",E317="Iron Deficiency Anemia"), D317+14,
OR(E317="Lumbar Strain",E317="Migraine Headache"), D317+7,
OR(E317="Viral Fever",E317="General Checkup","Routine Health Check"), "",
TRUE,""
)</f>
        <v>45890</v>
      </c>
      <c r="I317" s="1" t="str">
        <f t="shared" si="8"/>
        <v>Follow-up Scheduled</v>
      </c>
      <c r="J317" t="str">
        <f>TEXT(Table8[[#This Row],[visit_Date]],"DDDD")</f>
        <v>Tuesday</v>
      </c>
      <c r="K317" t="str">
        <f>TEXT(Table8[[#This Row],[visit_Date]],"mmmm")</f>
        <v>July</v>
      </c>
      <c r="L317" t="str">
        <f t="shared" si="9"/>
        <v>Monsoon</v>
      </c>
    </row>
    <row r="318" spans="1:12" x14ac:dyDescent="0.25">
      <c r="A318">
        <v>317</v>
      </c>
      <c r="B318">
        <v>1027</v>
      </c>
      <c r="C318">
        <v>712</v>
      </c>
      <c r="D318" s="1">
        <v>45824</v>
      </c>
      <c r="E318" t="s">
        <v>326</v>
      </c>
      <c r="F318" t="s">
        <v>327</v>
      </c>
      <c r="G318" t="str">
        <f>_xlfn.XLOOKUP(TRIM(E319),MedicineInfo!A:A,MedicineInfo!B:B,"Not Found")</f>
        <v>Amlodipine</v>
      </c>
      <c r="H318" s="1" t="str" cm="1">
        <f t="array" ref="H318">_xlfn.IFS(
OR(E318="Type 2 Diabetes",E318="Essential Hypertension",E318="Angina Pectoris",E318="Bronchial Asthma",E318="Cardiac Arrhythmia"), D318+30,
OR(E318="Gastritis",E318="Osteoarthritis",E318="Bronchitis",E318="Iron Deficiency Anemia"), D318+14,
OR(E318="Lumbar Strain",E318="Migraine Headache"), D318+7,
OR(E318="Viral Fever",E318="General Checkup","Routine Health Check"), "",
TRUE,""
)</f>
        <v/>
      </c>
      <c r="I318" s="1" t="str">
        <f t="shared" si="8"/>
        <v>No Follow-up Required</v>
      </c>
      <c r="J318" t="str">
        <f>TEXT(Table8[[#This Row],[visit_Date]],"DDDD")</f>
        <v>Monday</v>
      </c>
      <c r="K318" t="str">
        <f>TEXT(Table8[[#This Row],[visit_Date]],"mmmm")</f>
        <v>June</v>
      </c>
      <c r="L318" t="str">
        <f t="shared" si="9"/>
        <v>Monsoon</v>
      </c>
    </row>
    <row r="319" spans="1:12" x14ac:dyDescent="0.25">
      <c r="A319">
        <v>318</v>
      </c>
      <c r="B319">
        <v>1001</v>
      </c>
      <c r="C319">
        <v>517</v>
      </c>
      <c r="D319" s="1">
        <v>45868</v>
      </c>
      <c r="E319" t="s">
        <v>319</v>
      </c>
      <c r="F319" t="s">
        <v>320</v>
      </c>
      <c r="G319" t="str">
        <f>_xlfn.XLOOKUP(TRIM(E320),MedicineInfo!A:A,MedicineInfo!B:B,"Not Found")</f>
        <v>Sumatriptan</v>
      </c>
      <c r="H319" s="1" cm="1">
        <f t="array" ref="H319">_xlfn.IFS(
OR(E319="Type 2 Diabetes",E319="Essential Hypertension",E319="Angina Pectoris",E319="Bronchial Asthma",E319="Cardiac Arrhythmia"), D319+30,
OR(E319="Gastritis",E319="Osteoarthritis",E319="Bronchitis",E319="Iron Deficiency Anemia"), D319+14,
OR(E319="Lumbar Strain",E319="Migraine Headache"), D319+7,
OR(E319="Viral Fever",E319="General Checkup","Routine Health Check"), "",
TRUE,""
)</f>
        <v>45898</v>
      </c>
      <c r="I319" s="1" t="str">
        <f t="shared" si="8"/>
        <v>Follow-up Scheduled</v>
      </c>
      <c r="J319" t="str">
        <f>TEXT(Table8[[#This Row],[visit_Date]],"DDDD")</f>
        <v>Wednesday</v>
      </c>
      <c r="K319" t="str">
        <f>TEXT(Table8[[#This Row],[visit_Date]],"mmmm")</f>
        <v>July</v>
      </c>
      <c r="L319" t="str">
        <f t="shared" si="9"/>
        <v>Monsoon</v>
      </c>
    </row>
    <row r="320" spans="1:12" x14ac:dyDescent="0.25">
      <c r="A320">
        <v>319</v>
      </c>
      <c r="B320">
        <v>1009</v>
      </c>
      <c r="C320">
        <v>808</v>
      </c>
      <c r="D320" s="1">
        <v>45772</v>
      </c>
      <c r="E320" t="s">
        <v>315</v>
      </c>
      <c r="F320" t="s">
        <v>316</v>
      </c>
      <c r="G320" t="str">
        <f>_xlfn.XLOOKUP(TRIM(E321),MedicineInfo!A:A,MedicineInfo!B:B,"Not Found")</f>
        <v>Metformin</v>
      </c>
      <c r="H320" s="1" cm="1">
        <f t="array" ref="H320">_xlfn.IFS(
OR(E320="Type 2 Diabetes",E320="Essential Hypertension",E320="Angina Pectoris",E320="Bronchial Asthma",E320="Cardiac Arrhythmia"), D320+30,
OR(E320="Gastritis",E320="Osteoarthritis",E320="Bronchitis",E320="Iron Deficiency Anemia"), D320+14,
OR(E320="Lumbar Strain",E320="Migraine Headache"), D320+7,
OR(E320="Viral Fever",E320="General Checkup","Routine Health Check"), "",
TRUE,""
)</f>
        <v>45779</v>
      </c>
      <c r="I320" s="1" t="str">
        <f t="shared" si="8"/>
        <v>Follow-up Scheduled</v>
      </c>
      <c r="J320" t="str">
        <f>TEXT(Table8[[#This Row],[visit_Date]],"DDDD")</f>
        <v>Friday</v>
      </c>
      <c r="K320" t="str">
        <f>TEXT(Table8[[#This Row],[visit_Date]],"mmmm")</f>
        <v>April</v>
      </c>
      <c r="L320" t="str">
        <f t="shared" si="9"/>
        <v>Summer</v>
      </c>
    </row>
    <row r="321" spans="1:12" x14ac:dyDescent="0.25">
      <c r="A321">
        <v>320</v>
      </c>
      <c r="B321">
        <v>1024</v>
      </c>
      <c r="C321">
        <v>813</v>
      </c>
      <c r="D321" s="1">
        <v>45659</v>
      </c>
      <c r="E321" t="s">
        <v>317</v>
      </c>
      <c r="F321" t="s">
        <v>318</v>
      </c>
      <c r="G321" t="str">
        <f>_xlfn.XLOOKUP(TRIM(E322),MedicineInfo!A:A,MedicineInfo!B:B,"Not Found")</f>
        <v>Nitroglycerin</v>
      </c>
      <c r="H321" s="1" cm="1">
        <f t="array" ref="H321">_xlfn.IFS(
OR(E321="Type 2 Diabetes",E321="Essential Hypertension",E321="Angina Pectoris",E321="Bronchial Asthma",E321="Cardiac Arrhythmia"), D321+30,
OR(E321="Gastritis",E321="Osteoarthritis",E321="Bronchitis",E321="Iron Deficiency Anemia"), D321+14,
OR(E321="Lumbar Strain",E321="Migraine Headache"), D321+7,
OR(E321="Viral Fever",E321="General Checkup","Routine Health Check"), "",
TRUE,""
)</f>
        <v>45689</v>
      </c>
      <c r="I321" s="1" t="str">
        <f t="shared" si="8"/>
        <v>Follow-up Scheduled</v>
      </c>
      <c r="J321" t="str">
        <f>TEXT(Table8[[#This Row],[visit_Date]],"DDDD")</f>
        <v>Thursday</v>
      </c>
      <c r="K321" t="str">
        <f>TEXT(Table8[[#This Row],[visit_Date]],"mmmm")</f>
        <v>January</v>
      </c>
      <c r="L321" t="str">
        <f t="shared" si="9"/>
        <v>Winter</v>
      </c>
    </row>
    <row r="322" spans="1:12" x14ac:dyDescent="0.25">
      <c r="A322">
        <v>321</v>
      </c>
      <c r="B322">
        <v>1027</v>
      </c>
      <c r="C322">
        <v>1539</v>
      </c>
      <c r="D322" s="1">
        <v>45738</v>
      </c>
      <c r="E322" t="s">
        <v>322</v>
      </c>
      <c r="F322" t="s">
        <v>323</v>
      </c>
      <c r="G322" t="str">
        <f>_xlfn.XLOOKUP(TRIM(E323),MedicineInfo!A:A,MedicineInfo!B:B,"Not Found")</f>
        <v>Multivitamin</v>
      </c>
      <c r="H322" s="1" cm="1">
        <f t="array" ref="H322">_xlfn.IFS(
OR(E322="Type 2 Diabetes",E322="Essential Hypertension",E322="Angina Pectoris",E322="Bronchial Asthma",E322="Cardiac Arrhythmia"), D322+30,
OR(E322="Gastritis",E322="Osteoarthritis",E322="Bronchitis",E322="Iron Deficiency Anemia"), D322+14,
OR(E322="Lumbar Strain",E322="Migraine Headache"), D322+7,
OR(E322="Viral Fever",E322="General Checkup","Routine Health Check"), "",
TRUE,""
)</f>
        <v>45768</v>
      </c>
      <c r="I322" s="1" t="str">
        <f t="shared" ref="I322:I385" si="10">IF(H322="","No Follow-up Required","Follow-up Scheduled")</f>
        <v>Follow-up Scheduled</v>
      </c>
      <c r="J322" t="str">
        <f>TEXT(Table8[[#This Row],[visit_Date]],"DDDD")</f>
        <v>Saturday</v>
      </c>
      <c r="K322" t="str">
        <f>TEXT(Table8[[#This Row],[visit_Date]],"mmmm")</f>
        <v>March</v>
      </c>
      <c r="L322" t="str">
        <f t="shared" ref="L322:L385" si="11">IF(OR(MONTH(D322)=12,MONTH(D322)&lt;=2),"Winter",
IF(MONTH(D322)&lt;=5,"Summer","Monsoon"))</f>
        <v>Summer</v>
      </c>
    </row>
    <row r="323" spans="1:12" x14ac:dyDescent="0.25">
      <c r="A323">
        <v>322</v>
      </c>
      <c r="B323">
        <v>1027</v>
      </c>
      <c r="C323">
        <v>146</v>
      </c>
      <c r="D323" s="1">
        <v>45694</v>
      </c>
      <c r="E323" t="s">
        <v>24</v>
      </c>
      <c r="F323" t="s">
        <v>321</v>
      </c>
      <c r="G323" t="str">
        <f>_xlfn.XLOOKUP(TRIM(E324),MedicineInfo!A:A,MedicineInfo!B:B,"Not Found")</f>
        <v>Metformin</v>
      </c>
      <c r="H323" s="1" t="str" cm="1">
        <f t="array" ref="H323">_xlfn.IFS(
OR(E323="Type 2 Diabetes",E323="Essential Hypertension",E323="Angina Pectoris",E323="Bronchial Asthma",E323="Cardiac Arrhythmia"), D323+30,
OR(E323="Gastritis",E323="Osteoarthritis",E323="Bronchitis",E323="Iron Deficiency Anemia"), D323+14,
OR(E323="Lumbar Strain",E323="Migraine Headache"), D323+7,
OR(E323="Viral Fever",E323="General Checkup","Routine Health Check"), "",
TRUE,""
)</f>
        <v/>
      </c>
      <c r="I323" s="1" t="str">
        <f t="shared" si="10"/>
        <v>No Follow-up Required</v>
      </c>
      <c r="J323" t="str">
        <f>TEXT(Table8[[#This Row],[visit_Date]],"DDDD")</f>
        <v>Thursday</v>
      </c>
      <c r="K323" t="str">
        <f>TEXT(Table8[[#This Row],[visit_Date]],"mmmm")</f>
        <v>February</v>
      </c>
      <c r="L323" t="str">
        <f t="shared" si="11"/>
        <v>Winter</v>
      </c>
    </row>
    <row r="324" spans="1:12" x14ac:dyDescent="0.25">
      <c r="A324">
        <v>323</v>
      </c>
      <c r="B324">
        <v>1024</v>
      </c>
      <c r="C324">
        <v>1258</v>
      </c>
      <c r="D324" s="1">
        <v>45754</v>
      </c>
      <c r="E324" t="s">
        <v>317</v>
      </c>
      <c r="F324" t="s">
        <v>318</v>
      </c>
      <c r="G324" t="str">
        <f>_xlfn.XLOOKUP(TRIM(E325),MedicineInfo!A:A,MedicineInfo!B:B,"Not Found")</f>
        <v>Paracetamol</v>
      </c>
      <c r="H324" s="1" cm="1">
        <f t="array" ref="H324">_xlfn.IFS(
OR(E324="Type 2 Diabetes",E324="Essential Hypertension",E324="Angina Pectoris",E324="Bronchial Asthma",E324="Cardiac Arrhythmia"), D324+30,
OR(E324="Gastritis",E324="Osteoarthritis",E324="Bronchitis",E324="Iron Deficiency Anemia"), D324+14,
OR(E324="Lumbar Strain",E324="Migraine Headache"), D324+7,
OR(E324="Viral Fever",E324="General Checkup","Routine Health Check"), "",
TRUE,""
)</f>
        <v>45784</v>
      </c>
      <c r="I324" s="1" t="str">
        <f t="shared" si="10"/>
        <v>Follow-up Scheduled</v>
      </c>
      <c r="J324" t="str">
        <f>TEXT(Table8[[#This Row],[visit_Date]],"DDDD")</f>
        <v>Monday</v>
      </c>
      <c r="K324" t="str">
        <f>TEXT(Table8[[#This Row],[visit_Date]],"mmmm")</f>
        <v>April</v>
      </c>
      <c r="L324" t="str">
        <f t="shared" si="11"/>
        <v>Summer</v>
      </c>
    </row>
    <row r="325" spans="1:12" x14ac:dyDescent="0.25">
      <c r="A325">
        <v>324</v>
      </c>
      <c r="B325">
        <v>1027</v>
      </c>
      <c r="C325">
        <v>1511</v>
      </c>
      <c r="D325" s="1">
        <v>45792</v>
      </c>
      <c r="E325" t="s">
        <v>326</v>
      </c>
      <c r="F325" t="s">
        <v>327</v>
      </c>
      <c r="G325" t="str">
        <f>_xlfn.XLOOKUP(TRIM(E326),MedicineInfo!A:A,MedicineInfo!B:B,"Not Found")</f>
        <v>Multivitamin</v>
      </c>
      <c r="H325" s="1" t="str" cm="1">
        <f t="array" ref="H325">_xlfn.IFS(
OR(E325="Type 2 Diabetes",E325="Essential Hypertension",E325="Angina Pectoris",E325="Bronchial Asthma",E325="Cardiac Arrhythmia"), D325+30,
OR(E325="Gastritis",E325="Osteoarthritis",E325="Bronchitis",E325="Iron Deficiency Anemia"), D325+14,
OR(E325="Lumbar Strain",E325="Migraine Headache"), D325+7,
OR(E325="Viral Fever",E325="General Checkup","Routine Health Check"), "",
TRUE,""
)</f>
        <v/>
      </c>
      <c r="I325" s="1" t="str">
        <f t="shared" si="10"/>
        <v>No Follow-up Required</v>
      </c>
      <c r="J325" t="str">
        <f>TEXT(Table8[[#This Row],[visit_Date]],"DDDD")</f>
        <v>Thursday</v>
      </c>
      <c r="K325" t="str">
        <f>TEXT(Table8[[#This Row],[visit_Date]],"mmmm")</f>
        <v>May</v>
      </c>
      <c r="L325" t="str">
        <f t="shared" si="11"/>
        <v>Summer</v>
      </c>
    </row>
    <row r="326" spans="1:12" x14ac:dyDescent="0.25">
      <c r="A326">
        <v>325</v>
      </c>
      <c r="B326">
        <v>1027</v>
      </c>
      <c r="C326">
        <v>233</v>
      </c>
      <c r="D326" s="1">
        <v>45758</v>
      </c>
      <c r="E326" t="s">
        <v>24</v>
      </c>
      <c r="F326" t="s">
        <v>321</v>
      </c>
      <c r="G326" t="str">
        <f>_xlfn.XLOOKUP(TRIM(E327),MedicineInfo!A:A,MedicineInfo!B:B,"Not Found")</f>
        <v>Salbutamol Inhaler</v>
      </c>
      <c r="H326" s="1" t="str" cm="1">
        <f t="array" ref="H326">_xlfn.IFS(
OR(E326="Type 2 Diabetes",E326="Essential Hypertension",E326="Angina Pectoris",E326="Bronchial Asthma",E326="Cardiac Arrhythmia"), D326+30,
OR(E326="Gastritis",E326="Osteoarthritis",E326="Bronchitis",E326="Iron Deficiency Anemia"), D326+14,
OR(E326="Lumbar Strain",E326="Migraine Headache"), D326+7,
OR(E326="Viral Fever",E326="General Checkup","Routine Health Check"), "",
TRUE,""
)</f>
        <v/>
      </c>
      <c r="I326" s="1" t="str">
        <f t="shared" si="10"/>
        <v>No Follow-up Required</v>
      </c>
      <c r="J326" t="str">
        <f>TEXT(Table8[[#This Row],[visit_Date]],"DDDD")</f>
        <v>Friday</v>
      </c>
      <c r="K326" t="str">
        <f>TEXT(Table8[[#This Row],[visit_Date]],"mmmm")</f>
        <v>April</v>
      </c>
      <c r="L326" t="str">
        <f t="shared" si="11"/>
        <v>Summer</v>
      </c>
    </row>
    <row r="327" spans="1:12" x14ac:dyDescent="0.25">
      <c r="A327">
        <v>326</v>
      </c>
      <c r="B327">
        <v>1020</v>
      </c>
      <c r="C327">
        <v>1168</v>
      </c>
      <c r="D327" s="1">
        <v>45747</v>
      </c>
      <c r="E327" t="s">
        <v>324</v>
      </c>
      <c r="F327" t="s">
        <v>325</v>
      </c>
      <c r="G327" t="str">
        <f>_xlfn.XLOOKUP(TRIM(E328),MedicineInfo!A:A,MedicineInfo!B:B,"Not Found")</f>
        <v>Metformin</v>
      </c>
      <c r="H327" s="1" cm="1">
        <f t="array" ref="H327">_xlfn.IFS(
OR(E327="Type 2 Diabetes",E327="Essential Hypertension",E327="Angina Pectoris",E327="Bronchial Asthma",E327="Cardiac Arrhythmia"), D327+30,
OR(E327="Gastritis",E327="Osteoarthritis",E327="Bronchitis",E327="Iron Deficiency Anemia"), D327+14,
OR(E327="Lumbar Strain",E327="Migraine Headache"), D327+7,
OR(E327="Viral Fever",E327="General Checkup","Routine Health Check"), "",
TRUE,""
)</f>
        <v>45777</v>
      </c>
      <c r="I327" s="1" t="str">
        <f t="shared" si="10"/>
        <v>Follow-up Scheduled</v>
      </c>
      <c r="J327" t="str">
        <f>TEXT(Table8[[#This Row],[visit_Date]],"DDDD")</f>
        <v>Monday</v>
      </c>
      <c r="K327" t="str">
        <f>TEXT(Table8[[#This Row],[visit_Date]],"mmmm")</f>
        <v>March</v>
      </c>
      <c r="L327" t="str">
        <f t="shared" si="11"/>
        <v>Summer</v>
      </c>
    </row>
    <row r="328" spans="1:12" x14ac:dyDescent="0.25">
      <c r="A328">
        <v>327</v>
      </c>
      <c r="B328">
        <v>1024</v>
      </c>
      <c r="C328">
        <v>1455</v>
      </c>
      <c r="D328" s="1">
        <v>45682</v>
      </c>
      <c r="E328" t="s">
        <v>317</v>
      </c>
      <c r="F328" t="s">
        <v>318</v>
      </c>
      <c r="G328" t="str">
        <f>_xlfn.XLOOKUP(TRIM(E329),MedicineInfo!A:A,MedicineInfo!B:B,"Not Found")</f>
        <v>Sumatriptan</v>
      </c>
      <c r="H328" s="1" cm="1">
        <f t="array" ref="H328">_xlfn.IFS(
OR(E328="Type 2 Diabetes",E328="Essential Hypertension",E328="Angina Pectoris",E328="Bronchial Asthma",E328="Cardiac Arrhythmia"), D328+30,
OR(E328="Gastritis",E328="Osteoarthritis",E328="Bronchitis",E328="Iron Deficiency Anemia"), D328+14,
OR(E328="Lumbar Strain",E328="Migraine Headache"), D328+7,
OR(E328="Viral Fever",E328="General Checkup","Routine Health Check"), "",
TRUE,""
)</f>
        <v>45712</v>
      </c>
      <c r="I328" s="1" t="str">
        <f t="shared" si="10"/>
        <v>Follow-up Scheduled</v>
      </c>
      <c r="J328" t="str">
        <f>TEXT(Table8[[#This Row],[visit_Date]],"DDDD")</f>
        <v>Saturday</v>
      </c>
      <c r="K328" t="str">
        <f>TEXT(Table8[[#This Row],[visit_Date]],"mmmm")</f>
        <v>January</v>
      </c>
      <c r="L328" t="str">
        <f t="shared" si="11"/>
        <v>Winter</v>
      </c>
    </row>
    <row r="329" spans="1:12" x14ac:dyDescent="0.25">
      <c r="A329">
        <v>328</v>
      </c>
      <c r="B329">
        <v>1008</v>
      </c>
      <c r="C329">
        <v>139</v>
      </c>
      <c r="D329" s="1">
        <v>45767</v>
      </c>
      <c r="E329" t="s">
        <v>315</v>
      </c>
      <c r="F329" t="s">
        <v>316</v>
      </c>
      <c r="G329" t="str">
        <f>_xlfn.XLOOKUP(TRIM(E330),MedicineInfo!A:A,MedicineInfo!B:B,"Not Found")</f>
        <v>Salbutamol Inhaler</v>
      </c>
      <c r="H329" s="1" cm="1">
        <f t="array" ref="H329">_xlfn.IFS(
OR(E329="Type 2 Diabetes",E329="Essential Hypertension",E329="Angina Pectoris",E329="Bronchial Asthma",E329="Cardiac Arrhythmia"), D329+30,
OR(E329="Gastritis",E329="Osteoarthritis",E329="Bronchitis",E329="Iron Deficiency Anemia"), D329+14,
OR(E329="Lumbar Strain",E329="Migraine Headache"), D329+7,
OR(E329="Viral Fever",E329="General Checkup","Routine Health Check"), "",
TRUE,""
)</f>
        <v>45774</v>
      </c>
      <c r="I329" s="1" t="str">
        <f t="shared" si="10"/>
        <v>Follow-up Scheduled</v>
      </c>
      <c r="J329" t="str">
        <f>TEXT(Table8[[#This Row],[visit_Date]],"DDDD")</f>
        <v>Sunday</v>
      </c>
      <c r="K329" t="str">
        <f>TEXT(Table8[[#This Row],[visit_Date]],"mmmm")</f>
        <v>April</v>
      </c>
      <c r="L329" t="str">
        <f t="shared" si="11"/>
        <v>Summer</v>
      </c>
    </row>
    <row r="330" spans="1:12" x14ac:dyDescent="0.25">
      <c r="A330">
        <v>329</v>
      </c>
      <c r="B330">
        <v>1020</v>
      </c>
      <c r="C330">
        <v>990</v>
      </c>
      <c r="D330" s="1">
        <v>45783</v>
      </c>
      <c r="E330" t="s">
        <v>324</v>
      </c>
      <c r="F330" t="s">
        <v>325</v>
      </c>
      <c r="G330" t="str">
        <f>_xlfn.XLOOKUP(TRIM(E331),MedicineInfo!A:A,MedicineInfo!B:B,"Not Found")</f>
        <v>Salbutamol Inhaler</v>
      </c>
      <c r="H330" s="1" cm="1">
        <f t="array" ref="H330">_xlfn.IFS(
OR(E330="Type 2 Diabetes",E330="Essential Hypertension",E330="Angina Pectoris",E330="Bronchial Asthma",E330="Cardiac Arrhythmia"), D330+30,
OR(E330="Gastritis",E330="Osteoarthritis",E330="Bronchitis",E330="Iron Deficiency Anemia"), D330+14,
OR(E330="Lumbar Strain",E330="Migraine Headache"), D330+7,
OR(E330="Viral Fever",E330="General Checkup","Routine Health Check"), "",
TRUE,""
)</f>
        <v>45813</v>
      </c>
      <c r="I330" s="1" t="str">
        <f t="shared" si="10"/>
        <v>Follow-up Scheduled</v>
      </c>
      <c r="J330" t="str">
        <f>TEXT(Table8[[#This Row],[visit_Date]],"DDDD")</f>
        <v>Tuesday</v>
      </c>
      <c r="K330" t="str">
        <f>TEXT(Table8[[#This Row],[visit_Date]],"mmmm")</f>
        <v>May</v>
      </c>
      <c r="L330" t="str">
        <f t="shared" si="11"/>
        <v>Summer</v>
      </c>
    </row>
    <row r="331" spans="1:12" x14ac:dyDescent="0.25">
      <c r="A331">
        <v>330</v>
      </c>
      <c r="B331">
        <v>1020</v>
      </c>
      <c r="C331">
        <v>296</v>
      </c>
      <c r="D331" s="1">
        <v>45757</v>
      </c>
      <c r="E331" t="s">
        <v>324</v>
      </c>
      <c r="F331" t="s">
        <v>325</v>
      </c>
      <c r="G331" t="str">
        <f>_xlfn.XLOOKUP(TRIM(E332),MedicineInfo!A:A,MedicineInfo!B:B,"Not Found")</f>
        <v>Diclofenac</v>
      </c>
      <c r="H331" s="1" cm="1">
        <f t="array" ref="H331">_xlfn.IFS(
OR(E331="Type 2 Diabetes",E331="Essential Hypertension",E331="Angina Pectoris",E331="Bronchial Asthma",E331="Cardiac Arrhythmia"), D331+30,
OR(E331="Gastritis",E331="Osteoarthritis",E331="Bronchitis",E331="Iron Deficiency Anemia"), D331+14,
OR(E331="Lumbar Strain",E331="Migraine Headache"), D331+7,
OR(E331="Viral Fever",E331="General Checkup","Routine Health Check"), "",
TRUE,""
)</f>
        <v>45787</v>
      </c>
      <c r="I331" s="1" t="str">
        <f t="shared" si="10"/>
        <v>Follow-up Scheduled</v>
      </c>
      <c r="J331" t="str">
        <f>TEXT(Table8[[#This Row],[visit_Date]],"DDDD")</f>
        <v>Thursday</v>
      </c>
      <c r="K331" t="str">
        <f>TEXT(Table8[[#This Row],[visit_Date]],"mmmm")</f>
        <v>April</v>
      </c>
      <c r="L331" t="str">
        <f t="shared" si="11"/>
        <v>Summer</v>
      </c>
    </row>
    <row r="332" spans="1:12" x14ac:dyDescent="0.25">
      <c r="A332">
        <v>331</v>
      </c>
      <c r="B332">
        <v>1027</v>
      </c>
      <c r="C332">
        <v>332</v>
      </c>
      <c r="D332" s="1">
        <v>45767</v>
      </c>
      <c r="E332" t="s">
        <v>313</v>
      </c>
      <c r="F332" t="s">
        <v>314</v>
      </c>
      <c r="G332" t="str">
        <f>_xlfn.XLOOKUP(TRIM(E333),MedicineInfo!A:A,MedicineInfo!B:B,"Not Found")</f>
        <v>Salbutamol Inhaler</v>
      </c>
      <c r="H332" s="1" cm="1">
        <f t="array" ref="H332">_xlfn.IFS(
OR(E332="Type 2 Diabetes",E332="Essential Hypertension",E332="Angina Pectoris",E332="Bronchial Asthma",E332="Cardiac Arrhythmia"), D332+30,
OR(E332="Gastritis",E332="Osteoarthritis",E332="Bronchitis",E332="Iron Deficiency Anemia"), D332+14,
OR(E332="Lumbar Strain",E332="Migraine Headache"), D332+7,
OR(E332="Viral Fever",E332="General Checkup","Routine Health Check"), "",
TRUE,""
)</f>
        <v>45774</v>
      </c>
      <c r="I332" s="1" t="str">
        <f t="shared" si="10"/>
        <v>Follow-up Scheduled</v>
      </c>
      <c r="J332" t="str">
        <f>TEXT(Table8[[#This Row],[visit_Date]],"DDDD")</f>
        <v>Sunday</v>
      </c>
      <c r="K332" t="str">
        <f>TEXT(Table8[[#This Row],[visit_Date]],"mmmm")</f>
        <v>April</v>
      </c>
      <c r="L332" t="str">
        <f t="shared" si="11"/>
        <v>Summer</v>
      </c>
    </row>
    <row r="333" spans="1:12" x14ac:dyDescent="0.25">
      <c r="A333">
        <v>332</v>
      </c>
      <c r="B333">
        <v>1020</v>
      </c>
      <c r="C333">
        <v>488</v>
      </c>
      <c r="D333" s="1">
        <v>45716</v>
      </c>
      <c r="E333" t="s">
        <v>324</v>
      </c>
      <c r="F333" t="s">
        <v>325</v>
      </c>
      <c r="G333" t="str">
        <f>_xlfn.XLOOKUP(TRIM(E334),MedicineInfo!A:A,MedicineInfo!B:B,"Not Found")</f>
        <v>Multivitamin</v>
      </c>
      <c r="H333" s="1" cm="1">
        <f t="array" ref="H333">_xlfn.IFS(
OR(E333="Type 2 Diabetes",E333="Essential Hypertension",E333="Angina Pectoris",E333="Bronchial Asthma",E333="Cardiac Arrhythmia"), D333+30,
OR(E333="Gastritis",E333="Osteoarthritis",E333="Bronchitis",E333="Iron Deficiency Anemia"), D333+14,
OR(E333="Lumbar Strain",E333="Migraine Headache"), D333+7,
OR(E333="Viral Fever",E333="General Checkup","Routine Health Check"), "",
TRUE,""
)</f>
        <v>45746</v>
      </c>
      <c r="I333" s="1" t="str">
        <f t="shared" si="10"/>
        <v>Follow-up Scheduled</v>
      </c>
      <c r="J333" t="str">
        <f>TEXT(Table8[[#This Row],[visit_Date]],"DDDD")</f>
        <v>Friday</v>
      </c>
      <c r="K333" t="str">
        <f>TEXT(Table8[[#This Row],[visit_Date]],"mmmm")</f>
        <v>February</v>
      </c>
      <c r="L333" t="str">
        <f t="shared" si="11"/>
        <v>Winter</v>
      </c>
    </row>
    <row r="334" spans="1:12" x14ac:dyDescent="0.25">
      <c r="A334">
        <v>333</v>
      </c>
      <c r="B334">
        <v>1027</v>
      </c>
      <c r="C334">
        <v>220</v>
      </c>
      <c r="D334" s="1">
        <v>45791</v>
      </c>
      <c r="E334" t="s">
        <v>24</v>
      </c>
      <c r="F334" t="s">
        <v>321</v>
      </c>
      <c r="G334" t="str">
        <f>_xlfn.XLOOKUP(TRIM(E335),MedicineInfo!A:A,MedicineInfo!B:B,"Not Found")</f>
        <v>Nitroglycerin</v>
      </c>
      <c r="H334" s="1" t="str" cm="1">
        <f t="array" ref="H334">_xlfn.IFS(
OR(E334="Type 2 Diabetes",E334="Essential Hypertension",E334="Angina Pectoris",E334="Bronchial Asthma",E334="Cardiac Arrhythmia"), D334+30,
OR(E334="Gastritis",E334="Osteoarthritis",E334="Bronchitis",E334="Iron Deficiency Anemia"), D334+14,
OR(E334="Lumbar Strain",E334="Migraine Headache"), D334+7,
OR(E334="Viral Fever",E334="General Checkup","Routine Health Check"), "",
TRUE,""
)</f>
        <v/>
      </c>
      <c r="I334" s="1" t="str">
        <f t="shared" si="10"/>
        <v>No Follow-up Required</v>
      </c>
      <c r="J334" t="str">
        <f>TEXT(Table8[[#This Row],[visit_Date]],"DDDD")</f>
        <v>Wednesday</v>
      </c>
      <c r="K334" t="str">
        <f>TEXT(Table8[[#This Row],[visit_Date]],"mmmm")</f>
        <v>May</v>
      </c>
      <c r="L334" t="str">
        <f t="shared" si="11"/>
        <v>Summer</v>
      </c>
    </row>
    <row r="335" spans="1:12" x14ac:dyDescent="0.25">
      <c r="A335">
        <v>334</v>
      </c>
      <c r="B335">
        <v>1001</v>
      </c>
      <c r="C335">
        <v>1275</v>
      </c>
      <c r="D335" s="1">
        <v>45672</v>
      </c>
      <c r="E335" t="s">
        <v>322</v>
      </c>
      <c r="F335" t="s">
        <v>323</v>
      </c>
      <c r="G335" t="str">
        <f>_xlfn.XLOOKUP(TRIM(E336),MedicineInfo!A:A,MedicineInfo!B:B,"Not Found")</f>
        <v>Paracetamol</v>
      </c>
      <c r="H335" s="1" cm="1">
        <f t="array" ref="H335">_xlfn.IFS(
OR(E335="Type 2 Diabetes",E335="Essential Hypertension",E335="Angina Pectoris",E335="Bronchial Asthma",E335="Cardiac Arrhythmia"), D335+30,
OR(E335="Gastritis",E335="Osteoarthritis",E335="Bronchitis",E335="Iron Deficiency Anemia"), D335+14,
OR(E335="Lumbar Strain",E335="Migraine Headache"), D335+7,
OR(E335="Viral Fever",E335="General Checkup","Routine Health Check"), "",
TRUE,""
)</f>
        <v>45702</v>
      </c>
      <c r="I335" s="1" t="str">
        <f t="shared" si="10"/>
        <v>Follow-up Scheduled</v>
      </c>
      <c r="J335" t="str">
        <f>TEXT(Table8[[#This Row],[visit_Date]],"DDDD")</f>
        <v>Wednesday</v>
      </c>
      <c r="K335" t="str">
        <f>TEXT(Table8[[#This Row],[visit_Date]],"mmmm")</f>
        <v>January</v>
      </c>
      <c r="L335" t="str">
        <f t="shared" si="11"/>
        <v>Winter</v>
      </c>
    </row>
    <row r="336" spans="1:12" x14ac:dyDescent="0.25">
      <c r="A336">
        <v>335</v>
      </c>
      <c r="B336">
        <v>1027</v>
      </c>
      <c r="C336">
        <v>1388</v>
      </c>
      <c r="D336" s="1">
        <v>45691</v>
      </c>
      <c r="E336" t="s">
        <v>326</v>
      </c>
      <c r="F336" t="s">
        <v>327</v>
      </c>
      <c r="G336" t="str">
        <f>_xlfn.XLOOKUP(TRIM(E337),MedicineInfo!A:A,MedicineInfo!B:B,"Not Found")</f>
        <v>Nitroglycerin</v>
      </c>
      <c r="H336" s="1" t="str" cm="1">
        <f t="array" ref="H336">_xlfn.IFS(
OR(E336="Type 2 Diabetes",E336="Essential Hypertension",E336="Angina Pectoris",E336="Bronchial Asthma",E336="Cardiac Arrhythmia"), D336+30,
OR(E336="Gastritis",E336="Osteoarthritis",E336="Bronchitis",E336="Iron Deficiency Anemia"), D336+14,
OR(E336="Lumbar Strain",E336="Migraine Headache"), D336+7,
OR(E336="Viral Fever",E336="General Checkup","Routine Health Check"), "",
TRUE,""
)</f>
        <v/>
      </c>
      <c r="I336" s="1" t="str">
        <f t="shared" si="10"/>
        <v>No Follow-up Required</v>
      </c>
      <c r="J336" t="str">
        <f>TEXT(Table8[[#This Row],[visit_Date]],"DDDD")</f>
        <v>Monday</v>
      </c>
      <c r="K336" t="str">
        <f>TEXT(Table8[[#This Row],[visit_Date]],"mmmm")</f>
        <v>February</v>
      </c>
      <c r="L336" t="str">
        <f t="shared" si="11"/>
        <v>Winter</v>
      </c>
    </row>
    <row r="337" spans="1:12" x14ac:dyDescent="0.25">
      <c r="A337">
        <v>336</v>
      </c>
      <c r="B337">
        <v>1027</v>
      </c>
      <c r="C337">
        <v>949</v>
      </c>
      <c r="D337" s="1">
        <v>45694</v>
      </c>
      <c r="E337" t="s">
        <v>322</v>
      </c>
      <c r="F337" t="s">
        <v>323</v>
      </c>
      <c r="G337" t="str">
        <f>_xlfn.XLOOKUP(TRIM(E338),MedicineInfo!A:A,MedicineInfo!B:B,"Not Found")</f>
        <v>Paracetamol</v>
      </c>
      <c r="H337" s="1" cm="1">
        <f t="array" ref="H337">_xlfn.IFS(
OR(E337="Type 2 Diabetes",E337="Essential Hypertension",E337="Angina Pectoris",E337="Bronchial Asthma",E337="Cardiac Arrhythmia"), D337+30,
OR(E337="Gastritis",E337="Osteoarthritis",E337="Bronchitis",E337="Iron Deficiency Anemia"), D337+14,
OR(E337="Lumbar Strain",E337="Migraine Headache"), D337+7,
OR(E337="Viral Fever",E337="General Checkup","Routine Health Check"), "",
TRUE,""
)</f>
        <v>45724</v>
      </c>
      <c r="I337" s="1" t="str">
        <f t="shared" si="10"/>
        <v>Follow-up Scheduled</v>
      </c>
      <c r="J337" t="str">
        <f>TEXT(Table8[[#This Row],[visit_Date]],"DDDD")</f>
        <v>Thursday</v>
      </c>
      <c r="K337" t="str">
        <f>TEXT(Table8[[#This Row],[visit_Date]],"mmmm")</f>
        <v>February</v>
      </c>
      <c r="L337" t="str">
        <f t="shared" si="11"/>
        <v>Winter</v>
      </c>
    </row>
    <row r="338" spans="1:12" x14ac:dyDescent="0.25">
      <c r="A338">
        <v>337</v>
      </c>
      <c r="B338">
        <v>1027</v>
      </c>
      <c r="C338">
        <v>1583</v>
      </c>
      <c r="D338" s="1">
        <v>45814</v>
      </c>
      <c r="E338" t="s">
        <v>326</v>
      </c>
      <c r="F338" t="s">
        <v>327</v>
      </c>
      <c r="G338" t="str">
        <f>_xlfn.XLOOKUP(TRIM(E339),MedicineInfo!A:A,MedicineInfo!B:B,"Not Found")</f>
        <v>Amlodipine</v>
      </c>
      <c r="H338" s="1" t="str" cm="1">
        <f t="array" ref="H338">_xlfn.IFS(
OR(E338="Type 2 Diabetes",E338="Essential Hypertension",E338="Angina Pectoris",E338="Bronchial Asthma",E338="Cardiac Arrhythmia"), D338+30,
OR(E338="Gastritis",E338="Osteoarthritis",E338="Bronchitis",E338="Iron Deficiency Anemia"), D338+14,
OR(E338="Lumbar Strain",E338="Migraine Headache"), D338+7,
OR(E338="Viral Fever",E338="General Checkup","Routine Health Check"), "",
TRUE,""
)</f>
        <v/>
      </c>
      <c r="I338" s="1" t="str">
        <f t="shared" si="10"/>
        <v>No Follow-up Required</v>
      </c>
      <c r="J338" t="str">
        <f>TEXT(Table8[[#This Row],[visit_Date]],"DDDD")</f>
        <v>Friday</v>
      </c>
      <c r="K338" t="str">
        <f>TEXT(Table8[[#This Row],[visit_Date]],"mmmm")</f>
        <v>June</v>
      </c>
      <c r="L338" t="str">
        <f t="shared" si="11"/>
        <v>Monsoon</v>
      </c>
    </row>
    <row r="339" spans="1:12" x14ac:dyDescent="0.25">
      <c r="A339">
        <v>338</v>
      </c>
      <c r="B339">
        <v>1001</v>
      </c>
      <c r="C339">
        <v>1081</v>
      </c>
      <c r="D339" s="1">
        <v>45676</v>
      </c>
      <c r="E339" t="s">
        <v>319</v>
      </c>
      <c r="F339" t="s">
        <v>320</v>
      </c>
      <c r="G339" t="str">
        <f>_xlfn.XLOOKUP(TRIM(E340),MedicineInfo!A:A,MedicineInfo!B:B,"Not Found")</f>
        <v>Multivitamin</v>
      </c>
      <c r="H339" s="1" cm="1">
        <f t="array" ref="H339">_xlfn.IFS(
OR(E339="Type 2 Diabetes",E339="Essential Hypertension",E339="Angina Pectoris",E339="Bronchial Asthma",E339="Cardiac Arrhythmia"), D339+30,
OR(E339="Gastritis",E339="Osteoarthritis",E339="Bronchitis",E339="Iron Deficiency Anemia"), D339+14,
OR(E339="Lumbar Strain",E339="Migraine Headache"), D339+7,
OR(E339="Viral Fever",E339="General Checkup","Routine Health Check"), "",
TRUE,""
)</f>
        <v>45706</v>
      </c>
      <c r="I339" s="1" t="str">
        <f t="shared" si="10"/>
        <v>Follow-up Scheduled</v>
      </c>
      <c r="J339" t="str">
        <f>TEXT(Table8[[#This Row],[visit_Date]],"DDDD")</f>
        <v>Sunday</v>
      </c>
      <c r="K339" t="str">
        <f>TEXT(Table8[[#This Row],[visit_Date]],"mmmm")</f>
        <v>January</v>
      </c>
      <c r="L339" t="str">
        <f t="shared" si="11"/>
        <v>Winter</v>
      </c>
    </row>
    <row r="340" spans="1:12" x14ac:dyDescent="0.25">
      <c r="A340">
        <v>339</v>
      </c>
      <c r="B340">
        <v>1027</v>
      </c>
      <c r="C340">
        <v>946</v>
      </c>
      <c r="D340" s="1">
        <v>45817</v>
      </c>
      <c r="E340" t="s">
        <v>24</v>
      </c>
      <c r="F340" t="s">
        <v>321</v>
      </c>
      <c r="G340" t="str">
        <f>_xlfn.XLOOKUP(TRIM(E341),MedicineInfo!A:A,MedicineInfo!B:B,"Not Found")</f>
        <v>Diclofenac</v>
      </c>
      <c r="H340" s="1" t="str" cm="1">
        <f t="array" ref="H340">_xlfn.IFS(
OR(E340="Type 2 Diabetes",E340="Essential Hypertension",E340="Angina Pectoris",E340="Bronchial Asthma",E340="Cardiac Arrhythmia"), D340+30,
OR(E340="Gastritis",E340="Osteoarthritis",E340="Bronchitis",E340="Iron Deficiency Anemia"), D340+14,
OR(E340="Lumbar Strain",E340="Migraine Headache"), D340+7,
OR(E340="Viral Fever",E340="General Checkup","Routine Health Check"), "",
TRUE,""
)</f>
        <v/>
      </c>
      <c r="I340" s="1" t="str">
        <f t="shared" si="10"/>
        <v>No Follow-up Required</v>
      </c>
      <c r="J340" t="str">
        <f>TEXT(Table8[[#This Row],[visit_Date]],"DDDD")</f>
        <v>Monday</v>
      </c>
      <c r="K340" t="str">
        <f>TEXT(Table8[[#This Row],[visit_Date]],"mmmm")</f>
        <v>June</v>
      </c>
      <c r="L340" t="str">
        <f t="shared" si="11"/>
        <v>Monsoon</v>
      </c>
    </row>
    <row r="341" spans="1:12" x14ac:dyDescent="0.25">
      <c r="A341">
        <v>340</v>
      </c>
      <c r="B341">
        <v>1027</v>
      </c>
      <c r="C341">
        <v>923</v>
      </c>
      <c r="D341" s="1">
        <v>45791</v>
      </c>
      <c r="E341" t="s">
        <v>313</v>
      </c>
      <c r="F341" t="s">
        <v>314</v>
      </c>
      <c r="G341" t="str">
        <f>_xlfn.XLOOKUP(TRIM(E342),MedicineInfo!A:A,MedicineInfo!B:B,"Not Found")</f>
        <v>Salbutamol Inhaler</v>
      </c>
      <c r="H341" s="1" cm="1">
        <f t="array" ref="H341">_xlfn.IFS(
OR(E341="Type 2 Diabetes",E341="Essential Hypertension",E341="Angina Pectoris",E341="Bronchial Asthma",E341="Cardiac Arrhythmia"), D341+30,
OR(E341="Gastritis",E341="Osteoarthritis",E341="Bronchitis",E341="Iron Deficiency Anemia"), D341+14,
OR(E341="Lumbar Strain",E341="Migraine Headache"), D341+7,
OR(E341="Viral Fever",E341="General Checkup","Routine Health Check"), "",
TRUE,""
)</f>
        <v>45798</v>
      </c>
      <c r="I341" s="1" t="str">
        <f t="shared" si="10"/>
        <v>Follow-up Scheduled</v>
      </c>
      <c r="J341" t="str">
        <f>TEXT(Table8[[#This Row],[visit_Date]],"DDDD")</f>
        <v>Wednesday</v>
      </c>
      <c r="K341" t="str">
        <f>TEXT(Table8[[#This Row],[visit_Date]],"mmmm")</f>
        <v>May</v>
      </c>
      <c r="L341" t="str">
        <f t="shared" si="11"/>
        <v>Summer</v>
      </c>
    </row>
    <row r="342" spans="1:12" x14ac:dyDescent="0.25">
      <c r="A342">
        <v>341</v>
      </c>
      <c r="B342">
        <v>1020</v>
      </c>
      <c r="C342">
        <v>282</v>
      </c>
      <c r="D342" s="1">
        <v>45814</v>
      </c>
      <c r="E342" t="s">
        <v>324</v>
      </c>
      <c r="F342" t="s">
        <v>325</v>
      </c>
      <c r="G342" t="str">
        <f>_xlfn.XLOOKUP(TRIM(E343),MedicineInfo!A:A,MedicineInfo!B:B,"Not Found")</f>
        <v>Multivitamin</v>
      </c>
      <c r="H342" s="1" cm="1">
        <f t="array" ref="H342">_xlfn.IFS(
OR(E342="Type 2 Diabetes",E342="Essential Hypertension",E342="Angina Pectoris",E342="Bronchial Asthma",E342="Cardiac Arrhythmia"), D342+30,
OR(E342="Gastritis",E342="Osteoarthritis",E342="Bronchitis",E342="Iron Deficiency Anemia"), D342+14,
OR(E342="Lumbar Strain",E342="Migraine Headache"), D342+7,
OR(E342="Viral Fever",E342="General Checkup","Routine Health Check"), "",
TRUE,""
)</f>
        <v>45844</v>
      </c>
      <c r="I342" s="1" t="str">
        <f t="shared" si="10"/>
        <v>Follow-up Scheduled</v>
      </c>
      <c r="J342" t="str">
        <f>TEXT(Table8[[#This Row],[visit_Date]],"DDDD")</f>
        <v>Friday</v>
      </c>
      <c r="K342" t="str">
        <f>TEXT(Table8[[#This Row],[visit_Date]],"mmmm")</f>
        <v>June</v>
      </c>
      <c r="L342" t="str">
        <f t="shared" si="11"/>
        <v>Monsoon</v>
      </c>
    </row>
    <row r="343" spans="1:12" x14ac:dyDescent="0.25">
      <c r="A343">
        <v>342</v>
      </c>
      <c r="B343">
        <v>1027</v>
      </c>
      <c r="C343">
        <v>1444</v>
      </c>
      <c r="D343" s="1">
        <v>45694</v>
      </c>
      <c r="E343" t="s">
        <v>24</v>
      </c>
      <c r="F343" t="s">
        <v>321</v>
      </c>
      <c r="G343" t="str">
        <f>_xlfn.XLOOKUP(TRIM(E344),MedicineInfo!A:A,MedicineInfo!B:B,"Not Found")</f>
        <v>Diclofenac</v>
      </c>
      <c r="H343" s="1" t="str" cm="1">
        <f t="array" ref="H343">_xlfn.IFS(
OR(E343="Type 2 Diabetes",E343="Essential Hypertension",E343="Angina Pectoris",E343="Bronchial Asthma",E343="Cardiac Arrhythmia"), D343+30,
OR(E343="Gastritis",E343="Osteoarthritis",E343="Bronchitis",E343="Iron Deficiency Anemia"), D343+14,
OR(E343="Lumbar Strain",E343="Migraine Headache"), D343+7,
OR(E343="Viral Fever",E343="General Checkup","Routine Health Check"), "",
TRUE,""
)</f>
        <v/>
      </c>
      <c r="I343" s="1" t="str">
        <f t="shared" si="10"/>
        <v>No Follow-up Required</v>
      </c>
      <c r="J343" t="str">
        <f>TEXT(Table8[[#This Row],[visit_Date]],"DDDD")</f>
        <v>Thursday</v>
      </c>
      <c r="K343" t="str">
        <f>TEXT(Table8[[#This Row],[visit_Date]],"mmmm")</f>
        <v>February</v>
      </c>
      <c r="L343" t="str">
        <f t="shared" si="11"/>
        <v>Winter</v>
      </c>
    </row>
    <row r="344" spans="1:12" x14ac:dyDescent="0.25">
      <c r="A344">
        <v>343</v>
      </c>
      <c r="B344">
        <v>1027</v>
      </c>
      <c r="C344">
        <v>1246</v>
      </c>
      <c r="D344" s="1">
        <v>45821</v>
      </c>
      <c r="E344" t="s">
        <v>313</v>
      </c>
      <c r="F344" t="s">
        <v>314</v>
      </c>
      <c r="G344" t="str">
        <f>_xlfn.XLOOKUP(TRIM(E345),MedicineInfo!A:A,MedicineInfo!B:B,"Not Found")</f>
        <v>Amlodipine</v>
      </c>
      <c r="H344" s="1" cm="1">
        <f t="array" ref="H344">_xlfn.IFS(
OR(E344="Type 2 Diabetes",E344="Essential Hypertension",E344="Angina Pectoris",E344="Bronchial Asthma",E344="Cardiac Arrhythmia"), D344+30,
OR(E344="Gastritis",E344="Osteoarthritis",E344="Bronchitis",E344="Iron Deficiency Anemia"), D344+14,
OR(E344="Lumbar Strain",E344="Migraine Headache"), D344+7,
OR(E344="Viral Fever",E344="General Checkup","Routine Health Check"), "",
TRUE,""
)</f>
        <v>45828</v>
      </c>
      <c r="I344" s="1" t="str">
        <f t="shared" si="10"/>
        <v>Follow-up Scheduled</v>
      </c>
      <c r="J344" t="str">
        <f>TEXT(Table8[[#This Row],[visit_Date]],"DDDD")</f>
        <v>Friday</v>
      </c>
      <c r="K344" t="str">
        <f>TEXT(Table8[[#This Row],[visit_Date]],"mmmm")</f>
        <v>June</v>
      </c>
      <c r="L344" t="str">
        <f t="shared" si="11"/>
        <v>Monsoon</v>
      </c>
    </row>
    <row r="345" spans="1:12" x14ac:dyDescent="0.25">
      <c r="A345">
        <v>344</v>
      </c>
      <c r="B345">
        <v>1002</v>
      </c>
      <c r="C345">
        <v>256</v>
      </c>
      <c r="D345" s="1">
        <v>45799</v>
      </c>
      <c r="E345" t="s">
        <v>319</v>
      </c>
      <c r="F345" t="s">
        <v>320</v>
      </c>
      <c r="G345" t="str">
        <f>_xlfn.XLOOKUP(TRIM(E346),MedicineInfo!A:A,MedicineInfo!B:B,"Not Found")</f>
        <v>Multivitamin</v>
      </c>
      <c r="H345" s="1" cm="1">
        <f t="array" ref="H345">_xlfn.IFS(
OR(E345="Type 2 Diabetes",E345="Essential Hypertension",E345="Angina Pectoris",E345="Bronchial Asthma",E345="Cardiac Arrhythmia"), D345+30,
OR(E345="Gastritis",E345="Osteoarthritis",E345="Bronchitis",E345="Iron Deficiency Anemia"), D345+14,
OR(E345="Lumbar Strain",E345="Migraine Headache"), D345+7,
OR(E345="Viral Fever",E345="General Checkup","Routine Health Check"), "",
TRUE,""
)</f>
        <v>45829</v>
      </c>
      <c r="I345" s="1" t="str">
        <f t="shared" si="10"/>
        <v>Follow-up Scheduled</v>
      </c>
      <c r="J345" t="str">
        <f>TEXT(Table8[[#This Row],[visit_Date]],"DDDD")</f>
        <v>Thursday</v>
      </c>
      <c r="K345" t="str">
        <f>TEXT(Table8[[#This Row],[visit_Date]],"mmmm")</f>
        <v>May</v>
      </c>
      <c r="L345" t="str">
        <f t="shared" si="11"/>
        <v>Summer</v>
      </c>
    </row>
    <row r="346" spans="1:12" x14ac:dyDescent="0.25">
      <c r="A346">
        <v>345</v>
      </c>
      <c r="B346">
        <v>1027</v>
      </c>
      <c r="C346">
        <v>1500</v>
      </c>
      <c r="D346" s="1">
        <v>45679</v>
      </c>
      <c r="E346" t="s">
        <v>24</v>
      </c>
      <c r="F346" t="s">
        <v>321</v>
      </c>
      <c r="G346" t="str">
        <f>_xlfn.XLOOKUP(TRIM(E347),MedicineInfo!A:A,MedicineInfo!B:B,"Not Found")</f>
        <v>Paracetamol</v>
      </c>
      <c r="H346" s="1" t="str" cm="1">
        <f t="array" ref="H346">_xlfn.IFS(
OR(E346="Type 2 Diabetes",E346="Essential Hypertension",E346="Angina Pectoris",E346="Bronchial Asthma",E346="Cardiac Arrhythmia"), D346+30,
OR(E346="Gastritis",E346="Osteoarthritis",E346="Bronchitis",E346="Iron Deficiency Anemia"), D346+14,
OR(E346="Lumbar Strain",E346="Migraine Headache"), D346+7,
OR(E346="Viral Fever",E346="General Checkup","Routine Health Check"), "",
TRUE,""
)</f>
        <v/>
      </c>
      <c r="I346" s="1" t="str">
        <f t="shared" si="10"/>
        <v>No Follow-up Required</v>
      </c>
      <c r="J346" t="str">
        <f>TEXT(Table8[[#This Row],[visit_Date]],"DDDD")</f>
        <v>Wednesday</v>
      </c>
      <c r="K346" t="str">
        <f>TEXT(Table8[[#This Row],[visit_Date]],"mmmm")</f>
        <v>January</v>
      </c>
      <c r="L346" t="str">
        <f t="shared" si="11"/>
        <v>Winter</v>
      </c>
    </row>
    <row r="347" spans="1:12" x14ac:dyDescent="0.25">
      <c r="A347">
        <v>346</v>
      </c>
      <c r="B347">
        <v>1027</v>
      </c>
      <c r="C347">
        <v>1078</v>
      </c>
      <c r="D347" s="1">
        <v>45701</v>
      </c>
      <c r="E347" t="s">
        <v>326</v>
      </c>
      <c r="F347" t="s">
        <v>327</v>
      </c>
      <c r="G347" t="str">
        <f>_xlfn.XLOOKUP(TRIM(E348),MedicineInfo!A:A,MedicineInfo!B:B,"Not Found")</f>
        <v>Metformin</v>
      </c>
      <c r="H347" s="1" t="str" cm="1">
        <f t="array" ref="H347">_xlfn.IFS(
OR(E347="Type 2 Diabetes",E347="Essential Hypertension",E347="Angina Pectoris",E347="Bronchial Asthma",E347="Cardiac Arrhythmia"), D347+30,
OR(E347="Gastritis",E347="Osteoarthritis",E347="Bronchitis",E347="Iron Deficiency Anemia"), D347+14,
OR(E347="Lumbar Strain",E347="Migraine Headache"), D347+7,
OR(E347="Viral Fever",E347="General Checkup","Routine Health Check"), "",
TRUE,""
)</f>
        <v/>
      </c>
      <c r="I347" s="1" t="str">
        <f t="shared" si="10"/>
        <v>No Follow-up Required</v>
      </c>
      <c r="J347" t="str">
        <f>TEXT(Table8[[#This Row],[visit_Date]],"DDDD")</f>
        <v>Thursday</v>
      </c>
      <c r="K347" t="str">
        <f>TEXT(Table8[[#This Row],[visit_Date]],"mmmm")</f>
        <v>February</v>
      </c>
      <c r="L347" t="str">
        <f t="shared" si="11"/>
        <v>Winter</v>
      </c>
    </row>
    <row r="348" spans="1:12" x14ac:dyDescent="0.25">
      <c r="A348">
        <v>347</v>
      </c>
      <c r="B348">
        <v>1024</v>
      </c>
      <c r="C348">
        <v>1003</v>
      </c>
      <c r="D348" s="1">
        <v>45753</v>
      </c>
      <c r="E348" t="s">
        <v>317</v>
      </c>
      <c r="F348" t="s">
        <v>318</v>
      </c>
      <c r="G348" t="str">
        <f>_xlfn.XLOOKUP(TRIM(E349),MedicineInfo!A:A,MedicineInfo!B:B,"Not Found")</f>
        <v>Diclofenac</v>
      </c>
      <c r="H348" s="1" cm="1">
        <f t="array" ref="H348">_xlfn.IFS(
OR(E348="Type 2 Diabetes",E348="Essential Hypertension",E348="Angina Pectoris",E348="Bronchial Asthma",E348="Cardiac Arrhythmia"), D348+30,
OR(E348="Gastritis",E348="Osteoarthritis",E348="Bronchitis",E348="Iron Deficiency Anemia"), D348+14,
OR(E348="Lumbar Strain",E348="Migraine Headache"), D348+7,
OR(E348="Viral Fever",E348="General Checkup","Routine Health Check"), "",
TRUE,""
)</f>
        <v>45783</v>
      </c>
      <c r="I348" s="1" t="str">
        <f t="shared" si="10"/>
        <v>Follow-up Scheduled</v>
      </c>
      <c r="J348" t="str">
        <f>TEXT(Table8[[#This Row],[visit_Date]],"DDDD")</f>
        <v>Sunday</v>
      </c>
      <c r="K348" t="str">
        <f>TEXT(Table8[[#This Row],[visit_Date]],"mmmm")</f>
        <v>April</v>
      </c>
      <c r="L348" t="str">
        <f t="shared" si="11"/>
        <v>Summer</v>
      </c>
    </row>
    <row r="349" spans="1:12" x14ac:dyDescent="0.25">
      <c r="A349">
        <v>348</v>
      </c>
      <c r="B349">
        <v>1027</v>
      </c>
      <c r="C349">
        <v>216</v>
      </c>
      <c r="D349" s="1">
        <v>45790</v>
      </c>
      <c r="E349" t="s">
        <v>313</v>
      </c>
      <c r="F349" t="s">
        <v>314</v>
      </c>
      <c r="G349" t="str">
        <f>_xlfn.XLOOKUP(TRIM(E350),MedicineInfo!A:A,MedicineInfo!B:B,"Not Found")</f>
        <v>Paracetamol</v>
      </c>
      <c r="H349" s="1" cm="1">
        <f t="array" ref="H349">_xlfn.IFS(
OR(E349="Type 2 Diabetes",E349="Essential Hypertension",E349="Angina Pectoris",E349="Bronchial Asthma",E349="Cardiac Arrhythmia"), D349+30,
OR(E349="Gastritis",E349="Osteoarthritis",E349="Bronchitis",E349="Iron Deficiency Anemia"), D349+14,
OR(E349="Lumbar Strain",E349="Migraine Headache"), D349+7,
OR(E349="Viral Fever",E349="General Checkup","Routine Health Check"), "",
TRUE,""
)</f>
        <v>45797</v>
      </c>
      <c r="I349" s="1" t="str">
        <f t="shared" si="10"/>
        <v>Follow-up Scheduled</v>
      </c>
      <c r="J349" t="str">
        <f>TEXT(Table8[[#This Row],[visit_Date]],"DDDD")</f>
        <v>Tuesday</v>
      </c>
      <c r="K349" t="str">
        <f>TEXT(Table8[[#This Row],[visit_Date]],"mmmm")</f>
        <v>May</v>
      </c>
      <c r="L349" t="str">
        <f t="shared" si="11"/>
        <v>Summer</v>
      </c>
    </row>
    <row r="350" spans="1:12" x14ac:dyDescent="0.25">
      <c r="A350">
        <v>349</v>
      </c>
      <c r="B350">
        <v>1027</v>
      </c>
      <c r="C350">
        <v>1268</v>
      </c>
      <c r="D350" s="1">
        <v>45742</v>
      </c>
      <c r="E350" t="s">
        <v>326</v>
      </c>
      <c r="F350" t="s">
        <v>327</v>
      </c>
      <c r="G350" t="str">
        <f>_xlfn.XLOOKUP(TRIM(E351),MedicineInfo!A:A,MedicineInfo!B:B,"Not Found")</f>
        <v>Amlodipine</v>
      </c>
      <c r="H350" s="1" t="str" cm="1">
        <f t="array" ref="H350">_xlfn.IFS(
OR(E350="Type 2 Diabetes",E350="Essential Hypertension",E350="Angina Pectoris",E350="Bronchial Asthma",E350="Cardiac Arrhythmia"), D350+30,
OR(E350="Gastritis",E350="Osteoarthritis",E350="Bronchitis",E350="Iron Deficiency Anemia"), D350+14,
OR(E350="Lumbar Strain",E350="Migraine Headache"), D350+7,
OR(E350="Viral Fever",E350="General Checkup","Routine Health Check"), "",
TRUE,""
)</f>
        <v/>
      </c>
      <c r="I350" s="1" t="str">
        <f t="shared" si="10"/>
        <v>No Follow-up Required</v>
      </c>
      <c r="J350" t="str">
        <f>TEXT(Table8[[#This Row],[visit_Date]],"DDDD")</f>
        <v>Wednesday</v>
      </c>
      <c r="K350" t="str">
        <f>TEXT(Table8[[#This Row],[visit_Date]],"mmmm")</f>
        <v>March</v>
      </c>
      <c r="L350" t="str">
        <f t="shared" si="11"/>
        <v>Summer</v>
      </c>
    </row>
    <row r="351" spans="1:12" x14ac:dyDescent="0.25">
      <c r="A351">
        <v>350</v>
      </c>
      <c r="B351">
        <v>1002</v>
      </c>
      <c r="C351">
        <v>1573</v>
      </c>
      <c r="D351" s="1">
        <v>45678</v>
      </c>
      <c r="E351" t="s">
        <v>319</v>
      </c>
      <c r="F351" t="s">
        <v>320</v>
      </c>
      <c r="G351" t="str">
        <f>_xlfn.XLOOKUP(TRIM(E352),MedicineInfo!A:A,MedicineInfo!B:B,"Not Found")</f>
        <v>Metformin</v>
      </c>
      <c r="H351" s="1" cm="1">
        <f t="array" ref="H351">_xlfn.IFS(
OR(E351="Type 2 Diabetes",E351="Essential Hypertension",E351="Angina Pectoris",E351="Bronchial Asthma",E351="Cardiac Arrhythmia"), D351+30,
OR(E351="Gastritis",E351="Osteoarthritis",E351="Bronchitis",E351="Iron Deficiency Anemia"), D351+14,
OR(E351="Lumbar Strain",E351="Migraine Headache"), D351+7,
OR(E351="Viral Fever",E351="General Checkup","Routine Health Check"), "",
TRUE,""
)</f>
        <v>45708</v>
      </c>
      <c r="I351" s="1" t="str">
        <f t="shared" si="10"/>
        <v>Follow-up Scheduled</v>
      </c>
      <c r="J351" t="str">
        <f>TEXT(Table8[[#This Row],[visit_Date]],"DDDD")</f>
        <v>Tuesday</v>
      </c>
      <c r="K351" t="str">
        <f>TEXT(Table8[[#This Row],[visit_Date]],"mmmm")</f>
        <v>January</v>
      </c>
      <c r="L351" t="str">
        <f t="shared" si="11"/>
        <v>Winter</v>
      </c>
    </row>
    <row r="352" spans="1:12" x14ac:dyDescent="0.25">
      <c r="A352">
        <v>351</v>
      </c>
      <c r="B352">
        <v>1024</v>
      </c>
      <c r="C352">
        <v>678</v>
      </c>
      <c r="D352" s="1">
        <v>45762</v>
      </c>
      <c r="E352" t="s">
        <v>317</v>
      </c>
      <c r="F352" t="s">
        <v>318</v>
      </c>
      <c r="G352" t="str">
        <f>_xlfn.XLOOKUP(TRIM(E353),MedicineInfo!A:A,MedicineInfo!B:B,"Not Found")</f>
        <v>Multivitamin</v>
      </c>
      <c r="H352" s="1" cm="1">
        <f t="array" ref="H352">_xlfn.IFS(
OR(E352="Type 2 Diabetes",E352="Essential Hypertension",E352="Angina Pectoris",E352="Bronchial Asthma",E352="Cardiac Arrhythmia"), D352+30,
OR(E352="Gastritis",E352="Osteoarthritis",E352="Bronchitis",E352="Iron Deficiency Anemia"), D352+14,
OR(E352="Lumbar Strain",E352="Migraine Headache"), D352+7,
OR(E352="Viral Fever",E352="General Checkup","Routine Health Check"), "",
TRUE,""
)</f>
        <v>45792</v>
      </c>
      <c r="I352" s="1" t="str">
        <f t="shared" si="10"/>
        <v>Follow-up Scheduled</v>
      </c>
      <c r="J352" t="str">
        <f>TEXT(Table8[[#This Row],[visit_Date]],"DDDD")</f>
        <v>Tuesday</v>
      </c>
      <c r="K352" t="str">
        <f>TEXT(Table8[[#This Row],[visit_Date]],"mmmm")</f>
        <v>April</v>
      </c>
      <c r="L352" t="str">
        <f t="shared" si="11"/>
        <v>Summer</v>
      </c>
    </row>
    <row r="353" spans="1:12" x14ac:dyDescent="0.25">
      <c r="A353">
        <v>352</v>
      </c>
      <c r="B353">
        <v>1027</v>
      </c>
      <c r="C353">
        <v>412</v>
      </c>
      <c r="D353" s="1">
        <v>45827</v>
      </c>
      <c r="E353" t="s">
        <v>24</v>
      </c>
      <c r="F353" t="s">
        <v>321</v>
      </c>
      <c r="G353" t="str">
        <f>_xlfn.XLOOKUP(TRIM(E354),MedicineInfo!A:A,MedicineInfo!B:B,"Not Found")</f>
        <v>Nitroglycerin</v>
      </c>
      <c r="H353" s="1" t="str" cm="1">
        <f t="array" ref="H353">_xlfn.IFS(
OR(E353="Type 2 Diabetes",E353="Essential Hypertension",E353="Angina Pectoris",E353="Bronchial Asthma",E353="Cardiac Arrhythmia"), D353+30,
OR(E353="Gastritis",E353="Osteoarthritis",E353="Bronchitis",E353="Iron Deficiency Anemia"), D353+14,
OR(E353="Lumbar Strain",E353="Migraine Headache"), D353+7,
OR(E353="Viral Fever",E353="General Checkup","Routine Health Check"), "",
TRUE,""
)</f>
        <v/>
      </c>
      <c r="I353" s="1" t="str">
        <f t="shared" si="10"/>
        <v>No Follow-up Required</v>
      </c>
      <c r="J353" t="str">
        <f>TEXT(Table8[[#This Row],[visit_Date]],"DDDD")</f>
        <v>Thursday</v>
      </c>
      <c r="K353" t="str">
        <f>TEXT(Table8[[#This Row],[visit_Date]],"mmmm")</f>
        <v>June</v>
      </c>
      <c r="L353" t="str">
        <f t="shared" si="11"/>
        <v>Monsoon</v>
      </c>
    </row>
    <row r="354" spans="1:12" x14ac:dyDescent="0.25">
      <c r="A354">
        <v>353</v>
      </c>
      <c r="B354">
        <v>1027</v>
      </c>
      <c r="C354">
        <v>575</v>
      </c>
      <c r="D354" s="1">
        <v>45677</v>
      </c>
      <c r="E354" t="s">
        <v>322</v>
      </c>
      <c r="F354" t="s">
        <v>323</v>
      </c>
      <c r="G354" t="str">
        <f>_xlfn.XLOOKUP(TRIM(E355),MedicineInfo!A:A,MedicineInfo!B:B,"Not Found")</f>
        <v>Salbutamol Inhaler</v>
      </c>
      <c r="H354" s="1" cm="1">
        <f t="array" ref="H354">_xlfn.IFS(
OR(E354="Type 2 Diabetes",E354="Essential Hypertension",E354="Angina Pectoris",E354="Bronchial Asthma",E354="Cardiac Arrhythmia"), D354+30,
OR(E354="Gastritis",E354="Osteoarthritis",E354="Bronchitis",E354="Iron Deficiency Anemia"), D354+14,
OR(E354="Lumbar Strain",E354="Migraine Headache"), D354+7,
OR(E354="Viral Fever",E354="General Checkup","Routine Health Check"), "",
TRUE,""
)</f>
        <v>45707</v>
      </c>
      <c r="I354" s="1" t="str">
        <f t="shared" si="10"/>
        <v>Follow-up Scheduled</v>
      </c>
      <c r="J354" t="str">
        <f>TEXT(Table8[[#This Row],[visit_Date]],"DDDD")</f>
        <v>Monday</v>
      </c>
      <c r="K354" t="str">
        <f>TEXT(Table8[[#This Row],[visit_Date]],"mmmm")</f>
        <v>January</v>
      </c>
      <c r="L354" t="str">
        <f t="shared" si="11"/>
        <v>Winter</v>
      </c>
    </row>
    <row r="355" spans="1:12" x14ac:dyDescent="0.25">
      <c r="A355">
        <v>354</v>
      </c>
      <c r="B355">
        <v>1020</v>
      </c>
      <c r="C355">
        <v>1196</v>
      </c>
      <c r="D355" s="1">
        <v>45758</v>
      </c>
      <c r="E355" t="s">
        <v>324</v>
      </c>
      <c r="F355" t="s">
        <v>325</v>
      </c>
      <c r="G355" t="str">
        <f>_xlfn.XLOOKUP(TRIM(E356),MedicineInfo!A:A,MedicineInfo!B:B,"Not Found")</f>
        <v>Nitroglycerin</v>
      </c>
      <c r="H355" s="1" cm="1">
        <f t="array" ref="H355">_xlfn.IFS(
OR(E355="Type 2 Diabetes",E355="Essential Hypertension",E355="Angina Pectoris",E355="Bronchial Asthma",E355="Cardiac Arrhythmia"), D355+30,
OR(E355="Gastritis",E355="Osteoarthritis",E355="Bronchitis",E355="Iron Deficiency Anemia"), D355+14,
OR(E355="Lumbar Strain",E355="Migraine Headache"), D355+7,
OR(E355="Viral Fever",E355="General Checkup","Routine Health Check"), "",
TRUE,""
)</f>
        <v>45788</v>
      </c>
      <c r="I355" s="1" t="str">
        <f t="shared" si="10"/>
        <v>Follow-up Scheduled</v>
      </c>
      <c r="J355" t="str">
        <f>TEXT(Table8[[#This Row],[visit_Date]],"DDDD")</f>
        <v>Friday</v>
      </c>
      <c r="K355" t="str">
        <f>TEXT(Table8[[#This Row],[visit_Date]],"mmmm")</f>
        <v>April</v>
      </c>
      <c r="L355" t="str">
        <f t="shared" si="11"/>
        <v>Summer</v>
      </c>
    </row>
    <row r="356" spans="1:12" x14ac:dyDescent="0.25">
      <c r="A356">
        <v>355</v>
      </c>
      <c r="B356">
        <v>1001</v>
      </c>
      <c r="C356">
        <v>643</v>
      </c>
      <c r="D356" s="1">
        <v>45850</v>
      </c>
      <c r="E356" t="s">
        <v>322</v>
      </c>
      <c r="F356" t="s">
        <v>323</v>
      </c>
      <c r="G356" t="str">
        <f>_xlfn.XLOOKUP(TRIM(E357),MedicineInfo!A:A,MedicineInfo!B:B,"Not Found")</f>
        <v>Salbutamol Inhaler</v>
      </c>
      <c r="H356" s="1" cm="1">
        <f t="array" ref="H356">_xlfn.IFS(
OR(E356="Type 2 Diabetes",E356="Essential Hypertension",E356="Angina Pectoris",E356="Bronchial Asthma",E356="Cardiac Arrhythmia"), D356+30,
OR(E356="Gastritis",E356="Osteoarthritis",E356="Bronchitis",E356="Iron Deficiency Anemia"), D356+14,
OR(E356="Lumbar Strain",E356="Migraine Headache"), D356+7,
OR(E356="Viral Fever",E356="General Checkup","Routine Health Check"), "",
TRUE,""
)</f>
        <v>45880</v>
      </c>
      <c r="I356" s="1" t="str">
        <f t="shared" si="10"/>
        <v>Follow-up Scheduled</v>
      </c>
      <c r="J356" t="str">
        <f>TEXT(Table8[[#This Row],[visit_Date]],"DDDD")</f>
        <v>Saturday</v>
      </c>
      <c r="K356" t="str">
        <f>TEXT(Table8[[#This Row],[visit_Date]],"mmmm")</f>
        <v>July</v>
      </c>
      <c r="L356" t="str">
        <f t="shared" si="11"/>
        <v>Monsoon</v>
      </c>
    </row>
    <row r="357" spans="1:12" x14ac:dyDescent="0.25">
      <c r="A357">
        <v>356</v>
      </c>
      <c r="B357">
        <v>1020</v>
      </c>
      <c r="C357">
        <v>616</v>
      </c>
      <c r="D357" s="1">
        <v>45694</v>
      </c>
      <c r="E357" t="s">
        <v>324</v>
      </c>
      <c r="F357" t="s">
        <v>325</v>
      </c>
      <c r="G357" t="str">
        <f>_xlfn.XLOOKUP(TRIM(E358),MedicineInfo!A:A,MedicineInfo!B:B,"Not Found")</f>
        <v>Multivitamin</v>
      </c>
      <c r="H357" s="1" cm="1">
        <f t="array" ref="H357">_xlfn.IFS(
OR(E357="Type 2 Diabetes",E357="Essential Hypertension",E357="Angina Pectoris",E357="Bronchial Asthma",E357="Cardiac Arrhythmia"), D357+30,
OR(E357="Gastritis",E357="Osteoarthritis",E357="Bronchitis",E357="Iron Deficiency Anemia"), D357+14,
OR(E357="Lumbar Strain",E357="Migraine Headache"), D357+7,
OR(E357="Viral Fever",E357="General Checkup","Routine Health Check"), "",
TRUE,""
)</f>
        <v>45724</v>
      </c>
      <c r="I357" s="1" t="str">
        <f t="shared" si="10"/>
        <v>Follow-up Scheduled</v>
      </c>
      <c r="J357" t="str">
        <f>TEXT(Table8[[#This Row],[visit_Date]],"DDDD")</f>
        <v>Thursday</v>
      </c>
      <c r="K357" t="str">
        <f>TEXT(Table8[[#This Row],[visit_Date]],"mmmm")</f>
        <v>February</v>
      </c>
      <c r="L357" t="str">
        <f t="shared" si="11"/>
        <v>Winter</v>
      </c>
    </row>
    <row r="358" spans="1:12" x14ac:dyDescent="0.25">
      <c r="A358">
        <v>357</v>
      </c>
      <c r="B358">
        <v>1027</v>
      </c>
      <c r="C358">
        <v>191</v>
      </c>
      <c r="D358" s="1">
        <v>45672</v>
      </c>
      <c r="E358" t="s">
        <v>24</v>
      </c>
      <c r="F358" t="s">
        <v>321</v>
      </c>
      <c r="G358" t="str">
        <f>_xlfn.XLOOKUP(TRIM(E359),MedicineInfo!A:A,MedicineInfo!B:B,"Not Found")</f>
        <v>Multivitamin</v>
      </c>
      <c r="H358" s="1" t="str" cm="1">
        <f t="array" ref="H358">_xlfn.IFS(
OR(E358="Type 2 Diabetes",E358="Essential Hypertension",E358="Angina Pectoris",E358="Bronchial Asthma",E358="Cardiac Arrhythmia"), D358+30,
OR(E358="Gastritis",E358="Osteoarthritis",E358="Bronchitis",E358="Iron Deficiency Anemia"), D358+14,
OR(E358="Lumbar Strain",E358="Migraine Headache"), D358+7,
OR(E358="Viral Fever",E358="General Checkup","Routine Health Check"), "",
TRUE,""
)</f>
        <v/>
      </c>
      <c r="I358" s="1" t="str">
        <f t="shared" si="10"/>
        <v>No Follow-up Required</v>
      </c>
      <c r="J358" t="str">
        <f>TEXT(Table8[[#This Row],[visit_Date]],"DDDD")</f>
        <v>Wednesday</v>
      </c>
      <c r="K358" t="str">
        <f>TEXT(Table8[[#This Row],[visit_Date]],"mmmm")</f>
        <v>January</v>
      </c>
      <c r="L358" t="str">
        <f t="shared" si="11"/>
        <v>Winter</v>
      </c>
    </row>
    <row r="359" spans="1:12" x14ac:dyDescent="0.25">
      <c r="A359">
        <v>358</v>
      </c>
      <c r="B359">
        <v>1027</v>
      </c>
      <c r="C359">
        <v>1008</v>
      </c>
      <c r="D359" s="1">
        <v>45696</v>
      </c>
      <c r="E359" t="s">
        <v>24</v>
      </c>
      <c r="F359" t="s">
        <v>321</v>
      </c>
      <c r="G359" t="str">
        <f>_xlfn.XLOOKUP(TRIM(E360),MedicineInfo!A:A,MedicineInfo!B:B,"Not Found")</f>
        <v>Salbutamol Inhaler</v>
      </c>
      <c r="H359" s="1" t="str" cm="1">
        <f t="array" ref="H359">_xlfn.IFS(
OR(E359="Type 2 Diabetes",E359="Essential Hypertension",E359="Angina Pectoris",E359="Bronchial Asthma",E359="Cardiac Arrhythmia"), D359+30,
OR(E359="Gastritis",E359="Osteoarthritis",E359="Bronchitis",E359="Iron Deficiency Anemia"), D359+14,
OR(E359="Lumbar Strain",E359="Migraine Headache"), D359+7,
OR(E359="Viral Fever",E359="General Checkup","Routine Health Check"), "",
TRUE,""
)</f>
        <v/>
      </c>
      <c r="I359" s="1" t="str">
        <f t="shared" si="10"/>
        <v>No Follow-up Required</v>
      </c>
      <c r="J359" t="str">
        <f>TEXT(Table8[[#This Row],[visit_Date]],"DDDD")</f>
        <v>Saturday</v>
      </c>
      <c r="K359" t="str">
        <f>TEXT(Table8[[#This Row],[visit_Date]],"mmmm")</f>
        <v>February</v>
      </c>
      <c r="L359" t="str">
        <f t="shared" si="11"/>
        <v>Winter</v>
      </c>
    </row>
    <row r="360" spans="1:12" x14ac:dyDescent="0.25">
      <c r="A360">
        <v>359</v>
      </c>
      <c r="B360">
        <v>1020</v>
      </c>
      <c r="C360">
        <v>461</v>
      </c>
      <c r="D360" s="1">
        <v>45754</v>
      </c>
      <c r="E360" t="s">
        <v>324</v>
      </c>
      <c r="F360" t="s">
        <v>325</v>
      </c>
      <c r="G360" t="str">
        <f>_xlfn.XLOOKUP(TRIM(E361),MedicineInfo!A:A,MedicineInfo!B:B,"Not Found")</f>
        <v>Amlodipine</v>
      </c>
      <c r="H360" s="1" cm="1">
        <f t="array" ref="H360">_xlfn.IFS(
OR(E360="Type 2 Diabetes",E360="Essential Hypertension",E360="Angina Pectoris",E360="Bronchial Asthma",E360="Cardiac Arrhythmia"), D360+30,
OR(E360="Gastritis",E360="Osteoarthritis",E360="Bronchitis",E360="Iron Deficiency Anemia"), D360+14,
OR(E360="Lumbar Strain",E360="Migraine Headache"), D360+7,
OR(E360="Viral Fever",E360="General Checkup","Routine Health Check"), "",
TRUE,""
)</f>
        <v>45784</v>
      </c>
      <c r="I360" s="1" t="str">
        <f t="shared" si="10"/>
        <v>Follow-up Scheduled</v>
      </c>
      <c r="J360" t="str">
        <f>TEXT(Table8[[#This Row],[visit_Date]],"DDDD")</f>
        <v>Monday</v>
      </c>
      <c r="K360" t="str">
        <f>TEXT(Table8[[#This Row],[visit_Date]],"mmmm")</f>
        <v>April</v>
      </c>
      <c r="L360" t="str">
        <f t="shared" si="11"/>
        <v>Summer</v>
      </c>
    </row>
    <row r="361" spans="1:12" x14ac:dyDescent="0.25">
      <c r="A361">
        <v>360</v>
      </c>
      <c r="B361">
        <v>1004</v>
      </c>
      <c r="C361">
        <v>337</v>
      </c>
      <c r="D361" s="1">
        <v>45829</v>
      </c>
      <c r="E361" t="s">
        <v>319</v>
      </c>
      <c r="F361" t="s">
        <v>320</v>
      </c>
      <c r="G361" t="str">
        <f>_xlfn.XLOOKUP(TRIM(E362),MedicineInfo!A:A,MedicineInfo!B:B,"Not Found")</f>
        <v>Diclofenac</v>
      </c>
      <c r="H361" s="1" cm="1">
        <f t="array" ref="H361">_xlfn.IFS(
OR(E361="Type 2 Diabetes",E361="Essential Hypertension",E361="Angina Pectoris",E361="Bronchial Asthma",E361="Cardiac Arrhythmia"), D361+30,
OR(E361="Gastritis",E361="Osteoarthritis",E361="Bronchitis",E361="Iron Deficiency Anemia"), D361+14,
OR(E361="Lumbar Strain",E361="Migraine Headache"), D361+7,
OR(E361="Viral Fever",E361="General Checkup","Routine Health Check"), "",
TRUE,""
)</f>
        <v>45859</v>
      </c>
      <c r="I361" s="1" t="str">
        <f t="shared" si="10"/>
        <v>Follow-up Scheduled</v>
      </c>
      <c r="J361" t="str">
        <f>TEXT(Table8[[#This Row],[visit_Date]],"DDDD")</f>
        <v>Saturday</v>
      </c>
      <c r="K361" t="str">
        <f>TEXT(Table8[[#This Row],[visit_Date]],"mmmm")</f>
        <v>June</v>
      </c>
      <c r="L361" t="str">
        <f t="shared" si="11"/>
        <v>Monsoon</v>
      </c>
    </row>
    <row r="362" spans="1:12" x14ac:dyDescent="0.25">
      <c r="A362">
        <v>361</v>
      </c>
      <c r="B362">
        <v>1027</v>
      </c>
      <c r="C362">
        <v>1217</v>
      </c>
      <c r="D362" s="1">
        <v>45823</v>
      </c>
      <c r="E362" t="s">
        <v>313</v>
      </c>
      <c r="F362" t="s">
        <v>314</v>
      </c>
      <c r="G362" t="str">
        <f>_xlfn.XLOOKUP(TRIM(E363),MedicineInfo!A:A,MedicineInfo!B:B,"Not Found")</f>
        <v>Metformin</v>
      </c>
      <c r="H362" s="1" cm="1">
        <f t="array" ref="H362">_xlfn.IFS(
OR(E362="Type 2 Diabetes",E362="Essential Hypertension",E362="Angina Pectoris",E362="Bronchial Asthma",E362="Cardiac Arrhythmia"), D362+30,
OR(E362="Gastritis",E362="Osteoarthritis",E362="Bronchitis",E362="Iron Deficiency Anemia"), D362+14,
OR(E362="Lumbar Strain",E362="Migraine Headache"), D362+7,
OR(E362="Viral Fever",E362="General Checkup","Routine Health Check"), "",
TRUE,""
)</f>
        <v>45830</v>
      </c>
      <c r="I362" s="1" t="str">
        <f t="shared" si="10"/>
        <v>Follow-up Scheduled</v>
      </c>
      <c r="J362" t="str">
        <f>TEXT(Table8[[#This Row],[visit_Date]],"DDDD")</f>
        <v>Sunday</v>
      </c>
      <c r="K362" t="str">
        <f>TEXT(Table8[[#This Row],[visit_Date]],"mmmm")</f>
        <v>June</v>
      </c>
      <c r="L362" t="str">
        <f t="shared" si="11"/>
        <v>Monsoon</v>
      </c>
    </row>
    <row r="363" spans="1:12" x14ac:dyDescent="0.25">
      <c r="A363">
        <v>362</v>
      </c>
      <c r="B363">
        <v>1024</v>
      </c>
      <c r="C363">
        <v>1200</v>
      </c>
      <c r="D363" s="1">
        <v>45814</v>
      </c>
      <c r="E363" t="s">
        <v>317</v>
      </c>
      <c r="F363" t="s">
        <v>318</v>
      </c>
      <c r="G363" t="str">
        <f>_xlfn.XLOOKUP(TRIM(E364),MedicineInfo!A:A,MedicineInfo!B:B,"Not Found")</f>
        <v>Nitroglycerin</v>
      </c>
      <c r="H363" s="1" cm="1">
        <f t="array" ref="H363">_xlfn.IFS(
OR(E363="Type 2 Diabetes",E363="Essential Hypertension",E363="Angina Pectoris",E363="Bronchial Asthma",E363="Cardiac Arrhythmia"), D363+30,
OR(E363="Gastritis",E363="Osteoarthritis",E363="Bronchitis",E363="Iron Deficiency Anemia"), D363+14,
OR(E363="Lumbar Strain",E363="Migraine Headache"), D363+7,
OR(E363="Viral Fever",E363="General Checkup","Routine Health Check"), "",
TRUE,""
)</f>
        <v>45844</v>
      </c>
      <c r="I363" s="1" t="str">
        <f t="shared" si="10"/>
        <v>Follow-up Scheduled</v>
      </c>
      <c r="J363" t="str">
        <f>TEXT(Table8[[#This Row],[visit_Date]],"DDDD")</f>
        <v>Friday</v>
      </c>
      <c r="K363" t="str">
        <f>TEXT(Table8[[#This Row],[visit_Date]],"mmmm")</f>
        <v>June</v>
      </c>
      <c r="L363" t="str">
        <f t="shared" si="11"/>
        <v>Monsoon</v>
      </c>
    </row>
    <row r="364" spans="1:12" x14ac:dyDescent="0.25">
      <c r="A364">
        <v>363</v>
      </c>
      <c r="B364">
        <v>1001</v>
      </c>
      <c r="C364">
        <v>1125</v>
      </c>
      <c r="D364" s="1">
        <v>45686</v>
      </c>
      <c r="E364" t="s">
        <v>322</v>
      </c>
      <c r="F364" t="s">
        <v>323</v>
      </c>
      <c r="G364" t="str">
        <f>_xlfn.XLOOKUP(TRIM(E365),MedicineInfo!A:A,MedicineInfo!B:B,"Not Found")</f>
        <v>Diclofenac</v>
      </c>
      <c r="H364" s="1" cm="1">
        <f t="array" ref="H364">_xlfn.IFS(
OR(E364="Type 2 Diabetes",E364="Essential Hypertension",E364="Angina Pectoris",E364="Bronchial Asthma",E364="Cardiac Arrhythmia"), D364+30,
OR(E364="Gastritis",E364="Osteoarthritis",E364="Bronchitis",E364="Iron Deficiency Anemia"), D364+14,
OR(E364="Lumbar Strain",E364="Migraine Headache"), D364+7,
OR(E364="Viral Fever",E364="General Checkup","Routine Health Check"), "",
TRUE,""
)</f>
        <v>45716</v>
      </c>
      <c r="I364" s="1" t="str">
        <f t="shared" si="10"/>
        <v>Follow-up Scheduled</v>
      </c>
      <c r="J364" t="str">
        <f>TEXT(Table8[[#This Row],[visit_Date]],"DDDD")</f>
        <v>Wednesday</v>
      </c>
      <c r="K364" t="str">
        <f>TEXT(Table8[[#This Row],[visit_Date]],"mmmm")</f>
        <v>January</v>
      </c>
      <c r="L364" t="str">
        <f t="shared" si="11"/>
        <v>Winter</v>
      </c>
    </row>
    <row r="365" spans="1:12" x14ac:dyDescent="0.25">
      <c r="A365">
        <v>364</v>
      </c>
      <c r="B365">
        <v>1027</v>
      </c>
      <c r="C365">
        <v>1051</v>
      </c>
      <c r="D365" s="1">
        <v>45777</v>
      </c>
      <c r="E365" t="s">
        <v>313</v>
      </c>
      <c r="F365" t="s">
        <v>314</v>
      </c>
      <c r="G365" t="str">
        <f>_xlfn.XLOOKUP(TRIM(E366),MedicineInfo!A:A,MedicineInfo!B:B,"Not Found")</f>
        <v>Multivitamin</v>
      </c>
      <c r="H365" s="1" cm="1">
        <f t="array" ref="H365">_xlfn.IFS(
OR(E365="Type 2 Diabetes",E365="Essential Hypertension",E365="Angina Pectoris",E365="Bronchial Asthma",E365="Cardiac Arrhythmia"), D365+30,
OR(E365="Gastritis",E365="Osteoarthritis",E365="Bronchitis",E365="Iron Deficiency Anemia"), D365+14,
OR(E365="Lumbar Strain",E365="Migraine Headache"), D365+7,
OR(E365="Viral Fever",E365="General Checkup","Routine Health Check"), "",
TRUE,""
)</f>
        <v>45784</v>
      </c>
      <c r="I365" s="1" t="str">
        <f t="shared" si="10"/>
        <v>Follow-up Scheduled</v>
      </c>
      <c r="J365" t="str">
        <f>TEXT(Table8[[#This Row],[visit_Date]],"DDDD")</f>
        <v>Wednesday</v>
      </c>
      <c r="K365" t="str">
        <f>TEXT(Table8[[#This Row],[visit_Date]],"mmmm")</f>
        <v>April</v>
      </c>
      <c r="L365" t="str">
        <f t="shared" si="11"/>
        <v>Summer</v>
      </c>
    </row>
    <row r="366" spans="1:12" x14ac:dyDescent="0.25">
      <c r="A366">
        <v>365</v>
      </c>
      <c r="B366">
        <v>1027</v>
      </c>
      <c r="C366">
        <v>222</v>
      </c>
      <c r="D366" s="1">
        <v>45814</v>
      </c>
      <c r="E366" t="s">
        <v>24</v>
      </c>
      <c r="F366" t="s">
        <v>321</v>
      </c>
      <c r="G366" t="str">
        <f>_xlfn.XLOOKUP(TRIM(E367),MedicineInfo!A:A,MedicineInfo!B:B,"Not Found")</f>
        <v>Amlodipine</v>
      </c>
      <c r="H366" s="1" t="str" cm="1">
        <f t="array" ref="H366">_xlfn.IFS(
OR(E366="Type 2 Diabetes",E366="Essential Hypertension",E366="Angina Pectoris",E366="Bronchial Asthma",E366="Cardiac Arrhythmia"), D366+30,
OR(E366="Gastritis",E366="Osteoarthritis",E366="Bronchitis",E366="Iron Deficiency Anemia"), D366+14,
OR(E366="Lumbar Strain",E366="Migraine Headache"), D366+7,
OR(E366="Viral Fever",E366="General Checkup","Routine Health Check"), "",
TRUE,""
)</f>
        <v/>
      </c>
      <c r="I366" s="1" t="str">
        <f t="shared" si="10"/>
        <v>No Follow-up Required</v>
      </c>
      <c r="J366" t="str">
        <f>TEXT(Table8[[#This Row],[visit_Date]],"DDDD")</f>
        <v>Friday</v>
      </c>
      <c r="K366" t="str">
        <f>TEXT(Table8[[#This Row],[visit_Date]],"mmmm")</f>
        <v>June</v>
      </c>
      <c r="L366" t="str">
        <f t="shared" si="11"/>
        <v>Monsoon</v>
      </c>
    </row>
    <row r="367" spans="1:12" x14ac:dyDescent="0.25">
      <c r="A367">
        <v>366</v>
      </c>
      <c r="B367">
        <v>1002</v>
      </c>
      <c r="C367">
        <v>1551</v>
      </c>
      <c r="D367" s="1">
        <v>45758</v>
      </c>
      <c r="E367" t="s">
        <v>319</v>
      </c>
      <c r="F367" t="s">
        <v>320</v>
      </c>
      <c r="G367" t="str">
        <f>_xlfn.XLOOKUP(TRIM(E368),MedicineInfo!A:A,MedicineInfo!B:B,"Not Found")</f>
        <v>Metformin</v>
      </c>
      <c r="H367" s="1" cm="1">
        <f t="array" ref="H367">_xlfn.IFS(
OR(E367="Type 2 Diabetes",E367="Essential Hypertension",E367="Angina Pectoris",E367="Bronchial Asthma",E367="Cardiac Arrhythmia"), D367+30,
OR(E367="Gastritis",E367="Osteoarthritis",E367="Bronchitis",E367="Iron Deficiency Anemia"), D367+14,
OR(E367="Lumbar Strain",E367="Migraine Headache"), D367+7,
OR(E367="Viral Fever",E367="General Checkup","Routine Health Check"), "",
TRUE,""
)</f>
        <v>45788</v>
      </c>
      <c r="I367" s="1" t="str">
        <f t="shared" si="10"/>
        <v>Follow-up Scheduled</v>
      </c>
      <c r="J367" t="str">
        <f>TEXT(Table8[[#This Row],[visit_Date]],"DDDD")</f>
        <v>Friday</v>
      </c>
      <c r="K367" t="str">
        <f>TEXT(Table8[[#This Row],[visit_Date]],"mmmm")</f>
        <v>April</v>
      </c>
      <c r="L367" t="str">
        <f t="shared" si="11"/>
        <v>Summer</v>
      </c>
    </row>
    <row r="368" spans="1:12" x14ac:dyDescent="0.25">
      <c r="A368">
        <v>367</v>
      </c>
      <c r="B368">
        <v>1024</v>
      </c>
      <c r="C368">
        <v>460</v>
      </c>
      <c r="D368" s="1">
        <v>45790</v>
      </c>
      <c r="E368" t="s">
        <v>317</v>
      </c>
      <c r="F368" t="s">
        <v>318</v>
      </c>
      <c r="G368" t="str">
        <f>_xlfn.XLOOKUP(TRIM(E369),MedicineInfo!A:A,MedicineInfo!B:B,"Not Found")</f>
        <v>Multivitamin</v>
      </c>
      <c r="H368" s="1" cm="1">
        <f t="array" ref="H368">_xlfn.IFS(
OR(E368="Type 2 Diabetes",E368="Essential Hypertension",E368="Angina Pectoris",E368="Bronchial Asthma",E368="Cardiac Arrhythmia"), D368+30,
OR(E368="Gastritis",E368="Osteoarthritis",E368="Bronchitis",E368="Iron Deficiency Anemia"), D368+14,
OR(E368="Lumbar Strain",E368="Migraine Headache"), D368+7,
OR(E368="Viral Fever",E368="General Checkup","Routine Health Check"), "",
TRUE,""
)</f>
        <v>45820</v>
      </c>
      <c r="I368" s="1" t="str">
        <f t="shared" si="10"/>
        <v>Follow-up Scheduled</v>
      </c>
      <c r="J368" t="str">
        <f>TEXT(Table8[[#This Row],[visit_Date]],"DDDD")</f>
        <v>Tuesday</v>
      </c>
      <c r="K368" t="str">
        <f>TEXT(Table8[[#This Row],[visit_Date]],"mmmm")</f>
        <v>May</v>
      </c>
      <c r="L368" t="str">
        <f t="shared" si="11"/>
        <v>Summer</v>
      </c>
    </row>
    <row r="369" spans="1:12" x14ac:dyDescent="0.25">
      <c r="A369">
        <v>368</v>
      </c>
      <c r="B369">
        <v>1027</v>
      </c>
      <c r="C369">
        <v>1224</v>
      </c>
      <c r="D369" s="1">
        <v>45854</v>
      </c>
      <c r="E369" t="s">
        <v>24</v>
      </c>
      <c r="F369" t="s">
        <v>321</v>
      </c>
      <c r="G369" t="str">
        <f>_xlfn.XLOOKUP(TRIM(E370),MedicineInfo!A:A,MedicineInfo!B:B,"Not Found")</f>
        <v>Metformin</v>
      </c>
      <c r="H369" s="1" t="str" cm="1">
        <f t="array" ref="H369">_xlfn.IFS(
OR(E369="Type 2 Diabetes",E369="Essential Hypertension",E369="Angina Pectoris",E369="Bronchial Asthma",E369="Cardiac Arrhythmia"), D369+30,
OR(E369="Gastritis",E369="Osteoarthritis",E369="Bronchitis",E369="Iron Deficiency Anemia"), D369+14,
OR(E369="Lumbar Strain",E369="Migraine Headache"), D369+7,
OR(E369="Viral Fever",E369="General Checkup","Routine Health Check"), "",
TRUE,""
)</f>
        <v/>
      </c>
      <c r="I369" s="1" t="str">
        <f t="shared" si="10"/>
        <v>No Follow-up Required</v>
      </c>
      <c r="J369" t="str">
        <f>TEXT(Table8[[#This Row],[visit_Date]],"DDDD")</f>
        <v>Wednesday</v>
      </c>
      <c r="K369" t="str">
        <f>TEXT(Table8[[#This Row],[visit_Date]],"mmmm")</f>
        <v>July</v>
      </c>
      <c r="L369" t="str">
        <f t="shared" si="11"/>
        <v>Monsoon</v>
      </c>
    </row>
    <row r="370" spans="1:12" x14ac:dyDescent="0.25">
      <c r="A370">
        <v>369</v>
      </c>
      <c r="B370">
        <v>1024</v>
      </c>
      <c r="C370">
        <v>289</v>
      </c>
      <c r="D370" s="1">
        <v>45790</v>
      </c>
      <c r="E370" t="s">
        <v>317</v>
      </c>
      <c r="F370" t="s">
        <v>318</v>
      </c>
      <c r="G370" t="str">
        <f>_xlfn.XLOOKUP(TRIM(E371),MedicineInfo!A:A,MedicineInfo!B:B,"Not Found")</f>
        <v>Paracetamol</v>
      </c>
      <c r="H370" s="1" cm="1">
        <f t="array" ref="H370">_xlfn.IFS(
OR(E370="Type 2 Diabetes",E370="Essential Hypertension",E370="Angina Pectoris",E370="Bronchial Asthma",E370="Cardiac Arrhythmia"), D370+30,
OR(E370="Gastritis",E370="Osteoarthritis",E370="Bronchitis",E370="Iron Deficiency Anemia"), D370+14,
OR(E370="Lumbar Strain",E370="Migraine Headache"), D370+7,
OR(E370="Viral Fever",E370="General Checkup","Routine Health Check"), "",
TRUE,""
)</f>
        <v>45820</v>
      </c>
      <c r="I370" s="1" t="str">
        <f t="shared" si="10"/>
        <v>Follow-up Scheduled</v>
      </c>
      <c r="J370" t="str">
        <f>TEXT(Table8[[#This Row],[visit_Date]],"DDDD")</f>
        <v>Tuesday</v>
      </c>
      <c r="K370" t="str">
        <f>TEXT(Table8[[#This Row],[visit_Date]],"mmmm")</f>
        <v>May</v>
      </c>
      <c r="L370" t="str">
        <f t="shared" si="11"/>
        <v>Summer</v>
      </c>
    </row>
    <row r="371" spans="1:12" x14ac:dyDescent="0.25">
      <c r="A371">
        <v>370</v>
      </c>
      <c r="B371">
        <v>1027</v>
      </c>
      <c r="C371">
        <v>1017</v>
      </c>
      <c r="D371" s="1">
        <v>45694</v>
      </c>
      <c r="E371" t="s">
        <v>326</v>
      </c>
      <c r="F371" t="s">
        <v>327</v>
      </c>
      <c r="G371" t="str">
        <f>_xlfn.XLOOKUP(TRIM(E372),MedicineInfo!A:A,MedicineInfo!B:B,"Not Found")</f>
        <v>Diclofenac</v>
      </c>
      <c r="H371" s="1" t="str" cm="1">
        <f t="array" ref="H371">_xlfn.IFS(
OR(E371="Type 2 Diabetes",E371="Essential Hypertension",E371="Angina Pectoris",E371="Bronchial Asthma",E371="Cardiac Arrhythmia"), D371+30,
OR(E371="Gastritis",E371="Osteoarthritis",E371="Bronchitis",E371="Iron Deficiency Anemia"), D371+14,
OR(E371="Lumbar Strain",E371="Migraine Headache"), D371+7,
OR(E371="Viral Fever",E371="General Checkup","Routine Health Check"), "",
TRUE,""
)</f>
        <v/>
      </c>
      <c r="I371" s="1" t="str">
        <f t="shared" si="10"/>
        <v>No Follow-up Required</v>
      </c>
      <c r="J371" t="str">
        <f>TEXT(Table8[[#This Row],[visit_Date]],"DDDD")</f>
        <v>Thursday</v>
      </c>
      <c r="K371" t="str">
        <f>TEXT(Table8[[#This Row],[visit_Date]],"mmmm")</f>
        <v>February</v>
      </c>
      <c r="L371" t="str">
        <f t="shared" si="11"/>
        <v>Winter</v>
      </c>
    </row>
    <row r="372" spans="1:12" x14ac:dyDescent="0.25">
      <c r="A372">
        <v>371</v>
      </c>
      <c r="B372">
        <v>1027</v>
      </c>
      <c r="C372">
        <v>571</v>
      </c>
      <c r="D372" s="1">
        <v>45747</v>
      </c>
      <c r="E372" t="s">
        <v>313</v>
      </c>
      <c r="F372" t="s">
        <v>314</v>
      </c>
      <c r="G372" t="str">
        <f>_xlfn.XLOOKUP(TRIM(E373),MedicineInfo!A:A,MedicineInfo!B:B,"Not Found")</f>
        <v>Metformin</v>
      </c>
      <c r="H372" s="1" cm="1">
        <f t="array" ref="H372">_xlfn.IFS(
OR(E372="Type 2 Diabetes",E372="Essential Hypertension",E372="Angina Pectoris",E372="Bronchial Asthma",E372="Cardiac Arrhythmia"), D372+30,
OR(E372="Gastritis",E372="Osteoarthritis",E372="Bronchitis",E372="Iron Deficiency Anemia"), D372+14,
OR(E372="Lumbar Strain",E372="Migraine Headache"), D372+7,
OR(E372="Viral Fever",E372="General Checkup","Routine Health Check"), "",
TRUE,""
)</f>
        <v>45754</v>
      </c>
      <c r="I372" s="1" t="str">
        <f t="shared" si="10"/>
        <v>Follow-up Scheduled</v>
      </c>
      <c r="J372" t="str">
        <f>TEXT(Table8[[#This Row],[visit_Date]],"DDDD")</f>
        <v>Monday</v>
      </c>
      <c r="K372" t="str">
        <f>TEXT(Table8[[#This Row],[visit_Date]],"mmmm")</f>
        <v>March</v>
      </c>
      <c r="L372" t="str">
        <f t="shared" si="11"/>
        <v>Summer</v>
      </c>
    </row>
    <row r="373" spans="1:12" x14ac:dyDescent="0.25">
      <c r="A373">
        <v>372</v>
      </c>
      <c r="B373">
        <v>1024</v>
      </c>
      <c r="C373">
        <v>1209</v>
      </c>
      <c r="D373" s="1">
        <v>45866</v>
      </c>
      <c r="E373" t="s">
        <v>317</v>
      </c>
      <c r="F373" t="s">
        <v>318</v>
      </c>
      <c r="G373" t="str">
        <f>_xlfn.XLOOKUP(TRIM(E374),MedicineInfo!A:A,MedicineInfo!B:B,"Not Found")</f>
        <v>Nitroglycerin</v>
      </c>
      <c r="H373" s="1" cm="1">
        <f t="array" ref="H373">_xlfn.IFS(
OR(E373="Type 2 Diabetes",E373="Essential Hypertension",E373="Angina Pectoris",E373="Bronchial Asthma",E373="Cardiac Arrhythmia"), D373+30,
OR(E373="Gastritis",E373="Osteoarthritis",E373="Bronchitis",E373="Iron Deficiency Anemia"), D373+14,
OR(E373="Lumbar Strain",E373="Migraine Headache"), D373+7,
OR(E373="Viral Fever",E373="General Checkup","Routine Health Check"), "",
TRUE,""
)</f>
        <v>45896</v>
      </c>
      <c r="I373" s="1" t="str">
        <f t="shared" si="10"/>
        <v>Follow-up Scheduled</v>
      </c>
      <c r="J373" t="str">
        <f>TEXT(Table8[[#This Row],[visit_Date]],"DDDD")</f>
        <v>Monday</v>
      </c>
      <c r="K373" t="str">
        <f>TEXT(Table8[[#This Row],[visit_Date]],"mmmm")</f>
        <v>July</v>
      </c>
      <c r="L373" t="str">
        <f t="shared" si="11"/>
        <v>Monsoon</v>
      </c>
    </row>
    <row r="374" spans="1:12" x14ac:dyDescent="0.25">
      <c r="A374">
        <v>373</v>
      </c>
      <c r="B374">
        <v>1027</v>
      </c>
      <c r="C374">
        <v>1118</v>
      </c>
      <c r="D374" s="1">
        <v>45758</v>
      </c>
      <c r="E374" t="s">
        <v>322</v>
      </c>
      <c r="F374" t="s">
        <v>323</v>
      </c>
      <c r="G374" t="str">
        <f>_xlfn.XLOOKUP(TRIM(E375),MedicineInfo!A:A,MedicineInfo!B:B,"Not Found")</f>
        <v>Metformin</v>
      </c>
      <c r="H374" s="1" cm="1">
        <f t="array" ref="H374">_xlfn.IFS(
OR(E374="Type 2 Diabetes",E374="Essential Hypertension",E374="Angina Pectoris",E374="Bronchial Asthma",E374="Cardiac Arrhythmia"), D374+30,
OR(E374="Gastritis",E374="Osteoarthritis",E374="Bronchitis",E374="Iron Deficiency Anemia"), D374+14,
OR(E374="Lumbar Strain",E374="Migraine Headache"), D374+7,
OR(E374="Viral Fever",E374="General Checkup","Routine Health Check"), "",
TRUE,""
)</f>
        <v>45788</v>
      </c>
      <c r="I374" s="1" t="str">
        <f t="shared" si="10"/>
        <v>Follow-up Scheduled</v>
      </c>
      <c r="J374" t="str">
        <f>TEXT(Table8[[#This Row],[visit_Date]],"DDDD")</f>
        <v>Friday</v>
      </c>
      <c r="K374" t="str">
        <f>TEXT(Table8[[#This Row],[visit_Date]],"mmmm")</f>
        <v>April</v>
      </c>
      <c r="L374" t="str">
        <f t="shared" si="11"/>
        <v>Summer</v>
      </c>
    </row>
    <row r="375" spans="1:12" x14ac:dyDescent="0.25">
      <c r="A375">
        <v>374</v>
      </c>
      <c r="B375">
        <v>1024</v>
      </c>
      <c r="C375">
        <v>1325</v>
      </c>
      <c r="D375" s="1">
        <v>45674</v>
      </c>
      <c r="E375" t="s">
        <v>317</v>
      </c>
      <c r="F375" t="s">
        <v>318</v>
      </c>
      <c r="G375" t="str">
        <f>_xlfn.XLOOKUP(TRIM(E376),MedicineInfo!A:A,MedicineInfo!B:B,"Not Found")</f>
        <v>Multivitamin</v>
      </c>
      <c r="H375" s="1" cm="1">
        <f t="array" ref="H375">_xlfn.IFS(
OR(E375="Type 2 Diabetes",E375="Essential Hypertension",E375="Angina Pectoris",E375="Bronchial Asthma",E375="Cardiac Arrhythmia"), D375+30,
OR(E375="Gastritis",E375="Osteoarthritis",E375="Bronchitis",E375="Iron Deficiency Anemia"), D375+14,
OR(E375="Lumbar Strain",E375="Migraine Headache"), D375+7,
OR(E375="Viral Fever",E375="General Checkup","Routine Health Check"), "",
TRUE,""
)</f>
        <v>45704</v>
      </c>
      <c r="I375" s="1" t="str">
        <f t="shared" si="10"/>
        <v>Follow-up Scheduled</v>
      </c>
      <c r="J375" t="str">
        <f>TEXT(Table8[[#This Row],[visit_Date]],"DDDD")</f>
        <v>Friday</v>
      </c>
      <c r="K375" t="str">
        <f>TEXT(Table8[[#This Row],[visit_Date]],"mmmm")</f>
        <v>January</v>
      </c>
      <c r="L375" t="str">
        <f t="shared" si="11"/>
        <v>Winter</v>
      </c>
    </row>
    <row r="376" spans="1:12" x14ac:dyDescent="0.25">
      <c r="A376">
        <v>375</v>
      </c>
      <c r="B376">
        <v>1027</v>
      </c>
      <c r="C376">
        <v>1501</v>
      </c>
      <c r="D376" s="1">
        <v>45788</v>
      </c>
      <c r="E376" t="s">
        <v>24</v>
      </c>
      <c r="F376" t="s">
        <v>321</v>
      </c>
      <c r="G376" t="str">
        <f>_xlfn.XLOOKUP(TRIM(E377),MedicineInfo!A:A,MedicineInfo!B:B,"Not Found")</f>
        <v>Paracetamol</v>
      </c>
      <c r="H376" s="1" t="str" cm="1">
        <f t="array" ref="H376">_xlfn.IFS(
OR(E376="Type 2 Diabetes",E376="Essential Hypertension",E376="Angina Pectoris",E376="Bronchial Asthma",E376="Cardiac Arrhythmia"), D376+30,
OR(E376="Gastritis",E376="Osteoarthritis",E376="Bronchitis",E376="Iron Deficiency Anemia"), D376+14,
OR(E376="Lumbar Strain",E376="Migraine Headache"), D376+7,
OR(E376="Viral Fever",E376="General Checkup","Routine Health Check"), "",
TRUE,""
)</f>
        <v/>
      </c>
      <c r="I376" s="1" t="str">
        <f t="shared" si="10"/>
        <v>No Follow-up Required</v>
      </c>
      <c r="J376" t="str">
        <f>TEXT(Table8[[#This Row],[visit_Date]],"DDDD")</f>
        <v>Sunday</v>
      </c>
      <c r="K376" t="str">
        <f>TEXT(Table8[[#This Row],[visit_Date]],"mmmm")</f>
        <v>May</v>
      </c>
      <c r="L376" t="str">
        <f t="shared" si="11"/>
        <v>Summer</v>
      </c>
    </row>
    <row r="377" spans="1:12" x14ac:dyDescent="0.25">
      <c r="A377">
        <v>376</v>
      </c>
      <c r="B377">
        <v>1027</v>
      </c>
      <c r="C377">
        <v>1482</v>
      </c>
      <c r="D377" s="1">
        <v>45660</v>
      </c>
      <c r="E377" t="s">
        <v>326</v>
      </c>
      <c r="F377" t="s">
        <v>327</v>
      </c>
      <c r="G377" t="str">
        <f>_xlfn.XLOOKUP(TRIM(E378),MedicineInfo!A:A,MedicineInfo!B:B,"Not Found")</f>
        <v>Sumatriptan</v>
      </c>
      <c r="H377" s="1" t="str" cm="1">
        <f t="array" ref="H377">_xlfn.IFS(
OR(E377="Type 2 Diabetes",E377="Essential Hypertension",E377="Angina Pectoris",E377="Bronchial Asthma",E377="Cardiac Arrhythmia"), D377+30,
OR(E377="Gastritis",E377="Osteoarthritis",E377="Bronchitis",E377="Iron Deficiency Anemia"), D377+14,
OR(E377="Lumbar Strain",E377="Migraine Headache"), D377+7,
OR(E377="Viral Fever",E377="General Checkup","Routine Health Check"), "",
TRUE,""
)</f>
        <v/>
      </c>
      <c r="I377" s="1" t="str">
        <f t="shared" si="10"/>
        <v>No Follow-up Required</v>
      </c>
      <c r="J377" t="str">
        <f>TEXT(Table8[[#This Row],[visit_Date]],"DDDD")</f>
        <v>Friday</v>
      </c>
      <c r="K377" t="str">
        <f>TEXT(Table8[[#This Row],[visit_Date]],"mmmm")</f>
        <v>January</v>
      </c>
      <c r="L377" t="str">
        <f t="shared" si="11"/>
        <v>Winter</v>
      </c>
    </row>
    <row r="378" spans="1:12" x14ac:dyDescent="0.25">
      <c r="A378">
        <v>377</v>
      </c>
      <c r="B378">
        <v>1009</v>
      </c>
      <c r="C378">
        <v>776</v>
      </c>
      <c r="D378" s="1">
        <v>45714</v>
      </c>
      <c r="E378" t="s">
        <v>315</v>
      </c>
      <c r="F378" t="s">
        <v>316</v>
      </c>
      <c r="G378" t="str">
        <f>_xlfn.XLOOKUP(TRIM(E379),MedicineInfo!A:A,MedicineInfo!B:B,"Not Found")</f>
        <v>Multivitamin</v>
      </c>
      <c r="H378" s="1" cm="1">
        <f t="array" ref="H378">_xlfn.IFS(
OR(E378="Type 2 Diabetes",E378="Essential Hypertension",E378="Angina Pectoris",E378="Bronchial Asthma",E378="Cardiac Arrhythmia"), D378+30,
OR(E378="Gastritis",E378="Osteoarthritis",E378="Bronchitis",E378="Iron Deficiency Anemia"), D378+14,
OR(E378="Lumbar Strain",E378="Migraine Headache"), D378+7,
OR(E378="Viral Fever",E378="General Checkup","Routine Health Check"), "",
TRUE,""
)</f>
        <v>45721</v>
      </c>
      <c r="I378" s="1" t="str">
        <f t="shared" si="10"/>
        <v>Follow-up Scheduled</v>
      </c>
      <c r="J378" t="str">
        <f>TEXT(Table8[[#This Row],[visit_Date]],"DDDD")</f>
        <v>Wednesday</v>
      </c>
      <c r="K378" t="str">
        <f>TEXT(Table8[[#This Row],[visit_Date]],"mmmm")</f>
        <v>February</v>
      </c>
      <c r="L378" t="str">
        <f t="shared" si="11"/>
        <v>Winter</v>
      </c>
    </row>
    <row r="379" spans="1:12" x14ac:dyDescent="0.25">
      <c r="A379">
        <v>378</v>
      </c>
      <c r="B379">
        <v>1027</v>
      </c>
      <c r="C379">
        <v>361</v>
      </c>
      <c r="D379" s="1">
        <v>45710</v>
      </c>
      <c r="E379" t="s">
        <v>24</v>
      </c>
      <c r="F379" t="s">
        <v>321</v>
      </c>
      <c r="G379" t="str">
        <f>_xlfn.XLOOKUP(TRIM(E380),MedicineInfo!A:A,MedicineInfo!B:B,"Not Found")</f>
        <v>Multivitamin</v>
      </c>
      <c r="H379" s="1" t="str" cm="1">
        <f t="array" ref="H379">_xlfn.IFS(
OR(E379="Type 2 Diabetes",E379="Essential Hypertension",E379="Angina Pectoris",E379="Bronchial Asthma",E379="Cardiac Arrhythmia"), D379+30,
OR(E379="Gastritis",E379="Osteoarthritis",E379="Bronchitis",E379="Iron Deficiency Anemia"), D379+14,
OR(E379="Lumbar Strain",E379="Migraine Headache"), D379+7,
OR(E379="Viral Fever",E379="General Checkup","Routine Health Check"), "",
TRUE,""
)</f>
        <v/>
      </c>
      <c r="I379" s="1" t="str">
        <f t="shared" si="10"/>
        <v>No Follow-up Required</v>
      </c>
      <c r="J379" t="str">
        <f>TEXT(Table8[[#This Row],[visit_Date]],"DDDD")</f>
        <v>Saturday</v>
      </c>
      <c r="K379" t="str">
        <f>TEXT(Table8[[#This Row],[visit_Date]],"mmmm")</f>
        <v>February</v>
      </c>
      <c r="L379" t="str">
        <f t="shared" si="11"/>
        <v>Winter</v>
      </c>
    </row>
    <row r="380" spans="1:12" x14ac:dyDescent="0.25">
      <c r="A380">
        <v>379</v>
      </c>
      <c r="B380">
        <v>1027</v>
      </c>
      <c r="C380">
        <v>1189</v>
      </c>
      <c r="D380" s="1">
        <v>45792</v>
      </c>
      <c r="E380" t="s">
        <v>24</v>
      </c>
      <c r="F380" t="s">
        <v>321</v>
      </c>
      <c r="G380" t="str">
        <f>_xlfn.XLOOKUP(TRIM(E381),MedicineInfo!A:A,MedicineInfo!B:B,"Not Found")</f>
        <v>Sumatriptan</v>
      </c>
      <c r="H380" s="1" t="str" cm="1">
        <f t="array" ref="H380">_xlfn.IFS(
OR(E380="Type 2 Diabetes",E380="Essential Hypertension",E380="Angina Pectoris",E380="Bronchial Asthma",E380="Cardiac Arrhythmia"), D380+30,
OR(E380="Gastritis",E380="Osteoarthritis",E380="Bronchitis",E380="Iron Deficiency Anemia"), D380+14,
OR(E380="Lumbar Strain",E380="Migraine Headache"), D380+7,
OR(E380="Viral Fever",E380="General Checkup","Routine Health Check"), "",
TRUE,""
)</f>
        <v/>
      </c>
      <c r="I380" s="1" t="str">
        <f t="shared" si="10"/>
        <v>No Follow-up Required</v>
      </c>
      <c r="J380" t="str">
        <f>TEXT(Table8[[#This Row],[visit_Date]],"DDDD")</f>
        <v>Thursday</v>
      </c>
      <c r="K380" t="str">
        <f>TEXT(Table8[[#This Row],[visit_Date]],"mmmm")</f>
        <v>May</v>
      </c>
      <c r="L380" t="str">
        <f t="shared" si="11"/>
        <v>Summer</v>
      </c>
    </row>
    <row r="381" spans="1:12" x14ac:dyDescent="0.25">
      <c r="A381">
        <v>380</v>
      </c>
      <c r="B381">
        <v>1009</v>
      </c>
      <c r="C381">
        <v>337</v>
      </c>
      <c r="D381" s="1">
        <v>45669</v>
      </c>
      <c r="E381" t="s">
        <v>315</v>
      </c>
      <c r="F381" t="s">
        <v>316</v>
      </c>
      <c r="G381" t="str">
        <f>_xlfn.XLOOKUP(TRIM(E382),MedicineInfo!A:A,MedicineInfo!B:B,"Not Found")</f>
        <v>Sumatriptan</v>
      </c>
      <c r="H381" s="1" cm="1">
        <f t="array" ref="H381">_xlfn.IFS(
OR(E381="Type 2 Diabetes",E381="Essential Hypertension",E381="Angina Pectoris",E381="Bronchial Asthma",E381="Cardiac Arrhythmia"), D381+30,
OR(E381="Gastritis",E381="Osteoarthritis",E381="Bronchitis",E381="Iron Deficiency Anemia"), D381+14,
OR(E381="Lumbar Strain",E381="Migraine Headache"), D381+7,
OR(E381="Viral Fever",E381="General Checkup","Routine Health Check"), "",
TRUE,""
)</f>
        <v>45676</v>
      </c>
      <c r="I381" s="1" t="str">
        <f t="shared" si="10"/>
        <v>Follow-up Scheduled</v>
      </c>
      <c r="J381" t="str">
        <f>TEXT(Table8[[#This Row],[visit_Date]],"DDDD")</f>
        <v>Sunday</v>
      </c>
      <c r="K381" t="str">
        <f>TEXT(Table8[[#This Row],[visit_Date]],"mmmm")</f>
        <v>January</v>
      </c>
      <c r="L381" t="str">
        <f t="shared" si="11"/>
        <v>Winter</v>
      </c>
    </row>
    <row r="382" spans="1:12" x14ac:dyDescent="0.25">
      <c r="A382">
        <v>381</v>
      </c>
      <c r="B382">
        <v>1008</v>
      </c>
      <c r="C382">
        <v>566</v>
      </c>
      <c r="D382" s="1">
        <v>45854</v>
      </c>
      <c r="E382" t="s">
        <v>315</v>
      </c>
      <c r="F382" t="s">
        <v>316</v>
      </c>
      <c r="G382" t="str">
        <f>_xlfn.XLOOKUP(TRIM(E383),MedicineInfo!A:A,MedicineInfo!B:B,"Not Found")</f>
        <v>Sumatriptan</v>
      </c>
      <c r="H382" s="1" cm="1">
        <f t="array" ref="H382">_xlfn.IFS(
OR(E382="Type 2 Diabetes",E382="Essential Hypertension",E382="Angina Pectoris",E382="Bronchial Asthma",E382="Cardiac Arrhythmia"), D382+30,
OR(E382="Gastritis",E382="Osteoarthritis",E382="Bronchitis",E382="Iron Deficiency Anemia"), D382+14,
OR(E382="Lumbar Strain",E382="Migraine Headache"), D382+7,
OR(E382="Viral Fever",E382="General Checkup","Routine Health Check"), "",
TRUE,""
)</f>
        <v>45861</v>
      </c>
      <c r="I382" s="1" t="str">
        <f t="shared" si="10"/>
        <v>Follow-up Scheduled</v>
      </c>
      <c r="J382" t="str">
        <f>TEXT(Table8[[#This Row],[visit_Date]],"DDDD")</f>
        <v>Wednesday</v>
      </c>
      <c r="K382" t="str">
        <f>TEXT(Table8[[#This Row],[visit_Date]],"mmmm")</f>
        <v>July</v>
      </c>
      <c r="L382" t="str">
        <f t="shared" si="11"/>
        <v>Monsoon</v>
      </c>
    </row>
    <row r="383" spans="1:12" x14ac:dyDescent="0.25">
      <c r="A383">
        <v>382</v>
      </c>
      <c r="B383">
        <v>1008</v>
      </c>
      <c r="C383">
        <v>672</v>
      </c>
      <c r="D383" s="1">
        <v>45791</v>
      </c>
      <c r="E383" t="s">
        <v>315</v>
      </c>
      <c r="F383" t="s">
        <v>316</v>
      </c>
      <c r="G383" t="str">
        <f>_xlfn.XLOOKUP(TRIM(E384),MedicineInfo!A:A,MedicineInfo!B:B,"Not Found")</f>
        <v>Nitroglycerin</v>
      </c>
      <c r="H383" s="1" cm="1">
        <f t="array" ref="H383">_xlfn.IFS(
OR(E383="Type 2 Diabetes",E383="Essential Hypertension",E383="Angina Pectoris",E383="Bronchial Asthma",E383="Cardiac Arrhythmia"), D383+30,
OR(E383="Gastritis",E383="Osteoarthritis",E383="Bronchitis",E383="Iron Deficiency Anemia"), D383+14,
OR(E383="Lumbar Strain",E383="Migraine Headache"), D383+7,
OR(E383="Viral Fever",E383="General Checkup","Routine Health Check"), "",
TRUE,""
)</f>
        <v>45798</v>
      </c>
      <c r="I383" s="1" t="str">
        <f t="shared" si="10"/>
        <v>Follow-up Scheduled</v>
      </c>
      <c r="J383" t="str">
        <f>TEXT(Table8[[#This Row],[visit_Date]],"DDDD")</f>
        <v>Wednesday</v>
      </c>
      <c r="K383" t="str">
        <f>TEXT(Table8[[#This Row],[visit_Date]],"mmmm")</f>
        <v>May</v>
      </c>
      <c r="L383" t="str">
        <f t="shared" si="11"/>
        <v>Summer</v>
      </c>
    </row>
    <row r="384" spans="1:12" x14ac:dyDescent="0.25">
      <c r="A384">
        <v>383</v>
      </c>
      <c r="B384">
        <v>1001</v>
      </c>
      <c r="C384">
        <v>318</v>
      </c>
      <c r="D384" s="1">
        <v>45790</v>
      </c>
      <c r="E384" t="s">
        <v>322</v>
      </c>
      <c r="F384" t="s">
        <v>323</v>
      </c>
      <c r="G384" t="str">
        <f>_xlfn.XLOOKUP(TRIM(E385),MedicineInfo!A:A,MedicineInfo!B:B,"Not Found")</f>
        <v>Amlodipine</v>
      </c>
      <c r="H384" s="1" cm="1">
        <f t="array" ref="H384">_xlfn.IFS(
OR(E384="Type 2 Diabetes",E384="Essential Hypertension",E384="Angina Pectoris",E384="Bronchial Asthma",E384="Cardiac Arrhythmia"), D384+30,
OR(E384="Gastritis",E384="Osteoarthritis",E384="Bronchitis",E384="Iron Deficiency Anemia"), D384+14,
OR(E384="Lumbar Strain",E384="Migraine Headache"), D384+7,
OR(E384="Viral Fever",E384="General Checkup","Routine Health Check"), "",
TRUE,""
)</f>
        <v>45820</v>
      </c>
      <c r="I384" s="1" t="str">
        <f t="shared" si="10"/>
        <v>Follow-up Scheduled</v>
      </c>
      <c r="J384" t="str">
        <f>TEXT(Table8[[#This Row],[visit_Date]],"DDDD")</f>
        <v>Tuesday</v>
      </c>
      <c r="K384" t="str">
        <f>TEXT(Table8[[#This Row],[visit_Date]],"mmmm")</f>
        <v>May</v>
      </c>
      <c r="L384" t="str">
        <f t="shared" si="11"/>
        <v>Summer</v>
      </c>
    </row>
    <row r="385" spans="1:12" x14ac:dyDescent="0.25">
      <c r="A385">
        <v>384</v>
      </c>
      <c r="B385">
        <v>1001</v>
      </c>
      <c r="C385">
        <v>1111</v>
      </c>
      <c r="D385" s="1">
        <v>45672</v>
      </c>
      <c r="E385" t="s">
        <v>319</v>
      </c>
      <c r="F385" t="s">
        <v>320</v>
      </c>
      <c r="G385" t="str">
        <f>_xlfn.XLOOKUP(TRIM(E386),MedicineInfo!A:A,MedicineInfo!B:B,"Not Found")</f>
        <v>Paracetamol</v>
      </c>
      <c r="H385" s="1" cm="1">
        <f t="array" ref="H385">_xlfn.IFS(
OR(E385="Type 2 Diabetes",E385="Essential Hypertension",E385="Angina Pectoris",E385="Bronchial Asthma",E385="Cardiac Arrhythmia"), D385+30,
OR(E385="Gastritis",E385="Osteoarthritis",E385="Bronchitis",E385="Iron Deficiency Anemia"), D385+14,
OR(E385="Lumbar Strain",E385="Migraine Headache"), D385+7,
OR(E385="Viral Fever",E385="General Checkup","Routine Health Check"), "",
TRUE,""
)</f>
        <v>45702</v>
      </c>
      <c r="I385" s="1" t="str">
        <f t="shared" si="10"/>
        <v>Follow-up Scheduled</v>
      </c>
      <c r="J385" t="str">
        <f>TEXT(Table8[[#This Row],[visit_Date]],"DDDD")</f>
        <v>Wednesday</v>
      </c>
      <c r="K385" t="str">
        <f>TEXT(Table8[[#This Row],[visit_Date]],"mmmm")</f>
        <v>January</v>
      </c>
      <c r="L385" t="str">
        <f t="shared" si="11"/>
        <v>Winter</v>
      </c>
    </row>
    <row r="386" spans="1:12" x14ac:dyDescent="0.25">
      <c r="A386">
        <v>385</v>
      </c>
      <c r="B386">
        <v>1027</v>
      </c>
      <c r="C386">
        <v>1208</v>
      </c>
      <c r="D386" s="1">
        <v>45689</v>
      </c>
      <c r="E386" t="s">
        <v>326</v>
      </c>
      <c r="F386" t="s">
        <v>327</v>
      </c>
      <c r="G386" t="str">
        <f>_xlfn.XLOOKUP(TRIM(E387),MedicineInfo!A:A,MedicineInfo!B:B,"Not Found")</f>
        <v>Metformin</v>
      </c>
      <c r="H386" s="1" t="str" cm="1">
        <f t="array" ref="H386">_xlfn.IFS(
OR(E386="Type 2 Diabetes",E386="Essential Hypertension",E386="Angina Pectoris",E386="Bronchial Asthma",E386="Cardiac Arrhythmia"), D386+30,
OR(E386="Gastritis",E386="Osteoarthritis",E386="Bronchitis",E386="Iron Deficiency Anemia"), D386+14,
OR(E386="Lumbar Strain",E386="Migraine Headache"), D386+7,
OR(E386="Viral Fever",E386="General Checkup","Routine Health Check"), "",
TRUE,""
)</f>
        <v/>
      </c>
      <c r="I386" s="1" t="str">
        <f t="shared" ref="I386:I449" si="12">IF(H386="","No Follow-up Required","Follow-up Scheduled")</f>
        <v>No Follow-up Required</v>
      </c>
      <c r="J386" t="str">
        <f>TEXT(Table8[[#This Row],[visit_Date]],"DDDD")</f>
        <v>Saturday</v>
      </c>
      <c r="K386" t="str">
        <f>TEXT(Table8[[#This Row],[visit_Date]],"mmmm")</f>
        <v>February</v>
      </c>
      <c r="L386" t="str">
        <f t="shared" ref="L386:L449" si="13">IF(OR(MONTH(D386)=12,MONTH(D386)&lt;=2),"Winter",
IF(MONTH(D386)&lt;=5,"Summer","Monsoon"))</f>
        <v>Winter</v>
      </c>
    </row>
    <row r="387" spans="1:12" x14ac:dyDescent="0.25">
      <c r="A387">
        <v>386</v>
      </c>
      <c r="B387">
        <v>1024</v>
      </c>
      <c r="C387">
        <v>1333</v>
      </c>
      <c r="D387" s="1">
        <v>45694</v>
      </c>
      <c r="E387" t="s">
        <v>317</v>
      </c>
      <c r="F387" t="s">
        <v>318</v>
      </c>
      <c r="G387" t="str">
        <f>_xlfn.XLOOKUP(TRIM(E388),MedicineInfo!A:A,MedicineInfo!B:B,"Not Found")</f>
        <v>Sumatriptan</v>
      </c>
      <c r="H387" s="1" cm="1">
        <f t="array" ref="H387">_xlfn.IFS(
OR(E387="Type 2 Diabetes",E387="Essential Hypertension",E387="Angina Pectoris",E387="Bronchial Asthma",E387="Cardiac Arrhythmia"), D387+30,
OR(E387="Gastritis",E387="Osteoarthritis",E387="Bronchitis",E387="Iron Deficiency Anemia"), D387+14,
OR(E387="Lumbar Strain",E387="Migraine Headache"), D387+7,
OR(E387="Viral Fever",E387="General Checkup","Routine Health Check"), "",
TRUE,""
)</f>
        <v>45724</v>
      </c>
      <c r="I387" s="1" t="str">
        <f t="shared" si="12"/>
        <v>Follow-up Scheduled</v>
      </c>
      <c r="J387" t="str">
        <f>TEXT(Table8[[#This Row],[visit_Date]],"DDDD")</f>
        <v>Thursday</v>
      </c>
      <c r="K387" t="str">
        <f>TEXT(Table8[[#This Row],[visit_Date]],"mmmm")</f>
        <v>February</v>
      </c>
      <c r="L387" t="str">
        <f t="shared" si="13"/>
        <v>Winter</v>
      </c>
    </row>
    <row r="388" spans="1:12" x14ac:dyDescent="0.25">
      <c r="A388">
        <v>387</v>
      </c>
      <c r="B388">
        <v>1009</v>
      </c>
      <c r="C388">
        <v>791</v>
      </c>
      <c r="D388" s="1">
        <v>45669</v>
      </c>
      <c r="E388" t="s">
        <v>315</v>
      </c>
      <c r="F388" t="s">
        <v>316</v>
      </c>
      <c r="G388" t="str">
        <f>_xlfn.XLOOKUP(TRIM(E389),MedicineInfo!A:A,MedicineInfo!B:B,"Not Found")</f>
        <v>Multivitamin</v>
      </c>
      <c r="H388" s="1" cm="1">
        <f t="array" ref="H388">_xlfn.IFS(
OR(E388="Type 2 Diabetes",E388="Essential Hypertension",E388="Angina Pectoris",E388="Bronchial Asthma",E388="Cardiac Arrhythmia"), D388+30,
OR(E388="Gastritis",E388="Osteoarthritis",E388="Bronchitis",E388="Iron Deficiency Anemia"), D388+14,
OR(E388="Lumbar Strain",E388="Migraine Headache"), D388+7,
OR(E388="Viral Fever",E388="General Checkup","Routine Health Check"), "",
TRUE,""
)</f>
        <v>45676</v>
      </c>
      <c r="I388" s="1" t="str">
        <f t="shared" si="12"/>
        <v>Follow-up Scheduled</v>
      </c>
      <c r="J388" t="str">
        <f>TEXT(Table8[[#This Row],[visit_Date]],"DDDD")</f>
        <v>Sunday</v>
      </c>
      <c r="K388" t="str">
        <f>TEXT(Table8[[#This Row],[visit_Date]],"mmmm")</f>
        <v>January</v>
      </c>
      <c r="L388" t="str">
        <f t="shared" si="13"/>
        <v>Winter</v>
      </c>
    </row>
    <row r="389" spans="1:12" x14ac:dyDescent="0.25">
      <c r="A389">
        <v>388</v>
      </c>
      <c r="B389">
        <v>1027</v>
      </c>
      <c r="C389">
        <v>1527</v>
      </c>
      <c r="D389" s="1">
        <v>45862</v>
      </c>
      <c r="E389" t="s">
        <v>24</v>
      </c>
      <c r="F389" t="s">
        <v>321</v>
      </c>
      <c r="G389" t="str">
        <f>_xlfn.XLOOKUP(TRIM(E390),MedicineInfo!A:A,MedicineInfo!B:B,"Not Found")</f>
        <v>Amlodipine</v>
      </c>
      <c r="H389" s="1" t="str" cm="1">
        <f t="array" ref="H389">_xlfn.IFS(
OR(E389="Type 2 Diabetes",E389="Essential Hypertension",E389="Angina Pectoris",E389="Bronchial Asthma",E389="Cardiac Arrhythmia"), D389+30,
OR(E389="Gastritis",E389="Osteoarthritis",E389="Bronchitis",E389="Iron Deficiency Anemia"), D389+14,
OR(E389="Lumbar Strain",E389="Migraine Headache"), D389+7,
OR(E389="Viral Fever",E389="General Checkup","Routine Health Check"), "",
TRUE,""
)</f>
        <v/>
      </c>
      <c r="I389" s="1" t="str">
        <f t="shared" si="12"/>
        <v>No Follow-up Required</v>
      </c>
      <c r="J389" t="str">
        <f>TEXT(Table8[[#This Row],[visit_Date]],"DDDD")</f>
        <v>Thursday</v>
      </c>
      <c r="K389" t="str">
        <f>TEXT(Table8[[#This Row],[visit_Date]],"mmmm")</f>
        <v>July</v>
      </c>
      <c r="L389" t="str">
        <f t="shared" si="13"/>
        <v>Monsoon</v>
      </c>
    </row>
    <row r="390" spans="1:12" x14ac:dyDescent="0.25">
      <c r="A390">
        <v>389</v>
      </c>
      <c r="B390">
        <v>1004</v>
      </c>
      <c r="C390">
        <v>171</v>
      </c>
      <c r="D390" s="1">
        <v>45837</v>
      </c>
      <c r="E390" t="s">
        <v>319</v>
      </c>
      <c r="F390" t="s">
        <v>320</v>
      </c>
      <c r="G390" t="str">
        <f>_xlfn.XLOOKUP(TRIM(E391),MedicineInfo!A:A,MedicineInfo!B:B,"Not Found")</f>
        <v>Sumatriptan</v>
      </c>
      <c r="H390" s="1" cm="1">
        <f t="array" ref="H390">_xlfn.IFS(
OR(E390="Type 2 Diabetes",E390="Essential Hypertension",E390="Angina Pectoris",E390="Bronchial Asthma",E390="Cardiac Arrhythmia"), D390+30,
OR(E390="Gastritis",E390="Osteoarthritis",E390="Bronchitis",E390="Iron Deficiency Anemia"), D390+14,
OR(E390="Lumbar Strain",E390="Migraine Headache"), D390+7,
OR(E390="Viral Fever",E390="General Checkup","Routine Health Check"), "",
TRUE,""
)</f>
        <v>45867</v>
      </c>
      <c r="I390" s="1" t="str">
        <f t="shared" si="12"/>
        <v>Follow-up Scheduled</v>
      </c>
      <c r="J390" t="str">
        <f>TEXT(Table8[[#This Row],[visit_Date]],"DDDD")</f>
        <v>Sunday</v>
      </c>
      <c r="K390" t="str">
        <f>TEXT(Table8[[#This Row],[visit_Date]],"mmmm")</f>
        <v>June</v>
      </c>
      <c r="L390" t="str">
        <f t="shared" si="13"/>
        <v>Monsoon</v>
      </c>
    </row>
    <row r="391" spans="1:12" x14ac:dyDescent="0.25">
      <c r="A391">
        <v>390</v>
      </c>
      <c r="B391">
        <v>1008</v>
      </c>
      <c r="C391">
        <v>408</v>
      </c>
      <c r="D391" s="1">
        <v>45819</v>
      </c>
      <c r="E391" t="s">
        <v>315</v>
      </c>
      <c r="F391" t="s">
        <v>316</v>
      </c>
      <c r="G391" t="str">
        <f>_xlfn.XLOOKUP(TRIM(E392),MedicineInfo!A:A,MedicineInfo!B:B,"Not Found")</f>
        <v>Salbutamol Inhaler</v>
      </c>
      <c r="H391" s="1" cm="1">
        <f t="array" ref="H391">_xlfn.IFS(
OR(E391="Type 2 Diabetes",E391="Essential Hypertension",E391="Angina Pectoris",E391="Bronchial Asthma",E391="Cardiac Arrhythmia"), D391+30,
OR(E391="Gastritis",E391="Osteoarthritis",E391="Bronchitis",E391="Iron Deficiency Anemia"), D391+14,
OR(E391="Lumbar Strain",E391="Migraine Headache"), D391+7,
OR(E391="Viral Fever",E391="General Checkup","Routine Health Check"), "",
TRUE,""
)</f>
        <v>45826</v>
      </c>
      <c r="I391" s="1" t="str">
        <f t="shared" si="12"/>
        <v>Follow-up Scheduled</v>
      </c>
      <c r="J391" t="str">
        <f>TEXT(Table8[[#This Row],[visit_Date]],"DDDD")</f>
        <v>Wednesday</v>
      </c>
      <c r="K391" t="str">
        <f>TEXT(Table8[[#This Row],[visit_Date]],"mmmm")</f>
        <v>June</v>
      </c>
      <c r="L391" t="str">
        <f t="shared" si="13"/>
        <v>Monsoon</v>
      </c>
    </row>
    <row r="392" spans="1:12" x14ac:dyDescent="0.25">
      <c r="A392">
        <v>391</v>
      </c>
      <c r="B392">
        <v>1020</v>
      </c>
      <c r="C392">
        <v>891</v>
      </c>
      <c r="D392" s="1">
        <v>45792</v>
      </c>
      <c r="E392" t="s">
        <v>324</v>
      </c>
      <c r="F392" t="s">
        <v>325</v>
      </c>
      <c r="G392" t="str">
        <f>_xlfn.XLOOKUP(TRIM(E393),MedicineInfo!A:A,MedicineInfo!B:B,"Not Found")</f>
        <v>Metformin</v>
      </c>
      <c r="H392" s="1" cm="1">
        <f t="array" ref="H392">_xlfn.IFS(
OR(E392="Type 2 Diabetes",E392="Essential Hypertension",E392="Angina Pectoris",E392="Bronchial Asthma",E392="Cardiac Arrhythmia"), D392+30,
OR(E392="Gastritis",E392="Osteoarthritis",E392="Bronchitis",E392="Iron Deficiency Anemia"), D392+14,
OR(E392="Lumbar Strain",E392="Migraine Headache"), D392+7,
OR(E392="Viral Fever",E392="General Checkup","Routine Health Check"), "",
TRUE,""
)</f>
        <v>45822</v>
      </c>
      <c r="I392" s="1" t="str">
        <f t="shared" si="12"/>
        <v>Follow-up Scheduled</v>
      </c>
      <c r="J392" t="str">
        <f>TEXT(Table8[[#This Row],[visit_Date]],"DDDD")</f>
        <v>Thursday</v>
      </c>
      <c r="K392" t="str">
        <f>TEXT(Table8[[#This Row],[visit_Date]],"mmmm")</f>
        <v>May</v>
      </c>
      <c r="L392" t="str">
        <f t="shared" si="13"/>
        <v>Summer</v>
      </c>
    </row>
    <row r="393" spans="1:12" x14ac:dyDescent="0.25">
      <c r="A393">
        <v>392</v>
      </c>
      <c r="B393">
        <v>1024</v>
      </c>
      <c r="C393">
        <v>258</v>
      </c>
      <c r="D393" s="1">
        <v>45791</v>
      </c>
      <c r="E393" t="s">
        <v>317</v>
      </c>
      <c r="F393" t="s">
        <v>318</v>
      </c>
      <c r="G393" t="str">
        <f>_xlfn.XLOOKUP(TRIM(E394),MedicineInfo!A:A,MedicineInfo!B:B,"Not Found")</f>
        <v>Amlodipine</v>
      </c>
      <c r="H393" s="1" cm="1">
        <f t="array" ref="H393">_xlfn.IFS(
OR(E393="Type 2 Diabetes",E393="Essential Hypertension",E393="Angina Pectoris",E393="Bronchial Asthma",E393="Cardiac Arrhythmia"), D393+30,
OR(E393="Gastritis",E393="Osteoarthritis",E393="Bronchitis",E393="Iron Deficiency Anemia"), D393+14,
OR(E393="Lumbar Strain",E393="Migraine Headache"), D393+7,
OR(E393="Viral Fever",E393="General Checkup","Routine Health Check"), "",
TRUE,""
)</f>
        <v>45821</v>
      </c>
      <c r="I393" s="1" t="str">
        <f t="shared" si="12"/>
        <v>Follow-up Scheduled</v>
      </c>
      <c r="J393" t="str">
        <f>TEXT(Table8[[#This Row],[visit_Date]],"DDDD")</f>
        <v>Wednesday</v>
      </c>
      <c r="K393" t="str">
        <f>TEXT(Table8[[#This Row],[visit_Date]],"mmmm")</f>
        <v>May</v>
      </c>
      <c r="L393" t="str">
        <f t="shared" si="13"/>
        <v>Summer</v>
      </c>
    </row>
    <row r="394" spans="1:12" x14ac:dyDescent="0.25">
      <c r="A394">
        <v>393</v>
      </c>
      <c r="B394">
        <v>1001</v>
      </c>
      <c r="C394">
        <v>1500</v>
      </c>
      <c r="D394" s="1">
        <v>45798</v>
      </c>
      <c r="E394" t="s">
        <v>319</v>
      </c>
      <c r="F394" t="s">
        <v>320</v>
      </c>
      <c r="G394" t="str">
        <f>_xlfn.XLOOKUP(TRIM(E395),MedicineInfo!A:A,MedicineInfo!B:B,"Not Found")</f>
        <v>Salbutamol Inhaler</v>
      </c>
      <c r="H394" s="1" cm="1">
        <f t="array" ref="H394">_xlfn.IFS(
OR(E394="Type 2 Diabetes",E394="Essential Hypertension",E394="Angina Pectoris",E394="Bronchial Asthma",E394="Cardiac Arrhythmia"), D394+30,
OR(E394="Gastritis",E394="Osteoarthritis",E394="Bronchitis",E394="Iron Deficiency Anemia"), D394+14,
OR(E394="Lumbar Strain",E394="Migraine Headache"), D394+7,
OR(E394="Viral Fever",E394="General Checkup","Routine Health Check"), "",
TRUE,""
)</f>
        <v>45828</v>
      </c>
      <c r="I394" s="1" t="str">
        <f t="shared" si="12"/>
        <v>Follow-up Scheduled</v>
      </c>
      <c r="J394" t="str">
        <f>TEXT(Table8[[#This Row],[visit_Date]],"DDDD")</f>
        <v>Wednesday</v>
      </c>
      <c r="K394" t="str">
        <f>TEXT(Table8[[#This Row],[visit_Date]],"mmmm")</f>
        <v>May</v>
      </c>
      <c r="L394" t="str">
        <f t="shared" si="13"/>
        <v>Summer</v>
      </c>
    </row>
    <row r="395" spans="1:12" x14ac:dyDescent="0.25">
      <c r="A395">
        <v>394</v>
      </c>
      <c r="B395">
        <v>1020</v>
      </c>
      <c r="C395">
        <v>532</v>
      </c>
      <c r="D395" s="1">
        <v>45783</v>
      </c>
      <c r="E395" t="s">
        <v>324</v>
      </c>
      <c r="F395" t="s">
        <v>325</v>
      </c>
      <c r="G395" t="str">
        <f>_xlfn.XLOOKUP(TRIM(E396),MedicineInfo!A:A,MedicineInfo!B:B,"Not Found")</f>
        <v>Amlodipine</v>
      </c>
      <c r="H395" s="1" cm="1">
        <f t="array" ref="H395">_xlfn.IFS(
OR(E395="Type 2 Diabetes",E395="Essential Hypertension",E395="Angina Pectoris",E395="Bronchial Asthma",E395="Cardiac Arrhythmia"), D395+30,
OR(E395="Gastritis",E395="Osteoarthritis",E395="Bronchitis",E395="Iron Deficiency Anemia"), D395+14,
OR(E395="Lumbar Strain",E395="Migraine Headache"), D395+7,
OR(E395="Viral Fever",E395="General Checkup","Routine Health Check"), "",
TRUE,""
)</f>
        <v>45813</v>
      </c>
      <c r="I395" s="1" t="str">
        <f t="shared" si="12"/>
        <v>Follow-up Scheduled</v>
      </c>
      <c r="J395" t="str">
        <f>TEXT(Table8[[#This Row],[visit_Date]],"DDDD")</f>
        <v>Tuesday</v>
      </c>
      <c r="K395" t="str">
        <f>TEXT(Table8[[#This Row],[visit_Date]],"mmmm")</f>
        <v>May</v>
      </c>
      <c r="L395" t="str">
        <f t="shared" si="13"/>
        <v>Summer</v>
      </c>
    </row>
    <row r="396" spans="1:12" x14ac:dyDescent="0.25">
      <c r="A396">
        <v>395</v>
      </c>
      <c r="B396">
        <v>1002</v>
      </c>
      <c r="C396">
        <v>1030</v>
      </c>
      <c r="D396" s="1">
        <v>45730</v>
      </c>
      <c r="E396" t="s">
        <v>319</v>
      </c>
      <c r="F396" t="s">
        <v>320</v>
      </c>
      <c r="G396" t="str">
        <f>_xlfn.XLOOKUP(TRIM(E397),MedicineInfo!A:A,MedicineInfo!B:B,"Not Found")</f>
        <v>Multivitamin</v>
      </c>
      <c r="H396" s="1" cm="1">
        <f t="array" ref="H396">_xlfn.IFS(
OR(E396="Type 2 Diabetes",E396="Essential Hypertension",E396="Angina Pectoris",E396="Bronchial Asthma",E396="Cardiac Arrhythmia"), D396+30,
OR(E396="Gastritis",E396="Osteoarthritis",E396="Bronchitis",E396="Iron Deficiency Anemia"), D396+14,
OR(E396="Lumbar Strain",E396="Migraine Headache"), D396+7,
OR(E396="Viral Fever",E396="General Checkup","Routine Health Check"), "",
TRUE,""
)</f>
        <v>45760</v>
      </c>
      <c r="I396" s="1" t="str">
        <f t="shared" si="12"/>
        <v>Follow-up Scheduled</v>
      </c>
      <c r="J396" t="str">
        <f>TEXT(Table8[[#This Row],[visit_Date]],"DDDD")</f>
        <v>Friday</v>
      </c>
      <c r="K396" t="str">
        <f>TEXT(Table8[[#This Row],[visit_Date]],"mmmm")</f>
        <v>March</v>
      </c>
      <c r="L396" t="str">
        <f t="shared" si="13"/>
        <v>Summer</v>
      </c>
    </row>
    <row r="397" spans="1:12" x14ac:dyDescent="0.25">
      <c r="A397">
        <v>396</v>
      </c>
      <c r="B397">
        <v>1027</v>
      </c>
      <c r="C397">
        <v>413</v>
      </c>
      <c r="D397" s="1">
        <v>45691</v>
      </c>
      <c r="E397" t="s">
        <v>24</v>
      </c>
      <c r="F397" t="s">
        <v>321</v>
      </c>
      <c r="G397" t="str">
        <f>_xlfn.XLOOKUP(TRIM(E398),MedicineInfo!A:A,MedicineInfo!B:B,"Not Found")</f>
        <v>Diclofenac</v>
      </c>
      <c r="H397" s="1" t="str" cm="1">
        <f t="array" ref="H397">_xlfn.IFS(
OR(E397="Type 2 Diabetes",E397="Essential Hypertension",E397="Angina Pectoris",E397="Bronchial Asthma",E397="Cardiac Arrhythmia"), D397+30,
OR(E397="Gastritis",E397="Osteoarthritis",E397="Bronchitis",E397="Iron Deficiency Anemia"), D397+14,
OR(E397="Lumbar Strain",E397="Migraine Headache"), D397+7,
OR(E397="Viral Fever",E397="General Checkup","Routine Health Check"), "",
TRUE,""
)</f>
        <v/>
      </c>
      <c r="I397" s="1" t="str">
        <f t="shared" si="12"/>
        <v>No Follow-up Required</v>
      </c>
      <c r="J397" t="str">
        <f>TEXT(Table8[[#This Row],[visit_Date]],"DDDD")</f>
        <v>Monday</v>
      </c>
      <c r="K397" t="str">
        <f>TEXT(Table8[[#This Row],[visit_Date]],"mmmm")</f>
        <v>February</v>
      </c>
      <c r="L397" t="str">
        <f t="shared" si="13"/>
        <v>Winter</v>
      </c>
    </row>
    <row r="398" spans="1:12" x14ac:dyDescent="0.25">
      <c r="A398">
        <v>397</v>
      </c>
      <c r="B398">
        <v>1027</v>
      </c>
      <c r="C398">
        <v>1421</v>
      </c>
      <c r="D398" s="1">
        <v>45671</v>
      </c>
      <c r="E398" t="s">
        <v>313</v>
      </c>
      <c r="F398" t="s">
        <v>314</v>
      </c>
      <c r="G398" t="str">
        <f>_xlfn.XLOOKUP(TRIM(E399),MedicineInfo!A:A,MedicineInfo!B:B,"Not Found")</f>
        <v>Amlodipine</v>
      </c>
      <c r="H398" s="1" cm="1">
        <f t="array" ref="H398">_xlfn.IFS(
OR(E398="Type 2 Diabetes",E398="Essential Hypertension",E398="Angina Pectoris",E398="Bronchial Asthma",E398="Cardiac Arrhythmia"), D398+30,
OR(E398="Gastritis",E398="Osteoarthritis",E398="Bronchitis",E398="Iron Deficiency Anemia"), D398+14,
OR(E398="Lumbar Strain",E398="Migraine Headache"), D398+7,
OR(E398="Viral Fever",E398="General Checkup","Routine Health Check"), "",
TRUE,""
)</f>
        <v>45678</v>
      </c>
      <c r="I398" s="1" t="str">
        <f t="shared" si="12"/>
        <v>Follow-up Scheduled</v>
      </c>
      <c r="J398" t="str">
        <f>TEXT(Table8[[#This Row],[visit_Date]],"DDDD")</f>
        <v>Tuesday</v>
      </c>
      <c r="K398" t="str">
        <f>TEXT(Table8[[#This Row],[visit_Date]],"mmmm")</f>
        <v>January</v>
      </c>
      <c r="L398" t="str">
        <f t="shared" si="13"/>
        <v>Winter</v>
      </c>
    </row>
    <row r="399" spans="1:12" x14ac:dyDescent="0.25">
      <c r="A399">
        <v>398</v>
      </c>
      <c r="B399">
        <v>1002</v>
      </c>
      <c r="C399">
        <v>776</v>
      </c>
      <c r="D399" s="1">
        <v>45783</v>
      </c>
      <c r="E399" t="s">
        <v>319</v>
      </c>
      <c r="F399" t="s">
        <v>320</v>
      </c>
      <c r="G399" t="str">
        <f>_xlfn.XLOOKUP(TRIM(E400),MedicineInfo!A:A,MedicineInfo!B:B,"Not Found")</f>
        <v>Nitroglycerin</v>
      </c>
      <c r="H399" s="1" cm="1">
        <f t="array" ref="H399">_xlfn.IFS(
OR(E399="Type 2 Diabetes",E399="Essential Hypertension",E399="Angina Pectoris",E399="Bronchial Asthma",E399="Cardiac Arrhythmia"), D399+30,
OR(E399="Gastritis",E399="Osteoarthritis",E399="Bronchitis",E399="Iron Deficiency Anemia"), D399+14,
OR(E399="Lumbar Strain",E399="Migraine Headache"), D399+7,
OR(E399="Viral Fever",E399="General Checkup","Routine Health Check"), "",
TRUE,""
)</f>
        <v>45813</v>
      </c>
      <c r="I399" s="1" t="str">
        <f t="shared" si="12"/>
        <v>Follow-up Scheduled</v>
      </c>
      <c r="J399" t="str">
        <f>TEXT(Table8[[#This Row],[visit_Date]],"DDDD")</f>
        <v>Tuesday</v>
      </c>
      <c r="K399" t="str">
        <f>TEXT(Table8[[#This Row],[visit_Date]],"mmmm")</f>
        <v>May</v>
      </c>
      <c r="L399" t="str">
        <f t="shared" si="13"/>
        <v>Summer</v>
      </c>
    </row>
    <row r="400" spans="1:12" x14ac:dyDescent="0.25">
      <c r="A400">
        <v>399</v>
      </c>
      <c r="B400">
        <v>1027</v>
      </c>
      <c r="C400">
        <v>182</v>
      </c>
      <c r="D400" s="1">
        <v>45665</v>
      </c>
      <c r="E400" t="s">
        <v>322</v>
      </c>
      <c r="F400" t="s">
        <v>323</v>
      </c>
      <c r="G400" t="str">
        <f>_xlfn.XLOOKUP(TRIM(E401),MedicineInfo!A:A,MedicineInfo!B:B,"Not Found")</f>
        <v>Nitroglycerin</v>
      </c>
      <c r="H400" s="1" cm="1">
        <f t="array" ref="H400">_xlfn.IFS(
OR(E400="Type 2 Diabetes",E400="Essential Hypertension",E400="Angina Pectoris",E400="Bronchial Asthma",E400="Cardiac Arrhythmia"), D400+30,
OR(E400="Gastritis",E400="Osteoarthritis",E400="Bronchitis",E400="Iron Deficiency Anemia"), D400+14,
OR(E400="Lumbar Strain",E400="Migraine Headache"), D400+7,
OR(E400="Viral Fever",E400="General Checkup","Routine Health Check"), "",
TRUE,""
)</f>
        <v>45695</v>
      </c>
      <c r="I400" s="1" t="str">
        <f t="shared" si="12"/>
        <v>Follow-up Scheduled</v>
      </c>
      <c r="J400" t="str">
        <f>TEXT(Table8[[#This Row],[visit_Date]],"DDDD")</f>
        <v>Wednesday</v>
      </c>
      <c r="K400" t="str">
        <f>TEXT(Table8[[#This Row],[visit_Date]],"mmmm")</f>
        <v>January</v>
      </c>
      <c r="L400" t="str">
        <f t="shared" si="13"/>
        <v>Winter</v>
      </c>
    </row>
    <row r="401" spans="1:12" x14ac:dyDescent="0.25">
      <c r="A401">
        <v>400</v>
      </c>
      <c r="B401">
        <v>1001</v>
      </c>
      <c r="C401">
        <v>968</v>
      </c>
      <c r="D401" s="1">
        <v>45812</v>
      </c>
      <c r="E401" t="s">
        <v>322</v>
      </c>
      <c r="F401" t="s">
        <v>323</v>
      </c>
      <c r="G401" t="str">
        <f>_xlfn.XLOOKUP(TRIM(E402),MedicineInfo!A:A,MedicineInfo!B:B,"Not Found")</f>
        <v>Metformin</v>
      </c>
      <c r="H401" s="1" cm="1">
        <f t="array" ref="H401">_xlfn.IFS(
OR(E401="Type 2 Diabetes",E401="Essential Hypertension",E401="Angina Pectoris",E401="Bronchial Asthma",E401="Cardiac Arrhythmia"), D401+30,
OR(E401="Gastritis",E401="Osteoarthritis",E401="Bronchitis",E401="Iron Deficiency Anemia"), D401+14,
OR(E401="Lumbar Strain",E401="Migraine Headache"), D401+7,
OR(E401="Viral Fever",E401="General Checkup","Routine Health Check"), "",
TRUE,""
)</f>
        <v>45842</v>
      </c>
      <c r="I401" s="1" t="str">
        <f t="shared" si="12"/>
        <v>Follow-up Scheduled</v>
      </c>
      <c r="J401" t="str">
        <f>TEXT(Table8[[#This Row],[visit_Date]],"DDDD")</f>
        <v>Wednesday</v>
      </c>
      <c r="K401" t="str">
        <f>TEXT(Table8[[#This Row],[visit_Date]],"mmmm")</f>
        <v>June</v>
      </c>
      <c r="L401" t="str">
        <f t="shared" si="13"/>
        <v>Monsoon</v>
      </c>
    </row>
    <row r="402" spans="1:12" x14ac:dyDescent="0.25">
      <c r="A402">
        <v>401</v>
      </c>
      <c r="B402">
        <v>1024</v>
      </c>
      <c r="C402">
        <v>811</v>
      </c>
      <c r="D402" s="1">
        <v>45791</v>
      </c>
      <c r="E402" t="s">
        <v>317</v>
      </c>
      <c r="F402" t="s">
        <v>318</v>
      </c>
      <c r="G402" t="str">
        <f>_xlfn.XLOOKUP(TRIM(E403),MedicineInfo!A:A,MedicineInfo!B:B,"Not Found")</f>
        <v>Salbutamol Inhaler</v>
      </c>
      <c r="H402" s="1" cm="1">
        <f t="array" ref="H402">_xlfn.IFS(
OR(E402="Type 2 Diabetes",E402="Essential Hypertension",E402="Angina Pectoris",E402="Bronchial Asthma",E402="Cardiac Arrhythmia"), D402+30,
OR(E402="Gastritis",E402="Osteoarthritis",E402="Bronchitis",E402="Iron Deficiency Anemia"), D402+14,
OR(E402="Lumbar Strain",E402="Migraine Headache"), D402+7,
OR(E402="Viral Fever",E402="General Checkup","Routine Health Check"), "",
TRUE,""
)</f>
        <v>45821</v>
      </c>
      <c r="I402" s="1" t="str">
        <f t="shared" si="12"/>
        <v>Follow-up Scheduled</v>
      </c>
      <c r="J402" t="str">
        <f>TEXT(Table8[[#This Row],[visit_Date]],"DDDD")</f>
        <v>Wednesday</v>
      </c>
      <c r="K402" t="str">
        <f>TEXT(Table8[[#This Row],[visit_Date]],"mmmm")</f>
        <v>May</v>
      </c>
      <c r="L402" t="str">
        <f t="shared" si="13"/>
        <v>Summer</v>
      </c>
    </row>
    <row r="403" spans="1:12" x14ac:dyDescent="0.25">
      <c r="A403">
        <v>402</v>
      </c>
      <c r="B403">
        <v>1020</v>
      </c>
      <c r="C403">
        <v>1023</v>
      </c>
      <c r="D403" s="1">
        <v>45758</v>
      </c>
      <c r="E403" t="s">
        <v>324</v>
      </c>
      <c r="F403" t="s">
        <v>325</v>
      </c>
      <c r="G403" t="str">
        <f>_xlfn.XLOOKUP(TRIM(E404),MedicineInfo!A:A,MedicineInfo!B:B,"Not Found")</f>
        <v>Metformin</v>
      </c>
      <c r="H403" s="1" cm="1">
        <f t="array" ref="H403">_xlfn.IFS(
OR(E403="Type 2 Diabetes",E403="Essential Hypertension",E403="Angina Pectoris",E403="Bronchial Asthma",E403="Cardiac Arrhythmia"), D403+30,
OR(E403="Gastritis",E403="Osteoarthritis",E403="Bronchitis",E403="Iron Deficiency Anemia"), D403+14,
OR(E403="Lumbar Strain",E403="Migraine Headache"), D403+7,
OR(E403="Viral Fever",E403="General Checkup","Routine Health Check"), "",
TRUE,""
)</f>
        <v>45788</v>
      </c>
      <c r="I403" s="1" t="str">
        <f t="shared" si="12"/>
        <v>Follow-up Scheduled</v>
      </c>
      <c r="J403" t="str">
        <f>TEXT(Table8[[#This Row],[visit_Date]],"DDDD")</f>
        <v>Friday</v>
      </c>
      <c r="K403" t="str">
        <f>TEXT(Table8[[#This Row],[visit_Date]],"mmmm")</f>
        <v>April</v>
      </c>
      <c r="L403" t="str">
        <f t="shared" si="13"/>
        <v>Summer</v>
      </c>
    </row>
    <row r="404" spans="1:12" x14ac:dyDescent="0.25">
      <c r="A404">
        <v>403</v>
      </c>
      <c r="B404">
        <v>1024</v>
      </c>
      <c r="C404">
        <v>925</v>
      </c>
      <c r="D404" s="1">
        <v>45740</v>
      </c>
      <c r="E404" t="s">
        <v>317</v>
      </c>
      <c r="F404" t="s">
        <v>318</v>
      </c>
      <c r="G404" t="str">
        <f>_xlfn.XLOOKUP(TRIM(E405),MedicineInfo!A:A,MedicineInfo!B:B,"Not Found")</f>
        <v>Amlodipine</v>
      </c>
      <c r="H404" s="1" cm="1">
        <f t="array" ref="H404">_xlfn.IFS(
OR(E404="Type 2 Diabetes",E404="Essential Hypertension",E404="Angina Pectoris",E404="Bronchial Asthma",E404="Cardiac Arrhythmia"), D404+30,
OR(E404="Gastritis",E404="Osteoarthritis",E404="Bronchitis",E404="Iron Deficiency Anemia"), D404+14,
OR(E404="Lumbar Strain",E404="Migraine Headache"), D404+7,
OR(E404="Viral Fever",E404="General Checkup","Routine Health Check"), "",
TRUE,""
)</f>
        <v>45770</v>
      </c>
      <c r="I404" s="1" t="str">
        <f t="shared" si="12"/>
        <v>Follow-up Scheduled</v>
      </c>
      <c r="J404" t="str">
        <f>TEXT(Table8[[#This Row],[visit_Date]],"DDDD")</f>
        <v>Monday</v>
      </c>
      <c r="K404" t="str">
        <f>TEXT(Table8[[#This Row],[visit_Date]],"mmmm")</f>
        <v>March</v>
      </c>
      <c r="L404" t="str">
        <f t="shared" si="13"/>
        <v>Summer</v>
      </c>
    </row>
    <row r="405" spans="1:12" x14ac:dyDescent="0.25">
      <c r="A405">
        <v>404</v>
      </c>
      <c r="B405">
        <v>1004</v>
      </c>
      <c r="C405">
        <v>1277</v>
      </c>
      <c r="D405" s="1">
        <v>45823</v>
      </c>
      <c r="E405" t="s">
        <v>319</v>
      </c>
      <c r="F405" t="s">
        <v>320</v>
      </c>
      <c r="G405" t="str">
        <f>_xlfn.XLOOKUP(TRIM(E406),MedicineInfo!A:A,MedicineInfo!B:B,"Not Found")</f>
        <v>Multivitamin</v>
      </c>
      <c r="H405" s="1" cm="1">
        <f t="array" ref="H405">_xlfn.IFS(
OR(E405="Type 2 Diabetes",E405="Essential Hypertension",E405="Angina Pectoris",E405="Bronchial Asthma",E405="Cardiac Arrhythmia"), D405+30,
OR(E405="Gastritis",E405="Osteoarthritis",E405="Bronchitis",E405="Iron Deficiency Anemia"), D405+14,
OR(E405="Lumbar Strain",E405="Migraine Headache"), D405+7,
OR(E405="Viral Fever",E405="General Checkup","Routine Health Check"), "",
TRUE,""
)</f>
        <v>45853</v>
      </c>
      <c r="I405" s="1" t="str">
        <f t="shared" si="12"/>
        <v>Follow-up Scheduled</v>
      </c>
      <c r="J405" t="str">
        <f>TEXT(Table8[[#This Row],[visit_Date]],"DDDD")</f>
        <v>Sunday</v>
      </c>
      <c r="K405" t="str">
        <f>TEXT(Table8[[#This Row],[visit_Date]],"mmmm")</f>
        <v>June</v>
      </c>
      <c r="L405" t="str">
        <f t="shared" si="13"/>
        <v>Monsoon</v>
      </c>
    </row>
    <row r="406" spans="1:12" x14ac:dyDescent="0.25">
      <c r="A406">
        <v>405</v>
      </c>
      <c r="B406">
        <v>1027</v>
      </c>
      <c r="C406">
        <v>142</v>
      </c>
      <c r="D406" s="1">
        <v>45819</v>
      </c>
      <c r="E406" t="s">
        <v>24</v>
      </c>
      <c r="F406" t="s">
        <v>321</v>
      </c>
      <c r="G406" t="str">
        <f>_xlfn.XLOOKUP(TRIM(E407),MedicineInfo!A:A,MedicineInfo!B:B,"Not Found")</f>
        <v>Multivitamin</v>
      </c>
      <c r="H406" s="1" t="str" cm="1">
        <f t="array" ref="H406">_xlfn.IFS(
OR(E406="Type 2 Diabetes",E406="Essential Hypertension",E406="Angina Pectoris",E406="Bronchial Asthma",E406="Cardiac Arrhythmia"), D406+30,
OR(E406="Gastritis",E406="Osteoarthritis",E406="Bronchitis",E406="Iron Deficiency Anemia"), D406+14,
OR(E406="Lumbar Strain",E406="Migraine Headache"), D406+7,
OR(E406="Viral Fever",E406="General Checkup","Routine Health Check"), "",
TRUE,""
)</f>
        <v/>
      </c>
      <c r="I406" s="1" t="str">
        <f t="shared" si="12"/>
        <v>No Follow-up Required</v>
      </c>
      <c r="J406" t="str">
        <f>TEXT(Table8[[#This Row],[visit_Date]],"DDDD")</f>
        <v>Wednesday</v>
      </c>
      <c r="K406" t="str">
        <f>TEXT(Table8[[#This Row],[visit_Date]],"mmmm")</f>
        <v>June</v>
      </c>
      <c r="L406" t="str">
        <f t="shared" si="13"/>
        <v>Monsoon</v>
      </c>
    </row>
    <row r="407" spans="1:12" x14ac:dyDescent="0.25">
      <c r="A407">
        <v>406</v>
      </c>
      <c r="B407">
        <v>1027</v>
      </c>
      <c r="C407">
        <v>1100</v>
      </c>
      <c r="D407" s="1">
        <v>45853</v>
      </c>
      <c r="E407" t="s">
        <v>24</v>
      </c>
      <c r="F407" t="s">
        <v>321</v>
      </c>
      <c r="G407" t="str">
        <f>_xlfn.XLOOKUP(TRIM(E408),MedicineInfo!A:A,MedicineInfo!B:B,"Not Found")</f>
        <v>Nitroglycerin</v>
      </c>
      <c r="H407" s="1" t="str" cm="1">
        <f t="array" ref="H407">_xlfn.IFS(
OR(E407="Type 2 Diabetes",E407="Essential Hypertension",E407="Angina Pectoris",E407="Bronchial Asthma",E407="Cardiac Arrhythmia"), D407+30,
OR(E407="Gastritis",E407="Osteoarthritis",E407="Bronchitis",E407="Iron Deficiency Anemia"), D407+14,
OR(E407="Lumbar Strain",E407="Migraine Headache"), D407+7,
OR(E407="Viral Fever",E407="General Checkup","Routine Health Check"), "",
TRUE,""
)</f>
        <v/>
      </c>
      <c r="I407" s="1" t="str">
        <f t="shared" si="12"/>
        <v>No Follow-up Required</v>
      </c>
      <c r="J407" t="str">
        <f>TEXT(Table8[[#This Row],[visit_Date]],"DDDD")</f>
        <v>Tuesday</v>
      </c>
      <c r="K407" t="str">
        <f>TEXT(Table8[[#This Row],[visit_Date]],"mmmm")</f>
        <v>July</v>
      </c>
      <c r="L407" t="str">
        <f t="shared" si="13"/>
        <v>Monsoon</v>
      </c>
    </row>
    <row r="408" spans="1:12" x14ac:dyDescent="0.25">
      <c r="A408">
        <v>407</v>
      </c>
      <c r="B408">
        <v>1027</v>
      </c>
      <c r="C408">
        <v>501</v>
      </c>
      <c r="D408" s="1">
        <v>45669</v>
      </c>
      <c r="E408" t="s">
        <v>322</v>
      </c>
      <c r="F408" t="s">
        <v>323</v>
      </c>
      <c r="G408" t="str">
        <f>_xlfn.XLOOKUP(TRIM(E409),MedicineInfo!A:A,MedicineInfo!B:B,"Not Found")</f>
        <v>Diclofenac</v>
      </c>
      <c r="H408" s="1" cm="1">
        <f t="array" ref="H408">_xlfn.IFS(
OR(E408="Type 2 Diabetes",E408="Essential Hypertension",E408="Angina Pectoris",E408="Bronchial Asthma",E408="Cardiac Arrhythmia"), D408+30,
OR(E408="Gastritis",E408="Osteoarthritis",E408="Bronchitis",E408="Iron Deficiency Anemia"), D408+14,
OR(E408="Lumbar Strain",E408="Migraine Headache"), D408+7,
OR(E408="Viral Fever",E408="General Checkup","Routine Health Check"), "",
TRUE,""
)</f>
        <v>45699</v>
      </c>
      <c r="I408" s="1" t="str">
        <f t="shared" si="12"/>
        <v>Follow-up Scheduled</v>
      </c>
      <c r="J408" t="str">
        <f>TEXT(Table8[[#This Row],[visit_Date]],"DDDD")</f>
        <v>Sunday</v>
      </c>
      <c r="K408" t="str">
        <f>TEXT(Table8[[#This Row],[visit_Date]],"mmmm")</f>
        <v>January</v>
      </c>
      <c r="L408" t="str">
        <f t="shared" si="13"/>
        <v>Winter</v>
      </c>
    </row>
    <row r="409" spans="1:12" x14ac:dyDescent="0.25">
      <c r="A409">
        <v>408</v>
      </c>
      <c r="B409">
        <v>1027</v>
      </c>
      <c r="C409">
        <v>1509</v>
      </c>
      <c r="D409" s="1">
        <v>45799</v>
      </c>
      <c r="E409" t="s">
        <v>313</v>
      </c>
      <c r="F409" t="s">
        <v>314</v>
      </c>
      <c r="G409" t="str">
        <f>_xlfn.XLOOKUP(TRIM(E410),MedicineInfo!A:A,MedicineInfo!B:B,"Not Found")</f>
        <v>Salbutamol Inhaler</v>
      </c>
      <c r="H409" s="1" cm="1">
        <f t="array" ref="H409">_xlfn.IFS(
OR(E409="Type 2 Diabetes",E409="Essential Hypertension",E409="Angina Pectoris",E409="Bronchial Asthma",E409="Cardiac Arrhythmia"), D409+30,
OR(E409="Gastritis",E409="Osteoarthritis",E409="Bronchitis",E409="Iron Deficiency Anemia"), D409+14,
OR(E409="Lumbar Strain",E409="Migraine Headache"), D409+7,
OR(E409="Viral Fever",E409="General Checkup","Routine Health Check"), "",
TRUE,""
)</f>
        <v>45806</v>
      </c>
      <c r="I409" s="1" t="str">
        <f t="shared" si="12"/>
        <v>Follow-up Scheduled</v>
      </c>
      <c r="J409" t="str">
        <f>TEXT(Table8[[#This Row],[visit_Date]],"DDDD")</f>
        <v>Thursday</v>
      </c>
      <c r="K409" t="str">
        <f>TEXT(Table8[[#This Row],[visit_Date]],"mmmm")</f>
        <v>May</v>
      </c>
      <c r="L409" t="str">
        <f t="shared" si="13"/>
        <v>Summer</v>
      </c>
    </row>
    <row r="410" spans="1:12" x14ac:dyDescent="0.25">
      <c r="A410">
        <v>409</v>
      </c>
      <c r="B410">
        <v>1020</v>
      </c>
      <c r="C410">
        <v>519</v>
      </c>
      <c r="D410" s="1">
        <v>45691</v>
      </c>
      <c r="E410" t="s">
        <v>324</v>
      </c>
      <c r="F410" t="s">
        <v>325</v>
      </c>
      <c r="G410" t="str">
        <f>_xlfn.XLOOKUP(TRIM(E411),MedicineInfo!A:A,MedicineInfo!B:B,"Not Found")</f>
        <v>Metformin</v>
      </c>
      <c r="H410" s="1" cm="1">
        <f t="array" ref="H410">_xlfn.IFS(
OR(E410="Type 2 Diabetes",E410="Essential Hypertension",E410="Angina Pectoris",E410="Bronchial Asthma",E410="Cardiac Arrhythmia"), D410+30,
OR(E410="Gastritis",E410="Osteoarthritis",E410="Bronchitis",E410="Iron Deficiency Anemia"), D410+14,
OR(E410="Lumbar Strain",E410="Migraine Headache"), D410+7,
OR(E410="Viral Fever",E410="General Checkup","Routine Health Check"), "",
TRUE,""
)</f>
        <v>45721</v>
      </c>
      <c r="I410" s="1" t="str">
        <f t="shared" si="12"/>
        <v>Follow-up Scheduled</v>
      </c>
      <c r="J410" t="str">
        <f>TEXT(Table8[[#This Row],[visit_Date]],"DDDD")</f>
        <v>Monday</v>
      </c>
      <c r="K410" t="str">
        <f>TEXT(Table8[[#This Row],[visit_Date]],"mmmm")</f>
        <v>February</v>
      </c>
      <c r="L410" t="str">
        <f t="shared" si="13"/>
        <v>Winter</v>
      </c>
    </row>
    <row r="411" spans="1:12" x14ac:dyDescent="0.25">
      <c r="A411">
        <v>410</v>
      </c>
      <c r="B411">
        <v>1024</v>
      </c>
      <c r="C411">
        <v>607</v>
      </c>
      <c r="D411" s="1">
        <v>45669</v>
      </c>
      <c r="E411" t="s">
        <v>317</v>
      </c>
      <c r="F411" t="s">
        <v>318</v>
      </c>
      <c r="G411" t="str">
        <f>_xlfn.XLOOKUP(TRIM(E412),MedicineInfo!A:A,MedicineInfo!B:B,"Not Found")</f>
        <v>Metformin</v>
      </c>
      <c r="H411" s="1" cm="1">
        <f t="array" ref="H411">_xlfn.IFS(
OR(E411="Type 2 Diabetes",E411="Essential Hypertension",E411="Angina Pectoris",E411="Bronchial Asthma",E411="Cardiac Arrhythmia"), D411+30,
OR(E411="Gastritis",E411="Osteoarthritis",E411="Bronchitis",E411="Iron Deficiency Anemia"), D411+14,
OR(E411="Lumbar Strain",E411="Migraine Headache"), D411+7,
OR(E411="Viral Fever",E411="General Checkup","Routine Health Check"), "",
TRUE,""
)</f>
        <v>45699</v>
      </c>
      <c r="I411" s="1" t="str">
        <f t="shared" si="12"/>
        <v>Follow-up Scheduled</v>
      </c>
      <c r="J411" t="str">
        <f>TEXT(Table8[[#This Row],[visit_Date]],"DDDD")</f>
        <v>Sunday</v>
      </c>
      <c r="K411" t="str">
        <f>TEXT(Table8[[#This Row],[visit_Date]],"mmmm")</f>
        <v>January</v>
      </c>
      <c r="L411" t="str">
        <f t="shared" si="13"/>
        <v>Winter</v>
      </c>
    </row>
    <row r="412" spans="1:12" x14ac:dyDescent="0.25">
      <c r="A412">
        <v>411</v>
      </c>
      <c r="B412">
        <v>1024</v>
      </c>
      <c r="C412">
        <v>783</v>
      </c>
      <c r="D412" s="1">
        <v>45670</v>
      </c>
      <c r="E412" t="s">
        <v>317</v>
      </c>
      <c r="F412" t="s">
        <v>318</v>
      </c>
      <c r="G412" t="str">
        <f>_xlfn.XLOOKUP(TRIM(E413),MedicineInfo!A:A,MedicineInfo!B:B,"Not Found")</f>
        <v>Sumatriptan</v>
      </c>
      <c r="H412" s="1" cm="1">
        <f t="array" ref="H412">_xlfn.IFS(
OR(E412="Type 2 Diabetes",E412="Essential Hypertension",E412="Angina Pectoris",E412="Bronchial Asthma",E412="Cardiac Arrhythmia"), D412+30,
OR(E412="Gastritis",E412="Osteoarthritis",E412="Bronchitis",E412="Iron Deficiency Anemia"), D412+14,
OR(E412="Lumbar Strain",E412="Migraine Headache"), D412+7,
OR(E412="Viral Fever",E412="General Checkup","Routine Health Check"), "",
TRUE,""
)</f>
        <v>45700</v>
      </c>
      <c r="I412" s="1" t="str">
        <f t="shared" si="12"/>
        <v>Follow-up Scheduled</v>
      </c>
      <c r="J412" t="str">
        <f>TEXT(Table8[[#This Row],[visit_Date]],"DDDD")</f>
        <v>Monday</v>
      </c>
      <c r="K412" t="str">
        <f>TEXT(Table8[[#This Row],[visit_Date]],"mmmm")</f>
        <v>January</v>
      </c>
      <c r="L412" t="str">
        <f t="shared" si="13"/>
        <v>Winter</v>
      </c>
    </row>
    <row r="413" spans="1:12" x14ac:dyDescent="0.25">
      <c r="A413">
        <v>412</v>
      </c>
      <c r="B413">
        <v>1009</v>
      </c>
      <c r="C413">
        <v>1366</v>
      </c>
      <c r="D413" s="1">
        <v>45791</v>
      </c>
      <c r="E413" t="s">
        <v>315</v>
      </c>
      <c r="F413" t="s">
        <v>316</v>
      </c>
      <c r="G413" t="str">
        <f>_xlfn.XLOOKUP(TRIM(E414),MedicineInfo!A:A,MedicineInfo!B:B,"Not Found")</f>
        <v>Amlodipine</v>
      </c>
      <c r="H413" s="1" cm="1">
        <f t="array" ref="H413">_xlfn.IFS(
OR(E413="Type 2 Diabetes",E413="Essential Hypertension",E413="Angina Pectoris",E413="Bronchial Asthma",E413="Cardiac Arrhythmia"), D413+30,
OR(E413="Gastritis",E413="Osteoarthritis",E413="Bronchitis",E413="Iron Deficiency Anemia"), D413+14,
OR(E413="Lumbar Strain",E413="Migraine Headache"), D413+7,
OR(E413="Viral Fever",E413="General Checkup","Routine Health Check"), "",
TRUE,""
)</f>
        <v>45798</v>
      </c>
      <c r="I413" s="1" t="str">
        <f t="shared" si="12"/>
        <v>Follow-up Scheduled</v>
      </c>
      <c r="J413" t="str">
        <f>TEXT(Table8[[#This Row],[visit_Date]],"DDDD")</f>
        <v>Wednesday</v>
      </c>
      <c r="K413" t="str">
        <f>TEXT(Table8[[#This Row],[visit_Date]],"mmmm")</f>
        <v>May</v>
      </c>
      <c r="L413" t="str">
        <f t="shared" si="13"/>
        <v>Summer</v>
      </c>
    </row>
    <row r="414" spans="1:12" x14ac:dyDescent="0.25">
      <c r="A414">
        <v>413</v>
      </c>
      <c r="B414">
        <v>1002</v>
      </c>
      <c r="C414">
        <v>1106</v>
      </c>
      <c r="D414" s="1">
        <v>45797</v>
      </c>
      <c r="E414" t="s">
        <v>319</v>
      </c>
      <c r="F414" t="s">
        <v>320</v>
      </c>
      <c r="G414" t="str">
        <f>_xlfn.XLOOKUP(TRIM(E415),MedicineInfo!A:A,MedicineInfo!B:B,"Not Found")</f>
        <v>Diclofenac</v>
      </c>
      <c r="H414" s="1" cm="1">
        <f t="array" ref="H414">_xlfn.IFS(
OR(E414="Type 2 Diabetes",E414="Essential Hypertension",E414="Angina Pectoris",E414="Bronchial Asthma",E414="Cardiac Arrhythmia"), D414+30,
OR(E414="Gastritis",E414="Osteoarthritis",E414="Bronchitis",E414="Iron Deficiency Anemia"), D414+14,
OR(E414="Lumbar Strain",E414="Migraine Headache"), D414+7,
OR(E414="Viral Fever",E414="General Checkup","Routine Health Check"), "",
TRUE,""
)</f>
        <v>45827</v>
      </c>
      <c r="I414" s="1" t="str">
        <f t="shared" si="12"/>
        <v>Follow-up Scheduled</v>
      </c>
      <c r="J414" t="str">
        <f>TEXT(Table8[[#This Row],[visit_Date]],"DDDD")</f>
        <v>Tuesday</v>
      </c>
      <c r="K414" t="str">
        <f>TEXT(Table8[[#This Row],[visit_Date]],"mmmm")</f>
        <v>May</v>
      </c>
      <c r="L414" t="str">
        <f t="shared" si="13"/>
        <v>Summer</v>
      </c>
    </row>
    <row r="415" spans="1:12" x14ac:dyDescent="0.25">
      <c r="A415">
        <v>414</v>
      </c>
      <c r="B415">
        <v>1027</v>
      </c>
      <c r="C415">
        <v>1598</v>
      </c>
      <c r="D415" s="1">
        <v>45672</v>
      </c>
      <c r="E415" t="s">
        <v>313</v>
      </c>
      <c r="F415" t="s">
        <v>314</v>
      </c>
      <c r="G415" t="str">
        <f>_xlfn.XLOOKUP(TRIM(E416),MedicineInfo!A:A,MedicineInfo!B:B,"Not Found")</f>
        <v>Salbutamol Inhaler</v>
      </c>
      <c r="H415" s="1" cm="1">
        <f t="array" ref="H415">_xlfn.IFS(
OR(E415="Type 2 Diabetes",E415="Essential Hypertension",E415="Angina Pectoris",E415="Bronchial Asthma",E415="Cardiac Arrhythmia"), D415+30,
OR(E415="Gastritis",E415="Osteoarthritis",E415="Bronchitis",E415="Iron Deficiency Anemia"), D415+14,
OR(E415="Lumbar Strain",E415="Migraine Headache"), D415+7,
OR(E415="Viral Fever",E415="General Checkup","Routine Health Check"), "",
TRUE,""
)</f>
        <v>45679</v>
      </c>
      <c r="I415" s="1" t="str">
        <f t="shared" si="12"/>
        <v>Follow-up Scheduled</v>
      </c>
      <c r="J415" t="str">
        <f>TEXT(Table8[[#This Row],[visit_Date]],"DDDD")</f>
        <v>Wednesday</v>
      </c>
      <c r="K415" t="str">
        <f>TEXT(Table8[[#This Row],[visit_Date]],"mmmm")</f>
        <v>January</v>
      </c>
      <c r="L415" t="str">
        <f t="shared" si="13"/>
        <v>Winter</v>
      </c>
    </row>
    <row r="416" spans="1:12" x14ac:dyDescent="0.25">
      <c r="A416">
        <v>415</v>
      </c>
      <c r="B416">
        <v>1020</v>
      </c>
      <c r="C416">
        <v>199</v>
      </c>
      <c r="D416" s="1">
        <v>45814</v>
      </c>
      <c r="E416" t="s">
        <v>324</v>
      </c>
      <c r="F416" t="s">
        <v>325</v>
      </c>
      <c r="G416" t="str">
        <f>_xlfn.XLOOKUP(TRIM(E417),MedicineInfo!A:A,MedicineInfo!B:B,"Not Found")</f>
        <v>Sumatriptan</v>
      </c>
      <c r="H416" s="1" cm="1">
        <f t="array" ref="H416">_xlfn.IFS(
OR(E416="Type 2 Diabetes",E416="Essential Hypertension",E416="Angina Pectoris",E416="Bronchial Asthma",E416="Cardiac Arrhythmia"), D416+30,
OR(E416="Gastritis",E416="Osteoarthritis",E416="Bronchitis",E416="Iron Deficiency Anemia"), D416+14,
OR(E416="Lumbar Strain",E416="Migraine Headache"), D416+7,
OR(E416="Viral Fever",E416="General Checkup","Routine Health Check"), "",
TRUE,""
)</f>
        <v>45844</v>
      </c>
      <c r="I416" s="1" t="str">
        <f t="shared" si="12"/>
        <v>Follow-up Scheduled</v>
      </c>
      <c r="J416" t="str">
        <f>TEXT(Table8[[#This Row],[visit_Date]],"DDDD")</f>
        <v>Friday</v>
      </c>
      <c r="K416" t="str">
        <f>TEXT(Table8[[#This Row],[visit_Date]],"mmmm")</f>
        <v>June</v>
      </c>
      <c r="L416" t="str">
        <f t="shared" si="13"/>
        <v>Monsoon</v>
      </c>
    </row>
    <row r="417" spans="1:12" x14ac:dyDescent="0.25">
      <c r="A417">
        <v>416</v>
      </c>
      <c r="B417">
        <v>1009</v>
      </c>
      <c r="C417">
        <v>580</v>
      </c>
      <c r="D417" s="1">
        <v>45832</v>
      </c>
      <c r="E417" t="s">
        <v>315</v>
      </c>
      <c r="F417" t="s">
        <v>316</v>
      </c>
      <c r="G417" t="str">
        <f>_xlfn.XLOOKUP(TRIM(E418),MedicineInfo!A:A,MedicineInfo!B:B,"Not Found")</f>
        <v>Nitroglycerin</v>
      </c>
      <c r="H417" s="1" cm="1">
        <f t="array" ref="H417">_xlfn.IFS(
OR(E417="Type 2 Diabetes",E417="Essential Hypertension",E417="Angina Pectoris",E417="Bronchial Asthma",E417="Cardiac Arrhythmia"), D417+30,
OR(E417="Gastritis",E417="Osteoarthritis",E417="Bronchitis",E417="Iron Deficiency Anemia"), D417+14,
OR(E417="Lumbar Strain",E417="Migraine Headache"), D417+7,
OR(E417="Viral Fever",E417="General Checkup","Routine Health Check"), "",
TRUE,""
)</f>
        <v>45839</v>
      </c>
      <c r="I417" s="1" t="str">
        <f t="shared" si="12"/>
        <v>Follow-up Scheduled</v>
      </c>
      <c r="J417" t="str">
        <f>TEXT(Table8[[#This Row],[visit_Date]],"DDDD")</f>
        <v>Tuesday</v>
      </c>
      <c r="K417" t="str">
        <f>TEXT(Table8[[#This Row],[visit_Date]],"mmmm")</f>
        <v>June</v>
      </c>
      <c r="L417" t="str">
        <f t="shared" si="13"/>
        <v>Monsoon</v>
      </c>
    </row>
    <row r="418" spans="1:12" x14ac:dyDescent="0.25">
      <c r="A418">
        <v>417</v>
      </c>
      <c r="B418">
        <v>1001</v>
      </c>
      <c r="C418">
        <v>1257</v>
      </c>
      <c r="D418" s="1">
        <v>45853</v>
      </c>
      <c r="E418" t="s">
        <v>322</v>
      </c>
      <c r="F418" t="s">
        <v>323</v>
      </c>
      <c r="G418" t="str">
        <f>_xlfn.XLOOKUP(TRIM(E419),MedicineInfo!A:A,MedicineInfo!B:B,"Not Found")</f>
        <v>Multivitamin</v>
      </c>
      <c r="H418" s="1" cm="1">
        <f t="array" ref="H418">_xlfn.IFS(
OR(E418="Type 2 Diabetes",E418="Essential Hypertension",E418="Angina Pectoris",E418="Bronchial Asthma",E418="Cardiac Arrhythmia"), D418+30,
OR(E418="Gastritis",E418="Osteoarthritis",E418="Bronchitis",E418="Iron Deficiency Anemia"), D418+14,
OR(E418="Lumbar Strain",E418="Migraine Headache"), D418+7,
OR(E418="Viral Fever",E418="General Checkup","Routine Health Check"), "",
TRUE,""
)</f>
        <v>45883</v>
      </c>
      <c r="I418" s="1" t="str">
        <f t="shared" si="12"/>
        <v>Follow-up Scheduled</v>
      </c>
      <c r="J418" t="str">
        <f>TEXT(Table8[[#This Row],[visit_Date]],"DDDD")</f>
        <v>Tuesday</v>
      </c>
      <c r="K418" t="str">
        <f>TEXT(Table8[[#This Row],[visit_Date]],"mmmm")</f>
        <v>July</v>
      </c>
      <c r="L418" t="str">
        <f t="shared" si="13"/>
        <v>Monsoon</v>
      </c>
    </row>
    <row r="419" spans="1:12" x14ac:dyDescent="0.25">
      <c r="A419">
        <v>418</v>
      </c>
      <c r="B419">
        <v>1027</v>
      </c>
      <c r="C419">
        <v>511</v>
      </c>
      <c r="D419" s="1">
        <v>45767</v>
      </c>
      <c r="E419" t="s">
        <v>24</v>
      </c>
      <c r="F419" t="s">
        <v>321</v>
      </c>
      <c r="G419" t="str">
        <f>_xlfn.XLOOKUP(TRIM(E420),MedicineInfo!A:A,MedicineInfo!B:B,"Not Found")</f>
        <v>Paracetamol</v>
      </c>
      <c r="H419" s="1" t="str" cm="1">
        <f t="array" ref="H419">_xlfn.IFS(
OR(E419="Type 2 Diabetes",E419="Essential Hypertension",E419="Angina Pectoris",E419="Bronchial Asthma",E419="Cardiac Arrhythmia"), D419+30,
OR(E419="Gastritis",E419="Osteoarthritis",E419="Bronchitis",E419="Iron Deficiency Anemia"), D419+14,
OR(E419="Lumbar Strain",E419="Migraine Headache"), D419+7,
OR(E419="Viral Fever",E419="General Checkup","Routine Health Check"), "",
TRUE,""
)</f>
        <v/>
      </c>
      <c r="I419" s="1" t="str">
        <f t="shared" si="12"/>
        <v>No Follow-up Required</v>
      </c>
      <c r="J419" t="str">
        <f>TEXT(Table8[[#This Row],[visit_Date]],"DDDD")</f>
        <v>Sunday</v>
      </c>
      <c r="K419" t="str">
        <f>TEXT(Table8[[#This Row],[visit_Date]],"mmmm")</f>
        <v>April</v>
      </c>
      <c r="L419" t="str">
        <f t="shared" si="13"/>
        <v>Summer</v>
      </c>
    </row>
    <row r="420" spans="1:12" x14ac:dyDescent="0.25">
      <c r="A420">
        <v>419</v>
      </c>
      <c r="B420">
        <v>1027</v>
      </c>
      <c r="C420">
        <v>604</v>
      </c>
      <c r="D420" s="1">
        <v>45783</v>
      </c>
      <c r="E420" t="s">
        <v>326</v>
      </c>
      <c r="F420" t="s">
        <v>327</v>
      </c>
      <c r="G420" t="str">
        <f>_xlfn.XLOOKUP(TRIM(E421),MedicineInfo!A:A,MedicineInfo!B:B,"Not Found")</f>
        <v>Salbutamol Inhaler</v>
      </c>
      <c r="H420" s="1" t="str" cm="1">
        <f t="array" ref="H420">_xlfn.IFS(
OR(E420="Type 2 Diabetes",E420="Essential Hypertension",E420="Angina Pectoris",E420="Bronchial Asthma",E420="Cardiac Arrhythmia"), D420+30,
OR(E420="Gastritis",E420="Osteoarthritis",E420="Bronchitis",E420="Iron Deficiency Anemia"), D420+14,
OR(E420="Lumbar Strain",E420="Migraine Headache"), D420+7,
OR(E420="Viral Fever",E420="General Checkup","Routine Health Check"), "",
TRUE,""
)</f>
        <v/>
      </c>
      <c r="I420" s="1" t="str">
        <f t="shared" si="12"/>
        <v>No Follow-up Required</v>
      </c>
      <c r="J420" t="str">
        <f>TEXT(Table8[[#This Row],[visit_Date]],"DDDD")</f>
        <v>Tuesday</v>
      </c>
      <c r="K420" t="str">
        <f>TEXT(Table8[[#This Row],[visit_Date]],"mmmm")</f>
        <v>May</v>
      </c>
      <c r="L420" t="str">
        <f t="shared" si="13"/>
        <v>Summer</v>
      </c>
    </row>
    <row r="421" spans="1:12" x14ac:dyDescent="0.25">
      <c r="A421">
        <v>420</v>
      </c>
      <c r="B421">
        <v>1020</v>
      </c>
      <c r="C421">
        <v>732</v>
      </c>
      <c r="D421" s="1">
        <v>45850</v>
      </c>
      <c r="E421" t="s">
        <v>324</v>
      </c>
      <c r="F421" t="s">
        <v>325</v>
      </c>
      <c r="G421" t="str">
        <f>_xlfn.XLOOKUP(TRIM(E422),MedicineInfo!A:A,MedicineInfo!B:B,"Not Found")</f>
        <v>Sumatriptan</v>
      </c>
      <c r="H421" s="1" cm="1">
        <f t="array" ref="H421">_xlfn.IFS(
OR(E421="Type 2 Diabetes",E421="Essential Hypertension",E421="Angina Pectoris",E421="Bronchial Asthma",E421="Cardiac Arrhythmia"), D421+30,
OR(E421="Gastritis",E421="Osteoarthritis",E421="Bronchitis",E421="Iron Deficiency Anemia"), D421+14,
OR(E421="Lumbar Strain",E421="Migraine Headache"), D421+7,
OR(E421="Viral Fever",E421="General Checkup","Routine Health Check"), "",
TRUE,""
)</f>
        <v>45880</v>
      </c>
      <c r="I421" s="1" t="str">
        <f t="shared" si="12"/>
        <v>Follow-up Scheduled</v>
      </c>
      <c r="J421" t="str">
        <f>TEXT(Table8[[#This Row],[visit_Date]],"DDDD")</f>
        <v>Saturday</v>
      </c>
      <c r="K421" t="str">
        <f>TEXT(Table8[[#This Row],[visit_Date]],"mmmm")</f>
        <v>July</v>
      </c>
      <c r="L421" t="str">
        <f t="shared" si="13"/>
        <v>Monsoon</v>
      </c>
    </row>
    <row r="422" spans="1:12" x14ac:dyDescent="0.25">
      <c r="A422">
        <v>421</v>
      </c>
      <c r="B422">
        <v>1009</v>
      </c>
      <c r="C422">
        <v>313</v>
      </c>
      <c r="D422" s="1">
        <v>45853</v>
      </c>
      <c r="E422" t="s">
        <v>315</v>
      </c>
      <c r="F422" t="s">
        <v>316</v>
      </c>
      <c r="G422" t="str">
        <f>_xlfn.XLOOKUP(TRIM(E423),MedicineInfo!A:A,MedicineInfo!B:B,"Not Found")</f>
        <v>Metformin</v>
      </c>
      <c r="H422" s="1" cm="1">
        <f t="array" ref="H422">_xlfn.IFS(
OR(E422="Type 2 Diabetes",E422="Essential Hypertension",E422="Angina Pectoris",E422="Bronchial Asthma",E422="Cardiac Arrhythmia"), D422+30,
OR(E422="Gastritis",E422="Osteoarthritis",E422="Bronchitis",E422="Iron Deficiency Anemia"), D422+14,
OR(E422="Lumbar Strain",E422="Migraine Headache"), D422+7,
OR(E422="Viral Fever",E422="General Checkup","Routine Health Check"), "",
TRUE,""
)</f>
        <v>45860</v>
      </c>
      <c r="I422" s="1" t="str">
        <f t="shared" si="12"/>
        <v>Follow-up Scheduled</v>
      </c>
      <c r="J422" t="str">
        <f>TEXT(Table8[[#This Row],[visit_Date]],"DDDD")</f>
        <v>Tuesday</v>
      </c>
      <c r="K422" t="str">
        <f>TEXT(Table8[[#This Row],[visit_Date]],"mmmm")</f>
        <v>July</v>
      </c>
      <c r="L422" t="str">
        <f t="shared" si="13"/>
        <v>Monsoon</v>
      </c>
    </row>
    <row r="423" spans="1:12" x14ac:dyDescent="0.25">
      <c r="A423">
        <v>422</v>
      </c>
      <c r="B423">
        <v>1024</v>
      </c>
      <c r="C423">
        <v>1336</v>
      </c>
      <c r="D423" s="1">
        <v>45747</v>
      </c>
      <c r="E423" t="s">
        <v>317</v>
      </c>
      <c r="F423" t="s">
        <v>318</v>
      </c>
      <c r="G423" t="str">
        <f>_xlfn.XLOOKUP(TRIM(E424),MedicineInfo!A:A,MedicineInfo!B:B,"Not Found")</f>
        <v>Paracetamol</v>
      </c>
      <c r="H423" s="1" cm="1">
        <f t="array" ref="H423">_xlfn.IFS(
OR(E423="Type 2 Diabetes",E423="Essential Hypertension",E423="Angina Pectoris",E423="Bronchial Asthma",E423="Cardiac Arrhythmia"), D423+30,
OR(E423="Gastritis",E423="Osteoarthritis",E423="Bronchitis",E423="Iron Deficiency Anemia"), D423+14,
OR(E423="Lumbar Strain",E423="Migraine Headache"), D423+7,
OR(E423="Viral Fever",E423="General Checkup","Routine Health Check"), "",
TRUE,""
)</f>
        <v>45777</v>
      </c>
      <c r="I423" s="1" t="str">
        <f t="shared" si="12"/>
        <v>Follow-up Scheduled</v>
      </c>
      <c r="J423" t="str">
        <f>TEXT(Table8[[#This Row],[visit_Date]],"DDDD")</f>
        <v>Monday</v>
      </c>
      <c r="K423" t="str">
        <f>TEXT(Table8[[#This Row],[visit_Date]],"mmmm")</f>
        <v>March</v>
      </c>
      <c r="L423" t="str">
        <f t="shared" si="13"/>
        <v>Summer</v>
      </c>
    </row>
    <row r="424" spans="1:12" x14ac:dyDescent="0.25">
      <c r="A424">
        <v>423</v>
      </c>
      <c r="B424">
        <v>1027</v>
      </c>
      <c r="C424">
        <v>266</v>
      </c>
      <c r="D424" s="1">
        <v>45758</v>
      </c>
      <c r="E424" t="s">
        <v>326</v>
      </c>
      <c r="F424" t="s">
        <v>327</v>
      </c>
      <c r="G424" t="str">
        <f>_xlfn.XLOOKUP(TRIM(E425),MedicineInfo!A:A,MedicineInfo!B:B,"Not Found")</f>
        <v>Nitroglycerin</v>
      </c>
      <c r="H424" s="1" t="str" cm="1">
        <f t="array" ref="H424">_xlfn.IFS(
OR(E424="Type 2 Diabetes",E424="Essential Hypertension",E424="Angina Pectoris",E424="Bronchial Asthma",E424="Cardiac Arrhythmia"), D424+30,
OR(E424="Gastritis",E424="Osteoarthritis",E424="Bronchitis",E424="Iron Deficiency Anemia"), D424+14,
OR(E424="Lumbar Strain",E424="Migraine Headache"), D424+7,
OR(E424="Viral Fever",E424="General Checkup","Routine Health Check"), "",
TRUE,""
)</f>
        <v/>
      </c>
      <c r="I424" s="1" t="str">
        <f t="shared" si="12"/>
        <v>No Follow-up Required</v>
      </c>
      <c r="J424" t="str">
        <f>TEXT(Table8[[#This Row],[visit_Date]],"DDDD")</f>
        <v>Friday</v>
      </c>
      <c r="K424" t="str">
        <f>TEXT(Table8[[#This Row],[visit_Date]],"mmmm")</f>
        <v>April</v>
      </c>
      <c r="L424" t="str">
        <f t="shared" si="13"/>
        <v>Summer</v>
      </c>
    </row>
    <row r="425" spans="1:12" x14ac:dyDescent="0.25">
      <c r="A425">
        <v>424</v>
      </c>
      <c r="B425">
        <v>1001</v>
      </c>
      <c r="C425">
        <v>1260</v>
      </c>
      <c r="D425" s="1">
        <v>45669</v>
      </c>
      <c r="E425" t="s">
        <v>322</v>
      </c>
      <c r="F425" t="s">
        <v>323</v>
      </c>
      <c r="G425" t="str">
        <f>_xlfn.XLOOKUP(TRIM(E426),MedicineInfo!A:A,MedicineInfo!B:B,"Not Found")</f>
        <v>Nitroglycerin</v>
      </c>
      <c r="H425" s="1" cm="1">
        <f t="array" ref="H425">_xlfn.IFS(
OR(E425="Type 2 Diabetes",E425="Essential Hypertension",E425="Angina Pectoris",E425="Bronchial Asthma",E425="Cardiac Arrhythmia"), D425+30,
OR(E425="Gastritis",E425="Osteoarthritis",E425="Bronchitis",E425="Iron Deficiency Anemia"), D425+14,
OR(E425="Lumbar Strain",E425="Migraine Headache"), D425+7,
OR(E425="Viral Fever",E425="General Checkup","Routine Health Check"), "",
TRUE,""
)</f>
        <v>45699</v>
      </c>
      <c r="I425" s="1" t="str">
        <f t="shared" si="12"/>
        <v>Follow-up Scheduled</v>
      </c>
      <c r="J425" t="str">
        <f>TEXT(Table8[[#This Row],[visit_Date]],"DDDD")</f>
        <v>Sunday</v>
      </c>
      <c r="K425" t="str">
        <f>TEXT(Table8[[#This Row],[visit_Date]],"mmmm")</f>
        <v>January</v>
      </c>
      <c r="L425" t="str">
        <f t="shared" si="13"/>
        <v>Winter</v>
      </c>
    </row>
    <row r="426" spans="1:12" x14ac:dyDescent="0.25">
      <c r="A426">
        <v>425</v>
      </c>
      <c r="B426">
        <v>1027</v>
      </c>
      <c r="C426">
        <v>1584</v>
      </c>
      <c r="D426" s="1">
        <v>45755</v>
      </c>
      <c r="E426" t="s">
        <v>322</v>
      </c>
      <c r="F426" t="s">
        <v>323</v>
      </c>
      <c r="G426" t="str">
        <f>_xlfn.XLOOKUP(TRIM(E427),MedicineInfo!A:A,MedicineInfo!B:B,"Not Found")</f>
        <v>Multivitamin</v>
      </c>
      <c r="H426" s="1" cm="1">
        <f t="array" ref="H426">_xlfn.IFS(
OR(E426="Type 2 Diabetes",E426="Essential Hypertension",E426="Angina Pectoris",E426="Bronchial Asthma",E426="Cardiac Arrhythmia"), D426+30,
OR(E426="Gastritis",E426="Osteoarthritis",E426="Bronchitis",E426="Iron Deficiency Anemia"), D426+14,
OR(E426="Lumbar Strain",E426="Migraine Headache"), D426+7,
OR(E426="Viral Fever",E426="General Checkup","Routine Health Check"), "",
TRUE,""
)</f>
        <v>45785</v>
      </c>
      <c r="I426" s="1" t="str">
        <f t="shared" si="12"/>
        <v>Follow-up Scheduled</v>
      </c>
      <c r="J426" t="str">
        <f>TEXT(Table8[[#This Row],[visit_Date]],"DDDD")</f>
        <v>Tuesday</v>
      </c>
      <c r="K426" t="str">
        <f>TEXT(Table8[[#This Row],[visit_Date]],"mmmm")</f>
        <v>April</v>
      </c>
      <c r="L426" t="str">
        <f t="shared" si="13"/>
        <v>Summer</v>
      </c>
    </row>
    <row r="427" spans="1:12" x14ac:dyDescent="0.25">
      <c r="A427">
        <v>426</v>
      </c>
      <c r="B427">
        <v>1027</v>
      </c>
      <c r="C427">
        <v>744</v>
      </c>
      <c r="D427" s="1">
        <v>45853</v>
      </c>
      <c r="E427" t="s">
        <v>24</v>
      </c>
      <c r="F427" t="s">
        <v>321</v>
      </c>
      <c r="G427" t="str">
        <f>_xlfn.XLOOKUP(TRIM(E428),MedicineInfo!A:A,MedicineInfo!B:B,"Not Found")</f>
        <v>Paracetamol</v>
      </c>
      <c r="H427" s="1" t="str" cm="1">
        <f t="array" ref="H427">_xlfn.IFS(
OR(E427="Type 2 Diabetes",E427="Essential Hypertension",E427="Angina Pectoris",E427="Bronchial Asthma",E427="Cardiac Arrhythmia"), D427+30,
OR(E427="Gastritis",E427="Osteoarthritis",E427="Bronchitis",E427="Iron Deficiency Anemia"), D427+14,
OR(E427="Lumbar Strain",E427="Migraine Headache"), D427+7,
OR(E427="Viral Fever",E427="General Checkup","Routine Health Check"), "",
TRUE,""
)</f>
        <v/>
      </c>
      <c r="I427" s="1" t="str">
        <f t="shared" si="12"/>
        <v>No Follow-up Required</v>
      </c>
      <c r="J427" t="str">
        <f>TEXT(Table8[[#This Row],[visit_Date]],"DDDD")</f>
        <v>Tuesday</v>
      </c>
      <c r="K427" t="str">
        <f>TEXT(Table8[[#This Row],[visit_Date]],"mmmm")</f>
        <v>July</v>
      </c>
      <c r="L427" t="str">
        <f t="shared" si="13"/>
        <v>Monsoon</v>
      </c>
    </row>
    <row r="428" spans="1:12" x14ac:dyDescent="0.25">
      <c r="A428">
        <v>427</v>
      </c>
      <c r="B428">
        <v>1027</v>
      </c>
      <c r="C428">
        <v>1071</v>
      </c>
      <c r="D428" s="1">
        <v>45790</v>
      </c>
      <c r="E428" t="s">
        <v>326</v>
      </c>
      <c r="F428" t="s">
        <v>327</v>
      </c>
      <c r="G428" t="str">
        <f>_xlfn.XLOOKUP(TRIM(E429),MedicineInfo!A:A,MedicineInfo!B:B,"Not Found")</f>
        <v>Paracetamol</v>
      </c>
      <c r="H428" s="1" t="str" cm="1">
        <f t="array" ref="H428">_xlfn.IFS(
OR(E428="Type 2 Diabetes",E428="Essential Hypertension",E428="Angina Pectoris",E428="Bronchial Asthma",E428="Cardiac Arrhythmia"), D428+30,
OR(E428="Gastritis",E428="Osteoarthritis",E428="Bronchitis",E428="Iron Deficiency Anemia"), D428+14,
OR(E428="Lumbar Strain",E428="Migraine Headache"), D428+7,
OR(E428="Viral Fever",E428="General Checkup","Routine Health Check"), "",
TRUE,""
)</f>
        <v/>
      </c>
      <c r="I428" s="1" t="str">
        <f t="shared" si="12"/>
        <v>No Follow-up Required</v>
      </c>
      <c r="J428" t="str">
        <f>TEXT(Table8[[#This Row],[visit_Date]],"DDDD")</f>
        <v>Tuesday</v>
      </c>
      <c r="K428" t="str">
        <f>TEXT(Table8[[#This Row],[visit_Date]],"mmmm")</f>
        <v>May</v>
      </c>
      <c r="L428" t="str">
        <f t="shared" si="13"/>
        <v>Summer</v>
      </c>
    </row>
    <row r="429" spans="1:12" x14ac:dyDescent="0.25">
      <c r="A429">
        <v>428</v>
      </c>
      <c r="B429">
        <v>1027</v>
      </c>
      <c r="C429">
        <v>1180</v>
      </c>
      <c r="D429" s="1">
        <v>45694</v>
      </c>
      <c r="E429" t="s">
        <v>326</v>
      </c>
      <c r="F429" t="s">
        <v>327</v>
      </c>
      <c r="G429" t="str">
        <f>_xlfn.XLOOKUP(TRIM(E430),MedicineInfo!A:A,MedicineInfo!B:B,"Not Found")</f>
        <v>Amlodipine</v>
      </c>
      <c r="H429" s="1" t="str" cm="1">
        <f t="array" ref="H429">_xlfn.IFS(
OR(E429="Type 2 Diabetes",E429="Essential Hypertension",E429="Angina Pectoris",E429="Bronchial Asthma",E429="Cardiac Arrhythmia"), D429+30,
OR(E429="Gastritis",E429="Osteoarthritis",E429="Bronchitis",E429="Iron Deficiency Anemia"), D429+14,
OR(E429="Lumbar Strain",E429="Migraine Headache"), D429+7,
OR(E429="Viral Fever",E429="General Checkup","Routine Health Check"), "",
TRUE,""
)</f>
        <v/>
      </c>
      <c r="I429" s="1" t="str">
        <f t="shared" si="12"/>
        <v>No Follow-up Required</v>
      </c>
      <c r="J429" t="str">
        <f>TEXT(Table8[[#This Row],[visit_Date]],"DDDD")</f>
        <v>Thursday</v>
      </c>
      <c r="K429" t="str">
        <f>TEXT(Table8[[#This Row],[visit_Date]],"mmmm")</f>
        <v>February</v>
      </c>
      <c r="L429" t="str">
        <f t="shared" si="13"/>
        <v>Winter</v>
      </c>
    </row>
    <row r="430" spans="1:12" x14ac:dyDescent="0.25">
      <c r="A430">
        <v>429</v>
      </c>
      <c r="B430">
        <v>1003</v>
      </c>
      <c r="C430">
        <v>805</v>
      </c>
      <c r="D430" s="1">
        <v>45684</v>
      </c>
      <c r="E430" t="s">
        <v>319</v>
      </c>
      <c r="F430" t="s">
        <v>320</v>
      </c>
      <c r="G430" t="str">
        <f>_xlfn.XLOOKUP(TRIM(E431),MedicineInfo!A:A,MedicineInfo!B:B,"Not Found")</f>
        <v>Amlodipine</v>
      </c>
      <c r="H430" s="1" cm="1">
        <f t="array" ref="H430">_xlfn.IFS(
OR(E430="Type 2 Diabetes",E430="Essential Hypertension",E430="Angina Pectoris",E430="Bronchial Asthma",E430="Cardiac Arrhythmia"), D430+30,
OR(E430="Gastritis",E430="Osteoarthritis",E430="Bronchitis",E430="Iron Deficiency Anemia"), D430+14,
OR(E430="Lumbar Strain",E430="Migraine Headache"), D430+7,
OR(E430="Viral Fever",E430="General Checkup","Routine Health Check"), "",
TRUE,""
)</f>
        <v>45714</v>
      </c>
      <c r="I430" s="1" t="str">
        <f t="shared" si="12"/>
        <v>Follow-up Scheduled</v>
      </c>
      <c r="J430" t="str">
        <f>TEXT(Table8[[#This Row],[visit_Date]],"DDDD")</f>
        <v>Monday</v>
      </c>
      <c r="K430" t="str">
        <f>TEXT(Table8[[#This Row],[visit_Date]],"mmmm")</f>
        <v>January</v>
      </c>
      <c r="L430" t="str">
        <f t="shared" si="13"/>
        <v>Winter</v>
      </c>
    </row>
    <row r="431" spans="1:12" x14ac:dyDescent="0.25">
      <c r="A431">
        <v>430</v>
      </c>
      <c r="B431">
        <v>1003</v>
      </c>
      <c r="C431">
        <v>898</v>
      </c>
      <c r="D431" s="1">
        <v>45739</v>
      </c>
      <c r="E431" t="s">
        <v>319</v>
      </c>
      <c r="F431" t="s">
        <v>320</v>
      </c>
      <c r="G431" t="str">
        <f>_xlfn.XLOOKUP(TRIM(E432),MedicineInfo!A:A,MedicineInfo!B:B,"Not Found")</f>
        <v>Salbutamol Inhaler</v>
      </c>
      <c r="H431" s="1" cm="1">
        <f t="array" ref="H431">_xlfn.IFS(
OR(E431="Type 2 Diabetes",E431="Essential Hypertension",E431="Angina Pectoris",E431="Bronchial Asthma",E431="Cardiac Arrhythmia"), D431+30,
OR(E431="Gastritis",E431="Osteoarthritis",E431="Bronchitis",E431="Iron Deficiency Anemia"), D431+14,
OR(E431="Lumbar Strain",E431="Migraine Headache"), D431+7,
OR(E431="Viral Fever",E431="General Checkup","Routine Health Check"), "",
TRUE,""
)</f>
        <v>45769</v>
      </c>
      <c r="I431" s="1" t="str">
        <f t="shared" si="12"/>
        <v>Follow-up Scheduled</v>
      </c>
      <c r="J431" t="str">
        <f>TEXT(Table8[[#This Row],[visit_Date]],"DDDD")</f>
        <v>Sunday</v>
      </c>
      <c r="K431" t="str">
        <f>TEXT(Table8[[#This Row],[visit_Date]],"mmmm")</f>
        <v>March</v>
      </c>
      <c r="L431" t="str">
        <f t="shared" si="13"/>
        <v>Summer</v>
      </c>
    </row>
    <row r="432" spans="1:12" x14ac:dyDescent="0.25">
      <c r="A432">
        <v>431</v>
      </c>
      <c r="B432">
        <v>1020</v>
      </c>
      <c r="C432">
        <v>903</v>
      </c>
      <c r="D432" s="1">
        <v>45814</v>
      </c>
      <c r="E432" t="s">
        <v>324</v>
      </c>
      <c r="F432" t="s">
        <v>325</v>
      </c>
      <c r="G432" t="str">
        <f>_xlfn.XLOOKUP(TRIM(E433),MedicineInfo!A:A,MedicineInfo!B:B,"Not Found")</f>
        <v>Metformin</v>
      </c>
      <c r="H432" s="1" cm="1">
        <f t="array" ref="H432">_xlfn.IFS(
OR(E432="Type 2 Diabetes",E432="Essential Hypertension",E432="Angina Pectoris",E432="Bronchial Asthma",E432="Cardiac Arrhythmia"), D432+30,
OR(E432="Gastritis",E432="Osteoarthritis",E432="Bronchitis",E432="Iron Deficiency Anemia"), D432+14,
OR(E432="Lumbar Strain",E432="Migraine Headache"), D432+7,
OR(E432="Viral Fever",E432="General Checkup","Routine Health Check"), "",
TRUE,""
)</f>
        <v>45844</v>
      </c>
      <c r="I432" s="1" t="str">
        <f t="shared" si="12"/>
        <v>Follow-up Scheduled</v>
      </c>
      <c r="J432" t="str">
        <f>TEXT(Table8[[#This Row],[visit_Date]],"DDDD")</f>
        <v>Friday</v>
      </c>
      <c r="K432" t="str">
        <f>TEXT(Table8[[#This Row],[visit_Date]],"mmmm")</f>
        <v>June</v>
      </c>
      <c r="L432" t="str">
        <f t="shared" si="13"/>
        <v>Monsoon</v>
      </c>
    </row>
    <row r="433" spans="1:12" x14ac:dyDescent="0.25">
      <c r="A433">
        <v>432</v>
      </c>
      <c r="B433">
        <v>1024</v>
      </c>
      <c r="C433">
        <v>1338</v>
      </c>
      <c r="D433" s="1">
        <v>45853</v>
      </c>
      <c r="E433" t="s">
        <v>317</v>
      </c>
      <c r="F433" t="s">
        <v>318</v>
      </c>
      <c r="G433" t="str">
        <f>_xlfn.XLOOKUP(TRIM(E434),MedicineInfo!A:A,MedicineInfo!B:B,"Not Found")</f>
        <v>Salbutamol Inhaler</v>
      </c>
      <c r="H433" s="1" cm="1">
        <f t="array" ref="H433">_xlfn.IFS(
OR(E433="Type 2 Diabetes",E433="Essential Hypertension",E433="Angina Pectoris",E433="Bronchial Asthma",E433="Cardiac Arrhythmia"), D433+30,
OR(E433="Gastritis",E433="Osteoarthritis",E433="Bronchitis",E433="Iron Deficiency Anemia"), D433+14,
OR(E433="Lumbar Strain",E433="Migraine Headache"), D433+7,
OR(E433="Viral Fever",E433="General Checkup","Routine Health Check"), "",
TRUE,""
)</f>
        <v>45883</v>
      </c>
      <c r="I433" s="1" t="str">
        <f t="shared" si="12"/>
        <v>Follow-up Scheduled</v>
      </c>
      <c r="J433" t="str">
        <f>TEXT(Table8[[#This Row],[visit_Date]],"DDDD")</f>
        <v>Tuesday</v>
      </c>
      <c r="K433" t="str">
        <f>TEXT(Table8[[#This Row],[visit_Date]],"mmmm")</f>
        <v>July</v>
      </c>
      <c r="L433" t="str">
        <f t="shared" si="13"/>
        <v>Monsoon</v>
      </c>
    </row>
    <row r="434" spans="1:12" x14ac:dyDescent="0.25">
      <c r="A434">
        <v>433</v>
      </c>
      <c r="B434">
        <v>1020</v>
      </c>
      <c r="C434">
        <v>1096</v>
      </c>
      <c r="D434" s="1">
        <v>45758</v>
      </c>
      <c r="E434" t="s">
        <v>324</v>
      </c>
      <c r="F434" t="s">
        <v>325</v>
      </c>
      <c r="G434" t="str">
        <f>_xlfn.XLOOKUP(TRIM(E435),MedicineInfo!A:A,MedicineInfo!B:B,"Not Found")</f>
        <v>Diclofenac</v>
      </c>
      <c r="H434" s="1" cm="1">
        <f t="array" ref="H434">_xlfn.IFS(
OR(E434="Type 2 Diabetes",E434="Essential Hypertension",E434="Angina Pectoris",E434="Bronchial Asthma",E434="Cardiac Arrhythmia"), D434+30,
OR(E434="Gastritis",E434="Osteoarthritis",E434="Bronchitis",E434="Iron Deficiency Anemia"), D434+14,
OR(E434="Lumbar Strain",E434="Migraine Headache"), D434+7,
OR(E434="Viral Fever",E434="General Checkup","Routine Health Check"), "",
TRUE,""
)</f>
        <v>45788</v>
      </c>
      <c r="I434" s="1" t="str">
        <f t="shared" si="12"/>
        <v>Follow-up Scheduled</v>
      </c>
      <c r="J434" t="str">
        <f>TEXT(Table8[[#This Row],[visit_Date]],"DDDD")</f>
        <v>Friday</v>
      </c>
      <c r="K434" t="str">
        <f>TEXT(Table8[[#This Row],[visit_Date]],"mmmm")</f>
        <v>April</v>
      </c>
      <c r="L434" t="str">
        <f t="shared" si="13"/>
        <v>Summer</v>
      </c>
    </row>
    <row r="435" spans="1:12" x14ac:dyDescent="0.25">
      <c r="A435">
        <v>434</v>
      </c>
      <c r="B435">
        <v>1027</v>
      </c>
      <c r="C435">
        <v>1019</v>
      </c>
      <c r="D435" s="1">
        <v>45691</v>
      </c>
      <c r="E435" t="s">
        <v>313</v>
      </c>
      <c r="F435" t="s">
        <v>314</v>
      </c>
      <c r="G435" t="str">
        <f>_xlfn.XLOOKUP(TRIM(E436),MedicineInfo!A:A,MedicineInfo!B:B,"Not Found")</f>
        <v>Diclofenac</v>
      </c>
      <c r="H435" s="1" cm="1">
        <f t="array" ref="H435">_xlfn.IFS(
OR(E435="Type 2 Diabetes",E435="Essential Hypertension",E435="Angina Pectoris",E435="Bronchial Asthma",E435="Cardiac Arrhythmia"), D435+30,
OR(E435="Gastritis",E435="Osteoarthritis",E435="Bronchitis",E435="Iron Deficiency Anemia"), D435+14,
OR(E435="Lumbar Strain",E435="Migraine Headache"), D435+7,
OR(E435="Viral Fever",E435="General Checkup","Routine Health Check"), "",
TRUE,""
)</f>
        <v>45698</v>
      </c>
      <c r="I435" s="1" t="str">
        <f t="shared" si="12"/>
        <v>Follow-up Scheduled</v>
      </c>
      <c r="J435" t="str">
        <f>TEXT(Table8[[#This Row],[visit_Date]],"DDDD")</f>
        <v>Monday</v>
      </c>
      <c r="K435" t="str">
        <f>TEXT(Table8[[#This Row],[visit_Date]],"mmmm")</f>
        <v>February</v>
      </c>
      <c r="L435" t="str">
        <f t="shared" si="13"/>
        <v>Winter</v>
      </c>
    </row>
    <row r="436" spans="1:12" x14ac:dyDescent="0.25">
      <c r="A436">
        <v>435</v>
      </c>
      <c r="B436">
        <v>1027</v>
      </c>
      <c r="C436">
        <v>1570</v>
      </c>
      <c r="D436" s="1">
        <v>45851</v>
      </c>
      <c r="E436" t="s">
        <v>313</v>
      </c>
      <c r="F436" t="s">
        <v>314</v>
      </c>
      <c r="G436" t="str">
        <f>_xlfn.XLOOKUP(TRIM(E437),MedicineInfo!A:A,MedicineInfo!B:B,"Not Found")</f>
        <v>Sumatriptan</v>
      </c>
      <c r="H436" s="1" cm="1">
        <f t="array" ref="H436">_xlfn.IFS(
OR(E436="Type 2 Diabetes",E436="Essential Hypertension",E436="Angina Pectoris",E436="Bronchial Asthma",E436="Cardiac Arrhythmia"), D436+30,
OR(E436="Gastritis",E436="Osteoarthritis",E436="Bronchitis",E436="Iron Deficiency Anemia"), D436+14,
OR(E436="Lumbar Strain",E436="Migraine Headache"), D436+7,
OR(E436="Viral Fever",E436="General Checkup","Routine Health Check"), "",
TRUE,""
)</f>
        <v>45858</v>
      </c>
      <c r="I436" s="1" t="str">
        <f t="shared" si="12"/>
        <v>Follow-up Scheduled</v>
      </c>
      <c r="J436" t="str">
        <f>TEXT(Table8[[#This Row],[visit_Date]],"DDDD")</f>
        <v>Sunday</v>
      </c>
      <c r="K436" t="str">
        <f>TEXT(Table8[[#This Row],[visit_Date]],"mmmm")</f>
        <v>July</v>
      </c>
      <c r="L436" t="str">
        <f t="shared" si="13"/>
        <v>Monsoon</v>
      </c>
    </row>
    <row r="437" spans="1:12" x14ac:dyDescent="0.25">
      <c r="A437">
        <v>436</v>
      </c>
      <c r="B437">
        <v>1008</v>
      </c>
      <c r="C437">
        <v>894</v>
      </c>
      <c r="D437" s="1">
        <v>45696</v>
      </c>
      <c r="E437" t="s">
        <v>315</v>
      </c>
      <c r="F437" t="s">
        <v>316</v>
      </c>
      <c r="G437" t="str">
        <f>_xlfn.XLOOKUP(TRIM(E438),MedicineInfo!A:A,MedicineInfo!B:B,"Not Found")</f>
        <v>Metformin</v>
      </c>
      <c r="H437" s="1" cm="1">
        <f t="array" ref="H437">_xlfn.IFS(
OR(E437="Type 2 Diabetes",E437="Essential Hypertension",E437="Angina Pectoris",E437="Bronchial Asthma",E437="Cardiac Arrhythmia"), D437+30,
OR(E437="Gastritis",E437="Osteoarthritis",E437="Bronchitis",E437="Iron Deficiency Anemia"), D437+14,
OR(E437="Lumbar Strain",E437="Migraine Headache"), D437+7,
OR(E437="Viral Fever",E437="General Checkup","Routine Health Check"), "",
TRUE,""
)</f>
        <v>45703</v>
      </c>
      <c r="I437" s="1" t="str">
        <f t="shared" si="12"/>
        <v>Follow-up Scheduled</v>
      </c>
      <c r="J437" t="str">
        <f>TEXT(Table8[[#This Row],[visit_Date]],"DDDD")</f>
        <v>Saturday</v>
      </c>
      <c r="K437" t="str">
        <f>TEXT(Table8[[#This Row],[visit_Date]],"mmmm")</f>
        <v>February</v>
      </c>
      <c r="L437" t="str">
        <f t="shared" si="13"/>
        <v>Winter</v>
      </c>
    </row>
    <row r="438" spans="1:12" x14ac:dyDescent="0.25">
      <c r="A438">
        <v>437</v>
      </c>
      <c r="B438">
        <v>1024</v>
      </c>
      <c r="C438">
        <v>957</v>
      </c>
      <c r="D438" s="1">
        <v>45827</v>
      </c>
      <c r="E438" t="s">
        <v>317</v>
      </c>
      <c r="F438" t="s">
        <v>318</v>
      </c>
      <c r="G438" t="str">
        <f>_xlfn.XLOOKUP(TRIM(E439),MedicineInfo!A:A,MedicineInfo!B:B,"Not Found")</f>
        <v>Paracetamol</v>
      </c>
      <c r="H438" s="1" cm="1">
        <f t="array" ref="H438">_xlfn.IFS(
OR(E438="Type 2 Diabetes",E438="Essential Hypertension",E438="Angina Pectoris",E438="Bronchial Asthma",E438="Cardiac Arrhythmia"), D438+30,
OR(E438="Gastritis",E438="Osteoarthritis",E438="Bronchitis",E438="Iron Deficiency Anemia"), D438+14,
OR(E438="Lumbar Strain",E438="Migraine Headache"), D438+7,
OR(E438="Viral Fever",E438="General Checkup","Routine Health Check"), "",
TRUE,""
)</f>
        <v>45857</v>
      </c>
      <c r="I438" s="1" t="str">
        <f t="shared" si="12"/>
        <v>Follow-up Scheduled</v>
      </c>
      <c r="J438" t="str">
        <f>TEXT(Table8[[#This Row],[visit_Date]],"DDDD")</f>
        <v>Thursday</v>
      </c>
      <c r="K438" t="str">
        <f>TEXT(Table8[[#This Row],[visit_Date]],"mmmm")</f>
        <v>June</v>
      </c>
      <c r="L438" t="str">
        <f t="shared" si="13"/>
        <v>Monsoon</v>
      </c>
    </row>
    <row r="439" spans="1:12" x14ac:dyDescent="0.25">
      <c r="A439">
        <v>438</v>
      </c>
      <c r="B439">
        <v>1027</v>
      </c>
      <c r="C439">
        <v>1445</v>
      </c>
      <c r="D439" s="1">
        <v>45844</v>
      </c>
      <c r="E439" t="s">
        <v>326</v>
      </c>
      <c r="F439" t="s">
        <v>327</v>
      </c>
      <c r="G439" t="str">
        <f>_xlfn.XLOOKUP(TRIM(E440),MedicineInfo!A:A,MedicineInfo!B:B,"Not Found")</f>
        <v>Multivitamin</v>
      </c>
      <c r="H439" s="1" t="str" cm="1">
        <f t="array" ref="H439">_xlfn.IFS(
OR(E439="Type 2 Diabetes",E439="Essential Hypertension",E439="Angina Pectoris",E439="Bronchial Asthma",E439="Cardiac Arrhythmia"), D439+30,
OR(E439="Gastritis",E439="Osteoarthritis",E439="Bronchitis",E439="Iron Deficiency Anemia"), D439+14,
OR(E439="Lumbar Strain",E439="Migraine Headache"), D439+7,
OR(E439="Viral Fever",E439="General Checkup","Routine Health Check"), "",
TRUE,""
)</f>
        <v/>
      </c>
      <c r="I439" s="1" t="str">
        <f t="shared" si="12"/>
        <v>No Follow-up Required</v>
      </c>
      <c r="J439" t="str">
        <f>TEXT(Table8[[#This Row],[visit_Date]],"DDDD")</f>
        <v>Sunday</v>
      </c>
      <c r="K439" t="str">
        <f>TEXT(Table8[[#This Row],[visit_Date]],"mmmm")</f>
        <v>July</v>
      </c>
      <c r="L439" t="str">
        <f t="shared" si="13"/>
        <v>Monsoon</v>
      </c>
    </row>
    <row r="440" spans="1:12" x14ac:dyDescent="0.25">
      <c r="A440">
        <v>439</v>
      </c>
      <c r="B440">
        <v>1027</v>
      </c>
      <c r="C440">
        <v>711</v>
      </c>
      <c r="D440" s="1">
        <v>45851</v>
      </c>
      <c r="E440" t="s">
        <v>24</v>
      </c>
      <c r="F440" t="s">
        <v>321</v>
      </c>
      <c r="G440" t="str">
        <f>_xlfn.XLOOKUP(TRIM(E441),MedicineInfo!A:A,MedicineInfo!B:B,"Not Found")</f>
        <v>Metformin</v>
      </c>
      <c r="H440" s="1" t="str" cm="1">
        <f t="array" ref="H440">_xlfn.IFS(
OR(E440="Type 2 Diabetes",E440="Essential Hypertension",E440="Angina Pectoris",E440="Bronchial Asthma",E440="Cardiac Arrhythmia"), D440+30,
OR(E440="Gastritis",E440="Osteoarthritis",E440="Bronchitis",E440="Iron Deficiency Anemia"), D440+14,
OR(E440="Lumbar Strain",E440="Migraine Headache"), D440+7,
OR(E440="Viral Fever",E440="General Checkup","Routine Health Check"), "",
TRUE,""
)</f>
        <v/>
      </c>
      <c r="I440" s="1" t="str">
        <f t="shared" si="12"/>
        <v>No Follow-up Required</v>
      </c>
      <c r="J440" t="str">
        <f>TEXT(Table8[[#This Row],[visit_Date]],"DDDD")</f>
        <v>Sunday</v>
      </c>
      <c r="K440" t="str">
        <f>TEXT(Table8[[#This Row],[visit_Date]],"mmmm")</f>
        <v>July</v>
      </c>
      <c r="L440" t="str">
        <f t="shared" si="13"/>
        <v>Monsoon</v>
      </c>
    </row>
    <row r="441" spans="1:12" x14ac:dyDescent="0.25">
      <c r="A441">
        <v>440</v>
      </c>
      <c r="B441">
        <v>1024</v>
      </c>
      <c r="C441">
        <v>560</v>
      </c>
      <c r="D441" s="1">
        <v>45869</v>
      </c>
      <c r="E441" t="s">
        <v>317</v>
      </c>
      <c r="F441" t="s">
        <v>318</v>
      </c>
      <c r="G441" t="str">
        <f>_xlfn.XLOOKUP(TRIM(E442),MedicineInfo!A:A,MedicineInfo!B:B,"Not Found")</f>
        <v>Metformin</v>
      </c>
      <c r="H441" s="1" cm="1">
        <f t="array" ref="H441">_xlfn.IFS(
OR(E441="Type 2 Diabetes",E441="Essential Hypertension",E441="Angina Pectoris",E441="Bronchial Asthma",E441="Cardiac Arrhythmia"), D441+30,
OR(E441="Gastritis",E441="Osteoarthritis",E441="Bronchitis",E441="Iron Deficiency Anemia"), D441+14,
OR(E441="Lumbar Strain",E441="Migraine Headache"), D441+7,
OR(E441="Viral Fever",E441="General Checkup","Routine Health Check"), "",
TRUE,""
)</f>
        <v>45899</v>
      </c>
      <c r="I441" s="1" t="str">
        <f t="shared" si="12"/>
        <v>Follow-up Scheduled</v>
      </c>
      <c r="J441" t="str">
        <f>TEXT(Table8[[#This Row],[visit_Date]],"DDDD")</f>
        <v>Thursday</v>
      </c>
      <c r="K441" t="str">
        <f>TEXT(Table8[[#This Row],[visit_Date]],"mmmm")</f>
        <v>July</v>
      </c>
      <c r="L441" t="str">
        <f t="shared" si="13"/>
        <v>Monsoon</v>
      </c>
    </row>
    <row r="442" spans="1:12" x14ac:dyDescent="0.25">
      <c r="A442">
        <v>441</v>
      </c>
      <c r="B442">
        <v>1024</v>
      </c>
      <c r="C442">
        <v>264</v>
      </c>
      <c r="D442" s="1">
        <v>45686</v>
      </c>
      <c r="E442" t="s">
        <v>317</v>
      </c>
      <c r="F442" t="s">
        <v>318</v>
      </c>
      <c r="G442" t="str">
        <f>_xlfn.XLOOKUP(TRIM(E443),MedicineInfo!A:A,MedicineInfo!B:B,"Not Found")</f>
        <v>Diclofenac</v>
      </c>
      <c r="H442" s="1" cm="1">
        <f t="array" ref="H442">_xlfn.IFS(
OR(E442="Type 2 Diabetes",E442="Essential Hypertension",E442="Angina Pectoris",E442="Bronchial Asthma",E442="Cardiac Arrhythmia"), D442+30,
OR(E442="Gastritis",E442="Osteoarthritis",E442="Bronchitis",E442="Iron Deficiency Anemia"), D442+14,
OR(E442="Lumbar Strain",E442="Migraine Headache"), D442+7,
OR(E442="Viral Fever",E442="General Checkup","Routine Health Check"), "",
TRUE,""
)</f>
        <v>45716</v>
      </c>
      <c r="I442" s="1" t="str">
        <f t="shared" si="12"/>
        <v>Follow-up Scheduled</v>
      </c>
      <c r="J442" t="str">
        <f>TEXT(Table8[[#This Row],[visit_Date]],"DDDD")</f>
        <v>Wednesday</v>
      </c>
      <c r="K442" t="str">
        <f>TEXT(Table8[[#This Row],[visit_Date]],"mmmm")</f>
        <v>January</v>
      </c>
      <c r="L442" t="str">
        <f t="shared" si="13"/>
        <v>Winter</v>
      </c>
    </row>
    <row r="443" spans="1:12" x14ac:dyDescent="0.25">
      <c r="A443">
        <v>442</v>
      </c>
      <c r="B443">
        <v>1027</v>
      </c>
      <c r="C443">
        <v>552</v>
      </c>
      <c r="D443" s="1">
        <v>45731</v>
      </c>
      <c r="E443" t="s">
        <v>313</v>
      </c>
      <c r="F443" t="s">
        <v>314</v>
      </c>
      <c r="G443" t="str">
        <f>_xlfn.XLOOKUP(TRIM(E444),MedicineInfo!A:A,MedicineInfo!B:B,"Not Found")</f>
        <v>Multivitamin</v>
      </c>
      <c r="H443" s="1" cm="1">
        <f t="array" ref="H443">_xlfn.IFS(
OR(E443="Type 2 Diabetes",E443="Essential Hypertension",E443="Angina Pectoris",E443="Bronchial Asthma",E443="Cardiac Arrhythmia"), D443+30,
OR(E443="Gastritis",E443="Osteoarthritis",E443="Bronchitis",E443="Iron Deficiency Anemia"), D443+14,
OR(E443="Lumbar Strain",E443="Migraine Headache"), D443+7,
OR(E443="Viral Fever",E443="General Checkup","Routine Health Check"), "",
TRUE,""
)</f>
        <v>45738</v>
      </c>
      <c r="I443" s="1" t="str">
        <f t="shared" si="12"/>
        <v>Follow-up Scheduled</v>
      </c>
      <c r="J443" t="str">
        <f>TEXT(Table8[[#This Row],[visit_Date]],"DDDD")</f>
        <v>Saturday</v>
      </c>
      <c r="K443" t="str">
        <f>TEXT(Table8[[#This Row],[visit_Date]],"mmmm")</f>
        <v>March</v>
      </c>
      <c r="L443" t="str">
        <f t="shared" si="13"/>
        <v>Summer</v>
      </c>
    </row>
    <row r="444" spans="1:12" x14ac:dyDescent="0.25">
      <c r="A444">
        <v>443</v>
      </c>
      <c r="B444">
        <v>1027</v>
      </c>
      <c r="C444">
        <v>1278</v>
      </c>
      <c r="D444" s="1">
        <v>45747</v>
      </c>
      <c r="E444" t="s">
        <v>24</v>
      </c>
      <c r="F444" t="s">
        <v>321</v>
      </c>
      <c r="G444" t="str">
        <f>_xlfn.XLOOKUP(TRIM(E445),MedicineInfo!A:A,MedicineInfo!B:B,"Not Found")</f>
        <v>Salbutamol Inhaler</v>
      </c>
      <c r="H444" s="1" t="str" cm="1">
        <f t="array" ref="H444">_xlfn.IFS(
OR(E444="Type 2 Diabetes",E444="Essential Hypertension",E444="Angina Pectoris",E444="Bronchial Asthma",E444="Cardiac Arrhythmia"), D444+30,
OR(E444="Gastritis",E444="Osteoarthritis",E444="Bronchitis",E444="Iron Deficiency Anemia"), D444+14,
OR(E444="Lumbar Strain",E444="Migraine Headache"), D444+7,
OR(E444="Viral Fever",E444="General Checkup","Routine Health Check"), "",
TRUE,""
)</f>
        <v/>
      </c>
      <c r="I444" s="1" t="str">
        <f t="shared" si="12"/>
        <v>No Follow-up Required</v>
      </c>
      <c r="J444" t="str">
        <f>TEXT(Table8[[#This Row],[visit_Date]],"DDDD")</f>
        <v>Monday</v>
      </c>
      <c r="K444" t="str">
        <f>TEXT(Table8[[#This Row],[visit_Date]],"mmmm")</f>
        <v>March</v>
      </c>
      <c r="L444" t="str">
        <f t="shared" si="13"/>
        <v>Summer</v>
      </c>
    </row>
    <row r="445" spans="1:12" x14ac:dyDescent="0.25">
      <c r="A445">
        <v>444</v>
      </c>
      <c r="B445">
        <v>1020</v>
      </c>
      <c r="C445">
        <v>1128</v>
      </c>
      <c r="D445" s="1">
        <v>45790</v>
      </c>
      <c r="E445" t="s">
        <v>324</v>
      </c>
      <c r="F445" t="s">
        <v>325</v>
      </c>
      <c r="G445" t="str">
        <f>_xlfn.XLOOKUP(TRIM(E446),MedicineInfo!A:A,MedicineInfo!B:B,"Not Found")</f>
        <v>Diclofenac</v>
      </c>
      <c r="H445" s="1" cm="1">
        <f t="array" ref="H445">_xlfn.IFS(
OR(E445="Type 2 Diabetes",E445="Essential Hypertension",E445="Angina Pectoris",E445="Bronchial Asthma",E445="Cardiac Arrhythmia"), D445+30,
OR(E445="Gastritis",E445="Osteoarthritis",E445="Bronchitis",E445="Iron Deficiency Anemia"), D445+14,
OR(E445="Lumbar Strain",E445="Migraine Headache"), D445+7,
OR(E445="Viral Fever",E445="General Checkup","Routine Health Check"), "",
TRUE,""
)</f>
        <v>45820</v>
      </c>
      <c r="I445" s="1" t="str">
        <f t="shared" si="12"/>
        <v>Follow-up Scheduled</v>
      </c>
      <c r="J445" t="str">
        <f>TEXT(Table8[[#This Row],[visit_Date]],"DDDD")</f>
        <v>Tuesday</v>
      </c>
      <c r="K445" t="str">
        <f>TEXT(Table8[[#This Row],[visit_Date]],"mmmm")</f>
        <v>May</v>
      </c>
      <c r="L445" t="str">
        <f t="shared" si="13"/>
        <v>Summer</v>
      </c>
    </row>
    <row r="446" spans="1:12" x14ac:dyDescent="0.25">
      <c r="A446">
        <v>445</v>
      </c>
      <c r="B446">
        <v>1027</v>
      </c>
      <c r="C446">
        <v>768</v>
      </c>
      <c r="D446" s="1">
        <v>45692</v>
      </c>
      <c r="E446" t="s">
        <v>313</v>
      </c>
      <c r="F446" t="s">
        <v>314</v>
      </c>
      <c r="G446" t="str">
        <f>_xlfn.XLOOKUP(TRIM(E447),MedicineInfo!A:A,MedicineInfo!B:B,"Not Found")</f>
        <v>Nitroglycerin</v>
      </c>
      <c r="H446" s="1" cm="1">
        <f t="array" ref="H446">_xlfn.IFS(
OR(E446="Type 2 Diabetes",E446="Essential Hypertension",E446="Angina Pectoris",E446="Bronchial Asthma",E446="Cardiac Arrhythmia"), D446+30,
OR(E446="Gastritis",E446="Osteoarthritis",E446="Bronchitis",E446="Iron Deficiency Anemia"), D446+14,
OR(E446="Lumbar Strain",E446="Migraine Headache"), D446+7,
OR(E446="Viral Fever",E446="General Checkup","Routine Health Check"), "",
TRUE,""
)</f>
        <v>45699</v>
      </c>
      <c r="I446" s="1" t="str">
        <f t="shared" si="12"/>
        <v>Follow-up Scheduled</v>
      </c>
      <c r="J446" t="str">
        <f>TEXT(Table8[[#This Row],[visit_Date]],"DDDD")</f>
        <v>Tuesday</v>
      </c>
      <c r="K446" t="str">
        <f>TEXT(Table8[[#This Row],[visit_Date]],"mmmm")</f>
        <v>February</v>
      </c>
      <c r="L446" t="str">
        <f t="shared" si="13"/>
        <v>Winter</v>
      </c>
    </row>
    <row r="447" spans="1:12" x14ac:dyDescent="0.25">
      <c r="A447">
        <v>446</v>
      </c>
      <c r="B447">
        <v>1001</v>
      </c>
      <c r="C447">
        <v>641</v>
      </c>
      <c r="D447" s="1">
        <v>45791</v>
      </c>
      <c r="E447" t="s">
        <v>322</v>
      </c>
      <c r="F447" t="s">
        <v>323</v>
      </c>
      <c r="G447" t="str">
        <f>_xlfn.XLOOKUP(TRIM(E448),MedicineInfo!A:A,MedicineInfo!B:B,"Not Found")</f>
        <v>Sumatriptan</v>
      </c>
      <c r="H447" s="1" cm="1">
        <f t="array" ref="H447">_xlfn.IFS(
OR(E447="Type 2 Diabetes",E447="Essential Hypertension",E447="Angina Pectoris",E447="Bronchial Asthma",E447="Cardiac Arrhythmia"), D447+30,
OR(E447="Gastritis",E447="Osteoarthritis",E447="Bronchitis",E447="Iron Deficiency Anemia"), D447+14,
OR(E447="Lumbar Strain",E447="Migraine Headache"), D447+7,
OR(E447="Viral Fever",E447="General Checkup","Routine Health Check"), "",
TRUE,""
)</f>
        <v>45821</v>
      </c>
      <c r="I447" s="1" t="str">
        <f t="shared" si="12"/>
        <v>Follow-up Scheduled</v>
      </c>
      <c r="J447" t="str">
        <f>TEXT(Table8[[#This Row],[visit_Date]],"DDDD")</f>
        <v>Wednesday</v>
      </c>
      <c r="K447" t="str">
        <f>TEXT(Table8[[#This Row],[visit_Date]],"mmmm")</f>
        <v>May</v>
      </c>
      <c r="L447" t="str">
        <f t="shared" si="13"/>
        <v>Summer</v>
      </c>
    </row>
    <row r="448" spans="1:12" x14ac:dyDescent="0.25">
      <c r="A448">
        <v>447</v>
      </c>
      <c r="B448">
        <v>1009</v>
      </c>
      <c r="C448">
        <v>812</v>
      </c>
      <c r="D448" s="1">
        <v>45705</v>
      </c>
      <c r="E448" t="s">
        <v>315</v>
      </c>
      <c r="F448" t="s">
        <v>316</v>
      </c>
      <c r="G448" t="str">
        <f>_xlfn.XLOOKUP(TRIM(E449),MedicineInfo!A:A,MedicineInfo!B:B,"Not Found")</f>
        <v>Salbutamol Inhaler</v>
      </c>
      <c r="H448" s="1" cm="1">
        <f t="array" ref="H448">_xlfn.IFS(
OR(E448="Type 2 Diabetes",E448="Essential Hypertension",E448="Angina Pectoris",E448="Bronchial Asthma",E448="Cardiac Arrhythmia"), D448+30,
OR(E448="Gastritis",E448="Osteoarthritis",E448="Bronchitis",E448="Iron Deficiency Anemia"), D448+14,
OR(E448="Lumbar Strain",E448="Migraine Headache"), D448+7,
OR(E448="Viral Fever",E448="General Checkup","Routine Health Check"), "",
TRUE,""
)</f>
        <v>45712</v>
      </c>
      <c r="I448" s="1" t="str">
        <f t="shared" si="12"/>
        <v>Follow-up Scheduled</v>
      </c>
      <c r="J448" t="str">
        <f>TEXT(Table8[[#This Row],[visit_Date]],"DDDD")</f>
        <v>Monday</v>
      </c>
      <c r="K448" t="str">
        <f>TEXT(Table8[[#This Row],[visit_Date]],"mmmm")</f>
        <v>February</v>
      </c>
      <c r="L448" t="str">
        <f t="shared" si="13"/>
        <v>Winter</v>
      </c>
    </row>
    <row r="449" spans="1:12" x14ac:dyDescent="0.25">
      <c r="A449">
        <v>448</v>
      </c>
      <c r="B449">
        <v>1020</v>
      </c>
      <c r="C449">
        <v>1585</v>
      </c>
      <c r="D449" s="1">
        <v>45770</v>
      </c>
      <c r="E449" t="s">
        <v>324</v>
      </c>
      <c r="F449" t="s">
        <v>325</v>
      </c>
      <c r="G449" t="str">
        <f>_xlfn.XLOOKUP(TRIM(E450),MedicineInfo!A:A,MedicineInfo!B:B,"Not Found")</f>
        <v>Metformin</v>
      </c>
      <c r="H449" s="1" cm="1">
        <f t="array" ref="H449">_xlfn.IFS(
OR(E449="Type 2 Diabetes",E449="Essential Hypertension",E449="Angina Pectoris",E449="Bronchial Asthma",E449="Cardiac Arrhythmia"), D449+30,
OR(E449="Gastritis",E449="Osteoarthritis",E449="Bronchitis",E449="Iron Deficiency Anemia"), D449+14,
OR(E449="Lumbar Strain",E449="Migraine Headache"), D449+7,
OR(E449="Viral Fever",E449="General Checkup","Routine Health Check"), "",
TRUE,""
)</f>
        <v>45800</v>
      </c>
      <c r="I449" s="1" t="str">
        <f t="shared" si="12"/>
        <v>Follow-up Scheduled</v>
      </c>
      <c r="J449" t="str">
        <f>TEXT(Table8[[#This Row],[visit_Date]],"DDDD")</f>
        <v>Wednesday</v>
      </c>
      <c r="K449" t="str">
        <f>TEXT(Table8[[#This Row],[visit_Date]],"mmmm")</f>
        <v>April</v>
      </c>
      <c r="L449" t="str">
        <f t="shared" si="13"/>
        <v>Summer</v>
      </c>
    </row>
    <row r="450" spans="1:12" x14ac:dyDescent="0.25">
      <c r="A450">
        <v>449</v>
      </c>
      <c r="B450">
        <v>1024</v>
      </c>
      <c r="C450">
        <v>1419</v>
      </c>
      <c r="D450" s="1">
        <v>45799</v>
      </c>
      <c r="E450" t="s">
        <v>317</v>
      </c>
      <c r="F450" t="s">
        <v>318</v>
      </c>
      <c r="G450" t="str">
        <f>_xlfn.XLOOKUP(TRIM(E451),MedicineInfo!A:A,MedicineInfo!B:B,"Not Found")</f>
        <v>Diclofenac</v>
      </c>
      <c r="H450" s="1" cm="1">
        <f t="array" ref="H450">_xlfn.IFS(
OR(E450="Type 2 Diabetes",E450="Essential Hypertension",E450="Angina Pectoris",E450="Bronchial Asthma",E450="Cardiac Arrhythmia"), D450+30,
OR(E450="Gastritis",E450="Osteoarthritis",E450="Bronchitis",E450="Iron Deficiency Anemia"), D450+14,
OR(E450="Lumbar Strain",E450="Migraine Headache"), D450+7,
OR(E450="Viral Fever",E450="General Checkup","Routine Health Check"), "",
TRUE,""
)</f>
        <v>45829</v>
      </c>
      <c r="I450" s="1" t="str">
        <f t="shared" ref="I450:I513" si="14">IF(H450="","No Follow-up Required","Follow-up Scheduled")</f>
        <v>Follow-up Scheduled</v>
      </c>
      <c r="J450" t="str">
        <f>TEXT(Table8[[#This Row],[visit_Date]],"DDDD")</f>
        <v>Thursday</v>
      </c>
      <c r="K450" t="str">
        <f>TEXT(Table8[[#This Row],[visit_Date]],"mmmm")</f>
        <v>May</v>
      </c>
      <c r="L450" t="str">
        <f t="shared" ref="L450:L513" si="15">IF(OR(MONTH(D450)=12,MONTH(D450)&lt;=2),"Winter",
IF(MONTH(D450)&lt;=5,"Summer","Monsoon"))</f>
        <v>Summer</v>
      </c>
    </row>
    <row r="451" spans="1:12" x14ac:dyDescent="0.25">
      <c r="A451">
        <v>450</v>
      </c>
      <c r="B451">
        <v>1027</v>
      </c>
      <c r="C451">
        <v>858</v>
      </c>
      <c r="D451" s="1">
        <v>45783</v>
      </c>
      <c r="E451" t="s">
        <v>313</v>
      </c>
      <c r="F451" t="s">
        <v>314</v>
      </c>
      <c r="G451" t="str">
        <f>_xlfn.XLOOKUP(TRIM(E452),MedicineInfo!A:A,MedicineInfo!B:B,"Not Found")</f>
        <v>Multivitamin</v>
      </c>
      <c r="H451" s="1" cm="1">
        <f t="array" ref="H451">_xlfn.IFS(
OR(E451="Type 2 Diabetes",E451="Essential Hypertension",E451="Angina Pectoris",E451="Bronchial Asthma",E451="Cardiac Arrhythmia"), D451+30,
OR(E451="Gastritis",E451="Osteoarthritis",E451="Bronchitis",E451="Iron Deficiency Anemia"), D451+14,
OR(E451="Lumbar Strain",E451="Migraine Headache"), D451+7,
OR(E451="Viral Fever",E451="General Checkup","Routine Health Check"), "",
TRUE,""
)</f>
        <v>45790</v>
      </c>
      <c r="I451" s="1" t="str">
        <f t="shared" si="14"/>
        <v>Follow-up Scheduled</v>
      </c>
      <c r="J451" t="str">
        <f>TEXT(Table8[[#This Row],[visit_Date]],"DDDD")</f>
        <v>Tuesday</v>
      </c>
      <c r="K451" t="str">
        <f>TEXT(Table8[[#This Row],[visit_Date]],"mmmm")</f>
        <v>May</v>
      </c>
      <c r="L451" t="str">
        <f t="shared" si="15"/>
        <v>Summer</v>
      </c>
    </row>
    <row r="452" spans="1:12" x14ac:dyDescent="0.25">
      <c r="A452">
        <v>451</v>
      </c>
      <c r="B452">
        <v>1027</v>
      </c>
      <c r="C452">
        <v>512</v>
      </c>
      <c r="D452" s="1">
        <v>45777</v>
      </c>
      <c r="E452" t="s">
        <v>24</v>
      </c>
      <c r="F452" t="s">
        <v>321</v>
      </c>
      <c r="G452" t="str">
        <f>_xlfn.XLOOKUP(TRIM(E453),MedicineInfo!A:A,MedicineInfo!B:B,"Not Found")</f>
        <v>Multivitamin</v>
      </c>
      <c r="H452" s="1" t="str" cm="1">
        <f t="array" ref="H452">_xlfn.IFS(
OR(E452="Type 2 Diabetes",E452="Essential Hypertension",E452="Angina Pectoris",E452="Bronchial Asthma",E452="Cardiac Arrhythmia"), D452+30,
OR(E452="Gastritis",E452="Osteoarthritis",E452="Bronchitis",E452="Iron Deficiency Anemia"), D452+14,
OR(E452="Lumbar Strain",E452="Migraine Headache"), D452+7,
OR(E452="Viral Fever",E452="General Checkup","Routine Health Check"), "",
TRUE,""
)</f>
        <v/>
      </c>
      <c r="I452" s="1" t="str">
        <f t="shared" si="14"/>
        <v>No Follow-up Required</v>
      </c>
      <c r="J452" t="str">
        <f>TEXT(Table8[[#This Row],[visit_Date]],"DDDD")</f>
        <v>Wednesday</v>
      </c>
      <c r="K452" t="str">
        <f>TEXT(Table8[[#This Row],[visit_Date]],"mmmm")</f>
        <v>April</v>
      </c>
      <c r="L452" t="str">
        <f t="shared" si="15"/>
        <v>Summer</v>
      </c>
    </row>
    <row r="453" spans="1:12" x14ac:dyDescent="0.25">
      <c r="A453">
        <v>452</v>
      </c>
      <c r="B453">
        <v>1027</v>
      </c>
      <c r="C453">
        <v>1010</v>
      </c>
      <c r="D453" s="1">
        <v>45823</v>
      </c>
      <c r="E453" t="s">
        <v>24</v>
      </c>
      <c r="F453" t="s">
        <v>321</v>
      </c>
      <c r="G453" t="str">
        <f>_xlfn.XLOOKUP(TRIM(E454),MedicineInfo!A:A,MedicineInfo!B:B,"Not Found")</f>
        <v>Amlodipine</v>
      </c>
      <c r="H453" s="1" t="str" cm="1">
        <f t="array" ref="H453">_xlfn.IFS(
OR(E453="Type 2 Diabetes",E453="Essential Hypertension",E453="Angina Pectoris",E453="Bronchial Asthma",E453="Cardiac Arrhythmia"), D453+30,
OR(E453="Gastritis",E453="Osteoarthritis",E453="Bronchitis",E453="Iron Deficiency Anemia"), D453+14,
OR(E453="Lumbar Strain",E453="Migraine Headache"), D453+7,
OR(E453="Viral Fever",E453="General Checkup","Routine Health Check"), "",
TRUE,""
)</f>
        <v/>
      </c>
      <c r="I453" s="1" t="str">
        <f t="shared" si="14"/>
        <v>No Follow-up Required</v>
      </c>
      <c r="J453" t="str">
        <f>TEXT(Table8[[#This Row],[visit_Date]],"DDDD")</f>
        <v>Sunday</v>
      </c>
      <c r="K453" t="str">
        <f>TEXT(Table8[[#This Row],[visit_Date]],"mmmm")</f>
        <v>June</v>
      </c>
      <c r="L453" t="str">
        <f t="shared" si="15"/>
        <v>Monsoon</v>
      </c>
    </row>
    <row r="454" spans="1:12" x14ac:dyDescent="0.25">
      <c r="A454">
        <v>453</v>
      </c>
      <c r="B454">
        <v>1002</v>
      </c>
      <c r="C454">
        <v>1127</v>
      </c>
      <c r="D454" s="1">
        <v>45814</v>
      </c>
      <c r="E454" t="s">
        <v>319</v>
      </c>
      <c r="F454" t="s">
        <v>320</v>
      </c>
      <c r="G454" t="str">
        <f>_xlfn.XLOOKUP(TRIM(E455),MedicineInfo!A:A,MedicineInfo!B:B,"Not Found")</f>
        <v>Amlodipine</v>
      </c>
      <c r="H454" s="1" cm="1">
        <f t="array" ref="H454">_xlfn.IFS(
OR(E454="Type 2 Diabetes",E454="Essential Hypertension",E454="Angina Pectoris",E454="Bronchial Asthma",E454="Cardiac Arrhythmia"), D454+30,
OR(E454="Gastritis",E454="Osteoarthritis",E454="Bronchitis",E454="Iron Deficiency Anemia"), D454+14,
OR(E454="Lumbar Strain",E454="Migraine Headache"), D454+7,
OR(E454="Viral Fever",E454="General Checkup","Routine Health Check"), "",
TRUE,""
)</f>
        <v>45844</v>
      </c>
      <c r="I454" s="1" t="str">
        <f t="shared" si="14"/>
        <v>Follow-up Scheduled</v>
      </c>
      <c r="J454" t="str">
        <f>TEXT(Table8[[#This Row],[visit_Date]],"DDDD")</f>
        <v>Friday</v>
      </c>
      <c r="K454" t="str">
        <f>TEXT(Table8[[#This Row],[visit_Date]],"mmmm")</f>
        <v>June</v>
      </c>
      <c r="L454" t="str">
        <f t="shared" si="15"/>
        <v>Monsoon</v>
      </c>
    </row>
    <row r="455" spans="1:12" x14ac:dyDescent="0.25">
      <c r="A455">
        <v>454</v>
      </c>
      <c r="B455">
        <v>1004</v>
      </c>
      <c r="C455">
        <v>272</v>
      </c>
      <c r="D455" s="1">
        <v>45676</v>
      </c>
      <c r="E455" t="s">
        <v>319</v>
      </c>
      <c r="F455" t="s">
        <v>320</v>
      </c>
      <c r="G455" t="str">
        <f>_xlfn.XLOOKUP(TRIM(E456),MedicineInfo!A:A,MedicineInfo!B:B,"Not Found")</f>
        <v>Paracetamol</v>
      </c>
      <c r="H455" s="1" cm="1">
        <f t="array" ref="H455">_xlfn.IFS(
OR(E455="Type 2 Diabetes",E455="Essential Hypertension",E455="Angina Pectoris",E455="Bronchial Asthma",E455="Cardiac Arrhythmia"), D455+30,
OR(E455="Gastritis",E455="Osteoarthritis",E455="Bronchitis",E455="Iron Deficiency Anemia"), D455+14,
OR(E455="Lumbar Strain",E455="Migraine Headache"), D455+7,
OR(E455="Viral Fever",E455="General Checkup","Routine Health Check"), "",
TRUE,""
)</f>
        <v>45706</v>
      </c>
      <c r="I455" s="1" t="str">
        <f t="shared" si="14"/>
        <v>Follow-up Scheduled</v>
      </c>
      <c r="J455" t="str">
        <f>TEXT(Table8[[#This Row],[visit_Date]],"DDDD")</f>
        <v>Sunday</v>
      </c>
      <c r="K455" t="str">
        <f>TEXT(Table8[[#This Row],[visit_Date]],"mmmm")</f>
        <v>January</v>
      </c>
      <c r="L455" t="str">
        <f t="shared" si="15"/>
        <v>Winter</v>
      </c>
    </row>
    <row r="456" spans="1:12" x14ac:dyDescent="0.25">
      <c r="A456">
        <v>455</v>
      </c>
      <c r="B456">
        <v>1027</v>
      </c>
      <c r="C456">
        <v>334</v>
      </c>
      <c r="D456" s="1">
        <v>45847</v>
      </c>
      <c r="E456" t="s">
        <v>326</v>
      </c>
      <c r="F456" t="s">
        <v>327</v>
      </c>
      <c r="G456" t="str">
        <f>_xlfn.XLOOKUP(TRIM(E457),MedicineInfo!A:A,MedicineInfo!B:B,"Not Found")</f>
        <v>Multivitamin</v>
      </c>
      <c r="H456" s="1" t="str" cm="1">
        <f t="array" ref="H456">_xlfn.IFS(
OR(E456="Type 2 Diabetes",E456="Essential Hypertension",E456="Angina Pectoris",E456="Bronchial Asthma",E456="Cardiac Arrhythmia"), D456+30,
OR(E456="Gastritis",E456="Osteoarthritis",E456="Bronchitis",E456="Iron Deficiency Anemia"), D456+14,
OR(E456="Lumbar Strain",E456="Migraine Headache"), D456+7,
OR(E456="Viral Fever",E456="General Checkup","Routine Health Check"), "",
TRUE,""
)</f>
        <v/>
      </c>
      <c r="I456" s="1" t="str">
        <f t="shared" si="14"/>
        <v>No Follow-up Required</v>
      </c>
      <c r="J456" t="str">
        <f>TEXT(Table8[[#This Row],[visit_Date]],"DDDD")</f>
        <v>Wednesday</v>
      </c>
      <c r="K456" t="str">
        <f>TEXT(Table8[[#This Row],[visit_Date]],"mmmm")</f>
        <v>July</v>
      </c>
      <c r="L456" t="str">
        <f t="shared" si="15"/>
        <v>Monsoon</v>
      </c>
    </row>
    <row r="457" spans="1:12" x14ac:dyDescent="0.25">
      <c r="A457">
        <v>456</v>
      </c>
      <c r="B457">
        <v>1027</v>
      </c>
      <c r="C457">
        <v>198</v>
      </c>
      <c r="D457" s="1">
        <v>45747</v>
      </c>
      <c r="E457" t="s">
        <v>24</v>
      </c>
      <c r="F457" t="s">
        <v>321</v>
      </c>
      <c r="G457" t="str">
        <f>_xlfn.XLOOKUP(TRIM(E458),MedicineInfo!A:A,MedicineInfo!B:B,"Not Found")</f>
        <v>Sumatriptan</v>
      </c>
      <c r="H457" s="1" t="str" cm="1">
        <f t="array" ref="H457">_xlfn.IFS(
OR(E457="Type 2 Diabetes",E457="Essential Hypertension",E457="Angina Pectoris",E457="Bronchial Asthma",E457="Cardiac Arrhythmia"), D457+30,
OR(E457="Gastritis",E457="Osteoarthritis",E457="Bronchitis",E457="Iron Deficiency Anemia"), D457+14,
OR(E457="Lumbar Strain",E457="Migraine Headache"), D457+7,
OR(E457="Viral Fever",E457="General Checkup","Routine Health Check"), "",
TRUE,""
)</f>
        <v/>
      </c>
      <c r="I457" s="1" t="str">
        <f t="shared" si="14"/>
        <v>No Follow-up Required</v>
      </c>
      <c r="J457" t="str">
        <f>TEXT(Table8[[#This Row],[visit_Date]],"DDDD")</f>
        <v>Monday</v>
      </c>
      <c r="K457" t="str">
        <f>TEXT(Table8[[#This Row],[visit_Date]],"mmmm")</f>
        <v>March</v>
      </c>
      <c r="L457" t="str">
        <f t="shared" si="15"/>
        <v>Summer</v>
      </c>
    </row>
    <row r="458" spans="1:12" x14ac:dyDescent="0.25">
      <c r="A458">
        <v>457</v>
      </c>
      <c r="B458">
        <v>1008</v>
      </c>
      <c r="C458">
        <v>500</v>
      </c>
      <c r="D458" s="1">
        <v>45676</v>
      </c>
      <c r="E458" t="s">
        <v>315</v>
      </c>
      <c r="F458" t="s">
        <v>316</v>
      </c>
      <c r="G458" t="str">
        <f>_xlfn.XLOOKUP(TRIM(E459),MedicineInfo!A:A,MedicineInfo!B:B,"Not Found")</f>
        <v>Multivitamin</v>
      </c>
      <c r="H458" s="1" cm="1">
        <f t="array" ref="H458">_xlfn.IFS(
OR(E458="Type 2 Diabetes",E458="Essential Hypertension",E458="Angina Pectoris",E458="Bronchial Asthma",E458="Cardiac Arrhythmia"), D458+30,
OR(E458="Gastritis",E458="Osteoarthritis",E458="Bronchitis",E458="Iron Deficiency Anemia"), D458+14,
OR(E458="Lumbar Strain",E458="Migraine Headache"), D458+7,
OR(E458="Viral Fever",E458="General Checkup","Routine Health Check"), "",
TRUE,""
)</f>
        <v>45683</v>
      </c>
      <c r="I458" s="1" t="str">
        <f t="shared" si="14"/>
        <v>Follow-up Scheduled</v>
      </c>
      <c r="J458" t="str">
        <f>TEXT(Table8[[#This Row],[visit_Date]],"DDDD")</f>
        <v>Sunday</v>
      </c>
      <c r="K458" t="str">
        <f>TEXT(Table8[[#This Row],[visit_Date]],"mmmm")</f>
        <v>January</v>
      </c>
      <c r="L458" t="str">
        <f t="shared" si="15"/>
        <v>Winter</v>
      </c>
    </row>
    <row r="459" spans="1:12" x14ac:dyDescent="0.25">
      <c r="A459">
        <v>458</v>
      </c>
      <c r="B459">
        <v>1027</v>
      </c>
      <c r="C459">
        <v>1234</v>
      </c>
      <c r="D459" s="1">
        <v>45750</v>
      </c>
      <c r="E459" t="s">
        <v>24</v>
      </c>
      <c r="F459" t="s">
        <v>321</v>
      </c>
      <c r="G459" t="str">
        <f>_xlfn.XLOOKUP(TRIM(E460),MedicineInfo!A:A,MedicineInfo!B:B,"Not Found")</f>
        <v>Salbutamol Inhaler</v>
      </c>
      <c r="H459" s="1" t="str" cm="1">
        <f t="array" ref="H459">_xlfn.IFS(
OR(E459="Type 2 Diabetes",E459="Essential Hypertension",E459="Angina Pectoris",E459="Bronchial Asthma",E459="Cardiac Arrhythmia"), D459+30,
OR(E459="Gastritis",E459="Osteoarthritis",E459="Bronchitis",E459="Iron Deficiency Anemia"), D459+14,
OR(E459="Lumbar Strain",E459="Migraine Headache"), D459+7,
OR(E459="Viral Fever",E459="General Checkup","Routine Health Check"), "",
TRUE,""
)</f>
        <v/>
      </c>
      <c r="I459" s="1" t="str">
        <f t="shared" si="14"/>
        <v>No Follow-up Required</v>
      </c>
      <c r="J459" t="str">
        <f>TEXT(Table8[[#This Row],[visit_Date]],"DDDD")</f>
        <v>Thursday</v>
      </c>
      <c r="K459" t="str">
        <f>TEXT(Table8[[#This Row],[visit_Date]],"mmmm")</f>
        <v>April</v>
      </c>
      <c r="L459" t="str">
        <f t="shared" si="15"/>
        <v>Summer</v>
      </c>
    </row>
    <row r="460" spans="1:12" x14ac:dyDescent="0.25">
      <c r="A460">
        <v>459</v>
      </c>
      <c r="B460">
        <v>1020</v>
      </c>
      <c r="C460">
        <v>723</v>
      </c>
      <c r="D460" s="1">
        <v>45814</v>
      </c>
      <c r="E460" t="s">
        <v>324</v>
      </c>
      <c r="F460" t="s">
        <v>325</v>
      </c>
      <c r="G460" t="str">
        <f>_xlfn.XLOOKUP(TRIM(E461),MedicineInfo!A:A,MedicineInfo!B:B,"Not Found")</f>
        <v>Multivitamin</v>
      </c>
      <c r="H460" s="1" cm="1">
        <f t="array" ref="H460">_xlfn.IFS(
OR(E460="Type 2 Diabetes",E460="Essential Hypertension",E460="Angina Pectoris",E460="Bronchial Asthma",E460="Cardiac Arrhythmia"), D460+30,
OR(E460="Gastritis",E460="Osteoarthritis",E460="Bronchitis",E460="Iron Deficiency Anemia"), D460+14,
OR(E460="Lumbar Strain",E460="Migraine Headache"), D460+7,
OR(E460="Viral Fever",E460="General Checkup","Routine Health Check"), "",
TRUE,""
)</f>
        <v>45844</v>
      </c>
      <c r="I460" s="1" t="str">
        <f t="shared" si="14"/>
        <v>Follow-up Scheduled</v>
      </c>
      <c r="J460" t="str">
        <f>TEXT(Table8[[#This Row],[visit_Date]],"DDDD")</f>
        <v>Friday</v>
      </c>
      <c r="K460" t="str">
        <f>TEXT(Table8[[#This Row],[visit_Date]],"mmmm")</f>
        <v>June</v>
      </c>
      <c r="L460" t="str">
        <f t="shared" si="15"/>
        <v>Monsoon</v>
      </c>
    </row>
    <row r="461" spans="1:12" x14ac:dyDescent="0.25">
      <c r="A461">
        <v>460</v>
      </c>
      <c r="B461">
        <v>1027</v>
      </c>
      <c r="C461">
        <v>1310</v>
      </c>
      <c r="D461" s="1">
        <v>45823</v>
      </c>
      <c r="E461" t="s">
        <v>24</v>
      </c>
      <c r="F461" t="s">
        <v>321</v>
      </c>
      <c r="G461" t="str">
        <f>_xlfn.XLOOKUP(TRIM(E462),MedicineInfo!A:A,MedicineInfo!B:B,"Not Found")</f>
        <v>Nitroglycerin</v>
      </c>
      <c r="H461" s="1" t="str" cm="1">
        <f t="array" ref="H461">_xlfn.IFS(
OR(E461="Type 2 Diabetes",E461="Essential Hypertension",E461="Angina Pectoris",E461="Bronchial Asthma",E461="Cardiac Arrhythmia"), D461+30,
OR(E461="Gastritis",E461="Osteoarthritis",E461="Bronchitis",E461="Iron Deficiency Anemia"), D461+14,
OR(E461="Lumbar Strain",E461="Migraine Headache"), D461+7,
OR(E461="Viral Fever",E461="General Checkup","Routine Health Check"), "",
TRUE,""
)</f>
        <v/>
      </c>
      <c r="I461" s="1" t="str">
        <f t="shared" si="14"/>
        <v>No Follow-up Required</v>
      </c>
      <c r="J461" t="str">
        <f>TEXT(Table8[[#This Row],[visit_Date]],"DDDD")</f>
        <v>Sunday</v>
      </c>
      <c r="K461" t="str">
        <f>TEXT(Table8[[#This Row],[visit_Date]],"mmmm")</f>
        <v>June</v>
      </c>
      <c r="L461" t="str">
        <f t="shared" si="15"/>
        <v>Monsoon</v>
      </c>
    </row>
    <row r="462" spans="1:12" x14ac:dyDescent="0.25">
      <c r="A462">
        <v>461</v>
      </c>
      <c r="B462">
        <v>1001</v>
      </c>
      <c r="C462">
        <v>1493</v>
      </c>
      <c r="D462" s="1">
        <v>45799</v>
      </c>
      <c r="E462" t="s">
        <v>322</v>
      </c>
      <c r="F462" t="s">
        <v>323</v>
      </c>
      <c r="G462" t="str">
        <f>_xlfn.XLOOKUP(TRIM(E463),MedicineInfo!A:A,MedicineInfo!B:B,"Not Found")</f>
        <v>Multivitamin</v>
      </c>
      <c r="H462" s="1" cm="1">
        <f t="array" ref="H462">_xlfn.IFS(
OR(E462="Type 2 Diabetes",E462="Essential Hypertension",E462="Angina Pectoris",E462="Bronchial Asthma",E462="Cardiac Arrhythmia"), D462+30,
OR(E462="Gastritis",E462="Osteoarthritis",E462="Bronchitis",E462="Iron Deficiency Anemia"), D462+14,
OR(E462="Lumbar Strain",E462="Migraine Headache"), D462+7,
OR(E462="Viral Fever",E462="General Checkup","Routine Health Check"), "",
TRUE,""
)</f>
        <v>45829</v>
      </c>
      <c r="I462" s="1" t="str">
        <f t="shared" si="14"/>
        <v>Follow-up Scheduled</v>
      </c>
      <c r="J462" t="str">
        <f>TEXT(Table8[[#This Row],[visit_Date]],"DDDD")</f>
        <v>Thursday</v>
      </c>
      <c r="K462" t="str">
        <f>TEXT(Table8[[#This Row],[visit_Date]],"mmmm")</f>
        <v>May</v>
      </c>
      <c r="L462" t="str">
        <f t="shared" si="15"/>
        <v>Summer</v>
      </c>
    </row>
    <row r="463" spans="1:12" x14ac:dyDescent="0.25">
      <c r="A463">
        <v>462</v>
      </c>
      <c r="B463">
        <v>1027</v>
      </c>
      <c r="C463">
        <v>633</v>
      </c>
      <c r="D463" s="1">
        <v>45799</v>
      </c>
      <c r="E463" t="s">
        <v>24</v>
      </c>
      <c r="F463" t="s">
        <v>321</v>
      </c>
      <c r="G463" t="str">
        <f>_xlfn.XLOOKUP(TRIM(E464),MedicineInfo!A:A,MedicineInfo!B:B,"Not Found")</f>
        <v>Nitroglycerin</v>
      </c>
      <c r="H463" s="1" t="str" cm="1">
        <f t="array" ref="H463">_xlfn.IFS(
OR(E463="Type 2 Diabetes",E463="Essential Hypertension",E463="Angina Pectoris",E463="Bronchial Asthma",E463="Cardiac Arrhythmia"), D463+30,
OR(E463="Gastritis",E463="Osteoarthritis",E463="Bronchitis",E463="Iron Deficiency Anemia"), D463+14,
OR(E463="Lumbar Strain",E463="Migraine Headache"), D463+7,
OR(E463="Viral Fever",E463="General Checkup","Routine Health Check"), "",
TRUE,""
)</f>
        <v/>
      </c>
      <c r="I463" s="1" t="str">
        <f t="shared" si="14"/>
        <v>No Follow-up Required</v>
      </c>
      <c r="J463" t="str">
        <f>TEXT(Table8[[#This Row],[visit_Date]],"DDDD")</f>
        <v>Thursday</v>
      </c>
      <c r="K463" t="str">
        <f>TEXT(Table8[[#This Row],[visit_Date]],"mmmm")</f>
        <v>May</v>
      </c>
      <c r="L463" t="str">
        <f t="shared" si="15"/>
        <v>Summer</v>
      </c>
    </row>
    <row r="464" spans="1:12" x14ac:dyDescent="0.25">
      <c r="A464">
        <v>463</v>
      </c>
      <c r="B464">
        <v>1027</v>
      </c>
      <c r="C464">
        <v>1391</v>
      </c>
      <c r="D464" s="1">
        <v>45823</v>
      </c>
      <c r="E464" t="s">
        <v>322</v>
      </c>
      <c r="F464" t="s">
        <v>323</v>
      </c>
      <c r="G464" t="str">
        <f>_xlfn.XLOOKUP(TRIM(E465),MedicineInfo!A:A,MedicineInfo!B:B,"Not Found")</f>
        <v>Metformin</v>
      </c>
      <c r="H464" s="1" cm="1">
        <f t="array" ref="H464">_xlfn.IFS(
OR(E464="Type 2 Diabetes",E464="Essential Hypertension",E464="Angina Pectoris",E464="Bronchial Asthma",E464="Cardiac Arrhythmia"), D464+30,
OR(E464="Gastritis",E464="Osteoarthritis",E464="Bronchitis",E464="Iron Deficiency Anemia"), D464+14,
OR(E464="Lumbar Strain",E464="Migraine Headache"), D464+7,
OR(E464="Viral Fever",E464="General Checkup","Routine Health Check"), "",
TRUE,""
)</f>
        <v>45853</v>
      </c>
      <c r="I464" s="1" t="str">
        <f t="shared" si="14"/>
        <v>Follow-up Scheduled</v>
      </c>
      <c r="J464" t="str">
        <f>TEXT(Table8[[#This Row],[visit_Date]],"DDDD")</f>
        <v>Sunday</v>
      </c>
      <c r="K464" t="str">
        <f>TEXT(Table8[[#This Row],[visit_Date]],"mmmm")</f>
        <v>June</v>
      </c>
      <c r="L464" t="str">
        <f t="shared" si="15"/>
        <v>Monsoon</v>
      </c>
    </row>
    <row r="465" spans="1:12" x14ac:dyDescent="0.25">
      <c r="A465">
        <v>464</v>
      </c>
      <c r="B465">
        <v>1024</v>
      </c>
      <c r="C465">
        <v>1114</v>
      </c>
      <c r="D465" s="1">
        <v>45694</v>
      </c>
      <c r="E465" t="s">
        <v>317</v>
      </c>
      <c r="F465" t="s">
        <v>318</v>
      </c>
      <c r="G465" t="str">
        <f>_xlfn.XLOOKUP(TRIM(E466),MedicineInfo!A:A,MedicineInfo!B:B,"Not Found")</f>
        <v>Paracetamol</v>
      </c>
      <c r="H465" s="1" cm="1">
        <f t="array" ref="H465">_xlfn.IFS(
OR(E465="Type 2 Diabetes",E465="Essential Hypertension",E465="Angina Pectoris",E465="Bronchial Asthma",E465="Cardiac Arrhythmia"), D465+30,
OR(E465="Gastritis",E465="Osteoarthritis",E465="Bronchitis",E465="Iron Deficiency Anemia"), D465+14,
OR(E465="Lumbar Strain",E465="Migraine Headache"), D465+7,
OR(E465="Viral Fever",E465="General Checkup","Routine Health Check"), "",
TRUE,""
)</f>
        <v>45724</v>
      </c>
      <c r="I465" s="1" t="str">
        <f t="shared" si="14"/>
        <v>Follow-up Scheduled</v>
      </c>
      <c r="J465" t="str">
        <f>TEXT(Table8[[#This Row],[visit_Date]],"DDDD")</f>
        <v>Thursday</v>
      </c>
      <c r="K465" t="str">
        <f>TEXT(Table8[[#This Row],[visit_Date]],"mmmm")</f>
        <v>February</v>
      </c>
      <c r="L465" t="str">
        <f t="shared" si="15"/>
        <v>Winter</v>
      </c>
    </row>
    <row r="466" spans="1:12" x14ac:dyDescent="0.25">
      <c r="A466">
        <v>465</v>
      </c>
      <c r="B466">
        <v>1027</v>
      </c>
      <c r="C466">
        <v>762</v>
      </c>
      <c r="D466" s="1">
        <v>45791</v>
      </c>
      <c r="E466" t="s">
        <v>326</v>
      </c>
      <c r="F466" t="s">
        <v>327</v>
      </c>
      <c r="G466" t="str">
        <f>_xlfn.XLOOKUP(TRIM(E467),MedicineInfo!A:A,MedicineInfo!B:B,"Not Found")</f>
        <v>Paracetamol</v>
      </c>
      <c r="H466" s="1" t="str" cm="1">
        <f t="array" ref="H466">_xlfn.IFS(
OR(E466="Type 2 Diabetes",E466="Essential Hypertension",E466="Angina Pectoris",E466="Bronchial Asthma",E466="Cardiac Arrhythmia"), D466+30,
OR(E466="Gastritis",E466="Osteoarthritis",E466="Bronchitis",E466="Iron Deficiency Anemia"), D466+14,
OR(E466="Lumbar Strain",E466="Migraine Headache"), D466+7,
OR(E466="Viral Fever",E466="General Checkup","Routine Health Check"), "",
TRUE,""
)</f>
        <v/>
      </c>
      <c r="I466" s="1" t="str">
        <f t="shared" si="14"/>
        <v>No Follow-up Required</v>
      </c>
      <c r="J466" t="str">
        <f>TEXT(Table8[[#This Row],[visit_Date]],"DDDD")</f>
        <v>Wednesday</v>
      </c>
      <c r="K466" t="str">
        <f>TEXT(Table8[[#This Row],[visit_Date]],"mmmm")</f>
        <v>May</v>
      </c>
      <c r="L466" t="str">
        <f t="shared" si="15"/>
        <v>Summer</v>
      </c>
    </row>
    <row r="467" spans="1:12" x14ac:dyDescent="0.25">
      <c r="A467">
        <v>466</v>
      </c>
      <c r="B467">
        <v>1027</v>
      </c>
      <c r="C467">
        <v>318</v>
      </c>
      <c r="D467" s="1">
        <v>45783</v>
      </c>
      <c r="E467" t="s">
        <v>326</v>
      </c>
      <c r="F467" t="s">
        <v>327</v>
      </c>
      <c r="G467" t="str">
        <f>_xlfn.XLOOKUP(TRIM(E468),MedicineInfo!A:A,MedicineInfo!B:B,"Not Found")</f>
        <v>Nitroglycerin</v>
      </c>
      <c r="H467" s="1" t="str" cm="1">
        <f t="array" ref="H467">_xlfn.IFS(
OR(E467="Type 2 Diabetes",E467="Essential Hypertension",E467="Angina Pectoris",E467="Bronchial Asthma",E467="Cardiac Arrhythmia"), D467+30,
OR(E467="Gastritis",E467="Osteoarthritis",E467="Bronchitis",E467="Iron Deficiency Anemia"), D467+14,
OR(E467="Lumbar Strain",E467="Migraine Headache"), D467+7,
OR(E467="Viral Fever",E467="General Checkup","Routine Health Check"), "",
TRUE,""
)</f>
        <v/>
      </c>
      <c r="I467" s="1" t="str">
        <f t="shared" si="14"/>
        <v>No Follow-up Required</v>
      </c>
      <c r="J467" t="str">
        <f>TEXT(Table8[[#This Row],[visit_Date]],"DDDD")</f>
        <v>Tuesday</v>
      </c>
      <c r="K467" t="str">
        <f>TEXT(Table8[[#This Row],[visit_Date]],"mmmm")</f>
        <v>May</v>
      </c>
      <c r="L467" t="str">
        <f t="shared" si="15"/>
        <v>Summer</v>
      </c>
    </row>
    <row r="468" spans="1:12" x14ac:dyDescent="0.25">
      <c r="A468">
        <v>467</v>
      </c>
      <c r="B468">
        <v>1027</v>
      </c>
      <c r="C468">
        <v>192</v>
      </c>
      <c r="D468" s="1">
        <v>45752</v>
      </c>
      <c r="E468" t="s">
        <v>322</v>
      </c>
      <c r="F468" t="s">
        <v>323</v>
      </c>
      <c r="G468" t="str">
        <f>_xlfn.XLOOKUP(TRIM(E469),MedicineInfo!A:A,MedicineInfo!B:B,"Not Found")</f>
        <v>Metformin</v>
      </c>
      <c r="H468" s="1" cm="1">
        <f t="array" ref="H468">_xlfn.IFS(
OR(E468="Type 2 Diabetes",E468="Essential Hypertension",E468="Angina Pectoris",E468="Bronchial Asthma",E468="Cardiac Arrhythmia"), D468+30,
OR(E468="Gastritis",E468="Osteoarthritis",E468="Bronchitis",E468="Iron Deficiency Anemia"), D468+14,
OR(E468="Lumbar Strain",E468="Migraine Headache"), D468+7,
OR(E468="Viral Fever",E468="General Checkup","Routine Health Check"), "",
TRUE,""
)</f>
        <v>45782</v>
      </c>
      <c r="I468" s="1" t="str">
        <f t="shared" si="14"/>
        <v>Follow-up Scheduled</v>
      </c>
      <c r="J468" t="str">
        <f>TEXT(Table8[[#This Row],[visit_Date]],"DDDD")</f>
        <v>Saturday</v>
      </c>
      <c r="K468" t="str">
        <f>TEXT(Table8[[#This Row],[visit_Date]],"mmmm")</f>
        <v>April</v>
      </c>
      <c r="L468" t="str">
        <f t="shared" si="15"/>
        <v>Summer</v>
      </c>
    </row>
    <row r="469" spans="1:12" x14ac:dyDescent="0.25">
      <c r="A469">
        <v>468</v>
      </c>
      <c r="B469">
        <v>1024</v>
      </c>
      <c r="C469">
        <v>442</v>
      </c>
      <c r="D469" s="1">
        <v>45735</v>
      </c>
      <c r="E469" t="s">
        <v>317</v>
      </c>
      <c r="F469" t="s">
        <v>318</v>
      </c>
      <c r="G469" t="str">
        <f>_xlfn.XLOOKUP(TRIM(E470),MedicineInfo!A:A,MedicineInfo!B:B,"Not Found")</f>
        <v>Nitroglycerin</v>
      </c>
      <c r="H469" s="1" cm="1">
        <f t="array" ref="H469">_xlfn.IFS(
OR(E469="Type 2 Diabetes",E469="Essential Hypertension",E469="Angina Pectoris",E469="Bronchial Asthma",E469="Cardiac Arrhythmia"), D469+30,
OR(E469="Gastritis",E469="Osteoarthritis",E469="Bronchitis",E469="Iron Deficiency Anemia"), D469+14,
OR(E469="Lumbar Strain",E469="Migraine Headache"), D469+7,
OR(E469="Viral Fever",E469="General Checkup","Routine Health Check"), "",
TRUE,""
)</f>
        <v>45765</v>
      </c>
      <c r="I469" s="1" t="str">
        <f t="shared" si="14"/>
        <v>Follow-up Scheduled</v>
      </c>
      <c r="J469" t="str">
        <f>TEXT(Table8[[#This Row],[visit_Date]],"DDDD")</f>
        <v>Wednesday</v>
      </c>
      <c r="K469" t="str">
        <f>TEXT(Table8[[#This Row],[visit_Date]],"mmmm")</f>
        <v>March</v>
      </c>
      <c r="L469" t="str">
        <f t="shared" si="15"/>
        <v>Summer</v>
      </c>
    </row>
    <row r="470" spans="1:12" x14ac:dyDescent="0.25">
      <c r="A470">
        <v>469</v>
      </c>
      <c r="B470">
        <v>1027</v>
      </c>
      <c r="C470">
        <v>788</v>
      </c>
      <c r="D470" s="1">
        <v>45726</v>
      </c>
      <c r="E470" t="s">
        <v>322</v>
      </c>
      <c r="F470" t="s">
        <v>323</v>
      </c>
      <c r="G470" t="str">
        <f>_xlfn.XLOOKUP(TRIM(E471),MedicineInfo!A:A,MedicineInfo!B:B,"Not Found")</f>
        <v>Multivitamin</v>
      </c>
      <c r="H470" s="1" cm="1">
        <f t="array" ref="H470">_xlfn.IFS(
OR(E470="Type 2 Diabetes",E470="Essential Hypertension",E470="Angina Pectoris",E470="Bronchial Asthma",E470="Cardiac Arrhythmia"), D470+30,
OR(E470="Gastritis",E470="Osteoarthritis",E470="Bronchitis",E470="Iron Deficiency Anemia"), D470+14,
OR(E470="Lumbar Strain",E470="Migraine Headache"), D470+7,
OR(E470="Viral Fever",E470="General Checkup","Routine Health Check"), "",
TRUE,""
)</f>
        <v>45756</v>
      </c>
      <c r="I470" s="1" t="str">
        <f t="shared" si="14"/>
        <v>Follow-up Scheduled</v>
      </c>
      <c r="J470" t="str">
        <f>TEXT(Table8[[#This Row],[visit_Date]],"DDDD")</f>
        <v>Monday</v>
      </c>
      <c r="K470" t="str">
        <f>TEXT(Table8[[#This Row],[visit_Date]],"mmmm")</f>
        <v>March</v>
      </c>
      <c r="L470" t="str">
        <f t="shared" si="15"/>
        <v>Summer</v>
      </c>
    </row>
    <row r="471" spans="1:12" x14ac:dyDescent="0.25">
      <c r="A471">
        <v>470</v>
      </c>
      <c r="B471">
        <v>1027</v>
      </c>
      <c r="C471">
        <v>613</v>
      </c>
      <c r="D471" s="1">
        <v>45787</v>
      </c>
      <c r="E471" t="s">
        <v>24</v>
      </c>
      <c r="F471" t="s">
        <v>321</v>
      </c>
      <c r="G471" t="str">
        <f>_xlfn.XLOOKUP(TRIM(E472),MedicineInfo!A:A,MedicineInfo!B:B,"Not Found")</f>
        <v>Salbutamol Inhaler</v>
      </c>
      <c r="H471" s="1" t="str" cm="1">
        <f t="array" ref="H471">_xlfn.IFS(
OR(E471="Type 2 Diabetes",E471="Essential Hypertension",E471="Angina Pectoris",E471="Bronchial Asthma",E471="Cardiac Arrhythmia"), D471+30,
OR(E471="Gastritis",E471="Osteoarthritis",E471="Bronchitis",E471="Iron Deficiency Anemia"), D471+14,
OR(E471="Lumbar Strain",E471="Migraine Headache"), D471+7,
OR(E471="Viral Fever",E471="General Checkup","Routine Health Check"), "",
TRUE,""
)</f>
        <v/>
      </c>
      <c r="I471" s="1" t="str">
        <f t="shared" si="14"/>
        <v>No Follow-up Required</v>
      </c>
      <c r="J471" t="str">
        <f>TEXT(Table8[[#This Row],[visit_Date]],"DDDD")</f>
        <v>Saturday</v>
      </c>
      <c r="K471" t="str">
        <f>TEXT(Table8[[#This Row],[visit_Date]],"mmmm")</f>
        <v>May</v>
      </c>
      <c r="L471" t="str">
        <f t="shared" si="15"/>
        <v>Summer</v>
      </c>
    </row>
    <row r="472" spans="1:12" x14ac:dyDescent="0.25">
      <c r="A472">
        <v>471</v>
      </c>
      <c r="B472">
        <v>1020</v>
      </c>
      <c r="C472">
        <v>1564</v>
      </c>
      <c r="D472" s="1">
        <v>45819</v>
      </c>
      <c r="E472" t="s">
        <v>324</v>
      </c>
      <c r="F472" t="s">
        <v>325</v>
      </c>
      <c r="G472" t="str">
        <f>_xlfn.XLOOKUP(TRIM(E473),MedicineInfo!A:A,MedicineInfo!B:B,"Not Found")</f>
        <v>Salbutamol Inhaler</v>
      </c>
      <c r="H472" s="1" cm="1">
        <f t="array" ref="H472">_xlfn.IFS(
OR(E472="Type 2 Diabetes",E472="Essential Hypertension",E472="Angina Pectoris",E472="Bronchial Asthma",E472="Cardiac Arrhythmia"), D472+30,
OR(E472="Gastritis",E472="Osteoarthritis",E472="Bronchitis",E472="Iron Deficiency Anemia"), D472+14,
OR(E472="Lumbar Strain",E472="Migraine Headache"), D472+7,
OR(E472="Viral Fever",E472="General Checkup","Routine Health Check"), "",
TRUE,""
)</f>
        <v>45849</v>
      </c>
      <c r="I472" s="1" t="str">
        <f t="shared" si="14"/>
        <v>Follow-up Scheduled</v>
      </c>
      <c r="J472" t="str">
        <f>TEXT(Table8[[#This Row],[visit_Date]],"DDDD")</f>
        <v>Wednesday</v>
      </c>
      <c r="K472" t="str">
        <f>TEXT(Table8[[#This Row],[visit_Date]],"mmmm")</f>
        <v>June</v>
      </c>
      <c r="L472" t="str">
        <f t="shared" si="15"/>
        <v>Monsoon</v>
      </c>
    </row>
    <row r="473" spans="1:12" x14ac:dyDescent="0.25">
      <c r="A473">
        <v>472</v>
      </c>
      <c r="B473">
        <v>1020</v>
      </c>
      <c r="C473">
        <v>188</v>
      </c>
      <c r="D473" s="1">
        <v>45845</v>
      </c>
      <c r="E473" t="s">
        <v>324</v>
      </c>
      <c r="F473" t="s">
        <v>325</v>
      </c>
      <c r="G473" t="str">
        <f>_xlfn.XLOOKUP(TRIM(E474),MedicineInfo!A:A,MedicineInfo!B:B,"Not Found")</f>
        <v>Nitroglycerin</v>
      </c>
      <c r="H473" s="1" cm="1">
        <f t="array" ref="H473">_xlfn.IFS(
OR(E473="Type 2 Diabetes",E473="Essential Hypertension",E473="Angina Pectoris",E473="Bronchial Asthma",E473="Cardiac Arrhythmia"), D473+30,
OR(E473="Gastritis",E473="Osteoarthritis",E473="Bronchitis",E473="Iron Deficiency Anemia"), D473+14,
OR(E473="Lumbar Strain",E473="Migraine Headache"), D473+7,
OR(E473="Viral Fever",E473="General Checkup","Routine Health Check"), "",
TRUE,""
)</f>
        <v>45875</v>
      </c>
      <c r="I473" s="1" t="str">
        <f t="shared" si="14"/>
        <v>Follow-up Scheduled</v>
      </c>
      <c r="J473" t="str">
        <f>TEXT(Table8[[#This Row],[visit_Date]],"DDDD")</f>
        <v>Monday</v>
      </c>
      <c r="K473" t="str">
        <f>TEXT(Table8[[#This Row],[visit_Date]],"mmmm")</f>
        <v>July</v>
      </c>
      <c r="L473" t="str">
        <f t="shared" si="15"/>
        <v>Monsoon</v>
      </c>
    </row>
    <row r="474" spans="1:12" x14ac:dyDescent="0.25">
      <c r="A474">
        <v>473</v>
      </c>
      <c r="B474">
        <v>1001</v>
      </c>
      <c r="C474">
        <v>104</v>
      </c>
      <c r="D474" s="1">
        <v>45839</v>
      </c>
      <c r="E474" t="s">
        <v>322</v>
      </c>
      <c r="F474" t="s">
        <v>323</v>
      </c>
      <c r="G474" t="str">
        <f>_xlfn.XLOOKUP(TRIM(E475),MedicineInfo!A:A,MedicineInfo!B:B,"Not Found")</f>
        <v>Nitroglycerin</v>
      </c>
      <c r="H474" s="1" cm="1">
        <f t="array" ref="H474">_xlfn.IFS(
OR(E474="Type 2 Diabetes",E474="Essential Hypertension",E474="Angina Pectoris",E474="Bronchial Asthma",E474="Cardiac Arrhythmia"), D474+30,
OR(E474="Gastritis",E474="Osteoarthritis",E474="Bronchitis",E474="Iron Deficiency Anemia"), D474+14,
OR(E474="Lumbar Strain",E474="Migraine Headache"), D474+7,
OR(E474="Viral Fever",E474="General Checkup","Routine Health Check"), "",
TRUE,""
)</f>
        <v>45869</v>
      </c>
      <c r="I474" s="1" t="str">
        <f t="shared" si="14"/>
        <v>Follow-up Scheduled</v>
      </c>
      <c r="J474" t="str">
        <f>TEXT(Table8[[#This Row],[visit_Date]],"DDDD")</f>
        <v>Tuesday</v>
      </c>
      <c r="K474" t="str">
        <f>TEXT(Table8[[#This Row],[visit_Date]],"mmmm")</f>
        <v>July</v>
      </c>
      <c r="L474" t="str">
        <f t="shared" si="15"/>
        <v>Monsoon</v>
      </c>
    </row>
    <row r="475" spans="1:12" x14ac:dyDescent="0.25">
      <c r="A475">
        <v>474</v>
      </c>
      <c r="B475">
        <v>1001</v>
      </c>
      <c r="C475">
        <v>322</v>
      </c>
      <c r="D475" s="1">
        <v>45777</v>
      </c>
      <c r="E475" t="s">
        <v>322</v>
      </c>
      <c r="F475" t="s">
        <v>323</v>
      </c>
      <c r="G475" t="str">
        <f>_xlfn.XLOOKUP(TRIM(E476),MedicineInfo!A:A,MedicineInfo!B:B,"Not Found")</f>
        <v>Salbutamol Inhaler</v>
      </c>
      <c r="H475" s="1" cm="1">
        <f t="array" ref="H475">_xlfn.IFS(
OR(E475="Type 2 Diabetes",E475="Essential Hypertension",E475="Angina Pectoris",E475="Bronchial Asthma",E475="Cardiac Arrhythmia"), D475+30,
OR(E475="Gastritis",E475="Osteoarthritis",E475="Bronchitis",E475="Iron Deficiency Anemia"), D475+14,
OR(E475="Lumbar Strain",E475="Migraine Headache"), D475+7,
OR(E475="Viral Fever",E475="General Checkup","Routine Health Check"), "",
TRUE,""
)</f>
        <v>45807</v>
      </c>
      <c r="I475" s="1" t="str">
        <f t="shared" si="14"/>
        <v>Follow-up Scheduled</v>
      </c>
      <c r="J475" t="str">
        <f>TEXT(Table8[[#This Row],[visit_Date]],"DDDD")</f>
        <v>Wednesday</v>
      </c>
      <c r="K475" t="str">
        <f>TEXT(Table8[[#This Row],[visit_Date]],"mmmm")</f>
        <v>April</v>
      </c>
      <c r="L475" t="str">
        <f t="shared" si="15"/>
        <v>Summer</v>
      </c>
    </row>
    <row r="476" spans="1:12" x14ac:dyDescent="0.25">
      <c r="A476">
        <v>475</v>
      </c>
      <c r="B476">
        <v>1020</v>
      </c>
      <c r="C476">
        <v>1271</v>
      </c>
      <c r="D476" s="1">
        <v>45792</v>
      </c>
      <c r="E476" t="s">
        <v>324</v>
      </c>
      <c r="F476" t="s">
        <v>325</v>
      </c>
      <c r="G476" t="str">
        <f>_xlfn.XLOOKUP(TRIM(E477),MedicineInfo!A:A,MedicineInfo!B:B,"Not Found")</f>
        <v>Multivitamin</v>
      </c>
      <c r="H476" s="1" cm="1">
        <f t="array" ref="H476">_xlfn.IFS(
OR(E476="Type 2 Diabetes",E476="Essential Hypertension",E476="Angina Pectoris",E476="Bronchial Asthma",E476="Cardiac Arrhythmia"), D476+30,
OR(E476="Gastritis",E476="Osteoarthritis",E476="Bronchitis",E476="Iron Deficiency Anemia"), D476+14,
OR(E476="Lumbar Strain",E476="Migraine Headache"), D476+7,
OR(E476="Viral Fever",E476="General Checkup","Routine Health Check"), "",
TRUE,""
)</f>
        <v>45822</v>
      </c>
      <c r="I476" s="1" t="str">
        <f t="shared" si="14"/>
        <v>Follow-up Scheduled</v>
      </c>
      <c r="J476" t="str">
        <f>TEXT(Table8[[#This Row],[visit_Date]],"DDDD")</f>
        <v>Thursday</v>
      </c>
      <c r="K476" t="str">
        <f>TEXT(Table8[[#This Row],[visit_Date]],"mmmm")</f>
        <v>May</v>
      </c>
      <c r="L476" t="str">
        <f t="shared" si="15"/>
        <v>Summer</v>
      </c>
    </row>
    <row r="477" spans="1:12" x14ac:dyDescent="0.25">
      <c r="A477">
        <v>476</v>
      </c>
      <c r="B477">
        <v>1027</v>
      </c>
      <c r="C477">
        <v>1063</v>
      </c>
      <c r="D477" s="1">
        <v>45669</v>
      </c>
      <c r="E477" t="s">
        <v>24</v>
      </c>
      <c r="F477" t="s">
        <v>321</v>
      </c>
      <c r="G477" t="str">
        <f>_xlfn.XLOOKUP(TRIM(E478),MedicineInfo!A:A,MedicineInfo!B:B,"Not Found")</f>
        <v>Multivitamin</v>
      </c>
      <c r="H477" s="1" t="str" cm="1">
        <f t="array" ref="H477">_xlfn.IFS(
OR(E477="Type 2 Diabetes",E477="Essential Hypertension",E477="Angina Pectoris",E477="Bronchial Asthma",E477="Cardiac Arrhythmia"), D477+30,
OR(E477="Gastritis",E477="Osteoarthritis",E477="Bronchitis",E477="Iron Deficiency Anemia"), D477+14,
OR(E477="Lumbar Strain",E477="Migraine Headache"), D477+7,
OR(E477="Viral Fever",E477="General Checkup","Routine Health Check"), "",
TRUE,""
)</f>
        <v/>
      </c>
      <c r="I477" s="1" t="str">
        <f t="shared" si="14"/>
        <v>No Follow-up Required</v>
      </c>
      <c r="J477" t="str">
        <f>TEXT(Table8[[#This Row],[visit_Date]],"DDDD")</f>
        <v>Sunday</v>
      </c>
      <c r="K477" t="str">
        <f>TEXT(Table8[[#This Row],[visit_Date]],"mmmm")</f>
        <v>January</v>
      </c>
      <c r="L477" t="str">
        <f t="shared" si="15"/>
        <v>Winter</v>
      </c>
    </row>
    <row r="478" spans="1:12" x14ac:dyDescent="0.25">
      <c r="A478">
        <v>477</v>
      </c>
      <c r="B478">
        <v>1027</v>
      </c>
      <c r="C478">
        <v>194</v>
      </c>
      <c r="D478" s="1">
        <v>45767</v>
      </c>
      <c r="E478" t="s">
        <v>24</v>
      </c>
      <c r="F478" t="s">
        <v>321</v>
      </c>
      <c r="G478" t="str">
        <f>_xlfn.XLOOKUP(TRIM(E479),MedicineInfo!A:A,MedicineInfo!B:B,"Not Found")</f>
        <v>Multivitamin</v>
      </c>
      <c r="H478" s="1" t="str" cm="1">
        <f t="array" ref="H478">_xlfn.IFS(
OR(E478="Type 2 Diabetes",E478="Essential Hypertension",E478="Angina Pectoris",E478="Bronchial Asthma",E478="Cardiac Arrhythmia"), D478+30,
OR(E478="Gastritis",E478="Osteoarthritis",E478="Bronchitis",E478="Iron Deficiency Anemia"), D478+14,
OR(E478="Lumbar Strain",E478="Migraine Headache"), D478+7,
OR(E478="Viral Fever",E478="General Checkup","Routine Health Check"), "",
TRUE,""
)</f>
        <v/>
      </c>
      <c r="I478" s="1" t="str">
        <f t="shared" si="14"/>
        <v>No Follow-up Required</v>
      </c>
      <c r="J478" t="str">
        <f>TEXT(Table8[[#This Row],[visit_Date]],"DDDD")</f>
        <v>Sunday</v>
      </c>
      <c r="K478" t="str">
        <f>TEXT(Table8[[#This Row],[visit_Date]],"mmmm")</f>
        <v>April</v>
      </c>
      <c r="L478" t="str">
        <f t="shared" si="15"/>
        <v>Summer</v>
      </c>
    </row>
    <row r="479" spans="1:12" x14ac:dyDescent="0.25">
      <c r="A479">
        <v>478</v>
      </c>
      <c r="B479">
        <v>1027</v>
      </c>
      <c r="C479">
        <v>349</v>
      </c>
      <c r="D479" s="1">
        <v>45713</v>
      </c>
      <c r="E479" t="s">
        <v>24</v>
      </c>
      <c r="F479" t="s">
        <v>321</v>
      </c>
      <c r="G479" t="str">
        <f>_xlfn.XLOOKUP(TRIM(E480),MedicineInfo!A:A,MedicineInfo!B:B,"Not Found")</f>
        <v>Salbutamol Inhaler</v>
      </c>
      <c r="H479" s="1" t="str" cm="1">
        <f t="array" ref="H479">_xlfn.IFS(
OR(E479="Type 2 Diabetes",E479="Essential Hypertension",E479="Angina Pectoris",E479="Bronchial Asthma",E479="Cardiac Arrhythmia"), D479+30,
OR(E479="Gastritis",E479="Osteoarthritis",E479="Bronchitis",E479="Iron Deficiency Anemia"), D479+14,
OR(E479="Lumbar Strain",E479="Migraine Headache"), D479+7,
OR(E479="Viral Fever",E479="General Checkup","Routine Health Check"), "",
TRUE,""
)</f>
        <v/>
      </c>
      <c r="I479" s="1" t="str">
        <f t="shared" si="14"/>
        <v>No Follow-up Required</v>
      </c>
      <c r="J479" t="str">
        <f>TEXT(Table8[[#This Row],[visit_Date]],"DDDD")</f>
        <v>Tuesday</v>
      </c>
      <c r="K479" t="str">
        <f>TEXT(Table8[[#This Row],[visit_Date]],"mmmm")</f>
        <v>February</v>
      </c>
      <c r="L479" t="str">
        <f t="shared" si="15"/>
        <v>Winter</v>
      </c>
    </row>
    <row r="480" spans="1:12" x14ac:dyDescent="0.25">
      <c r="A480">
        <v>479</v>
      </c>
      <c r="B480">
        <v>1020</v>
      </c>
      <c r="C480">
        <v>1009</v>
      </c>
      <c r="D480" s="1">
        <v>45767</v>
      </c>
      <c r="E480" t="s">
        <v>324</v>
      </c>
      <c r="F480" t="s">
        <v>325</v>
      </c>
      <c r="G480" t="str">
        <f>_xlfn.XLOOKUP(TRIM(E481),MedicineInfo!A:A,MedicineInfo!B:B,"Not Found")</f>
        <v>Diclofenac</v>
      </c>
      <c r="H480" s="1" cm="1">
        <f t="array" ref="H480">_xlfn.IFS(
OR(E480="Type 2 Diabetes",E480="Essential Hypertension",E480="Angina Pectoris",E480="Bronchial Asthma",E480="Cardiac Arrhythmia"), D480+30,
OR(E480="Gastritis",E480="Osteoarthritis",E480="Bronchitis",E480="Iron Deficiency Anemia"), D480+14,
OR(E480="Lumbar Strain",E480="Migraine Headache"), D480+7,
OR(E480="Viral Fever",E480="General Checkup","Routine Health Check"), "",
TRUE,""
)</f>
        <v>45797</v>
      </c>
      <c r="I480" s="1" t="str">
        <f t="shared" si="14"/>
        <v>Follow-up Scheduled</v>
      </c>
      <c r="J480" t="str">
        <f>TEXT(Table8[[#This Row],[visit_Date]],"DDDD")</f>
        <v>Sunday</v>
      </c>
      <c r="K480" t="str">
        <f>TEXT(Table8[[#This Row],[visit_Date]],"mmmm")</f>
        <v>April</v>
      </c>
      <c r="L480" t="str">
        <f t="shared" si="15"/>
        <v>Summer</v>
      </c>
    </row>
    <row r="481" spans="1:12" x14ac:dyDescent="0.25">
      <c r="A481">
        <v>480</v>
      </c>
      <c r="B481">
        <v>1027</v>
      </c>
      <c r="C481">
        <v>929</v>
      </c>
      <c r="D481" s="1">
        <v>45767</v>
      </c>
      <c r="E481" t="s">
        <v>313</v>
      </c>
      <c r="F481" t="s">
        <v>314</v>
      </c>
      <c r="G481" t="str">
        <f>_xlfn.XLOOKUP(TRIM(E482),MedicineInfo!A:A,MedicineInfo!B:B,"Not Found")</f>
        <v>Nitroglycerin</v>
      </c>
      <c r="H481" s="1" cm="1">
        <f t="array" ref="H481">_xlfn.IFS(
OR(E481="Type 2 Diabetes",E481="Essential Hypertension",E481="Angina Pectoris",E481="Bronchial Asthma",E481="Cardiac Arrhythmia"), D481+30,
OR(E481="Gastritis",E481="Osteoarthritis",E481="Bronchitis",E481="Iron Deficiency Anemia"), D481+14,
OR(E481="Lumbar Strain",E481="Migraine Headache"), D481+7,
OR(E481="Viral Fever",E481="General Checkup","Routine Health Check"), "",
TRUE,""
)</f>
        <v>45774</v>
      </c>
      <c r="I481" s="1" t="str">
        <f t="shared" si="14"/>
        <v>Follow-up Scheduled</v>
      </c>
      <c r="J481" t="str">
        <f>TEXT(Table8[[#This Row],[visit_Date]],"DDDD")</f>
        <v>Sunday</v>
      </c>
      <c r="K481" t="str">
        <f>TEXT(Table8[[#This Row],[visit_Date]],"mmmm")</f>
        <v>April</v>
      </c>
      <c r="L481" t="str">
        <f t="shared" si="15"/>
        <v>Summer</v>
      </c>
    </row>
    <row r="482" spans="1:12" x14ac:dyDescent="0.25">
      <c r="A482">
        <v>481</v>
      </c>
      <c r="B482">
        <v>1027</v>
      </c>
      <c r="C482">
        <v>1195</v>
      </c>
      <c r="D482" s="1">
        <v>45819</v>
      </c>
      <c r="E482" t="s">
        <v>322</v>
      </c>
      <c r="F482" t="s">
        <v>323</v>
      </c>
      <c r="G482" t="str">
        <f>_xlfn.XLOOKUP(TRIM(E483),MedicineInfo!A:A,MedicineInfo!B:B,"Not Found")</f>
        <v>Sumatriptan</v>
      </c>
      <c r="H482" s="1" cm="1">
        <f t="array" ref="H482">_xlfn.IFS(
OR(E482="Type 2 Diabetes",E482="Essential Hypertension",E482="Angina Pectoris",E482="Bronchial Asthma",E482="Cardiac Arrhythmia"), D482+30,
OR(E482="Gastritis",E482="Osteoarthritis",E482="Bronchitis",E482="Iron Deficiency Anemia"), D482+14,
OR(E482="Lumbar Strain",E482="Migraine Headache"), D482+7,
OR(E482="Viral Fever",E482="General Checkup","Routine Health Check"), "",
TRUE,""
)</f>
        <v>45849</v>
      </c>
      <c r="I482" s="1" t="str">
        <f t="shared" si="14"/>
        <v>Follow-up Scheduled</v>
      </c>
      <c r="J482" t="str">
        <f>TEXT(Table8[[#This Row],[visit_Date]],"DDDD")</f>
        <v>Wednesday</v>
      </c>
      <c r="K482" t="str">
        <f>TEXT(Table8[[#This Row],[visit_Date]],"mmmm")</f>
        <v>June</v>
      </c>
      <c r="L482" t="str">
        <f t="shared" si="15"/>
        <v>Monsoon</v>
      </c>
    </row>
    <row r="483" spans="1:12" x14ac:dyDescent="0.25">
      <c r="A483">
        <v>482</v>
      </c>
      <c r="B483">
        <v>1008</v>
      </c>
      <c r="C483">
        <v>755</v>
      </c>
      <c r="D483" s="1">
        <v>45823</v>
      </c>
      <c r="E483" t="s">
        <v>315</v>
      </c>
      <c r="F483" t="s">
        <v>316</v>
      </c>
      <c r="G483" t="str">
        <f>_xlfn.XLOOKUP(TRIM(E484),MedicineInfo!A:A,MedicineInfo!B:B,"Not Found")</f>
        <v>Nitroglycerin</v>
      </c>
      <c r="H483" s="1" cm="1">
        <f t="array" ref="H483">_xlfn.IFS(
OR(E483="Type 2 Diabetes",E483="Essential Hypertension",E483="Angina Pectoris",E483="Bronchial Asthma",E483="Cardiac Arrhythmia"), D483+30,
OR(E483="Gastritis",E483="Osteoarthritis",E483="Bronchitis",E483="Iron Deficiency Anemia"), D483+14,
OR(E483="Lumbar Strain",E483="Migraine Headache"), D483+7,
OR(E483="Viral Fever",E483="General Checkup","Routine Health Check"), "",
TRUE,""
)</f>
        <v>45830</v>
      </c>
      <c r="I483" s="1" t="str">
        <f t="shared" si="14"/>
        <v>Follow-up Scheduled</v>
      </c>
      <c r="J483" t="str">
        <f>TEXT(Table8[[#This Row],[visit_Date]],"DDDD")</f>
        <v>Sunday</v>
      </c>
      <c r="K483" t="str">
        <f>TEXT(Table8[[#This Row],[visit_Date]],"mmmm")</f>
        <v>June</v>
      </c>
      <c r="L483" t="str">
        <f t="shared" si="15"/>
        <v>Monsoon</v>
      </c>
    </row>
    <row r="484" spans="1:12" x14ac:dyDescent="0.25">
      <c r="A484">
        <v>483</v>
      </c>
      <c r="B484">
        <v>1001</v>
      </c>
      <c r="C484">
        <v>1556</v>
      </c>
      <c r="D484" s="1">
        <v>45814</v>
      </c>
      <c r="E484" t="s">
        <v>322</v>
      </c>
      <c r="F484" t="s">
        <v>323</v>
      </c>
      <c r="G484" t="str">
        <f>_xlfn.XLOOKUP(TRIM(E485),MedicineInfo!A:A,MedicineInfo!B:B,"Not Found")</f>
        <v>Diclofenac</v>
      </c>
      <c r="H484" s="1" cm="1">
        <f t="array" ref="H484">_xlfn.IFS(
OR(E484="Type 2 Diabetes",E484="Essential Hypertension",E484="Angina Pectoris",E484="Bronchial Asthma",E484="Cardiac Arrhythmia"), D484+30,
OR(E484="Gastritis",E484="Osteoarthritis",E484="Bronchitis",E484="Iron Deficiency Anemia"), D484+14,
OR(E484="Lumbar Strain",E484="Migraine Headache"), D484+7,
OR(E484="Viral Fever",E484="General Checkup","Routine Health Check"), "",
TRUE,""
)</f>
        <v>45844</v>
      </c>
      <c r="I484" s="1" t="str">
        <f t="shared" si="14"/>
        <v>Follow-up Scheduled</v>
      </c>
      <c r="J484" t="str">
        <f>TEXT(Table8[[#This Row],[visit_Date]],"DDDD")</f>
        <v>Friday</v>
      </c>
      <c r="K484" t="str">
        <f>TEXT(Table8[[#This Row],[visit_Date]],"mmmm")</f>
        <v>June</v>
      </c>
      <c r="L484" t="str">
        <f t="shared" si="15"/>
        <v>Monsoon</v>
      </c>
    </row>
    <row r="485" spans="1:12" x14ac:dyDescent="0.25">
      <c r="A485">
        <v>484</v>
      </c>
      <c r="B485">
        <v>1027</v>
      </c>
      <c r="C485">
        <v>553</v>
      </c>
      <c r="D485" s="1">
        <v>45791</v>
      </c>
      <c r="E485" t="s">
        <v>313</v>
      </c>
      <c r="F485" t="s">
        <v>314</v>
      </c>
      <c r="G485" t="str">
        <f>_xlfn.XLOOKUP(TRIM(E486),MedicineInfo!A:A,MedicineInfo!B:B,"Not Found")</f>
        <v>Nitroglycerin</v>
      </c>
      <c r="H485" s="1" cm="1">
        <f t="array" ref="H485">_xlfn.IFS(
OR(E485="Type 2 Diabetes",E485="Essential Hypertension",E485="Angina Pectoris",E485="Bronchial Asthma",E485="Cardiac Arrhythmia"), D485+30,
OR(E485="Gastritis",E485="Osteoarthritis",E485="Bronchitis",E485="Iron Deficiency Anemia"), D485+14,
OR(E485="Lumbar Strain",E485="Migraine Headache"), D485+7,
OR(E485="Viral Fever",E485="General Checkup","Routine Health Check"), "",
TRUE,""
)</f>
        <v>45798</v>
      </c>
      <c r="I485" s="1" t="str">
        <f t="shared" si="14"/>
        <v>Follow-up Scheduled</v>
      </c>
      <c r="J485" t="str">
        <f>TEXT(Table8[[#This Row],[visit_Date]],"DDDD")</f>
        <v>Wednesday</v>
      </c>
      <c r="K485" t="str">
        <f>TEXT(Table8[[#This Row],[visit_Date]],"mmmm")</f>
        <v>May</v>
      </c>
      <c r="L485" t="str">
        <f t="shared" si="15"/>
        <v>Summer</v>
      </c>
    </row>
    <row r="486" spans="1:12" x14ac:dyDescent="0.25">
      <c r="A486">
        <v>485</v>
      </c>
      <c r="B486">
        <v>1001</v>
      </c>
      <c r="C486">
        <v>350</v>
      </c>
      <c r="D486" s="1">
        <v>45855</v>
      </c>
      <c r="E486" t="s">
        <v>322</v>
      </c>
      <c r="F486" t="s">
        <v>323</v>
      </c>
      <c r="G486" t="str">
        <f>_xlfn.XLOOKUP(TRIM(E487),MedicineInfo!A:A,MedicineInfo!B:B,"Not Found")</f>
        <v>Paracetamol</v>
      </c>
      <c r="H486" s="1" cm="1">
        <f t="array" ref="H486">_xlfn.IFS(
OR(E486="Type 2 Diabetes",E486="Essential Hypertension",E486="Angina Pectoris",E486="Bronchial Asthma",E486="Cardiac Arrhythmia"), D486+30,
OR(E486="Gastritis",E486="Osteoarthritis",E486="Bronchitis",E486="Iron Deficiency Anemia"), D486+14,
OR(E486="Lumbar Strain",E486="Migraine Headache"), D486+7,
OR(E486="Viral Fever",E486="General Checkup","Routine Health Check"), "",
TRUE,""
)</f>
        <v>45885</v>
      </c>
      <c r="I486" s="1" t="str">
        <f t="shared" si="14"/>
        <v>Follow-up Scheduled</v>
      </c>
      <c r="J486" t="str">
        <f>TEXT(Table8[[#This Row],[visit_Date]],"DDDD")</f>
        <v>Thursday</v>
      </c>
      <c r="K486" t="str">
        <f>TEXT(Table8[[#This Row],[visit_Date]],"mmmm")</f>
        <v>July</v>
      </c>
      <c r="L486" t="str">
        <f t="shared" si="15"/>
        <v>Monsoon</v>
      </c>
    </row>
    <row r="487" spans="1:12" x14ac:dyDescent="0.25">
      <c r="A487">
        <v>486</v>
      </c>
      <c r="B487">
        <v>1027</v>
      </c>
      <c r="C487">
        <v>449</v>
      </c>
      <c r="D487" s="1">
        <v>45691</v>
      </c>
      <c r="E487" t="s">
        <v>326</v>
      </c>
      <c r="F487" t="s">
        <v>327</v>
      </c>
      <c r="G487" t="str">
        <f>_xlfn.XLOOKUP(TRIM(E488),MedicineInfo!A:A,MedicineInfo!B:B,"Not Found")</f>
        <v>Multivitamin</v>
      </c>
      <c r="H487" s="1" t="str" cm="1">
        <f t="array" ref="H487">_xlfn.IFS(
OR(E487="Type 2 Diabetes",E487="Essential Hypertension",E487="Angina Pectoris",E487="Bronchial Asthma",E487="Cardiac Arrhythmia"), D487+30,
OR(E487="Gastritis",E487="Osteoarthritis",E487="Bronchitis",E487="Iron Deficiency Anemia"), D487+14,
OR(E487="Lumbar Strain",E487="Migraine Headache"), D487+7,
OR(E487="Viral Fever",E487="General Checkup","Routine Health Check"), "",
TRUE,""
)</f>
        <v/>
      </c>
      <c r="I487" s="1" t="str">
        <f t="shared" si="14"/>
        <v>No Follow-up Required</v>
      </c>
      <c r="J487" t="str">
        <f>TEXT(Table8[[#This Row],[visit_Date]],"DDDD")</f>
        <v>Monday</v>
      </c>
      <c r="K487" t="str">
        <f>TEXT(Table8[[#This Row],[visit_Date]],"mmmm")</f>
        <v>February</v>
      </c>
      <c r="L487" t="str">
        <f t="shared" si="15"/>
        <v>Winter</v>
      </c>
    </row>
    <row r="488" spans="1:12" x14ac:dyDescent="0.25">
      <c r="A488">
        <v>487</v>
      </c>
      <c r="B488">
        <v>1027</v>
      </c>
      <c r="C488">
        <v>872</v>
      </c>
      <c r="D488" s="1">
        <v>45747</v>
      </c>
      <c r="E488" t="s">
        <v>24</v>
      </c>
      <c r="F488" t="s">
        <v>321</v>
      </c>
      <c r="G488" t="str">
        <f>_xlfn.XLOOKUP(TRIM(E489),MedicineInfo!A:A,MedicineInfo!B:B,"Not Found")</f>
        <v>Multivitamin</v>
      </c>
      <c r="H488" s="1" t="str" cm="1">
        <f t="array" ref="H488">_xlfn.IFS(
OR(E488="Type 2 Diabetes",E488="Essential Hypertension",E488="Angina Pectoris",E488="Bronchial Asthma",E488="Cardiac Arrhythmia"), D488+30,
OR(E488="Gastritis",E488="Osteoarthritis",E488="Bronchitis",E488="Iron Deficiency Anemia"), D488+14,
OR(E488="Lumbar Strain",E488="Migraine Headache"), D488+7,
OR(E488="Viral Fever",E488="General Checkup","Routine Health Check"), "",
TRUE,""
)</f>
        <v/>
      </c>
      <c r="I488" s="1" t="str">
        <f t="shared" si="14"/>
        <v>No Follow-up Required</v>
      </c>
      <c r="J488" t="str">
        <f>TEXT(Table8[[#This Row],[visit_Date]],"DDDD")</f>
        <v>Monday</v>
      </c>
      <c r="K488" t="str">
        <f>TEXT(Table8[[#This Row],[visit_Date]],"mmmm")</f>
        <v>March</v>
      </c>
      <c r="L488" t="str">
        <f t="shared" si="15"/>
        <v>Summer</v>
      </c>
    </row>
    <row r="489" spans="1:12" x14ac:dyDescent="0.25">
      <c r="A489">
        <v>488</v>
      </c>
      <c r="B489">
        <v>1027</v>
      </c>
      <c r="C489">
        <v>686</v>
      </c>
      <c r="D489" s="1">
        <v>45686</v>
      </c>
      <c r="E489" t="s">
        <v>24</v>
      </c>
      <c r="F489" t="s">
        <v>321</v>
      </c>
      <c r="G489" t="str">
        <f>_xlfn.XLOOKUP(TRIM(E490),MedicineInfo!A:A,MedicineInfo!B:B,"Not Found")</f>
        <v>Sumatriptan</v>
      </c>
      <c r="H489" s="1" t="str" cm="1">
        <f t="array" ref="H489">_xlfn.IFS(
OR(E489="Type 2 Diabetes",E489="Essential Hypertension",E489="Angina Pectoris",E489="Bronchial Asthma",E489="Cardiac Arrhythmia"), D489+30,
OR(E489="Gastritis",E489="Osteoarthritis",E489="Bronchitis",E489="Iron Deficiency Anemia"), D489+14,
OR(E489="Lumbar Strain",E489="Migraine Headache"), D489+7,
OR(E489="Viral Fever",E489="General Checkup","Routine Health Check"), "",
TRUE,""
)</f>
        <v/>
      </c>
      <c r="I489" s="1" t="str">
        <f t="shared" si="14"/>
        <v>No Follow-up Required</v>
      </c>
      <c r="J489" t="str">
        <f>TEXT(Table8[[#This Row],[visit_Date]],"DDDD")</f>
        <v>Wednesday</v>
      </c>
      <c r="K489" t="str">
        <f>TEXT(Table8[[#This Row],[visit_Date]],"mmmm")</f>
        <v>January</v>
      </c>
      <c r="L489" t="str">
        <f t="shared" si="15"/>
        <v>Winter</v>
      </c>
    </row>
    <row r="490" spans="1:12" x14ac:dyDescent="0.25">
      <c r="A490">
        <v>489</v>
      </c>
      <c r="B490">
        <v>1009</v>
      </c>
      <c r="C490">
        <v>894</v>
      </c>
      <c r="D490" s="1">
        <v>45731</v>
      </c>
      <c r="E490" t="s">
        <v>315</v>
      </c>
      <c r="F490" t="s">
        <v>316</v>
      </c>
      <c r="G490" t="str">
        <f>_xlfn.XLOOKUP(TRIM(E491),MedicineInfo!A:A,MedicineInfo!B:B,"Not Found")</f>
        <v>Nitroglycerin</v>
      </c>
      <c r="H490" s="1" cm="1">
        <f t="array" ref="H490">_xlfn.IFS(
OR(E490="Type 2 Diabetes",E490="Essential Hypertension",E490="Angina Pectoris",E490="Bronchial Asthma",E490="Cardiac Arrhythmia"), D490+30,
OR(E490="Gastritis",E490="Osteoarthritis",E490="Bronchitis",E490="Iron Deficiency Anemia"), D490+14,
OR(E490="Lumbar Strain",E490="Migraine Headache"), D490+7,
OR(E490="Viral Fever",E490="General Checkup","Routine Health Check"), "",
TRUE,""
)</f>
        <v>45738</v>
      </c>
      <c r="I490" s="1" t="str">
        <f t="shared" si="14"/>
        <v>Follow-up Scheduled</v>
      </c>
      <c r="J490" t="str">
        <f>TEXT(Table8[[#This Row],[visit_Date]],"DDDD")</f>
        <v>Saturday</v>
      </c>
      <c r="K490" t="str">
        <f>TEXT(Table8[[#This Row],[visit_Date]],"mmmm")</f>
        <v>March</v>
      </c>
      <c r="L490" t="str">
        <f t="shared" si="15"/>
        <v>Summer</v>
      </c>
    </row>
    <row r="491" spans="1:12" x14ac:dyDescent="0.25">
      <c r="A491">
        <v>490</v>
      </c>
      <c r="B491">
        <v>1001</v>
      </c>
      <c r="C491">
        <v>596</v>
      </c>
      <c r="D491" s="1">
        <v>45814</v>
      </c>
      <c r="E491" t="s">
        <v>322</v>
      </c>
      <c r="F491" t="s">
        <v>323</v>
      </c>
      <c r="G491" t="str">
        <f>_xlfn.XLOOKUP(TRIM(E492),MedicineInfo!A:A,MedicineInfo!B:B,"Not Found")</f>
        <v>Amlodipine</v>
      </c>
      <c r="H491" s="1" cm="1">
        <f t="array" ref="H491">_xlfn.IFS(
OR(E491="Type 2 Diabetes",E491="Essential Hypertension",E491="Angina Pectoris",E491="Bronchial Asthma",E491="Cardiac Arrhythmia"), D491+30,
OR(E491="Gastritis",E491="Osteoarthritis",E491="Bronchitis",E491="Iron Deficiency Anemia"), D491+14,
OR(E491="Lumbar Strain",E491="Migraine Headache"), D491+7,
OR(E491="Viral Fever",E491="General Checkup","Routine Health Check"), "",
TRUE,""
)</f>
        <v>45844</v>
      </c>
      <c r="I491" s="1" t="str">
        <f t="shared" si="14"/>
        <v>Follow-up Scheduled</v>
      </c>
      <c r="J491" t="str">
        <f>TEXT(Table8[[#This Row],[visit_Date]],"DDDD")</f>
        <v>Friday</v>
      </c>
      <c r="K491" t="str">
        <f>TEXT(Table8[[#This Row],[visit_Date]],"mmmm")</f>
        <v>June</v>
      </c>
      <c r="L491" t="str">
        <f t="shared" si="15"/>
        <v>Monsoon</v>
      </c>
    </row>
    <row r="492" spans="1:12" x14ac:dyDescent="0.25">
      <c r="A492">
        <v>491</v>
      </c>
      <c r="B492">
        <v>1002</v>
      </c>
      <c r="C492">
        <v>548</v>
      </c>
      <c r="D492" s="1">
        <v>45747</v>
      </c>
      <c r="E492" t="s">
        <v>319</v>
      </c>
      <c r="F492" t="s">
        <v>320</v>
      </c>
      <c r="G492" t="str">
        <f>_xlfn.XLOOKUP(TRIM(E493),MedicineInfo!A:A,MedicineInfo!B:B,"Not Found")</f>
        <v>Paracetamol</v>
      </c>
      <c r="H492" s="1" cm="1">
        <f t="array" ref="H492">_xlfn.IFS(
OR(E492="Type 2 Diabetes",E492="Essential Hypertension",E492="Angina Pectoris",E492="Bronchial Asthma",E492="Cardiac Arrhythmia"), D492+30,
OR(E492="Gastritis",E492="Osteoarthritis",E492="Bronchitis",E492="Iron Deficiency Anemia"), D492+14,
OR(E492="Lumbar Strain",E492="Migraine Headache"), D492+7,
OR(E492="Viral Fever",E492="General Checkup","Routine Health Check"), "",
TRUE,""
)</f>
        <v>45777</v>
      </c>
      <c r="I492" s="1" t="str">
        <f t="shared" si="14"/>
        <v>Follow-up Scheduled</v>
      </c>
      <c r="J492" t="str">
        <f>TEXT(Table8[[#This Row],[visit_Date]],"DDDD")</f>
        <v>Monday</v>
      </c>
      <c r="K492" t="str">
        <f>TEXT(Table8[[#This Row],[visit_Date]],"mmmm")</f>
        <v>March</v>
      </c>
      <c r="L492" t="str">
        <f t="shared" si="15"/>
        <v>Summer</v>
      </c>
    </row>
    <row r="493" spans="1:12" x14ac:dyDescent="0.25">
      <c r="A493">
        <v>492</v>
      </c>
      <c r="B493">
        <v>1027</v>
      </c>
      <c r="C493">
        <v>886</v>
      </c>
      <c r="D493" s="1">
        <v>45682</v>
      </c>
      <c r="E493" t="s">
        <v>326</v>
      </c>
      <c r="F493" t="s">
        <v>327</v>
      </c>
      <c r="G493" t="str">
        <f>_xlfn.XLOOKUP(TRIM(E494),MedicineInfo!A:A,MedicineInfo!B:B,"Not Found")</f>
        <v>Multivitamin</v>
      </c>
      <c r="H493" s="1" t="str" cm="1">
        <f t="array" ref="H493">_xlfn.IFS(
OR(E493="Type 2 Diabetes",E493="Essential Hypertension",E493="Angina Pectoris",E493="Bronchial Asthma",E493="Cardiac Arrhythmia"), D493+30,
OR(E493="Gastritis",E493="Osteoarthritis",E493="Bronchitis",E493="Iron Deficiency Anemia"), D493+14,
OR(E493="Lumbar Strain",E493="Migraine Headache"), D493+7,
OR(E493="Viral Fever",E493="General Checkup","Routine Health Check"), "",
TRUE,""
)</f>
        <v/>
      </c>
      <c r="I493" s="1" t="str">
        <f t="shared" si="14"/>
        <v>No Follow-up Required</v>
      </c>
      <c r="J493" t="str">
        <f>TEXT(Table8[[#This Row],[visit_Date]],"DDDD")</f>
        <v>Saturday</v>
      </c>
      <c r="K493" t="str">
        <f>TEXT(Table8[[#This Row],[visit_Date]],"mmmm")</f>
        <v>January</v>
      </c>
      <c r="L493" t="str">
        <f t="shared" si="15"/>
        <v>Winter</v>
      </c>
    </row>
    <row r="494" spans="1:12" x14ac:dyDescent="0.25">
      <c r="A494">
        <v>493</v>
      </c>
      <c r="B494">
        <v>1027</v>
      </c>
      <c r="C494">
        <v>1284</v>
      </c>
      <c r="D494" s="1">
        <v>45732</v>
      </c>
      <c r="E494" t="s">
        <v>24</v>
      </c>
      <c r="F494" t="s">
        <v>321</v>
      </c>
      <c r="G494" t="str">
        <f>_xlfn.XLOOKUP(TRIM(E495),MedicineInfo!A:A,MedicineInfo!B:B,"Not Found")</f>
        <v>Paracetamol</v>
      </c>
      <c r="H494" s="1" t="str" cm="1">
        <f t="array" ref="H494">_xlfn.IFS(
OR(E494="Type 2 Diabetes",E494="Essential Hypertension",E494="Angina Pectoris",E494="Bronchial Asthma",E494="Cardiac Arrhythmia"), D494+30,
OR(E494="Gastritis",E494="Osteoarthritis",E494="Bronchitis",E494="Iron Deficiency Anemia"), D494+14,
OR(E494="Lumbar Strain",E494="Migraine Headache"), D494+7,
OR(E494="Viral Fever",E494="General Checkup","Routine Health Check"), "",
TRUE,""
)</f>
        <v/>
      </c>
      <c r="I494" s="1" t="str">
        <f t="shared" si="14"/>
        <v>No Follow-up Required</v>
      </c>
      <c r="J494" t="str">
        <f>TEXT(Table8[[#This Row],[visit_Date]],"DDDD")</f>
        <v>Sunday</v>
      </c>
      <c r="K494" t="str">
        <f>TEXT(Table8[[#This Row],[visit_Date]],"mmmm")</f>
        <v>March</v>
      </c>
      <c r="L494" t="str">
        <f t="shared" si="15"/>
        <v>Summer</v>
      </c>
    </row>
    <row r="495" spans="1:12" x14ac:dyDescent="0.25">
      <c r="A495">
        <v>494</v>
      </c>
      <c r="B495">
        <v>1027</v>
      </c>
      <c r="C495">
        <v>1442</v>
      </c>
      <c r="D495" s="1">
        <v>45777</v>
      </c>
      <c r="E495" t="s">
        <v>326</v>
      </c>
      <c r="F495" t="s">
        <v>327</v>
      </c>
      <c r="G495" t="str">
        <f>_xlfn.XLOOKUP(TRIM(E496),MedicineInfo!A:A,MedicineInfo!B:B,"Not Found")</f>
        <v>Multivitamin</v>
      </c>
      <c r="H495" s="1" t="str" cm="1">
        <f t="array" ref="H495">_xlfn.IFS(
OR(E495="Type 2 Diabetes",E495="Essential Hypertension",E495="Angina Pectoris",E495="Bronchial Asthma",E495="Cardiac Arrhythmia"), D495+30,
OR(E495="Gastritis",E495="Osteoarthritis",E495="Bronchitis",E495="Iron Deficiency Anemia"), D495+14,
OR(E495="Lumbar Strain",E495="Migraine Headache"), D495+7,
OR(E495="Viral Fever",E495="General Checkup","Routine Health Check"), "",
TRUE,""
)</f>
        <v/>
      </c>
      <c r="I495" s="1" t="str">
        <f t="shared" si="14"/>
        <v>No Follow-up Required</v>
      </c>
      <c r="J495" t="str">
        <f>TEXT(Table8[[#This Row],[visit_Date]],"DDDD")</f>
        <v>Wednesday</v>
      </c>
      <c r="K495" t="str">
        <f>TEXT(Table8[[#This Row],[visit_Date]],"mmmm")</f>
        <v>April</v>
      </c>
      <c r="L495" t="str">
        <f t="shared" si="15"/>
        <v>Summer</v>
      </c>
    </row>
    <row r="496" spans="1:12" x14ac:dyDescent="0.25">
      <c r="A496">
        <v>495</v>
      </c>
      <c r="B496">
        <v>1027</v>
      </c>
      <c r="C496">
        <v>1160</v>
      </c>
      <c r="D496" s="1">
        <v>45823</v>
      </c>
      <c r="E496" t="s">
        <v>24</v>
      </c>
      <c r="F496" t="s">
        <v>321</v>
      </c>
      <c r="G496" t="str">
        <f>_xlfn.XLOOKUP(TRIM(E497),MedicineInfo!A:A,MedicineInfo!B:B,"Not Found")</f>
        <v>Metformin</v>
      </c>
      <c r="H496" s="1" t="str" cm="1">
        <f t="array" ref="H496">_xlfn.IFS(
OR(E496="Type 2 Diabetes",E496="Essential Hypertension",E496="Angina Pectoris",E496="Bronchial Asthma",E496="Cardiac Arrhythmia"), D496+30,
OR(E496="Gastritis",E496="Osteoarthritis",E496="Bronchitis",E496="Iron Deficiency Anemia"), D496+14,
OR(E496="Lumbar Strain",E496="Migraine Headache"), D496+7,
OR(E496="Viral Fever",E496="General Checkup","Routine Health Check"), "",
TRUE,""
)</f>
        <v/>
      </c>
      <c r="I496" s="1" t="str">
        <f t="shared" si="14"/>
        <v>No Follow-up Required</v>
      </c>
      <c r="J496" t="str">
        <f>TEXT(Table8[[#This Row],[visit_Date]],"DDDD")</f>
        <v>Sunday</v>
      </c>
      <c r="K496" t="str">
        <f>TEXT(Table8[[#This Row],[visit_Date]],"mmmm")</f>
        <v>June</v>
      </c>
      <c r="L496" t="str">
        <f t="shared" si="15"/>
        <v>Monsoon</v>
      </c>
    </row>
    <row r="497" spans="1:12" x14ac:dyDescent="0.25">
      <c r="A497">
        <v>496</v>
      </c>
      <c r="B497">
        <v>1024</v>
      </c>
      <c r="C497">
        <v>945</v>
      </c>
      <c r="D497" s="1">
        <v>45694</v>
      </c>
      <c r="E497" t="s">
        <v>317</v>
      </c>
      <c r="F497" t="s">
        <v>318</v>
      </c>
      <c r="G497" t="str">
        <f>_xlfn.XLOOKUP(TRIM(E498),MedicineInfo!A:A,MedicineInfo!B:B,"Not Found")</f>
        <v>Metformin</v>
      </c>
      <c r="H497" s="1" cm="1">
        <f t="array" ref="H497">_xlfn.IFS(
OR(E497="Type 2 Diabetes",E497="Essential Hypertension",E497="Angina Pectoris",E497="Bronchial Asthma",E497="Cardiac Arrhythmia"), D497+30,
OR(E497="Gastritis",E497="Osteoarthritis",E497="Bronchitis",E497="Iron Deficiency Anemia"), D497+14,
OR(E497="Lumbar Strain",E497="Migraine Headache"), D497+7,
OR(E497="Viral Fever",E497="General Checkup","Routine Health Check"), "",
TRUE,""
)</f>
        <v>45724</v>
      </c>
      <c r="I497" s="1" t="str">
        <f t="shared" si="14"/>
        <v>Follow-up Scheduled</v>
      </c>
      <c r="J497" t="str">
        <f>TEXT(Table8[[#This Row],[visit_Date]],"DDDD")</f>
        <v>Thursday</v>
      </c>
      <c r="K497" t="str">
        <f>TEXT(Table8[[#This Row],[visit_Date]],"mmmm")</f>
        <v>February</v>
      </c>
      <c r="L497" t="str">
        <f t="shared" si="15"/>
        <v>Winter</v>
      </c>
    </row>
    <row r="498" spans="1:12" x14ac:dyDescent="0.25">
      <c r="A498">
        <v>497</v>
      </c>
      <c r="B498">
        <v>1024</v>
      </c>
      <c r="C498">
        <v>1282</v>
      </c>
      <c r="D498" s="1">
        <v>45689</v>
      </c>
      <c r="E498" t="s">
        <v>317</v>
      </c>
      <c r="F498" t="s">
        <v>318</v>
      </c>
      <c r="G498" t="str">
        <f>_xlfn.XLOOKUP(TRIM(E499),MedicineInfo!A:A,MedicineInfo!B:B,"Not Found")</f>
        <v>Paracetamol</v>
      </c>
      <c r="H498" s="1" cm="1">
        <f t="array" ref="H498">_xlfn.IFS(
OR(E498="Type 2 Diabetes",E498="Essential Hypertension",E498="Angina Pectoris",E498="Bronchial Asthma",E498="Cardiac Arrhythmia"), D498+30,
OR(E498="Gastritis",E498="Osteoarthritis",E498="Bronchitis",E498="Iron Deficiency Anemia"), D498+14,
OR(E498="Lumbar Strain",E498="Migraine Headache"), D498+7,
OR(E498="Viral Fever",E498="General Checkup","Routine Health Check"), "",
TRUE,""
)</f>
        <v>45719</v>
      </c>
      <c r="I498" s="1" t="str">
        <f t="shared" si="14"/>
        <v>Follow-up Scheduled</v>
      </c>
      <c r="J498" t="str">
        <f>TEXT(Table8[[#This Row],[visit_Date]],"DDDD")</f>
        <v>Saturday</v>
      </c>
      <c r="K498" t="str">
        <f>TEXT(Table8[[#This Row],[visit_Date]],"mmmm")</f>
        <v>February</v>
      </c>
      <c r="L498" t="str">
        <f t="shared" si="15"/>
        <v>Winter</v>
      </c>
    </row>
    <row r="499" spans="1:12" x14ac:dyDescent="0.25">
      <c r="A499">
        <v>498</v>
      </c>
      <c r="B499">
        <v>1027</v>
      </c>
      <c r="C499">
        <v>1177</v>
      </c>
      <c r="D499" s="1">
        <v>45686</v>
      </c>
      <c r="E499" t="s">
        <v>326</v>
      </c>
      <c r="F499" t="s">
        <v>327</v>
      </c>
      <c r="G499" t="str">
        <f>_xlfn.XLOOKUP(TRIM(E500),MedicineInfo!A:A,MedicineInfo!B:B,"Not Found")</f>
        <v>Multivitamin</v>
      </c>
      <c r="H499" s="1" t="str" cm="1">
        <f t="array" ref="H499">_xlfn.IFS(
OR(E499="Type 2 Diabetes",E499="Essential Hypertension",E499="Angina Pectoris",E499="Bronchial Asthma",E499="Cardiac Arrhythmia"), D499+30,
OR(E499="Gastritis",E499="Osteoarthritis",E499="Bronchitis",E499="Iron Deficiency Anemia"), D499+14,
OR(E499="Lumbar Strain",E499="Migraine Headache"), D499+7,
OR(E499="Viral Fever",E499="General Checkup","Routine Health Check"), "",
TRUE,""
)</f>
        <v/>
      </c>
      <c r="I499" s="1" t="str">
        <f t="shared" si="14"/>
        <v>No Follow-up Required</v>
      </c>
      <c r="J499" t="str">
        <f>TEXT(Table8[[#This Row],[visit_Date]],"DDDD")</f>
        <v>Wednesday</v>
      </c>
      <c r="K499" t="str">
        <f>TEXT(Table8[[#This Row],[visit_Date]],"mmmm")</f>
        <v>January</v>
      </c>
      <c r="L499" t="str">
        <f t="shared" si="15"/>
        <v>Winter</v>
      </c>
    </row>
    <row r="500" spans="1:12" x14ac:dyDescent="0.25">
      <c r="A500">
        <v>499</v>
      </c>
      <c r="B500">
        <v>1027</v>
      </c>
      <c r="C500">
        <v>471</v>
      </c>
      <c r="D500" s="1">
        <v>45672</v>
      </c>
      <c r="E500" t="s">
        <v>24</v>
      </c>
      <c r="F500" t="s">
        <v>321</v>
      </c>
      <c r="G500" t="str">
        <f>_xlfn.XLOOKUP(TRIM(E501),MedicineInfo!A:A,MedicineInfo!B:B,"Not Found")</f>
        <v>Sumatriptan</v>
      </c>
      <c r="H500" s="1" t="str" cm="1">
        <f t="array" ref="H500">_xlfn.IFS(
OR(E500="Type 2 Diabetes",E500="Essential Hypertension",E500="Angina Pectoris",E500="Bronchial Asthma",E500="Cardiac Arrhythmia"), D500+30,
OR(E500="Gastritis",E500="Osteoarthritis",E500="Bronchitis",E500="Iron Deficiency Anemia"), D500+14,
OR(E500="Lumbar Strain",E500="Migraine Headache"), D500+7,
OR(E500="Viral Fever",E500="General Checkup","Routine Health Check"), "",
TRUE,""
)</f>
        <v/>
      </c>
      <c r="I500" s="1" t="str">
        <f t="shared" si="14"/>
        <v>No Follow-up Required</v>
      </c>
      <c r="J500" t="str">
        <f>TEXT(Table8[[#This Row],[visit_Date]],"DDDD")</f>
        <v>Wednesday</v>
      </c>
      <c r="K500" t="str">
        <f>TEXT(Table8[[#This Row],[visit_Date]],"mmmm")</f>
        <v>January</v>
      </c>
      <c r="L500" t="str">
        <f t="shared" si="15"/>
        <v>Winter</v>
      </c>
    </row>
    <row r="501" spans="1:12" x14ac:dyDescent="0.25">
      <c r="A501">
        <v>500</v>
      </c>
      <c r="B501">
        <v>1008</v>
      </c>
      <c r="C501">
        <v>745</v>
      </c>
      <c r="D501" s="1">
        <v>45819</v>
      </c>
      <c r="E501" t="s">
        <v>315</v>
      </c>
      <c r="F501" t="s">
        <v>316</v>
      </c>
      <c r="G501" t="str">
        <f>_xlfn.XLOOKUP(TRIM(E502),MedicineInfo!A:A,MedicineInfo!B:B,"Not Found")</f>
        <v>Diclofenac</v>
      </c>
      <c r="H501" s="1" cm="1">
        <f t="array" ref="H501">_xlfn.IFS(
OR(E501="Type 2 Diabetes",E501="Essential Hypertension",E501="Angina Pectoris",E501="Bronchial Asthma",E501="Cardiac Arrhythmia"), D501+30,
OR(E501="Gastritis",E501="Osteoarthritis",E501="Bronchitis",E501="Iron Deficiency Anemia"), D501+14,
OR(E501="Lumbar Strain",E501="Migraine Headache"), D501+7,
OR(E501="Viral Fever",E501="General Checkup","Routine Health Check"), "",
TRUE,""
)</f>
        <v>45826</v>
      </c>
      <c r="I501" s="1" t="str">
        <f t="shared" si="14"/>
        <v>Follow-up Scheduled</v>
      </c>
      <c r="J501" t="str">
        <f>TEXT(Table8[[#This Row],[visit_Date]],"DDDD")</f>
        <v>Wednesday</v>
      </c>
      <c r="K501" t="str">
        <f>TEXT(Table8[[#This Row],[visit_Date]],"mmmm")</f>
        <v>June</v>
      </c>
      <c r="L501" t="str">
        <f t="shared" si="15"/>
        <v>Monsoon</v>
      </c>
    </row>
    <row r="502" spans="1:12" x14ac:dyDescent="0.25">
      <c r="A502">
        <v>501</v>
      </c>
      <c r="B502">
        <v>1027</v>
      </c>
      <c r="C502">
        <v>381</v>
      </c>
      <c r="D502" s="1">
        <v>45706</v>
      </c>
      <c r="E502" t="s">
        <v>313</v>
      </c>
      <c r="F502" t="s">
        <v>314</v>
      </c>
      <c r="G502" t="str">
        <f>_xlfn.XLOOKUP(TRIM(E503),MedicineInfo!A:A,MedicineInfo!B:B,"Not Found")</f>
        <v>Salbutamol Inhaler</v>
      </c>
      <c r="H502" s="1" cm="1">
        <f t="array" ref="H502">_xlfn.IFS(
OR(E502="Type 2 Diabetes",E502="Essential Hypertension",E502="Angina Pectoris",E502="Bronchial Asthma",E502="Cardiac Arrhythmia"), D502+30,
OR(E502="Gastritis",E502="Osteoarthritis",E502="Bronchitis",E502="Iron Deficiency Anemia"), D502+14,
OR(E502="Lumbar Strain",E502="Migraine Headache"), D502+7,
OR(E502="Viral Fever",E502="General Checkup","Routine Health Check"), "",
TRUE,""
)</f>
        <v>45713</v>
      </c>
      <c r="I502" s="1" t="str">
        <f t="shared" si="14"/>
        <v>Follow-up Scheduled</v>
      </c>
      <c r="J502" t="str">
        <f>TEXT(Table8[[#This Row],[visit_Date]],"DDDD")</f>
        <v>Tuesday</v>
      </c>
      <c r="K502" t="str">
        <f>TEXT(Table8[[#This Row],[visit_Date]],"mmmm")</f>
        <v>February</v>
      </c>
      <c r="L502" t="str">
        <f t="shared" si="15"/>
        <v>Winter</v>
      </c>
    </row>
    <row r="503" spans="1:12" x14ac:dyDescent="0.25">
      <c r="A503">
        <v>502</v>
      </c>
      <c r="B503">
        <v>1020</v>
      </c>
      <c r="C503">
        <v>690</v>
      </c>
      <c r="D503" s="1">
        <v>45814</v>
      </c>
      <c r="E503" t="s">
        <v>324</v>
      </c>
      <c r="F503" t="s">
        <v>325</v>
      </c>
      <c r="G503" t="str">
        <f>_xlfn.XLOOKUP(TRIM(E504),MedicineInfo!A:A,MedicineInfo!B:B,"Not Found")</f>
        <v>Amlodipine</v>
      </c>
      <c r="H503" s="1" cm="1">
        <f t="array" ref="H503">_xlfn.IFS(
OR(E503="Type 2 Diabetes",E503="Essential Hypertension",E503="Angina Pectoris",E503="Bronchial Asthma",E503="Cardiac Arrhythmia"), D503+30,
OR(E503="Gastritis",E503="Osteoarthritis",E503="Bronchitis",E503="Iron Deficiency Anemia"), D503+14,
OR(E503="Lumbar Strain",E503="Migraine Headache"), D503+7,
OR(E503="Viral Fever",E503="General Checkup","Routine Health Check"), "",
TRUE,""
)</f>
        <v>45844</v>
      </c>
      <c r="I503" s="1" t="str">
        <f t="shared" si="14"/>
        <v>Follow-up Scheduled</v>
      </c>
      <c r="J503" t="str">
        <f>TEXT(Table8[[#This Row],[visit_Date]],"DDDD")</f>
        <v>Friday</v>
      </c>
      <c r="K503" t="str">
        <f>TEXT(Table8[[#This Row],[visit_Date]],"mmmm")</f>
        <v>June</v>
      </c>
      <c r="L503" t="str">
        <f t="shared" si="15"/>
        <v>Monsoon</v>
      </c>
    </row>
    <row r="504" spans="1:12" x14ac:dyDescent="0.25">
      <c r="A504">
        <v>503</v>
      </c>
      <c r="B504">
        <v>1003</v>
      </c>
      <c r="C504">
        <v>350</v>
      </c>
      <c r="D504" s="1">
        <v>45813</v>
      </c>
      <c r="E504" t="s">
        <v>319</v>
      </c>
      <c r="F504" t="s">
        <v>320</v>
      </c>
      <c r="G504" t="str">
        <f>_xlfn.XLOOKUP(TRIM(E505),MedicineInfo!A:A,MedicineInfo!B:B,"Not Found")</f>
        <v>Metformin</v>
      </c>
      <c r="H504" s="1" cm="1">
        <f t="array" ref="H504">_xlfn.IFS(
OR(E504="Type 2 Diabetes",E504="Essential Hypertension",E504="Angina Pectoris",E504="Bronchial Asthma",E504="Cardiac Arrhythmia"), D504+30,
OR(E504="Gastritis",E504="Osteoarthritis",E504="Bronchitis",E504="Iron Deficiency Anemia"), D504+14,
OR(E504="Lumbar Strain",E504="Migraine Headache"), D504+7,
OR(E504="Viral Fever",E504="General Checkup","Routine Health Check"), "",
TRUE,""
)</f>
        <v>45843</v>
      </c>
      <c r="I504" s="1" t="str">
        <f t="shared" si="14"/>
        <v>Follow-up Scheduled</v>
      </c>
      <c r="J504" t="str">
        <f>TEXT(Table8[[#This Row],[visit_Date]],"DDDD")</f>
        <v>Thursday</v>
      </c>
      <c r="K504" t="str">
        <f>TEXT(Table8[[#This Row],[visit_Date]],"mmmm")</f>
        <v>June</v>
      </c>
      <c r="L504" t="str">
        <f t="shared" si="15"/>
        <v>Monsoon</v>
      </c>
    </row>
    <row r="505" spans="1:12" x14ac:dyDescent="0.25">
      <c r="A505">
        <v>504</v>
      </c>
      <c r="B505">
        <v>1024</v>
      </c>
      <c r="C505">
        <v>663</v>
      </c>
      <c r="D505" s="1">
        <v>45691</v>
      </c>
      <c r="E505" t="s">
        <v>317</v>
      </c>
      <c r="F505" t="s">
        <v>318</v>
      </c>
      <c r="G505" t="str">
        <f>_xlfn.XLOOKUP(TRIM(E506),MedicineInfo!A:A,MedicineInfo!B:B,"Not Found")</f>
        <v>Metformin</v>
      </c>
      <c r="H505" s="1" cm="1">
        <f t="array" ref="H505">_xlfn.IFS(
OR(E505="Type 2 Diabetes",E505="Essential Hypertension",E505="Angina Pectoris",E505="Bronchial Asthma",E505="Cardiac Arrhythmia"), D505+30,
OR(E505="Gastritis",E505="Osteoarthritis",E505="Bronchitis",E505="Iron Deficiency Anemia"), D505+14,
OR(E505="Lumbar Strain",E505="Migraine Headache"), D505+7,
OR(E505="Viral Fever",E505="General Checkup","Routine Health Check"), "",
TRUE,""
)</f>
        <v>45721</v>
      </c>
      <c r="I505" s="1" t="str">
        <f t="shared" si="14"/>
        <v>Follow-up Scheduled</v>
      </c>
      <c r="J505" t="str">
        <f>TEXT(Table8[[#This Row],[visit_Date]],"DDDD")</f>
        <v>Monday</v>
      </c>
      <c r="K505" t="str">
        <f>TEXT(Table8[[#This Row],[visit_Date]],"mmmm")</f>
        <v>February</v>
      </c>
      <c r="L505" t="str">
        <f t="shared" si="15"/>
        <v>Winter</v>
      </c>
    </row>
    <row r="506" spans="1:12" x14ac:dyDescent="0.25">
      <c r="A506">
        <v>505</v>
      </c>
      <c r="B506">
        <v>1024</v>
      </c>
      <c r="C506">
        <v>851</v>
      </c>
      <c r="D506" s="1">
        <v>45814</v>
      </c>
      <c r="E506" t="s">
        <v>317</v>
      </c>
      <c r="F506" t="s">
        <v>318</v>
      </c>
      <c r="G506" t="str">
        <f>_xlfn.XLOOKUP(TRIM(E507),MedicineInfo!A:A,MedicineInfo!B:B,"Not Found")</f>
        <v>Amlodipine</v>
      </c>
      <c r="H506" s="1" cm="1">
        <f t="array" ref="H506">_xlfn.IFS(
OR(E506="Type 2 Diabetes",E506="Essential Hypertension",E506="Angina Pectoris",E506="Bronchial Asthma",E506="Cardiac Arrhythmia"), D506+30,
OR(E506="Gastritis",E506="Osteoarthritis",E506="Bronchitis",E506="Iron Deficiency Anemia"), D506+14,
OR(E506="Lumbar Strain",E506="Migraine Headache"), D506+7,
OR(E506="Viral Fever",E506="General Checkup","Routine Health Check"), "",
TRUE,""
)</f>
        <v>45844</v>
      </c>
      <c r="I506" s="1" t="str">
        <f t="shared" si="14"/>
        <v>Follow-up Scheduled</v>
      </c>
      <c r="J506" t="str">
        <f>TEXT(Table8[[#This Row],[visit_Date]],"DDDD")</f>
        <v>Friday</v>
      </c>
      <c r="K506" t="str">
        <f>TEXT(Table8[[#This Row],[visit_Date]],"mmmm")</f>
        <v>June</v>
      </c>
      <c r="L506" t="str">
        <f t="shared" si="15"/>
        <v>Monsoon</v>
      </c>
    </row>
    <row r="507" spans="1:12" x14ac:dyDescent="0.25">
      <c r="A507">
        <v>506</v>
      </c>
      <c r="B507">
        <v>1004</v>
      </c>
      <c r="C507">
        <v>499</v>
      </c>
      <c r="D507" s="1">
        <v>45677</v>
      </c>
      <c r="E507" t="s">
        <v>319</v>
      </c>
      <c r="F507" t="s">
        <v>320</v>
      </c>
      <c r="G507" t="str">
        <f>_xlfn.XLOOKUP(TRIM(E508),MedicineInfo!A:A,MedicineInfo!B:B,"Not Found")</f>
        <v>Multivitamin</v>
      </c>
      <c r="H507" s="1" cm="1">
        <f t="array" ref="H507">_xlfn.IFS(
OR(E507="Type 2 Diabetes",E507="Essential Hypertension",E507="Angina Pectoris",E507="Bronchial Asthma",E507="Cardiac Arrhythmia"), D507+30,
OR(E507="Gastritis",E507="Osteoarthritis",E507="Bronchitis",E507="Iron Deficiency Anemia"), D507+14,
OR(E507="Lumbar Strain",E507="Migraine Headache"), D507+7,
OR(E507="Viral Fever",E507="General Checkup","Routine Health Check"), "",
TRUE,""
)</f>
        <v>45707</v>
      </c>
      <c r="I507" s="1" t="str">
        <f t="shared" si="14"/>
        <v>Follow-up Scheduled</v>
      </c>
      <c r="J507" t="str">
        <f>TEXT(Table8[[#This Row],[visit_Date]],"DDDD")</f>
        <v>Monday</v>
      </c>
      <c r="K507" t="str">
        <f>TEXT(Table8[[#This Row],[visit_Date]],"mmmm")</f>
        <v>January</v>
      </c>
      <c r="L507" t="str">
        <f t="shared" si="15"/>
        <v>Winter</v>
      </c>
    </row>
    <row r="508" spans="1:12" x14ac:dyDescent="0.25">
      <c r="A508">
        <v>507</v>
      </c>
      <c r="B508">
        <v>1027</v>
      </c>
      <c r="C508">
        <v>977</v>
      </c>
      <c r="D508" s="1">
        <v>45736</v>
      </c>
      <c r="E508" t="s">
        <v>24</v>
      </c>
      <c r="F508" t="s">
        <v>321</v>
      </c>
      <c r="G508" t="str">
        <f>_xlfn.XLOOKUP(TRIM(E509),MedicineInfo!A:A,MedicineInfo!B:B,"Not Found")</f>
        <v>Salbutamol Inhaler</v>
      </c>
      <c r="H508" s="1" t="str" cm="1">
        <f t="array" ref="H508">_xlfn.IFS(
OR(E508="Type 2 Diabetes",E508="Essential Hypertension",E508="Angina Pectoris",E508="Bronchial Asthma",E508="Cardiac Arrhythmia"), D508+30,
OR(E508="Gastritis",E508="Osteoarthritis",E508="Bronchitis",E508="Iron Deficiency Anemia"), D508+14,
OR(E508="Lumbar Strain",E508="Migraine Headache"), D508+7,
OR(E508="Viral Fever",E508="General Checkup","Routine Health Check"), "",
TRUE,""
)</f>
        <v/>
      </c>
      <c r="I508" s="1" t="str">
        <f t="shared" si="14"/>
        <v>No Follow-up Required</v>
      </c>
      <c r="J508" t="str">
        <f>TEXT(Table8[[#This Row],[visit_Date]],"DDDD")</f>
        <v>Thursday</v>
      </c>
      <c r="K508" t="str">
        <f>TEXT(Table8[[#This Row],[visit_Date]],"mmmm")</f>
        <v>March</v>
      </c>
      <c r="L508" t="str">
        <f t="shared" si="15"/>
        <v>Summer</v>
      </c>
    </row>
    <row r="509" spans="1:12" x14ac:dyDescent="0.25">
      <c r="A509">
        <v>508</v>
      </c>
      <c r="B509">
        <v>1020</v>
      </c>
      <c r="C509">
        <v>534</v>
      </c>
      <c r="D509" s="1">
        <v>45823</v>
      </c>
      <c r="E509" t="s">
        <v>324</v>
      </c>
      <c r="F509" t="s">
        <v>325</v>
      </c>
      <c r="G509" t="str">
        <f>_xlfn.XLOOKUP(TRIM(E510),MedicineInfo!A:A,MedicineInfo!B:B,"Not Found")</f>
        <v>Multivitamin</v>
      </c>
      <c r="H509" s="1" cm="1">
        <f t="array" ref="H509">_xlfn.IFS(
OR(E509="Type 2 Diabetes",E509="Essential Hypertension",E509="Angina Pectoris",E509="Bronchial Asthma",E509="Cardiac Arrhythmia"), D509+30,
OR(E509="Gastritis",E509="Osteoarthritis",E509="Bronchitis",E509="Iron Deficiency Anemia"), D509+14,
OR(E509="Lumbar Strain",E509="Migraine Headache"), D509+7,
OR(E509="Viral Fever",E509="General Checkup","Routine Health Check"), "",
TRUE,""
)</f>
        <v>45853</v>
      </c>
      <c r="I509" s="1" t="str">
        <f t="shared" si="14"/>
        <v>Follow-up Scheduled</v>
      </c>
      <c r="J509" t="str">
        <f>TEXT(Table8[[#This Row],[visit_Date]],"DDDD")</f>
        <v>Sunday</v>
      </c>
      <c r="K509" t="str">
        <f>TEXT(Table8[[#This Row],[visit_Date]],"mmmm")</f>
        <v>June</v>
      </c>
      <c r="L509" t="str">
        <f t="shared" si="15"/>
        <v>Monsoon</v>
      </c>
    </row>
    <row r="510" spans="1:12" x14ac:dyDescent="0.25">
      <c r="A510">
        <v>509</v>
      </c>
      <c r="B510">
        <v>1027</v>
      </c>
      <c r="C510">
        <v>1130</v>
      </c>
      <c r="D510" s="1">
        <v>45672</v>
      </c>
      <c r="E510" t="s">
        <v>24</v>
      </c>
      <c r="F510" t="s">
        <v>321</v>
      </c>
      <c r="G510" t="str">
        <f>_xlfn.XLOOKUP(TRIM(E511),MedicineInfo!A:A,MedicineInfo!B:B,"Not Found")</f>
        <v>Nitroglycerin</v>
      </c>
      <c r="H510" s="1" t="str" cm="1">
        <f t="array" ref="H510">_xlfn.IFS(
OR(E510="Type 2 Diabetes",E510="Essential Hypertension",E510="Angina Pectoris",E510="Bronchial Asthma",E510="Cardiac Arrhythmia"), D510+30,
OR(E510="Gastritis",E510="Osteoarthritis",E510="Bronchitis",E510="Iron Deficiency Anemia"), D510+14,
OR(E510="Lumbar Strain",E510="Migraine Headache"), D510+7,
OR(E510="Viral Fever",E510="General Checkup","Routine Health Check"), "",
TRUE,""
)</f>
        <v/>
      </c>
      <c r="I510" s="1" t="str">
        <f t="shared" si="14"/>
        <v>No Follow-up Required</v>
      </c>
      <c r="J510" t="str">
        <f>TEXT(Table8[[#This Row],[visit_Date]],"DDDD")</f>
        <v>Wednesday</v>
      </c>
      <c r="K510" t="str">
        <f>TEXT(Table8[[#This Row],[visit_Date]],"mmmm")</f>
        <v>January</v>
      </c>
      <c r="L510" t="str">
        <f t="shared" si="15"/>
        <v>Winter</v>
      </c>
    </row>
    <row r="511" spans="1:12" x14ac:dyDescent="0.25">
      <c r="A511">
        <v>510</v>
      </c>
      <c r="B511">
        <v>1001</v>
      </c>
      <c r="C511">
        <v>509</v>
      </c>
      <c r="D511" s="1">
        <v>45820</v>
      </c>
      <c r="E511" t="s">
        <v>322</v>
      </c>
      <c r="F511" t="s">
        <v>323</v>
      </c>
      <c r="G511" t="str">
        <f>_xlfn.XLOOKUP(TRIM(E512),MedicineInfo!A:A,MedicineInfo!B:B,"Not Found")</f>
        <v>Amlodipine</v>
      </c>
      <c r="H511" s="1" cm="1">
        <f t="array" ref="H511">_xlfn.IFS(
OR(E511="Type 2 Diabetes",E511="Essential Hypertension",E511="Angina Pectoris",E511="Bronchial Asthma",E511="Cardiac Arrhythmia"), D511+30,
OR(E511="Gastritis",E511="Osteoarthritis",E511="Bronchitis",E511="Iron Deficiency Anemia"), D511+14,
OR(E511="Lumbar Strain",E511="Migraine Headache"), D511+7,
OR(E511="Viral Fever",E511="General Checkup","Routine Health Check"), "",
TRUE,""
)</f>
        <v>45850</v>
      </c>
      <c r="I511" s="1" t="str">
        <f t="shared" si="14"/>
        <v>Follow-up Scheduled</v>
      </c>
      <c r="J511" t="str">
        <f>TEXT(Table8[[#This Row],[visit_Date]],"DDDD")</f>
        <v>Thursday</v>
      </c>
      <c r="K511" t="str">
        <f>TEXT(Table8[[#This Row],[visit_Date]],"mmmm")</f>
        <v>June</v>
      </c>
      <c r="L511" t="str">
        <f t="shared" si="15"/>
        <v>Monsoon</v>
      </c>
    </row>
    <row r="512" spans="1:12" x14ac:dyDescent="0.25">
      <c r="A512">
        <v>511</v>
      </c>
      <c r="B512">
        <v>1003</v>
      </c>
      <c r="C512">
        <v>1273</v>
      </c>
      <c r="D512" s="1">
        <v>45741</v>
      </c>
      <c r="E512" t="s">
        <v>319</v>
      </c>
      <c r="F512" t="s">
        <v>320</v>
      </c>
      <c r="G512" t="str">
        <f>_xlfn.XLOOKUP(TRIM(E513),MedicineInfo!A:A,MedicineInfo!B:B,"Not Found")</f>
        <v>Salbutamol Inhaler</v>
      </c>
      <c r="H512" s="1" cm="1">
        <f t="array" ref="H512">_xlfn.IFS(
OR(E512="Type 2 Diabetes",E512="Essential Hypertension",E512="Angina Pectoris",E512="Bronchial Asthma",E512="Cardiac Arrhythmia"), D512+30,
OR(E512="Gastritis",E512="Osteoarthritis",E512="Bronchitis",E512="Iron Deficiency Anemia"), D512+14,
OR(E512="Lumbar Strain",E512="Migraine Headache"), D512+7,
OR(E512="Viral Fever",E512="General Checkup","Routine Health Check"), "",
TRUE,""
)</f>
        <v>45771</v>
      </c>
      <c r="I512" s="1" t="str">
        <f t="shared" si="14"/>
        <v>Follow-up Scheduled</v>
      </c>
      <c r="J512" t="str">
        <f>TEXT(Table8[[#This Row],[visit_Date]],"DDDD")</f>
        <v>Tuesday</v>
      </c>
      <c r="K512" t="str">
        <f>TEXT(Table8[[#This Row],[visit_Date]],"mmmm")</f>
        <v>March</v>
      </c>
      <c r="L512" t="str">
        <f t="shared" si="15"/>
        <v>Summer</v>
      </c>
    </row>
    <row r="513" spans="1:12" x14ac:dyDescent="0.25">
      <c r="A513">
        <v>512</v>
      </c>
      <c r="B513">
        <v>1020</v>
      </c>
      <c r="C513">
        <v>1338</v>
      </c>
      <c r="D513" s="1">
        <v>45792</v>
      </c>
      <c r="E513" t="s">
        <v>324</v>
      </c>
      <c r="F513" t="s">
        <v>325</v>
      </c>
      <c r="G513" t="str">
        <f>_xlfn.XLOOKUP(TRIM(E514),MedicineInfo!A:A,MedicineInfo!B:B,"Not Found")</f>
        <v>Salbutamol Inhaler</v>
      </c>
      <c r="H513" s="1" cm="1">
        <f t="array" ref="H513">_xlfn.IFS(
OR(E513="Type 2 Diabetes",E513="Essential Hypertension",E513="Angina Pectoris",E513="Bronchial Asthma",E513="Cardiac Arrhythmia"), D513+30,
OR(E513="Gastritis",E513="Osteoarthritis",E513="Bronchitis",E513="Iron Deficiency Anemia"), D513+14,
OR(E513="Lumbar Strain",E513="Migraine Headache"), D513+7,
OR(E513="Viral Fever",E513="General Checkup","Routine Health Check"), "",
TRUE,""
)</f>
        <v>45822</v>
      </c>
      <c r="I513" s="1" t="str">
        <f t="shared" si="14"/>
        <v>Follow-up Scheduled</v>
      </c>
      <c r="J513" t="str">
        <f>TEXT(Table8[[#This Row],[visit_Date]],"DDDD")</f>
        <v>Thursday</v>
      </c>
      <c r="K513" t="str">
        <f>TEXT(Table8[[#This Row],[visit_Date]],"mmmm")</f>
        <v>May</v>
      </c>
      <c r="L513" t="str">
        <f t="shared" si="15"/>
        <v>Summer</v>
      </c>
    </row>
    <row r="514" spans="1:12" x14ac:dyDescent="0.25">
      <c r="A514">
        <v>513</v>
      </c>
      <c r="B514">
        <v>1020</v>
      </c>
      <c r="C514">
        <v>454</v>
      </c>
      <c r="D514" s="1">
        <v>45730</v>
      </c>
      <c r="E514" t="s">
        <v>324</v>
      </c>
      <c r="F514" t="s">
        <v>325</v>
      </c>
      <c r="G514" t="str">
        <f>_xlfn.XLOOKUP(TRIM(E515),MedicineInfo!A:A,MedicineInfo!B:B,"Not Found")</f>
        <v>Multivitamin</v>
      </c>
      <c r="H514" s="1" cm="1">
        <f t="array" ref="H514">_xlfn.IFS(
OR(E514="Type 2 Diabetes",E514="Essential Hypertension",E514="Angina Pectoris",E514="Bronchial Asthma",E514="Cardiac Arrhythmia"), D514+30,
OR(E514="Gastritis",E514="Osteoarthritis",E514="Bronchitis",E514="Iron Deficiency Anemia"), D514+14,
OR(E514="Lumbar Strain",E514="Migraine Headache"), D514+7,
OR(E514="Viral Fever",E514="General Checkup","Routine Health Check"), "",
TRUE,""
)</f>
        <v>45760</v>
      </c>
      <c r="I514" s="1" t="str">
        <f t="shared" ref="I514:I577" si="16">IF(H514="","No Follow-up Required","Follow-up Scheduled")</f>
        <v>Follow-up Scheduled</v>
      </c>
      <c r="J514" t="str">
        <f>TEXT(Table8[[#This Row],[visit_Date]],"DDDD")</f>
        <v>Friday</v>
      </c>
      <c r="K514" t="str">
        <f>TEXT(Table8[[#This Row],[visit_Date]],"mmmm")</f>
        <v>March</v>
      </c>
      <c r="L514" t="str">
        <f t="shared" ref="L514:L577" si="17">IF(OR(MONTH(D514)=12,MONTH(D514)&lt;=2),"Winter",
IF(MONTH(D514)&lt;=5,"Summer","Monsoon"))</f>
        <v>Summer</v>
      </c>
    </row>
    <row r="515" spans="1:12" x14ac:dyDescent="0.25">
      <c r="A515">
        <v>514</v>
      </c>
      <c r="B515">
        <v>1027</v>
      </c>
      <c r="C515">
        <v>219</v>
      </c>
      <c r="D515" s="1">
        <v>45828</v>
      </c>
      <c r="E515" t="s">
        <v>24</v>
      </c>
      <c r="F515" t="s">
        <v>321</v>
      </c>
      <c r="G515" t="str">
        <f>_xlfn.XLOOKUP(TRIM(E516),MedicineInfo!A:A,MedicineInfo!B:B,"Not Found")</f>
        <v>Amlodipine</v>
      </c>
      <c r="H515" s="1" t="str" cm="1">
        <f t="array" ref="H515">_xlfn.IFS(
OR(E515="Type 2 Diabetes",E515="Essential Hypertension",E515="Angina Pectoris",E515="Bronchial Asthma",E515="Cardiac Arrhythmia"), D515+30,
OR(E515="Gastritis",E515="Osteoarthritis",E515="Bronchitis",E515="Iron Deficiency Anemia"), D515+14,
OR(E515="Lumbar Strain",E515="Migraine Headache"), D515+7,
OR(E515="Viral Fever",E515="General Checkup","Routine Health Check"), "",
TRUE,""
)</f>
        <v/>
      </c>
      <c r="I515" s="1" t="str">
        <f t="shared" si="16"/>
        <v>No Follow-up Required</v>
      </c>
      <c r="J515" t="str">
        <f>TEXT(Table8[[#This Row],[visit_Date]],"DDDD")</f>
        <v>Friday</v>
      </c>
      <c r="K515" t="str">
        <f>TEXT(Table8[[#This Row],[visit_Date]],"mmmm")</f>
        <v>June</v>
      </c>
      <c r="L515" t="str">
        <f t="shared" si="17"/>
        <v>Monsoon</v>
      </c>
    </row>
    <row r="516" spans="1:12" x14ac:dyDescent="0.25">
      <c r="A516">
        <v>515</v>
      </c>
      <c r="B516">
        <v>1001</v>
      </c>
      <c r="C516">
        <v>796</v>
      </c>
      <c r="D516" s="1">
        <v>45678</v>
      </c>
      <c r="E516" t="s">
        <v>319</v>
      </c>
      <c r="F516" t="s">
        <v>320</v>
      </c>
      <c r="G516" t="str">
        <f>_xlfn.XLOOKUP(TRIM(E517),MedicineInfo!A:A,MedicineInfo!B:B,"Not Found")</f>
        <v>Multivitamin</v>
      </c>
      <c r="H516" s="1" cm="1">
        <f t="array" ref="H516">_xlfn.IFS(
OR(E516="Type 2 Diabetes",E516="Essential Hypertension",E516="Angina Pectoris",E516="Bronchial Asthma",E516="Cardiac Arrhythmia"), D516+30,
OR(E516="Gastritis",E516="Osteoarthritis",E516="Bronchitis",E516="Iron Deficiency Anemia"), D516+14,
OR(E516="Lumbar Strain",E516="Migraine Headache"), D516+7,
OR(E516="Viral Fever",E516="General Checkup","Routine Health Check"), "",
TRUE,""
)</f>
        <v>45708</v>
      </c>
      <c r="I516" s="1" t="str">
        <f t="shared" si="16"/>
        <v>Follow-up Scheduled</v>
      </c>
      <c r="J516" t="str">
        <f>TEXT(Table8[[#This Row],[visit_Date]],"DDDD")</f>
        <v>Tuesday</v>
      </c>
      <c r="K516" t="str">
        <f>TEXT(Table8[[#This Row],[visit_Date]],"mmmm")</f>
        <v>January</v>
      </c>
      <c r="L516" t="str">
        <f t="shared" si="17"/>
        <v>Winter</v>
      </c>
    </row>
    <row r="517" spans="1:12" x14ac:dyDescent="0.25">
      <c r="A517">
        <v>516</v>
      </c>
      <c r="B517">
        <v>1027</v>
      </c>
      <c r="C517">
        <v>229</v>
      </c>
      <c r="D517" s="1">
        <v>45686</v>
      </c>
      <c r="E517" t="s">
        <v>24</v>
      </c>
      <c r="F517" t="s">
        <v>321</v>
      </c>
      <c r="G517" t="str">
        <f>_xlfn.XLOOKUP(TRIM(E518),MedicineInfo!A:A,MedicineInfo!B:B,"Not Found")</f>
        <v>Nitroglycerin</v>
      </c>
      <c r="H517" s="1" t="str" cm="1">
        <f t="array" ref="H517">_xlfn.IFS(
OR(E517="Type 2 Diabetes",E517="Essential Hypertension",E517="Angina Pectoris",E517="Bronchial Asthma",E517="Cardiac Arrhythmia"), D517+30,
OR(E517="Gastritis",E517="Osteoarthritis",E517="Bronchitis",E517="Iron Deficiency Anemia"), D517+14,
OR(E517="Lumbar Strain",E517="Migraine Headache"), D517+7,
OR(E517="Viral Fever",E517="General Checkup","Routine Health Check"), "",
TRUE,""
)</f>
        <v/>
      </c>
      <c r="I517" s="1" t="str">
        <f t="shared" si="16"/>
        <v>No Follow-up Required</v>
      </c>
      <c r="J517" t="str">
        <f>TEXT(Table8[[#This Row],[visit_Date]],"DDDD")</f>
        <v>Wednesday</v>
      </c>
      <c r="K517" t="str">
        <f>TEXT(Table8[[#This Row],[visit_Date]],"mmmm")</f>
        <v>January</v>
      </c>
      <c r="L517" t="str">
        <f t="shared" si="17"/>
        <v>Winter</v>
      </c>
    </row>
    <row r="518" spans="1:12" x14ac:dyDescent="0.25">
      <c r="A518">
        <v>517</v>
      </c>
      <c r="B518">
        <v>1001</v>
      </c>
      <c r="C518">
        <v>163</v>
      </c>
      <c r="D518" s="1">
        <v>45853</v>
      </c>
      <c r="E518" t="s">
        <v>322</v>
      </c>
      <c r="F518" t="s">
        <v>323</v>
      </c>
      <c r="G518" t="str">
        <f>_xlfn.XLOOKUP(TRIM(E519),MedicineInfo!A:A,MedicineInfo!B:B,"Not Found")</f>
        <v>Multivitamin</v>
      </c>
      <c r="H518" s="1" cm="1">
        <f t="array" ref="H518">_xlfn.IFS(
OR(E518="Type 2 Diabetes",E518="Essential Hypertension",E518="Angina Pectoris",E518="Bronchial Asthma",E518="Cardiac Arrhythmia"), D518+30,
OR(E518="Gastritis",E518="Osteoarthritis",E518="Bronchitis",E518="Iron Deficiency Anemia"), D518+14,
OR(E518="Lumbar Strain",E518="Migraine Headache"), D518+7,
OR(E518="Viral Fever",E518="General Checkup","Routine Health Check"), "",
TRUE,""
)</f>
        <v>45883</v>
      </c>
      <c r="I518" s="1" t="str">
        <f t="shared" si="16"/>
        <v>Follow-up Scheduled</v>
      </c>
      <c r="J518" t="str">
        <f>TEXT(Table8[[#This Row],[visit_Date]],"DDDD")</f>
        <v>Tuesday</v>
      </c>
      <c r="K518" t="str">
        <f>TEXT(Table8[[#This Row],[visit_Date]],"mmmm")</f>
        <v>July</v>
      </c>
      <c r="L518" t="str">
        <f t="shared" si="17"/>
        <v>Monsoon</v>
      </c>
    </row>
    <row r="519" spans="1:12" x14ac:dyDescent="0.25">
      <c r="A519">
        <v>518</v>
      </c>
      <c r="B519">
        <v>1027</v>
      </c>
      <c r="C519">
        <v>200</v>
      </c>
      <c r="D519" s="1">
        <v>45718</v>
      </c>
      <c r="E519" t="s">
        <v>24</v>
      </c>
      <c r="F519" t="s">
        <v>321</v>
      </c>
      <c r="G519" t="str">
        <f>_xlfn.XLOOKUP(TRIM(E520),MedicineInfo!A:A,MedicineInfo!B:B,"Not Found")</f>
        <v>Amlodipine</v>
      </c>
      <c r="H519" s="1" t="str" cm="1">
        <f t="array" ref="H519">_xlfn.IFS(
OR(E519="Type 2 Diabetes",E519="Essential Hypertension",E519="Angina Pectoris",E519="Bronchial Asthma",E519="Cardiac Arrhythmia"), D519+30,
OR(E519="Gastritis",E519="Osteoarthritis",E519="Bronchitis",E519="Iron Deficiency Anemia"), D519+14,
OR(E519="Lumbar Strain",E519="Migraine Headache"), D519+7,
OR(E519="Viral Fever",E519="General Checkup","Routine Health Check"), "",
TRUE,""
)</f>
        <v/>
      </c>
      <c r="I519" s="1" t="str">
        <f t="shared" si="16"/>
        <v>No Follow-up Required</v>
      </c>
      <c r="J519" t="str">
        <f>TEXT(Table8[[#This Row],[visit_Date]],"DDDD")</f>
        <v>Sunday</v>
      </c>
      <c r="K519" t="str">
        <f>TEXT(Table8[[#This Row],[visit_Date]],"mmmm")</f>
        <v>March</v>
      </c>
      <c r="L519" t="str">
        <f t="shared" si="17"/>
        <v>Summer</v>
      </c>
    </row>
    <row r="520" spans="1:12" x14ac:dyDescent="0.25">
      <c r="A520">
        <v>519</v>
      </c>
      <c r="B520">
        <v>1001</v>
      </c>
      <c r="C520">
        <v>1284</v>
      </c>
      <c r="D520" s="1">
        <v>45856</v>
      </c>
      <c r="E520" t="s">
        <v>319</v>
      </c>
      <c r="F520" t="s">
        <v>320</v>
      </c>
      <c r="G520" t="str">
        <f>_xlfn.XLOOKUP(TRIM(E521),MedicineInfo!A:A,MedicineInfo!B:B,"Not Found")</f>
        <v>Sumatriptan</v>
      </c>
      <c r="H520" s="1" cm="1">
        <f t="array" ref="H520">_xlfn.IFS(
OR(E520="Type 2 Diabetes",E520="Essential Hypertension",E520="Angina Pectoris",E520="Bronchial Asthma",E520="Cardiac Arrhythmia"), D520+30,
OR(E520="Gastritis",E520="Osteoarthritis",E520="Bronchitis",E520="Iron Deficiency Anemia"), D520+14,
OR(E520="Lumbar Strain",E520="Migraine Headache"), D520+7,
OR(E520="Viral Fever",E520="General Checkup","Routine Health Check"), "",
TRUE,""
)</f>
        <v>45886</v>
      </c>
      <c r="I520" s="1" t="str">
        <f t="shared" si="16"/>
        <v>Follow-up Scheduled</v>
      </c>
      <c r="J520" t="str">
        <f>TEXT(Table8[[#This Row],[visit_Date]],"DDDD")</f>
        <v>Friday</v>
      </c>
      <c r="K520" t="str">
        <f>TEXT(Table8[[#This Row],[visit_Date]],"mmmm")</f>
        <v>July</v>
      </c>
      <c r="L520" t="str">
        <f t="shared" si="17"/>
        <v>Monsoon</v>
      </c>
    </row>
    <row r="521" spans="1:12" x14ac:dyDescent="0.25">
      <c r="A521">
        <v>520</v>
      </c>
      <c r="B521">
        <v>1008</v>
      </c>
      <c r="C521">
        <v>401</v>
      </c>
      <c r="D521" s="1">
        <v>45721</v>
      </c>
      <c r="E521" t="s">
        <v>315</v>
      </c>
      <c r="F521" t="s">
        <v>316</v>
      </c>
      <c r="G521" t="str">
        <f>_xlfn.XLOOKUP(TRIM(E522),MedicineInfo!A:A,MedicineInfo!B:B,"Not Found")</f>
        <v>Salbutamol Inhaler</v>
      </c>
      <c r="H521" s="1" cm="1">
        <f t="array" ref="H521">_xlfn.IFS(
OR(E521="Type 2 Diabetes",E521="Essential Hypertension",E521="Angina Pectoris",E521="Bronchial Asthma",E521="Cardiac Arrhythmia"), D521+30,
OR(E521="Gastritis",E521="Osteoarthritis",E521="Bronchitis",E521="Iron Deficiency Anemia"), D521+14,
OR(E521="Lumbar Strain",E521="Migraine Headache"), D521+7,
OR(E521="Viral Fever",E521="General Checkup","Routine Health Check"), "",
TRUE,""
)</f>
        <v>45728</v>
      </c>
      <c r="I521" s="1" t="str">
        <f t="shared" si="16"/>
        <v>Follow-up Scheduled</v>
      </c>
      <c r="J521" t="str">
        <f>TEXT(Table8[[#This Row],[visit_Date]],"DDDD")</f>
        <v>Wednesday</v>
      </c>
      <c r="K521" t="str">
        <f>TEXT(Table8[[#This Row],[visit_Date]],"mmmm")</f>
        <v>March</v>
      </c>
      <c r="L521" t="str">
        <f t="shared" si="17"/>
        <v>Summer</v>
      </c>
    </row>
    <row r="522" spans="1:12" x14ac:dyDescent="0.25">
      <c r="A522">
        <v>521</v>
      </c>
      <c r="B522">
        <v>1020</v>
      </c>
      <c r="C522">
        <v>1026</v>
      </c>
      <c r="D522" s="1">
        <v>45669</v>
      </c>
      <c r="E522" t="s">
        <v>324</v>
      </c>
      <c r="F522" t="s">
        <v>325</v>
      </c>
      <c r="G522" t="str">
        <f>_xlfn.XLOOKUP(TRIM(E523),MedicineInfo!A:A,MedicineInfo!B:B,"Not Found")</f>
        <v>Multivitamin</v>
      </c>
      <c r="H522" s="1" cm="1">
        <f t="array" ref="H522">_xlfn.IFS(
OR(E522="Type 2 Diabetes",E522="Essential Hypertension",E522="Angina Pectoris",E522="Bronchial Asthma",E522="Cardiac Arrhythmia"), D522+30,
OR(E522="Gastritis",E522="Osteoarthritis",E522="Bronchitis",E522="Iron Deficiency Anemia"), D522+14,
OR(E522="Lumbar Strain",E522="Migraine Headache"), D522+7,
OR(E522="Viral Fever",E522="General Checkup","Routine Health Check"), "",
TRUE,""
)</f>
        <v>45699</v>
      </c>
      <c r="I522" s="1" t="str">
        <f t="shared" si="16"/>
        <v>Follow-up Scheduled</v>
      </c>
      <c r="J522" t="str">
        <f>TEXT(Table8[[#This Row],[visit_Date]],"DDDD")</f>
        <v>Sunday</v>
      </c>
      <c r="K522" t="str">
        <f>TEXT(Table8[[#This Row],[visit_Date]],"mmmm")</f>
        <v>January</v>
      </c>
      <c r="L522" t="str">
        <f t="shared" si="17"/>
        <v>Winter</v>
      </c>
    </row>
    <row r="523" spans="1:12" x14ac:dyDescent="0.25">
      <c r="A523">
        <v>522</v>
      </c>
      <c r="B523">
        <v>1027</v>
      </c>
      <c r="C523">
        <v>268</v>
      </c>
      <c r="D523" s="1">
        <v>45793</v>
      </c>
      <c r="E523" t="s">
        <v>24</v>
      </c>
      <c r="F523" t="s">
        <v>321</v>
      </c>
      <c r="G523" t="str">
        <f>_xlfn.XLOOKUP(TRIM(E524),MedicineInfo!A:A,MedicineInfo!B:B,"Not Found")</f>
        <v>Multivitamin</v>
      </c>
      <c r="H523" s="1" t="str" cm="1">
        <f t="array" ref="H523">_xlfn.IFS(
OR(E523="Type 2 Diabetes",E523="Essential Hypertension",E523="Angina Pectoris",E523="Bronchial Asthma",E523="Cardiac Arrhythmia"), D523+30,
OR(E523="Gastritis",E523="Osteoarthritis",E523="Bronchitis",E523="Iron Deficiency Anemia"), D523+14,
OR(E523="Lumbar Strain",E523="Migraine Headache"), D523+7,
OR(E523="Viral Fever",E523="General Checkup","Routine Health Check"), "",
TRUE,""
)</f>
        <v/>
      </c>
      <c r="I523" s="1" t="str">
        <f t="shared" si="16"/>
        <v>No Follow-up Required</v>
      </c>
      <c r="J523" t="str">
        <f>TEXT(Table8[[#This Row],[visit_Date]],"DDDD")</f>
        <v>Friday</v>
      </c>
      <c r="K523" t="str">
        <f>TEXT(Table8[[#This Row],[visit_Date]],"mmmm")</f>
        <v>May</v>
      </c>
      <c r="L523" t="str">
        <f t="shared" si="17"/>
        <v>Summer</v>
      </c>
    </row>
    <row r="524" spans="1:12" x14ac:dyDescent="0.25">
      <c r="A524">
        <v>523</v>
      </c>
      <c r="B524">
        <v>1027</v>
      </c>
      <c r="C524">
        <v>815</v>
      </c>
      <c r="D524" s="1">
        <v>45758</v>
      </c>
      <c r="E524" t="s">
        <v>24</v>
      </c>
      <c r="F524" t="s">
        <v>321</v>
      </c>
      <c r="G524" t="str">
        <f>_xlfn.XLOOKUP(TRIM(E525),MedicineInfo!A:A,MedicineInfo!B:B,"Not Found")</f>
        <v>Sumatriptan</v>
      </c>
      <c r="H524" s="1" t="str" cm="1">
        <f t="array" ref="H524">_xlfn.IFS(
OR(E524="Type 2 Diabetes",E524="Essential Hypertension",E524="Angina Pectoris",E524="Bronchial Asthma",E524="Cardiac Arrhythmia"), D524+30,
OR(E524="Gastritis",E524="Osteoarthritis",E524="Bronchitis",E524="Iron Deficiency Anemia"), D524+14,
OR(E524="Lumbar Strain",E524="Migraine Headache"), D524+7,
OR(E524="Viral Fever",E524="General Checkup","Routine Health Check"), "",
TRUE,""
)</f>
        <v/>
      </c>
      <c r="I524" s="1" t="str">
        <f t="shared" si="16"/>
        <v>No Follow-up Required</v>
      </c>
      <c r="J524" t="str">
        <f>TEXT(Table8[[#This Row],[visit_Date]],"DDDD")</f>
        <v>Friday</v>
      </c>
      <c r="K524" t="str">
        <f>TEXT(Table8[[#This Row],[visit_Date]],"mmmm")</f>
        <v>April</v>
      </c>
      <c r="L524" t="str">
        <f t="shared" si="17"/>
        <v>Summer</v>
      </c>
    </row>
    <row r="525" spans="1:12" x14ac:dyDescent="0.25">
      <c r="A525">
        <v>524</v>
      </c>
      <c r="B525">
        <v>1008</v>
      </c>
      <c r="C525">
        <v>1455</v>
      </c>
      <c r="D525" s="1">
        <v>45694</v>
      </c>
      <c r="E525" t="s">
        <v>315</v>
      </c>
      <c r="F525" t="s">
        <v>316</v>
      </c>
      <c r="G525" t="str">
        <f>_xlfn.XLOOKUP(TRIM(E526),MedicineInfo!A:A,MedicineInfo!B:B,"Not Found")</f>
        <v>Diclofenac</v>
      </c>
      <c r="H525" s="1" cm="1">
        <f t="array" ref="H525">_xlfn.IFS(
OR(E525="Type 2 Diabetes",E525="Essential Hypertension",E525="Angina Pectoris",E525="Bronchial Asthma",E525="Cardiac Arrhythmia"), D525+30,
OR(E525="Gastritis",E525="Osteoarthritis",E525="Bronchitis",E525="Iron Deficiency Anemia"), D525+14,
OR(E525="Lumbar Strain",E525="Migraine Headache"), D525+7,
OR(E525="Viral Fever",E525="General Checkup","Routine Health Check"), "",
TRUE,""
)</f>
        <v>45701</v>
      </c>
      <c r="I525" s="1" t="str">
        <f t="shared" si="16"/>
        <v>Follow-up Scheduled</v>
      </c>
      <c r="J525" t="str">
        <f>TEXT(Table8[[#This Row],[visit_Date]],"DDDD")</f>
        <v>Thursday</v>
      </c>
      <c r="K525" t="str">
        <f>TEXT(Table8[[#This Row],[visit_Date]],"mmmm")</f>
        <v>February</v>
      </c>
      <c r="L525" t="str">
        <f t="shared" si="17"/>
        <v>Winter</v>
      </c>
    </row>
    <row r="526" spans="1:12" x14ac:dyDescent="0.25">
      <c r="A526">
        <v>525</v>
      </c>
      <c r="B526">
        <v>1027</v>
      </c>
      <c r="C526">
        <v>1187</v>
      </c>
      <c r="D526" s="1">
        <v>45711</v>
      </c>
      <c r="E526" t="s">
        <v>313</v>
      </c>
      <c r="F526" t="s">
        <v>314</v>
      </c>
      <c r="G526" t="str">
        <f>_xlfn.XLOOKUP(TRIM(E527),MedicineInfo!A:A,MedicineInfo!B:B,"Not Found")</f>
        <v>Metformin</v>
      </c>
      <c r="H526" s="1" cm="1">
        <f t="array" ref="H526">_xlfn.IFS(
OR(E526="Type 2 Diabetes",E526="Essential Hypertension",E526="Angina Pectoris",E526="Bronchial Asthma",E526="Cardiac Arrhythmia"), D526+30,
OR(E526="Gastritis",E526="Osteoarthritis",E526="Bronchitis",E526="Iron Deficiency Anemia"), D526+14,
OR(E526="Lumbar Strain",E526="Migraine Headache"), D526+7,
OR(E526="Viral Fever",E526="General Checkup","Routine Health Check"), "",
TRUE,""
)</f>
        <v>45718</v>
      </c>
      <c r="I526" s="1" t="str">
        <f t="shared" si="16"/>
        <v>Follow-up Scheduled</v>
      </c>
      <c r="J526" t="str">
        <f>TEXT(Table8[[#This Row],[visit_Date]],"DDDD")</f>
        <v>Sunday</v>
      </c>
      <c r="K526" t="str">
        <f>TEXT(Table8[[#This Row],[visit_Date]],"mmmm")</f>
        <v>February</v>
      </c>
      <c r="L526" t="str">
        <f t="shared" si="17"/>
        <v>Winter</v>
      </c>
    </row>
    <row r="527" spans="1:12" x14ac:dyDescent="0.25">
      <c r="A527">
        <v>526</v>
      </c>
      <c r="B527">
        <v>1024</v>
      </c>
      <c r="C527">
        <v>1184</v>
      </c>
      <c r="D527" s="1">
        <v>45819</v>
      </c>
      <c r="E527" t="s">
        <v>317</v>
      </c>
      <c r="F527" t="s">
        <v>318</v>
      </c>
      <c r="G527" t="str">
        <f>_xlfn.XLOOKUP(TRIM(E528),MedicineInfo!A:A,MedicineInfo!B:B,"Not Found")</f>
        <v>Salbutamol Inhaler</v>
      </c>
      <c r="H527" s="1" cm="1">
        <f t="array" ref="H527">_xlfn.IFS(
OR(E527="Type 2 Diabetes",E527="Essential Hypertension",E527="Angina Pectoris",E527="Bronchial Asthma",E527="Cardiac Arrhythmia"), D527+30,
OR(E527="Gastritis",E527="Osteoarthritis",E527="Bronchitis",E527="Iron Deficiency Anemia"), D527+14,
OR(E527="Lumbar Strain",E527="Migraine Headache"), D527+7,
OR(E527="Viral Fever",E527="General Checkup","Routine Health Check"), "",
TRUE,""
)</f>
        <v>45849</v>
      </c>
      <c r="I527" s="1" t="str">
        <f t="shared" si="16"/>
        <v>Follow-up Scheduled</v>
      </c>
      <c r="J527" t="str">
        <f>TEXT(Table8[[#This Row],[visit_Date]],"DDDD")</f>
        <v>Wednesday</v>
      </c>
      <c r="K527" t="str">
        <f>TEXT(Table8[[#This Row],[visit_Date]],"mmmm")</f>
        <v>June</v>
      </c>
      <c r="L527" t="str">
        <f t="shared" si="17"/>
        <v>Monsoon</v>
      </c>
    </row>
    <row r="528" spans="1:12" x14ac:dyDescent="0.25">
      <c r="A528">
        <v>527</v>
      </c>
      <c r="B528">
        <v>1020</v>
      </c>
      <c r="C528">
        <v>801</v>
      </c>
      <c r="D528" s="1">
        <v>45853</v>
      </c>
      <c r="E528" t="s">
        <v>324</v>
      </c>
      <c r="F528" t="s">
        <v>325</v>
      </c>
      <c r="G528" t="str">
        <f>_xlfn.XLOOKUP(TRIM(E529),MedicineInfo!A:A,MedicineInfo!B:B,"Not Found")</f>
        <v>Amlodipine</v>
      </c>
      <c r="H528" s="1" cm="1">
        <f t="array" ref="H528">_xlfn.IFS(
OR(E528="Type 2 Diabetes",E528="Essential Hypertension",E528="Angina Pectoris",E528="Bronchial Asthma",E528="Cardiac Arrhythmia"), D528+30,
OR(E528="Gastritis",E528="Osteoarthritis",E528="Bronchitis",E528="Iron Deficiency Anemia"), D528+14,
OR(E528="Lumbar Strain",E528="Migraine Headache"), D528+7,
OR(E528="Viral Fever",E528="General Checkup","Routine Health Check"), "",
TRUE,""
)</f>
        <v>45883</v>
      </c>
      <c r="I528" s="1" t="str">
        <f t="shared" si="16"/>
        <v>Follow-up Scheduled</v>
      </c>
      <c r="J528" t="str">
        <f>TEXT(Table8[[#This Row],[visit_Date]],"DDDD")</f>
        <v>Tuesday</v>
      </c>
      <c r="K528" t="str">
        <f>TEXT(Table8[[#This Row],[visit_Date]],"mmmm")</f>
        <v>July</v>
      </c>
      <c r="L528" t="str">
        <f t="shared" si="17"/>
        <v>Monsoon</v>
      </c>
    </row>
    <row r="529" spans="1:12" x14ac:dyDescent="0.25">
      <c r="A529">
        <v>528</v>
      </c>
      <c r="B529">
        <v>1001</v>
      </c>
      <c r="C529">
        <v>936</v>
      </c>
      <c r="D529" s="1">
        <v>45857</v>
      </c>
      <c r="E529" t="s">
        <v>319</v>
      </c>
      <c r="F529" t="s">
        <v>320</v>
      </c>
      <c r="G529" t="str">
        <f>_xlfn.XLOOKUP(TRIM(E530),MedicineInfo!A:A,MedicineInfo!B:B,"Not Found")</f>
        <v>Amlodipine</v>
      </c>
      <c r="H529" s="1" cm="1">
        <f t="array" ref="H529">_xlfn.IFS(
OR(E529="Type 2 Diabetes",E529="Essential Hypertension",E529="Angina Pectoris",E529="Bronchial Asthma",E529="Cardiac Arrhythmia"), D529+30,
OR(E529="Gastritis",E529="Osteoarthritis",E529="Bronchitis",E529="Iron Deficiency Anemia"), D529+14,
OR(E529="Lumbar Strain",E529="Migraine Headache"), D529+7,
OR(E529="Viral Fever",E529="General Checkup","Routine Health Check"), "",
TRUE,""
)</f>
        <v>45887</v>
      </c>
      <c r="I529" s="1" t="str">
        <f t="shared" si="16"/>
        <v>Follow-up Scheduled</v>
      </c>
      <c r="J529" t="str">
        <f>TEXT(Table8[[#This Row],[visit_Date]],"DDDD")</f>
        <v>Saturday</v>
      </c>
      <c r="K529" t="str">
        <f>TEXT(Table8[[#This Row],[visit_Date]],"mmmm")</f>
        <v>July</v>
      </c>
      <c r="L529" t="str">
        <f t="shared" si="17"/>
        <v>Monsoon</v>
      </c>
    </row>
    <row r="530" spans="1:12" x14ac:dyDescent="0.25">
      <c r="A530">
        <v>529</v>
      </c>
      <c r="B530">
        <v>1001</v>
      </c>
      <c r="C530">
        <v>569</v>
      </c>
      <c r="D530" s="1">
        <v>45686</v>
      </c>
      <c r="E530" t="s">
        <v>319</v>
      </c>
      <c r="F530" t="s">
        <v>320</v>
      </c>
      <c r="G530" t="str">
        <f>_xlfn.XLOOKUP(TRIM(E531),MedicineInfo!A:A,MedicineInfo!B:B,"Not Found")</f>
        <v>Amlodipine</v>
      </c>
      <c r="H530" s="1" cm="1">
        <f t="array" ref="H530">_xlfn.IFS(
OR(E530="Type 2 Diabetes",E530="Essential Hypertension",E530="Angina Pectoris",E530="Bronchial Asthma",E530="Cardiac Arrhythmia"), D530+30,
OR(E530="Gastritis",E530="Osteoarthritis",E530="Bronchitis",E530="Iron Deficiency Anemia"), D530+14,
OR(E530="Lumbar Strain",E530="Migraine Headache"), D530+7,
OR(E530="Viral Fever",E530="General Checkup","Routine Health Check"), "",
TRUE,""
)</f>
        <v>45716</v>
      </c>
      <c r="I530" s="1" t="str">
        <f t="shared" si="16"/>
        <v>Follow-up Scheduled</v>
      </c>
      <c r="J530" t="str">
        <f>TEXT(Table8[[#This Row],[visit_Date]],"DDDD")</f>
        <v>Wednesday</v>
      </c>
      <c r="K530" t="str">
        <f>TEXT(Table8[[#This Row],[visit_Date]],"mmmm")</f>
        <v>January</v>
      </c>
      <c r="L530" t="str">
        <f t="shared" si="17"/>
        <v>Winter</v>
      </c>
    </row>
    <row r="531" spans="1:12" x14ac:dyDescent="0.25">
      <c r="A531">
        <v>530</v>
      </c>
      <c r="B531">
        <v>1004</v>
      </c>
      <c r="C531">
        <v>748</v>
      </c>
      <c r="D531" s="1">
        <v>45712</v>
      </c>
      <c r="E531" t="s">
        <v>319</v>
      </c>
      <c r="F531" t="s">
        <v>320</v>
      </c>
      <c r="G531" t="str">
        <f>_xlfn.XLOOKUP(TRIM(E532),MedicineInfo!A:A,MedicineInfo!B:B,"Not Found")</f>
        <v>Multivitamin</v>
      </c>
      <c r="H531" s="1" cm="1">
        <f t="array" ref="H531">_xlfn.IFS(
OR(E531="Type 2 Diabetes",E531="Essential Hypertension",E531="Angina Pectoris",E531="Bronchial Asthma",E531="Cardiac Arrhythmia"), D531+30,
OR(E531="Gastritis",E531="Osteoarthritis",E531="Bronchitis",E531="Iron Deficiency Anemia"), D531+14,
OR(E531="Lumbar Strain",E531="Migraine Headache"), D531+7,
OR(E531="Viral Fever",E531="General Checkup","Routine Health Check"), "",
TRUE,""
)</f>
        <v>45742</v>
      </c>
      <c r="I531" s="1" t="str">
        <f t="shared" si="16"/>
        <v>Follow-up Scheduled</v>
      </c>
      <c r="J531" t="str">
        <f>TEXT(Table8[[#This Row],[visit_Date]],"DDDD")</f>
        <v>Monday</v>
      </c>
      <c r="K531" t="str">
        <f>TEXT(Table8[[#This Row],[visit_Date]],"mmmm")</f>
        <v>February</v>
      </c>
      <c r="L531" t="str">
        <f t="shared" si="17"/>
        <v>Winter</v>
      </c>
    </row>
    <row r="532" spans="1:12" x14ac:dyDescent="0.25">
      <c r="A532">
        <v>531</v>
      </c>
      <c r="B532">
        <v>1027</v>
      </c>
      <c r="C532">
        <v>574</v>
      </c>
      <c r="D532" s="1">
        <v>45740</v>
      </c>
      <c r="E532" t="s">
        <v>24</v>
      </c>
      <c r="F532" t="s">
        <v>321</v>
      </c>
      <c r="G532" t="str">
        <f>_xlfn.XLOOKUP(TRIM(E533),MedicineInfo!A:A,MedicineInfo!B:B,"Not Found")</f>
        <v>Salbutamol Inhaler</v>
      </c>
      <c r="H532" s="1" t="str" cm="1">
        <f t="array" ref="H532">_xlfn.IFS(
OR(E532="Type 2 Diabetes",E532="Essential Hypertension",E532="Angina Pectoris",E532="Bronchial Asthma",E532="Cardiac Arrhythmia"), D532+30,
OR(E532="Gastritis",E532="Osteoarthritis",E532="Bronchitis",E532="Iron Deficiency Anemia"), D532+14,
OR(E532="Lumbar Strain",E532="Migraine Headache"), D532+7,
OR(E532="Viral Fever",E532="General Checkup","Routine Health Check"), "",
TRUE,""
)</f>
        <v/>
      </c>
      <c r="I532" s="1" t="str">
        <f t="shared" si="16"/>
        <v>No Follow-up Required</v>
      </c>
      <c r="J532" t="str">
        <f>TEXT(Table8[[#This Row],[visit_Date]],"DDDD")</f>
        <v>Monday</v>
      </c>
      <c r="K532" t="str">
        <f>TEXT(Table8[[#This Row],[visit_Date]],"mmmm")</f>
        <v>March</v>
      </c>
      <c r="L532" t="str">
        <f t="shared" si="17"/>
        <v>Summer</v>
      </c>
    </row>
    <row r="533" spans="1:12" x14ac:dyDescent="0.25">
      <c r="A533">
        <v>532</v>
      </c>
      <c r="B533">
        <v>1020</v>
      </c>
      <c r="C533">
        <v>349</v>
      </c>
      <c r="D533" s="1">
        <v>45774</v>
      </c>
      <c r="E533" t="s">
        <v>324</v>
      </c>
      <c r="F533" t="s">
        <v>325</v>
      </c>
      <c r="G533" t="str">
        <f>_xlfn.XLOOKUP(TRIM(E534),MedicineInfo!A:A,MedicineInfo!B:B,"Not Found")</f>
        <v>Paracetamol</v>
      </c>
      <c r="H533" s="1" cm="1">
        <f t="array" ref="H533">_xlfn.IFS(
OR(E533="Type 2 Diabetes",E533="Essential Hypertension",E533="Angina Pectoris",E533="Bronchial Asthma",E533="Cardiac Arrhythmia"), D533+30,
OR(E533="Gastritis",E533="Osteoarthritis",E533="Bronchitis",E533="Iron Deficiency Anemia"), D533+14,
OR(E533="Lumbar Strain",E533="Migraine Headache"), D533+7,
OR(E533="Viral Fever",E533="General Checkup","Routine Health Check"), "",
TRUE,""
)</f>
        <v>45804</v>
      </c>
      <c r="I533" s="1" t="str">
        <f t="shared" si="16"/>
        <v>Follow-up Scheduled</v>
      </c>
      <c r="J533" t="str">
        <f>TEXT(Table8[[#This Row],[visit_Date]],"DDDD")</f>
        <v>Sunday</v>
      </c>
      <c r="K533" t="str">
        <f>TEXT(Table8[[#This Row],[visit_Date]],"mmmm")</f>
        <v>April</v>
      </c>
      <c r="L533" t="str">
        <f t="shared" si="17"/>
        <v>Summer</v>
      </c>
    </row>
    <row r="534" spans="1:12" x14ac:dyDescent="0.25">
      <c r="A534">
        <v>533</v>
      </c>
      <c r="B534">
        <v>1027</v>
      </c>
      <c r="C534">
        <v>388</v>
      </c>
      <c r="D534" s="1">
        <v>45737</v>
      </c>
      <c r="E534" t="s">
        <v>326</v>
      </c>
      <c r="F534" t="s">
        <v>327</v>
      </c>
      <c r="G534" t="str">
        <f>_xlfn.XLOOKUP(TRIM(E535),MedicineInfo!A:A,MedicineInfo!B:B,"Not Found")</f>
        <v>Salbutamol Inhaler</v>
      </c>
      <c r="H534" s="1" t="str" cm="1">
        <f t="array" ref="H534">_xlfn.IFS(
OR(E534="Type 2 Diabetes",E534="Essential Hypertension",E534="Angina Pectoris",E534="Bronchial Asthma",E534="Cardiac Arrhythmia"), D534+30,
OR(E534="Gastritis",E534="Osteoarthritis",E534="Bronchitis",E534="Iron Deficiency Anemia"), D534+14,
OR(E534="Lumbar Strain",E534="Migraine Headache"), D534+7,
OR(E534="Viral Fever",E534="General Checkup","Routine Health Check"), "",
TRUE,""
)</f>
        <v/>
      </c>
      <c r="I534" s="1" t="str">
        <f t="shared" si="16"/>
        <v>No Follow-up Required</v>
      </c>
      <c r="J534" t="str">
        <f>TEXT(Table8[[#This Row],[visit_Date]],"DDDD")</f>
        <v>Friday</v>
      </c>
      <c r="K534" t="str">
        <f>TEXT(Table8[[#This Row],[visit_Date]],"mmmm")</f>
        <v>March</v>
      </c>
      <c r="L534" t="str">
        <f t="shared" si="17"/>
        <v>Summer</v>
      </c>
    </row>
    <row r="535" spans="1:12" x14ac:dyDescent="0.25">
      <c r="A535">
        <v>534</v>
      </c>
      <c r="B535">
        <v>1020</v>
      </c>
      <c r="C535">
        <v>490</v>
      </c>
      <c r="D535" s="1">
        <v>45792</v>
      </c>
      <c r="E535" t="s">
        <v>324</v>
      </c>
      <c r="F535" t="s">
        <v>325</v>
      </c>
      <c r="G535" t="str">
        <f>_xlfn.XLOOKUP(TRIM(E536),MedicineInfo!A:A,MedicineInfo!B:B,"Not Found")</f>
        <v>Paracetamol</v>
      </c>
      <c r="H535" s="1" cm="1">
        <f t="array" ref="H535">_xlfn.IFS(
OR(E535="Type 2 Diabetes",E535="Essential Hypertension",E535="Angina Pectoris",E535="Bronchial Asthma",E535="Cardiac Arrhythmia"), D535+30,
OR(E535="Gastritis",E535="Osteoarthritis",E535="Bronchitis",E535="Iron Deficiency Anemia"), D535+14,
OR(E535="Lumbar Strain",E535="Migraine Headache"), D535+7,
OR(E535="Viral Fever",E535="General Checkup","Routine Health Check"), "",
TRUE,""
)</f>
        <v>45822</v>
      </c>
      <c r="I535" s="1" t="str">
        <f t="shared" si="16"/>
        <v>Follow-up Scheduled</v>
      </c>
      <c r="J535" t="str">
        <f>TEXT(Table8[[#This Row],[visit_Date]],"DDDD")</f>
        <v>Thursday</v>
      </c>
      <c r="K535" t="str">
        <f>TEXT(Table8[[#This Row],[visit_Date]],"mmmm")</f>
        <v>May</v>
      </c>
      <c r="L535" t="str">
        <f t="shared" si="17"/>
        <v>Summer</v>
      </c>
    </row>
    <row r="536" spans="1:12" x14ac:dyDescent="0.25">
      <c r="A536">
        <v>535</v>
      </c>
      <c r="B536">
        <v>1027</v>
      </c>
      <c r="C536">
        <v>1098</v>
      </c>
      <c r="D536" s="1">
        <v>45853</v>
      </c>
      <c r="E536" t="s">
        <v>326</v>
      </c>
      <c r="F536" t="s">
        <v>327</v>
      </c>
      <c r="G536" t="str">
        <f>_xlfn.XLOOKUP(TRIM(E537),MedicineInfo!A:A,MedicineInfo!B:B,"Not Found")</f>
        <v>Amlodipine</v>
      </c>
      <c r="H536" s="1" t="str" cm="1">
        <f t="array" ref="H536">_xlfn.IFS(
OR(E536="Type 2 Diabetes",E536="Essential Hypertension",E536="Angina Pectoris",E536="Bronchial Asthma",E536="Cardiac Arrhythmia"), D536+30,
OR(E536="Gastritis",E536="Osteoarthritis",E536="Bronchitis",E536="Iron Deficiency Anemia"), D536+14,
OR(E536="Lumbar Strain",E536="Migraine Headache"), D536+7,
OR(E536="Viral Fever",E536="General Checkup","Routine Health Check"), "",
TRUE,""
)</f>
        <v/>
      </c>
      <c r="I536" s="1" t="str">
        <f t="shared" si="16"/>
        <v>No Follow-up Required</v>
      </c>
      <c r="J536" t="str">
        <f>TEXT(Table8[[#This Row],[visit_Date]],"DDDD")</f>
        <v>Tuesday</v>
      </c>
      <c r="K536" t="str">
        <f>TEXT(Table8[[#This Row],[visit_Date]],"mmmm")</f>
        <v>July</v>
      </c>
      <c r="L536" t="str">
        <f t="shared" si="17"/>
        <v>Monsoon</v>
      </c>
    </row>
    <row r="537" spans="1:12" x14ac:dyDescent="0.25">
      <c r="A537">
        <v>536</v>
      </c>
      <c r="B537">
        <v>1004</v>
      </c>
      <c r="C537">
        <v>1316</v>
      </c>
      <c r="D537" s="1">
        <v>45747</v>
      </c>
      <c r="E537" t="s">
        <v>319</v>
      </c>
      <c r="F537" t="s">
        <v>320</v>
      </c>
      <c r="G537" t="str">
        <f>_xlfn.XLOOKUP(TRIM(E538),MedicineInfo!A:A,MedicineInfo!B:B,"Not Found")</f>
        <v>Amlodipine</v>
      </c>
      <c r="H537" s="1" cm="1">
        <f t="array" ref="H537">_xlfn.IFS(
OR(E537="Type 2 Diabetes",E537="Essential Hypertension",E537="Angina Pectoris",E537="Bronchial Asthma",E537="Cardiac Arrhythmia"), D537+30,
OR(E537="Gastritis",E537="Osteoarthritis",E537="Bronchitis",E537="Iron Deficiency Anemia"), D537+14,
OR(E537="Lumbar Strain",E537="Migraine Headache"), D537+7,
OR(E537="Viral Fever",E537="General Checkup","Routine Health Check"), "",
TRUE,""
)</f>
        <v>45777</v>
      </c>
      <c r="I537" s="1" t="str">
        <f t="shared" si="16"/>
        <v>Follow-up Scheduled</v>
      </c>
      <c r="J537" t="str">
        <f>TEXT(Table8[[#This Row],[visit_Date]],"DDDD")</f>
        <v>Monday</v>
      </c>
      <c r="K537" t="str">
        <f>TEXT(Table8[[#This Row],[visit_Date]],"mmmm")</f>
        <v>March</v>
      </c>
      <c r="L537" t="str">
        <f t="shared" si="17"/>
        <v>Summer</v>
      </c>
    </row>
    <row r="538" spans="1:12" x14ac:dyDescent="0.25">
      <c r="A538">
        <v>537</v>
      </c>
      <c r="B538">
        <v>1001</v>
      </c>
      <c r="C538">
        <v>1008</v>
      </c>
      <c r="D538" s="1">
        <v>45773</v>
      </c>
      <c r="E538" t="s">
        <v>319</v>
      </c>
      <c r="F538" t="s">
        <v>320</v>
      </c>
      <c r="G538" t="str">
        <f>_xlfn.XLOOKUP(TRIM(E539),MedicineInfo!A:A,MedicineInfo!B:B,"Not Found")</f>
        <v>Paracetamol</v>
      </c>
      <c r="H538" s="1" cm="1">
        <f t="array" ref="H538">_xlfn.IFS(
OR(E538="Type 2 Diabetes",E538="Essential Hypertension",E538="Angina Pectoris",E538="Bronchial Asthma",E538="Cardiac Arrhythmia"), D538+30,
OR(E538="Gastritis",E538="Osteoarthritis",E538="Bronchitis",E538="Iron Deficiency Anemia"), D538+14,
OR(E538="Lumbar Strain",E538="Migraine Headache"), D538+7,
OR(E538="Viral Fever",E538="General Checkup","Routine Health Check"), "",
TRUE,""
)</f>
        <v>45803</v>
      </c>
      <c r="I538" s="1" t="str">
        <f t="shared" si="16"/>
        <v>Follow-up Scheduled</v>
      </c>
      <c r="J538" t="str">
        <f>TEXT(Table8[[#This Row],[visit_Date]],"DDDD")</f>
        <v>Saturday</v>
      </c>
      <c r="K538" t="str">
        <f>TEXT(Table8[[#This Row],[visit_Date]],"mmmm")</f>
        <v>April</v>
      </c>
      <c r="L538" t="str">
        <f t="shared" si="17"/>
        <v>Summer</v>
      </c>
    </row>
    <row r="539" spans="1:12" x14ac:dyDescent="0.25">
      <c r="A539">
        <v>538</v>
      </c>
      <c r="B539">
        <v>1027</v>
      </c>
      <c r="C539">
        <v>499</v>
      </c>
      <c r="D539" s="1">
        <v>45814</v>
      </c>
      <c r="E539" t="s">
        <v>326</v>
      </c>
      <c r="F539" t="s">
        <v>327</v>
      </c>
      <c r="G539" t="str">
        <f>_xlfn.XLOOKUP(TRIM(E540),MedicineInfo!A:A,MedicineInfo!B:B,"Not Found")</f>
        <v>Sumatriptan</v>
      </c>
      <c r="H539" s="1" t="str" cm="1">
        <f t="array" ref="H539">_xlfn.IFS(
OR(E539="Type 2 Diabetes",E539="Essential Hypertension",E539="Angina Pectoris",E539="Bronchial Asthma",E539="Cardiac Arrhythmia"), D539+30,
OR(E539="Gastritis",E539="Osteoarthritis",E539="Bronchitis",E539="Iron Deficiency Anemia"), D539+14,
OR(E539="Lumbar Strain",E539="Migraine Headache"), D539+7,
OR(E539="Viral Fever",E539="General Checkup","Routine Health Check"), "",
TRUE,""
)</f>
        <v/>
      </c>
      <c r="I539" s="1" t="str">
        <f t="shared" si="16"/>
        <v>No Follow-up Required</v>
      </c>
      <c r="J539" t="str">
        <f>TEXT(Table8[[#This Row],[visit_Date]],"DDDD")</f>
        <v>Friday</v>
      </c>
      <c r="K539" t="str">
        <f>TEXT(Table8[[#This Row],[visit_Date]],"mmmm")</f>
        <v>June</v>
      </c>
      <c r="L539" t="str">
        <f t="shared" si="17"/>
        <v>Monsoon</v>
      </c>
    </row>
    <row r="540" spans="1:12" x14ac:dyDescent="0.25">
      <c r="A540">
        <v>539</v>
      </c>
      <c r="B540">
        <v>1009</v>
      </c>
      <c r="C540">
        <v>483</v>
      </c>
      <c r="D540" s="1">
        <v>45790</v>
      </c>
      <c r="E540" t="s">
        <v>315</v>
      </c>
      <c r="F540" t="s">
        <v>316</v>
      </c>
      <c r="G540" t="str">
        <f>_xlfn.XLOOKUP(TRIM(E541),MedicineInfo!A:A,MedicineInfo!B:B,"Not Found")</f>
        <v>Nitroglycerin</v>
      </c>
      <c r="H540" s="1" cm="1">
        <f t="array" ref="H540">_xlfn.IFS(
OR(E540="Type 2 Diabetes",E540="Essential Hypertension",E540="Angina Pectoris",E540="Bronchial Asthma",E540="Cardiac Arrhythmia"), D540+30,
OR(E540="Gastritis",E540="Osteoarthritis",E540="Bronchitis",E540="Iron Deficiency Anemia"), D540+14,
OR(E540="Lumbar Strain",E540="Migraine Headache"), D540+7,
OR(E540="Viral Fever",E540="General Checkup","Routine Health Check"), "",
TRUE,""
)</f>
        <v>45797</v>
      </c>
      <c r="I540" s="1" t="str">
        <f t="shared" si="16"/>
        <v>Follow-up Scheduled</v>
      </c>
      <c r="J540" t="str">
        <f>TEXT(Table8[[#This Row],[visit_Date]],"DDDD")</f>
        <v>Tuesday</v>
      </c>
      <c r="K540" t="str">
        <f>TEXT(Table8[[#This Row],[visit_Date]],"mmmm")</f>
        <v>May</v>
      </c>
      <c r="L540" t="str">
        <f t="shared" si="17"/>
        <v>Summer</v>
      </c>
    </row>
    <row r="541" spans="1:12" x14ac:dyDescent="0.25">
      <c r="A541">
        <v>540</v>
      </c>
      <c r="B541">
        <v>1001</v>
      </c>
      <c r="C541">
        <v>955</v>
      </c>
      <c r="D541" s="1">
        <v>45814</v>
      </c>
      <c r="E541" t="s">
        <v>322</v>
      </c>
      <c r="F541" t="s">
        <v>323</v>
      </c>
      <c r="G541" t="str">
        <f>_xlfn.XLOOKUP(TRIM(E542),MedicineInfo!A:A,MedicineInfo!B:B,"Not Found")</f>
        <v>Diclofenac</v>
      </c>
      <c r="H541" s="1" cm="1">
        <f t="array" ref="H541">_xlfn.IFS(
OR(E541="Type 2 Diabetes",E541="Essential Hypertension",E541="Angina Pectoris",E541="Bronchial Asthma",E541="Cardiac Arrhythmia"), D541+30,
OR(E541="Gastritis",E541="Osteoarthritis",E541="Bronchitis",E541="Iron Deficiency Anemia"), D541+14,
OR(E541="Lumbar Strain",E541="Migraine Headache"), D541+7,
OR(E541="Viral Fever",E541="General Checkup","Routine Health Check"), "",
TRUE,""
)</f>
        <v>45844</v>
      </c>
      <c r="I541" s="1" t="str">
        <f t="shared" si="16"/>
        <v>Follow-up Scheduled</v>
      </c>
      <c r="J541" t="str">
        <f>TEXT(Table8[[#This Row],[visit_Date]],"DDDD")</f>
        <v>Friday</v>
      </c>
      <c r="K541" t="str">
        <f>TEXT(Table8[[#This Row],[visit_Date]],"mmmm")</f>
        <v>June</v>
      </c>
      <c r="L541" t="str">
        <f t="shared" si="17"/>
        <v>Monsoon</v>
      </c>
    </row>
    <row r="542" spans="1:12" x14ac:dyDescent="0.25">
      <c r="A542">
        <v>541</v>
      </c>
      <c r="B542">
        <v>1027</v>
      </c>
      <c r="C542">
        <v>1014</v>
      </c>
      <c r="D542" s="1">
        <v>45747</v>
      </c>
      <c r="E542" t="s">
        <v>313</v>
      </c>
      <c r="F542" t="s">
        <v>314</v>
      </c>
      <c r="G542" t="str">
        <f>_xlfn.XLOOKUP(TRIM(E543),MedicineInfo!A:A,MedicineInfo!B:B,"Not Found")</f>
        <v>Multivitamin</v>
      </c>
      <c r="H542" s="1" cm="1">
        <f t="array" ref="H542">_xlfn.IFS(
OR(E542="Type 2 Diabetes",E542="Essential Hypertension",E542="Angina Pectoris",E542="Bronchial Asthma",E542="Cardiac Arrhythmia"), D542+30,
OR(E542="Gastritis",E542="Osteoarthritis",E542="Bronchitis",E542="Iron Deficiency Anemia"), D542+14,
OR(E542="Lumbar Strain",E542="Migraine Headache"), D542+7,
OR(E542="Viral Fever",E542="General Checkup","Routine Health Check"), "",
TRUE,""
)</f>
        <v>45754</v>
      </c>
      <c r="I542" s="1" t="str">
        <f t="shared" si="16"/>
        <v>Follow-up Scheduled</v>
      </c>
      <c r="J542" t="str">
        <f>TEXT(Table8[[#This Row],[visit_Date]],"DDDD")</f>
        <v>Monday</v>
      </c>
      <c r="K542" t="str">
        <f>TEXT(Table8[[#This Row],[visit_Date]],"mmmm")</f>
        <v>March</v>
      </c>
      <c r="L542" t="str">
        <f t="shared" si="17"/>
        <v>Summer</v>
      </c>
    </row>
    <row r="543" spans="1:12" x14ac:dyDescent="0.25">
      <c r="A543">
        <v>542</v>
      </c>
      <c r="B543">
        <v>1027</v>
      </c>
      <c r="C543">
        <v>1541</v>
      </c>
      <c r="D543" s="1">
        <v>45767</v>
      </c>
      <c r="E543" t="s">
        <v>24</v>
      </c>
      <c r="F543" t="s">
        <v>321</v>
      </c>
      <c r="G543" t="str">
        <f>_xlfn.XLOOKUP(TRIM(E544),MedicineInfo!A:A,MedicineInfo!B:B,"Not Found")</f>
        <v>Multivitamin</v>
      </c>
      <c r="H543" s="1" t="str" cm="1">
        <f t="array" ref="H543">_xlfn.IFS(
OR(E543="Type 2 Diabetes",E543="Essential Hypertension",E543="Angina Pectoris",E543="Bronchial Asthma",E543="Cardiac Arrhythmia"), D543+30,
OR(E543="Gastritis",E543="Osteoarthritis",E543="Bronchitis",E543="Iron Deficiency Anemia"), D543+14,
OR(E543="Lumbar Strain",E543="Migraine Headache"), D543+7,
OR(E543="Viral Fever",E543="General Checkup","Routine Health Check"), "",
TRUE,""
)</f>
        <v/>
      </c>
      <c r="I543" s="1" t="str">
        <f t="shared" si="16"/>
        <v>No Follow-up Required</v>
      </c>
      <c r="J543" t="str">
        <f>TEXT(Table8[[#This Row],[visit_Date]],"DDDD")</f>
        <v>Sunday</v>
      </c>
      <c r="K543" t="str">
        <f>TEXT(Table8[[#This Row],[visit_Date]],"mmmm")</f>
        <v>April</v>
      </c>
      <c r="L543" t="str">
        <f t="shared" si="17"/>
        <v>Summer</v>
      </c>
    </row>
    <row r="544" spans="1:12" x14ac:dyDescent="0.25">
      <c r="A544">
        <v>543</v>
      </c>
      <c r="B544">
        <v>1027</v>
      </c>
      <c r="C544">
        <v>1406</v>
      </c>
      <c r="D544" s="1">
        <v>45810</v>
      </c>
      <c r="E544" t="s">
        <v>24</v>
      </c>
      <c r="F544" t="s">
        <v>321</v>
      </c>
      <c r="G544" t="str">
        <f>_xlfn.XLOOKUP(TRIM(E545),MedicineInfo!A:A,MedicineInfo!B:B,"Not Found")</f>
        <v>Metformin</v>
      </c>
      <c r="H544" s="1" t="str" cm="1">
        <f t="array" ref="H544">_xlfn.IFS(
OR(E544="Type 2 Diabetes",E544="Essential Hypertension",E544="Angina Pectoris",E544="Bronchial Asthma",E544="Cardiac Arrhythmia"), D544+30,
OR(E544="Gastritis",E544="Osteoarthritis",E544="Bronchitis",E544="Iron Deficiency Anemia"), D544+14,
OR(E544="Lumbar Strain",E544="Migraine Headache"), D544+7,
OR(E544="Viral Fever",E544="General Checkup","Routine Health Check"), "",
TRUE,""
)</f>
        <v/>
      </c>
      <c r="I544" s="1" t="str">
        <f t="shared" si="16"/>
        <v>No Follow-up Required</v>
      </c>
      <c r="J544" t="str">
        <f>TEXT(Table8[[#This Row],[visit_Date]],"DDDD")</f>
        <v>Monday</v>
      </c>
      <c r="K544" t="str">
        <f>TEXT(Table8[[#This Row],[visit_Date]],"mmmm")</f>
        <v>June</v>
      </c>
      <c r="L544" t="str">
        <f t="shared" si="17"/>
        <v>Monsoon</v>
      </c>
    </row>
    <row r="545" spans="1:12" x14ac:dyDescent="0.25">
      <c r="A545">
        <v>544</v>
      </c>
      <c r="B545">
        <v>1024</v>
      </c>
      <c r="C545">
        <v>1110</v>
      </c>
      <c r="D545" s="1">
        <v>45778</v>
      </c>
      <c r="E545" t="s">
        <v>317</v>
      </c>
      <c r="F545" t="s">
        <v>318</v>
      </c>
      <c r="G545" t="str">
        <f>_xlfn.XLOOKUP(TRIM(E546),MedicineInfo!A:A,MedicineInfo!B:B,"Not Found")</f>
        <v>Paracetamol</v>
      </c>
      <c r="H545" s="1" cm="1">
        <f t="array" ref="H545">_xlfn.IFS(
OR(E545="Type 2 Diabetes",E545="Essential Hypertension",E545="Angina Pectoris",E545="Bronchial Asthma",E545="Cardiac Arrhythmia"), D545+30,
OR(E545="Gastritis",E545="Osteoarthritis",E545="Bronchitis",E545="Iron Deficiency Anemia"), D545+14,
OR(E545="Lumbar Strain",E545="Migraine Headache"), D545+7,
OR(E545="Viral Fever",E545="General Checkup","Routine Health Check"), "",
TRUE,""
)</f>
        <v>45808</v>
      </c>
      <c r="I545" s="1" t="str">
        <f t="shared" si="16"/>
        <v>Follow-up Scheduled</v>
      </c>
      <c r="J545" t="str">
        <f>TEXT(Table8[[#This Row],[visit_Date]],"DDDD")</f>
        <v>Thursday</v>
      </c>
      <c r="K545" t="str">
        <f>TEXT(Table8[[#This Row],[visit_Date]],"mmmm")</f>
        <v>May</v>
      </c>
      <c r="L545" t="str">
        <f t="shared" si="17"/>
        <v>Summer</v>
      </c>
    </row>
    <row r="546" spans="1:12" x14ac:dyDescent="0.25">
      <c r="A546">
        <v>545</v>
      </c>
      <c r="B546">
        <v>1027</v>
      </c>
      <c r="C546">
        <v>1191</v>
      </c>
      <c r="D546" s="1">
        <v>45687</v>
      </c>
      <c r="E546" t="s">
        <v>326</v>
      </c>
      <c r="F546" t="s">
        <v>327</v>
      </c>
      <c r="G546" t="str">
        <f>_xlfn.XLOOKUP(TRIM(E547),MedicineInfo!A:A,MedicineInfo!B:B,"Not Found")</f>
        <v>Multivitamin</v>
      </c>
      <c r="H546" s="1" t="str" cm="1">
        <f t="array" ref="H546">_xlfn.IFS(
OR(E546="Type 2 Diabetes",E546="Essential Hypertension",E546="Angina Pectoris",E546="Bronchial Asthma",E546="Cardiac Arrhythmia"), D546+30,
OR(E546="Gastritis",E546="Osteoarthritis",E546="Bronchitis",E546="Iron Deficiency Anemia"), D546+14,
OR(E546="Lumbar Strain",E546="Migraine Headache"), D546+7,
OR(E546="Viral Fever",E546="General Checkup","Routine Health Check"), "",
TRUE,""
)</f>
        <v/>
      </c>
      <c r="I546" s="1" t="str">
        <f t="shared" si="16"/>
        <v>No Follow-up Required</v>
      </c>
      <c r="J546" t="str">
        <f>TEXT(Table8[[#This Row],[visit_Date]],"DDDD")</f>
        <v>Thursday</v>
      </c>
      <c r="K546" t="str">
        <f>TEXT(Table8[[#This Row],[visit_Date]],"mmmm")</f>
        <v>January</v>
      </c>
      <c r="L546" t="str">
        <f t="shared" si="17"/>
        <v>Winter</v>
      </c>
    </row>
    <row r="547" spans="1:12" x14ac:dyDescent="0.25">
      <c r="A547">
        <v>546</v>
      </c>
      <c r="B547">
        <v>1027</v>
      </c>
      <c r="C547">
        <v>614</v>
      </c>
      <c r="D547" s="1">
        <v>45799</v>
      </c>
      <c r="E547" t="s">
        <v>24</v>
      </c>
      <c r="F547" t="s">
        <v>321</v>
      </c>
      <c r="G547" t="str">
        <f>_xlfn.XLOOKUP(TRIM(E548),MedicineInfo!A:A,MedicineInfo!B:B,"Not Found")</f>
        <v>Salbutamol Inhaler</v>
      </c>
      <c r="H547" s="1" t="str" cm="1">
        <f t="array" ref="H547">_xlfn.IFS(
OR(E547="Type 2 Diabetes",E547="Essential Hypertension",E547="Angina Pectoris",E547="Bronchial Asthma",E547="Cardiac Arrhythmia"), D547+30,
OR(E547="Gastritis",E547="Osteoarthritis",E547="Bronchitis",E547="Iron Deficiency Anemia"), D547+14,
OR(E547="Lumbar Strain",E547="Migraine Headache"), D547+7,
OR(E547="Viral Fever",E547="General Checkup","Routine Health Check"), "",
TRUE,""
)</f>
        <v/>
      </c>
      <c r="I547" s="1" t="str">
        <f t="shared" si="16"/>
        <v>No Follow-up Required</v>
      </c>
      <c r="J547" t="str">
        <f>TEXT(Table8[[#This Row],[visit_Date]],"DDDD")</f>
        <v>Thursday</v>
      </c>
      <c r="K547" t="str">
        <f>TEXT(Table8[[#This Row],[visit_Date]],"mmmm")</f>
        <v>May</v>
      </c>
      <c r="L547" t="str">
        <f t="shared" si="17"/>
        <v>Summer</v>
      </c>
    </row>
    <row r="548" spans="1:12" x14ac:dyDescent="0.25">
      <c r="A548">
        <v>547</v>
      </c>
      <c r="B548">
        <v>1020</v>
      </c>
      <c r="C548">
        <v>1115</v>
      </c>
      <c r="D548" s="1">
        <v>45747</v>
      </c>
      <c r="E548" t="s">
        <v>324</v>
      </c>
      <c r="F548" t="s">
        <v>325</v>
      </c>
      <c r="G548" t="str">
        <f>_xlfn.XLOOKUP(TRIM(E549),MedicineInfo!A:A,MedicineInfo!B:B,"Not Found")</f>
        <v>Multivitamin</v>
      </c>
      <c r="H548" s="1" cm="1">
        <f t="array" ref="H548">_xlfn.IFS(
OR(E548="Type 2 Diabetes",E548="Essential Hypertension",E548="Angina Pectoris",E548="Bronchial Asthma",E548="Cardiac Arrhythmia"), D548+30,
OR(E548="Gastritis",E548="Osteoarthritis",E548="Bronchitis",E548="Iron Deficiency Anemia"), D548+14,
OR(E548="Lumbar Strain",E548="Migraine Headache"), D548+7,
OR(E548="Viral Fever",E548="General Checkup","Routine Health Check"), "",
TRUE,""
)</f>
        <v>45777</v>
      </c>
      <c r="I548" s="1" t="str">
        <f t="shared" si="16"/>
        <v>Follow-up Scheduled</v>
      </c>
      <c r="J548" t="str">
        <f>TEXT(Table8[[#This Row],[visit_Date]],"DDDD")</f>
        <v>Monday</v>
      </c>
      <c r="K548" t="str">
        <f>TEXT(Table8[[#This Row],[visit_Date]],"mmmm")</f>
        <v>March</v>
      </c>
      <c r="L548" t="str">
        <f t="shared" si="17"/>
        <v>Summer</v>
      </c>
    </row>
    <row r="549" spans="1:12" x14ac:dyDescent="0.25">
      <c r="A549">
        <v>548</v>
      </c>
      <c r="B549">
        <v>1027</v>
      </c>
      <c r="C549">
        <v>814</v>
      </c>
      <c r="D549" s="1">
        <v>45799</v>
      </c>
      <c r="E549" t="s">
        <v>24</v>
      </c>
      <c r="F549" t="s">
        <v>321</v>
      </c>
      <c r="G549" t="str">
        <f>_xlfn.XLOOKUP(TRIM(E550),MedicineInfo!A:A,MedicineInfo!B:B,"Not Found")</f>
        <v>Multivitamin</v>
      </c>
      <c r="H549" s="1" t="str" cm="1">
        <f t="array" ref="H549">_xlfn.IFS(
OR(E549="Type 2 Diabetes",E549="Essential Hypertension",E549="Angina Pectoris",E549="Bronchial Asthma",E549="Cardiac Arrhythmia"), D549+30,
OR(E549="Gastritis",E549="Osteoarthritis",E549="Bronchitis",E549="Iron Deficiency Anemia"), D549+14,
OR(E549="Lumbar Strain",E549="Migraine Headache"), D549+7,
OR(E549="Viral Fever",E549="General Checkup","Routine Health Check"), "",
TRUE,""
)</f>
        <v/>
      </c>
      <c r="I549" s="1" t="str">
        <f t="shared" si="16"/>
        <v>No Follow-up Required</v>
      </c>
      <c r="J549" t="str">
        <f>TEXT(Table8[[#This Row],[visit_Date]],"DDDD")</f>
        <v>Thursday</v>
      </c>
      <c r="K549" t="str">
        <f>TEXT(Table8[[#This Row],[visit_Date]],"mmmm")</f>
        <v>May</v>
      </c>
      <c r="L549" t="str">
        <f t="shared" si="17"/>
        <v>Summer</v>
      </c>
    </row>
    <row r="550" spans="1:12" x14ac:dyDescent="0.25">
      <c r="A550">
        <v>549</v>
      </c>
      <c r="B550">
        <v>1027</v>
      </c>
      <c r="C550">
        <v>277</v>
      </c>
      <c r="D550" s="1">
        <v>45747</v>
      </c>
      <c r="E550" t="s">
        <v>24</v>
      </c>
      <c r="F550" t="s">
        <v>321</v>
      </c>
      <c r="G550" t="str">
        <f>_xlfn.XLOOKUP(TRIM(E551),MedicineInfo!A:A,MedicineInfo!B:B,"Not Found")</f>
        <v>Multivitamin</v>
      </c>
      <c r="H550" s="1" t="str" cm="1">
        <f t="array" ref="H550">_xlfn.IFS(
OR(E550="Type 2 Diabetes",E550="Essential Hypertension",E550="Angina Pectoris",E550="Bronchial Asthma",E550="Cardiac Arrhythmia"), D550+30,
OR(E550="Gastritis",E550="Osteoarthritis",E550="Bronchitis",E550="Iron Deficiency Anemia"), D550+14,
OR(E550="Lumbar Strain",E550="Migraine Headache"), D550+7,
OR(E550="Viral Fever",E550="General Checkup","Routine Health Check"), "",
TRUE,""
)</f>
        <v/>
      </c>
      <c r="I550" s="1" t="str">
        <f t="shared" si="16"/>
        <v>No Follow-up Required</v>
      </c>
      <c r="J550" t="str">
        <f>TEXT(Table8[[#This Row],[visit_Date]],"DDDD")</f>
        <v>Monday</v>
      </c>
      <c r="K550" t="str">
        <f>TEXT(Table8[[#This Row],[visit_Date]],"mmmm")</f>
        <v>March</v>
      </c>
      <c r="L550" t="str">
        <f t="shared" si="17"/>
        <v>Summer</v>
      </c>
    </row>
    <row r="551" spans="1:12" x14ac:dyDescent="0.25">
      <c r="A551">
        <v>550</v>
      </c>
      <c r="B551">
        <v>1027</v>
      </c>
      <c r="C551">
        <v>1209</v>
      </c>
      <c r="D551" s="1">
        <v>45841</v>
      </c>
      <c r="E551" t="s">
        <v>24</v>
      </c>
      <c r="F551" t="s">
        <v>321</v>
      </c>
      <c r="G551" t="str">
        <f>_xlfn.XLOOKUP(TRIM(E552),MedicineInfo!A:A,MedicineInfo!B:B,"Not Found")</f>
        <v>Salbutamol Inhaler</v>
      </c>
      <c r="H551" s="1" t="str" cm="1">
        <f t="array" ref="H551">_xlfn.IFS(
OR(E551="Type 2 Diabetes",E551="Essential Hypertension",E551="Angina Pectoris",E551="Bronchial Asthma",E551="Cardiac Arrhythmia"), D551+30,
OR(E551="Gastritis",E551="Osteoarthritis",E551="Bronchitis",E551="Iron Deficiency Anemia"), D551+14,
OR(E551="Lumbar Strain",E551="Migraine Headache"), D551+7,
OR(E551="Viral Fever",E551="General Checkup","Routine Health Check"), "",
TRUE,""
)</f>
        <v/>
      </c>
      <c r="I551" s="1" t="str">
        <f t="shared" si="16"/>
        <v>No Follow-up Required</v>
      </c>
      <c r="J551" t="str">
        <f>TEXT(Table8[[#This Row],[visit_Date]],"DDDD")</f>
        <v>Thursday</v>
      </c>
      <c r="K551" t="str">
        <f>TEXT(Table8[[#This Row],[visit_Date]],"mmmm")</f>
        <v>July</v>
      </c>
      <c r="L551" t="str">
        <f t="shared" si="17"/>
        <v>Monsoon</v>
      </c>
    </row>
    <row r="552" spans="1:12" x14ac:dyDescent="0.25">
      <c r="A552">
        <v>551</v>
      </c>
      <c r="B552">
        <v>1020</v>
      </c>
      <c r="C552">
        <v>305</v>
      </c>
      <c r="D552" s="1">
        <v>45694</v>
      </c>
      <c r="E552" t="s">
        <v>324</v>
      </c>
      <c r="F552" t="s">
        <v>325</v>
      </c>
      <c r="G552" t="str">
        <f>_xlfn.XLOOKUP(TRIM(E553),MedicineInfo!A:A,MedicineInfo!B:B,"Not Found")</f>
        <v>Metformin</v>
      </c>
      <c r="H552" s="1" cm="1">
        <f t="array" ref="H552">_xlfn.IFS(
OR(E552="Type 2 Diabetes",E552="Essential Hypertension",E552="Angina Pectoris",E552="Bronchial Asthma",E552="Cardiac Arrhythmia"), D552+30,
OR(E552="Gastritis",E552="Osteoarthritis",E552="Bronchitis",E552="Iron Deficiency Anemia"), D552+14,
OR(E552="Lumbar Strain",E552="Migraine Headache"), D552+7,
OR(E552="Viral Fever",E552="General Checkup","Routine Health Check"), "",
TRUE,""
)</f>
        <v>45724</v>
      </c>
      <c r="I552" s="1" t="str">
        <f t="shared" si="16"/>
        <v>Follow-up Scheduled</v>
      </c>
      <c r="J552" t="str">
        <f>TEXT(Table8[[#This Row],[visit_Date]],"DDDD")</f>
        <v>Thursday</v>
      </c>
      <c r="K552" t="str">
        <f>TEXT(Table8[[#This Row],[visit_Date]],"mmmm")</f>
        <v>February</v>
      </c>
      <c r="L552" t="str">
        <f t="shared" si="17"/>
        <v>Winter</v>
      </c>
    </row>
    <row r="553" spans="1:12" x14ac:dyDescent="0.25">
      <c r="A553">
        <v>552</v>
      </c>
      <c r="B553">
        <v>1024</v>
      </c>
      <c r="C553">
        <v>929</v>
      </c>
      <c r="D553" s="1">
        <v>45814</v>
      </c>
      <c r="E553" t="s">
        <v>317</v>
      </c>
      <c r="F553" t="s">
        <v>318</v>
      </c>
      <c r="G553" t="str">
        <f>_xlfn.XLOOKUP(TRIM(E554),MedicineInfo!A:A,MedicineInfo!B:B,"Not Found")</f>
        <v>Multivitamin</v>
      </c>
      <c r="H553" s="1" cm="1">
        <f t="array" ref="H553">_xlfn.IFS(
OR(E553="Type 2 Diabetes",E553="Essential Hypertension",E553="Angina Pectoris",E553="Bronchial Asthma",E553="Cardiac Arrhythmia"), D553+30,
OR(E553="Gastritis",E553="Osteoarthritis",E553="Bronchitis",E553="Iron Deficiency Anemia"), D553+14,
OR(E553="Lumbar Strain",E553="Migraine Headache"), D553+7,
OR(E553="Viral Fever",E553="General Checkup","Routine Health Check"), "",
TRUE,""
)</f>
        <v>45844</v>
      </c>
      <c r="I553" s="1" t="str">
        <f t="shared" si="16"/>
        <v>Follow-up Scheduled</v>
      </c>
      <c r="J553" t="str">
        <f>TEXT(Table8[[#This Row],[visit_Date]],"DDDD")</f>
        <v>Friday</v>
      </c>
      <c r="K553" t="str">
        <f>TEXT(Table8[[#This Row],[visit_Date]],"mmmm")</f>
        <v>June</v>
      </c>
      <c r="L553" t="str">
        <f t="shared" si="17"/>
        <v>Monsoon</v>
      </c>
    </row>
    <row r="554" spans="1:12" x14ac:dyDescent="0.25">
      <c r="A554">
        <v>553</v>
      </c>
      <c r="B554">
        <v>1027</v>
      </c>
      <c r="C554">
        <v>1358</v>
      </c>
      <c r="D554" s="1">
        <v>45672</v>
      </c>
      <c r="E554" t="s">
        <v>24</v>
      </c>
      <c r="F554" t="s">
        <v>321</v>
      </c>
      <c r="G554" t="str">
        <f>_xlfn.XLOOKUP(TRIM(E555),MedicineInfo!A:A,MedicineInfo!B:B,"Not Found")</f>
        <v>Metformin</v>
      </c>
      <c r="H554" s="1" t="str" cm="1">
        <f t="array" ref="H554">_xlfn.IFS(
OR(E554="Type 2 Diabetes",E554="Essential Hypertension",E554="Angina Pectoris",E554="Bronchial Asthma",E554="Cardiac Arrhythmia"), D554+30,
OR(E554="Gastritis",E554="Osteoarthritis",E554="Bronchitis",E554="Iron Deficiency Anemia"), D554+14,
OR(E554="Lumbar Strain",E554="Migraine Headache"), D554+7,
OR(E554="Viral Fever",E554="General Checkup","Routine Health Check"), "",
TRUE,""
)</f>
        <v/>
      </c>
      <c r="I554" s="1" t="str">
        <f t="shared" si="16"/>
        <v>No Follow-up Required</v>
      </c>
      <c r="J554" t="str">
        <f>TEXT(Table8[[#This Row],[visit_Date]],"DDDD")</f>
        <v>Wednesday</v>
      </c>
      <c r="K554" t="str">
        <f>TEXT(Table8[[#This Row],[visit_Date]],"mmmm")</f>
        <v>January</v>
      </c>
      <c r="L554" t="str">
        <f t="shared" si="17"/>
        <v>Winter</v>
      </c>
    </row>
    <row r="555" spans="1:12" x14ac:dyDescent="0.25">
      <c r="A555">
        <v>554</v>
      </c>
      <c r="B555">
        <v>1024</v>
      </c>
      <c r="C555">
        <v>737</v>
      </c>
      <c r="D555" s="1">
        <v>45691</v>
      </c>
      <c r="E555" t="s">
        <v>317</v>
      </c>
      <c r="F555" t="s">
        <v>318</v>
      </c>
      <c r="G555" t="str">
        <f>_xlfn.XLOOKUP(TRIM(E556),MedicineInfo!A:A,MedicineInfo!B:B,"Not Found")</f>
        <v>Amlodipine</v>
      </c>
      <c r="H555" s="1" cm="1">
        <f t="array" ref="H555">_xlfn.IFS(
OR(E555="Type 2 Diabetes",E555="Essential Hypertension",E555="Angina Pectoris",E555="Bronchial Asthma",E555="Cardiac Arrhythmia"), D555+30,
OR(E555="Gastritis",E555="Osteoarthritis",E555="Bronchitis",E555="Iron Deficiency Anemia"), D555+14,
OR(E555="Lumbar Strain",E555="Migraine Headache"), D555+7,
OR(E555="Viral Fever",E555="General Checkup","Routine Health Check"), "",
TRUE,""
)</f>
        <v>45721</v>
      </c>
      <c r="I555" s="1" t="str">
        <f t="shared" si="16"/>
        <v>Follow-up Scheduled</v>
      </c>
      <c r="J555" t="str">
        <f>TEXT(Table8[[#This Row],[visit_Date]],"DDDD")</f>
        <v>Monday</v>
      </c>
      <c r="K555" t="str">
        <f>TEXT(Table8[[#This Row],[visit_Date]],"mmmm")</f>
        <v>February</v>
      </c>
      <c r="L555" t="str">
        <f t="shared" si="17"/>
        <v>Winter</v>
      </c>
    </row>
    <row r="556" spans="1:12" x14ac:dyDescent="0.25">
      <c r="A556">
        <v>555</v>
      </c>
      <c r="B556">
        <v>1003</v>
      </c>
      <c r="C556">
        <v>1585</v>
      </c>
      <c r="D556" s="1">
        <v>45723</v>
      </c>
      <c r="E556" t="s">
        <v>319</v>
      </c>
      <c r="F556" t="s">
        <v>320</v>
      </c>
      <c r="G556" t="str">
        <f>_xlfn.XLOOKUP(TRIM(E557),MedicineInfo!A:A,MedicineInfo!B:B,"Not Found")</f>
        <v>Diclofenac</v>
      </c>
      <c r="H556" s="1" cm="1">
        <f t="array" ref="H556">_xlfn.IFS(
OR(E556="Type 2 Diabetes",E556="Essential Hypertension",E556="Angina Pectoris",E556="Bronchial Asthma",E556="Cardiac Arrhythmia"), D556+30,
OR(E556="Gastritis",E556="Osteoarthritis",E556="Bronchitis",E556="Iron Deficiency Anemia"), D556+14,
OR(E556="Lumbar Strain",E556="Migraine Headache"), D556+7,
OR(E556="Viral Fever",E556="General Checkup","Routine Health Check"), "",
TRUE,""
)</f>
        <v>45753</v>
      </c>
      <c r="I556" s="1" t="str">
        <f t="shared" si="16"/>
        <v>Follow-up Scheduled</v>
      </c>
      <c r="J556" t="str">
        <f>TEXT(Table8[[#This Row],[visit_Date]],"DDDD")</f>
        <v>Friday</v>
      </c>
      <c r="K556" t="str">
        <f>TEXT(Table8[[#This Row],[visit_Date]],"mmmm")</f>
        <v>March</v>
      </c>
      <c r="L556" t="str">
        <f t="shared" si="17"/>
        <v>Summer</v>
      </c>
    </row>
    <row r="557" spans="1:12" x14ac:dyDescent="0.25">
      <c r="A557">
        <v>556</v>
      </c>
      <c r="B557">
        <v>1027</v>
      </c>
      <c r="C557">
        <v>1291</v>
      </c>
      <c r="D557" s="1">
        <v>45686</v>
      </c>
      <c r="E557" t="s">
        <v>313</v>
      </c>
      <c r="F557" t="s">
        <v>314</v>
      </c>
      <c r="G557" t="str">
        <f>_xlfn.XLOOKUP(TRIM(E558),MedicineInfo!A:A,MedicineInfo!B:B,"Not Found")</f>
        <v>Multivitamin</v>
      </c>
      <c r="H557" s="1" cm="1">
        <f t="array" ref="H557">_xlfn.IFS(
OR(E557="Type 2 Diabetes",E557="Essential Hypertension",E557="Angina Pectoris",E557="Bronchial Asthma",E557="Cardiac Arrhythmia"), D557+30,
OR(E557="Gastritis",E557="Osteoarthritis",E557="Bronchitis",E557="Iron Deficiency Anemia"), D557+14,
OR(E557="Lumbar Strain",E557="Migraine Headache"), D557+7,
OR(E557="Viral Fever",E557="General Checkup","Routine Health Check"), "",
TRUE,""
)</f>
        <v>45693</v>
      </c>
      <c r="I557" s="1" t="str">
        <f t="shared" si="16"/>
        <v>Follow-up Scheduled</v>
      </c>
      <c r="J557" t="str">
        <f>TEXT(Table8[[#This Row],[visit_Date]],"DDDD")</f>
        <v>Wednesday</v>
      </c>
      <c r="K557" t="str">
        <f>TEXT(Table8[[#This Row],[visit_Date]],"mmmm")</f>
        <v>January</v>
      </c>
      <c r="L557" t="str">
        <f t="shared" si="17"/>
        <v>Winter</v>
      </c>
    </row>
    <row r="558" spans="1:12" x14ac:dyDescent="0.25">
      <c r="A558">
        <v>557</v>
      </c>
      <c r="B558">
        <v>1027</v>
      </c>
      <c r="C558">
        <v>928</v>
      </c>
      <c r="D558" s="1">
        <v>45830</v>
      </c>
      <c r="E558" t="s">
        <v>24</v>
      </c>
      <c r="F558" t="s">
        <v>321</v>
      </c>
      <c r="G558" t="str">
        <f>_xlfn.XLOOKUP(TRIM(E559),MedicineInfo!A:A,MedicineInfo!B:B,"Not Found")</f>
        <v>Sumatriptan</v>
      </c>
      <c r="H558" s="1" t="str" cm="1">
        <f t="array" ref="H558">_xlfn.IFS(
OR(E558="Type 2 Diabetes",E558="Essential Hypertension",E558="Angina Pectoris",E558="Bronchial Asthma",E558="Cardiac Arrhythmia"), D558+30,
OR(E558="Gastritis",E558="Osteoarthritis",E558="Bronchitis",E558="Iron Deficiency Anemia"), D558+14,
OR(E558="Lumbar Strain",E558="Migraine Headache"), D558+7,
OR(E558="Viral Fever",E558="General Checkup","Routine Health Check"), "",
TRUE,""
)</f>
        <v/>
      </c>
      <c r="I558" s="1" t="str">
        <f t="shared" si="16"/>
        <v>No Follow-up Required</v>
      </c>
      <c r="J558" t="str">
        <f>TEXT(Table8[[#This Row],[visit_Date]],"DDDD")</f>
        <v>Sunday</v>
      </c>
      <c r="K558" t="str">
        <f>TEXT(Table8[[#This Row],[visit_Date]],"mmmm")</f>
        <v>June</v>
      </c>
      <c r="L558" t="str">
        <f t="shared" si="17"/>
        <v>Monsoon</v>
      </c>
    </row>
    <row r="559" spans="1:12" x14ac:dyDescent="0.25">
      <c r="A559">
        <v>558</v>
      </c>
      <c r="B559">
        <v>1008</v>
      </c>
      <c r="C559">
        <v>407</v>
      </c>
      <c r="D559" s="1">
        <v>45814</v>
      </c>
      <c r="E559" t="s">
        <v>315</v>
      </c>
      <c r="F559" t="s">
        <v>316</v>
      </c>
      <c r="G559" t="str">
        <f>_xlfn.XLOOKUP(TRIM(E560),MedicineInfo!A:A,MedicineInfo!B:B,"Not Found")</f>
        <v>Sumatriptan</v>
      </c>
      <c r="H559" s="1" cm="1">
        <f t="array" ref="H559">_xlfn.IFS(
OR(E559="Type 2 Diabetes",E559="Essential Hypertension",E559="Angina Pectoris",E559="Bronchial Asthma",E559="Cardiac Arrhythmia"), D559+30,
OR(E559="Gastritis",E559="Osteoarthritis",E559="Bronchitis",E559="Iron Deficiency Anemia"), D559+14,
OR(E559="Lumbar Strain",E559="Migraine Headache"), D559+7,
OR(E559="Viral Fever",E559="General Checkup","Routine Health Check"), "",
TRUE,""
)</f>
        <v>45821</v>
      </c>
      <c r="I559" s="1" t="str">
        <f t="shared" si="16"/>
        <v>Follow-up Scheduled</v>
      </c>
      <c r="J559" t="str">
        <f>TEXT(Table8[[#This Row],[visit_Date]],"DDDD")</f>
        <v>Friday</v>
      </c>
      <c r="K559" t="str">
        <f>TEXT(Table8[[#This Row],[visit_Date]],"mmmm")</f>
        <v>June</v>
      </c>
      <c r="L559" t="str">
        <f t="shared" si="17"/>
        <v>Monsoon</v>
      </c>
    </row>
    <row r="560" spans="1:12" x14ac:dyDescent="0.25">
      <c r="A560">
        <v>559</v>
      </c>
      <c r="B560">
        <v>1008</v>
      </c>
      <c r="C560">
        <v>809</v>
      </c>
      <c r="D560" s="1">
        <v>45814</v>
      </c>
      <c r="E560" t="s">
        <v>315</v>
      </c>
      <c r="F560" t="s">
        <v>316</v>
      </c>
      <c r="G560" t="str">
        <f>_xlfn.XLOOKUP(TRIM(E561),MedicineInfo!A:A,MedicineInfo!B:B,"Not Found")</f>
        <v>Metformin</v>
      </c>
      <c r="H560" s="1" cm="1">
        <f t="array" ref="H560">_xlfn.IFS(
OR(E560="Type 2 Diabetes",E560="Essential Hypertension",E560="Angina Pectoris",E560="Bronchial Asthma",E560="Cardiac Arrhythmia"), D560+30,
OR(E560="Gastritis",E560="Osteoarthritis",E560="Bronchitis",E560="Iron Deficiency Anemia"), D560+14,
OR(E560="Lumbar Strain",E560="Migraine Headache"), D560+7,
OR(E560="Viral Fever",E560="General Checkup","Routine Health Check"), "",
TRUE,""
)</f>
        <v>45821</v>
      </c>
      <c r="I560" s="1" t="str">
        <f t="shared" si="16"/>
        <v>Follow-up Scheduled</v>
      </c>
      <c r="J560" t="str">
        <f>TEXT(Table8[[#This Row],[visit_Date]],"DDDD")</f>
        <v>Friday</v>
      </c>
      <c r="K560" t="str">
        <f>TEXT(Table8[[#This Row],[visit_Date]],"mmmm")</f>
        <v>June</v>
      </c>
      <c r="L560" t="str">
        <f t="shared" si="17"/>
        <v>Monsoon</v>
      </c>
    </row>
    <row r="561" spans="1:12" x14ac:dyDescent="0.25">
      <c r="A561">
        <v>560</v>
      </c>
      <c r="B561">
        <v>1024</v>
      </c>
      <c r="C561">
        <v>336</v>
      </c>
      <c r="D561" s="1">
        <v>45711</v>
      </c>
      <c r="E561" t="s">
        <v>317</v>
      </c>
      <c r="F561" t="s">
        <v>318</v>
      </c>
      <c r="G561" t="str">
        <f>_xlfn.XLOOKUP(TRIM(E562),MedicineInfo!A:A,MedicineInfo!B:B,"Not Found")</f>
        <v>Sumatriptan</v>
      </c>
      <c r="H561" s="1" cm="1">
        <f t="array" ref="H561">_xlfn.IFS(
OR(E561="Type 2 Diabetes",E561="Essential Hypertension",E561="Angina Pectoris",E561="Bronchial Asthma",E561="Cardiac Arrhythmia"), D561+30,
OR(E561="Gastritis",E561="Osteoarthritis",E561="Bronchitis",E561="Iron Deficiency Anemia"), D561+14,
OR(E561="Lumbar Strain",E561="Migraine Headache"), D561+7,
OR(E561="Viral Fever",E561="General Checkup","Routine Health Check"), "",
TRUE,""
)</f>
        <v>45741</v>
      </c>
      <c r="I561" s="1" t="str">
        <f t="shared" si="16"/>
        <v>Follow-up Scheduled</v>
      </c>
      <c r="J561" t="str">
        <f>TEXT(Table8[[#This Row],[visit_Date]],"DDDD")</f>
        <v>Sunday</v>
      </c>
      <c r="K561" t="str">
        <f>TEXT(Table8[[#This Row],[visit_Date]],"mmmm")</f>
        <v>February</v>
      </c>
      <c r="L561" t="str">
        <f t="shared" si="17"/>
        <v>Winter</v>
      </c>
    </row>
    <row r="562" spans="1:12" x14ac:dyDescent="0.25">
      <c r="A562">
        <v>561</v>
      </c>
      <c r="B562">
        <v>1008</v>
      </c>
      <c r="C562">
        <v>1571</v>
      </c>
      <c r="D562" s="1">
        <v>45774</v>
      </c>
      <c r="E562" t="s">
        <v>315</v>
      </c>
      <c r="F562" t="s">
        <v>316</v>
      </c>
      <c r="G562" t="str">
        <f>_xlfn.XLOOKUP(TRIM(E563),MedicineInfo!A:A,MedicineInfo!B:B,"Not Found")</f>
        <v>Sumatriptan</v>
      </c>
      <c r="H562" s="1" cm="1">
        <f t="array" ref="H562">_xlfn.IFS(
OR(E562="Type 2 Diabetes",E562="Essential Hypertension",E562="Angina Pectoris",E562="Bronchial Asthma",E562="Cardiac Arrhythmia"), D562+30,
OR(E562="Gastritis",E562="Osteoarthritis",E562="Bronchitis",E562="Iron Deficiency Anemia"), D562+14,
OR(E562="Lumbar Strain",E562="Migraine Headache"), D562+7,
OR(E562="Viral Fever",E562="General Checkup","Routine Health Check"), "",
TRUE,""
)</f>
        <v>45781</v>
      </c>
      <c r="I562" s="1" t="str">
        <f t="shared" si="16"/>
        <v>Follow-up Scheduled</v>
      </c>
      <c r="J562" t="str">
        <f>TEXT(Table8[[#This Row],[visit_Date]],"DDDD")</f>
        <v>Sunday</v>
      </c>
      <c r="K562" t="str">
        <f>TEXT(Table8[[#This Row],[visit_Date]],"mmmm")</f>
        <v>April</v>
      </c>
      <c r="L562" t="str">
        <f t="shared" si="17"/>
        <v>Summer</v>
      </c>
    </row>
    <row r="563" spans="1:12" x14ac:dyDescent="0.25">
      <c r="A563">
        <v>562</v>
      </c>
      <c r="B563">
        <v>1008</v>
      </c>
      <c r="C563">
        <v>678</v>
      </c>
      <c r="D563" s="1">
        <v>45694</v>
      </c>
      <c r="E563" t="s">
        <v>315</v>
      </c>
      <c r="F563" t="s">
        <v>316</v>
      </c>
      <c r="G563" t="str">
        <f>_xlfn.XLOOKUP(TRIM(E564),MedicineInfo!A:A,MedicineInfo!B:B,"Not Found")</f>
        <v>Paracetamol</v>
      </c>
      <c r="H563" s="1" cm="1">
        <f t="array" ref="H563">_xlfn.IFS(
OR(E563="Type 2 Diabetes",E563="Essential Hypertension",E563="Angina Pectoris",E563="Bronchial Asthma",E563="Cardiac Arrhythmia"), D563+30,
OR(E563="Gastritis",E563="Osteoarthritis",E563="Bronchitis",E563="Iron Deficiency Anemia"), D563+14,
OR(E563="Lumbar Strain",E563="Migraine Headache"), D563+7,
OR(E563="Viral Fever",E563="General Checkup","Routine Health Check"), "",
TRUE,""
)</f>
        <v>45701</v>
      </c>
      <c r="I563" s="1" t="str">
        <f t="shared" si="16"/>
        <v>Follow-up Scheduled</v>
      </c>
      <c r="J563" t="str">
        <f>TEXT(Table8[[#This Row],[visit_Date]],"DDDD")</f>
        <v>Thursday</v>
      </c>
      <c r="K563" t="str">
        <f>TEXT(Table8[[#This Row],[visit_Date]],"mmmm")</f>
        <v>February</v>
      </c>
      <c r="L563" t="str">
        <f t="shared" si="17"/>
        <v>Winter</v>
      </c>
    </row>
    <row r="564" spans="1:12" x14ac:dyDescent="0.25">
      <c r="A564">
        <v>563</v>
      </c>
      <c r="B564">
        <v>1027</v>
      </c>
      <c r="C564">
        <v>193</v>
      </c>
      <c r="D564" s="1">
        <v>45796</v>
      </c>
      <c r="E564" t="s">
        <v>326</v>
      </c>
      <c r="F564" t="s">
        <v>327</v>
      </c>
      <c r="G564" t="str">
        <f>_xlfn.XLOOKUP(TRIM(E565),MedicineInfo!A:A,MedicineInfo!B:B,"Not Found")</f>
        <v>Sumatriptan</v>
      </c>
      <c r="H564" s="1" t="str" cm="1">
        <f t="array" ref="H564">_xlfn.IFS(
OR(E564="Type 2 Diabetes",E564="Essential Hypertension",E564="Angina Pectoris",E564="Bronchial Asthma",E564="Cardiac Arrhythmia"), D564+30,
OR(E564="Gastritis",E564="Osteoarthritis",E564="Bronchitis",E564="Iron Deficiency Anemia"), D564+14,
OR(E564="Lumbar Strain",E564="Migraine Headache"), D564+7,
OR(E564="Viral Fever",E564="General Checkup","Routine Health Check"), "",
TRUE,""
)</f>
        <v/>
      </c>
      <c r="I564" s="1" t="str">
        <f t="shared" si="16"/>
        <v>No Follow-up Required</v>
      </c>
      <c r="J564" t="str">
        <f>TEXT(Table8[[#This Row],[visit_Date]],"DDDD")</f>
        <v>Monday</v>
      </c>
      <c r="K564" t="str">
        <f>TEXT(Table8[[#This Row],[visit_Date]],"mmmm")</f>
        <v>May</v>
      </c>
      <c r="L564" t="str">
        <f t="shared" si="17"/>
        <v>Summer</v>
      </c>
    </row>
    <row r="565" spans="1:12" x14ac:dyDescent="0.25">
      <c r="A565">
        <v>564</v>
      </c>
      <c r="B565">
        <v>1009</v>
      </c>
      <c r="C565">
        <v>1037</v>
      </c>
      <c r="D565" s="1">
        <v>45746</v>
      </c>
      <c r="E565" t="s">
        <v>315</v>
      </c>
      <c r="F565" t="s">
        <v>316</v>
      </c>
      <c r="G565" t="str">
        <f>_xlfn.XLOOKUP(TRIM(E566),MedicineInfo!A:A,MedicineInfo!B:B,"Not Found")</f>
        <v>Nitroglycerin</v>
      </c>
      <c r="H565" s="1" cm="1">
        <f t="array" ref="H565">_xlfn.IFS(
OR(E565="Type 2 Diabetes",E565="Essential Hypertension",E565="Angina Pectoris",E565="Bronchial Asthma",E565="Cardiac Arrhythmia"), D565+30,
OR(E565="Gastritis",E565="Osteoarthritis",E565="Bronchitis",E565="Iron Deficiency Anemia"), D565+14,
OR(E565="Lumbar Strain",E565="Migraine Headache"), D565+7,
OR(E565="Viral Fever",E565="General Checkup","Routine Health Check"), "",
TRUE,""
)</f>
        <v>45753</v>
      </c>
      <c r="I565" s="1" t="str">
        <f t="shared" si="16"/>
        <v>Follow-up Scheduled</v>
      </c>
      <c r="J565" t="str">
        <f>TEXT(Table8[[#This Row],[visit_Date]],"DDDD")</f>
        <v>Sunday</v>
      </c>
      <c r="K565" t="str">
        <f>TEXT(Table8[[#This Row],[visit_Date]],"mmmm")</f>
        <v>March</v>
      </c>
      <c r="L565" t="str">
        <f t="shared" si="17"/>
        <v>Summer</v>
      </c>
    </row>
    <row r="566" spans="1:12" x14ac:dyDescent="0.25">
      <c r="A566">
        <v>565</v>
      </c>
      <c r="B566">
        <v>1027</v>
      </c>
      <c r="C566">
        <v>692</v>
      </c>
      <c r="D566" s="1">
        <v>45715</v>
      </c>
      <c r="E566" t="s">
        <v>322</v>
      </c>
      <c r="F566" t="s">
        <v>323</v>
      </c>
      <c r="G566" t="str">
        <f>_xlfn.XLOOKUP(TRIM(E567),MedicineInfo!A:A,MedicineInfo!B:B,"Not Found")</f>
        <v>Amlodipine</v>
      </c>
      <c r="H566" s="1" cm="1">
        <f t="array" ref="H566">_xlfn.IFS(
OR(E566="Type 2 Diabetes",E566="Essential Hypertension",E566="Angina Pectoris",E566="Bronchial Asthma",E566="Cardiac Arrhythmia"), D566+30,
OR(E566="Gastritis",E566="Osteoarthritis",E566="Bronchitis",E566="Iron Deficiency Anemia"), D566+14,
OR(E566="Lumbar Strain",E566="Migraine Headache"), D566+7,
OR(E566="Viral Fever",E566="General Checkup","Routine Health Check"), "",
TRUE,""
)</f>
        <v>45745</v>
      </c>
      <c r="I566" s="1" t="str">
        <f t="shared" si="16"/>
        <v>Follow-up Scheduled</v>
      </c>
      <c r="J566" t="str">
        <f>TEXT(Table8[[#This Row],[visit_Date]],"DDDD")</f>
        <v>Thursday</v>
      </c>
      <c r="K566" t="str">
        <f>TEXT(Table8[[#This Row],[visit_Date]],"mmmm")</f>
        <v>February</v>
      </c>
      <c r="L566" t="str">
        <f t="shared" si="17"/>
        <v>Winter</v>
      </c>
    </row>
    <row r="567" spans="1:12" x14ac:dyDescent="0.25">
      <c r="A567">
        <v>566</v>
      </c>
      <c r="B567">
        <v>1001</v>
      </c>
      <c r="C567">
        <v>1094</v>
      </c>
      <c r="D567" s="1">
        <v>45713</v>
      </c>
      <c r="E567" t="s">
        <v>319</v>
      </c>
      <c r="F567" t="s">
        <v>320</v>
      </c>
      <c r="G567" t="str">
        <f>_xlfn.XLOOKUP(TRIM(E568),MedicineInfo!A:A,MedicineInfo!B:B,"Not Found")</f>
        <v>Nitroglycerin</v>
      </c>
      <c r="H567" s="1" cm="1">
        <f t="array" ref="H567">_xlfn.IFS(
OR(E567="Type 2 Diabetes",E567="Essential Hypertension",E567="Angina Pectoris",E567="Bronchial Asthma",E567="Cardiac Arrhythmia"), D567+30,
OR(E567="Gastritis",E567="Osteoarthritis",E567="Bronchitis",E567="Iron Deficiency Anemia"), D567+14,
OR(E567="Lumbar Strain",E567="Migraine Headache"), D567+7,
OR(E567="Viral Fever",E567="General Checkup","Routine Health Check"), "",
TRUE,""
)</f>
        <v>45743</v>
      </c>
      <c r="I567" s="1" t="str">
        <f t="shared" si="16"/>
        <v>Follow-up Scheduled</v>
      </c>
      <c r="J567" t="str">
        <f>TEXT(Table8[[#This Row],[visit_Date]],"DDDD")</f>
        <v>Tuesday</v>
      </c>
      <c r="K567" t="str">
        <f>TEXT(Table8[[#This Row],[visit_Date]],"mmmm")</f>
        <v>February</v>
      </c>
      <c r="L567" t="str">
        <f t="shared" si="17"/>
        <v>Winter</v>
      </c>
    </row>
    <row r="568" spans="1:12" x14ac:dyDescent="0.25">
      <c r="A568">
        <v>567</v>
      </c>
      <c r="B568">
        <v>1001</v>
      </c>
      <c r="C568">
        <v>259</v>
      </c>
      <c r="D568" s="1">
        <v>45789</v>
      </c>
      <c r="E568" t="s">
        <v>322</v>
      </c>
      <c r="F568" t="s">
        <v>323</v>
      </c>
      <c r="G568" t="str">
        <f>_xlfn.XLOOKUP(TRIM(E569),MedicineInfo!A:A,MedicineInfo!B:B,"Not Found")</f>
        <v>Nitroglycerin</v>
      </c>
      <c r="H568" s="1" cm="1">
        <f t="array" ref="H568">_xlfn.IFS(
OR(E568="Type 2 Diabetes",E568="Essential Hypertension",E568="Angina Pectoris",E568="Bronchial Asthma",E568="Cardiac Arrhythmia"), D568+30,
OR(E568="Gastritis",E568="Osteoarthritis",E568="Bronchitis",E568="Iron Deficiency Anemia"), D568+14,
OR(E568="Lumbar Strain",E568="Migraine Headache"), D568+7,
OR(E568="Viral Fever",E568="General Checkup","Routine Health Check"), "",
TRUE,""
)</f>
        <v>45819</v>
      </c>
      <c r="I568" s="1" t="str">
        <f t="shared" si="16"/>
        <v>Follow-up Scheduled</v>
      </c>
      <c r="J568" t="str">
        <f>TEXT(Table8[[#This Row],[visit_Date]],"DDDD")</f>
        <v>Monday</v>
      </c>
      <c r="K568" t="str">
        <f>TEXT(Table8[[#This Row],[visit_Date]],"mmmm")</f>
        <v>May</v>
      </c>
      <c r="L568" t="str">
        <f t="shared" si="17"/>
        <v>Summer</v>
      </c>
    </row>
    <row r="569" spans="1:12" x14ac:dyDescent="0.25">
      <c r="A569">
        <v>568</v>
      </c>
      <c r="B569">
        <v>1027</v>
      </c>
      <c r="C569">
        <v>1218</v>
      </c>
      <c r="D569" s="1">
        <v>45758</v>
      </c>
      <c r="E569" t="s">
        <v>322</v>
      </c>
      <c r="F569" t="s">
        <v>323</v>
      </c>
      <c r="G569" t="str">
        <f>_xlfn.XLOOKUP(TRIM(E570),MedicineInfo!A:A,MedicineInfo!B:B,"Not Found")</f>
        <v>Salbutamol Inhaler</v>
      </c>
      <c r="H569" s="1" cm="1">
        <f t="array" ref="H569">_xlfn.IFS(
OR(E569="Type 2 Diabetes",E569="Essential Hypertension",E569="Angina Pectoris",E569="Bronchial Asthma",E569="Cardiac Arrhythmia"), D569+30,
OR(E569="Gastritis",E569="Osteoarthritis",E569="Bronchitis",E569="Iron Deficiency Anemia"), D569+14,
OR(E569="Lumbar Strain",E569="Migraine Headache"), D569+7,
OR(E569="Viral Fever",E569="General Checkup","Routine Health Check"), "",
TRUE,""
)</f>
        <v>45788</v>
      </c>
      <c r="I569" s="1" t="str">
        <f t="shared" si="16"/>
        <v>Follow-up Scheduled</v>
      </c>
      <c r="J569" t="str">
        <f>TEXT(Table8[[#This Row],[visit_Date]],"DDDD")</f>
        <v>Friday</v>
      </c>
      <c r="K569" t="str">
        <f>TEXT(Table8[[#This Row],[visit_Date]],"mmmm")</f>
        <v>April</v>
      </c>
      <c r="L569" t="str">
        <f t="shared" si="17"/>
        <v>Summer</v>
      </c>
    </row>
    <row r="570" spans="1:12" x14ac:dyDescent="0.25">
      <c r="A570">
        <v>569</v>
      </c>
      <c r="B570">
        <v>1020</v>
      </c>
      <c r="C570">
        <v>735</v>
      </c>
      <c r="D570" s="1">
        <v>45790</v>
      </c>
      <c r="E570" t="s">
        <v>324</v>
      </c>
      <c r="F570" t="s">
        <v>325</v>
      </c>
      <c r="G570" t="str">
        <f>_xlfn.XLOOKUP(TRIM(E571),MedicineInfo!A:A,MedicineInfo!B:B,"Not Found")</f>
        <v>Salbutamol Inhaler</v>
      </c>
      <c r="H570" s="1" cm="1">
        <f t="array" ref="H570">_xlfn.IFS(
OR(E570="Type 2 Diabetes",E570="Essential Hypertension",E570="Angina Pectoris",E570="Bronchial Asthma",E570="Cardiac Arrhythmia"), D570+30,
OR(E570="Gastritis",E570="Osteoarthritis",E570="Bronchitis",E570="Iron Deficiency Anemia"), D570+14,
OR(E570="Lumbar Strain",E570="Migraine Headache"), D570+7,
OR(E570="Viral Fever",E570="General Checkup","Routine Health Check"), "",
TRUE,""
)</f>
        <v>45820</v>
      </c>
      <c r="I570" s="1" t="str">
        <f t="shared" si="16"/>
        <v>Follow-up Scheduled</v>
      </c>
      <c r="J570" t="str">
        <f>TEXT(Table8[[#This Row],[visit_Date]],"DDDD")</f>
        <v>Tuesday</v>
      </c>
      <c r="K570" t="str">
        <f>TEXT(Table8[[#This Row],[visit_Date]],"mmmm")</f>
        <v>May</v>
      </c>
      <c r="L570" t="str">
        <f t="shared" si="17"/>
        <v>Summer</v>
      </c>
    </row>
    <row r="571" spans="1:12" x14ac:dyDescent="0.25">
      <c r="A571">
        <v>570</v>
      </c>
      <c r="B571">
        <v>1020</v>
      </c>
      <c r="C571">
        <v>1521</v>
      </c>
      <c r="D571" s="1">
        <v>45672</v>
      </c>
      <c r="E571" t="s">
        <v>324</v>
      </c>
      <c r="F571" t="s">
        <v>325</v>
      </c>
      <c r="G571" t="str">
        <f>_xlfn.XLOOKUP(TRIM(E572),MedicineInfo!A:A,MedicineInfo!B:B,"Not Found")</f>
        <v>Nitroglycerin</v>
      </c>
      <c r="H571" s="1" cm="1">
        <f t="array" ref="H571">_xlfn.IFS(
OR(E571="Type 2 Diabetes",E571="Essential Hypertension",E571="Angina Pectoris",E571="Bronchial Asthma",E571="Cardiac Arrhythmia"), D571+30,
OR(E571="Gastritis",E571="Osteoarthritis",E571="Bronchitis",E571="Iron Deficiency Anemia"), D571+14,
OR(E571="Lumbar Strain",E571="Migraine Headache"), D571+7,
OR(E571="Viral Fever",E571="General Checkup","Routine Health Check"), "",
TRUE,""
)</f>
        <v>45702</v>
      </c>
      <c r="I571" s="1" t="str">
        <f t="shared" si="16"/>
        <v>Follow-up Scheduled</v>
      </c>
      <c r="J571" t="str">
        <f>TEXT(Table8[[#This Row],[visit_Date]],"DDDD")</f>
        <v>Wednesday</v>
      </c>
      <c r="K571" t="str">
        <f>TEXT(Table8[[#This Row],[visit_Date]],"mmmm")</f>
        <v>January</v>
      </c>
      <c r="L571" t="str">
        <f t="shared" si="17"/>
        <v>Winter</v>
      </c>
    </row>
    <row r="572" spans="1:12" x14ac:dyDescent="0.25">
      <c r="A572">
        <v>571</v>
      </c>
      <c r="B572">
        <v>1001</v>
      </c>
      <c r="C572">
        <v>755</v>
      </c>
      <c r="D572" s="1">
        <v>45742</v>
      </c>
      <c r="E572" t="s">
        <v>322</v>
      </c>
      <c r="F572" t="s">
        <v>323</v>
      </c>
      <c r="G572" t="str">
        <f>_xlfn.XLOOKUP(TRIM(E573),MedicineInfo!A:A,MedicineInfo!B:B,"Not Found")</f>
        <v>Multivitamin</v>
      </c>
      <c r="H572" s="1" cm="1">
        <f t="array" ref="H572">_xlfn.IFS(
OR(E572="Type 2 Diabetes",E572="Essential Hypertension",E572="Angina Pectoris",E572="Bronchial Asthma",E572="Cardiac Arrhythmia"), D572+30,
OR(E572="Gastritis",E572="Osteoarthritis",E572="Bronchitis",E572="Iron Deficiency Anemia"), D572+14,
OR(E572="Lumbar Strain",E572="Migraine Headache"), D572+7,
OR(E572="Viral Fever",E572="General Checkup","Routine Health Check"), "",
TRUE,""
)</f>
        <v>45772</v>
      </c>
      <c r="I572" s="1" t="str">
        <f t="shared" si="16"/>
        <v>Follow-up Scheduled</v>
      </c>
      <c r="J572" t="str">
        <f>TEXT(Table8[[#This Row],[visit_Date]],"DDDD")</f>
        <v>Wednesday</v>
      </c>
      <c r="K572" t="str">
        <f>TEXT(Table8[[#This Row],[visit_Date]],"mmmm")</f>
        <v>March</v>
      </c>
      <c r="L572" t="str">
        <f t="shared" si="17"/>
        <v>Summer</v>
      </c>
    </row>
    <row r="573" spans="1:12" x14ac:dyDescent="0.25">
      <c r="A573">
        <v>572</v>
      </c>
      <c r="B573">
        <v>1027</v>
      </c>
      <c r="C573">
        <v>1363</v>
      </c>
      <c r="D573" s="1">
        <v>45853</v>
      </c>
      <c r="E573" t="s">
        <v>24</v>
      </c>
      <c r="F573" t="s">
        <v>321</v>
      </c>
      <c r="G573" t="str">
        <f>_xlfn.XLOOKUP(TRIM(E574),MedicineInfo!A:A,MedicineInfo!B:B,"Not Found")</f>
        <v>Diclofenac</v>
      </c>
      <c r="H573" s="1" t="str" cm="1">
        <f t="array" ref="H573">_xlfn.IFS(
OR(E573="Type 2 Diabetes",E573="Essential Hypertension",E573="Angina Pectoris",E573="Bronchial Asthma",E573="Cardiac Arrhythmia"), D573+30,
OR(E573="Gastritis",E573="Osteoarthritis",E573="Bronchitis",E573="Iron Deficiency Anemia"), D573+14,
OR(E573="Lumbar Strain",E573="Migraine Headache"), D573+7,
OR(E573="Viral Fever",E573="General Checkup","Routine Health Check"), "",
TRUE,""
)</f>
        <v/>
      </c>
      <c r="I573" s="1" t="str">
        <f t="shared" si="16"/>
        <v>No Follow-up Required</v>
      </c>
      <c r="J573" t="str">
        <f>TEXT(Table8[[#This Row],[visit_Date]],"DDDD")</f>
        <v>Tuesday</v>
      </c>
      <c r="K573" t="str">
        <f>TEXT(Table8[[#This Row],[visit_Date]],"mmmm")</f>
        <v>July</v>
      </c>
      <c r="L573" t="str">
        <f t="shared" si="17"/>
        <v>Monsoon</v>
      </c>
    </row>
    <row r="574" spans="1:12" x14ac:dyDescent="0.25">
      <c r="A574">
        <v>573</v>
      </c>
      <c r="B574">
        <v>1027</v>
      </c>
      <c r="C574">
        <v>160</v>
      </c>
      <c r="D574" s="1">
        <v>45799</v>
      </c>
      <c r="E574" t="s">
        <v>313</v>
      </c>
      <c r="F574" t="s">
        <v>314</v>
      </c>
      <c r="G574" t="str">
        <f>_xlfn.XLOOKUP(TRIM(E575),MedicineInfo!A:A,MedicineInfo!B:B,"Not Found")</f>
        <v>Multivitamin</v>
      </c>
      <c r="H574" s="1" cm="1">
        <f t="array" ref="H574">_xlfn.IFS(
OR(E574="Type 2 Diabetes",E574="Essential Hypertension",E574="Angina Pectoris",E574="Bronchial Asthma",E574="Cardiac Arrhythmia"), D574+30,
OR(E574="Gastritis",E574="Osteoarthritis",E574="Bronchitis",E574="Iron Deficiency Anemia"), D574+14,
OR(E574="Lumbar Strain",E574="Migraine Headache"), D574+7,
OR(E574="Viral Fever",E574="General Checkup","Routine Health Check"), "",
TRUE,""
)</f>
        <v>45806</v>
      </c>
      <c r="I574" s="1" t="str">
        <f t="shared" si="16"/>
        <v>Follow-up Scheduled</v>
      </c>
      <c r="J574" t="str">
        <f>TEXT(Table8[[#This Row],[visit_Date]],"DDDD")</f>
        <v>Thursday</v>
      </c>
      <c r="K574" t="str">
        <f>TEXT(Table8[[#This Row],[visit_Date]],"mmmm")</f>
        <v>May</v>
      </c>
      <c r="L574" t="str">
        <f t="shared" si="17"/>
        <v>Summer</v>
      </c>
    </row>
    <row r="575" spans="1:12" x14ac:dyDescent="0.25">
      <c r="A575">
        <v>574</v>
      </c>
      <c r="B575">
        <v>1027</v>
      </c>
      <c r="C575">
        <v>1074</v>
      </c>
      <c r="D575" s="1">
        <v>45791</v>
      </c>
      <c r="E575" t="s">
        <v>24</v>
      </c>
      <c r="F575" t="s">
        <v>321</v>
      </c>
      <c r="G575" t="str">
        <f>_xlfn.XLOOKUP(TRIM(E576),MedicineInfo!A:A,MedicineInfo!B:B,"Not Found")</f>
        <v>Paracetamol</v>
      </c>
      <c r="H575" s="1" t="str" cm="1">
        <f t="array" ref="H575">_xlfn.IFS(
OR(E575="Type 2 Diabetes",E575="Essential Hypertension",E575="Angina Pectoris",E575="Bronchial Asthma",E575="Cardiac Arrhythmia"), D575+30,
OR(E575="Gastritis",E575="Osteoarthritis",E575="Bronchitis",E575="Iron Deficiency Anemia"), D575+14,
OR(E575="Lumbar Strain",E575="Migraine Headache"), D575+7,
OR(E575="Viral Fever",E575="General Checkup","Routine Health Check"), "",
TRUE,""
)</f>
        <v/>
      </c>
      <c r="I575" s="1" t="str">
        <f t="shared" si="16"/>
        <v>No Follow-up Required</v>
      </c>
      <c r="J575" t="str">
        <f>TEXT(Table8[[#This Row],[visit_Date]],"DDDD")</f>
        <v>Wednesday</v>
      </c>
      <c r="K575" t="str">
        <f>TEXT(Table8[[#This Row],[visit_Date]],"mmmm")</f>
        <v>May</v>
      </c>
      <c r="L575" t="str">
        <f t="shared" si="17"/>
        <v>Summer</v>
      </c>
    </row>
    <row r="576" spans="1:12" x14ac:dyDescent="0.25">
      <c r="A576">
        <v>575</v>
      </c>
      <c r="B576">
        <v>1027</v>
      </c>
      <c r="C576">
        <v>1564</v>
      </c>
      <c r="D576" s="1">
        <v>45684</v>
      </c>
      <c r="E576" t="s">
        <v>326</v>
      </c>
      <c r="F576" t="s">
        <v>327</v>
      </c>
      <c r="G576" t="str">
        <f>_xlfn.XLOOKUP(TRIM(E577),MedicineInfo!A:A,MedicineInfo!B:B,"Not Found")</f>
        <v>Salbutamol Inhaler</v>
      </c>
      <c r="H576" s="1" t="str" cm="1">
        <f t="array" ref="H576">_xlfn.IFS(
OR(E576="Type 2 Diabetes",E576="Essential Hypertension",E576="Angina Pectoris",E576="Bronchial Asthma",E576="Cardiac Arrhythmia"), D576+30,
OR(E576="Gastritis",E576="Osteoarthritis",E576="Bronchitis",E576="Iron Deficiency Anemia"), D576+14,
OR(E576="Lumbar Strain",E576="Migraine Headache"), D576+7,
OR(E576="Viral Fever",E576="General Checkup","Routine Health Check"), "",
TRUE,""
)</f>
        <v/>
      </c>
      <c r="I576" s="1" t="str">
        <f t="shared" si="16"/>
        <v>No Follow-up Required</v>
      </c>
      <c r="J576" t="str">
        <f>TEXT(Table8[[#This Row],[visit_Date]],"DDDD")</f>
        <v>Monday</v>
      </c>
      <c r="K576" t="str">
        <f>TEXT(Table8[[#This Row],[visit_Date]],"mmmm")</f>
        <v>January</v>
      </c>
      <c r="L576" t="str">
        <f t="shared" si="17"/>
        <v>Winter</v>
      </c>
    </row>
    <row r="577" spans="1:12" x14ac:dyDescent="0.25">
      <c r="A577">
        <v>576</v>
      </c>
      <c r="B577">
        <v>1020</v>
      </c>
      <c r="C577">
        <v>1259</v>
      </c>
      <c r="D577" s="1">
        <v>45791</v>
      </c>
      <c r="E577" t="s">
        <v>324</v>
      </c>
      <c r="F577" t="s">
        <v>325</v>
      </c>
      <c r="G577" t="str">
        <f>_xlfn.XLOOKUP(TRIM(E578),MedicineInfo!A:A,MedicineInfo!B:B,"Not Found")</f>
        <v>Salbutamol Inhaler</v>
      </c>
      <c r="H577" s="1" cm="1">
        <f t="array" ref="H577">_xlfn.IFS(
OR(E577="Type 2 Diabetes",E577="Essential Hypertension",E577="Angina Pectoris",E577="Bronchial Asthma",E577="Cardiac Arrhythmia"), D577+30,
OR(E577="Gastritis",E577="Osteoarthritis",E577="Bronchitis",E577="Iron Deficiency Anemia"), D577+14,
OR(E577="Lumbar Strain",E577="Migraine Headache"), D577+7,
OR(E577="Viral Fever",E577="General Checkup","Routine Health Check"), "",
TRUE,""
)</f>
        <v>45821</v>
      </c>
      <c r="I577" s="1" t="str">
        <f t="shared" si="16"/>
        <v>Follow-up Scheduled</v>
      </c>
      <c r="J577" t="str">
        <f>TEXT(Table8[[#This Row],[visit_Date]],"DDDD")</f>
        <v>Wednesday</v>
      </c>
      <c r="K577" t="str">
        <f>TEXT(Table8[[#This Row],[visit_Date]],"mmmm")</f>
        <v>May</v>
      </c>
      <c r="L577" t="str">
        <f t="shared" si="17"/>
        <v>Summer</v>
      </c>
    </row>
    <row r="578" spans="1:12" x14ac:dyDescent="0.25">
      <c r="A578">
        <v>577</v>
      </c>
      <c r="B578">
        <v>1020</v>
      </c>
      <c r="C578">
        <v>416</v>
      </c>
      <c r="D578" s="1">
        <v>45823</v>
      </c>
      <c r="E578" t="s">
        <v>324</v>
      </c>
      <c r="F578" t="s">
        <v>325</v>
      </c>
      <c r="G578" t="str">
        <f>_xlfn.XLOOKUP(TRIM(E579),MedicineInfo!A:A,MedicineInfo!B:B,"Not Found")</f>
        <v>Sumatriptan</v>
      </c>
      <c r="H578" s="1" cm="1">
        <f t="array" ref="H578">_xlfn.IFS(
OR(E578="Type 2 Diabetes",E578="Essential Hypertension",E578="Angina Pectoris",E578="Bronchial Asthma",E578="Cardiac Arrhythmia"), D578+30,
OR(E578="Gastritis",E578="Osteoarthritis",E578="Bronchitis",E578="Iron Deficiency Anemia"), D578+14,
OR(E578="Lumbar Strain",E578="Migraine Headache"), D578+7,
OR(E578="Viral Fever",E578="General Checkup","Routine Health Check"), "",
TRUE,""
)</f>
        <v>45853</v>
      </c>
      <c r="I578" s="1" t="str">
        <f t="shared" ref="I578:I641" si="18">IF(H578="","No Follow-up Required","Follow-up Scheduled")</f>
        <v>Follow-up Scheduled</v>
      </c>
      <c r="J578" t="str">
        <f>TEXT(Table8[[#This Row],[visit_Date]],"DDDD")</f>
        <v>Sunday</v>
      </c>
      <c r="K578" t="str">
        <f>TEXT(Table8[[#This Row],[visit_Date]],"mmmm")</f>
        <v>June</v>
      </c>
      <c r="L578" t="str">
        <f t="shared" ref="L578:L641" si="19">IF(OR(MONTH(D578)=12,MONTH(D578)&lt;=2),"Winter",
IF(MONTH(D578)&lt;=5,"Summer","Monsoon"))</f>
        <v>Monsoon</v>
      </c>
    </row>
    <row r="579" spans="1:12" x14ac:dyDescent="0.25">
      <c r="A579">
        <v>578</v>
      </c>
      <c r="B579">
        <v>1009</v>
      </c>
      <c r="C579">
        <v>1217</v>
      </c>
      <c r="D579" s="1">
        <v>45792</v>
      </c>
      <c r="E579" t="s">
        <v>315</v>
      </c>
      <c r="F579" t="s">
        <v>316</v>
      </c>
      <c r="G579" t="str">
        <f>_xlfn.XLOOKUP(TRIM(E580),MedicineInfo!A:A,MedicineInfo!B:B,"Not Found")</f>
        <v>Metformin</v>
      </c>
      <c r="H579" s="1" cm="1">
        <f t="array" ref="H579">_xlfn.IFS(
OR(E579="Type 2 Diabetes",E579="Essential Hypertension",E579="Angina Pectoris",E579="Bronchial Asthma",E579="Cardiac Arrhythmia"), D579+30,
OR(E579="Gastritis",E579="Osteoarthritis",E579="Bronchitis",E579="Iron Deficiency Anemia"), D579+14,
OR(E579="Lumbar Strain",E579="Migraine Headache"), D579+7,
OR(E579="Viral Fever",E579="General Checkup","Routine Health Check"), "",
TRUE,""
)</f>
        <v>45799</v>
      </c>
      <c r="I579" s="1" t="str">
        <f t="shared" si="18"/>
        <v>Follow-up Scheduled</v>
      </c>
      <c r="J579" t="str">
        <f>TEXT(Table8[[#This Row],[visit_Date]],"DDDD")</f>
        <v>Thursday</v>
      </c>
      <c r="K579" t="str">
        <f>TEXT(Table8[[#This Row],[visit_Date]],"mmmm")</f>
        <v>May</v>
      </c>
      <c r="L579" t="str">
        <f t="shared" si="19"/>
        <v>Summer</v>
      </c>
    </row>
    <row r="580" spans="1:12" x14ac:dyDescent="0.25">
      <c r="A580">
        <v>579</v>
      </c>
      <c r="B580">
        <v>1024</v>
      </c>
      <c r="C580">
        <v>1008</v>
      </c>
      <c r="D580" s="1">
        <v>45819</v>
      </c>
      <c r="E580" t="s">
        <v>317</v>
      </c>
      <c r="F580" t="s">
        <v>318</v>
      </c>
      <c r="G580" t="str">
        <f>_xlfn.XLOOKUP(TRIM(E581),MedicineInfo!A:A,MedicineInfo!B:B,"Not Found")</f>
        <v>Salbutamol Inhaler</v>
      </c>
      <c r="H580" s="1" cm="1">
        <f t="array" ref="H580">_xlfn.IFS(
OR(E580="Type 2 Diabetes",E580="Essential Hypertension",E580="Angina Pectoris",E580="Bronchial Asthma",E580="Cardiac Arrhythmia"), D580+30,
OR(E580="Gastritis",E580="Osteoarthritis",E580="Bronchitis",E580="Iron Deficiency Anemia"), D580+14,
OR(E580="Lumbar Strain",E580="Migraine Headache"), D580+7,
OR(E580="Viral Fever",E580="General Checkup","Routine Health Check"), "",
TRUE,""
)</f>
        <v>45849</v>
      </c>
      <c r="I580" s="1" t="str">
        <f t="shared" si="18"/>
        <v>Follow-up Scheduled</v>
      </c>
      <c r="J580" t="str">
        <f>TEXT(Table8[[#This Row],[visit_Date]],"DDDD")</f>
        <v>Wednesday</v>
      </c>
      <c r="K580" t="str">
        <f>TEXT(Table8[[#This Row],[visit_Date]],"mmmm")</f>
        <v>June</v>
      </c>
      <c r="L580" t="str">
        <f t="shared" si="19"/>
        <v>Monsoon</v>
      </c>
    </row>
    <row r="581" spans="1:12" x14ac:dyDescent="0.25">
      <c r="A581">
        <v>580</v>
      </c>
      <c r="B581">
        <v>1020</v>
      </c>
      <c r="C581">
        <v>1049</v>
      </c>
      <c r="D581" s="1">
        <v>45814</v>
      </c>
      <c r="E581" t="s">
        <v>324</v>
      </c>
      <c r="F581" t="s">
        <v>325</v>
      </c>
      <c r="G581" t="str">
        <f>_xlfn.XLOOKUP(TRIM(E582),MedicineInfo!A:A,MedicineInfo!B:B,"Not Found")</f>
        <v>Paracetamol</v>
      </c>
      <c r="H581" s="1" cm="1">
        <f t="array" ref="H581">_xlfn.IFS(
OR(E581="Type 2 Diabetes",E581="Essential Hypertension",E581="Angina Pectoris",E581="Bronchial Asthma",E581="Cardiac Arrhythmia"), D581+30,
OR(E581="Gastritis",E581="Osteoarthritis",E581="Bronchitis",E581="Iron Deficiency Anemia"), D581+14,
OR(E581="Lumbar Strain",E581="Migraine Headache"), D581+7,
OR(E581="Viral Fever",E581="General Checkup","Routine Health Check"), "",
TRUE,""
)</f>
        <v>45844</v>
      </c>
      <c r="I581" s="1" t="str">
        <f t="shared" si="18"/>
        <v>Follow-up Scheduled</v>
      </c>
      <c r="J581" t="str">
        <f>TEXT(Table8[[#This Row],[visit_Date]],"DDDD")</f>
        <v>Friday</v>
      </c>
      <c r="K581" t="str">
        <f>TEXT(Table8[[#This Row],[visit_Date]],"mmmm")</f>
        <v>June</v>
      </c>
      <c r="L581" t="str">
        <f t="shared" si="19"/>
        <v>Monsoon</v>
      </c>
    </row>
    <row r="582" spans="1:12" x14ac:dyDescent="0.25">
      <c r="A582">
        <v>581</v>
      </c>
      <c r="B582">
        <v>1027</v>
      </c>
      <c r="C582">
        <v>870</v>
      </c>
      <c r="D582" s="1">
        <v>45751</v>
      </c>
      <c r="E582" t="s">
        <v>326</v>
      </c>
      <c r="F582" t="s">
        <v>327</v>
      </c>
      <c r="G582" t="str">
        <f>_xlfn.XLOOKUP(TRIM(E583),MedicineInfo!A:A,MedicineInfo!B:B,"Not Found")</f>
        <v>Amlodipine</v>
      </c>
      <c r="H582" s="1" t="str" cm="1">
        <f t="array" ref="H582">_xlfn.IFS(
OR(E582="Type 2 Diabetes",E582="Essential Hypertension",E582="Angina Pectoris",E582="Bronchial Asthma",E582="Cardiac Arrhythmia"), D582+30,
OR(E582="Gastritis",E582="Osteoarthritis",E582="Bronchitis",E582="Iron Deficiency Anemia"), D582+14,
OR(E582="Lumbar Strain",E582="Migraine Headache"), D582+7,
OR(E582="Viral Fever",E582="General Checkup","Routine Health Check"), "",
TRUE,""
)</f>
        <v/>
      </c>
      <c r="I582" s="1" t="str">
        <f t="shared" si="18"/>
        <v>No Follow-up Required</v>
      </c>
      <c r="J582" t="str">
        <f>TEXT(Table8[[#This Row],[visit_Date]],"DDDD")</f>
        <v>Friday</v>
      </c>
      <c r="K582" t="str">
        <f>TEXT(Table8[[#This Row],[visit_Date]],"mmmm")</f>
        <v>April</v>
      </c>
      <c r="L582" t="str">
        <f t="shared" si="19"/>
        <v>Summer</v>
      </c>
    </row>
    <row r="583" spans="1:12" x14ac:dyDescent="0.25">
      <c r="A583">
        <v>582</v>
      </c>
      <c r="B583">
        <v>1004</v>
      </c>
      <c r="C583">
        <v>271</v>
      </c>
      <c r="D583" s="1">
        <v>45694</v>
      </c>
      <c r="E583" t="s">
        <v>319</v>
      </c>
      <c r="F583" t="s">
        <v>320</v>
      </c>
      <c r="G583" t="str">
        <f>_xlfn.XLOOKUP(TRIM(E584),MedicineInfo!A:A,MedicineInfo!B:B,"Not Found")</f>
        <v>Nitroglycerin</v>
      </c>
      <c r="H583" s="1" cm="1">
        <f t="array" ref="H583">_xlfn.IFS(
OR(E583="Type 2 Diabetes",E583="Essential Hypertension",E583="Angina Pectoris",E583="Bronchial Asthma",E583="Cardiac Arrhythmia"), D583+30,
OR(E583="Gastritis",E583="Osteoarthritis",E583="Bronchitis",E583="Iron Deficiency Anemia"), D583+14,
OR(E583="Lumbar Strain",E583="Migraine Headache"), D583+7,
OR(E583="Viral Fever",E583="General Checkup","Routine Health Check"), "",
TRUE,""
)</f>
        <v>45724</v>
      </c>
      <c r="I583" s="1" t="str">
        <f t="shared" si="18"/>
        <v>Follow-up Scheduled</v>
      </c>
      <c r="J583" t="str">
        <f>TEXT(Table8[[#This Row],[visit_Date]],"DDDD")</f>
        <v>Thursday</v>
      </c>
      <c r="K583" t="str">
        <f>TEXT(Table8[[#This Row],[visit_Date]],"mmmm")</f>
        <v>February</v>
      </c>
      <c r="L583" t="str">
        <f t="shared" si="19"/>
        <v>Winter</v>
      </c>
    </row>
    <row r="584" spans="1:12" x14ac:dyDescent="0.25">
      <c r="A584">
        <v>583</v>
      </c>
      <c r="B584">
        <v>1001</v>
      </c>
      <c r="C584">
        <v>781</v>
      </c>
      <c r="D584" s="1">
        <v>45823</v>
      </c>
      <c r="E584" t="s">
        <v>322</v>
      </c>
      <c r="F584" t="s">
        <v>323</v>
      </c>
      <c r="G584" t="str">
        <f>_xlfn.XLOOKUP(TRIM(E585),MedicineInfo!A:A,MedicineInfo!B:B,"Not Found")</f>
        <v>Paracetamol</v>
      </c>
      <c r="H584" s="1" cm="1">
        <f t="array" ref="H584">_xlfn.IFS(
OR(E584="Type 2 Diabetes",E584="Essential Hypertension",E584="Angina Pectoris",E584="Bronchial Asthma",E584="Cardiac Arrhythmia"), D584+30,
OR(E584="Gastritis",E584="Osteoarthritis",E584="Bronchitis",E584="Iron Deficiency Anemia"), D584+14,
OR(E584="Lumbar Strain",E584="Migraine Headache"), D584+7,
OR(E584="Viral Fever",E584="General Checkup","Routine Health Check"), "",
TRUE,""
)</f>
        <v>45853</v>
      </c>
      <c r="I584" s="1" t="str">
        <f t="shared" si="18"/>
        <v>Follow-up Scheduled</v>
      </c>
      <c r="J584" t="str">
        <f>TEXT(Table8[[#This Row],[visit_Date]],"DDDD")</f>
        <v>Sunday</v>
      </c>
      <c r="K584" t="str">
        <f>TEXT(Table8[[#This Row],[visit_Date]],"mmmm")</f>
        <v>June</v>
      </c>
      <c r="L584" t="str">
        <f t="shared" si="19"/>
        <v>Monsoon</v>
      </c>
    </row>
    <row r="585" spans="1:12" x14ac:dyDescent="0.25">
      <c r="A585">
        <v>584</v>
      </c>
      <c r="B585">
        <v>1027</v>
      </c>
      <c r="C585">
        <v>786</v>
      </c>
      <c r="D585" s="1">
        <v>45849</v>
      </c>
      <c r="E585" t="s">
        <v>326</v>
      </c>
      <c r="F585" t="s">
        <v>327</v>
      </c>
      <c r="G585" t="str">
        <f>_xlfn.XLOOKUP(TRIM(E586),MedicineInfo!A:A,MedicineInfo!B:B,"Not Found")</f>
        <v>Nitroglycerin</v>
      </c>
      <c r="H585" s="1" t="str" cm="1">
        <f t="array" ref="H585">_xlfn.IFS(
OR(E585="Type 2 Diabetes",E585="Essential Hypertension",E585="Angina Pectoris",E585="Bronchial Asthma",E585="Cardiac Arrhythmia"), D585+30,
OR(E585="Gastritis",E585="Osteoarthritis",E585="Bronchitis",E585="Iron Deficiency Anemia"), D585+14,
OR(E585="Lumbar Strain",E585="Migraine Headache"), D585+7,
OR(E585="Viral Fever",E585="General Checkup","Routine Health Check"), "",
TRUE,""
)</f>
        <v/>
      </c>
      <c r="I585" s="1" t="str">
        <f t="shared" si="18"/>
        <v>No Follow-up Required</v>
      </c>
      <c r="J585" t="str">
        <f>TEXT(Table8[[#This Row],[visit_Date]],"DDDD")</f>
        <v>Friday</v>
      </c>
      <c r="K585" t="str">
        <f>TEXT(Table8[[#This Row],[visit_Date]],"mmmm")</f>
        <v>July</v>
      </c>
      <c r="L585" t="str">
        <f t="shared" si="19"/>
        <v>Monsoon</v>
      </c>
    </row>
    <row r="586" spans="1:12" x14ac:dyDescent="0.25">
      <c r="A586">
        <v>585</v>
      </c>
      <c r="B586">
        <v>1027</v>
      </c>
      <c r="C586">
        <v>324</v>
      </c>
      <c r="D586" s="1">
        <v>45746</v>
      </c>
      <c r="E586" t="s">
        <v>322</v>
      </c>
      <c r="F586" t="s">
        <v>323</v>
      </c>
      <c r="G586" t="str">
        <f>_xlfn.XLOOKUP(TRIM(E587),MedicineInfo!A:A,MedicineInfo!B:B,"Not Found")</f>
        <v>Diclofenac</v>
      </c>
      <c r="H586" s="1" cm="1">
        <f t="array" ref="H586">_xlfn.IFS(
OR(E586="Type 2 Diabetes",E586="Essential Hypertension",E586="Angina Pectoris",E586="Bronchial Asthma",E586="Cardiac Arrhythmia"), D586+30,
OR(E586="Gastritis",E586="Osteoarthritis",E586="Bronchitis",E586="Iron Deficiency Anemia"), D586+14,
OR(E586="Lumbar Strain",E586="Migraine Headache"), D586+7,
OR(E586="Viral Fever",E586="General Checkup","Routine Health Check"), "",
TRUE,""
)</f>
        <v>45776</v>
      </c>
      <c r="I586" s="1" t="str">
        <f t="shared" si="18"/>
        <v>Follow-up Scheduled</v>
      </c>
      <c r="J586" t="str">
        <f>TEXT(Table8[[#This Row],[visit_Date]],"DDDD")</f>
        <v>Sunday</v>
      </c>
      <c r="K586" t="str">
        <f>TEXT(Table8[[#This Row],[visit_Date]],"mmmm")</f>
        <v>March</v>
      </c>
      <c r="L586" t="str">
        <f t="shared" si="19"/>
        <v>Summer</v>
      </c>
    </row>
    <row r="587" spans="1:12" x14ac:dyDescent="0.25">
      <c r="A587">
        <v>586</v>
      </c>
      <c r="B587">
        <v>1027</v>
      </c>
      <c r="C587">
        <v>1450</v>
      </c>
      <c r="D587" s="1">
        <v>45795</v>
      </c>
      <c r="E587" t="s">
        <v>313</v>
      </c>
      <c r="F587" t="s">
        <v>314</v>
      </c>
      <c r="G587" t="str">
        <f>_xlfn.XLOOKUP(TRIM(E588),MedicineInfo!A:A,MedicineInfo!B:B,"Not Found")</f>
        <v>Multivitamin</v>
      </c>
      <c r="H587" s="1" cm="1">
        <f t="array" ref="H587">_xlfn.IFS(
OR(E587="Type 2 Diabetes",E587="Essential Hypertension",E587="Angina Pectoris",E587="Bronchial Asthma",E587="Cardiac Arrhythmia"), D587+30,
OR(E587="Gastritis",E587="Osteoarthritis",E587="Bronchitis",E587="Iron Deficiency Anemia"), D587+14,
OR(E587="Lumbar Strain",E587="Migraine Headache"), D587+7,
OR(E587="Viral Fever",E587="General Checkup","Routine Health Check"), "",
TRUE,""
)</f>
        <v>45802</v>
      </c>
      <c r="I587" s="1" t="str">
        <f t="shared" si="18"/>
        <v>Follow-up Scheduled</v>
      </c>
      <c r="J587" t="str">
        <f>TEXT(Table8[[#This Row],[visit_Date]],"DDDD")</f>
        <v>Sunday</v>
      </c>
      <c r="K587" t="str">
        <f>TEXT(Table8[[#This Row],[visit_Date]],"mmmm")</f>
        <v>May</v>
      </c>
      <c r="L587" t="str">
        <f t="shared" si="19"/>
        <v>Summer</v>
      </c>
    </row>
    <row r="588" spans="1:12" x14ac:dyDescent="0.25">
      <c r="A588">
        <v>587</v>
      </c>
      <c r="B588">
        <v>1027</v>
      </c>
      <c r="C588">
        <v>1037</v>
      </c>
      <c r="D588" s="1">
        <v>45833</v>
      </c>
      <c r="E588" t="s">
        <v>24</v>
      </c>
      <c r="F588" t="s">
        <v>321</v>
      </c>
      <c r="G588" t="str">
        <f>_xlfn.XLOOKUP(TRIM(E589),MedicineInfo!A:A,MedicineInfo!B:B,"Not Found")</f>
        <v>Sumatriptan</v>
      </c>
      <c r="H588" s="1" t="str" cm="1">
        <f t="array" ref="H588">_xlfn.IFS(
OR(E588="Type 2 Diabetes",E588="Essential Hypertension",E588="Angina Pectoris",E588="Bronchial Asthma",E588="Cardiac Arrhythmia"), D588+30,
OR(E588="Gastritis",E588="Osteoarthritis",E588="Bronchitis",E588="Iron Deficiency Anemia"), D588+14,
OR(E588="Lumbar Strain",E588="Migraine Headache"), D588+7,
OR(E588="Viral Fever",E588="General Checkup","Routine Health Check"), "",
TRUE,""
)</f>
        <v/>
      </c>
      <c r="I588" s="1" t="str">
        <f t="shared" si="18"/>
        <v>No Follow-up Required</v>
      </c>
      <c r="J588" t="str">
        <f>TEXT(Table8[[#This Row],[visit_Date]],"DDDD")</f>
        <v>Wednesday</v>
      </c>
      <c r="K588" t="str">
        <f>TEXT(Table8[[#This Row],[visit_Date]],"mmmm")</f>
        <v>June</v>
      </c>
      <c r="L588" t="str">
        <f t="shared" si="19"/>
        <v>Monsoon</v>
      </c>
    </row>
    <row r="589" spans="1:12" x14ac:dyDescent="0.25">
      <c r="A589">
        <v>588</v>
      </c>
      <c r="B589">
        <v>1009</v>
      </c>
      <c r="C589">
        <v>602</v>
      </c>
      <c r="D589" s="1">
        <v>45837</v>
      </c>
      <c r="E589" t="s">
        <v>315</v>
      </c>
      <c r="F589" t="s">
        <v>316</v>
      </c>
      <c r="G589" t="str">
        <f>_xlfn.XLOOKUP(TRIM(E590),MedicineInfo!A:A,MedicineInfo!B:B,"Not Found")</f>
        <v>Metformin</v>
      </c>
      <c r="H589" s="1" cm="1">
        <f t="array" ref="H589">_xlfn.IFS(
OR(E589="Type 2 Diabetes",E589="Essential Hypertension",E589="Angina Pectoris",E589="Bronchial Asthma",E589="Cardiac Arrhythmia"), D589+30,
OR(E589="Gastritis",E589="Osteoarthritis",E589="Bronchitis",E589="Iron Deficiency Anemia"), D589+14,
OR(E589="Lumbar Strain",E589="Migraine Headache"), D589+7,
OR(E589="Viral Fever",E589="General Checkup","Routine Health Check"), "",
TRUE,""
)</f>
        <v>45844</v>
      </c>
      <c r="I589" s="1" t="str">
        <f t="shared" si="18"/>
        <v>Follow-up Scheduled</v>
      </c>
      <c r="J589" t="str">
        <f>TEXT(Table8[[#This Row],[visit_Date]],"DDDD")</f>
        <v>Sunday</v>
      </c>
      <c r="K589" t="str">
        <f>TEXT(Table8[[#This Row],[visit_Date]],"mmmm")</f>
        <v>June</v>
      </c>
      <c r="L589" t="str">
        <f t="shared" si="19"/>
        <v>Monsoon</v>
      </c>
    </row>
    <row r="590" spans="1:12" x14ac:dyDescent="0.25">
      <c r="A590">
        <v>589</v>
      </c>
      <c r="B590">
        <v>1024</v>
      </c>
      <c r="C590">
        <v>651</v>
      </c>
      <c r="D590" s="1">
        <v>45853</v>
      </c>
      <c r="E590" t="s">
        <v>317</v>
      </c>
      <c r="F590" t="s">
        <v>318</v>
      </c>
      <c r="G590" t="str">
        <f>_xlfn.XLOOKUP(TRIM(E591),MedicineInfo!A:A,MedicineInfo!B:B,"Not Found")</f>
        <v>Salbutamol Inhaler</v>
      </c>
      <c r="H590" s="1" cm="1">
        <f t="array" ref="H590">_xlfn.IFS(
OR(E590="Type 2 Diabetes",E590="Essential Hypertension",E590="Angina Pectoris",E590="Bronchial Asthma",E590="Cardiac Arrhythmia"), D590+30,
OR(E590="Gastritis",E590="Osteoarthritis",E590="Bronchitis",E590="Iron Deficiency Anemia"), D590+14,
OR(E590="Lumbar Strain",E590="Migraine Headache"), D590+7,
OR(E590="Viral Fever",E590="General Checkup","Routine Health Check"), "",
TRUE,""
)</f>
        <v>45883</v>
      </c>
      <c r="I590" s="1" t="str">
        <f t="shared" si="18"/>
        <v>Follow-up Scheduled</v>
      </c>
      <c r="J590" t="str">
        <f>TEXT(Table8[[#This Row],[visit_Date]],"DDDD")</f>
        <v>Tuesday</v>
      </c>
      <c r="K590" t="str">
        <f>TEXT(Table8[[#This Row],[visit_Date]],"mmmm")</f>
        <v>July</v>
      </c>
      <c r="L590" t="str">
        <f t="shared" si="19"/>
        <v>Monsoon</v>
      </c>
    </row>
    <row r="591" spans="1:12" x14ac:dyDescent="0.25">
      <c r="A591">
        <v>590</v>
      </c>
      <c r="B591">
        <v>1020</v>
      </c>
      <c r="C591">
        <v>924</v>
      </c>
      <c r="D591" s="1">
        <v>45672</v>
      </c>
      <c r="E591" t="s">
        <v>324</v>
      </c>
      <c r="F591" t="s">
        <v>325</v>
      </c>
      <c r="G591" t="str">
        <f>_xlfn.XLOOKUP(TRIM(E592),MedicineInfo!A:A,MedicineInfo!B:B,"Not Found")</f>
        <v>Salbutamol Inhaler</v>
      </c>
      <c r="H591" s="1" cm="1">
        <f t="array" ref="H591">_xlfn.IFS(
OR(E591="Type 2 Diabetes",E591="Essential Hypertension",E591="Angina Pectoris",E591="Bronchial Asthma",E591="Cardiac Arrhythmia"), D591+30,
OR(E591="Gastritis",E591="Osteoarthritis",E591="Bronchitis",E591="Iron Deficiency Anemia"), D591+14,
OR(E591="Lumbar Strain",E591="Migraine Headache"), D591+7,
OR(E591="Viral Fever",E591="General Checkup","Routine Health Check"), "",
TRUE,""
)</f>
        <v>45702</v>
      </c>
      <c r="I591" s="1" t="str">
        <f t="shared" si="18"/>
        <v>Follow-up Scheduled</v>
      </c>
      <c r="J591" t="str">
        <f>TEXT(Table8[[#This Row],[visit_Date]],"DDDD")</f>
        <v>Wednesday</v>
      </c>
      <c r="K591" t="str">
        <f>TEXT(Table8[[#This Row],[visit_Date]],"mmmm")</f>
        <v>January</v>
      </c>
      <c r="L591" t="str">
        <f t="shared" si="19"/>
        <v>Winter</v>
      </c>
    </row>
    <row r="592" spans="1:12" x14ac:dyDescent="0.25">
      <c r="A592">
        <v>591</v>
      </c>
      <c r="B592">
        <v>1020</v>
      </c>
      <c r="C592">
        <v>557</v>
      </c>
      <c r="D592" s="1">
        <v>45823</v>
      </c>
      <c r="E592" t="s">
        <v>324</v>
      </c>
      <c r="F592" t="s">
        <v>325</v>
      </c>
      <c r="G592" t="str">
        <f>_xlfn.XLOOKUP(TRIM(E593),MedicineInfo!A:A,MedicineInfo!B:B,"Not Found")</f>
        <v>Amlodipine</v>
      </c>
      <c r="H592" s="1" cm="1">
        <f t="array" ref="H592">_xlfn.IFS(
OR(E592="Type 2 Diabetes",E592="Essential Hypertension",E592="Angina Pectoris",E592="Bronchial Asthma",E592="Cardiac Arrhythmia"), D592+30,
OR(E592="Gastritis",E592="Osteoarthritis",E592="Bronchitis",E592="Iron Deficiency Anemia"), D592+14,
OR(E592="Lumbar Strain",E592="Migraine Headache"), D592+7,
OR(E592="Viral Fever",E592="General Checkup","Routine Health Check"), "",
TRUE,""
)</f>
        <v>45853</v>
      </c>
      <c r="I592" s="1" t="str">
        <f t="shared" si="18"/>
        <v>Follow-up Scheduled</v>
      </c>
      <c r="J592" t="str">
        <f>TEXT(Table8[[#This Row],[visit_Date]],"DDDD")</f>
        <v>Sunday</v>
      </c>
      <c r="K592" t="str">
        <f>TEXT(Table8[[#This Row],[visit_Date]],"mmmm")</f>
        <v>June</v>
      </c>
      <c r="L592" t="str">
        <f t="shared" si="19"/>
        <v>Monsoon</v>
      </c>
    </row>
    <row r="593" spans="1:12" x14ac:dyDescent="0.25">
      <c r="A593">
        <v>592</v>
      </c>
      <c r="B593">
        <v>1003</v>
      </c>
      <c r="C593">
        <v>257</v>
      </c>
      <c r="D593" s="1">
        <v>45674</v>
      </c>
      <c r="E593" t="s">
        <v>319</v>
      </c>
      <c r="F593" t="s">
        <v>320</v>
      </c>
      <c r="G593" t="str">
        <f>_xlfn.XLOOKUP(TRIM(E594),MedicineInfo!A:A,MedicineInfo!B:B,"Not Found")</f>
        <v>Multivitamin</v>
      </c>
      <c r="H593" s="1" cm="1">
        <f t="array" ref="H593">_xlfn.IFS(
OR(E593="Type 2 Diabetes",E593="Essential Hypertension",E593="Angina Pectoris",E593="Bronchial Asthma",E593="Cardiac Arrhythmia"), D593+30,
OR(E593="Gastritis",E593="Osteoarthritis",E593="Bronchitis",E593="Iron Deficiency Anemia"), D593+14,
OR(E593="Lumbar Strain",E593="Migraine Headache"), D593+7,
OR(E593="Viral Fever",E593="General Checkup","Routine Health Check"), "",
TRUE,""
)</f>
        <v>45704</v>
      </c>
      <c r="I593" s="1" t="str">
        <f t="shared" si="18"/>
        <v>Follow-up Scheduled</v>
      </c>
      <c r="J593" t="str">
        <f>TEXT(Table8[[#This Row],[visit_Date]],"DDDD")</f>
        <v>Friday</v>
      </c>
      <c r="K593" t="str">
        <f>TEXT(Table8[[#This Row],[visit_Date]],"mmmm")</f>
        <v>January</v>
      </c>
      <c r="L593" t="str">
        <f t="shared" si="19"/>
        <v>Winter</v>
      </c>
    </row>
    <row r="594" spans="1:12" x14ac:dyDescent="0.25">
      <c r="A594">
        <v>593</v>
      </c>
      <c r="B594">
        <v>1027</v>
      </c>
      <c r="C594">
        <v>593</v>
      </c>
      <c r="D594" s="1">
        <v>45819</v>
      </c>
      <c r="E594" t="s">
        <v>24</v>
      </c>
      <c r="F594" t="s">
        <v>321</v>
      </c>
      <c r="G594" t="str">
        <f>_xlfn.XLOOKUP(TRIM(E595),MedicineInfo!A:A,MedicineInfo!B:B,"Not Found")</f>
        <v>Sumatriptan</v>
      </c>
      <c r="H594" s="1" t="str" cm="1">
        <f t="array" ref="H594">_xlfn.IFS(
OR(E594="Type 2 Diabetes",E594="Essential Hypertension",E594="Angina Pectoris",E594="Bronchial Asthma",E594="Cardiac Arrhythmia"), D594+30,
OR(E594="Gastritis",E594="Osteoarthritis",E594="Bronchitis",E594="Iron Deficiency Anemia"), D594+14,
OR(E594="Lumbar Strain",E594="Migraine Headache"), D594+7,
OR(E594="Viral Fever",E594="General Checkup","Routine Health Check"), "",
TRUE,""
)</f>
        <v/>
      </c>
      <c r="I594" s="1" t="str">
        <f t="shared" si="18"/>
        <v>No Follow-up Required</v>
      </c>
      <c r="J594" t="str">
        <f>TEXT(Table8[[#This Row],[visit_Date]],"DDDD")</f>
        <v>Wednesday</v>
      </c>
      <c r="K594" t="str">
        <f>TEXT(Table8[[#This Row],[visit_Date]],"mmmm")</f>
        <v>June</v>
      </c>
      <c r="L594" t="str">
        <f t="shared" si="19"/>
        <v>Monsoon</v>
      </c>
    </row>
    <row r="595" spans="1:12" x14ac:dyDescent="0.25">
      <c r="A595">
        <v>594</v>
      </c>
      <c r="B595">
        <v>1008</v>
      </c>
      <c r="C595">
        <v>432</v>
      </c>
      <c r="D595" s="1">
        <v>45727</v>
      </c>
      <c r="E595" t="s">
        <v>315</v>
      </c>
      <c r="F595" t="s">
        <v>316</v>
      </c>
      <c r="G595" t="str">
        <f>_xlfn.XLOOKUP(TRIM(E596),MedicineInfo!A:A,MedicineInfo!B:B,"Not Found")</f>
        <v>Sumatriptan</v>
      </c>
      <c r="H595" s="1" cm="1">
        <f t="array" ref="H595">_xlfn.IFS(
OR(E595="Type 2 Diabetes",E595="Essential Hypertension",E595="Angina Pectoris",E595="Bronchial Asthma",E595="Cardiac Arrhythmia"), D595+30,
OR(E595="Gastritis",E595="Osteoarthritis",E595="Bronchitis",E595="Iron Deficiency Anemia"), D595+14,
OR(E595="Lumbar Strain",E595="Migraine Headache"), D595+7,
OR(E595="Viral Fever",E595="General Checkup","Routine Health Check"), "",
TRUE,""
)</f>
        <v>45734</v>
      </c>
      <c r="I595" s="1" t="str">
        <f t="shared" si="18"/>
        <v>Follow-up Scheduled</v>
      </c>
      <c r="J595" t="str">
        <f>TEXT(Table8[[#This Row],[visit_Date]],"DDDD")</f>
        <v>Tuesday</v>
      </c>
      <c r="K595" t="str">
        <f>TEXT(Table8[[#This Row],[visit_Date]],"mmmm")</f>
        <v>March</v>
      </c>
      <c r="L595" t="str">
        <f t="shared" si="19"/>
        <v>Summer</v>
      </c>
    </row>
    <row r="596" spans="1:12" x14ac:dyDescent="0.25">
      <c r="A596">
        <v>595</v>
      </c>
      <c r="B596">
        <v>1008</v>
      </c>
      <c r="C596">
        <v>234</v>
      </c>
      <c r="D596" s="1">
        <v>45791</v>
      </c>
      <c r="E596" t="s">
        <v>315</v>
      </c>
      <c r="F596" t="s">
        <v>316</v>
      </c>
      <c r="G596" t="str">
        <f>_xlfn.XLOOKUP(TRIM(E597),MedicineInfo!A:A,MedicineInfo!B:B,"Not Found")</f>
        <v>Sumatriptan</v>
      </c>
      <c r="H596" s="1" cm="1">
        <f t="array" ref="H596">_xlfn.IFS(
OR(E596="Type 2 Diabetes",E596="Essential Hypertension",E596="Angina Pectoris",E596="Bronchial Asthma",E596="Cardiac Arrhythmia"), D596+30,
OR(E596="Gastritis",E596="Osteoarthritis",E596="Bronchitis",E596="Iron Deficiency Anemia"), D596+14,
OR(E596="Lumbar Strain",E596="Migraine Headache"), D596+7,
OR(E596="Viral Fever",E596="General Checkup","Routine Health Check"), "",
TRUE,""
)</f>
        <v>45798</v>
      </c>
      <c r="I596" s="1" t="str">
        <f t="shared" si="18"/>
        <v>Follow-up Scheduled</v>
      </c>
      <c r="J596" t="str">
        <f>TEXT(Table8[[#This Row],[visit_Date]],"DDDD")</f>
        <v>Wednesday</v>
      </c>
      <c r="K596" t="str">
        <f>TEXT(Table8[[#This Row],[visit_Date]],"mmmm")</f>
        <v>May</v>
      </c>
      <c r="L596" t="str">
        <f t="shared" si="19"/>
        <v>Summer</v>
      </c>
    </row>
    <row r="597" spans="1:12" x14ac:dyDescent="0.25">
      <c r="A597">
        <v>596</v>
      </c>
      <c r="B597">
        <v>1009</v>
      </c>
      <c r="C597">
        <v>1429</v>
      </c>
      <c r="D597" s="1">
        <v>45793</v>
      </c>
      <c r="E597" t="s">
        <v>315</v>
      </c>
      <c r="F597" t="s">
        <v>316</v>
      </c>
      <c r="G597" t="str">
        <f>_xlfn.XLOOKUP(TRIM(E598),MedicineInfo!A:A,MedicineInfo!B:B,"Not Found")</f>
        <v>Multivitamin</v>
      </c>
      <c r="H597" s="1" cm="1">
        <f t="array" ref="H597">_xlfn.IFS(
OR(E597="Type 2 Diabetes",E597="Essential Hypertension",E597="Angina Pectoris",E597="Bronchial Asthma",E597="Cardiac Arrhythmia"), D597+30,
OR(E597="Gastritis",E597="Osteoarthritis",E597="Bronchitis",E597="Iron Deficiency Anemia"), D597+14,
OR(E597="Lumbar Strain",E597="Migraine Headache"), D597+7,
OR(E597="Viral Fever",E597="General Checkup","Routine Health Check"), "",
TRUE,""
)</f>
        <v>45800</v>
      </c>
      <c r="I597" s="1" t="str">
        <f t="shared" si="18"/>
        <v>Follow-up Scheduled</v>
      </c>
      <c r="J597" t="str">
        <f>TEXT(Table8[[#This Row],[visit_Date]],"DDDD")</f>
        <v>Friday</v>
      </c>
      <c r="K597" t="str">
        <f>TEXT(Table8[[#This Row],[visit_Date]],"mmmm")</f>
        <v>May</v>
      </c>
      <c r="L597" t="str">
        <f t="shared" si="19"/>
        <v>Summer</v>
      </c>
    </row>
    <row r="598" spans="1:12" x14ac:dyDescent="0.25">
      <c r="A598">
        <v>597</v>
      </c>
      <c r="B598">
        <v>1027</v>
      </c>
      <c r="C598">
        <v>1250</v>
      </c>
      <c r="D598" s="1">
        <v>45819</v>
      </c>
      <c r="E598" t="s">
        <v>24</v>
      </c>
      <c r="F598" t="s">
        <v>321</v>
      </c>
      <c r="G598" t="str">
        <f>_xlfn.XLOOKUP(TRIM(E599),MedicineInfo!A:A,MedicineInfo!B:B,"Not Found")</f>
        <v>Paracetamol</v>
      </c>
      <c r="H598" s="1" t="str" cm="1">
        <f t="array" ref="H598">_xlfn.IFS(
OR(E598="Type 2 Diabetes",E598="Essential Hypertension",E598="Angina Pectoris",E598="Bronchial Asthma",E598="Cardiac Arrhythmia"), D598+30,
OR(E598="Gastritis",E598="Osteoarthritis",E598="Bronchitis",E598="Iron Deficiency Anemia"), D598+14,
OR(E598="Lumbar Strain",E598="Migraine Headache"), D598+7,
OR(E598="Viral Fever",E598="General Checkup","Routine Health Check"), "",
TRUE,""
)</f>
        <v/>
      </c>
      <c r="I598" s="1" t="str">
        <f t="shared" si="18"/>
        <v>No Follow-up Required</v>
      </c>
      <c r="J598" t="str">
        <f>TEXT(Table8[[#This Row],[visit_Date]],"DDDD")</f>
        <v>Wednesday</v>
      </c>
      <c r="K598" t="str">
        <f>TEXT(Table8[[#This Row],[visit_Date]],"mmmm")</f>
        <v>June</v>
      </c>
      <c r="L598" t="str">
        <f t="shared" si="19"/>
        <v>Monsoon</v>
      </c>
    </row>
    <row r="599" spans="1:12" x14ac:dyDescent="0.25">
      <c r="A599">
        <v>598</v>
      </c>
      <c r="B599">
        <v>1027</v>
      </c>
      <c r="C599">
        <v>287</v>
      </c>
      <c r="D599" s="1">
        <v>45814</v>
      </c>
      <c r="E599" t="s">
        <v>326</v>
      </c>
      <c r="F599" t="s">
        <v>327</v>
      </c>
      <c r="G599" t="str">
        <f>_xlfn.XLOOKUP(TRIM(E600),MedicineInfo!A:A,MedicineInfo!B:B,"Not Found")</f>
        <v>Paracetamol</v>
      </c>
      <c r="H599" s="1" t="str" cm="1">
        <f t="array" ref="H599">_xlfn.IFS(
OR(E599="Type 2 Diabetes",E599="Essential Hypertension",E599="Angina Pectoris",E599="Bronchial Asthma",E599="Cardiac Arrhythmia"), D599+30,
OR(E599="Gastritis",E599="Osteoarthritis",E599="Bronchitis",E599="Iron Deficiency Anemia"), D599+14,
OR(E599="Lumbar Strain",E599="Migraine Headache"), D599+7,
OR(E599="Viral Fever",E599="General Checkup","Routine Health Check"), "",
TRUE,""
)</f>
        <v/>
      </c>
      <c r="I599" s="1" t="str">
        <f t="shared" si="18"/>
        <v>No Follow-up Required</v>
      </c>
      <c r="J599" t="str">
        <f>TEXT(Table8[[#This Row],[visit_Date]],"DDDD")</f>
        <v>Friday</v>
      </c>
      <c r="K599" t="str">
        <f>TEXT(Table8[[#This Row],[visit_Date]],"mmmm")</f>
        <v>June</v>
      </c>
      <c r="L599" t="str">
        <f t="shared" si="19"/>
        <v>Monsoon</v>
      </c>
    </row>
    <row r="600" spans="1:12" x14ac:dyDescent="0.25">
      <c r="A600">
        <v>599</v>
      </c>
      <c r="B600">
        <v>1027</v>
      </c>
      <c r="C600">
        <v>1181</v>
      </c>
      <c r="D600" s="1">
        <v>45747</v>
      </c>
      <c r="E600" t="s">
        <v>326</v>
      </c>
      <c r="F600" t="s">
        <v>327</v>
      </c>
      <c r="G600" t="str">
        <f>_xlfn.XLOOKUP(TRIM(E601),MedicineInfo!A:A,MedicineInfo!B:B,"Not Found")</f>
        <v>Diclofenac</v>
      </c>
      <c r="H600" s="1" t="str" cm="1">
        <f t="array" ref="H600">_xlfn.IFS(
OR(E600="Type 2 Diabetes",E600="Essential Hypertension",E600="Angina Pectoris",E600="Bronchial Asthma",E600="Cardiac Arrhythmia"), D600+30,
OR(E600="Gastritis",E600="Osteoarthritis",E600="Bronchitis",E600="Iron Deficiency Anemia"), D600+14,
OR(E600="Lumbar Strain",E600="Migraine Headache"), D600+7,
OR(E600="Viral Fever",E600="General Checkup","Routine Health Check"), "",
TRUE,""
)</f>
        <v/>
      </c>
      <c r="I600" s="1" t="str">
        <f t="shared" si="18"/>
        <v>No Follow-up Required</v>
      </c>
      <c r="J600" t="str">
        <f>TEXT(Table8[[#This Row],[visit_Date]],"DDDD")</f>
        <v>Monday</v>
      </c>
      <c r="K600" t="str">
        <f>TEXT(Table8[[#This Row],[visit_Date]],"mmmm")</f>
        <v>March</v>
      </c>
      <c r="L600" t="str">
        <f t="shared" si="19"/>
        <v>Summer</v>
      </c>
    </row>
    <row r="601" spans="1:12" x14ac:dyDescent="0.25">
      <c r="A601">
        <v>600</v>
      </c>
      <c r="B601">
        <v>1027</v>
      </c>
      <c r="C601">
        <v>183</v>
      </c>
      <c r="D601" s="1">
        <v>45814</v>
      </c>
      <c r="E601" t="s">
        <v>313</v>
      </c>
      <c r="F601" t="s">
        <v>314</v>
      </c>
      <c r="G601" t="str">
        <f>_xlfn.XLOOKUP(TRIM(E602),MedicineInfo!A:A,MedicineInfo!B:B,"Not Found")</f>
        <v>Amlodipine</v>
      </c>
      <c r="H601" s="1" cm="1">
        <f t="array" ref="H601">_xlfn.IFS(
OR(E601="Type 2 Diabetes",E601="Essential Hypertension",E601="Angina Pectoris",E601="Bronchial Asthma",E601="Cardiac Arrhythmia"), D601+30,
OR(E601="Gastritis",E601="Osteoarthritis",E601="Bronchitis",E601="Iron Deficiency Anemia"), D601+14,
OR(E601="Lumbar Strain",E601="Migraine Headache"), D601+7,
OR(E601="Viral Fever",E601="General Checkup","Routine Health Check"), "",
TRUE,""
)</f>
        <v>45821</v>
      </c>
      <c r="I601" s="1" t="str">
        <f t="shared" si="18"/>
        <v>Follow-up Scheduled</v>
      </c>
      <c r="J601" t="str">
        <f>TEXT(Table8[[#This Row],[visit_Date]],"DDDD")</f>
        <v>Friday</v>
      </c>
      <c r="K601" t="str">
        <f>TEXT(Table8[[#This Row],[visit_Date]],"mmmm")</f>
        <v>June</v>
      </c>
      <c r="L601" t="str">
        <f t="shared" si="19"/>
        <v>Monsoon</v>
      </c>
    </row>
    <row r="602" spans="1:12" x14ac:dyDescent="0.25">
      <c r="A602">
        <v>601</v>
      </c>
      <c r="B602">
        <v>1002</v>
      </c>
      <c r="C602">
        <v>1437</v>
      </c>
      <c r="D602" s="1">
        <v>45777</v>
      </c>
      <c r="E602" t="s">
        <v>319</v>
      </c>
      <c r="F602" t="s">
        <v>320</v>
      </c>
      <c r="G602" t="str">
        <f>_xlfn.XLOOKUP(TRIM(E603),MedicineInfo!A:A,MedicineInfo!B:B,"Not Found")</f>
        <v>Sumatriptan</v>
      </c>
      <c r="H602" s="1" cm="1">
        <f t="array" ref="H602">_xlfn.IFS(
OR(E602="Type 2 Diabetes",E602="Essential Hypertension",E602="Angina Pectoris",E602="Bronchial Asthma",E602="Cardiac Arrhythmia"), D602+30,
OR(E602="Gastritis",E602="Osteoarthritis",E602="Bronchitis",E602="Iron Deficiency Anemia"), D602+14,
OR(E602="Lumbar Strain",E602="Migraine Headache"), D602+7,
OR(E602="Viral Fever",E602="General Checkup","Routine Health Check"), "",
TRUE,""
)</f>
        <v>45807</v>
      </c>
      <c r="I602" s="1" t="str">
        <f t="shared" si="18"/>
        <v>Follow-up Scheduled</v>
      </c>
      <c r="J602" t="str">
        <f>TEXT(Table8[[#This Row],[visit_Date]],"DDDD")</f>
        <v>Wednesday</v>
      </c>
      <c r="K602" t="str">
        <f>TEXT(Table8[[#This Row],[visit_Date]],"mmmm")</f>
        <v>April</v>
      </c>
      <c r="L602" t="str">
        <f t="shared" si="19"/>
        <v>Summer</v>
      </c>
    </row>
    <row r="603" spans="1:12" x14ac:dyDescent="0.25">
      <c r="A603">
        <v>602</v>
      </c>
      <c r="B603">
        <v>1008</v>
      </c>
      <c r="C603">
        <v>1511</v>
      </c>
      <c r="D603" s="1">
        <v>45814</v>
      </c>
      <c r="E603" t="s">
        <v>315</v>
      </c>
      <c r="F603" t="s">
        <v>316</v>
      </c>
      <c r="G603" t="str">
        <f>_xlfn.XLOOKUP(TRIM(E604),MedicineInfo!A:A,MedicineInfo!B:B,"Not Found")</f>
        <v>Salbutamol Inhaler</v>
      </c>
      <c r="H603" s="1" cm="1">
        <f t="array" ref="H603">_xlfn.IFS(
OR(E603="Type 2 Diabetes",E603="Essential Hypertension",E603="Angina Pectoris",E603="Bronchial Asthma",E603="Cardiac Arrhythmia"), D603+30,
OR(E603="Gastritis",E603="Osteoarthritis",E603="Bronchitis",E603="Iron Deficiency Anemia"), D603+14,
OR(E603="Lumbar Strain",E603="Migraine Headache"), D603+7,
OR(E603="Viral Fever",E603="General Checkup","Routine Health Check"), "",
TRUE,""
)</f>
        <v>45821</v>
      </c>
      <c r="I603" s="1" t="str">
        <f t="shared" si="18"/>
        <v>Follow-up Scheduled</v>
      </c>
      <c r="J603" t="str">
        <f>TEXT(Table8[[#This Row],[visit_Date]],"DDDD")</f>
        <v>Friday</v>
      </c>
      <c r="K603" t="str">
        <f>TEXT(Table8[[#This Row],[visit_Date]],"mmmm")</f>
        <v>June</v>
      </c>
      <c r="L603" t="str">
        <f t="shared" si="19"/>
        <v>Monsoon</v>
      </c>
    </row>
    <row r="604" spans="1:12" x14ac:dyDescent="0.25">
      <c r="A604">
        <v>603</v>
      </c>
      <c r="B604">
        <v>1020</v>
      </c>
      <c r="C604">
        <v>177</v>
      </c>
      <c r="D604" s="1">
        <v>45792</v>
      </c>
      <c r="E604" t="s">
        <v>324</v>
      </c>
      <c r="F604" t="s">
        <v>325</v>
      </c>
      <c r="G604" t="str">
        <f>_xlfn.XLOOKUP(TRIM(E605),MedicineInfo!A:A,MedicineInfo!B:B,"Not Found")</f>
        <v>Multivitamin</v>
      </c>
      <c r="H604" s="1" cm="1">
        <f t="array" ref="H604">_xlfn.IFS(
OR(E604="Type 2 Diabetes",E604="Essential Hypertension",E604="Angina Pectoris",E604="Bronchial Asthma",E604="Cardiac Arrhythmia"), D604+30,
OR(E604="Gastritis",E604="Osteoarthritis",E604="Bronchitis",E604="Iron Deficiency Anemia"), D604+14,
OR(E604="Lumbar Strain",E604="Migraine Headache"), D604+7,
OR(E604="Viral Fever",E604="General Checkup","Routine Health Check"), "",
TRUE,""
)</f>
        <v>45822</v>
      </c>
      <c r="I604" s="1" t="str">
        <f t="shared" si="18"/>
        <v>Follow-up Scheduled</v>
      </c>
      <c r="J604" t="str">
        <f>TEXT(Table8[[#This Row],[visit_Date]],"DDDD")</f>
        <v>Thursday</v>
      </c>
      <c r="K604" t="str">
        <f>TEXT(Table8[[#This Row],[visit_Date]],"mmmm")</f>
        <v>May</v>
      </c>
      <c r="L604" t="str">
        <f t="shared" si="19"/>
        <v>Summer</v>
      </c>
    </row>
    <row r="605" spans="1:12" x14ac:dyDescent="0.25">
      <c r="A605">
        <v>604</v>
      </c>
      <c r="B605">
        <v>1027</v>
      </c>
      <c r="C605">
        <v>710</v>
      </c>
      <c r="D605" s="1">
        <v>45687</v>
      </c>
      <c r="E605" t="s">
        <v>24</v>
      </c>
      <c r="F605" t="s">
        <v>321</v>
      </c>
      <c r="G605" t="str">
        <f>_xlfn.XLOOKUP(TRIM(E606),MedicineInfo!A:A,MedicineInfo!B:B,"Not Found")</f>
        <v>Nitroglycerin</v>
      </c>
      <c r="H605" s="1" t="str" cm="1">
        <f t="array" ref="H605">_xlfn.IFS(
OR(E605="Type 2 Diabetes",E605="Essential Hypertension",E605="Angina Pectoris",E605="Bronchial Asthma",E605="Cardiac Arrhythmia"), D605+30,
OR(E605="Gastritis",E605="Osteoarthritis",E605="Bronchitis",E605="Iron Deficiency Anemia"), D605+14,
OR(E605="Lumbar Strain",E605="Migraine Headache"), D605+7,
OR(E605="Viral Fever",E605="General Checkup","Routine Health Check"), "",
TRUE,""
)</f>
        <v/>
      </c>
      <c r="I605" s="1" t="str">
        <f t="shared" si="18"/>
        <v>No Follow-up Required</v>
      </c>
      <c r="J605" t="str">
        <f>TEXT(Table8[[#This Row],[visit_Date]],"DDDD")</f>
        <v>Thursday</v>
      </c>
      <c r="K605" t="str">
        <f>TEXT(Table8[[#This Row],[visit_Date]],"mmmm")</f>
        <v>January</v>
      </c>
      <c r="L605" t="str">
        <f t="shared" si="19"/>
        <v>Winter</v>
      </c>
    </row>
    <row r="606" spans="1:12" x14ac:dyDescent="0.25">
      <c r="A606">
        <v>605</v>
      </c>
      <c r="B606">
        <v>1027</v>
      </c>
      <c r="C606">
        <v>935</v>
      </c>
      <c r="D606" s="1">
        <v>45777</v>
      </c>
      <c r="E606" t="s">
        <v>322</v>
      </c>
      <c r="F606" t="s">
        <v>323</v>
      </c>
      <c r="G606" t="str">
        <f>_xlfn.XLOOKUP(TRIM(E607),MedicineInfo!A:A,MedicineInfo!B:B,"Not Found")</f>
        <v>Sumatriptan</v>
      </c>
      <c r="H606" s="1" cm="1">
        <f t="array" ref="H606">_xlfn.IFS(
OR(E606="Type 2 Diabetes",E606="Essential Hypertension",E606="Angina Pectoris",E606="Bronchial Asthma",E606="Cardiac Arrhythmia"), D606+30,
OR(E606="Gastritis",E606="Osteoarthritis",E606="Bronchitis",E606="Iron Deficiency Anemia"), D606+14,
OR(E606="Lumbar Strain",E606="Migraine Headache"), D606+7,
OR(E606="Viral Fever",E606="General Checkup","Routine Health Check"), "",
TRUE,""
)</f>
        <v>45807</v>
      </c>
      <c r="I606" s="1" t="str">
        <f t="shared" si="18"/>
        <v>Follow-up Scheduled</v>
      </c>
      <c r="J606" t="str">
        <f>TEXT(Table8[[#This Row],[visit_Date]],"DDDD")</f>
        <v>Wednesday</v>
      </c>
      <c r="K606" t="str">
        <f>TEXT(Table8[[#This Row],[visit_Date]],"mmmm")</f>
        <v>April</v>
      </c>
      <c r="L606" t="str">
        <f t="shared" si="19"/>
        <v>Summer</v>
      </c>
    </row>
    <row r="607" spans="1:12" x14ac:dyDescent="0.25">
      <c r="A607">
        <v>606</v>
      </c>
      <c r="B607">
        <v>1008</v>
      </c>
      <c r="C607">
        <v>510</v>
      </c>
      <c r="D607" s="1">
        <v>45819</v>
      </c>
      <c r="E607" t="s">
        <v>315</v>
      </c>
      <c r="F607" t="s">
        <v>316</v>
      </c>
      <c r="G607" t="str">
        <f>_xlfn.XLOOKUP(TRIM(E608),MedicineInfo!A:A,MedicineInfo!B:B,"Not Found")</f>
        <v>Amlodipine</v>
      </c>
      <c r="H607" s="1" cm="1">
        <f t="array" ref="H607">_xlfn.IFS(
OR(E607="Type 2 Diabetes",E607="Essential Hypertension",E607="Angina Pectoris",E607="Bronchial Asthma",E607="Cardiac Arrhythmia"), D607+30,
OR(E607="Gastritis",E607="Osteoarthritis",E607="Bronchitis",E607="Iron Deficiency Anemia"), D607+14,
OR(E607="Lumbar Strain",E607="Migraine Headache"), D607+7,
OR(E607="Viral Fever",E607="General Checkup","Routine Health Check"), "",
TRUE,""
)</f>
        <v>45826</v>
      </c>
      <c r="I607" s="1" t="str">
        <f t="shared" si="18"/>
        <v>Follow-up Scheduled</v>
      </c>
      <c r="J607" t="str">
        <f>TEXT(Table8[[#This Row],[visit_Date]],"DDDD")</f>
        <v>Wednesday</v>
      </c>
      <c r="K607" t="str">
        <f>TEXT(Table8[[#This Row],[visit_Date]],"mmmm")</f>
        <v>June</v>
      </c>
      <c r="L607" t="str">
        <f t="shared" si="19"/>
        <v>Monsoon</v>
      </c>
    </row>
    <row r="608" spans="1:12" x14ac:dyDescent="0.25">
      <c r="A608">
        <v>607</v>
      </c>
      <c r="B608">
        <v>1001</v>
      </c>
      <c r="C608">
        <v>410</v>
      </c>
      <c r="D608" s="1">
        <v>45814</v>
      </c>
      <c r="E608" t="s">
        <v>319</v>
      </c>
      <c r="F608" t="s">
        <v>320</v>
      </c>
      <c r="G608" t="str">
        <f>_xlfn.XLOOKUP(TRIM(E609),MedicineInfo!A:A,MedicineInfo!B:B,"Not Found")</f>
        <v>Paracetamol</v>
      </c>
      <c r="H608" s="1" cm="1">
        <f t="array" ref="H608">_xlfn.IFS(
OR(E608="Type 2 Diabetes",E608="Essential Hypertension",E608="Angina Pectoris",E608="Bronchial Asthma",E608="Cardiac Arrhythmia"), D608+30,
OR(E608="Gastritis",E608="Osteoarthritis",E608="Bronchitis",E608="Iron Deficiency Anemia"), D608+14,
OR(E608="Lumbar Strain",E608="Migraine Headache"), D608+7,
OR(E608="Viral Fever",E608="General Checkup","Routine Health Check"), "",
TRUE,""
)</f>
        <v>45844</v>
      </c>
      <c r="I608" s="1" t="str">
        <f t="shared" si="18"/>
        <v>Follow-up Scheduled</v>
      </c>
      <c r="J608" t="str">
        <f>TEXT(Table8[[#This Row],[visit_Date]],"DDDD")</f>
        <v>Friday</v>
      </c>
      <c r="K608" t="str">
        <f>TEXT(Table8[[#This Row],[visit_Date]],"mmmm")</f>
        <v>June</v>
      </c>
      <c r="L608" t="str">
        <f t="shared" si="19"/>
        <v>Monsoon</v>
      </c>
    </row>
    <row r="609" spans="1:12" x14ac:dyDescent="0.25">
      <c r="A609">
        <v>608</v>
      </c>
      <c r="B609">
        <v>1027</v>
      </c>
      <c r="C609">
        <v>483</v>
      </c>
      <c r="D609" s="1">
        <v>45758</v>
      </c>
      <c r="E609" t="s">
        <v>326</v>
      </c>
      <c r="F609" t="s">
        <v>327</v>
      </c>
      <c r="G609" t="str">
        <f>_xlfn.XLOOKUP(TRIM(E610),MedicineInfo!A:A,MedicineInfo!B:B,"Not Found")</f>
        <v>Nitroglycerin</v>
      </c>
      <c r="H609" s="1" t="str" cm="1">
        <f t="array" ref="H609">_xlfn.IFS(
OR(E609="Type 2 Diabetes",E609="Essential Hypertension",E609="Angina Pectoris",E609="Bronchial Asthma",E609="Cardiac Arrhythmia"), D609+30,
OR(E609="Gastritis",E609="Osteoarthritis",E609="Bronchitis",E609="Iron Deficiency Anemia"), D609+14,
OR(E609="Lumbar Strain",E609="Migraine Headache"), D609+7,
OR(E609="Viral Fever",E609="General Checkup","Routine Health Check"), "",
TRUE,""
)</f>
        <v/>
      </c>
      <c r="I609" s="1" t="str">
        <f t="shared" si="18"/>
        <v>No Follow-up Required</v>
      </c>
      <c r="J609" t="str">
        <f>TEXT(Table8[[#This Row],[visit_Date]],"DDDD")</f>
        <v>Friday</v>
      </c>
      <c r="K609" t="str">
        <f>TEXT(Table8[[#This Row],[visit_Date]],"mmmm")</f>
        <v>April</v>
      </c>
      <c r="L609" t="str">
        <f t="shared" si="19"/>
        <v>Summer</v>
      </c>
    </row>
    <row r="610" spans="1:12" x14ac:dyDescent="0.25">
      <c r="A610">
        <v>609</v>
      </c>
      <c r="B610">
        <v>1027</v>
      </c>
      <c r="C610">
        <v>1124</v>
      </c>
      <c r="D610" s="1">
        <v>45837</v>
      </c>
      <c r="E610" t="s">
        <v>322</v>
      </c>
      <c r="F610" t="s">
        <v>323</v>
      </c>
      <c r="G610" t="str">
        <f>_xlfn.XLOOKUP(TRIM(E611),MedicineInfo!A:A,MedicineInfo!B:B,"Not Found")</f>
        <v>Salbutamol Inhaler</v>
      </c>
      <c r="H610" s="1" cm="1">
        <f t="array" ref="H610">_xlfn.IFS(
OR(E610="Type 2 Diabetes",E610="Essential Hypertension",E610="Angina Pectoris",E610="Bronchial Asthma",E610="Cardiac Arrhythmia"), D610+30,
OR(E610="Gastritis",E610="Osteoarthritis",E610="Bronchitis",E610="Iron Deficiency Anemia"), D610+14,
OR(E610="Lumbar Strain",E610="Migraine Headache"), D610+7,
OR(E610="Viral Fever",E610="General Checkup","Routine Health Check"), "",
TRUE,""
)</f>
        <v>45867</v>
      </c>
      <c r="I610" s="1" t="str">
        <f t="shared" si="18"/>
        <v>Follow-up Scheduled</v>
      </c>
      <c r="J610" t="str">
        <f>TEXT(Table8[[#This Row],[visit_Date]],"DDDD")</f>
        <v>Sunday</v>
      </c>
      <c r="K610" t="str">
        <f>TEXT(Table8[[#This Row],[visit_Date]],"mmmm")</f>
        <v>June</v>
      </c>
      <c r="L610" t="str">
        <f t="shared" si="19"/>
        <v>Monsoon</v>
      </c>
    </row>
    <row r="611" spans="1:12" x14ac:dyDescent="0.25">
      <c r="A611">
        <v>610</v>
      </c>
      <c r="B611">
        <v>1020</v>
      </c>
      <c r="C611">
        <v>1341</v>
      </c>
      <c r="D611" s="1">
        <v>45791</v>
      </c>
      <c r="E611" t="s">
        <v>324</v>
      </c>
      <c r="F611" t="s">
        <v>325</v>
      </c>
      <c r="G611" t="str">
        <f>_xlfn.XLOOKUP(TRIM(E612),MedicineInfo!A:A,MedicineInfo!B:B,"Not Found")</f>
        <v>Multivitamin</v>
      </c>
      <c r="H611" s="1" cm="1">
        <f t="array" ref="H611">_xlfn.IFS(
OR(E611="Type 2 Diabetes",E611="Essential Hypertension",E611="Angina Pectoris",E611="Bronchial Asthma",E611="Cardiac Arrhythmia"), D611+30,
OR(E611="Gastritis",E611="Osteoarthritis",E611="Bronchitis",E611="Iron Deficiency Anemia"), D611+14,
OR(E611="Lumbar Strain",E611="Migraine Headache"), D611+7,
OR(E611="Viral Fever",E611="General Checkup","Routine Health Check"), "",
TRUE,""
)</f>
        <v>45821</v>
      </c>
      <c r="I611" s="1" t="str">
        <f t="shared" si="18"/>
        <v>Follow-up Scheduled</v>
      </c>
      <c r="J611" t="str">
        <f>TEXT(Table8[[#This Row],[visit_Date]],"DDDD")</f>
        <v>Wednesday</v>
      </c>
      <c r="K611" t="str">
        <f>TEXT(Table8[[#This Row],[visit_Date]],"mmmm")</f>
        <v>May</v>
      </c>
      <c r="L611" t="str">
        <f t="shared" si="19"/>
        <v>Summer</v>
      </c>
    </row>
    <row r="612" spans="1:12" x14ac:dyDescent="0.25">
      <c r="A612">
        <v>611</v>
      </c>
      <c r="B612">
        <v>1027</v>
      </c>
      <c r="C612">
        <v>188</v>
      </c>
      <c r="D612" s="1">
        <v>45822</v>
      </c>
      <c r="E612" t="s">
        <v>24</v>
      </c>
      <c r="F612" t="s">
        <v>321</v>
      </c>
      <c r="G612" t="str">
        <f>_xlfn.XLOOKUP(TRIM(E613),MedicineInfo!A:A,MedicineInfo!B:B,"Not Found")</f>
        <v>Amlodipine</v>
      </c>
      <c r="H612" s="1" t="str" cm="1">
        <f t="array" ref="H612">_xlfn.IFS(
OR(E612="Type 2 Diabetes",E612="Essential Hypertension",E612="Angina Pectoris",E612="Bronchial Asthma",E612="Cardiac Arrhythmia"), D612+30,
OR(E612="Gastritis",E612="Osteoarthritis",E612="Bronchitis",E612="Iron Deficiency Anemia"), D612+14,
OR(E612="Lumbar Strain",E612="Migraine Headache"), D612+7,
OR(E612="Viral Fever",E612="General Checkup","Routine Health Check"), "",
TRUE,""
)</f>
        <v/>
      </c>
      <c r="I612" s="1" t="str">
        <f t="shared" si="18"/>
        <v>No Follow-up Required</v>
      </c>
      <c r="J612" t="str">
        <f>TEXT(Table8[[#This Row],[visit_Date]],"DDDD")</f>
        <v>Saturday</v>
      </c>
      <c r="K612" t="str">
        <f>TEXT(Table8[[#This Row],[visit_Date]],"mmmm")</f>
        <v>June</v>
      </c>
      <c r="L612" t="str">
        <f t="shared" si="19"/>
        <v>Monsoon</v>
      </c>
    </row>
    <row r="613" spans="1:12" x14ac:dyDescent="0.25">
      <c r="A613">
        <v>612</v>
      </c>
      <c r="B613">
        <v>1001</v>
      </c>
      <c r="C613">
        <v>1467</v>
      </c>
      <c r="D613" s="1">
        <v>45850</v>
      </c>
      <c r="E613" t="s">
        <v>319</v>
      </c>
      <c r="F613" t="s">
        <v>320</v>
      </c>
      <c r="G613" t="str">
        <f>_xlfn.XLOOKUP(TRIM(E614),MedicineInfo!A:A,MedicineInfo!B:B,"Not Found")</f>
        <v>Metformin</v>
      </c>
      <c r="H613" s="1" cm="1">
        <f t="array" ref="H613">_xlfn.IFS(
OR(E613="Type 2 Diabetes",E613="Essential Hypertension",E613="Angina Pectoris",E613="Bronchial Asthma",E613="Cardiac Arrhythmia"), D613+30,
OR(E613="Gastritis",E613="Osteoarthritis",E613="Bronchitis",E613="Iron Deficiency Anemia"), D613+14,
OR(E613="Lumbar Strain",E613="Migraine Headache"), D613+7,
OR(E613="Viral Fever",E613="General Checkup","Routine Health Check"), "",
TRUE,""
)</f>
        <v>45880</v>
      </c>
      <c r="I613" s="1" t="str">
        <f t="shared" si="18"/>
        <v>Follow-up Scheduled</v>
      </c>
      <c r="J613" t="str">
        <f>TEXT(Table8[[#This Row],[visit_Date]],"DDDD")</f>
        <v>Saturday</v>
      </c>
      <c r="K613" t="str">
        <f>TEXT(Table8[[#This Row],[visit_Date]],"mmmm")</f>
        <v>July</v>
      </c>
      <c r="L613" t="str">
        <f t="shared" si="19"/>
        <v>Monsoon</v>
      </c>
    </row>
    <row r="614" spans="1:12" x14ac:dyDescent="0.25">
      <c r="A614">
        <v>613</v>
      </c>
      <c r="B614">
        <v>1024</v>
      </c>
      <c r="C614">
        <v>662</v>
      </c>
      <c r="D614" s="1">
        <v>45853</v>
      </c>
      <c r="E614" t="s">
        <v>317</v>
      </c>
      <c r="F614" t="s">
        <v>318</v>
      </c>
      <c r="G614" t="str">
        <f>_xlfn.XLOOKUP(TRIM(E615),MedicineInfo!A:A,MedicineInfo!B:B,"Not Found")</f>
        <v>Amlodipine</v>
      </c>
      <c r="H614" s="1" cm="1">
        <f t="array" ref="H614">_xlfn.IFS(
OR(E614="Type 2 Diabetes",E614="Essential Hypertension",E614="Angina Pectoris",E614="Bronchial Asthma",E614="Cardiac Arrhythmia"), D614+30,
OR(E614="Gastritis",E614="Osteoarthritis",E614="Bronchitis",E614="Iron Deficiency Anemia"), D614+14,
OR(E614="Lumbar Strain",E614="Migraine Headache"), D614+7,
OR(E614="Viral Fever",E614="General Checkup","Routine Health Check"), "",
TRUE,""
)</f>
        <v>45883</v>
      </c>
      <c r="I614" s="1" t="str">
        <f t="shared" si="18"/>
        <v>Follow-up Scheduled</v>
      </c>
      <c r="J614" t="str">
        <f>TEXT(Table8[[#This Row],[visit_Date]],"DDDD")</f>
        <v>Tuesday</v>
      </c>
      <c r="K614" t="str">
        <f>TEXT(Table8[[#This Row],[visit_Date]],"mmmm")</f>
        <v>July</v>
      </c>
      <c r="L614" t="str">
        <f t="shared" si="19"/>
        <v>Monsoon</v>
      </c>
    </row>
    <row r="615" spans="1:12" x14ac:dyDescent="0.25">
      <c r="A615">
        <v>614</v>
      </c>
      <c r="B615">
        <v>1003</v>
      </c>
      <c r="C615">
        <v>1416</v>
      </c>
      <c r="D615" s="1">
        <v>45823</v>
      </c>
      <c r="E615" t="s">
        <v>319</v>
      </c>
      <c r="F615" t="s">
        <v>320</v>
      </c>
      <c r="G615" t="str">
        <f>_xlfn.XLOOKUP(TRIM(E616),MedicineInfo!A:A,MedicineInfo!B:B,"Not Found")</f>
        <v>Nitroglycerin</v>
      </c>
      <c r="H615" s="1" cm="1">
        <f t="array" ref="H615">_xlfn.IFS(
OR(E615="Type 2 Diabetes",E615="Essential Hypertension",E615="Angina Pectoris",E615="Bronchial Asthma",E615="Cardiac Arrhythmia"), D615+30,
OR(E615="Gastritis",E615="Osteoarthritis",E615="Bronchitis",E615="Iron Deficiency Anemia"), D615+14,
OR(E615="Lumbar Strain",E615="Migraine Headache"), D615+7,
OR(E615="Viral Fever",E615="General Checkup","Routine Health Check"), "",
TRUE,""
)</f>
        <v>45853</v>
      </c>
      <c r="I615" s="1" t="str">
        <f t="shared" si="18"/>
        <v>Follow-up Scheduled</v>
      </c>
      <c r="J615" t="str">
        <f>TEXT(Table8[[#This Row],[visit_Date]],"DDDD")</f>
        <v>Sunday</v>
      </c>
      <c r="K615" t="str">
        <f>TEXT(Table8[[#This Row],[visit_Date]],"mmmm")</f>
        <v>June</v>
      </c>
      <c r="L615" t="str">
        <f t="shared" si="19"/>
        <v>Monsoon</v>
      </c>
    </row>
    <row r="616" spans="1:12" x14ac:dyDescent="0.25">
      <c r="A616">
        <v>615</v>
      </c>
      <c r="B616">
        <v>1027</v>
      </c>
      <c r="C616">
        <v>921</v>
      </c>
      <c r="D616" s="1">
        <v>45858</v>
      </c>
      <c r="E616" t="s">
        <v>322</v>
      </c>
      <c r="F616" t="s">
        <v>323</v>
      </c>
      <c r="G616" t="str">
        <f>_xlfn.XLOOKUP(TRIM(E617),MedicineInfo!A:A,MedicineInfo!B:B,"Not Found")</f>
        <v>Amlodipine</v>
      </c>
      <c r="H616" s="1" cm="1">
        <f t="array" ref="H616">_xlfn.IFS(
OR(E616="Type 2 Diabetes",E616="Essential Hypertension",E616="Angina Pectoris",E616="Bronchial Asthma",E616="Cardiac Arrhythmia"), D616+30,
OR(E616="Gastritis",E616="Osteoarthritis",E616="Bronchitis",E616="Iron Deficiency Anemia"), D616+14,
OR(E616="Lumbar Strain",E616="Migraine Headache"), D616+7,
OR(E616="Viral Fever",E616="General Checkup","Routine Health Check"), "",
TRUE,""
)</f>
        <v>45888</v>
      </c>
      <c r="I616" s="1" t="str">
        <f t="shared" si="18"/>
        <v>Follow-up Scheduled</v>
      </c>
      <c r="J616" t="str">
        <f>TEXT(Table8[[#This Row],[visit_Date]],"DDDD")</f>
        <v>Sunday</v>
      </c>
      <c r="K616" t="str">
        <f>TEXT(Table8[[#This Row],[visit_Date]],"mmmm")</f>
        <v>July</v>
      </c>
      <c r="L616" t="str">
        <f t="shared" si="19"/>
        <v>Monsoon</v>
      </c>
    </row>
    <row r="617" spans="1:12" x14ac:dyDescent="0.25">
      <c r="A617">
        <v>616</v>
      </c>
      <c r="B617">
        <v>1003</v>
      </c>
      <c r="C617">
        <v>334</v>
      </c>
      <c r="D617" s="1">
        <v>45791</v>
      </c>
      <c r="E617" t="s">
        <v>319</v>
      </c>
      <c r="F617" t="s">
        <v>320</v>
      </c>
      <c r="G617" t="str">
        <f>_xlfn.XLOOKUP(TRIM(E618),MedicineInfo!A:A,MedicineInfo!B:B,"Not Found")</f>
        <v>Paracetamol</v>
      </c>
      <c r="H617" s="1" cm="1">
        <f t="array" ref="H617">_xlfn.IFS(
OR(E617="Type 2 Diabetes",E617="Essential Hypertension",E617="Angina Pectoris",E617="Bronchial Asthma",E617="Cardiac Arrhythmia"), D617+30,
OR(E617="Gastritis",E617="Osteoarthritis",E617="Bronchitis",E617="Iron Deficiency Anemia"), D617+14,
OR(E617="Lumbar Strain",E617="Migraine Headache"), D617+7,
OR(E617="Viral Fever",E617="General Checkup","Routine Health Check"), "",
TRUE,""
)</f>
        <v>45821</v>
      </c>
      <c r="I617" s="1" t="str">
        <f t="shared" si="18"/>
        <v>Follow-up Scheduled</v>
      </c>
      <c r="J617" t="str">
        <f>TEXT(Table8[[#This Row],[visit_Date]],"DDDD")</f>
        <v>Wednesday</v>
      </c>
      <c r="K617" t="str">
        <f>TEXT(Table8[[#This Row],[visit_Date]],"mmmm")</f>
        <v>May</v>
      </c>
      <c r="L617" t="str">
        <f t="shared" si="19"/>
        <v>Summer</v>
      </c>
    </row>
    <row r="618" spans="1:12" x14ac:dyDescent="0.25">
      <c r="A618">
        <v>617</v>
      </c>
      <c r="B618">
        <v>1027</v>
      </c>
      <c r="C618">
        <v>104</v>
      </c>
      <c r="D618" s="1">
        <v>45814</v>
      </c>
      <c r="E618" t="s">
        <v>326</v>
      </c>
      <c r="F618" t="s">
        <v>327</v>
      </c>
      <c r="G618" t="str">
        <f>_xlfn.XLOOKUP(TRIM(E619),MedicineInfo!A:A,MedicineInfo!B:B,"Not Found")</f>
        <v>Salbutamol Inhaler</v>
      </c>
      <c r="H618" s="1" t="str" cm="1">
        <f t="array" ref="H618">_xlfn.IFS(
OR(E618="Type 2 Diabetes",E618="Essential Hypertension",E618="Angina Pectoris",E618="Bronchial Asthma",E618="Cardiac Arrhythmia"), D618+30,
OR(E618="Gastritis",E618="Osteoarthritis",E618="Bronchitis",E618="Iron Deficiency Anemia"), D618+14,
OR(E618="Lumbar Strain",E618="Migraine Headache"), D618+7,
OR(E618="Viral Fever",E618="General Checkup","Routine Health Check"), "",
TRUE,""
)</f>
        <v/>
      </c>
      <c r="I618" s="1" t="str">
        <f t="shared" si="18"/>
        <v>No Follow-up Required</v>
      </c>
      <c r="J618" t="str">
        <f>TEXT(Table8[[#This Row],[visit_Date]],"DDDD")</f>
        <v>Friday</v>
      </c>
      <c r="K618" t="str">
        <f>TEXT(Table8[[#This Row],[visit_Date]],"mmmm")</f>
        <v>June</v>
      </c>
      <c r="L618" t="str">
        <f t="shared" si="19"/>
        <v>Monsoon</v>
      </c>
    </row>
    <row r="619" spans="1:12" x14ac:dyDescent="0.25">
      <c r="A619">
        <v>618</v>
      </c>
      <c r="B619">
        <v>1020</v>
      </c>
      <c r="C619">
        <v>823</v>
      </c>
      <c r="D619" s="1">
        <v>45769</v>
      </c>
      <c r="E619" t="s">
        <v>324</v>
      </c>
      <c r="F619" t="s">
        <v>325</v>
      </c>
      <c r="G619" t="str">
        <f>_xlfn.XLOOKUP(TRIM(E620),MedicineInfo!A:A,MedicineInfo!B:B,"Not Found")</f>
        <v>Paracetamol</v>
      </c>
      <c r="H619" s="1" cm="1">
        <f t="array" ref="H619">_xlfn.IFS(
OR(E619="Type 2 Diabetes",E619="Essential Hypertension",E619="Angina Pectoris",E619="Bronchial Asthma",E619="Cardiac Arrhythmia"), D619+30,
OR(E619="Gastritis",E619="Osteoarthritis",E619="Bronchitis",E619="Iron Deficiency Anemia"), D619+14,
OR(E619="Lumbar Strain",E619="Migraine Headache"), D619+7,
OR(E619="Viral Fever",E619="General Checkup","Routine Health Check"), "",
TRUE,""
)</f>
        <v>45799</v>
      </c>
      <c r="I619" s="1" t="str">
        <f t="shared" si="18"/>
        <v>Follow-up Scheduled</v>
      </c>
      <c r="J619" t="str">
        <f>TEXT(Table8[[#This Row],[visit_Date]],"DDDD")</f>
        <v>Tuesday</v>
      </c>
      <c r="K619" t="str">
        <f>TEXT(Table8[[#This Row],[visit_Date]],"mmmm")</f>
        <v>April</v>
      </c>
      <c r="L619" t="str">
        <f t="shared" si="19"/>
        <v>Summer</v>
      </c>
    </row>
    <row r="620" spans="1:12" x14ac:dyDescent="0.25">
      <c r="A620">
        <v>619</v>
      </c>
      <c r="B620">
        <v>1027</v>
      </c>
      <c r="C620">
        <v>565</v>
      </c>
      <c r="D620" s="1">
        <v>45783</v>
      </c>
      <c r="E620" t="s">
        <v>326</v>
      </c>
      <c r="F620" t="s">
        <v>327</v>
      </c>
      <c r="G620" t="str">
        <f>_xlfn.XLOOKUP(TRIM(E621),MedicineInfo!A:A,MedicineInfo!B:B,"Not Found")</f>
        <v>Multivitamin</v>
      </c>
      <c r="H620" s="1" t="str" cm="1">
        <f t="array" ref="H620">_xlfn.IFS(
OR(E620="Type 2 Diabetes",E620="Essential Hypertension",E620="Angina Pectoris",E620="Bronchial Asthma",E620="Cardiac Arrhythmia"), D620+30,
OR(E620="Gastritis",E620="Osteoarthritis",E620="Bronchitis",E620="Iron Deficiency Anemia"), D620+14,
OR(E620="Lumbar Strain",E620="Migraine Headache"), D620+7,
OR(E620="Viral Fever",E620="General Checkup","Routine Health Check"), "",
TRUE,""
)</f>
        <v/>
      </c>
      <c r="I620" s="1" t="str">
        <f t="shared" si="18"/>
        <v>No Follow-up Required</v>
      </c>
      <c r="J620" t="str">
        <f>TEXT(Table8[[#This Row],[visit_Date]],"DDDD")</f>
        <v>Tuesday</v>
      </c>
      <c r="K620" t="str">
        <f>TEXT(Table8[[#This Row],[visit_Date]],"mmmm")</f>
        <v>May</v>
      </c>
      <c r="L620" t="str">
        <f t="shared" si="19"/>
        <v>Summer</v>
      </c>
    </row>
    <row r="621" spans="1:12" x14ac:dyDescent="0.25">
      <c r="A621">
        <v>620</v>
      </c>
      <c r="B621">
        <v>1027</v>
      </c>
      <c r="C621">
        <v>1302</v>
      </c>
      <c r="D621" s="1">
        <v>45774</v>
      </c>
      <c r="E621" t="s">
        <v>24</v>
      </c>
      <c r="F621" t="s">
        <v>321</v>
      </c>
      <c r="G621" t="str">
        <f>_xlfn.XLOOKUP(TRIM(E622),MedicineInfo!A:A,MedicineInfo!B:B,"Not Found")</f>
        <v>Nitroglycerin</v>
      </c>
      <c r="H621" s="1" t="str" cm="1">
        <f t="array" ref="H621">_xlfn.IFS(
OR(E621="Type 2 Diabetes",E621="Essential Hypertension",E621="Angina Pectoris",E621="Bronchial Asthma",E621="Cardiac Arrhythmia"), D621+30,
OR(E621="Gastritis",E621="Osteoarthritis",E621="Bronchitis",E621="Iron Deficiency Anemia"), D621+14,
OR(E621="Lumbar Strain",E621="Migraine Headache"), D621+7,
OR(E621="Viral Fever",E621="General Checkup","Routine Health Check"), "",
TRUE,""
)</f>
        <v/>
      </c>
      <c r="I621" s="1" t="str">
        <f t="shared" si="18"/>
        <v>No Follow-up Required</v>
      </c>
      <c r="J621" t="str">
        <f>TEXT(Table8[[#This Row],[visit_Date]],"DDDD")</f>
        <v>Sunday</v>
      </c>
      <c r="K621" t="str">
        <f>TEXT(Table8[[#This Row],[visit_Date]],"mmmm")</f>
        <v>April</v>
      </c>
      <c r="L621" t="str">
        <f t="shared" si="19"/>
        <v>Summer</v>
      </c>
    </row>
    <row r="622" spans="1:12" x14ac:dyDescent="0.25">
      <c r="A622">
        <v>621</v>
      </c>
      <c r="B622">
        <v>1027</v>
      </c>
      <c r="C622">
        <v>869</v>
      </c>
      <c r="D622" s="1">
        <v>45799</v>
      </c>
      <c r="E622" t="s">
        <v>322</v>
      </c>
      <c r="F622" t="s">
        <v>323</v>
      </c>
      <c r="G622" t="str">
        <f>_xlfn.XLOOKUP(TRIM(E623),MedicineInfo!A:A,MedicineInfo!B:B,"Not Found")</f>
        <v>Diclofenac</v>
      </c>
      <c r="H622" s="1" cm="1">
        <f t="array" ref="H622">_xlfn.IFS(
OR(E622="Type 2 Diabetes",E622="Essential Hypertension",E622="Angina Pectoris",E622="Bronchial Asthma",E622="Cardiac Arrhythmia"), D622+30,
OR(E622="Gastritis",E622="Osteoarthritis",E622="Bronchitis",E622="Iron Deficiency Anemia"), D622+14,
OR(E622="Lumbar Strain",E622="Migraine Headache"), D622+7,
OR(E622="Viral Fever",E622="General Checkup","Routine Health Check"), "",
TRUE,""
)</f>
        <v>45829</v>
      </c>
      <c r="I622" s="1" t="str">
        <f t="shared" si="18"/>
        <v>Follow-up Scheduled</v>
      </c>
      <c r="J622" t="str">
        <f>TEXT(Table8[[#This Row],[visit_Date]],"DDDD")</f>
        <v>Thursday</v>
      </c>
      <c r="K622" t="str">
        <f>TEXT(Table8[[#This Row],[visit_Date]],"mmmm")</f>
        <v>May</v>
      </c>
      <c r="L622" t="str">
        <f t="shared" si="19"/>
        <v>Summer</v>
      </c>
    </row>
    <row r="623" spans="1:12" x14ac:dyDescent="0.25">
      <c r="A623">
        <v>622</v>
      </c>
      <c r="B623">
        <v>1027</v>
      </c>
      <c r="C623">
        <v>838</v>
      </c>
      <c r="D623" s="1">
        <v>45790</v>
      </c>
      <c r="E623" t="s">
        <v>313</v>
      </c>
      <c r="F623" t="s">
        <v>314</v>
      </c>
      <c r="G623" t="str">
        <f>_xlfn.XLOOKUP(TRIM(E624),MedicineInfo!A:A,MedicineInfo!B:B,"Not Found")</f>
        <v>Multivitamin</v>
      </c>
      <c r="H623" s="1" cm="1">
        <f t="array" ref="H623">_xlfn.IFS(
OR(E623="Type 2 Diabetes",E623="Essential Hypertension",E623="Angina Pectoris",E623="Bronchial Asthma",E623="Cardiac Arrhythmia"), D623+30,
OR(E623="Gastritis",E623="Osteoarthritis",E623="Bronchitis",E623="Iron Deficiency Anemia"), D623+14,
OR(E623="Lumbar Strain",E623="Migraine Headache"), D623+7,
OR(E623="Viral Fever",E623="General Checkup","Routine Health Check"), "",
TRUE,""
)</f>
        <v>45797</v>
      </c>
      <c r="I623" s="1" t="str">
        <f t="shared" si="18"/>
        <v>Follow-up Scheduled</v>
      </c>
      <c r="J623" t="str">
        <f>TEXT(Table8[[#This Row],[visit_Date]],"DDDD")</f>
        <v>Tuesday</v>
      </c>
      <c r="K623" t="str">
        <f>TEXT(Table8[[#This Row],[visit_Date]],"mmmm")</f>
        <v>May</v>
      </c>
      <c r="L623" t="str">
        <f t="shared" si="19"/>
        <v>Summer</v>
      </c>
    </row>
    <row r="624" spans="1:12" x14ac:dyDescent="0.25">
      <c r="A624">
        <v>623</v>
      </c>
      <c r="B624">
        <v>1027</v>
      </c>
      <c r="C624">
        <v>942</v>
      </c>
      <c r="D624" s="1">
        <v>45804</v>
      </c>
      <c r="E624" t="s">
        <v>24</v>
      </c>
      <c r="F624" t="s">
        <v>321</v>
      </c>
      <c r="G624" t="str">
        <f>_xlfn.XLOOKUP(TRIM(E625),MedicineInfo!A:A,MedicineInfo!B:B,"Not Found")</f>
        <v>Sumatriptan</v>
      </c>
      <c r="H624" s="1" t="str" cm="1">
        <f t="array" ref="H624">_xlfn.IFS(
OR(E624="Type 2 Diabetes",E624="Essential Hypertension",E624="Angina Pectoris",E624="Bronchial Asthma",E624="Cardiac Arrhythmia"), D624+30,
OR(E624="Gastritis",E624="Osteoarthritis",E624="Bronchitis",E624="Iron Deficiency Anemia"), D624+14,
OR(E624="Lumbar Strain",E624="Migraine Headache"), D624+7,
OR(E624="Viral Fever",E624="General Checkup","Routine Health Check"), "",
TRUE,""
)</f>
        <v/>
      </c>
      <c r="I624" s="1" t="str">
        <f t="shared" si="18"/>
        <v>No Follow-up Required</v>
      </c>
      <c r="J624" t="str">
        <f>TEXT(Table8[[#This Row],[visit_Date]],"DDDD")</f>
        <v>Tuesday</v>
      </c>
      <c r="K624" t="str">
        <f>TEXT(Table8[[#This Row],[visit_Date]],"mmmm")</f>
        <v>May</v>
      </c>
      <c r="L624" t="str">
        <f t="shared" si="19"/>
        <v>Summer</v>
      </c>
    </row>
    <row r="625" spans="1:12" x14ac:dyDescent="0.25">
      <c r="A625">
        <v>624</v>
      </c>
      <c r="B625">
        <v>1009</v>
      </c>
      <c r="C625">
        <v>981</v>
      </c>
      <c r="D625" s="1">
        <v>45823</v>
      </c>
      <c r="E625" t="s">
        <v>315</v>
      </c>
      <c r="F625" t="s">
        <v>316</v>
      </c>
      <c r="G625" t="str">
        <f>_xlfn.XLOOKUP(TRIM(E626),MedicineInfo!A:A,MedicineInfo!B:B,"Not Found")</f>
        <v>Multivitamin</v>
      </c>
      <c r="H625" s="1" cm="1">
        <f t="array" ref="H625">_xlfn.IFS(
OR(E625="Type 2 Diabetes",E625="Essential Hypertension",E625="Angina Pectoris",E625="Bronchial Asthma",E625="Cardiac Arrhythmia"), D625+30,
OR(E625="Gastritis",E625="Osteoarthritis",E625="Bronchitis",E625="Iron Deficiency Anemia"), D625+14,
OR(E625="Lumbar Strain",E625="Migraine Headache"), D625+7,
OR(E625="Viral Fever",E625="General Checkup","Routine Health Check"), "",
TRUE,""
)</f>
        <v>45830</v>
      </c>
      <c r="I625" s="1" t="str">
        <f t="shared" si="18"/>
        <v>Follow-up Scheduled</v>
      </c>
      <c r="J625" t="str">
        <f>TEXT(Table8[[#This Row],[visit_Date]],"DDDD")</f>
        <v>Sunday</v>
      </c>
      <c r="K625" t="str">
        <f>TEXT(Table8[[#This Row],[visit_Date]],"mmmm")</f>
        <v>June</v>
      </c>
      <c r="L625" t="str">
        <f t="shared" si="19"/>
        <v>Monsoon</v>
      </c>
    </row>
    <row r="626" spans="1:12" x14ac:dyDescent="0.25">
      <c r="A626">
        <v>625</v>
      </c>
      <c r="B626">
        <v>1027</v>
      </c>
      <c r="C626">
        <v>1092</v>
      </c>
      <c r="D626" s="1">
        <v>45792</v>
      </c>
      <c r="E626" t="s">
        <v>24</v>
      </c>
      <c r="F626" t="s">
        <v>321</v>
      </c>
      <c r="G626" t="str">
        <f>_xlfn.XLOOKUP(TRIM(E627),MedicineInfo!A:A,MedicineInfo!B:B,"Not Found")</f>
        <v>Amlodipine</v>
      </c>
      <c r="H626" s="1" t="str" cm="1">
        <f t="array" ref="H626">_xlfn.IFS(
OR(E626="Type 2 Diabetes",E626="Essential Hypertension",E626="Angina Pectoris",E626="Bronchial Asthma",E626="Cardiac Arrhythmia"), D626+30,
OR(E626="Gastritis",E626="Osteoarthritis",E626="Bronchitis",E626="Iron Deficiency Anemia"), D626+14,
OR(E626="Lumbar Strain",E626="Migraine Headache"), D626+7,
OR(E626="Viral Fever",E626="General Checkup","Routine Health Check"), "",
TRUE,""
)</f>
        <v/>
      </c>
      <c r="I626" s="1" t="str">
        <f t="shared" si="18"/>
        <v>No Follow-up Required</v>
      </c>
      <c r="J626" t="str">
        <f>TEXT(Table8[[#This Row],[visit_Date]],"DDDD")</f>
        <v>Thursday</v>
      </c>
      <c r="K626" t="str">
        <f>TEXT(Table8[[#This Row],[visit_Date]],"mmmm")</f>
        <v>May</v>
      </c>
      <c r="L626" t="str">
        <f t="shared" si="19"/>
        <v>Summer</v>
      </c>
    </row>
    <row r="627" spans="1:12" x14ac:dyDescent="0.25">
      <c r="A627">
        <v>626</v>
      </c>
      <c r="B627">
        <v>1004</v>
      </c>
      <c r="C627">
        <v>464</v>
      </c>
      <c r="D627" s="1">
        <v>45677</v>
      </c>
      <c r="E627" t="s">
        <v>319</v>
      </c>
      <c r="F627" t="s">
        <v>320</v>
      </c>
      <c r="G627" t="str">
        <f>_xlfn.XLOOKUP(TRIM(E628),MedicineInfo!A:A,MedicineInfo!B:B,"Not Found")</f>
        <v>Diclofenac</v>
      </c>
      <c r="H627" s="1" cm="1">
        <f t="array" ref="H627">_xlfn.IFS(
OR(E627="Type 2 Diabetes",E627="Essential Hypertension",E627="Angina Pectoris",E627="Bronchial Asthma",E627="Cardiac Arrhythmia"), D627+30,
OR(E627="Gastritis",E627="Osteoarthritis",E627="Bronchitis",E627="Iron Deficiency Anemia"), D627+14,
OR(E627="Lumbar Strain",E627="Migraine Headache"), D627+7,
OR(E627="Viral Fever",E627="General Checkup","Routine Health Check"), "",
TRUE,""
)</f>
        <v>45707</v>
      </c>
      <c r="I627" s="1" t="str">
        <f t="shared" si="18"/>
        <v>Follow-up Scheduled</v>
      </c>
      <c r="J627" t="str">
        <f>TEXT(Table8[[#This Row],[visit_Date]],"DDDD")</f>
        <v>Monday</v>
      </c>
      <c r="K627" t="str">
        <f>TEXT(Table8[[#This Row],[visit_Date]],"mmmm")</f>
        <v>January</v>
      </c>
      <c r="L627" t="str">
        <f t="shared" si="19"/>
        <v>Winter</v>
      </c>
    </row>
    <row r="628" spans="1:12" x14ac:dyDescent="0.25">
      <c r="A628">
        <v>627</v>
      </c>
      <c r="B628">
        <v>1027</v>
      </c>
      <c r="C628">
        <v>888</v>
      </c>
      <c r="D628" s="1">
        <v>45665</v>
      </c>
      <c r="E628" t="s">
        <v>313</v>
      </c>
      <c r="F628" t="s">
        <v>314</v>
      </c>
      <c r="G628" t="str">
        <f>_xlfn.XLOOKUP(TRIM(E629),MedicineInfo!A:A,MedicineInfo!B:B,"Not Found")</f>
        <v>Diclofenac</v>
      </c>
      <c r="H628" s="1" cm="1">
        <f t="array" ref="H628">_xlfn.IFS(
OR(E628="Type 2 Diabetes",E628="Essential Hypertension",E628="Angina Pectoris",E628="Bronchial Asthma",E628="Cardiac Arrhythmia"), D628+30,
OR(E628="Gastritis",E628="Osteoarthritis",E628="Bronchitis",E628="Iron Deficiency Anemia"), D628+14,
OR(E628="Lumbar Strain",E628="Migraine Headache"), D628+7,
OR(E628="Viral Fever",E628="General Checkup","Routine Health Check"), "",
TRUE,""
)</f>
        <v>45672</v>
      </c>
      <c r="I628" s="1" t="str">
        <f t="shared" si="18"/>
        <v>Follow-up Scheduled</v>
      </c>
      <c r="J628" t="str">
        <f>TEXT(Table8[[#This Row],[visit_Date]],"DDDD")</f>
        <v>Wednesday</v>
      </c>
      <c r="K628" t="str">
        <f>TEXT(Table8[[#This Row],[visit_Date]],"mmmm")</f>
        <v>January</v>
      </c>
      <c r="L628" t="str">
        <f t="shared" si="19"/>
        <v>Winter</v>
      </c>
    </row>
    <row r="629" spans="1:12" x14ac:dyDescent="0.25">
      <c r="A629">
        <v>628</v>
      </c>
      <c r="B629">
        <v>1027</v>
      </c>
      <c r="C629">
        <v>856</v>
      </c>
      <c r="D629" s="1">
        <v>45740</v>
      </c>
      <c r="E629" t="s">
        <v>313</v>
      </c>
      <c r="F629" t="s">
        <v>314</v>
      </c>
      <c r="G629" t="str">
        <f>_xlfn.XLOOKUP(TRIM(E630),MedicineInfo!A:A,MedicineInfo!B:B,"Not Found")</f>
        <v>Sumatriptan</v>
      </c>
      <c r="H629" s="1" cm="1">
        <f t="array" ref="H629">_xlfn.IFS(
OR(E629="Type 2 Diabetes",E629="Essential Hypertension",E629="Angina Pectoris",E629="Bronchial Asthma",E629="Cardiac Arrhythmia"), D629+30,
OR(E629="Gastritis",E629="Osteoarthritis",E629="Bronchitis",E629="Iron Deficiency Anemia"), D629+14,
OR(E629="Lumbar Strain",E629="Migraine Headache"), D629+7,
OR(E629="Viral Fever",E629="General Checkup","Routine Health Check"), "",
TRUE,""
)</f>
        <v>45747</v>
      </c>
      <c r="I629" s="1" t="str">
        <f t="shared" si="18"/>
        <v>Follow-up Scheduled</v>
      </c>
      <c r="J629" t="str">
        <f>TEXT(Table8[[#This Row],[visit_Date]],"DDDD")</f>
        <v>Monday</v>
      </c>
      <c r="K629" t="str">
        <f>TEXT(Table8[[#This Row],[visit_Date]],"mmmm")</f>
        <v>March</v>
      </c>
      <c r="L629" t="str">
        <f t="shared" si="19"/>
        <v>Summer</v>
      </c>
    </row>
    <row r="630" spans="1:12" x14ac:dyDescent="0.25">
      <c r="A630">
        <v>629</v>
      </c>
      <c r="B630">
        <v>1009</v>
      </c>
      <c r="C630">
        <v>742</v>
      </c>
      <c r="D630" s="1">
        <v>45783</v>
      </c>
      <c r="E630" t="s">
        <v>315</v>
      </c>
      <c r="F630" t="s">
        <v>316</v>
      </c>
      <c r="G630" t="str">
        <f>_xlfn.XLOOKUP(TRIM(E631),MedicineInfo!A:A,MedicineInfo!B:B,"Not Found")</f>
        <v>Multivitamin</v>
      </c>
      <c r="H630" s="1" cm="1">
        <f t="array" ref="H630">_xlfn.IFS(
OR(E630="Type 2 Diabetes",E630="Essential Hypertension",E630="Angina Pectoris",E630="Bronchial Asthma",E630="Cardiac Arrhythmia"), D630+30,
OR(E630="Gastritis",E630="Osteoarthritis",E630="Bronchitis",E630="Iron Deficiency Anemia"), D630+14,
OR(E630="Lumbar Strain",E630="Migraine Headache"), D630+7,
OR(E630="Viral Fever",E630="General Checkup","Routine Health Check"), "",
TRUE,""
)</f>
        <v>45790</v>
      </c>
      <c r="I630" s="1" t="str">
        <f t="shared" si="18"/>
        <v>Follow-up Scheduled</v>
      </c>
      <c r="J630" t="str">
        <f>TEXT(Table8[[#This Row],[visit_Date]],"DDDD")</f>
        <v>Tuesday</v>
      </c>
      <c r="K630" t="str">
        <f>TEXT(Table8[[#This Row],[visit_Date]],"mmmm")</f>
        <v>May</v>
      </c>
      <c r="L630" t="str">
        <f t="shared" si="19"/>
        <v>Summer</v>
      </c>
    </row>
    <row r="631" spans="1:12" x14ac:dyDescent="0.25">
      <c r="A631">
        <v>630</v>
      </c>
      <c r="B631">
        <v>1027</v>
      </c>
      <c r="C631">
        <v>1316</v>
      </c>
      <c r="D631" s="1">
        <v>45776</v>
      </c>
      <c r="E631" t="s">
        <v>24</v>
      </c>
      <c r="F631" t="s">
        <v>321</v>
      </c>
      <c r="G631" t="str">
        <f>_xlfn.XLOOKUP(TRIM(E632),MedicineInfo!A:A,MedicineInfo!B:B,"Not Found")</f>
        <v>Diclofenac</v>
      </c>
      <c r="H631" s="1" t="str" cm="1">
        <f t="array" ref="H631">_xlfn.IFS(
OR(E631="Type 2 Diabetes",E631="Essential Hypertension",E631="Angina Pectoris",E631="Bronchial Asthma",E631="Cardiac Arrhythmia"), D631+30,
OR(E631="Gastritis",E631="Osteoarthritis",E631="Bronchitis",E631="Iron Deficiency Anemia"), D631+14,
OR(E631="Lumbar Strain",E631="Migraine Headache"), D631+7,
OR(E631="Viral Fever",E631="General Checkup","Routine Health Check"), "",
TRUE,""
)</f>
        <v/>
      </c>
      <c r="I631" s="1" t="str">
        <f t="shared" si="18"/>
        <v>No Follow-up Required</v>
      </c>
      <c r="J631" t="str">
        <f>TEXT(Table8[[#This Row],[visit_Date]],"DDDD")</f>
        <v>Tuesday</v>
      </c>
      <c r="K631" t="str">
        <f>TEXT(Table8[[#This Row],[visit_Date]],"mmmm")</f>
        <v>April</v>
      </c>
      <c r="L631" t="str">
        <f t="shared" si="19"/>
        <v>Summer</v>
      </c>
    </row>
    <row r="632" spans="1:12" x14ac:dyDescent="0.25">
      <c r="A632">
        <v>631</v>
      </c>
      <c r="B632">
        <v>1027</v>
      </c>
      <c r="C632">
        <v>963</v>
      </c>
      <c r="D632" s="1">
        <v>45791</v>
      </c>
      <c r="E632" t="s">
        <v>313</v>
      </c>
      <c r="F632" t="s">
        <v>314</v>
      </c>
      <c r="G632" t="str">
        <f>_xlfn.XLOOKUP(TRIM(E633),MedicineInfo!A:A,MedicineInfo!B:B,"Not Found")</f>
        <v>Diclofenac</v>
      </c>
      <c r="H632" s="1" cm="1">
        <f t="array" ref="H632">_xlfn.IFS(
OR(E632="Type 2 Diabetes",E632="Essential Hypertension",E632="Angina Pectoris",E632="Bronchial Asthma",E632="Cardiac Arrhythmia"), D632+30,
OR(E632="Gastritis",E632="Osteoarthritis",E632="Bronchitis",E632="Iron Deficiency Anemia"), D632+14,
OR(E632="Lumbar Strain",E632="Migraine Headache"), D632+7,
OR(E632="Viral Fever",E632="General Checkup","Routine Health Check"), "",
TRUE,""
)</f>
        <v>45798</v>
      </c>
      <c r="I632" s="1" t="str">
        <f t="shared" si="18"/>
        <v>Follow-up Scheduled</v>
      </c>
      <c r="J632" t="str">
        <f>TEXT(Table8[[#This Row],[visit_Date]],"DDDD")</f>
        <v>Wednesday</v>
      </c>
      <c r="K632" t="str">
        <f>TEXT(Table8[[#This Row],[visit_Date]],"mmmm")</f>
        <v>May</v>
      </c>
      <c r="L632" t="str">
        <f t="shared" si="19"/>
        <v>Summer</v>
      </c>
    </row>
    <row r="633" spans="1:12" x14ac:dyDescent="0.25">
      <c r="A633">
        <v>632</v>
      </c>
      <c r="B633">
        <v>1027</v>
      </c>
      <c r="C633">
        <v>964</v>
      </c>
      <c r="D633" s="1">
        <v>45790</v>
      </c>
      <c r="E633" t="s">
        <v>313</v>
      </c>
      <c r="F633" t="s">
        <v>314</v>
      </c>
      <c r="G633" t="str">
        <f>_xlfn.XLOOKUP(TRIM(E634),MedicineInfo!A:A,MedicineInfo!B:B,"Not Found")</f>
        <v>Metformin</v>
      </c>
      <c r="H633" s="1" cm="1">
        <f t="array" ref="H633">_xlfn.IFS(
OR(E633="Type 2 Diabetes",E633="Essential Hypertension",E633="Angina Pectoris",E633="Bronchial Asthma",E633="Cardiac Arrhythmia"), D633+30,
OR(E633="Gastritis",E633="Osteoarthritis",E633="Bronchitis",E633="Iron Deficiency Anemia"), D633+14,
OR(E633="Lumbar Strain",E633="Migraine Headache"), D633+7,
OR(E633="Viral Fever",E633="General Checkup","Routine Health Check"), "",
TRUE,""
)</f>
        <v>45797</v>
      </c>
      <c r="I633" s="1" t="str">
        <f t="shared" si="18"/>
        <v>Follow-up Scheduled</v>
      </c>
      <c r="J633" t="str">
        <f>TEXT(Table8[[#This Row],[visit_Date]],"DDDD")</f>
        <v>Tuesday</v>
      </c>
      <c r="K633" t="str">
        <f>TEXT(Table8[[#This Row],[visit_Date]],"mmmm")</f>
        <v>May</v>
      </c>
      <c r="L633" t="str">
        <f t="shared" si="19"/>
        <v>Summer</v>
      </c>
    </row>
    <row r="634" spans="1:12" x14ac:dyDescent="0.25">
      <c r="A634">
        <v>633</v>
      </c>
      <c r="B634">
        <v>1024</v>
      </c>
      <c r="C634">
        <v>1301</v>
      </c>
      <c r="D634" s="1">
        <v>45790</v>
      </c>
      <c r="E634" t="s">
        <v>317</v>
      </c>
      <c r="F634" t="s">
        <v>318</v>
      </c>
      <c r="G634" t="str">
        <f>_xlfn.XLOOKUP(TRIM(E635),MedicineInfo!A:A,MedicineInfo!B:B,"Not Found")</f>
        <v>Diclofenac</v>
      </c>
      <c r="H634" s="1" cm="1">
        <f t="array" ref="H634">_xlfn.IFS(
OR(E634="Type 2 Diabetes",E634="Essential Hypertension",E634="Angina Pectoris",E634="Bronchial Asthma",E634="Cardiac Arrhythmia"), D634+30,
OR(E634="Gastritis",E634="Osteoarthritis",E634="Bronchitis",E634="Iron Deficiency Anemia"), D634+14,
OR(E634="Lumbar Strain",E634="Migraine Headache"), D634+7,
OR(E634="Viral Fever",E634="General Checkup","Routine Health Check"), "",
TRUE,""
)</f>
        <v>45820</v>
      </c>
      <c r="I634" s="1" t="str">
        <f t="shared" si="18"/>
        <v>Follow-up Scheduled</v>
      </c>
      <c r="J634" t="str">
        <f>TEXT(Table8[[#This Row],[visit_Date]],"DDDD")</f>
        <v>Tuesday</v>
      </c>
      <c r="K634" t="str">
        <f>TEXT(Table8[[#This Row],[visit_Date]],"mmmm")</f>
        <v>May</v>
      </c>
      <c r="L634" t="str">
        <f t="shared" si="19"/>
        <v>Summer</v>
      </c>
    </row>
    <row r="635" spans="1:12" x14ac:dyDescent="0.25">
      <c r="A635">
        <v>634</v>
      </c>
      <c r="B635">
        <v>1027</v>
      </c>
      <c r="C635">
        <v>1212</v>
      </c>
      <c r="D635" s="1">
        <v>45814</v>
      </c>
      <c r="E635" t="s">
        <v>313</v>
      </c>
      <c r="F635" t="s">
        <v>314</v>
      </c>
      <c r="G635" t="str">
        <f>_xlfn.XLOOKUP(TRIM(E636),MedicineInfo!A:A,MedicineInfo!B:B,"Not Found")</f>
        <v>Nitroglycerin</v>
      </c>
      <c r="H635" s="1" cm="1">
        <f t="array" ref="H635">_xlfn.IFS(
OR(E635="Type 2 Diabetes",E635="Essential Hypertension",E635="Angina Pectoris",E635="Bronchial Asthma",E635="Cardiac Arrhythmia"), D635+30,
OR(E635="Gastritis",E635="Osteoarthritis",E635="Bronchitis",E635="Iron Deficiency Anemia"), D635+14,
OR(E635="Lumbar Strain",E635="Migraine Headache"), D635+7,
OR(E635="Viral Fever",E635="General Checkup","Routine Health Check"), "",
TRUE,""
)</f>
        <v>45821</v>
      </c>
      <c r="I635" s="1" t="str">
        <f t="shared" si="18"/>
        <v>Follow-up Scheduled</v>
      </c>
      <c r="J635" t="str">
        <f>TEXT(Table8[[#This Row],[visit_Date]],"DDDD")</f>
        <v>Friday</v>
      </c>
      <c r="K635" t="str">
        <f>TEXT(Table8[[#This Row],[visit_Date]],"mmmm")</f>
        <v>June</v>
      </c>
      <c r="L635" t="str">
        <f t="shared" si="19"/>
        <v>Monsoon</v>
      </c>
    </row>
    <row r="636" spans="1:12" x14ac:dyDescent="0.25">
      <c r="A636">
        <v>635</v>
      </c>
      <c r="B636">
        <v>1027</v>
      </c>
      <c r="C636">
        <v>1053</v>
      </c>
      <c r="D636" s="1">
        <v>45853</v>
      </c>
      <c r="E636" t="s">
        <v>322</v>
      </c>
      <c r="F636" t="s">
        <v>323</v>
      </c>
      <c r="G636" t="str">
        <f>_xlfn.XLOOKUP(TRIM(E637),MedicineInfo!A:A,MedicineInfo!B:B,"Not Found")</f>
        <v>Sumatriptan</v>
      </c>
      <c r="H636" s="1" cm="1">
        <f t="array" ref="H636">_xlfn.IFS(
OR(E636="Type 2 Diabetes",E636="Essential Hypertension",E636="Angina Pectoris",E636="Bronchial Asthma",E636="Cardiac Arrhythmia"), D636+30,
OR(E636="Gastritis",E636="Osteoarthritis",E636="Bronchitis",E636="Iron Deficiency Anemia"), D636+14,
OR(E636="Lumbar Strain",E636="Migraine Headache"), D636+7,
OR(E636="Viral Fever",E636="General Checkup","Routine Health Check"), "",
TRUE,""
)</f>
        <v>45883</v>
      </c>
      <c r="I636" s="1" t="str">
        <f t="shared" si="18"/>
        <v>Follow-up Scheduled</v>
      </c>
      <c r="J636" t="str">
        <f>TEXT(Table8[[#This Row],[visit_Date]],"DDDD")</f>
        <v>Tuesday</v>
      </c>
      <c r="K636" t="str">
        <f>TEXT(Table8[[#This Row],[visit_Date]],"mmmm")</f>
        <v>July</v>
      </c>
      <c r="L636" t="str">
        <f t="shared" si="19"/>
        <v>Monsoon</v>
      </c>
    </row>
    <row r="637" spans="1:12" x14ac:dyDescent="0.25">
      <c r="A637">
        <v>636</v>
      </c>
      <c r="B637">
        <v>1008</v>
      </c>
      <c r="C637">
        <v>1059</v>
      </c>
      <c r="D637" s="1">
        <v>45823</v>
      </c>
      <c r="E637" t="s">
        <v>315</v>
      </c>
      <c r="F637" t="s">
        <v>316</v>
      </c>
      <c r="G637" t="str">
        <f>_xlfn.XLOOKUP(TRIM(E638),MedicineInfo!A:A,MedicineInfo!B:B,"Not Found")</f>
        <v>Sumatriptan</v>
      </c>
      <c r="H637" s="1" cm="1">
        <f t="array" ref="H637">_xlfn.IFS(
OR(E637="Type 2 Diabetes",E637="Essential Hypertension",E637="Angina Pectoris",E637="Bronchial Asthma",E637="Cardiac Arrhythmia"), D637+30,
OR(E637="Gastritis",E637="Osteoarthritis",E637="Bronchitis",E637="Iron Deficiency Anemia"), D637+14,
OR(E637="Lumbar Strain",E637="Migraine Headache"), D637+7,
OR(E637="Viral Fever",E637="General Checkup","Routine Health Check"), "",
TRUE,""
)</f>
        <v>45830</v>
      </c>
      <c r="I637" s="1" t="str">
        <f t="shared" si="18"/>
        <v>Follow-up Scheduled</v>
      </c>
      <c r="J637" t="str">
        <f>TEXT(Table8[[#This Row],[visit_Date]],"DDDD")</f>
        <v>Sunday</v>
      </c>
      <c r="K637" t="str">
        <f>TEXT(Table8[[#This Row],[visit_Date]],"mmmm")</f>
        <v>June</v>
      </c>
      <c r="L637" t="str">
        <f t="shared" si="19"/>
        <v>Monsoon</v>
      </c>
    </row>
    <row r="638" spans="1:12" x14ac:dyDescent="0.25">
      <c r="A638">
        <v>637</v>
      </c>
      <c r="B638">
        <v>1009</v>
      </c>
      <c r="C638">
        <v>929</v>
      </c>
      <c r="D638" s="1">
        <v>45783</v>
      </c>
      <c r="E638" t="s">
        <v>315</v>
      </c>
      <c r="F638" t="s">
        <v>316</v>
      </c>
      <c r="G638" t="str">
        <f>_xlfn.XLOOKUP(TRIM(E639),MedicineInfo!A:A,MedicineInfo!B:B,"Not Found")</f>
        <v>Multivitamin</v>
      </c>
      <c r="H638" s="1" cm="1">
        <f t="array" ref="H638">_xlfn.IFS(
OR(E638="Type 2 Diabetes",E638="Essential Hypertension",E638="Angina Pectoris",E638="Bronchial Asthma",E638="Cardiac Arrhythmia"), D638+30,
OR(E638="Gastritis",E638="Osteoarthritis",E638="Bronchitis",E638="Iron Deficiency Anemia"), D638+14,
OR(E638="Lumbar Strain",E638="Migraine Headache"), D638+7,
OR(E638="Viral Fever",E638="General Checkup","Routine Health Check"), "",
TRUE,""
)</f>
        <v>45790</v>
      </c>
      <c r="I638" s="1" t="str">
        <f t="shared" si="18"/>
        <v>Follow-up Scheduled</v>
      </c>
      <c r="J638" t="str">
        <f>TEXT(Table8[[#This Row],[visit_Date]],"DDDD")</f>
        <v>Tuesday</v>
      </c>
      <c r="K638" t="str">
        <f>TEXT(Table8[[#This Row],[visit_Date]],"mmmm")</f>
        <v>May</v>
      </c>
      <c r="L638" t="str">
        <f t="shared" si="19"/>
        <v>Summer</v>
      </c>
    </row>
    <row r="639" spans="1:12" x14ac:dyDescent="0.25">
      <c r="A639">
        <v>638</v>
      </c>
      <c r="B639">
        <v>1027</v>
      </c>
      <c r="C639">
        <v>340</v>
      </c>
      <c r="D639" s="1">
        <v>45777</v>
      </c>
      <c r="E639" t="s">
        <v>24</v>
      </c>
      <c r="F639" t="s">
        <v>321</v>
      </c>
      <c r="G639" t="str">
        <f>_xlfn.XLOOKUP(TRIM(E640),MedicineInfo!A:A,MedicineInfo!B:B,"Not Found")</f>
        <v>Salbutamol Inhaler</v>
      </c>
      <c r="H639" s="1" t="str" cm="1">
        <f t="array" ref="H639">_xlfn.IFS(
OR(E639="Type 2 Diabetes",E639="Essential Hypertension",E639="Angina Pectoris",E639="Bronchial Asthma",E639="Cardiac Arrhythmia"), D639+30,
OR(E639="Gastritis",E639="Osteoarthritis",E639="Bronchitis",E639="Iron Deficiency Anemia"), D639+14,
OR(E639="Lumbar Strain",E639="Migraine Headache"), D639+7,
OR(E639="Viral Fever",E639="General Checkup","Routine Health Check"), "",
TRUE,""
)</f>
        <v/>
      </c>
      <c r="I639" s="1" t="str">
        <f t="shared" si="18"/>
        <v>No Follow-up Required</v>
      </c>
      <c r="J639" t="str">
        <f>TEXT(Table8[[#This Row],[visit_Date]],"DDDD")</f>
        <v>Wednesday</v>
      </c>
      <c r="K639" t="str">
        <f>TEXT(Table8[[#This Row],[visit_Date]],"mmmm")</f>
        <v>April</v>
      </c>
      <c r="L639" t="str">
        <f t="shared" si="19"/>
        <v>Summer</v>
      </c>
    </row>
    <row r="640" spans="1:12" x14ac:dyDescent="0.25">
      <c r="A640">
        <v>639</v>
      </c>
      <c r="B640">
        <v>1020</v>
      </c>
      <c r="C640">
        <v>502</v>
      </c>
      <c r="D640" s="1">
        <v>45782</v>
      </c>
      <c r="E640" t="s">
        <v>324</v>
      </c>
      <c r="F640" t="s">
        <v>325</v>
      </c>
      <c r="G640" t="str">
        <f>_xlfn.XLOOKUP(TRIM(E641),MedicineInfo!A:A,MedicineInfo!B:B,"Not Found")</f>
        <v>Multivitamin</v>
      </c>
      <c r="H640" s="1" cm="1">
        <f t="array" ref="H640">_xlfn.IFS(
OR(E640="Type 2 Diabetes",E640="Essential Hypertension",E640="Angina Pectoris",E640="Bronchial Asthma",E640="Cardiac Arrhythmia"), D640+30,
OR(E640="Gastritis",E640="Osteoarthritis",E640="Bronchitis",E640="Iron Deficiency Anemia"), D640+14,
OR(E640="Lumbar Strain",E640="Migraine Headache"), D640+7,
OR(E640="Viral Fever",E640="General Checkup","Routine Health Check"), "",
TRUE,""
)</f>
        <v>45812</v>
      </c>
      <c r="I640" s="1" t="str">
        <f t="shared" si="18"/>
        <v>Follow-up Scheduled</v>
      </c>
      <c r="J640" t="str">
        <f>TEXT(Table8[[#This Row],[visit_Date]],"DDDD")</f>
        <v>Monday</v>
      </c>
      <c r="K640" t="str">
        <f>TEXT(Table8[[#This Row],[visit_Date]],"mmmm")</f>
        <v>May</v>
      </c>
      <c r="L640" t="str">
        <f t="shared" si="19"/>
        <v>Summer</v>
      </c>
    </row>
    <row r="641" spans="1:12" x14ac:dyDescent="0.25">
      <c r="A641">
        <v>640</v>
      </c>
      <c r="B641">
        <v>1027</v>
      </c>
      <c r="C641">
        <v>642</v>
      </c>
      <c r="D641" s="1">
        <v>45844</v>
      </c>
      <c r="E641" t="s">
        <v>24</v>
      </c>
      <c r="F641" t="s">
        <v>321</v>
      </c>
      <c r="G641" t="str">
        <f>_xlfn.XLOOKUP(TRIM(E642),MedicineInfo!A:A,MedicineInfo!B:B,"Not Found")</f>
        <v>Multivitamin</v>
      </c>
      <c r="H641" s="1" t="str" cm="1">
        <f t="array" ref="H641">_xlfn.IFS(
OR(E641="Type 2 Diabetes",E641="Essential Hypertension",E641="Angina Pectoris",E641="Bronchial Asthma",E641="Cardiac Arrhythmia"), D641+30,
OR(E641="Gastritis",E641="Osteoarthritis",E641="Bronchitis",E641="Iron Deficiency Anemia"), D641+14,
OR(E641="Lumbar Strain",E641="Migraine Headache"), D641+7,
OR(E641="Viral Fever",E641="General Checkup","Routine Health Check"), "",
TRUE,""
)</f>
        <v/>
      </c>
      <c r="I641" s="1" t="str">
        <f t="shared" si="18"/>
        <v>No Follow-up Required</v>
      </c>
      <c r="J641" t="str">
        <f>TEXT(Table8[[#This Row],[visit_Date]],"DDDD")</f>
        <v>Sunday</v>
      </c>
      <c r="K641" t="str">
        <f>TEXT(Table8[[#This Row],[visit_Date]],"mmmm")</f>
        <v>July</v>
      </c>
      <c r="L641" t="str">
        <f t="shared" si="19"/>
        <v>Monsoon</v>
      </c>
    </row>
    <row r="642" spans="1:12" x14ac:dyDescent="0.25">
      <c r="A642">
        <v>641</v>
      </c>
      <c r="B642">
        <v>1027</v>
      </c>
      <c r="C642">
        <v>1244</v>
      </c>
      <c r="D642" s="1">
        <v>45792</v>
      </c>
      <c r="E642" t="s">
        <v>24</v>
      </c>
      <c r="F642" t="s">
        <v>321</v>
      </c>
      <c r="G642" t="str">
        <f>_xlfn.XLOOKUP(TRIM(E643),MedicineInfo!A:A,MedicineInfo!B:B,"Not Found")</f>
        <v>Amlodipine</v>
      </c>
      <c r="H642" s="1" t="str" cm="1">
        <f t="array" ref="H642">_xlfn.IFS(
OR(E642="Type 2 Diabetes",E642="Essential Hypertension",E642="Angina Pectoris",E642="Bronchial Asthma",E642="Cardiac Arrhythmia"), D642+30,
OR(E642="Gastritis",E642="Osteoarthritis",E642="Bronchitis",E642="Iron Deficiency Anemia"), D642+14,
OR(E642="Lumbar Strain",E642="Migraine Headache"), D642+7,
OR(E642="Viral Fever",E642="General Checkup","Routine Health Check"), "",
TRUE,""
)</f>
        <v/>
      </c>
      <c r="I642" s="1" t="str">
        <f t="shared" ref="I642:I705" si="20">IF(H642="","No Follow-up Required","Follow-up Scheduled")</f>
        <v>No Follow-up Required</v>
      </c>
      <c r="J642" t="str">
        <f>TEXT(Table8[[#This Row],[visit_Date]],"DDDD")</f>
        <v>Thursday</v>
      </c>
      <c r="K642" t="str">
        <f>TEXT(Table8[[#This Row],[visit_Date]],"mmmm")</f>
        <v>May</v>
      </c>
      <c r="L642" t="str">
        <f t="shared" ref="L642:L705" si="21">IF(OR(MONTH(D642)=12,MONTH(D642)&lt;=2),"Winter",
IF(MONTH(D642)&lt;=5,"Summer","Monsoon"))</f>
        <v>Summer</v>
      </c>
    </row>
    <row r="643" spans="1:12" x14ac:dyDescent="0.25">
      <c r="A643">
        <v>642</v>
      </c>
      <c r="B643">
        <v>1001</v>
      </c>
      <c r="C643">
        <v>223</v>
      </c>
      <c r="D643" s="1">
        <v>45784</v>
      </c>
      <c r="E643" t="s">
        <v>319</v>
      </c>
      <c r="F643" t="s">
        <v>320</v>
      </c>
      <c r="G643" t="str">
        <f>_xlfn.XLOOKUP(TRIM(E644),MedicineInfo!A:A,MedicineInfo!B:B,"Not Found")</f>
        <v>Multivitamin</v>
      </c>
      <c r="H643" s="1" cm="1">
        <f t="array" ref="H643">_xlfn.IFS(
OR(E643="Type 2 Diabetes",E643="Essential Hypertension",E643="Angina Pectoris",E643="Bronchial Asthma",E643="Cardiac Arrhythmia"), D643+30,
OR(E643="Gastritis",E643="Osteoarthritis",E643="Bronchitis",E643="Iron Deficiency Anemia"), D643+14,
OR(E643="Lumbar Strain",E643="Migraine Headache"), D643+7,
OR(E643="Viral Fever",E643="General Checkup","Routine Health Check"), "",
TRUE,""
)</f>
        <v>45814</v>
      </c>
      <c r="I643" s="1" t="str">
        <f t="shared" si="20"/>
        <v>Follow-up Scheduled</v>
      </c>
      <c r="J643" t="str">
        <f>TEXT(Table8[[#This Row],[visit_Date]],"DDDD")</f>
        <v>Wednesday</v>
      </c>
      <c r="K643" t="str">
        <f>TEXT(Table8[[#This Row],[visit_Date]],"mmmm")</f>
        <v>May</v>
      </c>
      <c r="L643" t="str">
        <f t="shared" si="21"/>
        <v>Summer</v>
      </c>
    </row>
    <row r="644" spans="1:12" x14ac:dyDescent="0.25">
      <c r="A644">
        <v>643</v>
      </c>
      <c r="B644">
        <v>1027</v>
      </c>
      <c r="C644">
        <v>184</v>
      </c>
      <c r="D644" s="1">
        <v>45835</v>
      </c>
      <c r="E644" t="s">
        <v>24</v>
      </c>
      <c r="F644" t="s">
        <v>321</v>
      </c>
      <c r="G644" t="str">
        <f>_xlfn.XLOOKUP(TRIM(E645),MedicineInfo!A:A,MedicineInfo!B:B,"Not Found")</f>
        <v>Multivitamin</v>
      </c>
      <c r="H644" s="1" t="str" cm="1">
        <f t="array" ref="H644">_xlfn.IFS(
OR(E644="Type 2 Diabetes",E644="Essential Hypertension",E644="Angina Pectoris",E644="Bronchial Asthma",E644="Cardiac Arrhythmia"), D644+30,
OR(E644="Gastritis",E644="Osteoarthritis",E644="Bronchitis",E644="Iron Deficiency Anemia"), D644+14,
OR(E644="Lumbar Strain",E644="Migraine Headache"), D644+7,
OR(E644="Viral Fever",E644="General Checkup","Routine Health Check"), "",
TRUE,""
)</f>
        <v/>
      </c>
      <c r="I644" s="1" t="str">
        <f t="shared" si="20"/>
        <v>No Follow-up Required</v>
      </c>
      <c r="J644" t="str">
        <f>TEXT(Table8[[#This Row],[visit_Date]],"DDDD")</f>
        <v>Friday</v>
      </c>
      <c r="K644" t="str">
        <f>TEXT(Table8[[#This Row],[visit_Date]],"mmmm")</f>
        <v>June</v>
      </c>
      <c r="L644" t="str">
        <f t="shared" si="21"/>
        <v>Monsoon</v>
      </c>
    </row>
    <row r="645" spans="1:12" x14ac:dyDescent="0.25">
      <c r="A645">
        <v>644</v>
      </c>
      <c r="B645">
        <v>1027</v>
      </c>
      <c r="C645">
        <v>1371</v>
      </c>
      <c r="D645" s="1">
        <v>45790</v>
      </c>
      <c r="E645" t="s">
        <v>24</v>
      </c>
      <c r="F645" t="s">
        <v>321</v>
      </c>
      <c r="G645" t="str">
        <f>_xlfn.XLOOKUP(TRIM(E646),MedicineInfo!A:A,MedicineInfo!B:B,"Not Found")</f>
        <v>Sumatriptan</v>
      </c>
      <c r="H645" s="1" t="str" cm="1">
        <f t="array" ref="H645">_xlfn.IFS(
OR(E645="Type 2 Diabetes",E645="Essential Hypertension",E645="Angina Pectoris",E645="Bronchial Asthma",E645="Cardiac Arrhythmia"), D645+30,
OR(E645="Gastritis",E645="Osteoarthritis",E645="Bronchitis",E645="Iron Deficiency Anemia"), D645+14,
OR(E645="Lumbar Strain",E645="Migraine Headache"), D645+7,
OR(E645="Viral Fever",E645="General Checkup","Routine Health Check"), "",
TRUE,""
)</f>
        <v/>
      </c>
      <c r="I645" s="1" t="str">
        <f t="shared" si="20"/>
        <v>No Follow-up Required</v>
      </c>
      <c r="J645" t="str">
        <f>TEXT(Table8[[#This Row],[visit_Date]],"DDDD")</f>
        <v>Tuesday</v>
      </c>
      <c r="K645" t="str">
        <f>TEXT(Table8[[#This Row],[visit_Date]],"mmmm")</f>
        <v>May</v>
      </c>
      <c r="L645" t="str">
        <f t="shared" si="21"/>
        <v>Summer</v>
      </c>
    </row>
    <row r="646" spans="1:12" x14ac:dyDescent="0.25">
      <c r="A646">
        <v>645</v>
      </c>
      <c r="B646">
        <v>1008</v>
      </c>
      <c r="C646">
        <v>166</v>
      </c>
      <c r="D646" s="1">
        <v>45792</v>
      </c>
      <c r="E646" t="s">
        <v>315</v>
      </c>
      <c r="F646" t="s">
        <v>316</v>
      </c>
      <c r="G646" t="str">
        <f>_xlfn.XLOOKUP(TRIM(E647),MedicineInfo!A:A,MedicineInfo!B:B,"Not Found")</f>
        <v>Salbutamol Inhaler</v>
      </c>
      <c r="H646" s="1" cm="1">
        <f t="array" ref="H646">_xlfn.IFS(
OR(E646="Type 2 Diabetes",E646="Essential Hypertension",E646="Angina Pectoris",E646="Bronchial Asthma",E646="Cardiac Arrhythmia"), D646+30,
OR(E646="Gastritis",E646="Osteoarthritis",E646="Bronchitis",E646="Iron Deficiency Anemia"), D646+14,
OR(E646="Lumbar Strain",E646="Migraine Headache"), D646+7,
OR(E646="Viral Fever",E646="General Checkup","Routine Health Check"), "",
TRUE,""
)</f>
        <v>45799</v>
      </c>
      <c r="I646" s="1" t="str">
        <f t="shared" si="20"/>
        <v>Follow-up Scheduled</v>
      </c>
      <c r="J646" t="str">
        <f>TEXT(Table8[[#This Row],[visit_Date]],"DDDD")</f>
        <v>Thursday</v>
      </c>
      <c r="K646" t="str">
        <f>TEXT(Table8[[#This Row],[visit_Date]],"mmmm")</f>
        <v>May</v>
      </c>
      <c r="L646" t="str">
        <f t="shared" si="21"/>
        <v>Summer</v>
      </c>
    </row>
    <row r="647" spans="1:12" x14ac:dyDescent="0.25">
      <c r="A647">
        <v>646</v>
      </c>
      <c r="B647">
        <v>1020</v>
      </c>
      <c r="C647">
        <v>1073</v>
      </c>
      <c r="D647" s="1">
        <v>45819</v>
      </c>
      <c r="E647" t="s">
        <v>324</v>
      </c>
      <c r="F647" t="s">
        <v>325</v>
      </c>
      <c r="G647" t="str">
        <f>_xlfn.XLOOKUP(TRIM(E648),MedicineInfo!A:A,MedicineInfo!B:B,"Not Found")</f>
        <v>Amlodipine</v>
      </c>
      <c r="H647" s="1" cm="1">
        <f t="array" ref="H647">_xlfn.IFS(
OR(E647="Type 2 Diabetes",E647="Essential Hypertension",E647="Angina Pectoris",E647="Bronchial Asthma",E647="Cardiac Arrhythmia"), D647+30,
OR(E647="Gastritis",E647="Osteoarthritis",E647="Bronchitis",E647="Iron Deficiency Anemia"), D647+14,
OR(E647="Lumbar Strain",E647="Migraine Headache"), D647+7,
OR(E647="Viral Fever",E647="General Checkup","Routine Health Check"), "",
TRUE,""
)</f>
        <v>45849</v>
      </c>
      <c r="I647" s="1" t="str">
        <f t="shared" si="20"/>
        <v>Follow-up Scheduled</v>
      </c>
      <c r="J647" t="str">
        <f>TEXT(Table8[[#This Row],[visit_Date]],"DDDD")</f>
        <v>Wednesday</v>
      </c>
      <c r="K647" t="str">
        <f>TEXT(Table8[[#This Row],[visit_Date]],"mmmm")</f>
        <v>June</v>
      </c>
      <c r="L647" t="str">
        <f t="shared" si="21"/>
        <v>Monsoon</v>
      </c>
    </row>
    <row r="648" spans="1:12" x14ac:dyDescent="0.25">
      <c r="A648">
        <v>647</v>
      </c>
      <c r="B648">
        <v>1003</v>
      </c>
      <c r="C648">
        <v>141</v>
      </c>
      <c r="D648" s="1">
        <v>45814</v>
      </c>
      <c r="E648" t="s">
        <v>319</v>
      </c>
      <c r="F648" t="s">
        <v>320</v>
      </c>
      <c r="G648" t="str">
        <f>_xlfn.XLOOKUP(TRIM(E649),MedicineInfo!A:A,MedicineInfo!B:B,"Not Found")</f>
        <v>Nitroglycerin</v>
      </c>
      <c r="H648" s="1" cm="1">
        <f t="array" ref="H648">_xlfn.IFS(
OR(E648="Type 2 Diabetes",E648="Essential Hypertension",E648="Angina Pectoris",E648="Bronchial Asthma",E648="Cardiac Arrhythmia"), D648+30,
OR(E648="Gastritis",E648="Osteoarthritis",E648="Bronchitis",E648="Iron Deficiency Anemia"), D648+14,
OR(E648="Lumbar Strain",E648="Migraine Headache"), D648+7,
OR(E648="Viral Fever",E648="General Checkup","Routine Health Check"), "",
TRUE,""
)</f>
        <v>45844</v>
      </c>
      <c r="I648" s="1" t="str">
        <f t="shared" si="20"/>
        <v>Follow-up Scheduled</v>
      </c>
      <c r="J648" t="str">
        <f>TEXT(Table8[[#This Row],[visit_Date]],"DDDD")</f>
        <v>Friday</v>
      </c>
      <c r="K648" t="str">
        <f>TEXT(Table8[[#This Row],[visit_Date]],"mmmm")</f>
        <v>June</v>
      </c>
      <c r="L648" t="str">
        <f t="shared" si="21"/>
        <v>Monsoon</v>
      </c>
    </row>
    <row r="649" spans="1:12" x14ac:dyDescent="0.25">
      <c r="A649">
        <v>648</v>
      </c>
      <c r="B649">
        <v>1027</v>
      </c>
      <c r="C649">
        <v>1207</v>
      </c>
      <c r="D649" s="1">
        <v>45866</v>
      </c>
      <c r="E649" t="s">
        <v>322</v>
      </c>
      <c r="F649" t="s">
        <v>323</v>
      </c>
      <c r="G649" t="str">
        <f>_xlfn.XLOOKUP(TRIM(E650),MedicineInfo!A:A,MedicineInfo!B:B,"Not Found")</f>
        <v>Sumatriptan</v>
      </c>
      <c r="H649" s="1" cm="1">
        <f t="array" ref="H649">_xlfn.IFS(
OR(E649="Type 2 Diabetes",E649="Essential Hypertension",E649="Angina Pectoris",E649="Bronchial Asthma",E649="Cardiac Arrhythmia"), D649+30,
OR(E649="Gastritis",E649="Osteoarthritis",E649="Bronchitis",E649="Iron Deficiency Anemia"), D649+14,
OR(E649="Lumbar Strain",E649="Migraine Headache"), D649+7,
OR(E649="Viral Fever",E649="General Checkup","Routine Health Check"), "",
TRUE,""
)</f>
        <v>45896</v>
      </c>
      <c r="I649" s="1" t="str">
        <f t="shared" si="20"/>
        <v>Follow-up Scheduled</v>
      </c>
      <c r="J649" t="str">
        <f>TEXT(Table8[[#This Row],[visit_Date]],"DDDD")</f>
        <v>Monday</v>
      </c>
      <c r="K649" t="str">
        <f>TEXT(Table8[[#This Row],[visit_Date]],"mmmm")</f>
        <v>July</v>
      </c>
      <c r="L649" t="str">
        <f t="shared" si="21"/>
        <v>Monsoon</v>
      </c>
    </row>
    <row r="650" spans="1:12" x14ac:dyDescent="0.25">
      <c r="A650">
        <v>649</v>
      </c>
      <c r="B650">
        <v>1009</v>
      </c>
      <c r="C650">
        <v>1487</v>
      </c>
      <c r="D650" s="1">
        <v>45775</v>
      </c>
      <c r="E650" t="s">
        <v>315</v>
      </c>
      <c r="F650" t="s">
        <v>316</v>
      </c>
      <c r="G650" t="str">
        <f>_xlfn.XLOOKUP(TRIM(E651),MedicineInfo!A:A,MedicineInfo!B:B,"Not Found")</f>
        <v>Salbutamol Inhaler</v>
      </c>
      <c r="H650" s="1" cm="1">
        <f t="array" ref="H650">_xlfn.IFS(
OR(E650="Type 2 Diabetes",E650="Essential Hypertension",E650="Angina Pectoris",E650="Bronchial Asthma",E650="Cardiac Arrhythmia"), D650+30,
OR(E650="Gastritis",E650="Osteoarthritis",E650="Bronchitis",E650="Iron Deficiency Anemia"), D650+14,
OR(E650="Lumbar Strain",E650="Migraine Headache"), D650+7,
OR(E650="Viral Fever",E650="General Checkup","Routine Health Check"), "",
TRUE,""
)</f>
        <v>45782</v>
      </c>
      <c r="I650" s="1" t="str">
        <f t="shared" si="20"/>
        <v>Follow-up Scheduled</v>
      </c>
      <c r="J650" t="str">
        <f>TEXT(Table8[[#This Row],[visit_Date]],"DDDD")</f>
        <v>Monday</v>
      </c>
      <c r="K650" t="str">
        <f>TEXT(Table8[[#This Row],[visit_Date]],"mmmm")</f>
        <v>April</v>
      </c>
      <c r="L650" t="str">
        <f t="shared" si="21"/>
        <v>Summer</v>
      </c>
    </row>
    <row r="651" spans="1:12" x14ac:dyDescent="0.25">
      <c r="A651">
        <v>650</v>
      </c>
      <c r="B651">
        <v>1020</v>
      </c>
      <c r="C651">
        <v>664</v>
      </c>
      <c r="D651" s="1">
        <v>45719</v>
      </c>
      <c r="E651" t="s">
        <v>324</v>
      </c>
      <c r="F651" t="s">
        <v>325</v>
      </c>
      <c r="G651" t="str">
        <f>_xlfn.XLOOKUP(TRIM(E652),MedicineInfo!A:A,MedicineInfo!B:B,"Not Found")</f>
        <v>Amlodipine</v>
      </c>
      <c r="H651" s="1" cm="1">
        <f t="array" ref="H651">_xlfn.IFS(
OR(E651="Type 2 Diabetes",E651="Essential Hypertension",E651="Angina Pectoris",E651="Bronchial Asthma",E651="Cardiac Arrhythmia"), D651+30,
OR(E651="Gastritis",E651="Osteoarthritis",E651="Bronchitis",E651="Iron Deficiency Anemia"), D651+14,
OR(E651="Lumbar Strain",E651="Migraine Headache"), D651+7,
OR(E651="Viral Fever",E651="General Checkup","Routine Health Check"), "",
TRUE,""
)</f>
        <v>45749</v>
      </c>
      <c r="I651" s="1" t="str">
        <f t="shared" si="20"/>
        <v>Follow-up Scheduled</v>
      </c>
      <c r="J651" t="str">
        <f>TEXT(Table8[[#This Row],[visit_Date]],"DDDD")</f>
        <v>Monday</v>
      </c>
      <c r="K651" t="str">
        <f>TEXT(Table8[[#This Row],[visit_Date]],"mmmm")</f>
        <v>March</v>
      </c>
      <c r="L651" t="str">
        <f t="shared" si="21"/>
        <v>Summer</v>
      </c>
    </row>
    <row r="652" spans="1:12" x14ac:dyDescent="0.25">
      <c r="A652">
        <v>651</v>
      </c>
      <c r="B652">
        <v>1004</v>
      </c>
      <c r="C652">
        <v>1553</v>
      </c>
      <c r="D652" s="1">
        <v>45855</v>
      </c>
      <c r="E652" t="s">
        <v>319</v>
      </c>
      <c r="F652" t="s">
        <v>320</v>
      </c>
      <c r="G652" t="str">
        <f>_xlfn.XLOOKUP(TRIM(E653),MedicineInfo!A:A,MedicineInfo!B:B,"Not Found")</f>
        <v>Sumatriptan</v>
      </c>
      <c r="H652" s="1" cm="1">
        <f t="array" ref="H652">_xlfn.IFS(
OR(E652="Type 2 Diabetes",E652="Essential Hypertension",E652="Angina Pectoris",E652="Bronchial Asthma",E652="Cardiac Arrhythmia"), D652+30,
OR(E652="Gastritis",E652="Osteoarthritis",E652="Bronchitis",E652="Iron Deficiency Anemia"), D652+14,
OR(E652="Lumbar Strain",E652="Migraine Headache"), D652+7,
OR(E652="Viral Fever",E652="General Checkup","Routine Health Check"), "",
TRUE,""
)</f>
        <v>45885</v>
      </c>
      <c r="I652" s="1" t="str">
        <f t="shared" si="20"/>
        <v>Follow-up Scheduled</v>
      </c>
      <c r="J652" t="str">
        <f>TEXT(Table8[[#This Row],[visit_Date]],"DDDD")</f>
        <v>Thursday</v>
      </c>
      <c r="K652" t="str">
        <f>TEXT(Table8[[#This Row],[visit_Date]],"mmmm")</f>
        <v>July</v>
      </c>
      <c r="L652" t="str">
        <f t="shared" si="21"/>
        <v>Monsoon</v>
      </c>
    </row>
    <row r="653" spans="1:12" x14ac:dyDescent="0.25">
      <c r="A653">
        <v>652</v>
      </c>
      <c r="B653">
        <v>1009</v>
      </c>
      <c r="C653">
        <v>1509</v>
      </c>
      <c r="D653" s="1">
        <v>45814</v>
      </c>
      <c r="E653" t="s">
        <v>315</v>
      </c>
      <c r="F653" t="s">
        <v>316</v>
      </c>
      <c r="G653" t="str">
        <f>_xlfn.XLOOKUP(TRIM(E654),MedicineInfo!A:A,MedicineInfo!B:B,"Not Found")</f>
        <v>Multivitamin</v>
      </c>
      <c r="H653" s="1" cm="1">
        <f t="array" ref="H653">_xlfn.IFS(
OR(E653="Type 2 Diabetes",E653="Essential Hypertension",E653="Angina Pectoris",E653="Bronchial Asthma",E653="Cardiac Arrhythmia"), D653+30,
OR(E653="Gastritis",E653="Osteoarthritis",E653="Bronchitis",E653="Iron Deficiency Anemia"), D653+14,
OR(E653="Lumbar Strain",E653="Migraine Headache"), D653+7,
OR(E653="Viral Fever",E653="General Checkup","Routine Health Check"), "",
TRUE,""
)</f>
        <v>45821</v>
      </c>
      <c r="I653" s="1" t="str">
        <f t="shared" si="20"/>
        <v>Follow-up Scheduled</v>
      </c>
      <c r="J653" t="str">
        <f>TEXT(Table8[[#This Row],[visit_Date]],"DDDD")</f>
        <v>Friday</v>
      </c>
      <c r="K653" t="str">
        <f>TEXT(Table8[[#This Row],[visit_Date]],"mmmm")</f>
        <v>June</v>
      </c>
      <c r="L653" t="str">
        <f t="shared" si="21"/>
        <v>Monsoon</v>
      </c>
    </row>
    <row r="654" spans="1:12" x14ac:dyDescent="0.25">
      <c r="A654">
        <v>653</v>
      </c>
      <c r="B654">
        <v>1027</v>
      </c>
      <c r="C654">
        <v>1317</v>
      </c>
      <c r="D654" s="1">
        <v>45758</v>
      </c>
      <c r="E654" t="s">
        <v>24</v>
      </c>
      <c r="F654" t="s">
        <v>321</v>
      </c>
      <c r="G654" t="str">
        <f>_xlfn.XLOOKUP(TRIM(E655),MedicineInfo!A:A,MedicineInfo!B:B,"Not Found")</f>
        <v>Nitroglycerin</v>
      </c>
      <c r="H654" s="1" t="str" cm="1">
        <f t="array" ref="H654">_xlfn.IFS(
OR(E654="Type 2 Diabetes",E654="Essential Hypertension",E654="Angina Pectoris",E654="Bronchial Asthma",E654="Cardiac Arrhythmia"), D654+30,
OR(E654="Gastritis",E654="Osteoarthritis",E654="Bronchitis",E654="Iron Deficiency Anemia"), D654+14,
OR(E654="Lumbar Strain",E654="Migraine Headache"), D654+7,
OR(E654="Viral Fever",E654="General Checkup","Routine Health Check"), "",
TRUE,""
)</f>
        <v/>
      </c>
      <c r="I654" s="1" t="str">
        <f t="shared" si="20"/>
        <v>No Follow-up Required</v>
      </c>
      <c r="J654" t="str">
        <f>TEXT(Table8[[#This Row],[visit_Date]],"DDDD")</f>
        <v>Friday</v>
      </c>
      <c r="K654" t="str">
        <f>TEXT(Table8[[#This Row],[visit_Date]],"mmmm")</f>
        <v>April</v>
      </c>
      <c r="L654" t="str">
        <f t="shared" si="21"/>
        <v>Summer</v>
      </c>
    </row>
    <row r="655" spans="1:12" x14ac:dyDescent="0.25">
      <c r="A655">
        <v>654</v>
      </c>
      <c r="B655">
        <v>1027</v>
      </c>
      <c r="C655">
        <v>460</v>
      </c>
      <c r="D655" s="1">
        <v>45823</v>
      </c>
      <c r="E655" t="s">
        <v>322</v>
      </c>
      <c r="F655" t="s">
        <v>323</v>
      </c>
      <c r="G655" t="str">
        <f>_xlfn.XLOOKUP(TRIM(E656),MedicineInfo!A:A,MedicineInfo!B:B,"Not Found")</f>
        <v>Paracetamol</v>
      </c>
      <c r="H655" s="1" cm="1">
        <f t="array" ref="H655">_xlfn.IFS(
OR(E655="Type 2 Diabetes",E655="Essential Hypertension",E655="Angina Pectoris",E655="Bronchial Asthma",E655="Cardiac Arrhythmia"), D655+30,
OR(E655="Gastritis",E655="Osteoarthritis",E655="Bronchitis",E655="Iron Deficiency Anemia"), D655+14,
OR(E655="Lumbar Strain",E655="Migraine Headache"), D655+7,
OR(E655="Viral Fever",E655="General Checkup","Routine Health Check"), "",
TRUE,""
)</f>
        <v>45853</v>
      </c>
      <c r="I655" s="1" t="str">
        <f t="shared" si="20"/>
        <v>Follow-up Scheduled</v>
      </c>
      <c r="J655" t="str">
        <f>TEXT(Table8[[#This Row],[visit_Date]],"DDDD")</f>
        <v>Sunday</v>
      </c>
      <c r="K655" t="str">
        <f>TEXT(Table8[[#This Row],[visit_Date]],"mmmm")</f>
        <v>June</v>
      </c>
      <c r="L655" t="str">
        <f t="shared" si="21"/>
        <v>Monsoon</v>
      </c>
    </row>
    <row r="656" spans="1:12" x14ac:dyDescent="0.25">
      <c r="A656">
        <v>655</v>
      </c>
      <c r="B656">
        <v>1027</v>
      </c>
      <c r="C656">
        <v>1438</v>
      </c>
      <c r="D656" s="1">
        <v>45717</v>
      </c>
      <c r="E656" t="s">
        <v>326</v>
      </c>
      <c r="F656" t="s">
        <v>327</v>
      </c>
      <c r="G656" t="str">
        <f>_xlfn.XLOOKUP(TRIM(E657),MedicineInfo!A:A,MedicineInfo!B:B,"Not Found")</f>
        <v>Nitroglycerin</v>
      </c>
      <c r="H656" s="1" t="str" cm="1">
        <f t="array" ref="H656">_xlfn.IFS(
OR(E656="Type 2 Diabetes",E656="Essential Hypertension",E656="Angina Pectoris",E656="Bronchial Asthma",E656="Cardiac Arrhythmia"), D656+30,
OR(E656="Gastritis",E656="Osteoarthritis",E656="Bronchitis",E656="Iron Deficiency Anemia"), D656+14,
OR(E656="Lumbar Strain",E656="Migraine Headache"), D656+7,
OR(E656="Viral Fever",E656="General Checkup","Routine Health Check"), "",
TRUE,""
)</f>
        <v/>
      </c>
      <c r="I656" s="1" t="str">
        <f t="shared" si="20"/>
        <v>No Follow-up Required</v>
      </c>
      <c r="J656" t="str">
        <f>TEXT(Table8[[#This Row],[visit_Date]],"DDDD")</f>
        <v>Saturday</v>
      </c>
      <c r="K656" t="str">
        <f>TEXT(Table8[[#This Row],[visit_Date]],"mmmm")</f>
        <v>March</v>
      </c>
      <c r="L656" t="str">
        <f t="shared" si="21"/>
        <v>Summer</v>
      </c>
    </row>
    <row r="657" spans="1:12" x14ac:dyDescent="0.25">
      <c r="A657">
        <v>656</v>
      </c>
      <c r="B657">
        <v>1027</v>
      </c>
      <c r="C657">
        <v>796</v>
      </c>
      <c r="D657" s="1">
        <v>45783</v>
      </c>
      <c r="E657" t="s">
        <v>322</v>
      </c>
      <c r="F657" t="s">
        <v>323</v>
      </c>
      <c r="G657" t="str">
        <f>_xlfn.XLOOKUP(TRIM(E658),MedicineInfo!A:A,MedicineInfo!B:B,"Not Found")</f>
        <v>Nitroglycerin</v>
      </c>
      <c r="H657" s="1" cm="1">
        <f t="array" ref="H657">_xlfn.IFS(
OR(E657="Type 2 Diabetes",E657="Essential Hypertension",E657="Angina Pectoris",E657="Bronchial Asthma",E657="Cardiac Arrhythmia"), D657+30,
OR(E657="Gastritis",E657="Osteoarthritis",E657="Bronchitis",E657="Iron Deficiency Anemia"), D657+14,
OR(E657="Lumbar Strain",E657="Migraine Headache"), D657+7,
OR(E657="Viral Fever",E657="General Checkup","Routine Health Check"), "",
TRUE,""
)</f>
        <v>45813</v>
      </c>
      <c r="I657" s="1" t="str">
        <f t="shared" si="20"/>
        <v>Follow-up Scheduled</v>
      </c>
      <c r="J657" t="str">
        <f>TEXT(Table8[[#This Row],[visit_Date]],"DDDD")</f>
        <v>Tuesday</v>
      </c>
      <c r="K657" t="str">
        <f>TEXT(Table8[[#This Row],[visit_Date]],"mmmm")</f>
        <v>May</v>
      </c>
      <c r="L657" t="str">
        <f t="shared" si="21"/>
        <v>Summer</v>
      </c>
    </row>
    <row r="658" spans="1:12" x14ac:dyDescent="0.25">
      <c r="A658">
        <v>657</v>
      </c>
      <c r="B658">
        <v>1001</v>
      </c>
      <c r="C658">
        <v>1162</v>
      </c>
      <c r="D658" s="1">
        <v>45855</v>
      </c>
      <c r="E658" t="s">
        <v>322</v>
      </c>
      <c r="F658" t="s">
        <v>323</v>
      </c>
      <c r="G658" t="str">
        <f>_xlfn.XLOOKUP(TRIM(E659),MedicineInfo!A:A,MedicineInfo!B:B,"Not Found")</f>
        <v>Paracetamol</v>
      </c>
      <c r="H658" s="1" cm="1">
        <f t="array" ref="H658">_xlfn.IFS(
OR(E658="Type 2 Diabetes",E658="Essential Hypertension",E658="Angina Pectoris",E658="Bronchial Asthma",E658="Cardiac Arrhythmia"), D658+30,
OR(E658="Gastritis",E658="Osteoarthritis",E658="Bronchitis",E658="Iron Deficiency Anemia"), D658+14,
OR(E658="Lumbar Strain",E658="Migraine Headache"), D658+7,
OR(E658="Viral Fever",E658="General Checkup","Routine Health Check"), "",
TRUE,""
)</f>
        <v>45885</v>
      </c>
      <c r="I658" s="1" t="str">
        <f t="shared" si="20"/>
        <v>Follow-up Scheduled</v>
      </c>
      <c r="J658" t="str">
        <f>TEXT(Table8[[#This Row],[visit_Date]],"DDDD")</f>
        <v>Thursday</v>
      </c>
      <c r="K658" t="str">
        <f>TEXT(Table8[[#This Row],[visit_Date]],"mmmm")</f>
        <v>July</v>
      </c>
      <c r="L658" t="str">
        <f t="shared" si="21"/>
        <v>Monsoon</v>
      </c>
    </row>
    <row r="659" spans="1:12" x14ac:dyDescent="0.25">
      <c r="A659">
        <v>658</v>
      </c>
      <c r="B659">
        <v>1027</v>
      </c>
      <c r="C659">
        <v>978</v>
      </c>
      <c r="D659" s="1">
        <v>45747</v>
      </c>
      <c r="E659" t="s">
        <v>326</v>
      </c>
      <c r="F659" t="s">
        <v>327</v>
      </c>
      <c r="G659" t="str">
        <f>_xlfn.XLOOKUP(TRIM(E660),MedicineInfo!A:A,MedicineInfo!B:B,"Not Found")</f>
        <v>Paracetamol</v>
      </c>
      <c r="H659" s="1" t="str" cm="1">
        <f t="array" ref="H659">_xlfn.IFS(
OR(E659="Type 2 Diabetes",E659="Essential Hypertension",E659="Angina Pectoris",E659="Bronchial Asthma",E659="Cardiac Arrhythmia"), D659+30,
OR(E659="Gastritis",E659="Osteoarthritis",E659="Bronchitis",E659="Iron Deficiency Anemia"), D659+14,
OR(E659="Lumbar Strain",E659="Migraine Headache"), D659+7,
OR(E659="Viral Fever",E659="General Checkup","Routine Health Check"), "",
TRUE,""
)</f>
        <v/>
      </c>
      <c r="I659" s="1" t="str">
        <f t="shared" si="20"/>
        <v>No Follow-up Required</v>
      </c>
      <c r="J659" t="str">
        <f>TEXT(Table8[[#This Row],[visit_Date]],"DDDD")</f>
        <v>Monday</v>
      </c>
      <c r="K659" t="str">
        <f>TEXT(Table8[[#This Row],[visit_Date]],"mmmm")</f>
        <v>March</v>
      </c>
      <c r="L659" t="str">
        <f t="shared" si="21"/>
        <v>Summer</v>
      </c>
    </row>
    <row r="660" spans="1:12" x14ac:dyDescent="0.25">
      <c r="A660">
        <v>659</v>
      </c>
      <c r="B660">
        <v>1027</v>
      </c>
      <c r="C660">
        <v>591</v>
      </c>
      <c r="D660" s="1">
        <v>45853</v>
      </c>
      <c r="E660" t="s">
        <v>326</v>
      </c>
      <c r="F660" t="s">
        <v>327</v>
      </c>
      <c r="G660" t="str">
        <f>_xlfn.XLOOKUP(TRIM(E661),MedicineInfo!A:A,MedicineInfo!B:B,"Not Found")</f>
        <v>Nitroglycerin</v>
      </c>
      <c r="H660" s="1" t="str" cm="1">
        <f t="array" ref="H660">_xlfn.IFS(
OR(E660="Type 2 Diabetes",E660="Essential Hypertension",E660="Angina Pectoris",E660="Bronchial Asthma",E660="Cardiac Arrhythmia"), D660+30,
OR(E660="Gastritis",E660="Osteoarthritis",E660="Bronchitis",E660="Iron Deficiency Anemia"), D660+14,
OR(E660="Lumbar Strain",E660="Migraine Headache"), D660+7,
OR(E660="Viral Fever",E660="General Checkup","Routine Health Check"), "",
TRUE,""
)</f>
        <v/>
      </c>
      <c r="I660" s="1" t="str">
        <f t="shared" si="20"/>
        <v>No Follow-up Required</v>
      </c>
      <c r="J660" t="str">
        <f>TEXT(Table8[[#This Row],[visit_Date]],"DDDD")</f>
        <v>Tuesday</v>
      </c>
      <c r="K660" t="str">
        <f>TEXT(Table8[[#This Row],[visit_Date]],"mmmm")</f>
        <v>July</v>
      </c>
      <c r="L660" t="str">
        <f t="shared" si="21"/>
        <v>Monsoon</v>
      </c>
    </row>
    <row r="661" spans="1:12" x14ac:dyDescent="0.25">
      <c r="A661">
        <v>660</v>
      </c>
      <c r="B661">
        <v>1027</v>
      </c>
      <c r="C661">
        <v>909</v>
      </c>
      <c r="D661" s="1">
        <v>45767</v>
      </c>
      <c r="E661" t="s">
        <v>322</v>
      </c>
      <c r="F661" t="s">
        <v>323</v>
      </c>
      <c r="G661" t="str">
        <f>_xlfn.XLOOKUP(TRIM(E662),MedicineInfo!A:A,MedicineInfo!B:B,"Not Found")</f>
        <v>Multivitamin</v>
      </c>
      <c r="H661" s="1" cm="1">
        <f t="array" ref="H661">_xlfn.IFS(
OR(E661="Type 2 Diabetes",E661="Essential Hypertension",E661="Angina Pectoris",E661="Bronchial Asthma",E661="Cardiac Arrhythmia"), D661+30,
OR(E661="Gastritis",E661="Osteoarthritis",E661="Bronchitis",E661="Iron Deficiency Anemia"), D661+14,
OR(E661="Lumbar Strain",E661="Migraine Headache"), D661+7,
OR(E661="Viral Fever",E661="General Checkup","Routine Health Check"), "",
TRUE,""
)</f>
        <v>45797</v>
      </c>
      <c r="I661" s="1" t="str">
        <f t="shared" si="20"/>
        <v>Follow-up Scheduled</v>
      </c>
      <c r="J661" t="str">
        <f>TEXT(Table8[[#This Row],[visit_Date]],"DDDD")</f>
        <v>Sunday</v>
      </c>
      <c r="K661" t="str">
        <f>TEXT(Table8[[#This Row],[visit_Date]],"mmmm")</f>
        <v>April</v>
      </c>
      <c r="L661" t="str">
        <f t="shared" si="21"/>
        <v>Summer</v>
      </c>
    </row>
    <row r="662" spans="1:12" x14ac:dyDescent="0.25">
      <c r="A662">
        <v>661</v>
      </c>
      <c r="B662">
        <v>1027</v>
      </c>
      <c r="C662">
        <v>649</v>
      </c>
      <c r="D662" s="1">
        <v>45857</v>
      </c>
      <c r="E662" t="s">
        <v>24</v>
      </c>
      <c r="F662" t="s">
        <v>321</v>
      </c>
      <c r="G662" t="str">
        <f>_xlfn.XLOOKUP(TRIM(E663),MedicineInfo!A:A,MedicineInfo!B:B,"Not Found")</f>
        <v>Multivitamin</v>
      </c>
      <c r="H662" s="1" t="str" cm="1">
        <f t="array" ref="H662">_xlfn.IFS(
OR(E662="Type 2 Diabetes",E662="Essential Hypertension",E662="Angina Pectoris",E662="Bronchial Asthma",E662="Cardiac Arrhythmia"), D662+30,
OR(E662="Gastritis",E662="Osteoarthritis",E662="Bronchitis",E662="Iron Deficiency Anemia"), D662+14,
OR(E662="Lumbar Strain",E662="Migraine Headache"), D662+7,
OR(E662="Viral Fever",E662="General Checkup","Routine Health Check"), "",
TRUE,""
)</f>
        <v/>
      </c>
      <c r="I662" s="1" t="str">
        <f t="shared" si="20"/>
        <v>No Follow-up Required</v>
      </c>
      <c r="J662" t="str">
        <f>TEXT(Table8[[#This Row],[visit_Date]],"DDDD")</f>
        <v>Saturday</v>
      </c>
      <c r="K662" t="str">
        <f>TEXT(Table8[[#This Row],[visit_Date]],"mmmm")</f>
        <v>July</v>
      </c>
      <c r="L662" t="str">
        <f t="shared" si="21"/>
        <v>Monsoon</v>
      </c>
    </row>
    <row r="663" spans="1:12" x14ac:dyDescent="0.25">
      <c r="A663">
        <v>662</v>
      </c>
      <c r="B663">
        <v>1027</v>
      </c>
      <c r="C663">
        <v>307</v>
      </c>
      <c r="D663" s="1">
        <v>45777</v>
      </c>
      <c r="E663" t="s">
        <v>24</v>
      </c>
      <c r="F663" t="s">
        <v>321</v>
      </c>
      <c r="G663" t="str">
        <f>_xlfn.XLOOKUP(TRIM(E664),MedicineInfo!A:A,MedicineInfo!B:B,"Not Found")</f>
        <v>Amlodipine</v>
      </c>
      <c r="H663" s="1" t="str" cm="1">
        <f t="array" ref="H663">_xlfn.IFS(
OR(E663="Type 2 Diabetes",E663="Essential Hypertension",E663="Angina Pectoris",E663="Bronchial Asthma",E663="Cardiac Arrhythmia"), D663+30,
OR(E663="Gastritis",E663="Osteoarthritis",E663="Bronchitis",E663="Iron Deficiency Anemia"), D663+14,
OR(E663="Lumbar Strain",E663="Migraine Headache"), D663+7,
OR(E663="Viral Fever",E663="General Checkup","Routine Health Check"), "",
TRUE,""
)</f>
        <v/>
      </c>
      <c r="I663" s="1" t="str">
        <f t="shared" si="20"/>
        <v>No Follow-up Required</v>
      </c>
      <c r="J663" t="str">
        <f>TEXT(Table8[[#This Row],[visit_Date]],"DDDD")</f>
        <v>Wednesday</v>
      </c>
      <c r="K663" t="str">
        <f>TEXT(Table8[[#This Row],[visit_Date]],"mmmm")</f>
        <v>April</v>
      </c>
      <c r="L663" t="str">
        <f t="shared" si="21"/>
        <v>Summer</v>
      </c>
    </row>
    <row r="664" spans="1:12" x14ac:dyDescent="0.25">
      <c r="A664">
        <v>663</v>
      </c>
      <c r="B664">
        <v>1001</v>
      </c>
      <c r="C664">
        <v>570</v>
      </c>
      <c r="D664" s="1">
        <v>45783</v>
      </c>
      <c r="E664" t="s">
        <v>319</v>
      </c>
      <c r="F664" t="s">
        <v>320</v>
      </c>
      <c r="G664" t="str">
        <f>_xlfn.XLOOKUP(TRIM(E665),MedicineInfo!A:A,MedicineInfo!B:B,"Not Found")</f>
        <v>Paracetamol</v>
      </c>
      <c r="H664" s="1" cm="1">
        <f t="array" ref="H664">_xlfn.IFS(
OR(E664="Type 2 Diabetes",E664="Essential Hypertension",E664="Angina Pectoris",E664="Bronchial Asthma",E664="Cardiac Arrhythmia"), D664+30,
OR(E664="Gastritis",E664="Osteoarthritis",E664="Bronchitis",E664="Iron Deficiency Anemia"), D664+14,
OR(E664="Lumbar Strain",E664="Migraine Headache"), D664+7,
OR(E664="Viral Fever",E664="General Checkup","Routine Health Check"), "",
TRUE,""
)</f>
        <v>45813</v>
      </c>
      <c r="I664" s="1" t="str">
        <f t="shared" si="20"/>
        <v>Follow-up Scheduled</v>
      </c>
      <c r="J664" t="str">
        <f>TEXT(Table8[[#This Row],[visit_Date]],"DDDD")</f>
        <v>Tuesday</v>
      </c>
      <c r="K664" t="str">
        <f>TEXT(Table8[[#This Row],[visit_Date]],"mmmm")</f>
        <v>May</v>
      </c>
      <c r="L664" t="str">
        <f t="shared" si="21"/>
        <v>Summer</v>
      </c>
    </row>
    <row r="665" spans="1:12" x14ac:dyDescent="0.25">
      <c r="A665">
        <v>664</v>
      </c>
      <c r="B665">
        <v>1027</v>
      </c>
      <c r="C665">
        <v>1032</v>
      </c>
      <c r="D665" s="1">
        <v>45753</v>
      </c>
      <c r="E665" t="s">
        <v>326</v>
      </c>
      <c r="F665" t="s">
        <v>327</v>
      </c>
      <c r="G665" t="str">
        <f>_xlfn.XLOOKUP(TRIM(E666),MedicineInfo!A:A,MedicineInfo!B:B,"Not Found")</f>
        <v>Paracetamol</v>
      </c>
      <c r="H665" s="1" t="str" cm="1">
        <f t="array" ref="H665">_xlfn.IFS(
OR(E665="Type 2 Diabetes",E665="Essential Hypertension",E665="Angina Pectoris",E665="Bronchial Asthma",E665="Cardiac Arrhythmia"), D665+30,
OR(E665="Gastritis",E665="Osteoarthritis",E665="Bronchitis",E665="Iron Deficiency Anemia"), D665+14,
OR(E665="Lumbar Strain",E665="Migraine Headache"), D665+7,
OR(E665="Viral Fever",E665="General Checkup","Routine Health Check"), "",
TRUE,""
)</f>
        <v/>
      </c>
      <c r="I665" s="1" t="str">
        <f t="shared" si="20"/>
        <v>No Follow-up Required</v>
      </c>
      <c r="J665" t="str">
        <f>TEXT(Table8[[#This Row],[visit_Date]],"DDDD")</f>
        <v>Sunday</v>
      </c>
      <c r="K665" t="str">
        <f>TEXT(Table8[[#This Row],[visit_Date]],"mmmm")</f>
        <v>April</v>
      </c>
      <c r="L665" t="str">
        <f t="shared" si="21"/>
        <v>Summer</v>
      </c>
    </row>
    <row r="666" spans="1:12" x14ac:dyDescent="0.25">
      <c r="A666">
        <v>665</v>
      </c>
      <c r="B666">
        <v>1027</v>
      </c>
      <c r="C666">
        <v>608</v>
      </c>
      <c r="D666" s="1">
        <v>45688</v>
      </c>
      <c r="E666" t="s">
        <v>326</v>
      </c>
      <c r="F666" t="s">
        <v>327</v>
      </c>
      <c r="G666" t="str">
        <f>_xlfn.XLOOKUP(TRIM(E667),MedicineInfo!A:A,MedicineInfo!B:B,"Not Found")</f>
        <v>Amlodipine</v>
      </c>
      <c r="H666" s="1" t="str" cm="1">
        <f t="array" ref="H666">_xlfn.IFS(
OR(E666="Type 2 Diabetes",E666="Essential Hypertension",E666="Angina Pectoris",E666="Bronchial Asthma",E666="Cardiac Arrhythmia"), D666+30,
OR(E666="Gastritis",E666="Osteoarthritis",E666="Bronchitis",E666="Iron Deficiency Anemia"), D666+14,
OR(E666="Lumbar Strain",E666="Migraine Headache"), D666+7,
OR(E666="Viral Fever",E666="General Checkup","Routine Health Check"), "",
TRUE,""
)</f>
        <v/>
      </c>
      <c r="I666" s="1" t="str">
        <f t="shared" si="20"/>
        <v>No Follow-up Required</v>
      </c>
      <c r="J666" t="str">
        <f>TEXT(Table8[[#This Row],[visit_Date]],"DDDD")</f>
        <v>Friday</v>
      </c>
      <c r="K666" t="str">
        <f>TEXT(Table8[[#This Row],[visit_Date]],"mmmm")</f>
        <v>January</v>
      </c>
      <c r="L666" t="str">
        <f t="shared" si="21"/>
        <v>Winter</v>
      </c>
    </row>
    <row r="667" spans="1:12" x14ac:dyDescent="0.25">
      <c r="A667">
        <v>666</v>
      </c>
      <c r="B667">
        <v>1003</v>
      </c>
      <c r="C667">
        <v>1505</v>
      </c>
      <c r="D667" s="1">
        <v>45792</v>
      </c>
      <c r="E667" t="s">
        <v>319</v>
      </c>
      <c r="F667" t="s">
        <v>320</v>
      </c>
      <c r="G667" t="str">
        <f>_xlfn.XLOOKUP(TRIM(E668),MedicineInfo!A:A,MedicineInfo!B:B,"Not Found")</f>
        <v>Nitroglycerin</v>
      </c>
      <c r="H667" s="1" cm="1">
        <f t="array" ref="H667">_xlfn.IFS(
OR(E667="Type 2 Diabetes",E667="Essential Hypertension",E667="Angina Pectoris",E667="Bronchial Asthma",E667="Cardiac Arrhythmia"), D667+30,
OR(E667="Gastritis",E667="Osteoarthritis",E667="Bronchitis",E667="Iron Deficiency Anemia"), D667+14,
OR(E667="Lumbar Strain",E667="Migraine Headache"), D667+7,
OR(E667="Viral Fever",E667="General Checkup","Routine Health Check"), "",
TRUE,""
)</f>
        <v>45822</v>
      </c>
      <c r="I667" s="1" t="str">
        <f t="shared" si="20"/>
        <v>Follow-up Scheduled</v>
      </c>
      <c r="J667" t="str">
        <f>TEXT(Table8[[#This Row],[visit_Date]],"DDDD")</f>
        <v>Thursday</v>
      </c>
      <c r="K667" t="str">
        <f>TEXT(Table8[[#This Row],[visit_Date]],"mmmm")</f>
        <v>May</v>
      </c>
      <c r="L667" t="str">
        <f t="shared" si="21"/>
        <v>Summer</v>
      </c>
    </row>
    <row r="668" spans="1:12" x14ac:dyDescent="0.25">
      <c r="A668">
        <v>667</v>
      </c>
      <c r="B668">
        <v>1027</v>
      </c>
      <c r="C668">
        <v>1193</v>
      </c>
      <c r="D668" s="1">
        <v>45823</v>
      </c>
      <c r="E668" t="s">
        <v>322</v>
      </c>
      <c r="F668" t="s">
        <v>323</v>
      </c>
      <c r="G668" t="str">
        <f>_xlfn.XLOOKUP(TRIM(E669),MedicineInfo!A:A,MedicineInfo!B:B,"Not Found")</f>
        <v>Amlodipine</v>
      </c>
      <c r="H668" s="1" cm="1">
        <f t="array" ref="H668">_xlfn.IFS(
OR(E668="Type 2 Diabetes",E668="Essential Hypertension",E668="Angina Pectoris",E668="Bronchial Asthma",E668="Cardiac Arrhythmia"), D668+30,
OR(E668="Gastritis",E668="Osteoarthritis",E668="Bronchitis",E668="Iron Deficiency Anemia"), D668+14,
OR(E668="Lumbar Strain",E668="Migraine Headache"), D668+7,
OR(E668="Viral Fever",E668="General Checkup","Routine Health Check"), "",
TRUE,""
)</f>
        <v>45853</v>
      </c>
      <c r="I668" s="1" t="str">
        <f t="shared" si="20"/>
        <v>Follow-up Scheduled</v>
      </c>
      <c r="J668" t="str">
        <f>TEXT(Table8[[#This Row],[visit_Date]],"DDDD")</f>
        <v>Sunday</v>
      </c>
      <c r="K668" t="str">
        <f>TEXT(Table8[[#This Row],[visit_Date]],"mmmm")</f>
        <v>June</v>
      </c>
      <c r="L668" t="str">
        <f t="shared" si="21"/>
        <v>Monsoon</v>
      </c>
    </row>
    <row r="669" spans="1:12" x14ac:dyDescent="0.25">
      <c r="A669">
        <v>668</v>
      </c>
      <c r="B669">
        <v>1001</v>
      </c>
      <c r="C669">
        <v>536</v>
      </c>
      <c r="D669" s="1">
        <v>45767</v>
      </c>
      <c r="E669" t="s">
        <v>319</v>
      </c>
      <c r="F669" t="s">
        <v>320</v>
      </c>
      <c r="G669" t="str">
        <f>_xlfn.XLOOKUP(TRIM(E670),MedicineInfo!A:A,MedicineInfo!B:B,"Not Found")</f>
        <v>Paracetamol</v>
      </c>
      <c r="H669" s="1" cm="1">
        <f t="array" ref="H669">_xlfn.IFS(
OR(E669="Type 2 Diabetes",E669="Essential Hypertension",E669="Angina Pectoris",E669="Bronchial Asthma",E669="Cardiac Arrhythmia"), D669+30,
OR(E669="Gastritis",E669="Osteoarthritis",E669="Bronchitis",E669="Iron Deficiency Anemia"), D669+14,
OR(E669="Lumbar Strain",E669="Migraine Headache"), D669+7,
OR(E669="Viral Fever",E669="General Checkup","Routine Health Check"), "",
TRUE,""
)</f>
        <v>45797</v>
      </c>
      <c r="I669" s="1" t="str">
        <f t="shared" si="20"/>
        <v>Follow-up Scheduled</v>
      </c>
      <c r="J669" t="str">
        <f>TEXT(Table8[[#This Row],[visit_Date]],"DDDD")</f>
        <v>Sunday</v>
      </c>
      <c r="K669" t="str">
        <f>TEXT(Table8[[#This Row],[visit_Date]],"mmmm")</f>
        <v>April</v>
      </c>
      <c r="L669" t="str">
        <f t="shared" si="21"/>
        <v>Summer</v>
      </c>
    </row>
    <row r="670" spans="1:12" x14ac:dyDescent="0.25">
      <c r="A670">
        <v>669</v>
      </c>
      <c r="B670">
        <v>1027</v>
      </c>
      <c r="C670">
        <v>1460</v>
      </c>
      <c r="D670" s="1">
        <v>45672</v>
      </c>
      <c r="E670" t="s">
        <v>326</v>
      </c>
      <c r="F670" t="s">
        <v>327</v>
      </c>
      <c r="G670" t="str">
        <f>_xlfn.XLOOKUP(TRIM(E671),MedicineInfo!A:A,MedicineInfo!B:B,"Not Found")</f>
        <v>Nitroglycerin</v>
      </c>
      <c r="H670" s="1" t="str" cm="1">
        <f t="array" ref="H670">_xlfn.IFS(
OR(E670="Type 2 Diabetes",E670="Essential Hypertension",E670="Angina Pectoris",E670="Bronchial Asthma",E670="Cardiac Arrhythmia"), D670+30,
OR(E670="Gastritis",E670="Osteoarthritis",E670="Bronchitis",E670="Iron Deficiency Anemia"), D670+14,
OR(E670="Lumbar Strain",E670="Migraine Headache"), D670+7,
OR(E670="Viral Fever",E670="General Checkup","Routine Health Check"), "",
TRUE,""
)</f>
        <v/>
      </c>
      <c r="I670" s="1" t="str">
        <f t="shared" si="20"/>
        <v>No Follow-up Required</v>
      </c>
      <c r="J670" t="str">
        <f>TEXT(Table8[[#This Row],[visit_Date]],"DDDD")</f>
        <v>Wednesday</v>
      </c>
      <c r="K670" t="str">
        <f>TEXT(Table8[[#This Row],[visit_Date]],"mmmm")</f>
        <v>January</v>
      </c>
      <c r="L670" t="str">
        <f t="shared" si="21"/>
        <v>Winter</v>
      </c>
    </row>
    <row r="671" spans="1:12" x14ac:dyDescent="0.25">
      <c r="A671">
        <v>670</v>
      </c>
      <c r="B671">
        <v>1027</v>
      </c>
      <c r="C671">
        <v>1266</v>
      </c>
      <c r="D671" s="1">
        <v>45786</v>
      </c>
      <c r="E671" t="s">
        <v>322</v>
      </c>
      <c r="F671" t="s">
        <v>323</v>
      </c>
      <c r="G671" t="str">
        <f>_xlfn.XLOOKUP(TRIM(E672),MedicineInfo!A:A,MedicineInfo!B:B,"Not Found")</f>
        <v>Amlodipine</v>
      </c>
      <c r="H671" s="1" cm="1">
        <f t="array" ref="H671">_xlfn.IFS(
OR(E671="Type 2 Diabetes",E671="Essential Hypertension",E671="Angina Pectoris",E671="Bronchial Asthma",E671="Cardiac Arrhythmia"), D671+30,
OR(E671="Gastritis",E671="Osteoarthritis",E671="Bronchitis",E671="Iron Deficiency Anemia"), D671+14,
OR(E671="Lumbar Strain",E671="Migraine Headache"), D671+7,
OR(E671="Viral Fever",E671="General Checkup","Routine Health Check"), "",
TRUE,""
)</f>
        <v>45816</v>
      </c>
      <c r="I671" s="1" t="str">
        <f t="shared" si="20"/>
        <v>Follow-up Scheduled</v>
      </c>
      <c r="J671" t="str">
        <f>TEXT(Table8[[#This Row],[visit_Date]],"DDDD")</f>
        <v>Friday</v>
      </c>
      <c r="K671" t="str">
        <f>TEXT(Table8[[#This Row],[visit_Date]],"mmmm")</f>
        <v>May</v>
      </c>
      <c r="L671" t="str">
        <f t="shared" si="21"/>
        <v>Summer</v>
      </c>
    </row>
    <row r="672" spans="1:12" x14ac:dyDescent="0.25">
      <c r="A672">
        <v>671</v>
      </c>
      <c r="B672">
        <v>1003</v>
      </c>
      <c r="C672">
        <v>1306</v>
      </c>
      <c r="D672" s="1">
        <v>45777</v>
      </c>
      <c r="E672" t="s">
        <v>319</v>
      </c>
      <c r="F672" t="s">
        <v>320</v>
      </c>
      <c r="G672" t="str">
        <f>_xlfn.XLOOKUP(TRIM(E673),MedicineInfo!A:A,MedicineInfo!B:B,"Not Found")</f>
        <v>Metformin</v>
      </c>
      <c r="H672" s="1" cm="1">
        <f t="array" ref="H672">_xlfn.IFS(
OR(E672="Type 2 Diabetes",E672="Essential Hypertension",E672="Angina Pectoris",E672="Bronchial Asthma",E672="Cardiac Arrhythmia"), D672+30,
OR(E672="Gastritis",E672="Osteoarthritis",E672="Bronchitis",E672="Iron Deficiency Anemia"), D672+14,
OR(E672="Lumbar Strain",E672="Migraine Headache"), D672+7,
OR(E672="Viral Fever",E672="General Checkup","Routine Health Check"), "",
TRUE,""
)</f>
        <v>45807</v>
      </c>
      <c r="I672" s="1" t="str">
        <f t="shared" si="20"/>
        <v>Follow-up Scheduled</v>
      </c>
      <c r="J672" t="str">
        <f>TEXT(Table8[[#This Row],[visit_Date]],"DDDD")</f>
        <v>Wednesday</v>
      </c>
      <c r="K672" t="str">
        <f>TEXT(Table8[[#This Row],[visit_Date]],"mmmm")</f>
        <v>April</v>
      </c>
      <c r="L672" t="str">
        <f t="shared" si="21"/>
        <v>Summer</v>
      </c>
    </row>
    <row r="673" spans="1:12" x14ac:dyDescent="0.25">
      <c r="A673">
        <v>672</v>
      </c>
      <c r="B673">
        <v>1024</v>
      </c>
      <c r="C673">
        <v>127</v>
      </c>
      <c r="D673" s="1">
        <v>45718</v>
      </c>
      <c r="E673" t="s">
        <v>317</v>
      </c>
      <c r="F673" t="s">
        <v>318</v>
      </c>
      <c r="G673" t="str">
        <f>_xlfn.XLOOKUP(TRIM(E674),MedicineInfo!A:A,MedicineInfo!B:B,"Not Found")</f>
        <v>Paracetamol</v>
      </c>
      <c r="H673" s="1" cm="1">
        <f t="array" ref="H673">_xlfn.IFS(
OR(E673="Type 2 Diabetes",E673="Essential Hypertension",E673="Angina Pectoris",E673="Bronchial Asthma",E673="Cardiac Arrhythmia"), D673+30,
OR(E673="Gastritis",E673="Osteoarthritis",E673="Bronchitis",E673="Iron Deficiency Anemia"), D673+14,
OR(E673="Lumbar Strain",E673="Migraine Headache"), D673+7,
OR(E673="Viral Fever",E673="General Checkup","Routine Health Check"), "",
TRUE,""
)</f>
        <v>45748</v>
      </c>
      <c r="I673" s="1" t="str">
        <f t="shared" si="20"/>
        <v>Follow-up Scheduled</v>
      </c>
      <c r="J673" t="str">
        <f>TEXT(Table8[[#This Row],[visit_Date]],"DDDD")</f>
        <v>Sunday</v>
      </c>
      <c r="K673" t="str">
        <f>TEXT(Table8[[#This Row],[visit_Date]],"mmmm")</f>
        <v>March</v>
      </c>
      <c r="L673" t="str">
        <f t="shared" si="21"/>
        <v>Summer</v>
      </c>
    </row>
    <row r="674" spans="1:12" x14ac:dyDescent="0.25">
      <c r="A674">
        <v>673</v>
      </c>
      <c r="B674">
        <v>1027</v>
      </c>
      <c r="C674">
        <v>884</v>
      </c>
      <c r="D674" s="1">
        <v>45831</v>
      </c>
      <c r="E674" t="s">
        <v>326</v>
      </c>
      <c r="F674" t="s">
        <v>327</v>
      </c>
      <c r="G674" t="str">
        <f>_xlfn.XLOOKUP(TRIM(E675),MedicineInfo!A:A,MedicineInfo!B:B,"Not Found")</f>
        <v>Multivitamin</v>
      </c>
      <c r="H674" s="1" t="str" cm="1">
        <f t="array" ref="H674">_xlfn.IFS(
OR(E674="Type 2 Diabetes",E674="Essential Hypertension",E674="Angina Pectoris",E674="Bronchial Asthma",E674="Cardiac Arrhythmia"), D674+30,
OR(E674="Gastritis",E674="Osteoarthritis",E674="Bronchitis",E674="Iron Deficiency Anemia"), D674+14,
OR(E674="Lumbar Strain",E674="Migraine Headache"), D674+7,
OR(E674="Viral Fever",E674="General Checkup","Routine Health Check"), "",
TRUE,""
)</f>
        <v/>
      </c>
      <c r="I674" s="1" t="str">
        <f t="shared" si="20"/>
        <v>No Follow-up Required</v>
      </c>
      <c r="J674" t="str">
        <f>TEXT(Table8[[#This Row],[visit_Date]],"DDDD")</f>
        <v>Monday</v>
      </c>
      <c r="K674" t="str">
        <f>TEXT(Table8[[#This Row],[visit_Date]],"mmmm")</f>
        <v>June</v>
      </c>
      <c r="L674" t="str">
        <f t="shared" si="21"/>
        <v>Monsoon</v>
      </c>
    </row>
    <row r="675" spans="1:12" x14ac:dyDescent="0.25">
      <c r="A675">
        <v>674</v>
      </c>
      <c r="B675">
        <v>1027</v>
      </c>
      <c r="C675">
        <v>478</v>
      </c>
      <c r="D675" s="1">
        <v>45669</v>
      </c>
      <c r="E675" t="s">
        <v>24</v>
      </c>
      <c r="F675" t="s">
        <v>321</v>
      </c>
      <c r="G675" t="str">
        <f>_xlfn.XLOOKUP(TRIM(E676),MedicineInfo!A:A,MedicineInfo!B:B,"Not Found")</f>
        <v>Multivitamin</v>
      </c>
      <c r="H675" s="1" t="str" cm="1">
        <f t="array" ref="H675">_xlfn.IFS(
OR(E675="Type 2 Diabetes",E675="Essential Hypertension",E675="Angina Pectoris",E675="Bronchial Asthma",E675="Cardiac Arrhythmia"), D675+30,
OR(E675="Gastritis",E675="Osteoarthritis",E675="Bronchitis",E675="Iron Deficiency Anemia"), D675+14,
OR(E675="Lumbar Strain",E675="Migraine Headache"), D675+7,
OR(E675="Viral Fever",E675="General Checkup","Routine Health Check"), "",
TRUE,""
)</f>
        <v/>
      </c>
      <c r="I675" s="1" t="str">
        <f t="shared" si="20"/>
        <v>No Follow-up Required</v>
      </c>
      <c r="J675" t="str">
        <f>TEXT(Table8[[#This Row],[visit_Date]],"DDDD")</f>
        <v>Sunday</v>
      </c>
      <c r="K675" t="str">
        <f>TEXT(Table8[[#This Row],[visit_Date]],"mmmm")</f>
        <v>January</v>
      </c>
      <c r="L675" t="str">
        <f t="shared" si="21"/>
        <v>Winter</v>
      </c>
    </row>
    <row r="676" spans="1:12" x14ac:dyDescent="0.25">
      <c r="A676">
        <v>675</v>
      </c>
      <c r="B676">
        <v>1027</v>
      </c>
      <c r="C676">
        <v>1420</v>
      </c>
      <c r="D676" s="1">
        <v>45853</v>
      </c>
      <c r="E676" t="s">
        <v>24</v>
      </c>
      <c r="F676" t="s">
        <v>321</v>
      </c>
      <c r="G676" t="str">
        <f>_xlfn.XLOOKUP(TRIM(E677),MedicineInfo!A:A,MedicineInfo!B:B,"Not Found")</f>
        <v>Multivitamin</v>
      </c>
      <c r="H676" s="1" t="str" cm="1">
        <f t="array" ref="H676">_xlfn.IFS(
OR(E676="Type 2 Diabetes",E676="Essential Hypertension",E676="Angina Pectoris",E676="Bronchial Asthma",E676="Cardiac Arrhythmia"), D676+30,
OR(E676="Gastritis",E676="Osteoarthritis",E676="Bronchitis",E676="Iron Deficiency Anemia"), D676+14,
OR(E676="Lumbar Strain",E676="Migraine Headache"), D676+7,
OR(E676="Viral Fever",E676="General Checkup","Routine Health Check"), "",
TRUE,""
)</f>
        <v/>
      </c>
      <c r="I676" s="1" t="str">
        <f t="shared" si="20"/>
        <v>No Follow-up Required</v>
      </c>
      <c r="J676" t="str">
        <f>TEXT(Table8[[#This Row],[visit_Date]],"DDDD")</f>
        <v>Tuesday</v>
      </c>
      <c r="K676" t="str">
        <f>TEXT(Table8[[#This Row],[visit_Date]],"mmmm")</f>
        <v>July</v>
      </c>
      <c r="L676" t="str">
        <f t="shared" si="21"/>
        <v>Monsoon</v>
      </c>
    </row>
    <row r="677" spans="1:12" x14ac:dyDescent="0.25">
      <c r="A677">
        <v>676</v>
      </c>
      <c r="B677">
        <v>1027</v>
      </c>
      <c r="C677">
        <v>240</v>
      </c>
      <c r="D677" s="1">
        <v>45669</v>
      </c>
      <c r="E677" t="s">
        <v>24</v>
      </c>
      <c r="F677" t="s">
        <v>321</v>
      </c>
      <c r="G677" t="str">
        <f>_xlfn.XLOOKUP(TRIM(E678),MedicineInfo!A:A,MedicineInfo!B:B,"Not Found")</f>
        <v>Diclofenac</v>
      </c>
      <c r="H677" s="1" t="str" cm="1">
        <f t="array" ref="H677">_xlfn.IFS(
OR(E677="Type 2 Diabetes",E677="Essential Hypertension",E677="Angina Pectoris",E677="Bronchial Asthma",E677="Cardiac Arrhythmia"), D677+30,
OR(E677="Gastritis",E677="Osteoarthritis",E677="Bronchitis",E677="Iron Deficiency Anemia"), D677+14,
OR(E677="Lumbar Strain",E677="Migraine Headache"), D677+7,
OR(E677="Viral Fever",E677="General Checkup","Routine Health Check"), "",
TRUE,""
)</f>
        <v/>
      </c>
      <c r="I677" s="1" t="str">
        <f t="shared" si="20"/>
        <v>No Follow-up Required</v>
      </c>
      <c r="J677" t="str">
        <f>TEXT(Table8[[#This Row],[visit_Date]],"DDDD")</f>
        <v>Sunday</v>
      </c>
      <c r="K677" t="str">
        <f>TEXT(Table8[[#This Row],[visit_Date]],"mmmm")</f>
        <v>January</v>
      </c>
      <c r="L677" t="str">
        <f t="shared" si="21"/>
        <v>Winter</v>
      </c>
    </row>
    <row r="678" spans="1:12" x14ac:dyDescent="0.25">
      <c r="A678">
        <v>677</v>
      </c>
      <c r="B678">
        <v>1027</v>
      </c>
      <c r="C678">
        <v>529</v>
      </c>
      <c r="D678" s="1">
        <v>45791</v>
      </c>
      <c r="E678" t="s">
        <v>313</v>
      </c>
      <c r="F678" t="s">
        <v>314</v>
      </c>
      <c r="G678" t="str">
        <f>_xlfn.XLOOKUP(TRIM(E679),MedicineInfo!A:A,MedicineInfo!B:B,"Not Found")</f>
        <v>Sumatriptan</v>
      </c>
      <c r="H678" s="1" cm="1">
        <f t="array" ref="H678">_xlfn.IFS(
OR(E678="Type 2 Diabetes",E678="Essential Hypertension",E678="Angina Pectoris",E678="Bronchial Asthma",E678="Cardiac Arrhythmia"), D678+30,
OR(E678="Gastritis",E678="Osteoarthritis",E678="Bronchitis",E678="Iron Deficiency Anemia"), D678+14,
OR(E678="Lumbar Strain",E678="Migraine Headache"), D678+7,
OR(E678="Viral Fever",E678="General Checkup","Routine Health Check"), "",
TRUE,""
)</f>
        <v>45798</v>
      </c>
      <c r="I678" s="1" t="str">
        <f t="shared" si="20"/>
        <v>Follow-up Scheduled</v>
      </c>
      <c r="J678" t="str">
        <f>TEXT(Table8[[#This Row],[visit_Date]],"DDDD")</f>
        <v>Wednesday</v>
      </c>
      <c r="K678" t="str">
        <f>TEXT(Table8[[#This Row],[visit_Date]],"mmmm")</f>
        <v>May</v>
      </c>
      <c r="L678" t="str">
        <f t="shared" si="21"/>
        <v>Summer</v>
      </c>
    </row>
    <row r="679" spans="1:12" x14ac:dyDescent="0.25">
      <c r="A679">
        <v>678</v>
      </c>
      <c r="B679">
        <v>1009</v>
      </c>
      <c r="C679">
        <v>1308</v>
      </c>
      <c r="D679" s="1">
        <v>45777</v>
      </c>
      <c r="E679" t="s">
        <v>315</v>
      </c>
      <c r="F679" t="s">
        <v>316</v>
      </c>
      <c r="G679" t="str">
        <f>_xlfn.XLOOKUP(TRIM(E680),MedicineInfo!A:A,MedicineInfo!B:B,"Not Found")</f>
        <v>Paracetamol</v>
      </c>
      <c r="H679" s="1" cm="1">
        <f t="array" ref="H679">_xlfn.IFS(
OR(E679="Type 2 Diabetes",E679="Essential Hypertension",E679="Angina Pectoris",E679="Bronchial Asthma",E679="Cardiac Arrhythmia"), D679+30,
OR(E679="Gastritis",E679="Osteoarthritis",E679="Bronchitis",E679="Iron Deficiency Anemia"), D679+14,
OR(E679="Lumbar Strain",E679="Migraine Headache"), D679+7,
OR(E679="Viral Fever",E679="General Checkup","Routine Health Check"), "",
TRUE,""
)</f>
        <v>45784</v>
      </c>
      <c r="I679" s="1" t="str">
        <f t="shared" si="20"/>
        <v>Follow-up Scheduled</v>
      </c>
      <c r="J679" t="str">
        <f>TEXT(Table8[[#This Row],[visit_Date]],"DDDD")</f>
        <v>Wednesday</v>
      </c>
      <c r="K679" t="str">
        <f>TEXT(Table8[[#This Row],[visit_Date]],"mmmm")</f>
        <v>April</v>
      </c>
      <c r="L679" t="str">
        <f t="shared" si="21"/>
        <v>Summer</v>
      </c>
    </row>
    <row r="680" spans="1:12" x14ac:dyDescent="0.25">
      <c r="A680">
        <v>679</v>
      </c>
      <c r="B680">
        <v>1027</v>
      </c>
      <c r="C680">
        <v>944</v>
      </c>
      <c r="D680" s="1">
        <v>45811</v>
      </c>
      <c r="E680" t="s">
        <v>326</v>
      </c>
      <c r="F680" t="s">
        <v>327</v>
      </c>
      <c r="G680" t="str">
        <f>_xlfn.XLOOKUP(TRIM(E681),MedicineInfo!A:A,MedicineInfo!B:B,"Not Found")</f>
        <v>Multivitamin</v>
      </c>
      <c r="H680" s="1" t="str" cm="1">
        <f t="array" ref="H680">_xlfn.IFS(
OR(E680="Type 2 Diabetes",E680="Essential Hypertension",E680="Angina Pectoris",E680="Bronchial Asthma",E680="Cardiac Arrhythmia"), D680+30,
OR(E680="Gastritis",E680="Osteoarthritis",E680="Bronchitis",E680="Iron Deficiency Anemia"), D680+14,
OR(E680="Lumbar Strain",E680="Migraine Headache"), D680+7,
OR(E680="Viral Fever",E680="General Checkup","Routine Health Check"), "",
TRUE,""
)</f>
        <v/>
      </c>
      <c r="I680" s="1" t="str">
        <f t="shared" si="20"/>
        <v>No Follow-up Required</v>
      </c>
      <c r="J680" t="str">
        <f>TEXT(Table8[[#This Row],[visit_Date]],"DDDD")</f>
        <v>Tuesday</v>
      </c>
      <c r="K680" t="str">
        <f>TEXT(Table8[[#This Row],[visit_Date]],"mmmm")</f>
        <v>June</v>
      </c>
      <c r="L680" t="str">
        <f t="shared" si="21"/>
        <v>Monsoon</v>
      </c>
    </row>
    <row r="681" spans="1:12" x14ac:dyDescent="0.25">
      <c r="A681">
        <v>680</v>
      </c>
      <c r="B681">
        <v>1027</v>
      </c>
      <c r="C681">
        <v>740</v>
      </c>
      <c r="D681" s="1">
        <v>45671</v>
      </c>
      <c r="E681" t="s">
        <v>24</v>
      </c>
      <c r="F681" t="s">
        <v>321</v>
      </c>
      <c r="G681" t="str">
        <f>_xlfn.XLOOKUP(TRIM(E682),MedicineInfo!A:A,MedicineInfo!B:B,"Not Found")</f>
        <v>Diclofenac</v>
      </c>
      <c r="H681" s="1" t="str" cm="1">
        <f t="array" ref="H681">_xlfn.IFS(
OR(E681="Type 2 Diabetes",E681="Essential Hypertension",E681="Angina Pectoris",E681="Bronchial Asthma",E681="Cardiac Arrhythmia"), D681+30,
OR(E681="Gastritis",E681="Osteoarthritis",E681="Bronchitis",E681="Iron Deficiency Anemia"), D681+14,
OR(E681="Lumbar Strain",E681="Migraine Headache"), D681+7,
OR(E681="Viral Fever",E681="General Checkup","Routine Health Check"), "",
TRUE,""
)</f>
        <v/>
      </c>
      <c r="I681" s="1" t="str">
        <f t="shared" si="20"/>
        <v>No Follow-up Required</v>
      </c>
      <c r="J681" t="str">
        <f>TEXT(Table8[[#This Row],[visit_Date]],"DDDD")</f>
        <v>Tuesday</v>
      </c>
      <c r="K681" t="str">
        <f>TEXT(Table8[[#This Row],[visit_Date]],"mmmm")</f>
        <v>January</v>
      </c>
      <c r="L681" t="str">
        <f t="shared" si="21"/>
        <v>Winter</v>
      </c>
    </row>
    <row r="682" spans="1:12" x14ac:dyDescent="0.25">
      <c r="A682">
        <v>681</v>
      </c>
      <c r="B682">
        <v>1027</v>
      </c>
      <c r="C682">
        <v>1318</v>
      </c>
      <c r="D682" s="1">
        <v>45792</v>
      </c>
      <c r="E682" t="s">
        <v>313</v>
      </c>
      <c r="F682" t="s">
        <v>314</v>
      </c>
      <c r="G682" t="str">
        <f>_xlfn.XLOOKUP(TRIM(E683),MedicineInfo!A:A,MedicineInfo!B:B,"Not Found")</f>
        <v>Sumatriptan</v>
      </c>
      <c r="H682" s="1" cm="1">
        <f t="array" ref="H682">_xlfn.IFS(
OR(E682="Type 2 Diabetes",E682="Essential Hypertension",E682="Angina Pectoris",E682="Bronchial Asthma",E682="Cardiac Arrhythmia"), D682+30,
OR(E682="Gastritis",E682="Osteoarthritis",E682="Bronchitis",E682="Iron Deficiency Anemia"), D682+14,
OR(E682="Lumbar Strain",E682="Migraine Headache"), D682+7,
OR(E682="Viral Fever",E682="General Checkup","Routine Health Check"), "",
TRUE,""
)</f>
        <v>45799</v>
      </c>
      <c r="I682" s="1" t="str">
        <f t="shared" si="20"/>
        <v>Follow-up Scheduled</v>
      </c>
      <c r="J682" t="str">
        <f>TEXT(Table8[[#This Row],[visit_Date]],"DDDD")</f>
        <v>Thursday</v>
      </c>
      <c r="K682" t="str">
        <f>TEXT(Table8[[#This Row],[visit_Date]],"mmmm")</f>
        <v>May</v>
      </c>
      <c r="L682" t="str">
        <f t="shared" si="21"/>
        <v>Summer</v>
      </c>
    </row>
    <row r="683" spans="1:12" x14ac:dyDescent="0.25">
      <c r="A683">
        <v>682</v>
      </c>
      <c r="B683">
        <v>1008</v>
      </c>
      <c r="C683">
        <v>1089</v>
      </c>
      <c r="D683" s="1">
        <v>45814</v>
      </c>
      <c r="E683" t="s">
        <v>315</v>
      </c>
      <c r="F683" t="s">
        <v>316</v>
      </c>
      <c r="G683" t="str">
        <f>_xlfn.XLOOKUP(TRIM(E684),MedicineInfo!A:A,MedicineInfo!B:B,"Not Found")</f>
        <v>Sumatriptan</v>
      </c>
      <c r="H683" s="1" cm="1">
        <f t="array" ref="H683">_xlfn.IFS(
OR(E683="Type 2 Diabetes",E683="Essential Hypertension",E683="Angina Pectoris",E683="Bronchial Asthma",E683="Cardiac Arrhythmia"), D683+30,
OR(E683="Gastritis",E683="Osteoarthritis",E683="Bronchitis",E683="Iron Deficiency Anemia"), D683+14,
OR(E683="Lumbar Strain",E683="Migraine Headache"), D683+7,
OR(E683="Viral Fever",E683="General Checkup","Routine Health Check"), "",
TRUE,""
)</f>
        <v>45821</v>
      </c>
      <c r="I683" s="1" t="str">
        <f t="shared" si="20"/>
        <v>Follow-up Scheduled</v>
      </c>
      <c r="J683" t="str">
        <f>TEXT(Table8[[#This Row],[visit_Date]],"DDDD")</f>
        <v>Friday</v>
      </c>
      <c r="K683" t="str">
        <f>TEXT(Table8[[#This Row],[visit_Date]],"mmmm")</f>
        <v>June</v>
      </c>
      <c r="L683" t="str">
        <f t="shared" si="21"/>
        <v>Monsoon</v>
      </c>
    </row>
    <row r="684" spans="1:12" x14ac:dyDescent="0.25">
      <c r="A684">
        <v>683</v>
      </c>
      <c r="B684">
        <v>1009</v>
      </c>
      <c r="C684">
        <v>1331</v>
      </c>
      <c r="D684" s="1">
        <v>45790</v>
      </c>
      <c r="E684" t="s">
        <v>315</v>
      </c>
      <c r="F684" t="s">
        <v>316</v>
      </c>
      <c r="G684" t="str">
        <f>_xlfn.XLOOKUP(TRIM(E685),MedicineInfo!A:A,MedicineInfo!B:B,"Not Found")</f>
        <v>Salbutamol Inhaler</v>
      </c>
      <c r="H684" s="1" cm="1">
        <f t="array" ref="H684">_xlfn.IFS(
OR(E684="Type 2 Diabetes",E684="Essential Hypertension",E684="Angina Pectoris",E684="Bronchial Asthma",E684="Cardiac Arrhythmia"), D684+30,
OR(E684="Gastritis",E684="Osteoarthritis",E684="Bronchitis",E684="Iron Deficiency Anemia"), D684+14,
OR(E684="Lumbar Strain",E684="Migraine Headache"), D684+7,
OR(E684="Viral Fever",E684="General Checkup","Routine Health Check"), "",
TRUE,""
)</f>
        <v>45797</v>
      </c>
      <c r="I684" s="1" t="str">
        <f t="shared" si="20"/>
        <v>Follow-up Scheduled</v>
      </c>
      <c r="J684" t="str">
        <f>TEXT(Table8[[#This Row],[visit_Date]],"DDDD")</f>
        <v>Tuesday</v>
      </c>
      <c r="K684" t="str">
        <f>TEXT(Table8[[#This Row],[visit_Date]],"mmmm")</f>
        <v>May</v>
      </c>
      <c r="L684" t="str">
        <f t="shared" si="21"/>
        <v>Summer</v>
      </c>
    </row>
    <row r="685" spans="1:12" x14ac:dyDescent="0.25">
      <c r="A685">
        <v>684</v>
      </c>
      <c r="B685">
        <v>1020</v>
      </c>
      <c r="C685">
        <v>780</v>
      </c>
      <c r="D685" s="1">
        <v>45767</v>
      </c>
      <c r="E685" t="s">
        <v>324</v>
      </c>
      <c r="F685" t="s">
        <v>325</v>
      </c>
      <c r="G685" t="str">
        <f>_xlfn.XLOOKUP(TRIM(E686),MedicineInfo!A:A,MedicineInfo!B:B,"Not Found")</f>
        <v>Sumatriptan</v>
      </c>
      <c r="H685" s="1" cm="1">
        <f t="array" ref="H685">_xlfn.IFS(
OR(E685="Type 2 Diabetes",E685="Essential Hypertension",E685="Angina Pectoris",E685="Bronchial Asthma",E685="Cardiac Arrhythmia"), D685+30,
OR(E685="Gastritis",E685="Osteoarthritis",E685="Bronchitis",E685="Iron Deficiency Anemia"), D685+14,
OR(E685="Lumbar Strain",E685="Migraine Headache"), D685+7,
OR(E685="Viral Fever",E685="General Checkup","Routine Health Check"), "",
TRUE,""
)</f>
        <v>45797</v>
      </c>
      <c r="I685" s="1" t="str">
        <f t="shared" si="20"/>
        <v>Follow-up Scheduled</v>
      </c>
      <c r="J685" t="str">
        <f>TEXT(Table8[[#This Row],[visit_Date]],"DDDD")</f>
        <v>Sunday</v>
      </c>
      <c r="K685" t="str">
        <f>TEXT(Table8[[#This Row],[visit_Date]],"mmmm")</f>
        <v>April</v>
      </c>
      <c r="L685" t="str">
        <f t="shared" si="21"/>
        <v>Summer</v>
      </c>
    </row>
    <row r="686" spans="1:12" x14ac:dyDescent="0.25">
      <c r="A686">
        <v>685</v>
      </c>
      <c r="B686">
        <v>1008</v>
      </c>
      <c r="C686">
        <v>1245</v>
      </c>
      <c r="D686" s="1">
        <v>45773</v>
      </c>
      <c r="E686" t="s">
        <v>315</v>
      </c>
      <c r="F686" t="s">
        <v>316</v>
      </c>
      <c r="G686" t="str">
        <f>_xlfn.XLOOKUP(TRIM(E687),MedicineInfo!A:A,MedicineInfo!B:B,"Not Found")</f>
        <v>Amlodipine</v>
      </c>
      <c r="H686" s="1" cm="1">
        <f t="array" ref="H686">_xlfn.IFS(
OR(E686="Type 2 Diabetes",E686="Essential Hypertension",E686="Angina Pectoris",E686="Bronchial Asthma",E686="Cardiac Arrhythmia"), D686+30,
OR(E686="Gastritis",E686="Osteoarthritis",E686="Bronchitis",E686="Iron Deficiency Anemia"), D686+14,
OR(E686="Lumbar Strain",E686="Migraine Headache"), D686+7,
OR(E686="Viral Fever",E686="General Checkup","Routine Health Check"), "",
TRUE,""
)</f>
        <v>45780</v>
      </c>
      <c r="I686" s="1" t="str">
        <f t="shared" si="20"/>
        <v>Follow-up Scheduled</v>
      </c>
      <c r="J686" t="str">
        <f>TEXT(Table8[[#This Row],[visit_Date]],"DDDD")</f>
        <v>Saturday</v>
      </c>
      <c r="K686" t="str">
        <f>TEXT(Table8[[#This Row],[visit_Date]],"mmmm")</f>
        <v>April</v>
      </c>
      <c r="L686" t="str">
        <f t="shared" si="21"/>
        <v>Summer</v>
      </c>
    </row>
    <row r="687" spans="1:12" x14ac:dyDescent="0.25">
      <c r="A687">
        <v>686</v>
      </c>
      <c r="B687">
        <v>1003</v>
      </c>
      <c r="C687">
        <v>1221</v>
      </c>
      <c r="D687" s="1">
        <v>45777</v>
      </c>
      <c r="E687" t="s">
        <v>319</v>
      </c>
      <c r="F687" t="s">
        <v>320</v>
      </c>
      <c r="G687" t="str">
        <f>_xlfn.XLOOKUP(TRIM(E688),MedicineInfo!A:A,MedicineInfo!B:B,"Not Found")</f>
        <v>Multivitamin</v>
      </c>
      <c r="H687" s="1" cm="1">
        <f t="array" ref="H687">_xlfn.IFS(
OR(E687="Type 2 Diabetes",E687="Essential Hypertension",E687="Angina Pectoris",E687="Bronchial Asthma",E687="Cardiac Arrhythmia"), D687+30,
OR(E687="Gastritis",E687="Osteoarthritis",E687="Bronchitis",E687="Iron Deficiency Anemia"), D687+14,
OR(E687="Lumbar Strain",E687="Migraine Headache"), D687+7,
OR(E687="Viral Fever",E687="General Checkup","Routine Health Check"), "",
TRUE,""
)</f>
        <v>45807</v>
      </c>
      <c r="I687" s="1" t="str">
        <f t="shared" si="20"/>
        <v>Follow-up Scheduled</v>
      </c>
      <c r="J687" t="str">
        <f>TEXT(Table8[[#This Row],[visit_Date]],"DDDD")</f>
        <v>Wednesday</v>
      </c>
      <c r="K687" t="str">
        <f>TEXT(Table8[[#This Row],[visit_Date]],"mmmm")</f>
        <v>April</v>
      </c>
      <c r="L687" t="str">
        <f t="shared" si="21"/>
        <v>Summer</v>
      </c>
    </row>
    <row r="688" spans="1:12" x14ac:dyDescent="0.25">
      <c r="A688">
        <v>687</v>
      </c>
      <c r="B688">
        <v>1027</v>
      </c>
      <c r="C688">
        <v>1297</v>
      </c>
      <c r="D688" s="1">
        <v>45740</v>
      </c>
      <c r="E688" t="s">
        <v>24</v>
      </c>
      <c r="F688" t="s">
        <v>321</v>
      </c>
      <c r="G688" t="str">
        <f>_xlfn.XLOOKUP(TRIM(E689),MedicineInfo!A:A,MedicineInfo!B:B,"Not Found")</f>
        <v>Amlodipine</v>
      </c>
      <c r="H688" s="1" t="str" cm="1">
        <f t="array" ref="H688">_xlfn.IFS(
OR(E688="Type 2 Diabetes",E688="Essential Hypertension",E688="Angina Pectoris",E688="Bronchial Asthma",E688="Cardiac Arrhythmia"), D688+30,
OR(E688="Gastritis",E688="Osteoarthritis",E688="Bronchitis",E688="Iron Deficiency Anemia"), D688+14,
OR(E688="Lumbar Strain",E688="Migraine Headache"), D688+7,
OR(E688="Viral Fever",E688="General Checkup","Routine Health Check"), "",
TRUE,""
)</f>
        <v/>
      </c>
      <c r="I688" s="1" t="str">
        <f t="shared" si="20"/>
        <v>No Follow-up Required</v>
      </c>
      <c r="J688" t="str">
        <f>TEXT(Table8[[#This Row],[visit_Date]],"DDDD")</f>
        <v>Monday</v>
      </c>
      <c r="K688" t="str">
        <f>TEXT(Table8[[#This Row],[visit_Date]],"mmmm")</f>
        <v>March</v>
      </c>
      <c r="L688" t="str">
        <f t="shared" si="21"/>
        <v>Summer</v>
      </c>
    </row>
    <row r="689" spans="1:12" x14ac:dyDescent="0.25">
      <c r="A689">
        <v>688</v>
      </c>
      <c r="B689">
        <v>1004</v>
      </c>
      <c r="C689">
        <v>257</v>
      </c>
      <c r="D689" s="1">
        <v>45758</v>
      </c>
      <c r="E689" t="s">
        <v>319</v>
      </c>
      <c r="F689" t="s">
        <v>320</v>
      </c>
      <c r="G689" t="str">
        <f>_xlfn.XLOOKUP(TRIM(E690),MedicineInfo!A:A,MedicineInfo!B:B,"Not Found")</f>
        <v>Paracetamol</v>
      </c>
      <c r="H689" s="1" cm="1">
        <f t="array" ref="H689">_xlfn.IFS(
OR(E689="Type 2 Diabetes",E689="Essential Hypertension",E689="Angina Pectoris",E689="Bronchial Asthma",E689="Cardiac Arrhythmia"), D689+30,
OR(E689="Gastritis",E689="Osteoarthritis",E689="Bronchitis",E689="Iron Deficiency Anemia"), D689+14,
OR(E689="Lumbar Strain",E689="Migraine Headache"), D689+7,
OR(E689="Viral Fever",E689="General Checkup","Routine Health Check"), "",
TRUE,""
)</f>
        <v>45788</v>
      </c>
      <c r="I689" s="1" t="str">
        <f t="shared" si="20"/>
        <v>Follow-up Scheduled</v>
      </c>
      <c r="J689" t="str">
        <f>TEXT(Table8[[#This Row],[visit_Date]],"DDDD")</f>
        <v>Friday</v>
      </c>
      <c r="K689" t="str">
        <f>TEXT(Table8[[#This Row],[visit_Date]],"mmmm")</f>
        <v>April</v>
      </c>
      <c r="L689" t="str">
        <f t="shared" si="21"/>
        <v>Summer</v>
      </c>
    </row>
    <row r="690" spans="1:12" x14ac:dyDescent="0.25">
      <c r="A690">
        <v>689</v>
      </c>
      <c r="B690">
        <v>1027</v>
      </c>
      <c r="C690">
        <v>695</v>
      </c>
      <c r="D690" s="1">
        <v>45767</v>
      </c>
      <c r="E690" t="s">
        <v>326</v>
      </c>
      <c r="F690" t="s">
        <v>327</v>
      </c>
      <c r="G690" t="str">
        <f>_xlfn.XLOOKUP(TRIM(E691),MedicineInfo!A:A,MedicineInfo!B:B,"Not Found")</f>
        <v>Diclofenac</v>
      </c>
      <c r="H690" s="1" t="str" cm="1">
        <f t="array" ref="H690">_xlfn.IFS(
OR(E690="Type 2 Diabetes",E690="Essential Hypertension",E690="Angina Pectoris",E690="Bronchial Asthma",E690="Cardiac Arrhythmia"), D690+30,
OR(E690="Gastritis",E690="Osteoarthritis",E690="Bronchitis",E690="Iron Deficiency Anemia"), D690+14,
OR(E690="Lumbar Strain",E690="Migraine Headache"), D690+7,
OR(E690="Viral Fever",E690="General Checkup","Routine Health Check"), "",
TRUE,""
)</f>
        <v/>
      </c>
      <c r="I690" s="1" t="str">
        <f t="shared" si="20"/>
        <v>No Follow-up Required</v>
      </c>
      <c r="J690" t="str">
        <f>TEXT(Table8[[#This Row],[visit_Date]],"DDDD")</f>
        <v>Sunday</v>
      </c>
      <c r="K690" t="str">
        <f>TEXT(Table8[[#This Row],[visit_Date]],"mmmm")</f>
        <v>April</v>
      </c>
      <c r="L690" t="str">
        <f t="shared" si="21"/>
        <v>Summer</v>
      </c>
    </row>
    <row r="691" spans="1:12" x14ac:dyDescent="0.25">
      <c r="A691">
        <v>690</v>
      </c>
      <c r="B691">
        <v>1027</v>
      </c>
      <c r="C691">
        <v>1432</v>
      </c>
      <c r="D691" s="1">
        <v>45823</v>
      </c>
      <c r="E691" t="s">
        <v>313</v>
      </c>
      <c r="F691" t="s">
        <v>314</v>
      </c>
      <c r="G691" t="str">
        <f>_xlfn.XLOOKUP(TRIM(E692),MedicineInfo!A:A,MedicineInfo!B:B,"Not Found")</f>
        <v>Multivitamin</v>
      </c>
      <c r="H691" s="1" cm="1">
        <f t="array" ref="H691">_xlfn.IFS(
OR(E691="Type 2 Diabetes",E691="Essential Hypertension",E691="Angina Pectoris",E691="Bronchial Asthma",E691="Cardiac Arrhythmia"), D691+30,
OR(E691="Gastritis",E691="Osteoarthritis",E691="Bronchitis",E691="Iron Deficiency Anemia"), D691+14,
OR(E691="Lumbar Strain",E691="Migraine Headache"), D691+7,
OR(E691="Viral Fever",E691="General Checkup","Routine Health Check"), "",
TRUE,""
)</f>
        <v>45830</v>
      </c>
      <c r="I691" s="1" t="str">
        <f t="shared" si="20"/>
        <v>Follow-up Scheduled</v>
      </c>
      <c r="J691" t="str">
        <f>TEXT(Table8[[#This Row],[visit_Date]],"DDDD")</f>
        <v>Sunday</v>
      </c>
      <c r="K691" t="str">
        <f>TEXT(Table8[[#This Row],[visit_Date]],"mmmm")</f>
        <v>June</v>
      </c>
      <c r="L691" t="str">
        <f t="shared" si="21"/>
        <v>Monsoon</v>
      </c>
    </row>
    <row r="692" spans="1:12" x14ac:dyDescent="0.25">
      <c r="A692">
        <v>691</v>
      </c>
      <c r="B692">
        <v>1027</v>
      </c>
      <c r="C692">
        <v>698</v>
      </c>
      <c r="D692" s="1">
        <v>45853</v>
      </c>
      <c r="E692" t="s">
        <v>24</v>
      </c>
      <c r="F692" t="s">
        <v>321</v>
      </c>
      <c r="G692" t="str">
        <f>_xlfn.XLOOKUP(TRIM(E693),MedicineInfo!A:A,MedicineInfo!B:B,"Not Found")</f>
        <v>Nitroglycerin</v>
      </c>
      <c r="H692" s="1" t="str" cm="1">
        <f t="array" ref="H692">_xlfn.IFS(
OR(E692="Type 2 Diabetes",E692="Essential Hypertension",E692="Angina Pectoris",E692="Bronchial Asthma",E692="Cardiac Arrhythmia"), D692+30,
OR(E692="Gastritis",E692="Osteoarthritis",E692="Bronchitis",E692="Iron Deficiency Anemia"), D692+14,
OR(E692="Lumbar Strain",E692="Migraine Headache"), D692+7,
OR(E692="Viral Fever",E692="General Checkup","Routine Health Check"), "",
TRUE,""
)</f>
        <v/>
      </c>
      <c r="I692" s="1" t="str">
        <f t="shared" si="20"/>
        <v>No Follow-up Required</v>
      </c>
      <c r="J692" t="str">
        <f>TEXT(Table8[[#This Row],[visit_Date]],"DDDD")</f>
        <v>Tuesday</v>
      </c>
      <c r="K692" t="str">
        <f>TEXT(Table8[[#This Row],[visit_Date]],"mmmm")</f>
        <v>July</v>
      </c>
      <c r="L692" t="str">
        <f t="shared" si="21"/>
        <v>Monsoon</v>
      </c>
    </row>
    <row r="693" spans="1:12" x14ac:dyDescent="0.25">
      <c r="A693">
        <v>692</v>
      </c>
      <c r="B693">
        <v>1027</v>
      </c>
      <c r="C693">
        <v>238</v>
      </c>
      <c r="D693" s="1">
        <v>45819</v>
      </c>
      <c r="E693" t="s">
        <v>322</v>
      </c>
      <c r="F693" t="s">
        <v>323</v>
      </c>
      <c r="G693" t="str">
        <f>_xlfn.XLOOKUP(TRIM(E694),MedicineInfo!A:A,MedicineInfo!B:B,"Not Found")</f>
        <v>Amlodipine</v>
      </c>
      <c r="H693" s="1" cm="1">
        <f t="array" ref="H693">_xlfn.IFS(
OR(E693="Type 2 Diabetes",E693="Essential Hypertension",E693="Angina Pectoris",E693="Bronchial Asthma",E693="Cardiac Arrhythmia"), D693+30,
OR(E693="Gastritis",E693="Osteoarthritis",E693="Bronchitis",E693="Iron Deficiency Anemia"), D693+14,
OR(E693="Lumbar Strain",E693="Migraine Headache"), D693+7,
OR(E693="Viral Fever",E693="General Checkup","Routine Health Check"), "",
TRUE,""
)</f>
        <v>45849</v>
      </c>
      <c r="I693" s="1" t="str">
        <f t="shared" si="20"/>
        <v>Follow-up Scheduled</v>
      </c>
      <c r="J693" t="str">
        <f>TEXT(Table8[[#This Row],[visit_Date]],"DDDD")</f>
        <v>Wednesday</v>
      </c>
      <c r="K693" t="str">
        <f>TEXT(Table8[[#This Row],[visit_Date]],"mmmm")</f>
        <v>June</v>
      </c>
      <c r="L693" t="str">
        <f t="shared" si="21"/>
        <v>Monsoon</v>
      </c>
    </row>
    <row r="694" spans="1:12" x14ac:dyDescent="0.25">
      <c r="A694">
        <v>693</v>
      </c>
      <c r="B694">
        <v>1002</v>
      </c>
      <c r="C694">
        <v>622</v>
      </c>
      <c r="D694" s="1">
        <v>45823</v>
      </c>
      <c r="E694" t="s">
        <v>319</v>
      </c>
      <c r="F694" t="s">
        <v>320</v>
      </c>
      <c r="G694" t="str">
        <f>_xlfn.XLOOKUP(TRIM(E695),MedicineInfo!A:A,MedicineInfo!B:B,"Not Found")</f>
        <v>Sumatriptan</v>
      </c>
      <c r="H694" s="1" cm="1">
        <f t="array" ref="H694">_xlfn.IFS(
OR(E694="Type 2 Diabetes",E694="Essential Hypertension",E694="Angina Pectoris",E694="Bronchial Asthma",E694="Cardiac Arrhythmia"), D694+30,
OR(E694="Gastritis",E694="Osteoarthritis",E694="Bronchitis",E694="Iron Deficiency Anemia"), D694+14,
OR(E694="Lumbar Strain",E694="Migraine Headache"), D694+7,
OR(E694="Viral Fever",E694="General Checkup","Routine Health Check"), "",
TRUE,""
)</f>
        <v>45853</v>
      </c>
      <c r="I694" s="1" t="str">
        <f t="shared" si="20"/>
        <v>Follow-up Scheduled</v>
      </c>
      <c r="J694" t="str">
        <f>TEXT(Table8[[#This Row],[visit_Date]],"DDDD")</f>
        <v>Sunday</v>
      </c>
      <c r="K694" t="str">
        <f>TEXT(Table8[[#This Row],[visit_Date]],"mmmm")</f>
        <v>June</v>
      </c>
      <c r="L694" t="str">
        <f t="shared" si="21"/>
        <v>Monsoon</v>
      </c>
    </row>
    <row r="695" spans="1:12" x14ac:dyDescent="0.25">
      <c r="A695">
        <v>694</v>
      </c>
      <c r="B695">
        <v>1008</v>
      </c>
      <c r="C695">
        <v>595</v>
      </c>
      <c r="D695" s="1">
        <v>45783</v>
      </c>
      <c r="E695" t="s">
        <v>315</v>
      </c>
      <c r="F695" t="s">
        <v>316</v>
      </c>
      <c r="G695" t="str">
        <f>_xlfn.XLOOKUP(TRIM(E696),MedicineInfo!A:A,MedicineInfo!B:B,"Not Found")</f>
        <v>Paracetamol</v>
      </c>
      <c r="H695" s="1" cm="1">
        <f t="array" ref="H695">_xlfn.IFS(
OR(E695="Type 2 Diabetes",E695="Essential Hypertension",E695="Angina Pectoris",E695="Bronchial Asthma",E695="Cardiac Arrhythmia"), D695+30,
OR(E695="Gastritis",E695="Osteoarthritis",E695="Bronchitis",E695="Iron Deficiency Anemia"), D695+14,
OR(E695="Lumbar Strain",E695="Migraine Headache"), D695+7,
OR(E695="Viral Fever",E695="General Checkup","Routine Health Check"), "",
TRUE,""
)</f>
        <v>45790</v>
      </c>
      <c r="I695" s="1" t="str">
        <f t="shared" si="20"/>
        <v>Follow-up Scheduled</v>
      </c>
      <c r="J695" t="str">
        <f>TEXT(Table8[[#This Row],[visit_Date]],"DDDD")</f>
        <v>Tuesday</v>
      </c>
      <c r="K695" t="str">
        <f>TEXT(Table8[[#This Row],[visit_Date]],"mmmm")</f>
        <v>May</v>
      </c>
      <c r="L695" t="str">
        <f t="shared" si="21"/>
        <v>Summer</v>
      </c>
    </row>
    <row r="696" spans="1:12" x14ac:dyDescent="0.25">
      <c r="A696">
        <v>695</v>
      </c>
      <c r="B696">
        <v>1027</v>
      </c>
      <c r="C696">
        <v>531</v>
      </c>
      <c r="D696" s="1">
        <v>45672</v>
      </c>
      <c r="E696" t="s">
        <v>326</v>
      </c>
      <c r="F696" t="s">
        <v>327</v>
      </c>
      <c r="G696" t="str">
        <f>_xlfn.XLOOKUP(TRIM(E697),MedicineInfo!A:A,MedicineInfo!B:B,"Not Found")</f>
        <v>Multivitamin</v>
      </c>
      <c r="H696" s="1" t="str" cm="1">
        <f t="array" ref="H696">_xlfn.IFS(
OR(E696="Type 2 Diabetes",E696="Essential Hypertension",E696="Angina Pectoris",E696="Bronchial Asthma",E696="Cardiac Arrhythmia"), D696+30,
OR(E696="Gastritis",E696="Osteoarthritis",E696="Bronchitis",E696="Iron Deficiency Anemia"), D696+14,
OR(E696="Lumbar Strain",E696="Migraine Headache"), D696+7,
OR(E696="Viral Fever",E696="General Checkup","Routine Health Check"), "",
TRUE,""
)</f>
        <v/>
      </c>
      <c r="I696" s="1" t="str">
        <f t="shared" si="20"/>
        <v>No Follow-up Required</v>
      </c>
      <c r="J696" t="str">
        <f>TEXT(Table8[[#This Row],[visit_Date]],"DDDD")</f>
        <v>Wednesday</v>
      </c>
      <c r="K696" t="str">
        <f>TEXT(Table8[[#This Row],[visit_Date]],"mmmm")</f>
        <v>January</v>
      </c>
      <c r="L696" t="str">
        <f t="shared" si="21"/>
        <v>Winter</v>
      </c>
    </row>
    <row r="697" spans="1:12" x14ac:dyDescent="0.25">
      <c r="A697">
        <v>696</v>
      </c>
      <c r="B697">
        <v>1027</v>
      </c>
      <c r="C697">
        <v>465</v>
      </c>
      <c r="D697" s="1">
        <v>45788</v>
      </c>
      <c r="E697" t="s">
        <v>24</v>
      </c>
      <c r="F697" t="s">
        <v>321</v>
      </c>
      <c r="G697" t="str">
        <f>_xlfn.XLOOKUP(TRIM(E698),MedicineInfo!A:A,MedicineInfo!B:B,"Not Found")</f>
        <v>Amlodipine</v>
      </c>
      <c r="H697" s="1" t="str" cm="1">
        <f t="array" ref="H697">_xlfn.IFS(
OR(E697="Type 2 Diabetes",E697="Essential Hypertension",E697="Angina Pectoris",E697="Bronchial Asthma",E697="Cardiac Arrhythmia"), D697+30,
OR(E697="Gastritis",E697="Osteoarthritis",E697="Bronchitis",E697="Iron Deficiency Anemia"), D697+14,
OR(E697="Lumbar Strain",E697="Migraine Headache"), D697+7,
OR(E697="Viral Fever",E697="General Checkup","Routine Health Check"), "",
TRUE,""
)</f>
        <v/>
      </c>
      <c r="I697" s="1" t="str">
        <f t="shared" si="20"/>
        <v>No Follow-up Required</v>
      </c>
      <c r="J697" t="str">
        <f>TEXT(Table8[[#This Row],[visit_Date]],"DDDD")</f>
        <v>Sunday</v>
      </c>
      <c r="K697" t="str">
        <f>TEXT(Table8[[#This Row],[visit_Date]],"mmmm")</f>
        <v>May</v>
      </c>
      <c r="L697" t="str">
        <f t="shared" si="21"/>
        <v>Summer</v>
      </c>
    </row>
    <row r="698" spans="1:12" x14ac:dyDescent="0.25">
      <c r="A698">
        <v>697</v>
      </c>
      <c r="B698">
        <v>1003</v>
      </c>
      <c r="C698">
        <v>1087</v>
      </c>
      <c r="D698" s="1">
        <v>45791</v>
      </c>
      <c r="E698" t="s">
        <v>319</v>
      </c>
      <c r="F698" t="s">
        <v>320</v>
      </c>
      <c r="G698" t="str">
        <f>_xlfn.XLOOKUP(TRIM(E699),MedicineInfo!A:A,MedicineInfo!B:B,"Not Found")</f>
        <v>Nitroglycerin</v>
      </c>
      <c r="H698" s="1" cm="1">
        <f t="array" ref="H698">_xlfn.IFS(
OR(E698="Type 2 Diabetes",E698="Essential Hypertension",E698="Angina Pectoris",E698="Bronchial Asthma",E698="Cardiac Arrhythmia"), D698+30,
OR(E698="Gastritis",E698="Osteoarthritis",E698="Bronchitis",E698="Iron Deficiency Anemia"), D698+14,
OR(E698="Lumbar Strain",E698="Migraine Headache"), D698+7,
OR(E698="Viral Fever",E698="General Checkup","Routine Health Check"), "",
TRUE,""
)</f>
        <v>45821</v>
      </c>
      <c r="I698" s="1" t="str">
        <f t="shared" si="20"/>
        <v>Follow-up Scheduled</v>
      </c>
      <c r="J698" t="str">
        <f>TEXT(Table8[[#This Row],[visit_Date]],"DDDD")</f>
        <v>Wednesday</v>
      </c>
      <c r="K698" t="str">
        <f>TEXT(Table8[[#This Row],[visit_Date]],"mmmm")</f>
        <v>May</v>
      </c>
      <c r="L698" t="str">
        <f t="shared" si="21"/>
        <v>Summer</v>
      </c>
    </row>
    <row r="699" spans="1:12" x14ac:dyDescent="0.25">
      <c r="A699">
        <v>698</v>
      </c>
      <c r="B699">
        <v>1001</v>
      </c>
      <c r="C699">
        <v>277</v>
      </c>
      <c r="D699" s="1">
        <v>45777</v>
      </c>
      <c r="E699" t="s">
        <v>322</v>
      </c>
      <c r="F699" t="s">
        <v>323</v>
      </c>
      <c r="G699" t="str">
        <f>_xlfn.XLOOKUP(TRIM(E700),MedicineInfo!A:A,MedicineInfo!B:B,"Not Found")</f>
        <v>Amlodipine</v>
      </c>
      <c r="H699" s="1" cm="1">
        <f t="array" ref="H699">_xlfn.IFS(
OR(E699="Type 2 Diabetes",E699="Essential Hypertension",E699="Angina Pectoris",E699="Bronchial Asthma",E699="Cardiac Arrhythmia"), D699+30,
OR(E699="Gastritis",E699="Osteoarthritis",E699="Bronchitis",E699="Iron Deficiency Anemia"), D699+14,
OR(E699="Lumbar Strain",E699="Migraine Headache"), D699+7,
OR(E699="Viral Fever",E699="General Checkup","Routine Health Check"), "",
TRUE,""
)</f>
        <v>45807</v>
      </c>
      <c r="I699" s="1" t="str">
        <f t="shared" si="20"/>
        <v>Follow-up Scheduled</v>
      </c>
      <c r="J699" t="str">
        <f>TEXT(Table8[[#This Row],[visit_Date]],"DDDD")</f>
        <v>Wednesday</v>
      </c>
      <c r="K699" t="str">
        <f>TEXT(Table8[[#This Row],[visit_Date]],"mmmm")</f>
        <v>April</v>
      </c>
      <c r="L699" t="str">
        <f t="shared" si="21"/>
        <v>Summer</v>
      </c>
    </row>
    <row r="700" spans="1:12" x14ac:dyDescent="0.25">
      <c r="A700">
        <v>699</v>
      </c>
      <c r="B700">
        <v>1001</v>
      </c>
      <c r="C700">
        <v>647</v>
      </c>
      <c r="D700" s="1">
        <v>45835</v>
      </c>
      <c r="E700" t="s">
        <v>319</v>
      </c>
      <c r="F700" t="s">
        <v>320</v>
      </c>
      <c r="G700" t="str">
        <f>_xlfn.XLOOKUP(TRIM(E701),MedicineInfo!A:A,MedicineInfo!B:B,"Not Found")</f>
        <v>Diclofenac</v>
      </c>
      <c r="H700" s="1" cm="1">
        <f t="array" ref="H700">_xlfn.IFS(
OR(E700="Type 2 Diabetes",E700="Essential Hypertension",E700="Angina Pectoris",E700="Bronchial Asthma",E700="Cardiac Arrhythmia"), D700+30,
OR(E700="Gastritis",E700="Osteoarthritis",E700="Bronchitis",E700="Iron Deficiency Anemia"), D700+14,
OR(E700="Lumbar Strain",E700="Migraine Headache"), D700+7,
OR(E700="Viral Fever",E700="General Checkup","Routine Health Check"), "",
TRUE,""
)</f>
        <v>45865</v>
      </c>
      <c r="I700" s="1" t="str">
        <f t="shared" si="20"/>
        <v>Follow-up Scheduled</v>
      </c>
      <c r="J700" t="str">
        <f>TEXT(Table8[[#This Row],[visit_Date]],"DDDD")</f>
        <v>Friday</v>
      </c>
      <c r="K700" t="str">
        <f>TEXT(Table8[[#This Row],[visit_Date]],"mmmm")</f>
        <v>June</v>
      </c>
      <c r="L700" t="str">
        <f t="shared" si="21"/>
        <v>Monsoon</v>
      </c>
    </row>
    <row r="701" spans="1:12" x14ac:dyDescent="0.25">
      <c r="A701">
        <v>700</v>
      </c>
      <c r="B701">
        <v>1027</v>
      </c>
      <c r="C701">
        <v>1094</v>
      </c>
      <c r="D701" s="1">
        <v>45799</v>
      </c>
      <c r="E701" t="s">
        <v>313</v>
      </c>
      <c r="F701" t="s">
        <v>314</v>
      </c>
      <c r="G701" t="str">
        <f>_xlfn.XLOOKUP(TRIM(E702),MedicineInfo!A:A,MedicineInfo!B:B,"Not Found")</f>
        <v>Diclofenac</v>
      </c>
      <c r="H701" s="1" cm="1">
        <f t="array" ref="H701">_xlfn.IFS(
OR(E701="Type 2 Diabetes",E701="Essential Hypertension",E701="Angina Pectoris",E701="Bronchial Asthma",E701="Cardiac Arrhythmia"), D701+30,
OR(E701="Gastritis",E701="Osteoarthritis",E701="Bronchitis",E701="Iron Deficiency Anemia"), D701+14,
OR(E701="Lumbar Strain",E701="Migraine Headache"), D701+7,
OR(E701="Viral Fever",E701="General Checkup","Routine Health Check"), "",
TRUE,""
)</f>
        <v>45806</v>
      </c>
      <c r="I701" s="1" t="str">
        <f t="shared" si="20"/>
        <v>Follow-up Scheduled</v>
      </c>
      <c r="J701" t="str">
        <f>TEXT(Table8[[#This Row],[visit_Date]],"DDDD")</f>
        <v>Thursday</v>
      </c>
      <c r="K701" t="str">
        <f>TEXT(Table8[[#This Row],[visit_Date]],"mmmm")</f>
        <v>May</v>
      </c>
      <c r="L701" t="str">
        <f t="shared" si="21"/>
        <v>Summer</v>
      </c>
    </row>
    <row r="702" spans="1:12" x14ac:dyDescent="0.25">
      <c r="A702">
        <v>701</v>
      </c>
      <c r="B702">
        <v>1027</v>
      </c>
      <c r="C702">
        <v>121</v>
      </c>
      <c r="D702" s="1">
        <v>45691</v>
      </c>
      <c r="E702" t="s">
        <v>313</v>
      </c>
      <c r="F702" t="s">
        <v>314</v>
      </c>
      <c r="G702" t="str">
        <f>_xlfn.XLOOKUP(TRIM(E703),MedicineInfo!A:A,MedicineInfo!B:B,"Not Found")</f>
        <v>Salbutamol Inhaler</v>
      </c>
      <c r="H702" s="1" cm="1">
        <f t="array" ref="H702">_xlfn.IFS(
OR(E702="Type 2 Diabetes",E702="Essential Hypertension",E702="Angina Pectoris",E702="Bronchial Asthma",E702="Cardiac Arrhythmia"), D702+30,
OR(E702="Gastritis",E702="Osteoarthritis",E702="Bronchitis",E702="Iron Deficiency Anemia"), D702+14,
OR(E702="Lumbar Strain",E702="Migraine Headache"), D702+7,
OR(E702="Viral Fever",E702="General Checkup","Routine Health Check"), "",
TRUE,""
)</f>
        <v>45698</v>
      </c>
      <c r="I702" s="1" t="str">
        <f t="shared" si="20"/>
        <v>Follow-up Scheduled</v>
      </c>
      <c r="J702" t="str">
        <f>TEXT(Table8[[#This Row],[visit_Date]],"DDDD")</f>
        <v>Monday</v>
      </c>
      <c r="K702" t="str">
        <f>TEXT(Table8[[#This Row],[visit_Date]],"mmmm")</f>
        <v>February</v>
      </c>
      <c r="L702" t="str">
        <f t="shared" si="21"/>
        <v>Winter</v>
      </c>
    </row>
    <row r="703" spans="1:12" x14ac:dyDescent="0.25">
      <c r="A703">
        <v>702</v>
      </c>
      <c r="B703">
        <v>1020</v>
      </c>
      <c r="C703">
        <v>1474</v>
      </c>
      <c r="D703" s="1">
        <v>45853</v>
      </c>
      <c r="E703" t="s">
        <v>324</v>
      </c>
      <c r="F703" t="s">
        <v>325</v>
      </c>
      <c r="G703" t="str">
        <f>_xlfn.XLOOKUP(TRIM(E704),MedicineInfo!A:A,MedicineInfo!B:B,"Not Found")</f>
        <v>Sumatriptan</v>
      </c>
      <c r="H703" s="1" cm="1">
        <f t="array" ref="H703">_xlfn.IFS(
OR(E703="Type 2 Diabetes",E703="Essential Hypertension",E703="Angina Pectoris",E703="Bronchial Asthma",E703="Cardiac Arrhythmia"), D703+30,
OR(E703="Gastritis",E703="Osteoarthritis",E703="Bronchitis",E703="Iron Deficiency Anemia"), D703+14,
OR(E703="Lumbar Strain",E703="Migraine Headache"), D703+7,
OR(E703="Viral Fever",E703="General Checkup","Routine Health Check"), "",
TRUE,""
)</f>
        <v>45883</v>
      </c>
      <c r="I703" s="1" t="str">
        <f t="shared" si="20"/>
        <v>Follow-up Scheduled</v>
      </c>
      <c r="J703" t="str">
        <f>TEXT(Table8[[#This Row],[visit_Date]],"DDDD")</f>
        <v>Tuesday</v>
      </c>
      <c r="K703" t="str">
        <f>TEXT(Table8[[#This Row],[visit_Date]],"mmmm")</f>
        <v>July</v>
      </c>
      <c r="L703" t="str">
        <f t="shared" si="21"/>
        <v>Monsoon</v>
      </c>
    </row>
    <row r="704" spans="1:12" x14ac:dyDescent="0.25">
      <c r="A704">
        <v>703</v>
      </c>
      <c r="B704">
        <v>1008</v>
      </c>
      <c r="C704">
        <v>379</v>
      </c>
      <c r="D704" s="1">
        <v>45814</v>
      </c>
      <c r="E704" t="s">
        <v>315</v>
      </c>
      <c r="F704" t="s">
        <v>316</v>
      </c>
      <c r="G704" t="str">
        <f>_xlfn.XLOOKUP(TRIM(E705),MedicineInfo!A:A,MedicineInfo!B:B,"Not Found")</f>
        <v>Sumatriptan</v>
      </c>
      <c r="H704" s="1" cm="1">
        <f t="array" ref="H704">_xlfn.IFS(
OR(E704="Type 2 Diabetes",E704="Essential Hypertension",E704="Angina Pectoris",E704="Bronchial Asthma",E704="Cardiac Arrhythmia"), D704+30,
OR(E704="Gastritis",E704="Osteoarthritis",E704="Bronchitis",E704="Iron Deficiency Anemia"), D704+14,
OR(E704="Lumbar Strain",E704="Migraine Headache"), D704+7,
OR(E704="Viral Fever",E704="General Checkup","Routine Health Check"), "",
TRUE,""
)</f>
        <v>45821</v>
      </c>
      <c r="I704" s="1" t="str">
        <f t="shared" si="20"/>
        <v>Follow-up Scheduled</v>
      </c>
      <c r="J704" t="str">
        <f>TEXT(Table8[[#This Row],[visit_Date]],"DDDD")</f>
        <v>Friday</v>
      </c>
      <c r="K704" t="str">
        <f>TEXT(Table8[[#This Row],[visit_Date]],"mmmm")</f>
        <v>June</v>
      </c>
      <c r="L704" t="str">
        <f t="shared" si="21"/>
        <v>Monsoon</v>
      </c>
    </row>
    <row r="705" spans="1:12" x14ac:dyDescent="0.25">
      <c r="A705">
        <v>704</v>
      </c>
      <c r="B705">
        <v>1009</v>
      </c>
      <c r="C705">
        <v>1299</v>
      </c>
      <c r="D705" s="1">
        <v>45671</v>
      </c>
      <c r="E705" t="s">
        <v>315</v>
      </c>
      <c r="F705" t="s">
        <v>316</v>
      </c>
      <c r="G705" t="str">
        <f>_xlfn.XLOOKUP(TRIM(E706),MedicineInfo!A:A,MedicineInfo!B:B,"Not Found")</f>
        <v>Multivitamin</v>
      </c>
      <c r="H705" s="1" cm="1">
        <f t="array" ref="H705">_xlfn.IFS(
OR(E705="Type 2 Diabetes",E705="Essential Hypertension",E705="Angina Pectoris",E705="Bronchial Asthma",E705="Cardiac Arrhythmia"), D705+30,
OR(E705="Gastritis",E705="Osteoarthritis",E705="Bronchitis",E705="Iron Deficiency Anemia"), D705+14,
OR(E705="Lumbar Strain",E705="Migraine Headache"), D705+7,
OR(E705="Viral Fever",E705="General Checkup","Routine Health Check"), "",
TRUE,""
)</f>
        <v>45678</v>
      </c>
      <c r="I705" s="1" t="str">
        <f t="shared" si="20"/>
        <v>Follow-up Scheduled</v>
      </c>
      <c r="J705" t="str">
        <f>TEXT(Table8[[#This Row],[visit_Date]],"DDDD")</f>
        <v>Tuesday</v>
      </c>
      <c r="K705" t="str">
        <f>TEXT(Table8[[#This Row],[visit_Date]],"mmmm")</f>
        <v>January</v>
      </c>
      <c r="L705" t="str">
        <f t="shared" si="21"/>
        <v>Winter</v>
      </c>
    </row>
    <row r="706" spans="1:12" x14ac:dyDescent="0.25">
      <c r="A706">
        <v>705</v>
      </c>
      <c r="B706">
        <v>1027</v>
      </c>
      <c r="C706">
        <v>433</v>
      </c>
      <c r="D706" s="1">
        <v>45777</v>
      </c>
      <c r="E706" t="s">
        <v>24</v>
      </c>
      <c r="F706" t="s">
        <v>321</v>
      </c>
      <c r="G706" t="str">
        <f>_xlfn.XLOOKUP(TRIM(E707),MedicineInfo!A:A,MedicineInfo!B:B,"Not Found")</f>
        <v>Amlodipine</v>
      </c>
      <c r="H706" s="1" t="str" cm="1">
        <f t="array" ref="H706">_xlfn.IFS(
OR(E706="Type 2 Diabetes",E706="Essential Hypertension",E706="Angina Pectoris",E706="Bronchial Asthma",E706="Cardiac Arrhythmia"), D706+30,
OR(E706="Gastritis",E706="Osteoarthritis",E706="Bronchitis",E706="Iron Deficiency Anemia"), D706+14,
OR(E706="Lumbar Strain",E706="Migraine Headache"), D706+7,
OR(E706="Viral Fever",E706="General Checkup","Routine Health Check"), "",
TRUE,""
)</f>
        <v/>
      </c>
      <c r="I706" s="1" t="str">
        <f t="shared" ref="I706:I769" si="22">IF(H706="","No Follow-up Required","Follow-up Scheduled")</f>
        <v>No Follow-up Required</v>
      </c>
      <c r="J706" t="str">
        <f>TEXT(Table8[[#This Row],[visit_Date]],"DDDD")</f>
        <v>Wednesday</v>
      </c>
      <c r="K706" t="str">
        <f>TEXT(Table8[[#This Row],[visit_Date]],"mmmm")</f>
        <v>April</v>
      </c>
      <c r="L706" t="str">
        <f t="shared" ref="L706:L769" si="23">IF(OR(MONTH(D706)=12,MONTH(D706)&lt;=2),"Winter",
IF(MONTH(D706)&lt;=5,"Summer","Monsoon"))</f>
        <v>Summer</v>
      </c>
    </row>
    <row r="707" spans="1:12" x14ac:dyDescent="0.25">
      <c r="A707">
        <v>706</v>
      </c>
      <c r="B707">
        <v>1004</v>
      </c>
      <c r="C707">
        <v>341</v>
      </c>
      <c r="D707" s="1">
        <v>45661</v>
      </c>
      <c r="E707" t="s">
        <v>319</v>
      </c>
      <c r="F707" t="s">
        <v>320</v>
      </c>
      <c r="G707" t="str">
        <f>_xlfn.XLOOKUP(TRIM(E708),MedicineInfo!A:A,MedicineInfo!B:B,"Not Found")</f>
        <v>Amlodipine</v>
      </c>
      <c r="H707" s="1" cm="1">
        <f t="array" ref="H707">_xlfn.IFS(
OR(E707="Type 2 Diabetes",E707="Essential Hypertension",E707="Angina Pectoris",E707="Bronchial Asthma",E707="Cardiac Arrhythmia"), D707+30,
OR(E707="Gastritis",E707="Osteoarthritis",E707="Bronchitis",E707="Iron Deficiency Anemia"), D707+14,
OR(E707="Lumbar Strain",E707="Migraine Headache"), D707+7,
OR(E707="Viral Fever",E707="General Checkup","Routine Health Check"), "",
TRUE,""
)</f>
        <v>45691</v>
      </c>
      <c r="I707" s="1" t="str">
        <f t="shared" si="22"/>
        <v>Follow-up Scheduled</v>
      </c>
      <c r="J707" t="str">
        <f>TEXT(Table8[[#This Row],[visit_Date]],"DDDD")</f>
        <v>Saturday</v>
      </c>
      <c r="K707" t="str">
        <f>TEXT(Table8[[#This Row],[visit_Date]],"mmmm")</f>
        <v>January</v>
      </c>
      <c r="L707" t="str">
        <f t="shared" si="23"/>
        <v>Winter</v>
      </c>
    </row>
    <row r="708" spans="1:12" x14ac:dyDescent="0.25">
      <c r="A708">
        <v>707</v>
      </c>
      <c r="B708">
        <v>1002</v>
      </c>
      <c r="C708">
        <v>118</v>
      </c>
      <c r="D708" s="1">
        <v>45783</v>
      </c>
      <c r="E708" t="s">
        <v>319</v>
      </c>
      <c r="F708" t="s">
        <v>320</v>
      </c>
      <c r="G708" t="str">
        <f>_xlfn.XLOOKUP(TRIM(E709),MedicineInfo!A:A,MedicineInfo!B:B,"Not Found")</f>
        <v>Amlodipine</v>
      </c>
      <c r="H708" s="1" cm="1">
        <f t="array" ref="H708">_xlfn.IFS(
OR(E708="Type 2 Diabetes",E708="Essential Hypertension",E708="Angina Pectoris",E708="Bronchial Asthma",E708="Cardiac Arrhythmia"), D708+30,
OR(E708="Gastritis",E708="Osteoarthritis",E708="Bronchitis",E708="Iron Deficiency Anemia"), D708+14,
OR(E708="Lumbar Strain",E708="Migraine Headache"), D708+7,
OR(E708="Viral Fever",E708="General Checkup","Routine Health Check"), "",
TRUE,""
)</f>
        <v>45813</v>
      </c>
      <c r="I708" s="1" t="str">
        <f t="shared" si="22"/>
        <v>Follow-up Scheduled</v>
      </c>
      <c r="J708" t="str">
        <f>TEXT(Table8[[#This Row],[visit_Date]],"DDDD")</f>
        <v>Tuesday</v>
      </c>
      <c r="K708" t="str">
        <f>TEXT(Table8[[#This Row],[visit_Date]],"mmmm")</f>
        <v>May</v>
      </c>
      <c r="L708" t="str">
        <f t="shared" si="23"/>
        <v>Summer</v>
      </c>
    </row>
    <row r="709" spans="1:12" x14ac:dyDescent="0.25">
      <c r="A709">
        <v>708</v>
      </c>
      <c r="B709">
        <v>1002</v>
      </c>
      <c r="C709">
        <v>877</v>
      </c>
      <c r="D709" s="1">
        <v>45755</v>
      </c>
      <c r="E709" t="s">
        <v>319</v>
      </c>
      <c r="F709" t="s">
        <v>320</v>
      </c>
      <c r="G709" t="str">
        <f>_xlfn.XLOOKUP(TRIM(E710),MedicineInfo!A:A,MedicineInfo!B:B,"Not Found")</f>
        <v>Sumatriptan</v>
      </c>
      <c r="H709" s="1" cm="1">
        <f t="array" ref="H709">_xlfn.IFS(
OR(E709="Type 2 Diabetes",E709="Essential Hypertension",E709="Angina Pectoris",E709="Bronchial Asthma",E709="Cardiac Arrhythmia"), D709+30,
OR(E709="Gastritis",E709="Osteoarthritis",E709="Bronchitis",E709="Iron Deficiency Anemia"), D709+14,
OR(E709="Lumbar Strain",E709="Migraine Headache"), D709+7,
OR(E709="Viral Fever",E709="General Checkup","Routine Health Check"), "",
TRUE,""
)</f>
        <v>45785</v>
      </c>
      <c r="I709" s="1" t="str">
        <f t="shared" si="22"/>
        <v>Follow-up Scheduled</v>
      </c>
      <c r="J709" t="str">
        <f>TEXT(Table8[[#This Row],[visit_Date]],"DDDD")</f>
        <v>Tuesday</v>
      </c>
      <c r="K709" t="str">
        <f>TEXT(Table8[[#This Row],[visit_Date]],"mmmm")</f>
        <v>April</v>
      </c>
      <c r="L709" t="str">
        <f t="shared" si="23"/>
        <v>Summer</v>
      </c>
    </row>
    <row r="710" spans="1:12" x14ac:dyDescent="0.25">
      <c r="A710">
        <v>709</v>
      </c>
      <c r="B710">
        <v>1008</v>
      </c>
      <c r="C710">
        <v>1258</v>
      </c>
      <c r="D710" s="1">
        <v>45724</v>
      </c>
      <c r="E710" t="s">
        <v>315</v>
      </c>
      <c r="F710" t="s">
        <v>316</v>
      </c>
      <c r="G710" t="str">
        <f>_xlfn.XLOOKUP(TRIM(E711),MedicineInfo!A:A,MedicineInfo!B:B,"Not Found")</f>
        <v>Paracetamol</v>
      </c>
      <c r="H710" s="1" cm="1">
        <f t="array" ref="H710">_xlfn.IFS(
OR(E710="Type 2 Diabetes",E710="Essential Hypertension",E710="Angina Pectoris",E710="Bronchial Asthma",E710="Cardiac Arrhythmia"), D710+30,
OR(E710="Gastritis",E710="Osteoarthritis",E710="Bronchitis",E710="Iron Deficiency Anemia"), D710+14,
OR(E710="Lumbar Strain",E710="Migraine Headache"), D710+7,
OR(E710="Viral Fever",E710="General Checkup","Routine Health Check"), "",
TRUE,""
)</f>
        <v>45731</v>
      </c>
      <c r="I710" s="1" t="str">
        <f t="shared" si="22"/>
        <v>Follow-up Scheduled</v>
      </c>
      <c r="J710" t="str">
        <f>TEXT(Table8[[#This Row],[visit_Date]],"DDDD")</f>
        <v>Saturday</v>
      </c>
      <c r="K710" t="str">
        <f>TEXT(Table8[[#This Row],[visit_Date]],"mmmm")</f>
        <v>March</v>
      </c>
      <c r="L710" t="str">
        <f t="shared" si="23"/>
        <v>Summer</v>
      </c>
    </row>
    <row r="711" spans="1:12" x14ac:dyDescent="0.25">
      <c r="A711">
        <v>710</v>
      </c>
      <c r="B711">
        <v>1027</v>
      </c>
      <c r="C711">
        <v>797</v>
      </c>
      <c r="D711" s="1">
        <v>45669</v>
      </c>
      <c r="E711" t="s">
        <v>326</v>
      </c>
      <c r="F711" t="s">
        <v>327</v>
      </c>
      <c r="G711" t="str">
        <f>_xlfn.XLOOKUP(TRIM(E712),MedicineInfo!A:A,MedicineInfo!B:B,"Not Found")</f>
        <v>Amlodipine</v>
      </c>
      <c r="H711" s="1" t="str" cm="1">
        <f t="array" ref="H711">_xlfn.IFS(
OR(E711="Type 2 Diabetes",E711="Essential Hypertension",E711="Angina Pectoris",E711="Bronchial Asthma",E711="Cardiac Arrhythmia"), D711+30,
OR(E711="Gastritis",E711="Osteoarthritis",E711="Bronchitis",E711="Iron Deficiency Anemia"), D711+14,
OR(E711="Lumbar Strain",E711="Migraine Headache"), D711+7,
OR(E711="Viral Fever",E711="General Checkup","Routine Health Check"), "",
TRUE,""
)</f>
        <v/>
      </c>
      <c r="I711" s="1" t="str">
        <f t="shared" si="22"/>
        <v>No Follow-up Required</v>
      </c>
      <c r="J711" t="str">
        <f>TEXT(Table8[[#This Row],[visit_Date]],"DDDD")</f>
        <v>Sunday</v>
      </c>
      <c r="K711" t="str">
        <f>TEXT(Table8[[#This Row],[visit_Date]],"mmmm")</f>
        <v>January</v>
      </c>
      <c r="L711" t="str">
        <f t="shared" si="23"/>
        <v>Winter</v>
      </c>
    </row>
    <row r="712" spans="1:12" x14ac:dyDescent="0.25">
      <c r="A712">
        <v>711</v>
      </c>
      <c r="B712">
        <v>1001</v>
      </c>
      <c r="C712">
        <v>590</v>
      </c>
      <c r="D712" s="1">
        <v>45694</v>
      </c>
      <c r="E712" t="s">
        <v>319</v>
      </c>
      <c r="F712" t="s">
        <v>320</v>
      </c>
      <c r="G712" t="str">
        <f>_xlfn.XLOOKUP(TRIM(E713),MedicineInfo!A:A,MedicineInfo!B:B,"Not Found")</f>
        <v>Sumatriptan</v>
      </c>
      <c r="H712" s="1" cm="1">
        <f t="array" ref="H712">_xlfn.IFS(
OR(E712="Type 2 Diabetes",E712="Essential Hypertension",E712="Angina Pectoris",E712="Bronchial Asthma",E712="Cardiac Arrhythmia"), D712+30,
OR(E712="Gastritis",E712="Osteoarthritis",E712="Bronchitis",E712="Iron Deficiency Anemia"), D712+14,
OR(E712="Lumbar Strain",E712="Migraine Headache"), D712+7,
OR(E712="Viral Fever",E712="General Checkup","Routine Health Check"), "",
TRUE,""
)</f>
        <v>45724</v>
      </c>
      <c r="I712" s="1" t="str">
        <f t="shared" si="22"/>
        <v>Follow-up Scheduled</v>
      </c>
      <c r="J712" t="str">
        <f>TEXT(Table8[[#This Row],[visit_Date]],"DDDD")</f>
        <v>Thursday</v>
      </c>
      <c r="K712" t="str">
        <f>TEXT(Table8[[#This Row],[visit_Date]],"mmmm")</f>
        <v>February</v>
      </c>
      <c r="L712" t="str">
        <f t="shared" si="23"/>
        <v>Winter</v>
      </c>
    </row>
    <row r="713" spans="1:12" x14ac:dyDescent="0.25">
      <c r="A713">
        <v>712</v>
      </c>
      <c r="B713">
        <v>1009</v>
      </c>
      <c r="C713">
        <v>1349</v>
      </c>
      <c r="D713" s="1">
        <v>45694</v>
      </c>
      <c r="E713" t="s">
        <v>315</v>
      </c>
      <c r="F713" t="s">
        <v>316</v>
      </c>
      <c r="G713" t="str">
        <f>_xlfn.XLOOKUP(TRIM(E714),MedicineInfo!A:A,MedicineInfo!B:B,"Not Found")</f>
        <v>Amlodipine</v>
      </c>
      <c r="H713" s="1" cm="1">
        <f t="array" ref="H713">_xlfn.IFS(
OR(E713="Type 2 Diabetes",E713="Essential Hypertension",E713="Angina Pectoris",E713="Bronchial Asthma",E713="Cardiac Arrhythmia"), D713+30,
OR(E713="Gastritis",E713="Osteoarthritis",E713="Bronchitis",E713="Iron Deficiency Anemia"), D713+14,
OR(E713="Lumbar Strain",E713="Migraine Headache"), D713+7,
OR(E713="Viral Fever",E713="General Checkup","Routine Health Check"), "",
TRUE,""
)</f>
        <v>45701</v>
      </c>
      <c r="I713" s="1" t="str">
        <f t="shared" si="22"/>
        <v>Follow-up Scheduled</v>
      </c>
      <c r="J713" t="str">
        <f>TEXT(Table8[[#This Row],[visit_Date]],"DDDD")</f>
        <v>Thursday</v>
      </c>
      <c r="K713" t="str">
        <f>TEXT(Table8[[#This Row],[visit_Date]],"mmmm")</f>
        <v>February</v>
      </c>
      <c r="L713" t="str">
        <f t="shared" si="23"/>
        <v>Winter</v>
      </c>
    </row>
    <row r="714" spans="1:12" x14ac:dyDescent="0.25">
      <c r="A714">
        <v>713</v>
      </c>
      <c r="B714">
        <v>1002</v>
      </c>
      <c r="C714">
        <v>1150</v>
      </c>
      <c r="D714" s="1">
        <v>45764</v>
      </c>
      <c r="E714" t="s">
        <v>319</v>
      </c>
      <c r="F714" t="s">
        <v>320</v>
      </c>
      <c r="G714" t="str">
        <f>_xlfn.XLOOKUP(TRIM(E715),MedicineInfo!A:A,MedicineInfo!B:B,"Not Found")</f>
        <v>Metformin</v>
      </c>
      <c r="H714" s="1" cm="1">
        <f t="array" ref="H714">_xlfn.IFS(
OR(E714="Type 2 Diabetes",E714="Essential Hypertension",E714="Angina Pectoris",E714="Bronchial Asthma",E714="Cardiac Arrhythmia"), D714+30,
OR(E714="Gastritis",E714="Osteoarthritis",E714="Bronchitis",E714="Iron Deficiency Anemia"), D714+14,
OR(E714="Lumbar Strain",E714="Migraine Headache"), D714+7,
OR(E714="Viral Fever",E714="General Checkup","Routine Health Check"), "",
TRUE,""
)</f>
        <v>45794</v>
      </c>
      <c r="I714" s="1" t="str">
        <f t="shared" si="22"/>
        <v>Follow-up Scheduled</v>
      </c>
      <c r="J714" t="str">
        <f>TEXT(Table8[[#This Row],[visit_Date]],"DDDD")</f>
        <v>Thursday</v>
      </c>
      <c r="K714" t="str">
        <f>TEXT(Table8[[#This Row],[visit_Date]],"mmmm")</f>
        <v>April</v>
      </c>
      <c r="L714" t="str">
        <f t="shared" si="23"/>
        <v>Summer</v>
      </c>
    </row>
    <row r="715" spans="1:12" x14ac:dyDescent="0.25">
      <c r="A715">
        <v>714</v>
      </c>
      <c r="B715">
        <v>1024</v>
      </c>
      <c r="C715">
        <v>1231</v>
      </c>
      <c r="D715" s="1">
        <v>45694</v>
      </c>
      <c r="E715" t="s">
        <v>317</v>
      </c>
      <c r="F715" t="s">
        <v>318</v>
      </c>
      <c r="G715" t="str">
        <f>_xlfn.XLOOKUP(TRIM(E716),MedicineInfo!A:A,MedicineInfo!B:B,"Not Found")</f>
        <v>Sumatriptan</v>
      </c>
      <c r="H715" s="1" cm="1">
        <f t="array" ref="H715">_xlfn.IFS(
OR(E715="Type 2 Diabetes",E715="Essential Hypertension",E715="Angina Pectoris",E715="Bronchial Asthma",E715="Cardiac Arrhythmia"), D715+30,
OR(E715="Gastritis",E715="Osteoarthritis",E715="Bronchitis",E715="Iron Deficiency Anemia"), D715+14,
OR(E715="Lumbar Strain",E715="Migraine Headache"), D715+7,
OR(E715="Viral Fever",E715="General Checkup","Routine Health Check"), "",
TRUE,""
)</f>
        <v>45724</v>
      </c>
      <c r="I715" s="1" t="str">
        <f t="shared" si="22"/>
        <v>Follow-up Scheduled</v>
      </c>
      <c r="J715" t="str">
        <f>TEXT(Table8[[#This Row],[visit_Date]],"DDDD")</f>
        <v>Thursday</v>
      </c>
      <c r="K715" t="str">
        <f>TEXT(Table8[[#This Row],[visit_Date]],"mmmm")</f>
        <v>February</v>
      </c>
      <c r="L715" t="str">
        <f t="shared" si="23"/>
        <v>Winter</v>
      </c>
    </row>
    <row r="716" spans="1:12" x14ac:dyDescent="0.25">
      <c r="A716">
        <v>715</v>
      </c>
      <c r="B716">
        <v>1008</v>
      </c>
      <c r="C716">
        <v>1213</v>
      </c>
      <c r="D716" s="1">
        <v>45669</v>
      </c>
      <c r="E716" t="s">
        <v>315</v>
      </c>
      <c r="F716" t="s">
        <v>316</v>
      </c>
      <c r="G716" t="str">
        <f>_xlfn.XLOOKUP(TRIM(E717),MedicineInfo!A:A,MedicineInfo!B:B,"Not Found")</f>
        <v>Salbutamol Inhaler</v>
      </c>
      <c r="H716" s="1" cm="1">
        <f t="array" ref="H716">_xlfn.IFS(
OR(E716="Type 2 Diabetes",E716="Essential Hypertension",E716="Angina Pectoris",E716="Bronchial Asthma",E716="Cardiac Arrhythmia"), D716+30,
OR(E716="Gastritis",E716="Osteoarthritis",E716="Bronchitis",E716="Iron Deficiency Anemia"), D716+14,
OR(E716="Lumbar Strain",E716="Migraine Headache"), D716+7,
OR(E716="Viral Fever",E716="General Checkup","Routine Health Check"), "",
TRUE,""
)</f>
        <v>45676</v>
      </c>
      <c r="I716" s="1" t="str">
        <f t="shared" si="22"/>
        <v>Follow-up Scheduled</v>
      </c>
      <c r="J716" t="str">
        <f>TEXT(Table8[[#This Row],[visit_Date]],"DDDD")</f>
        <v>Sunday</v>
      </c>
      <c r="K716" t="str">
        <f>TEXT(Table8[[#This Row],[visit_Date]],"mmmm")</f>
        <v>January</v>
      </c>
      <c r="L716" t="str">
        <f t="shared" si="23"/>
        <v>Winter</v>
      </c>
    </row>
    <row r="717" spans="1:12" x14ac:dyDescent="0.25">
      <c r="A717">
        <v>716</v>
      </c>
      <c r="B717">
        <v>1020</v>
      </c>
      <c r="C717">
        <v>824</v>
      </c>
      <c r="D717" s="1">
        <v>45685</v>
      </c>
      <c r="E717" t="s">
        <v>324</v>
      </c>
      <c r="F717" t="s">
        <v>325</v>
      </c>
      <c r="G717" t="str">
        <f>_xlfn.XLOOKUP(TRIM(E718),MedicineInfo!A:A,MedicineInfo!B:B,"Not Found")</f>
        <v>Multivitamin</v>
      </c>
      <c r="H717" s="1" cm="1">
        <f t="array" ref="H717">_xlfn.IFS(
OR(E717="Type 2 Diabetes",E717="Essential Hypertension",E717="Angina Pectoris",E717="Bronchial Asthma",E717="Cardiac Arrhythmia"), D717+30,
OR(E717="Gastritis",E717="Osteoarthritis",E717="Bronchitis",E717="Iron Deficiency Anemia"), D717+14,
OR(E717="Lumbar Strain",E717="Migraine Headache"), D717+7,
OR(E717="Viral Fever",E717="General Checkup","Routine Health Check"), "",
TRUE,""
)</f>
        <v>45715</v>
      </c>
      <c r="I717" s="1" t="str">
        <f t="shared" si="22"/>
        <v>Follow-up Scheduled</v>
      </c>
      <c r="J717" t="str">
        <f>TEXT(Table8[[#This Row],[visit_Date]],"DDDD")</f>
        <v>Tuesday</v>
      </c>
      <c r="K717" t="str">
        <f>TEXT(Table8[[#This Row],[visit_Date]],"mmmm")</f>
        <v>January</v>
      </c>
      <c r="L717" t="str">
        <f t="shared" si="23"/>
        <v>Winter</v>
      </c>
    </row>
    <row r="718" spans="1:12" x14ac:dyDescent="0.25">
      <c r="A718">
        <v>717</v>
      </c>
      <c r="B718">
        <v>1027</v>
      </c>
      <c r="C718">
        <v>232</v>
      </c>
      <c r="D718" s="1">
        <v>45747</v>
      </c>
      <c r="E718" t="s">
        <v>24</v>
      </c>
      <c r="F718" t="s">
        <v>321</v>
      </c>
      <c r="G718" t="str">
        <f>_xlfn.XLOOKUP(TRIM(E719),MedicineInfo!A:A,MedicineInfo!B:B,"Not Found")</f>
        <v>Multivitamin</v>
      </c>
      <c r="H718" s="1" t="str" cm="1">
        <f t="array" ref="H718">_xlfn.IFS(
OR(E718="Type 2 Diabetes",E718="Essential Hypertension",E718="Angina Pectoris",E718="Bronchial Asthma",E718="Cardiac Arrhythmia"), D718+30,
OR(E718="Gastritis",E718="Osteoarthritis",E718="Bronchitis",E718="Iron Deficiency Anemia"), D718+14,
OR(E718="Lumbar Strain",E718="Migraine Headache"), D718+7,
OR(E718="Viral Fever",E718="General Checkup","Routine Health Check"), "",
TRUE,""
)</f>
        <v/>
      </c>
      <c r="I718" s="1" t="str">
        <f t="shared" si="22"/>
        <v>No Follow-up Required</v>
      </c>
      <c r="J718" t="str">
        <f>TEXT(Table8[[#This Row],[visit_Date]],"DDDD")</f>
        <v>Monday</v>
      </c>
      <c r="K718" t="str">
        <f>TEXT(Table8[[#This Row],[visit_Date]],"mmmm")</f>
        <v>March</v>
      </c>
      <c r="L718" t="str">
        <f t="shared" si="23"/>
        <v>Summer</v>
      </c>
    </row>
    <row r="719" spans="1:12" x14ac:dyDescent="0.25">
      <c r="A719">
        <v>718</v>
      </c>
      <c r="B719">
        <v>1027</v>
      </c>
      <c r="C719">
        <v>284</v>
      </c>
      <c r="D719" s="1">
        <v>45814</v>
      </c>
      <c r="E719" t="s">
        <v>24</v>
      </c>
      <c r="F719" t="s">
        <v>321</v>
      </c>
      <c r="G719" t="str">
        <f>_xlfn.XLOOKUP(TRIM(E720),MedicineInfo!A:A,MedicineInfo!B:B,"Not Found")</f>
        <v>Amlodipine</v>
      </c>
      <c r="H719" s="1" t="str" cm="1">
        <f t="array" ref="H719">_xlfn.IFS(
OR(E719="Type 2 Diabetes",E719="Essential Hypertension",E719="Angina Pectoris",E719="Bronchial Asthma",E719="Cardiac Arrhythmia"), D719+30,
OR(E719="Gastritis",E719="Osteoarthritis",E719="Bronchitis",E719="Iron Deficiency Anemia"), D719+14,
OR(E719="Lumbar Strain",E719="Migraine Headache"), D719+7,
OR(E719="Viral Fever",E719="General Checkup","Routine Health Check"), "",
TRUE,""
)</f>
        <v/>
      </c>
      <c r="I719" s="1" t="str">
        <f t="shared" si="22"/>
        <v>No Follow-up Required</v>
      </c>
      <c r="J719" t="str">
        <f>TEXT(Table8[[#This Row],[visit_Date]],"DDDD")</f>
        <v>Friday</v>
      </c>
      <c r="K719" t="str">
        <f>TEXT(Table8[[#This Row],[visit_Date]],"mmmm")</f>
        <v>June</v>
      </c>
      <c r="L719" t="str">
        <f t="shared" si="23"/>
        <v>Monsoon</v>
      </c>
    </row>
    <row r="720" spans="1:12" x14ac:dyDescent="0.25">
      <c r="A720">
        <v>719</v>
      </c>
      <c r="B720">
        <v>1003</v>
      </c>
      <c r="C720">
        <v>1242</v>
      </c>
      <c r="D720" s="1">
        <v>45791</v>
      </c>
      <c r="E720" t="s">
        <v>319</v>
      </c>
      <c r="F720" t="s">
        <v>320</v>
      </c>
      <c r="G720" t="str">
        <f>_xlfn.XLOOKUP(TRIM(E721),MedicineInfo!A:A,MedicineInfo!B:B,"Not Found")</f>
        <v>Nitroglycerin</v>
      </c>
      <c r="H720" s="1" cm="1">
        <f t="array" ref="H720">_xlfn.IFS(
OR(E720="Type 2 Diabetes",E720="Essential Hypertension",E720="Angina Pectoris",E720="Bronchial Asthma",E720="Cardiac Arrhythmia"), D720+30,
OR(E720="Gastritis",E720="Osteoarthritis",E720="Bronchitis",E720="Iron Deficiency Anemia"), D720+14,
OR(E720="Lumbar Strain",E720="Migraine Headache"), D720+7,
OR(E720="Viral Fever",E720="General Checkup","Routine Health Check"), "",
TRUE,""
)</f>
        <v>45821</v>
      </c>
      <c r="I720" s="1" t="str">
        <f t="shared" si="22"/>
        <v>Follow-up Scheduled</v>
      </c>
      <c r="J720" t="str">
        <f>TEXT(Table8[[#This Row],[visit_Date]],"DDDD")</f>
        <v>Wednesday</v>
      </c>
      <c r="K720" t="str">
        <f>TEXT(Table8[[#This Row],[visit_Date]],"mmmm")</f>
        <v>May</v>
      </c>
      <c r="L720" t="str">
        <f t="shared" si="23"/>
        <v>Summer</v>
      </c>
    </row>
    <row r="721" spans="1:12" x14ac:dyDescent="0.25">
      <c r="A721">
        <v>720</v>
      </c>
      <c r="B721">
        <v>1001</v>
      </c>
      <c r="C721">
        <v>680</v>
      </c>
      <c r="D721" s="1">
        <v>45791</v>
      </c>
      <c r="E721" t="s">
        <v>322</v>
      </c>
      <c r="F721" t="s">
        <v>323</v>
      </c>
      <c r="G721" t="str">
        <f>_xlfn.XLOOKUP(TRIM(E722),MedicineInfo!A:A,MedicineInfo!B:B,"Not Found")</f>
        <v>Metformin</v>
      </c>
      <c r="H721" s="1" cm="1">
        <f t="array" ref="H721">_xlfn.IFS(
OR(E721="Type 2 Diabetes",E721="Essential Hypertension",E721="Angina Pectoris",E721="Bronchial Asthma",E721="Cardiac Arrhythmia"), D721+30,
OR(E721="Gastritis",E721="Osteoarthritis",E721="Bronchitis",E721="Iron Deficiency Anemia"), D721+14,
OR(E721="Lumbar Strain",E721="Migraine Headache"), D721+7,
OR(E721="Viral Fever",E721="General Checkup","Routine Health Check"), "",
TRUE,""
)</f>
        <v>45821</v>
      </c>
      <c r="I721" s="1" t="str">
        <f t="shared" si="22"/>
        <v>Follow-up Scheduled</v>
      </c>
      <c r="J721" t="str">
        <f>TEXT(Table8[[#This Row],[visit_Date]],"DDDD")</f>
        <v>Wednesday</v>
      </c>
      <c r="K721" t="str">
        <f>TEXT(Table8[[#This Row],[visit_Date]],"mmmm")</f>
        <v>May</v>
      </c>
      <c r="L721" t="str">
        <f t="shared" si="23"/>
        <v>Summer</v>
      </c>
    </row>
    <row r="722" spans="1:12" x14ac:dyDescent="0.25">
      <c r="A722">
        <v>721</v>
      </c>
      <c r="B722">
        <v>1024</v>
      </c>
      <c r="C722">
        <v>1309</v>
      </c>
      <c r="D722" s="1">
        <v>45792</v>
      </c>
      <c r="E722" t="s">
        <v>317</v>
      </c>
      <c r="F722" t="s">
        <v>318</v>
      </c>
      <c r="G722" t="str">
        <f>_xlfn.XLOOKUP(TRIM(E723),MedicineInfo!A:A,MedicineInfo!B:B,"Not Found")</f>
        <v>Paracetamol</v>
      </c>
      <c r="H722" s="1" cm="1">
        <f t="array" ref="H722">_xlfn.IFS(
OR(E722="Type 2 Diabetes",E722="Essential Hypertension",E722="Angina Pectoris",E722="Bronchial Asthma",E722="Cardiac Arrhythmia"), D722+30,
OR(E722="Gastritis",E722="Osteoarthritis",E722="Bronchitis",E722="Iron Deficiency Anemia"), D722+14,
OR(E722="Lumbar Strain",E722="Migraine Headache"), D722+7,
OR(E722="Viral Fever",E722="General Checkup","Routine Health Check"), "",
TRUE,""
)</f>
        <v>45822</v>
      </c>
      <c r="I722" s="1" t="str">
        <f t="shared" si="22"/>
        <v>Follow-up Scheduled</v>
      </c>
      <c r="J722" t="str">
        <f>TEXT(Table8[[#This Row],[visit_Date]],"DDDD")</f>
        <v>Thursday</v>
      </c>
      <c r="K722" t="str">
        <f>TEXT(Table8[[#This Row],[visit_Date]],"mmmm")</f>
        <v>May</v>
      </c>
      <c r="L722" t="str">
        <f t="shared" si="23"/>
        <v>Summer</v>
      </c>
    </row>
    <row r="723" spans="1:12" x14ac:dyDescent="0.25">
      <c r="A723">
        <v>722</v>
      </c>
      <c r="B723">
        <v>1027</v>
      </c>
      <c r="C723">
        <v>810</v>
      </c>
      <c r="D723" s="1">
        <v>45701</v>
      </c>
      <c r="E723" t="s">
        <v>326</v>
      </c>
      <c r="F723" t="s">
        <v>327</v>
      </c>
      <c r="G723" t="str">
        <f>_xlfn.XLOOKUP(TRIM(E724),MedicineInfo!A:A,MedicineInfo!B:B,"Not Found")</f>
        <v>Sumatriptan</v>
      </c>
      <c r="H723" s="1" t="str" cm="1">
        <f t="array" ref="H723">_xlfn.IFS(
OR(E723="Type 2 Diabetes",E723="Essential Hypertension",E723="Angina Pectoris",E723="Bronchial Asthma",E723="Cardiac Arrhythmia"), D723+30,
OR(E723="Gastritis",E723="Osteoarthritis",E723="Bronchitis",E723="Iron Deficiency Anemia"), D723+14,
OR(E723="Lumbar Strain",E723="Migraine Headache"), D723+7,
OR(E723="Viral Fever",E723="General Checkup","Routine Health Check"), "",
TRUE,""
)</f>
        <v/>
      </c>
      <c r="I723" s="1" t="str">
        <f t="shared" si="22"/>
        <v>No Follow-up Required</v>
      </c>
      <c r="J723" t="str">
        <f>TEXT(Table8[[#This Row],[visit_Date]],"DDDD")</f>
        <v>Thursday</v>
      </c>
      <c r="K723" t="str">
        <f>TEXT(Table8[[#This Row],[visit_Date]],"mmmm")</f>
        <v>February</v>
      </c>
      <c r="L723" t="str">
        <f t="shared" si="23"/>
        <v>Winter</v>
      </c>
    </row>
    <row r="724" spans="1:12" x14ac:dyDescent="0.25">
      <c r="A724">
        <v>723</v>
      </c>
      <c r="B724">
        <v>1009</v>
      </c>
      <c r="C724">
        <v>1455</v>
      </c>
      <c r="D724" s="1">
        <v>45758</v>
      </c>
      <c r="E724" t="s">
        <v>315</v>
      </c>
      <c r="F724" t="s">
        <v>316</v>
      </c>
      <c r="G724" t="str">
        <f>_xlfn.XLOOKUP(TRIM(E725),MedicineInfo!A:A,MedicineInfo!B:B,"Not Found")</f>
        <v>Paracetamol</v>
      </c>
      <c r="H724" s="1" cm="1">
        <f t="array" ref="H724">_xlfn.IFS(
OR(E724="Type 2 Diabetes",E724="Essential Hypertension",E724="Angina Pectoris",E724="Bronchial Asthma",E724="Cardiac Arrhythmia"), D724+30,
OR(E724="Gastritis",E724="Osteoarthritis",E724="Bronchitis",E724="Iron Deficiency Anemia"), D724+14,
OR(E724="Lumbar Strain",E724="Migraine Headache"), D724+7,
OR(E724="Viral Fever",E724="General Checkup","Routine Health Check"), "",
TRUE,""
)</f>
        <v>45765</v>
      </c>
      <c r="I724" s="1" t="str">
        <f t="shared" si="22"/>
        <v>Follow-up Scheduled</v>
      </c>
      <c r="J724" t="str">
        <f>TEXT(Table8[[#This Row],[visit_Date]],"DDDD")</f>
        <v>Friday</v>
      </c>
      <c r="K724" t="str">
        <f>TEXT(Table8[[#This Row],[visit_Date]],"mmmm")</f>
        <v>April</v>
      </c>
      <c r="L724" t="str">
        <f t="shared" si="23"/>
        <v>Summer</v>
      </c>
    </row>
    <row r="725" spans="1:12" x14ac:dyDescent="0.25">
      <c r="A725">
        <v>724</v>
      </c>
      <c r="B725">
        <v>1027</v>
      </c>
      <c r="C725">
        <v>1569</v>
      </c>
      <c r="D725" s="1">
        <v>45758</v>
      </c>
      <c r="E725" t="s">
        <v>326</v>
      </c>
      <c r="F725" t="s">
        <v>327</v>
      </c>
      <c r="G725" t="str">
        <f>_xlfn.XLOOKUP(TRIM(E726),MedicineInfo!A:A,MedicineInfo!B:B,"Not Found")</f>
        <v>Multivitamin</v>
      </c>
      <c r="H725" s="1" t="str" cm="1">
        <f t="array" ref="H725">_xlfn.IFS(
OR(E725="Type 2 Diabetes",E725="Essential Hypertension",E725="Angina Pectoris",E725="Bronchial Asthma",E725="Cardiac Arrhythmia"), D725+30,
OR(E725="Gastritis",E725="Osteoarthritis",E725="Bronchitis",E725="Iron Deficiency Anemia"), D725+14,
OR(E725="Lumbar Strain",E725="Migraine Headache"), D725+7,
OR(E725="Viral Fever",E725="General Checkup","Routine Health Check"), "",
TRUE,""
)</f>
        <v/>
      </c>
      <c r="I725" s="1" t="str">
        <f t="shared" si="22"/>
        <v>No Follow-up Required</v>
      </c>
      <c r="J725" t="str">
        <f>TEXT(Table8[[#This Row],[visit_Date]],"DDDD")</f>
        <v>Friday</v>
      </c>
      <c r="K725" t="str">
        <f>TEXT(Table8[[#This Row],[visit_Date]],"mmmm")</f>
        <v>April</v>
      </c>
      <c r="L725" t="str">
        <f t="shared" si="23"/>
        <v>Summer</v>
      </c>
    </row>
    <row r="726" spans="1:12" x14ac:dyDescent="0.25">
      <c r="A726">
        <v>725</v>
      </c>
      <c r="B726">
        <v>1027</v>
      </c>
      <c r="C726">
        <v>110</v>
      </c>
      <c r="D726" s="1">
        <v>45686</v>
      </c>
      <c r="E726" t="s">
        <v>24</v>
      </c>
      <c r="F726" t="s">
        <v>321</v>
      </c>
      <c r="G726" t="str">
        <f>_xlfn.XLOOKUP(TRIM(E727),MedicineInfo!A:A,MedicineInfo!B:B,"Not Found")</f>
        <v>Metformin</v>
      </c>
      <c r="H726" s="1" t="str" cm="1">
        <f t="array" ref="H726">_xlfn.IFS(
OR(E726="Type 2 Diabetes",E726="Essential Hypertension",E726="Angina Pectoris",E726="Bronchial Asthma",E726="Cardiac Arrhythmia"), D726+30,
OR(E726="Gastritis",E726="Osteoarthritis",E726="Bronchitis",E726="Iron Deficiency Anemia"), D726+14,
OR(E726="Lumbar Strain",E726="Migraine Headache"), D726+7,
OR(E726="Viral Fever",E726="General Checkup","Routine Health Check"), "",
TRUE,""
)</f>
        <v/>
      </c>
      <c r="I726" s="1" t="str">
        <f t="shared" si="22"/>
        <v>No Follow-up Required</v>
      </c>
      <c r="J726" t="str">
        <f>TEXT(Table8[[#This Row],[visit_Date]],"DDDD")</f>
        <v>Wednesday</v>
      </c>
      <c r="K726" t="str">
        <f>TEXT(Table8[[#This Row],[visit_Date]],"mmmm")</f>
        <v>January</v>
      </c>
      <c r="L726" t="str">
        <f t="shared" si="23"/>
        <v>Winter</v>
      </c>
    </row>
    <row r="727" spans="1:12" x14ac:dyDescent="0.25">
      <c r="A727">
        <v>726</v>
      </c>
      <c r="B727">
        <v>1024</v>
      </c>
      <c r="C727">
        <v>796</v>
      </c>
      <c r="D727" s="1">
        <v>45814</v>
      </c>
      <c r="E727" t="s">
        <v>317</v>
      </c>
      <c r="F727" t="s">
        <v>318</v>
      </c>
      <c r="G727" t="str">
        <f>_xlfn.XLOOKUP(TRIM(E728),MedicineInfo!A:A,MedicineInfo!B:B,"Not Found")</f>
        <v>Amlodipine</v>
      </c>
      <c r="H727" s="1" cm="1">
        <f t="array" ref="H727">_xlfn.IFS(
OR(E727="Type 2 Diabetes",E727="Essential Hypertension",E727="Angina Pectoris",E727="Bronchial Asthma",E727="Cardiac Arrhythmia"), D727+30,
OR(E727="Gastritis",E727="Osteoarthritis",E727="Bronchitis",E727="Iron Deficiency Anemia"), D727+14,
OR(E727="Lumbar Strain",E727="Migraine Headache"), D727+7,
OR(E727="Viral Fever",E727="General Checkup","Routine Health Check"), "",
TRUE,""
)</f>
        <v>45844</v>
      </c>
      <c r="I727" s="1" t="str">
        <f t="shared" si="22"/>
        <v>Follow-up Scheduled</v>
      </c>
      <c r="J727" t="str">
        <f>TEXT(Table8[[#This Row],[visit_Date]],"DDDD")</f>
        <v>Friday</v>
      </c>
      <c r="K727" t="str">
        <f>TEXT(Table8[[#This Row],[visit_Date]],"mmmm")</f>
        <v>June</v>
      </c>
      <c r="L727" t="str">
        <f t="shared" si="23"/>
        <v>Monsoon</v>
      </c>
    </row>
    <row r="728" spans="1:12" x14ac:dyDescent="0.25">
      <c r="A728">
        <v>727</v>
      </c>
      <c r="B728">
        <v>1004</v>
      </c>
      <c r="C728">
        <v>904</v>
      </c>
      <c r="D728" s="1">
        <v>45867</v>
      </c>
      <c r="E728" t="s">
        <v>319</v>
      </c>
      <c r="F728" t="s">
        <v>320</v>
      </c>
      <c r="G728" t="str">
        <f>_xlfn.XLOOKUP(TRIM(E729),MedicineInfo!A:A,MedicineInfo!B:B,"Not Found")</f>
        <v>Multivitamin</v>
      </c>
      <c r="H728" s="1" cm="1">
        <f t="array" ref="H728">_xlfn.IFS(
OR(E728="Type 2 Diabetes",E728="Essential Hypertension",E728="Angina Pectoris",E728="Bronchial Asthma",E728="Cardiac Arrhythmia"), D728+30,
OR(E728="Gastritis",E728="Osteoarthritis",E728="Bronchitis",E728="Iron Deficiency Anemia"), D728+14,
OR(E728="Lumbar Strain",E728="Migraine Headache"), D728+7,
OR(E728="Viral Fever",E728="General Checkup","Routine Health Check"), "",
TRUE,""
)</f>
        <v>45897</v>
      </c>
      <c r="I728" s="1" t="str">
        <f t="shared" si="22"/>
        <v>Follow-up Scheduled</v>
      </c>
      <c r="J728" t="str">
        <f>TEXT(Table8[[#This Row],[visit_Date]],"DDDD")</f>
        <v>Tuesday</v>
      </c>
      <c r="K728" t="str">
        <f>TEXT(Table8[[#This Row],[visit_Date]],"mmmm")</f>
        <v>July</v>
      </c>
      <c r="L728" t="str">
        <f t="shared" si="23"/>
        <v>Monsoon</v>
      </c>
    </row>
    <row r="729" spans="1:12" x14ac:dyDescent="0.25">
      <c r="A729">
        <v>728</v>
      </c>
      <c r="B729">
        <v>1027</v>
      </c>
      <c r="C729">
        <v>1263</v>
      </c>
      <c r="D729" s="1">
        <v>45831</v>
      </c>
      <c r="E729" t="s">
        <v>24</v>
      </c>
      <c r="F729" t="s">
        <v>321</v>
      </c>
      <c r="G729" t="str">
        <f>_xlfn.XLOOKUP(TRIM(E730),MedicineInfo!A:A,MedicineInfo!B:B,"Not Found")</f>
        <v>Diclofenac</v>
      </c>
      <c r="H729" s="1" t="str" cm="1">
        <f t="array" ref="H729">_xlfn.IFS(
OR(E729="Type 2 Diabetes",E729="Essential Hypertension",E729="Angina Pectoris",E729="Bronchial Asthma",E729="Cardiac Arrhythmia"), D729+30,
OR(E729="Gastritis",E729="Osteoarthritis",E729="Bronchitis",E729="Iron Deficiency Anemia"), D729+14,
OR(E729="Lumbar Strain",E729="Migraine Headache"), D729+7,
OR(E729="Viral Fever",E729="General Checkup","Routine Health Check"), "",
TRUE,""
)</f>
        <v/>
      </c>
      <c r="I729" s="1" t="str">
        <f t="shared" si="22"/>
        <v>No Follow-up Required</v>
      </c>
      <c r="J729" t="str">
        <f>TEXT(Table8[[#This Row],[visit_Date]],"DDDD")</f>
        <v>Monday</v>
      </c>
      <c r="K729" t="str">
        <f>TEXT(Table8[[#This Row],[visit_Date]],"mmmm")</f>
        <v>June</v>
      </c>
      <c r="L729" t="str">
        <f t="shared" si="23"/>
        <v>Monsoon</v>
      </c>
    </row>
    <row r="730" spans="1:12" x14ac:dyDescent="0.25">
      <c r="A730">
        <v>729</v>
      </c>
      <c r="B730">
        <v>1027</v>
      </c>
      <c r="C730">
        <v>1461</v>
      </c>
      <c r="D730" s="1">
        <v>45853</v>
      </c>
      <c r="E730" t="s">
        <v>313</v>
      </c>
      <c r="F730" t="s">
        <v>314</v>
      </c>
      <c r="G730" t="str">
        <f>_xlfn.XLOOKUP(TRIM(E731),MedicineInfo!A:A,MedicineInfo!B:B,"Not Found")</f>
        <v>Metformin</v>
      </c>
      <c r="H730" s="1" cm="1">
        <f t="array" ref="H730">_xlfn.IFS(
OR(E730="Type 2 Diabetes",E730="Essential Hypertension",E730="Angina Pectoris",E730="Bronchial Asthma",E730="Cardiac Arrhythmia"), D730+30,
OR(E730="Gastritis",E730="Osteoarthritis",E730="Bronchitis",E730="Iron Deficiency Anemia"), D730+14,
OR(E730="Lumbar Strain",E730="Migraine Headache"), D730+7,
OR(E730="Viral Fever",E730="General Checkup","Routine Health Check"), "",
TRUE,""
)</f>
        <v>45860</v>
      </c>
      <c r="I730" s="1" t="str">
        <f t="shared" si="22"/>
        <v>Follow-up Scheduled</v>
      </c>
      <c r="J730" t="str">
        <f>TEXT(Table8[[#This Row],[visit_Date]],"DDDD")</f>
        <v>Tuesday</v>
      </c>
      <c r="K730" t="str">
        <f>TEXT(Table8[[#This Row],[visit_Date]],"mmmm")</f>
        <v>July</v>
      </c>
      <c r="L730" t="str">
        <f t="shared" si="23"/>
        <v>Monsoon</v>
      </c>
    </row>
    <row r="731" spans="1:12" x14ac:dyDescent="0.25">
      <c r="A731">
        <v>730</v>
      </c>
      <c r="B731">
        <v>1024</v>
      </c>
      <c r="C731">
        <v>1270</v>
      </c>
      <c r="D731" s="1">
        <v>45758</v>
      </c>
      <c r="E731" t="s">
        <v>317</v>
      </c>
      <c r="F731" t="s">
        <v>318</v>
      </c>
      <c r="G731" t="str">
        <f>_xlfn.XLOOKUP(TRIM(E732),MedicineInfo!A:A,MedicineInfo!B:B,"Not Found")</f>
        <v>Multivitamin</v>
      </c>
      <c r="H731" s="1" cm="1">
        <f t="array" ref="H731">_xlfn.IFS(
OR(E731="Type 2 Diabetes",E731="Essential Hypertension",E731="Angina Pectoris",E731="Bronchial Asthma",E731="Cardiac Arrhythmia"), D731+30,
OR(E731="Gastritis",E731="Osteoarthritis",E731="Bronchitis",E731="Iron Deficiency Anemia"), D731+14,
OR(E731="Lumbar Strain",E731="Migraine Headache"), D731+7,
OR(E731="Viral Fever",E731="General Checkup","Routine Health Check"), "",
TRUE,""
)</f>
        <v>45788</v>
      </c>
      <c r="I731" s="1" t="str">
        <f t="shared" si="22"/>
        <v>Follow-up Scheduled</v>
      </c>
      <c r="J731" t="str">
        <f>TEXT(Table8[[#This Row],[visit_Date]],"DDDD")</f>
        <v>Friday</v>
      </c>
      <c r="K731" t="str">
        <f>TEXT(Table8[[#This Row],[visit_Date]],"mmmm")</f>
        <v>April</v>
      </c>
      <c r="L731" t="str">
        <f t="shared" si="23"/>
        <v>Summer</v>
      </c>
    </row>
    <row r="732" spans="1:12" x14ac:dyDescent="0.25">
      <c r="A732">
        <v>731</v>
      </c>
      <c r="B732">
        <v>1027</v>
      </c>
      <c r="C732">
        <v>847</v>
      </c>
      <c r="D732" s="1">
        <v>45686</v>
      </c>
      <c r="E732" t="s">
        <v>24</v>
      </c>
      <c r="F732" t="s">
        <v>321</v>
      </c>
      <c r="G732" t="str">
        <f>_xlfn.XLOOKUP(TRIM(E733),MedicineInfo!A:A,MedicineInfo!B:B,"Not Found")</f>
        <v>Diclofenac</v>
      </c>
      <c r="H732" s="1" t="str" cm="1">
        <f t="array" ref="H732">_xlfn.IFS(
OR(E732="Type 2 Diabetes",E732="Essential Hypertension",E732="Angina Pectoris",E732="Bronchial Asthma",E732="Cardiac Arrhythmia"), D732+30,
OR(E732="Gastritis",E732="Osteoarthritis",E732="Bronchitis",E732="Iron Deficiency Anemia"), D732+14,
OR(E732="Lumbar Strain",E732="Migraine Headache"), D732+7,
OR(E732="Viral Fever",E732="General Checkup","Routine Health Check"), "",
TRUE,""
)</f>
        <v/>
      </c>
      <c r="I732" s="1" t="str">
        <f t="shared" si="22"/>
        <v>No Follow-up Required</v>
      </c>
      <c r="J732" t="str">
        <f>TEXT(Table8[[#This Row],[visit_Date]],"DDDD")</f>
        <v>Wednesday</v>
      </c>
      <c r="K732" t="str">
        <f>TEXT(Table8[[#This Row],[visit_Date]],"mmmm")</f>
        <v>January</v>
      </c>
      <c r="L732" t="str">
        <f t="shared" si="23"/>
        <v>Winter</v>
      </c>
    </row>
    <row r="733" spans="1:12" x14ac:dyDescent="0.25">
      <c r="A733">
        <v>732</v>
      </c>
      <c r="B733">
        <v>1027</v>
      </c>
      <c r="C733">
        <v>707</v>
      </c>
      <c r="D733" s="1">
        <v>45691</v>
      </c>
      <c r="E733" t="s">
        <v>313</v>
      </c>
      <c r="F733" t="s">
        <v>314</v>
      </c>
      <c r="G733" t="str">
        <f>_xlfn.XLOOKUP(TRIM(E734),MedicineInfo!A:A,MedicineInfo!B:B,"Not Found")</f>
        <v>Salbutamol Inhaler</v>
      </c>
      <c r="H733" s="1" cm="1">
        <f t="array" ref="H733">_xlfn.IFS(
OR(E733="Type 2 Diabetes",E733="Essential Hypertension",E733="Angina Pectoris",E733="Bronchial Asthma",E733="Cardiac Arrhythmia"), D733+30,
OR(E733="Gastritis",E733="Osteoarthritis",E733="Bronchitis",E733="Iron Deficiency Anemia"), D733+14,
OR(E733="Lumbar Strain",E733="Migraine Headache"), D733+7,
OR(E733="Viral Fever",E733="General Checkup","Routine Health Check"), "",
TRUE,""
)</f>
        <v>45698</v>
      </c>
      <c r="I733" s="1" t="str">
        <f t="shared" si="22"/>
        <v>Follow-up Scheduled</v>
      </c>
      <c r="J733" t="str">
        <f>TEXT(Table8[[#This Row],[visit_Date]],"DDDD")</f>
        <v>Monday</v>
      </c>
      <c r="K733" t="str">
        <f>TEXT(Table8[[#This Row],[visit_Date]],"mmmm")</f>
        <v>February</v>
      </c>
      <c r="L733" t="str">
        <f t="shared" si="23"/>
        <v>Winter</v>
      </c>
    </row>
    <row r="734" spans="1:12" x14ac:dyDescent="0.25">
      <c r="A734">
        <v>733</v>
      </c>
      <c r="B734">
        <v>1020</v>
      </c>
      <c r="C734">
        <v>1169</v>
      </c>
      <c r="D734" s="1">
        <v>45790</v>
      </c>
      <c r="E734" t="s">
        <v>324</v>
      </c>
      <c r="F734" t="s">
        <v>325</v>
      </c>
      <c r="G734" t="str">
        <f>_xlfn.XLOOKUP(TRIM(E735),MedicineInfo!A:A,MedicineInfo!B:B,"Not Found")</f>
        <v>Paracetamol</v>
      </c>
      <c r="H734" s="1" cm="1">
        <f t="array" ref="H734">_xlfn.IFS(
OR(E734="Type 2 Diabetes",E734="Essential Hypertension",E734="Angina Pectoris",E734="Bronchial Asthma",E734="Cardiac Arrhythmia"), D734+30,
OR(E734="Gastritis",E734="Osteoarthritis",E734="Bronchitis",E734="Iron Deficiency Anemia"), D734+14,
OR(E734="Lumbar Strain",E734="Migraine Headache"), D734+7,
OR(E734="Viral Fever",E734="General Checkup","Routine Health Check"), "",
TRUE,""
)</f>
        <v>45820</v>
      </c>
      <c r="I734" s="1" t="str">
        <f t="shared" si="22"/>
        <v>Follow-up Scheduled</v>
      </c>
      <c r="J734" t="str">
        <f>TEXT(Table8[[#This Row],[visit_Date]],"DDDD")</f>
        <v>Tuesday</v>
      </c>
      <c r="K734" t="str">
        <f>TEXT(Table8[[#This Row],[visit_Date]],"mmmm")</f>
        <v>May</v>
      </c>
      <c r="L734" t="str">
        <f t="shared" si="23"/>
        <v>Summer</v>
      </c>
    </row>
    <row r="735" spans="1:12" x14ac:dyDescent="0.25">
      <c r="A735">
        <v>734</v>
      </c>
      <c r="B735">
        <v>1027</v>
      </c>
      <c r="C735">
        <v>853</v>
      </c>
      <c r="D735" s="1">
        <v>45837</v>
      </c>
      <c r="E735" t="s">
        <v>326</v>
      </c>
      <c r="F735" t="s">
        <v>327</v>
      </c>
      <c r="G735" t="str">
        <f>_xlfn.XLOOKUP(TRIM(E736),MedicineInfo!A:A,MedicineInfo!B:B,"Not Found")</f>
        <v>Salbutamol Inhaler</v>
      </c>
      <c r="H735" s="1" t="str" cm="1">
        <f t="array" ref="H735">_xlfn.IFS(
OR(E735="Type 2 Diabetes",E735="Essential Hypertension",E735="Angina Pectoris",E735="Bronchial Asthma",E735="Cardiac Arrhythmia"), D735+30,
OR(E735="Gastritis",E735="Osteoarthritis",E735="Bronchitis",E735="Iron Deficiency Anemia"), D735+14,
OR(E735="Lumbar Strain",E735="Migraine Headache"), D735+7,
OR(E735="Viral Fever",E735="General Checkup","Routine Health Check"), "",
TRUE,""
)</f>
        <v/>
      </c>
      <c r="I735" s="1" t="str">
        <f t="shared" si="22"/>
        <v>No Follow-up Required</v>
      </c>
      <c r="J735" t="str">
        <f>TEXT(Table8[[#This Row],[visit_Date]],"DDDD")</f>
        <v>Sunday</v>
      </c>
      <c r="K735" t="str">
        <f>TEXT(Table8[[#This Row],[visit_Date]],"mmmm")</f>
        <v>June</v>
      </c>
      <c r="L735" t="str">
        <f t="shared" si="23"/>
        <v>Monsoon</v>
      </c>
    </row>
    <row r="736" spans="1:12" x14ac:dyDescent="0.25">
      <c r="A736">
        <v>735</v>
      </c>
      <c r="B736">
        <v>1020</v>
      </c>
      <c r="C736">
        <v>338</v>
      </c>
      <c r="D736" s="1">
        <v>45819</v>
      </c>
      <c r="E736" t="s">
        <v>324</v>
      </c>
      <c r="F736" t="s">
        <v>325</v>
      </c>
      <c r="G736" t="str">
        <f>_xlfn.XLOOKUP(TRIM(E737),MedicineInfo!A:A,MedicineInfo!B:B,"Not Found")</f>
        <v>Paracetamol</v>
      </c>
      <c r="H736" s="1" cm="1">
        <f t="array" ref="H736">_xlfn.IFS(
OR(E736="Type 2 Diabetes",E736="Essential Hypertension",E736="Angina Pectoris",E736="Bronchial Asthma",E736="Cardiac Arrhythmia"), D736+30,
OR(E736="Gastritis",E736="Osteoarthritis",E736="Bronchitis",E736="Iron Deficiency Anemia"), D736+14,
OR(E736="Lumbar Strain",E736="Migraine Headache"), D736+7,
OR(E736="Viral Fever",E736="General Checkup","Routine Health Check"), "",
TRUE,""
)</f>
        <v>45849</v>
      </c>
      <c r="I736" s="1" t="str">
        <f t="shared" si="22"/>
        <v>Follow-up Scheduled</v>
      </c>
      <c r="J736" t="str">
        <f>TEXT(Table8[[#This Row],[visit_Date]],"DDDD")</f>
        <v>Wednesday</v>
      </c>
      <c r="K736" t="str">
        <f>TEXT(Table8[[#This Row],[visit_Date]],"mmmm")</f>
        <v>June</v>
      </c>
      <c r="L736" t="str">
        <f t="shared" si="23"/>
        <v>Monsoon</v>
      </c>
    </row>
    <row r="737" spans="1:12" x14ac:dyDescent="0.25">
      <c r="A737">
        <v>736</v>
      </c>
      <c r="B737">
        <v>1027</v>
      </c>
      <c r="C737">
        <v>871</v>
      </c>
      <c r="D737" s="1">
        <v>45792</v>
      </c>
      <c r="E737" t="s">
        <v>326</v>
      </c>
      <c r="F737" t="s">
        <v>327</v>
      </c>
      <c r="G737" t="str">
        <f>_xlfn.XLOOKUP(TRIM(E738),MedicineInfo!A:A,MedicineInfo!B:B,"Not Found")</f>
        <v>Multivitamin</v>
      </c>
      <c r="H737" s="1" t="str" cm="1">
        <f t="array" ref="H737">_xlfn.IFS(
OR(E737="Type 2 Diabetes",E737="Essential Hypertension",E737="Angina Pectoris",E737="Bronchial Asthma",E737="Cardiac Arrhythmia"), D737+30,
OR(E737="Gastritis",E737="Osteoarthritis",E737="Bronchitis",E737="Iron Deficiency Anemia"), D737+14,
OR(E737="Lumbar Strain",E737="Migraine Headache"), D737+7,
OR(E737="Viral Fever",E737="General Checkup","Routine Health Check"), "",
TRUE,""
)</f>
        <v/>
      </c>
      <c r="I737" s="1" t="str">
        <f t="shared" si="22"/>
        <v>No Follow-up Required</v>
      </c>
      <c r="J737" t="str">
        <f>TEXT(Table8[[#This Row],[visit_Date]],"DDDD")</f>
        <v>Thursday</v>
      </c>
      <c r="K737" t="str">
        <f>TEXT(Table8[[#This Row],[visit_Date]],"mmmm")</f>
        <v>May</v>
      </c>
      <c r="L737" t="str">
        <f t="shared" si="23"/>
        <v>Summer</v>
      </c>
    </row>
    <row r="738" spans="1:12" x14ac:dyDescent="0.25">
      <c r="A738">
        <v>737</v>
      </c>
      <c r="B738">
        <v>1027</v>
      </c>
      <c r="C738">
        <v>1567</v>
      </c>
      <c r="D738" s="1">
        <v>45756</v>
      </c>
      <c r="E738" t="s">
        <v>24</v>
      </c>
      <c r="F738" t="s">
        <v>321</v>
      </c>
      <c r="G738" t="str">
        <f>_xlfn.XLOOKUP(TRIM(E739),MedicineInfo!A:A,MedicineInfo!B:B,"Not Found")</f>
        <v>Paracetamol</v>
      </c>
      <c r="H738" s="1" t="str" cm="1">
        <f t="array" ref="H738">_xlfn.IFS(
OR(E738="Type 2 Diabetes",E738="Essential Hypertension",E738="Angina Pectoris",E738="Bronchial Asthma",E738="Cardiac Arrhythmia"), D738+30,
OR(E738="Gastritis",E738="Osteoarthritis",E738="Bronchitis",E738="Iron Deficiency Anemia"), D738+14,
OR(E738="Lumbar Strain",E738="Migraine Headache"), D738+7,
OR(E738="Viral Fever",E738="General Checkup","Routine Health Check"), "",
TRUE,""
)</f>
        <v/>
      </c>
      <c r="I738" s="1" t="str">
        <f t="shared" si="22"/>
        <v>No Follow-up Required</v>
      </c>
      <c r="J738" t="str">
        <f>TEXT(Table8[[#This Row],[visit_Date]],"DDDD")</f>
        <v>Wednesday</v>
      </c>
      <c r="K738" t="str">
        <f>TEXT(Table8[[#This Row],[visit_Date]],"mmmm")</f>
        <v>April</v>
      </c>
      <c r="L738" t="str">
        <f t="shared" si="23"/>
        <v>Summer</v>
      </c>
    </row>
    <row r="739" spans="1:12" x14ac:dyDescent="0.25">
      <c r="A739">
        <v>738</v>
      </c>
      <c r="B739">
        <v>1027</v>
      </c>
      <c r="C739">
        <v>356</v>
      </c>
      <c r="D739" s="1">
        <v>45819</v>
      </c>
      <c r="E739" t="s">
        <v>326</v>
      </c>
      <c r="F739" t="s">
        <v>327</v>
      </c>
      <c r="G739" t="str">
        <f>_xlfn.XLOOKUP(TRIM(E740),MedicineInfo!A:A,MedicineInfo!B:B,"Not Found")</f>
        <v>Nitroglycerin</v>
      </c>
      <c r="H739" s="1" t="str" cm="1">
        <f t="array" ref="H739">_xlfn.IFS(
OR(E739="Type 2 Diabetes",E739="Essential Hypertension",E739="Angina Pectoris",E739="Bronchial Asthma",E739="Cardiac Arrhythmia"), D739+30,
OR(E739="Gastritis",E739="Osteoarthritis",E739="Bronchitis",E739="Iron Deficiency Anemia"), D739+14,
OR(E739="Lumbar Strain",E739="Migraine Headache"), D739+7,
OR(E739="Viral Fever",E739="General Checkup","Routine Health Check"), "",
TRUE,""
)</f>
        <v/>
      </c>
      <c r="I739" s="1" t="str">
        <f t="shared" si="22"/>
        <v>No Follow-up Required</v>
      </c>
      <c r="J739" t="str">
        <f>TEXT(Table8[[#This Row],[visit_Date]],"DDDD")</f>
        <v>Wednesday</v>
      </c>
      <c r="K739" t="str">
        <f>TEXT(Table8[[#This Row],[visit_Date]],"mmmm")</f>
        <v>June</v>
      </c>
      <c r="L739" t="str">
        <f t="shared" si="23"/>
        <v>Monsoon</v>
      </c>
    </row>
    <row r="740" spans="1:12" x14ac:dyDescent="0.25">
      <c r="A740">
        <v>739</v>
      </c>
      <c r="B740">
        <v>1027</v>
      </c>
      <c r="C740">
        <v>1259</v>
      </c>
      <c r="D740" s="1">
        <v>45853</v>
      </c>
      <c r="E740" t="s">
        <v>322</v>
      </c>
      <c r="F740" t="s">
        <v>323</v>
      </c>
      <c r="G740" t="str">
        <f>_xlfn.XLOOKUP(TRIM(E741),MedicineInfo!A:A,MedicineInfo!B:B,"Not Found")</f>
        <v>Multivitamin</v>
      </c>
      <c r="H740" s="1" cm="1">
        <f t="array" ref="H740">_xlfn.IFS(
OR(E740="Type 2 Diabetes",E740="Essential Hypertension",E740="Angina Pectoris",E740="Bronchial Asthma",E740="Cardiac Arrhythmia"), D740+30,
OR(E740="Gastritis",E740="Osteoarthritis",E740="Bronchitis",E740="Iron Deficiency Anemia"), D740+14,
OR(E740="Lumbar Strain",E740="Migraine Headache"), D740+7,
OR(E740="Viral Fever",E740="General Checkup","Routine Health Check"), "",
TRUE,""
)</f>
        <v>45883</v>
      </c>
      <c r="I740" s="1" t="str">
        <f t="shared" si="22"/>
        <v>Follow-up Scheduled</v>
      </c>
      <c r="J740" t="str">
        <f>TEXT(Table8[[#This Row],[visit_Date]],"DDDD")</f>
        <v>Tuesday</v>
      </c>
      <c r="K740" t="str">
        <f>TEXT(Table8[[#This Row],[visit_Date]],"mmmm")</f>
        <v>July</v>
      </c>
      <c r="L740" t="str">
        <f t="shared" si="23"/>
        <v>Monsoon</v>
      </c>
    </row>
    <row r="741" spans="1:12" x14ac:dyDescent="0.25">
      <c r="A741">
        <v>740</v>
      </c>
      <c r="B741">
        <v>1027</v>
      </c>
      <c r="C741">
        <v>1113</v>
      </c>
      <c r="D741" s="1">
        <v>45855</v>
      </c>
      <c r="E741" t="s">
        <v>24</v>
      </c>
      <c r="F741" t="s">
        <v>321</v>
      </c>
      <c r="G741" t="str">
        <f>_xlfn.XLOOKUP(TRIM(E742),MedicineInfo!A:A,MedicineInfo!B:B,"Not Found")</f>
        <v>Multivitamin</v>
      </c>
      <c r="H741" s="1" t="str" cm="1">
        <f t="array" ref="H741">_xlfn.IFS(
OR(E741="Type 2 Diabetes",E741="Essential Hypertension",E741="Angina Pectoris",E741="Bronchial Asthma",E741="Cardiac Arrhythmia"), D741+30,
OR(E741="Gastritis",E741="Osteoarthritis",E741="Bronchitis",E741="Iron Deficiency Anemia"), D741+14,
OR(E741="Lumbar Strain",E741="Migraine Headache"), D741+7,
OR(E741="Viral Fever",E741="General Checkup","Routine Health Check"), "",
TRUE,""
)</f>
        <v/>
      </c>
      <c r="I741" s="1" t="str">
        <f t="shared" si="22"/>
        <v>No Follow-up Required</v>
      </c>
      <c r="J741" t="str">
        <f>TEXT(Table8[[#This Row],[visit_Date]],"DDDD")</f>
        <v>Thursday</v>
      </c>
      <c r="K741" t="str">
        <f>TEXT(Table8[[#This Row],[visit_Date]],"mmmm")</f>
        <v>July</v>
      </c>
      <c r="L741" t="str">
        <f t="shared" si="23"/>
        <v>Monsoon</v>
      </c>
    </row>
    <row r="742" spans="1:12" x14ac:dyDescent="0.25">
      <c r="A742">
        <v>741</v>
      </c>
      <c r="B742">
        <v>1027</v>
      </c>
      <c r="C742">
        <v>1283</v>
      </c>
      <c r="D742" s="1">
        <v>45783</v>
      </c>
      <c r="E742" t="s">
        <v>24</v>
      </c>
      <c r="F742" t="s">
        <v>321</v>
      </c>
      <c r="G742" t="str">
        <f>_xlfn.XLOOKUP(TRIM(E743),MedicineInfo!A:A,MedicineInfo!B:B,"Not Found")</f>
        <v>Metformin</v>
      </c>
      <c r="H742" s="1" t="str" cm="1">
        <f t="array" ref="H742">_xlfn.IFS(
OR(E742="Type 2 Diabetes",E742="Essential Hypertension",E742="Angina Pectoris",E742="Bronchial Asthma",E742="Cardiac Arrhythmia"), D742+30,
OR(E742="Gastritis",E742="Osteoarthritis",E742="Bronchitis",E742="Iron Deficiency Anemia"), D742+14,
OR(E742="Lumbar Strain",E742="Migraine Headache"), D742+7,
OR(E742="Viral Fever",E742="General Checkup","Routine Health Check"), "",
TRUE,""
)</f>
        <v/>
      </c>
      <c r="I742" s="1" t="str">
        <f t="shared" si="22"/>
        <v>No Follow-up Required</v>
      </c>
      <c r="J742" t="str">
        <f>TEXT(Table8[[#This Row],[visit_Date]],"DDDD")</f>
        <v>Tuesday</v>
      </c>
      <c r="K742" t="str">
        <f>TEXT(Table8[[#This Row],[visit_Date]],"mmmm")</f>
        <v>May</v>
      </c>
      <c r="L742" t="str">
        <f t="shared" si="23"/>
        <v>Summer</v>
      </c>
    </row>
    <row r="743" spans="1:12" x14ac:dyDescent="0.25">
      <c r="A743">
        <v>742</v>
      </c>
      <c r="B743">
        <v>1024</v>
      </c>
      <c r="C743">
        <v>561</v>
      </c>
      <c r="D743" s="1">
        <v>45792</v>
      </c>
      <c r="E743" t="s">
        <v>317</v>
      </c>
      <c r="F743" t="s">
        <v>318</v>
      </c>
      <c r="G743" t="str">
        <f>_xlfn.XLOOKUP(TRIM(E744),MedicineInfo!A:A,MedicineInfo!B:B,"Not Found")</f>
        <v>Salbutamol Inhaler</v>
      </c>
      <c r="H743" s="1" cm="1">
        <f t="array" ref="H743">_xlfn.IFS(
OR(E743="Type 2 Diabetes",E743="Essential Hypertension",E743="Angina Pectoris",E743="Bronchial Asthma",E743="Cardiac Arrhythmia"), D743+30,
OR(E743="Gastritis",E743="Osteoarthritis",E743="Bronchitis",E743="Iron Deficiency Anemia"), D743+14,
OR(E743="Lumbar Strain",E743="Migraine Headache"), D743+7,
OR(E743="Viral Fever",E743="General Checkup","Routine Health Check"), "",
TRUE,""
)</f>
        <v>45822</v>
      </c>
      <c r="I743" s="1" t="str">
        <f t="shared" si="22"/>
        <v>Follow-up Scheduled</v>
      </c>
      <c r="J743" t="str">
        <f>TEXT(Table8[[#This Row],[visit_Date]],"DDDD")</f>
        <v>Thursday</v>
      </c>
      <c r="K743" t="str">
        <f>TEXT(Table8[[#This Row],[visit_Date]],"mmmm")</f>
        <v>May</v>
      </c>
      <c r="L743" t="str">
        <f t="shared" si="23"/>
        <v>Summer</v>
      </c>
    </row>
    <row r="744" spans="1:12" x14ac:dyDescent="0.25">
      <c r="A744">
        <v>743</v>
      </c>
      <c r="B744">
        <v>1020</v>
      </c>
      <c r="C744">
        <v>1221</v>
      </c>
      <c r="D744" s="1">
        <v>45686</v>
      </c>
      <c r="E744" t="s">
        <v>324</v>
      </c>
      <c r="F744" t="s">
        <v>325</v>
      </c>
      <c r="G744" t="str">
        <f>_xlfn.XLOOKUP(TRIM(E745),MedicineInfo!A:A,MedicineInfo!B:B,"Not Found")</f>
        <v>Paracetamol</v>
      </c>
      <c r="H744" s="1" cm="1">
        <f t="array" ref="H744">_xlfn.IFS(
OR(E744="Type 2 Diabetes",E744="Essential Hypertension",E744="Angina Pectoris",E744="Bronchial Asthma",E744="Cardiac Arrhythmia"), D744+30,
OR(E744="Gastritis",E744="Osteoarthritis",E744="Bronchitis",E744="Iron Deficiency Anemia"), D744+14,
OR(E744="Lumbar Strain",E744="Migraine Headache"), D744+7,
OR(E744="Viral Fever",E744="General Checkup","Routine Health Check"), "",
TRUE,""
)</f>
        <v>45716</v>
      </c>
      <c r="I744" s="1" t="str">
        <f t="shared" si="22"/>
        <v>Follow-up Scheduled</v>
      </c>
      <c r="J744" t="str">
        <f>TEXT(Table8[[#This Row],[visit_Date]],"DDDD")</f>
        <v>Wednesday</v>
      </c>
      <c r="K744" t="str">
        <f>TEXT(Table8[[#This Row],[visit_Date]],"mmmm")</f>
        <v>January</v>
      </c>
      <c r="L744" t="str">
        <f t="shared" si="23"/>
        <v>Winter</v>
      </c>
    </row>
    <row r="745" spans="1:12" x14ac:dyDescent="0.25">
      <c r="A745">
        <v>744</v>
      </c>
      <c r="B745">
        <v>1027</v>
      </c>
      <c r="C745">
        <v>279</v>
      </c>
      <c r="D745" s="1">
        <v>45814</v>
      </c>
      <c r="E745" t="s">
        <v>326</v>
      </c>
      <c r="F745" t="s">
        <v>327</v>
      </c>
      <c r="G745" t="str">
        <f>_xlfn.XLOOKUP(TRIM(E746),MedicineInfo!A:A,MedicineInfo!B:B,"Not Found")</f>
        <v>Multivitamin</v>
      </c>
      <c r="H745" s="1" t="str" cm="1">
        <f t="array" ref="H745">_xlfn.IFS(
OR(E745="Type 2 Diabetes",E745="Essential Hypertension",E745="Angina Pectoris",E745="Bronchial Asthma",E745="Cardiac Arrhythmia"), D745+30,
OR(E745="Gastritis",E745="Osteoarthritis",E745="Bronchitis",E745="Iron Deficiency Anemia"), D745+14,
OR(E745="Lumbar Strain",E745="Migraine Headache"), D745+7,
OR(E745="Viral Fever",E745="General Checkup","Routine Health Check"), "",
TRUE,""
)</f>
        <v/>
      </c>
      <c r="I745" s="1" t="str">
        <f t="shared" si="22"/>
        <v>No Follow-up Required</v>
      </c>
      <c r="J745" t="str">
        <f>TEXT(Table8[[#This Row],[visit_Date]],"DDDD")</f>
        <v>Friday</v>
      </c>
      <c r="K745" t="str">
        <f>TEXT(Table8[[#This Row],[visit_Date]],"mmmm")</f>
        <v>June</v>
      </c>
      <c r="L745" t="str">
        <f t="shared" si="23"/>
        <v>Monsoon</v>
      </c>
    </row>
    <row r="746" spans="1:12" x14ac:dyDescent="0.25">
      <c r="A746">
        <v>745</v>
      </c>
      <c r="B746">
        <v>1027</v>
      </c>
      <c r="C746">
        <v>943</v>
      </c>
      <c r="D746" s="1">
        <v>45785</v>
      </c>
      <c r="E746" t="s">
        <v>24</v>
      </c>
      <c r="F746" t="s">
        <v>321</v>
      </c>
      <c r="G746" t="str">
        <f>_xlfn.XLOOKUP(TRIM(E747),MedicineInfo!A:A,MedicineInfo!B:B,"Not Found")</f>
        <v>Nitroglycerin</v>
      </c>
      <c r="H746" s="1" t="str" cm="1">
        <f t="array" ref="H746">_xlfn.IFS(
OR(E746="Type 2 Diabetes",E746="Essential Hypertension",E746="Angina Pectoris",E746="Bronchial Asthma",E746="Cardiac Arrhythmia"), D746+30,
OR(E746="Gastritis",E746="Osteoarthritis",E746="Bronchitis",E746="Iron Deficiency Anemia"), D746+14,
OR(E746="Lumbar Strain",E746="Migraine Headache"), D746+7,
OR(E746="Viral Fever",E746="General Checkup","Routine Health Check"), "",
TRUE,""
)</f>
        <v/>
      </c>
      <c r="I746" s="1" t="str">
        <f t="shared" si="22"/>
        <v>No Follow-up Required</v>
      </c>
      <c r="J746" t="str">
        <f>TEXT(Table8[[#This Row],[visit_Date]],"DDDD")</f>
        <v>Thursday</v>
      </c>
      <c r="K746" t="str">
        <f>TEXT(Table8[[#This Row],[visit_Date]],"mmmm")</f>
        <v>May</v>
      </c>
      <c r="L746" t="str">
        <f t="shared" si="23"/>
        <v>Summer</v>
      </c>
    </row>
    <row r="747" spans="1:12" x14ac:dyDescent="0.25">
      <c r="A747">
        <v>746</v>
      </c>
      <c r="B747">
        <v>1027</v>
      </c>
      <c r="C747">
        <v>1526</v>
      </c>
      <c r="D747" s="1">
        <v>45814</v>
      </c>
      <c r="E747" t="s">
        <v>322</v>
      </c>
      <c r="F747" t="s">
        <v>323</v>
      </c>
      <c r="G747" t="str">
        <f>_xlfn.XLOOKUP(TRIM(E748),MedicineInfo!A:A,MedicineInfo!B:B,"Not Found")</f>
        <v>Salbutamol Inhaler</v>
      </c>
      <c r="H747" s="1" cm="1">
        <f t="array" ref="H747">_xlfn.IFS(
OR(E747="Type 2 Diabetes",E747="Essential Hypertension",E747="Angina Pectoris",E747="Bronchial Asthma",E747="Cardiac Arrhythmia"), D747+30,
OR(E747="Gastritis",E747="Osteoarthritis",E747="Bronchitis",E747="Iron Deficiency Anemia"), D747+14,
OR(E747="Lumbar Strain",E747="Migraine Headache"), D747+7,
OR(E747="Viral Fever",E747="General Checkup","Routine Health Check"), "",
TRUE,""
)</f>
        <v>45844</v>
      </c>
      <c r="I747" s="1" t="str">
        <f t="shared" si="22"/>
        <v>Follow-up Scheduled</v>
      </c>
      <c r="J747" t="str">
        <f>TEXT(Table8[[#This Row],[visit_Date]],"DDDD")</f>
        <v>Friday</v>
      </c>
      <c r="K747" t="str">
        <f>TEXT(Table8[[#This Row],[visit_Date]],"mmmm")</f>
        <v>June</v>
      </c>
      <c r="L747" t="str">
        <f t="shared" si="23"/>
        <v>Monsoon</v>
      </c>
    </row>
    <row r="748" spans="1:12" x14ac:dyDescent="0.25">
      <c r="A748">
        <v>747</v>
      </c>
      <c r="B748">
        <v>1020</v>
      </c>
      <c r="C748">
        <v>1499</v>
      </c>
      <c r="D748" s="1">
        <v>45710</v>
      </c>
      <c r="E748" t="s">
        <v>324</v>
      </c>
      <c r="F748" t="s">
        <v>325</v>
      </c>
      <c r="G748" t="str">
        <f>_xlfn.XLOOKUP(TRIM(E749),MedicineInfo!A:A,MedicineInfo!B:B,"Not Found")</f>
        <v>Metformin</v>
      </c>
      <c r="H748" s="1" cm="1">
        <f t="array" ref="H748">_xlfn.IFS(
OR(E748="Type 2 Diabetes",E748="Essential Hypertension",E748="Angina Pectoris",E748="Bronchial Asthma",E748="Cardiac Arrhythmia"), D748+30,
OR(E748="Gastritis",E748="Osteoarthritis",E748="Bronchitis",E748="Iron Deficiency Anemia"), D748+14,
OR(E748="Lumbar Strain",E748="Migraine Headache"), D748+7,
OR(E748="Viral Fever",E748="General Checkup","Routine Health Check"), "",
TRUE,""
)</f>
        <v>45740</v>
      </c>
      <c r="I748" s="1" t="str">
        <f t="shared" si="22"/>
        <v>Follow-up Scheduled</v>
      </c>
      <c r="J748" t="str">
        <f>TEXT(Table8[[#This Row],[visit_Date]],"DDDD")</f>
        <v>Saturday</v>
      </c>
      <c r="K748" t="str">
        <f>TEXT(Table8[[#This Row],[visit_Date]],"mmmm")</f>
        <v>February</v>
      </c>
      <c r="L748" t="str">
        <f t="shared" si="23"/>
        <v>Winter</v>
      </c>
    </row>
    <row r="749" spans="1:12" x14ac:dyDescent="0.25">
      <c r="A749">
        <v>748</v>
      </c>
      <c r="B749">
        <v>1024</v>
      </c>
      <c r="C749">
        <v>1441</v>
      </c>
      <c r="D749" s="1">
        <v>45722</v>
      </c>
      <c r="E749" t="s">
        <v>317</v>
      </c>
      <c r="F749" t="s">
        <v>318</v>
      </c>
      <c r="G749" t="str">
        <f>_xlfn.XLOOKUP(TRIM(E750),MedicineInfo!A:A,MedicineInfo!B:B,"Not Found")</f>
        <v>Amlodipine</v>
      </c>
      <c r="H749" s="1" cm="1">
        <f t="array" ref="H749">_xlfn.IFS(
OR(E749="Type 2 Diabetes",E749="Essential Hypertension",E749="Angina Pectoris",E749="Bronchial Asthma",E749="Cardiac Arrhythmia"), D749+30,
OR(E749="Gastritis",E749="Osteoarthritis",E749="Bronchitis",E749="Iron Deficiency Anemia"), D749+14,
OR(E749="Lumbar Strain",E749="Migraine Headache"), D749+7,
OR(E749="Viral Fever",E749="General Checkup","Routine Health Check"), "",
TRUE,""
)</f>
        <v>45752</v>
      </c>
      <c r="I749" s="1" t="str">
        <f t="shared" si="22"/>
        <v>Follow-up Scheduled</v>
      </c>
      <c r="J749" t="str">
        <f>TEXT(Table8[[#This Row],[visit_Date]],"DDDD")</f>
        <v>Thursday</v>
      </c>
      <c r="K749" t="str">
        <f>TEXT(Table8[[#This Row],[visit_Date]],"mmmm")</f>
        <v>March</v>
      </c>
      <c r="L749" t="str">
        <f t="shared" si="23"/>
        <v>Summer</v>
      </c>
    </row>
    <row r="750" spans="1:12" x14ac:dyDescent="0.25">
      <c r="A750">
        <v>749</v>
      </c>
      <c r="B750">
        <v>1004</v>
      </c>
      <c r="C750">
        <v>1226</v>
      </c>
      <c r="D750" s="1">
        <v>45814</v>
      </c>
      <c r="E750" t="s">
        <v>319</v>
      </c>
      <c r="F750" t="s">
        <v>320</v>
      </c>
      <c r="G750" t="str">
        <f>_xlfn.XLOOKUP(TRIM(E751),MedicineInfo!A:A,MedicineInfo!B:B,"Not Found")</f>
        <v>Sumatriptan</v>
      </c>
      <c r="H750" s="1" cm="1">
        <f t="array" ref="H750">_xlfn.IFS(
OR(E750="Type 2 Diabetes",E750="Essential Hypertension",E750="Angina Pectoris",E750="Bronchial Asthma",E750="Cardiac Arrhythmia"), D750+30,
OR(E750="Gastritis",E750="Osteoarthritis",E750="Bronchitis",E750="Iron Deficiency Anemia"), D750+14,
OR(E750="Lumbar Strain",E750="Migraine Headache"), D750+7,
OR(E750="Viral Fever",E750="General Checkup","Routine Health Check"), "",
TRUE,""
)</f>
        <v>45844</v>
      </c>
      <c r="I750" s="1" t="str">
        <f t="shared" si="22"/>
        <v>Follow-up Scheduled</v>
      </c>
      <c r="J750" t="str">
        <f>TEXT(Table8[[#This Row],[visit_Date]],"DDDD")</f>
        <v>Friday</v>
      </c>
      <c r="K750" t="str">
        <f>TEXT(Table8[[#This Row],[visit_Date]],"mmmm")</f>
        <v>June</v>
      </c>
      <c r="L750" t="str">
        <f t="shared" si="23"/>
        <v>Monsoon</v>
      </c>
    </row>
    <row r="751" spans="1:12" x14ac:dyDescent="0.25">
      <c r="A751">
        <v>750</v>
      </c>
      <c r="B751">
        <v>1009</v>
      </c>
      <c r="C751">
        <v>849</v>
      </c>
      <c r="D751" s="1">
        <v>45669</v>
      </c>
      <c r="E751" t="s">
        <v>315</v>
      </c>
      <c r="F751" t="s">
        <v>316</v>
      </c>
      <c r="G751" t="str">
        <f>_xlfn.XLOOKUP(TRIM(E752),MedicineInfo!A:A,MedicineInfo!B:B,"Not Found")</f>
        <v>Diclofenac</v>
      </c>
      <c r="H751" s="1" cm="1">
        <f t="array" ref="H751">_xlfn.IFS(
OR(E751="Type 2 Diabetes",E751="Essential Hypertension",E751="Angina Pectoris",E751="Bronchial Asthma",E751="Cardiac Arrhythmia"), D751+30,
OR(E751="Gastritis",E751="Osteoarthritis",E751="Bronchitis",E751="Iron Deficiency Anemia"), D751+14,
OR(E751="Lumbar Strain",E751="Migraine Headache"), D751+7,
OR(E751="Viral Fever",E751="General Checkup","Routine Health Check"), "",
TRUE,""
)</f>
        <v>45676</v>
      </c>
      <c r="I751" s="1" t="str">
        <f t="shared" si="22"/>
        <v>Follow-up Scheduled</v>
      </c>
      <c r="J751" t="str">
        <f>TEXT(Table8[[#This Row],[visit_Date]],"DDDD")</f>
        <v>Sunday</v>
      </c>
      <c r="K751" t="str">
        <f>TEXT(Table8[[#This Row],[visit_Date]],"mmmm")</f>
        <v>January</v>
      </c>
      <c r="L751" t="str">
        <f t="shared" si="23"/>
        <v>Winter</v>
      </c>
    </row>
    <row r="752" spans="1:12" x14ac:dyDescent="0.25">
      <c r="A752">
        <v>751</v>
      </c>
      <c r="B752">
        <v>1027</v>
      </c>
      <c r="C752">
        <v>906</v>
      </c>
      <c r="D752" s="1">
        <v>45799</v>
      </c>
      <c r="E752" t="s">
        <v>313</v>
      </c>
      <c r="F752" t="s">
        <v>314</v>
      </c>
      <c r="G752" t="str">
        <f>_xlfn.XLOOKUP(TRIM(E753),MedicineInfo!A:A,MedicineInfo!B:B,"Not Found")</f>
        <v>Sumatriptan</v>
      </c>
      <c r="H752" s="1" cm="1">
        <f t="array" ref="H752">_xlfn.IFS(
OR(E752="Type 2 Diabetes",E752="Essential Hypertension",E752="Angina Pectoris",E752="Bronchial Asthma",E752="Cardiac Arrhythmia"), D752+30,
OR(E752="Gastritis",E752="Osteoarthritis",E752="Bronchitis",E752="Iron Deficiency Anemia"), D752+14,
OR(E752="Lumbar Strain",E752="Migraine Headache"), D752+7,
OR(E752="Viral Fever",E752="General Checkup","Routine Health Check"), "",
TRUE,""
)</f>
        <v>45806</v>
      </c>
      <c r="I752" s="1" t="str">
        <f t="shared" si="22"/>
        <v>Follow-up Scheduled</v>
      </c>
      <c r="J752" t="str">
        <f>TEXT(Table8[[#This Row],[visit_Date]],"DDDD")</f>
        <v>Thursday</v>
      </c>
      <c r="K752" t="str">
        <f>TEXT(Table8[[#This Row],[visit_Date]],"mmmm")</f>
        <v>May</v>
      </c>
      <c r="L752" t="str">
        <f t="shared" si="23"/>
        <v>Summer</v>
      </c>
    </row>
    <row r="753" spans="1:12" x14ac:dyDescent="0.25">
      <c r="A753">
        <v>752</v>
      </c>
      <c r="B753">
        <v>1008</v>
      </c>
      <c r="C753">
        <v>1135</v>
      </c>
      <c r="D753" s="1">
        <v>45734</v>
      </c>
      <c r="E753" t="s">
        <v>315</v>
      </c>
      <c r="F753" t="s">
        <v>316</v>
      </c>
      <c r="G753" t="str">
        <f>_xlfn.XLOOKUP(TRIM(E754),MedicineInfo!A:A,MedicineInfo!B:B,"Not Found")</f>
        <v>Sumatriptan</v>
      </c>
      <c r="H753" s="1" cm="1">
        <f t="array" ref="H753">_xlfn.IFS(
OR(E753="Type 2 Diabetes",E753="Essential Hypertension",E753="Angina Pectoris",E753="Bronchial Asthma",E753="Cardiac Arrhythmia"), D753+30,
OR(E753="Gastritis",E753="Osteoarthritis",E753="Bronchitis",E753="Iron Deficiency Anemia"), D753+14,
OR(E753="Lumbar Strain",E753="Migraine Headache"), D753+7,
OR(E753="Viral Fever",E753="General Checkup","Routine Health Check"), "",
TRUE,""
)</f>
        <v>45741</v>
      </c>
      <c r="I753" s="1" t="str">
        <f t="shared" si="22"/>
        <v>Follow-up Scheduled</v>
      </c>
      <c r="J753" t="str">
        <f>TEXT(Table8[[#This Row],[visit_Date]],"DDDD")</f>
        <v>Tuesday</v>
      </c>
      <c r="K753" t="str">
        <f>TEXT(Table8[[#This Row],[visit_Date]],"mmmm")</f>
        <v>March</v>
      </c>
      <c r="L753" t="str">
        <f t="shared" si="23"/>
        <v>Summer</v>
      </c>
    </row>
    <row r="754" spans="1:12" x14ac:dyDescent="0.25">
      <c r="A754">
        <v>753</v>
      </c>
      <c r="B754">
        <v>1008</v>
      </c>
      <c r="C754">
        <v>152</v>
      </c>
      <c r="D754" s="1">
        <v>45791</v>
      </c>
      <c r="E754" t="s">
        <v>315</v>
      </c>
      <c r="F754" t="s">
        <v>316</v>
      </c>
      <c r="G754" t="str">
        <f>_xlfn.XLOOKUP(TRIM(E755),MedicineInfo!A:A,MedicineInfo!B:B,"Not Found")</f>
        <v>Diclofenac</v>
      </c>
      <c r="H754" s="1" cm="1">
        <f t="array" ref="H754">_xlfn.IFS(
OR(E754="Type 2 Diabetes",E754="Essential Hypertension",E754="Angina Pectoris",E754="Bronchial Asthma",E754="Cardiac Arrhythmia"), D754+30,
OR(E754="Gastritis",E754="Osteoarthritis",E754="Bronchitis",E754="Iron Deficiency Anemia"), D754+14,
OR(E754="Lumbar Strain",E754="Migraine Headache"), D754+7,
OR(E754="Viral Fever",E754="General Checkup","Routine Health Check"), "",
TRUE,""
)</f>
        <v>45798</v>
      </c>
      <c r="I754" s="1" t="str">
        <f t="shared" si="22"/>
        <v>Follow-up Scheduled</v>
      </c>
      <c r="J754" t="str">
        <f>TEXT(Table8[[#This Row],[visit_Date]],"DDDD")</f>
        <v>Wednesday</v>
      </c>
      <c r="K754" t="str">
        <f>TEXT(Table8[[#This Row],[visit_Date]],"mmmm")</f>
        <v>May</v>
      </c>
      <c r="L754" t="str">
        <f t="shared" si="23"/>
        <v>Summer</v>
      </c>
    </row>
    <row r="755" spans="1:12" x14ac:dyDescent="0.25">
      <c r="A755">
        <v>754</v>
      </c>
      <c r="B755">
        <v>1027</v>
      </c>
      <c r="C755">
        <v>957</v>
      </c>
      <c r="D755" s="1">
        <v>45688</v>
      </c>
      <c r="E755" t="s">
        <v>313</v>
      </c>
      <c r="F755" t="s">
        <v>314</v>
      </c>
      <c r="G755" t="str">
        <f>_xlfn.XLOOKUP(TRIM(E756),MedicineInfo!A:A,MedicineInfo!B:B,"Not Found")</f>
        <v>Salbutamol Inhaler</v>
      </c>
      <c r="H755" s="1" cm="1">
        <f t="array" ref="H755">_xlfn.IFS(
OR(E755="Type 2 Diabetes",E755="Essential Hypertension",E755="Angina Pectoris",E755="Bronchial Asthma",E755="Cardiac Arrhythmia"), D755+30,
OR(E755="Gastritis",E755="Osteoarthritis",E755="Bronchitis",E755="Iron Deficiency Anemia"), D755+14,
OR(E755="Lumbar Strain",E755="Migraine Headache"), D755+7,
OR(E755="Viral Fever",E755="General Checkup","Routine Health Check"), "",
TRUE,""
)</f>
        <v>45695</v>
      </c>
      <c r="I755" s="1" t="str">
        <f t="shared" si="22"/>
        <v>Follow-up Scheduled</v>
      </c>
      <c r="J755" t="str">
        <f>TEXT(Table8[[#This Row],[visit_Date]],"DDDD")</f>
        <v>Friday</v>
      </c>
      <c r="K755" t="str">
        <f>TEXT(Table8[[#This Row],[visit_Date]],"mmmm")</f>
        <v>January</v>
      </c>
      <c r="L755" t="str">
        <f t="shared" si="23"/>
        <v>Winter</v>
      </c>
    </row>
    <row r="756" spans="1:12" x14ac:dyDescent="0.25">
      <c r="A756">
        <v>755</v>
      </c>
      <c r="B756">
        <v>1020</v>
      </c>
      <c r="C756">
        <v>597</v>
      </c>
      <c r="D756" s="1">
        <v>45694</v>
      </c>
      <c r="E756" t="s">
        <v>324</v>
      </c>
      <c r="F756" t="s">
        <v>325</v>
      </c>
      <c r="G756" t="str">
        <f>_xlfn.XLOOKUP(TRIM(E757),MedicineInfo!A:A,MedicineInfo!B:B,"Not Found")</f>
        <v>Sumatriptan</v>
      </c>
      <c r="H756" s="1" cm="1">
        <f t="array" ref="H756">_xlfn.IFS(
OR(E756="Type 2 Diabetes",E756="Essential Hypertension",E756="Angina Pectoris",E756="Bronchial Asthma",E756="Cardiac Arrhythmia"), D756+30,
OR(E756="Gastritis",E756="Osteoarthritis",E756="Bronchitis",E756="Iron Deficiency Anemia"), D756+14,
OR(E756="Lumbar Strain",E756="Migraine Headache"), D756+7,
OR(E756="Viral Fever",E756="General Checkup","Routine Health Check"), "",
TRUE,""
)</f>
        <v>45724</v>
      </c>
      <c r="I756" s="1" t="str">
        <f t="shared" si="22"/>
        <v>Follow-up Scheduled</v>
      </c>
      <c r="J756" t="str">
        <f>TEXT(Table8[[#This Row],[visit_Date]],"DDDD")</f>
        <v>Thursday</v>
      </c>
      <c r="K756" t="str">
        <f>TEXT(Table8[[#This Row],[visit_Date]],"mmmm")</f>
        <v>February</v>
      </c>
      <c r="L756" t="str">
        <f t="shared" si="23"/>
        <v>Winter</v>
      </c>
    </row>
    <row r="757" spans="1:12" x14ac:dyDescent="0.25">
      <c r="A757">
        <v>756</v>
      </c>
      <c r="B757">
        <v>1008</v>
      </c>
      <c r="C757">
        <v>694</v>
      </c>
      <c r="D757" s="1">
        <v>45814</v>
      </c>
      <c r="E757" t="s">
        <v>315</v>
      </c>
      <c r="F757" t="s">
        <v>316</v>
      </c>
      <c r="G757" t="str">
        <f>_xlfn.XLOOKUP(TRIM(E758),MedicineInfo!A:A,MedicineInfo!B:B,"Not Found")</f>
        <v>Multivitamin</v>
      </c>
      <c r="H757" s="1" cm="1">
        <f t="array" ref="H757">_xlfn.IFS(
OR(E757="Type 2 Diabetes",E757="Essential Hypertension",E757="Angina Pectoris",E757="Bronchial Asthma",E757="Cardiac Arrhythmia"), D757+30,
OR(E757="Gastritis",E757="Osteoarthritis",E757="Bronchitis",E757="Iron Deficiency Anemia"), D757+14,
OR(E757="Lumbar Strain",E757="Migraine Headache"), D757+7,
OR(E757="Viral Fever",E757="General Checkup","Routine Health Check"), "",
TRUE,""
)</f>
        <v>45821</v>
      </c>
      <c r="I757" s="1" t="str">
        <f t="shared" si="22"/>
        <v>Follow-up Scheduled</v>
      </c>
      <c r="J757" t="str">
        <f>TEXT(Table8[[#This Row],[visit_Date]],"DDDD")</f>
        <v>Friday</v>
      </c>
      <c r="K757" t="str">
        <f>TEXT(Table8[[#This Row],[visit_Date]],"mmmm")</f>
        <v>June</v>
      </c>
      <c r="L757" t="str">
        <f t="shared" si="23"/>
        <v>Monsoon</v>
      </c>
    </row>
    <row r="758" spans="1:12" x14ac:dyDescent="0.25">
      <c r="A758">
        <v>757</v>
      </c>
      <c r="B758">
        <v>1027</v>
      </c>
      <c r="C758">
        <v>1446</v>
      </c>
      <c r="D758" s="1">
        <v>45809</v>
      </c>
      <c r="E758" t="s">
        <v>24</v>
      </c>
      <c r="F758" t="s">
        <v>321</v>
      </c>
      <c r="G758" t="str">
        <f>_xlfn.XLOOKUP(TRIM(E759),MedicineInfo!A:A,MedicineInfo!B:B,"Not Found")</f>
        <v>Sumatriptan</v>
      </c>
      <c r="H758" s="1" t="str" cm="1">
        <f t="array" ref="H758">_xlfn.IFS(
OR(E758="Type 2 Diabetes",E758="Essential Hypertension",E758="Angina Pectoris",E758="Bronchial Asthma",E758="Cardiac Arrhythmia"), D758+30,
OR(E758="Gastritis",E758="Osteoarthritis",E758="Bronchitis",E758="Iron Deficiency Anemia"), D758+14,
OR(E758="Lumbar Strain",E758="Migraine Headache"), D758+7,
OR(E758="Viral Fever",E758="General Checkup","Routine Health Check"), "",
TRUE,""
)</f>
        <v/>
      </c>
      <c r="I758" s="1" t="str">
        <f t="shared" si="22"/>
        <v>No Follow-up Required</v>
      </c>
      <c r="J758" t="str">
        <f>TEXT(Table8[[#This Row],[visit_Date]],"DDDD")</f>
        <v>Sunday</v>
      </c>
      <c r="K758" t="str">
        <f>TEXT(Table8[[#This Row],[visit_Date]],"mmmm")</f>
        <v>June</v>
      </c>
      <c r="L758" t="str">
        <f t="shared" si="23"/>
        <v>Monsoon</v>
      </c>
    </row>
    <row r="759" spans="1:12" x14ac:dyDescent="0.25">
      <c r="A759">
        <v>758</v>
      </c>
      <c r="B759">
        <v>1008</v>
      </c>
      <c r="C759">
        <v>569</v>
      </c>
      <c r="D759" s="1">
        <v>45792</v>
      </c>
      <c r="E759" t="s">
        <v>315</v>
      </c>
      <c r="F759" t="s">
        <v>316</v>
      </c>
      <c r="G759" t="str">
        <f>_xlfn.XLOOKUP(TRIM(E760),MedicineInfo!A:A,MedicineInfo!B:B,"Not Found")</f>
        <v>Paracetamol</v>
      </c>
      <c r="H759" s="1" cm="1">
        <f t="array" ref="H759">_xlfn.IFS(
OR(E759="Type 2 Diabetes",E759="Essential Hypertension",E759="Angina Pectoris",E759="Bronchial Asthma",E759="Cardiac Arrhythmia"), D759+30,
OR(E759="Gastritis",E759="Osteoarthritis",E759="Bronchitis",E759="Iron Deficiency Anemia"), D759+14,
OR(E759="Lumbar Strain",E759="Migraine Headache"), D759+7,
OR(E759="Viral Fever",E759="General Checkup","Routine Health Check"), "",
TRUE,""
)</f>
        <v>45799</v>
      </c>
      <c r="I759" s="1" t="str">
        <f t="shared" si="22"/>
        <v>Follow-up Scheduled</v>
      </c>
      <c r="J759" t="str">
        <f>TEXT(Table8[[#This Row],[visit_Date]],"DDDD")</f>
        <v>Thursday</v>
      </c>
      <c r="K759" t="str">
        <f>TEXT(Table8[[#This Row],[visit_Date]],"mmmm")</f>
        <v>May</v>
      </c>
      <c r="L759" t="str">
        <f t="shared" si="23"/>
        <v>Summer</v>
      </c>
    </row>
    <row r="760" spans="1:12" x14ac:dyDescent="0.25">
      <c r="A760">
        <v>759</v>
      </c>
      <c r="B760">
        <v>1027</v>
      </c>
      <c r="C760">
        <v>1586</v>
      </c>
      <c r="D760" s="1">
        <v>45767</v>
      </c>
      <c r="E760" t="s">
        <v>326</v>
      </c>
      <c r="F760" t="s">
        <v>327</v>
      </c>
      <c r="G760" t="str">
        <f>_xlfn.XLOOKUP(TRIM(E761),MedicineInfo!A:A,MedicineInfo!B:B,"Not Found")</f>
        <v>Amlodipine</v>
      </c>
      <c r="H760" s="1" t="str" cm="1">
        <f t="array" ref="H760">_xlfn.IFS(
OR(E760="Type 2 Diabetes",E760="Essential Hypertension",E760="Angina Pectoris",E760="Bronchial Asthma",E760="Cardiac Arrhythmia"), D760+30,
OR(E760="Gastritis",E760="Osteoarthritis",E760="Bronchitis",E760="Iron Deficiency Anemia"), D760+14,
OR(E760="Lumbar Strain",E760="Migraine Headache"), D760+7,
OR(E760="Viral Fever",E760="General Checkup","Routine Health Check"), "",
TRUE,""
)</f>
        <v/>
      </c>
      <c r="I760" s="1" t="str">
        <f t="shared" si="22"/>
        <v>No Follow-up Required</v>
      </c>
      <c r="J760" t="str">
        <f>TEXT(Table8[[#This Row],[visit_Date]],"DDDD")</f>
        <v>Sunday</v>
      </c>
      <c r="K760" t="str">
        <f>TEXT(Table8[[#This Row],[visit_Date]],"mmmm")</f>
        <v>April</v>
      </c>
      <c r="L760" t="str">
        <f t="shared" si="23"/>
        <v>Summer</v>
      </c>
    </row>
    <row r="761" spans="1:12" x14ac:dyDescent="0.25">
      <c r="A761">
        <v>760</v>
      </c>
      <c r="B761">
        <v>1001</v>
      </c>
      <c r="C761">
        <v>1559</v>
      </c>
      <c r="D761" s="1">
        <v>45758</v>
      </c>
      <c r="E761" t="s">
        <v>319</v>
      </c>
      <c r="F761" t="s">
        <v>320</v>
      </c>
      <c r="G761" t="str">
        <f>_xlfn.XLOOKUP(TRIM(E762),MedicineInfo!A:A,MedicineInfo!B:B,"Not Found")</f>
        <v>Amlodipine</v>
      </c>
      <c r="H761" s="1" cm="1">
        <f t="array" ref="H761">_xlfn.IFS(
OR(E761="Type 2 Diabetes",E761="Essential Hypertension",E761="Angina Pectoris",E761="Bronchial Asthma",E761="Cardiac Arrhythmia"), D761+30,
OR(E761="Gastritis",E761="Osteoarthritis",E761="Bronchitis",E761="Iron Deficiency Anemia"), D761+14,
OR(E761="Lumbar Strain",E761="Migraine Headache"), D761+7,
OR(E761="Viral Fever",E761="General Checkup","Routine Health Check"), "",
TRUE,""
)</f>
        <v>45788</v>
      </c>
      <c r="I761" s="1" t="str">
        <f t="shared" si="22"/>
        <v>Follow-up Scheduled</v>
      </c>
      <c r="J761" t="str">
        <f>TEXT(Table8[[#This Row],[visit_Date]],"DDDD")</f>
        <v>Friday</v>
      </c>
      <c r="K761" t="str">
        <f>TEXT(Table8[[#This Row],[visit_Date]],"mmmm")</f>
        <v>April</v>
      </c>
      <c r="L761" t="str">
        <f t="shared" si="23"/>
        <v>Summer</v>
      </c>
    </row>
    <row r="762" spans="1:12" x14ac:dyDescent="0.25">
      <c r="A762">
        <v>761</v>
      </c>
      <c r="B762">
        <v>1002</v>
      </c>
      <c r="C762">
        <v>896</v>
      </c>
      <c r="D762" s="1">
        <v>45686</v>
      </c>
      <c r="E762" t="s">
        <v>319</v>
      </c>
      <c r="F762" t="s">
        <v>320</v>
      </c>
      <c r="G762" t="str">
        <f>_xlfn.XLOOKUP(TRIM(E763),MedicineInfo!A:A,MedicineInfo!B:B,"Not Found")</f>
        <v>Amlodipine</v>
      </c>
      <c r="H762" s="1" cm="1">
        <f t="array" ref="H762">_xlfn.IFS(
OR(E762="Type 2 Diabetes",E762="Essential Hypertension",E762="Angina Pectoris",E762="Bronchial Asthma",E762="Cardiac Arrhythmia"), D762+30,
OR(E762="Gastritis",E762="Osteoarthritis",E762="Bronchitis",E762="Iron Deficiency Anemia"), D762+14,
OR(E762="Lumbar Strain",E762="Migraine Headache"), D762+7,
OR(E762="Viral Fever",E762="General Checkup","Routine Health Check"), "",
TRUE,""
)</f>
        <v>45716</v>
      </c>
      <c r="I762" s="1" t="str">
        <f t="shared" si="22"/>
        <v>Follow-up Scheduled</v>
      </c>
      <c r="J762" t="str">
        <f>TEXT(Table8[[#This Row],[visit_Date]],"DDDD")</f>
        <v>Wednesday</v>
      </c>
      <c r="K762" t="str">
        <f>TEXT(Table8[[#This Row],[visit_Date]],"mmmm")</f>
        <v>January</v>
      </c>
      <c r="L762" t="str">
        <f t="shared" si="23"/>
        <v>Winter</v>
      </c>
    </row>
    <row r="763" spans="1:12" x14ac:dyDescent="0.25">
      <c r="A763">
        <v>762</v>
      </c>
      <c r="B763">
        <v>1002</v>
      </c>
      <c r="C763">
        <v>1098</v>
      </c>
      <c r="D763" s="1">
        <v>45777</v>
      </c>
      <c r="E763" t="s">
        <v>319</v>
      </c>
      <c r="F763" t="s">
        <v>320</v>
      </c>
      <c r="G763" t="str">
        <f>_xlfn.XLOOKUP(TRIM(E764),MedicineInfo!A:A,MedicineInfo!B:B,"Not Found")</f>
        <v>Diclofenac</v>
      </c>
      <c r="H763" s="1" cm="1">
        <f t="array" ref="H763">_xlfn.IFS(
OR(E763="Type 2 Diabetes",E763="Essential Hypertension",E763="Angina Pectoris",E763="Bronchial Asthma",E763="Cardiac Arrhythmia"), D763+30,
OR(E763="Gastritis",E763="Osteoarthritis",E763="Bronchitis",E763="Iron Deficiency Anemia"), D763+14,
OR(E763="Lumbar Strain",E763="Migraine Headache"), D763+7,
OR(E763="Viral Fever",E763="General Checkup","Routine Health Check"), "",
TRUE,""
)</f>
        <v>45807</v>
      </c>
      <c r="I763" s="1" t="str">
        <f t="shared" si="22"/>
        <v>Follow-up Scheduled</v>
      </c>
      <c r="J763" t="str">
        <f>TEXT(Table8[[#This Row],[visit_Date]],"DDDD")</f>
        <v>Wednesday</v>
      </c>
      <c r="K763" t="str">
        <f>TEXT(Table8[[#This Row],[visit_Date]],"mmmm")</f>
        <v>April</v>
      </c>
      <c r="L763" t="str">
        <f t="shared" si="23"/>
        <v>Summer</v>
      </c>
    </row>
    <row r="764" spans="1:12" x14ac:dyDescent="0.25">
      <c r="A764">
        <v>763</v>
      </c>
      <c r="B764">
        <v>1027</v>
      </c>
      <c r="C764">
        <v>728</v>
      </c>
      <c r="D764" s="1">
        <v>45777</v>
      </c>
      <c r="E764" t="s">
        <v>313</v>
      </c>
      <c r="F764" t="s">
        <v>314</v>
      </c>
      <c r="G764" t="str">
        <f>_xlfn.XLOOKUP(TRIM(E765),MedicineInfo!A:A,MedicineInfo!B:B,"Not Found")</f>
        <v>Multivitamin</v>
      </c>
      <c r="H764" s="1" cm="1">
        <f t="array" ref="H764">_xlfn.IFS(
OR(E764="Type 2 Diabetes",E764="Essential Hypertension",E764="Angina Pectoris",E764="Bronchial Asthma",E764="Cardiac Arrhythmia"), D764+30,
OR(E764="Gastritis",E764="Osteoarthritis",E764="Bronchitis",E764="Iron Deficiency Anemia"), D764+14,
OR(E764="Lumbar Strain",E764="Migraine Headache"), D764+7,
OR(E764="Viral Fever",E764="General Checkup","Routine Health Check"), "",
TRUE,""
)</f>
        <v>45784</v>
      </c>
      <c r="I764" s="1" t="str">
        <f t="shared" si="22"/>
        <v>Follow-up Scheduled</v>
      </c>
      <c r="J764" t="str">
        <f>TEXT(Table8[[#This Row],[visit_Date]],"DDDD")</f>
        <v>Wednesday</v>
      </c>
      <c r="K764" t="str">
        <f>TEXT(Table8[[#This Row],[visit_Date]],"mmmm")</f>
        <v>April</v>
      </c>
      <c r="L764" t="str">
        <f t="shared" si="23"/>
        <v>Summer</v>
      </c>
    </row>
    <row r="765" spans="1:12" x14ac:dyDescent="0.25">
      <c r="A765">
        <v>764</v>
      </c>
      <c r="B765">
        <v>1027</v>
      </c>
      <c r="C765">
        <v>422</v>
      </c>
      <c r="D765" s="1">
        <v>45709</v>
      </c>
      <c r="E765" t="s">
        <v>24</v>
      </c>
      <c r="F765" t="s">
        <v>321</v>
      </c>
      <c r="G765" t="str">
        <f>_xlfn.XLOOKUP(TRIM(E766),MedicineInfo!A:A,MedicineInfo!B:B,"Not Found")</f>
        <v>Multivitamin</v>
      </c>
      <c r="H765" s="1" t="str" cm="1">
        <f t="array" ref="H765">_xlfn.IFS(
OR(E765="Type 2 Diabetes",E765="Essential Hypertension",E765="Angina Pectoris",E765="Bronchial Asthma",E765="Cardiac Arrhythmia"), D765+30,
OR(E765="Gastritis",E765="Osteoarthritis",E765="Bronchitis",E765="Iron Deficiency Anemia"), D765+14,
OR(E765="Lumbar Strain",E765="Migraine Headache"), D765+7,
OR(E765="Viral Fever",E765="General Checkup","Routine Health Check"), "",
TRUE,""
)</f>
        <v/>
      </c>
      <c r="I765" s="1" t="str">
        <f t="shared" si="22"/>
        <v>No Follow-up Required</v>
      </c>
      <c r="J765" t="str">
        <f>TEXT(Table8[[#This Row],[visit_Date]],"DDDD")</f>
        <v>Friday</v>
      </c>
      <c r="K765" t="str">
        <f>TEXT(Table8[[#This Row],[visit_Date]],"mmmm")</f>
        <v>February</v>
      </c>
      <c r="L765" t="str">
        <f t="shared" si="23"/>
        <v>Winter</v>
      </c>
    </row>
    <row r="766" spans="1:12" x14ac:dyDescent="0.25">
      <c r="A766">
        <v>765</v>
      </c>
      <c r="B766">
        <v>1027</v>
      </c>
      <c r="C766">
        <v>674</v>
      </c>
      <c r="D766" s="1">
        <v>45747</v>
      </c>
      <c r="E766" t="s">
        <v>24</v>
      </c>
      <c r="F766" t="s">
        <v>321</v>
      </c>
      <c r="G766" t="str">
        <f>_xlfn.XLOOKUP(TRIM(E767),MedicineInfo!A:A,MedicineInfo!B:B,"Not Found")</f>
        <v>Metformin</v>
      </c>
      <c r="H766" s="1" t="str" cm="1">
        <f t="array" ref="H766">_xlfn.IFS(
OR(E766="Type 2 Diabetes",E766="Essential Hypertension",E766="Angina Pectoris",E766="Bronchial Asthma",E766="Cardiac Arrhythmia"), D766+30,
OR(E766="Gastritis",E766="Osteoarthritis",E766="Bronchitis",E766="Iron Deficiency Anemia"), D766+14,
OR(E766="Lumbar Strain",E766="Migraine Headache"), D766+7,
OR(E766="Viral Fever",E766="General Checkup","Routine Health Check"), "",
TRUE,""
)</f>
        <v/>
      </c>
      <c r="I766" s="1" t="str">
        <f t="shared" si="22"/>
        <v>No Follow-up Required</v>
      </c>
      <c r="J766" t="str">
        <f>TEXT(Table8[[#This Row],[visit_Date]],"DDDD")</f>
        <v>Monday</v>
      </c>
      <c r="K766" t="str">
        <f>TEXT(Table8[[#This Row],[visit_Date]],"mmmm")</f>
        <v>March</v>
      </c>
      <c r="L766" t="str">
        <f t="shared" si="23"/>
        <v>Summer</v>
      </c>
    </row>
    <row r="767" spans="1:12" x14ac:dyDescent="0.25">
      <c r="A767">
        <v>766</v>
      </c>
      <c r="B767">
        <v>1024</v>
      </c>
      <c r="C767">
        <v>1266</v>
      </c>
      <c r="D767" s="1">
        <v>45783</v>
      </c>
      <c r="E767" t="s">
        <v>317</v>
      </c>
      <c r="F767" t="s">
        <v>318</v>
      </c>
      <c r="G767" t="str">
        <f>_xlfn.XLOOKUP(TRIM(E768),MedicineInfo!A:A,MedicineInfo!B:B,"Not Found")</f>
        <v>Multivitamin</v>
      </c>
      <c r="H767" s="1" cm="1">
        <f t="array" ref="H767">_xlfn.IFS(
OR(E767="Type 2 Diabetes",E767="Essential Hypertension",E767="Angina Pectoris",E767="Bronchial Asthma",E767="Cardiac Arrhythmia"), D767+30,
OR(E767="Gastritis",E767="Osteoarthritis",E767="Bronchitis",E767="Iron Deficiency Anemia"), D767+14,
OR(E767="Lumbar Strain",E767="Migraine Headache"), D767+7,
OR(E767="Viral Fever",E767="General Checkup","Routine Health Check"), "",
TRUE,""
)</f>
        <v>45813</v>
      </c>
      <c r="I767" s="1" t="str">
        <f t="shared" si="22"/>
        <v>Follow-up Scheduled</v>
      </c>
      <c r="J767" t="str">
        <f>TEXT(Table8[[#This Row],[visit_Date]],"DDDD")</f>
        <v>Tuesday</v>
      </c>
      <c r="K767" t="str">
        <f>TEXT(Table8[[#This Row],[visit_Date]],"mmmm")</f>
        <v>May</v>
      </c>
      <c r="L767" t="str">
        <f t="shared" si="23"/>
        <v>Summer</v>
      </c>
    </row>
    <row r="768" spans="1:12" x14ac:dyDescent="0.25">
      <c r="A768">
        <v>767</v>
      </c>
      <c r="B768">
        <v>1027</v>
      </c>
      <c r="C768">
        <v>611</v>
      </c>
      <c r="D768" s="1">
        <v>45791</v>
      </c>
      <c r="E768" t="s">
        <v>24</v>
      </c>
      <c r="F768" t="s">
        <v>321</v>
      </c>
      <c r="G768" t="str">
        <f>_xlfn.XLOOKUP(TRIM(E769),MedicineInfo!A:A,MedicineInfo!B:B,"Not Found")</f>
        <v>Multivitamin</v>
      </c>
      <c r="H768" s="1" t="str" cm="1">
        <f t="array" ref="H768">_xlfn.IFS(
OR(E768="Type 2 Diabetes",E768="Essential Hypertension",E768="Angina Pectoris",E768="Bronchial Asthma",E768="Cardiac Arrhythmia"), D768+30,
OR(E768="Gastritis",E768="Osteoarthritis",E768="Bronchitis",E768="Iron Deficiency Anemia"), D768+14,
OR(E768="Lumbar Strain",E768="Migraine Headache"), D768+7,
OR(E768="Viral Fever",E768="General Checkup","Routine Health Check"), "",
TRUE,""
)</f>
        <v/>
      </c>
      <c r="I768" s="1" t="str">
        <f t="shared" si="22"/>
        <v>No Follow-up Required</v>
      </c>
      <c r="J768" t="str">
        <f>TEXT(Table8[[#This Row],[visit_Date]],"DDDD")</f>
        <v>Wednesday</v>
      </c>
      <c r="K768" t="str">
        <f>TEXT(Table8[[#This Row],[visit_Date]],"mmmm")</f>
        <v>May</v>
      </c>
      <c r="L768" t="str">
        <f t="shared" si="23"/>
        <v>Summer</v>
      </c>
    </row>
    <row r="769" spans="1:12" x14ac:dyDescent="0.25">
      <c r="A769">
        <v>768</v>
      </c>
      <c r="B769">
        <v>1027</v>
      </c>
      <c r="C769">
        <v>1192</v>
      </c>
      <c r="D769" s="1">
        <v>45767</v>
      </c>
      <c r="E769" t="s">
        <v>24</v>
      </c>
      <c r="F769" t="s">
        <v>321</v>
      </c>
      <c r="G769" t="str">
        <f>_xlfn.XLOOKUP(TRIM(E770),MedicineInfo!A:A,MedicineInfo!B:B,"Not Found")</f>
        <v>Salbutamol Inhaler</v>
      </c>
      <c r="H769" s="1" t="str" cm="1">
        <f t="array" ref="H769">_xlfn.IFS(
OR(E769="Type 2 Diabetes",E769="Essential Hypertension",E769="Angina Pectoris",E769="Bronchial Asthma",E769="Cardiac Arrhythmia"), D769+30,
OR(E769="Gastritis",E769="Osteoarthritis",E769="Bronchitis",E769="Iron Deficiency Anemia"), D769+14,
OR(E769="Lumbar Strain",E769="Migraine Headache"), D769+7,
OR(E769="Viral Fever",E769="General Checkup","Routine Health Check"), "",
TRUE,""
)</f>
        <v/>
      </c>
      <c r="I769" s="1" t="str">
        <f t="shared" si="22"/>
        <v>No Follow-up Required</v>
      </c>
      <c r="J769" t="str">
        <f>TEXT(Table8[[#This Row],[visit_Date]],"DDDD")</f>
        <v>Sunday</v>
      </c>
      <c r="K769" t="str">
        <f>TEXT(Table8[[#This Row],[visit_Date]],"mmmm")</f>
        <v>April</v>
      </c>
      <c r="L769" t="str">
        <f t="shared" si="23"/>
        <v>Summer</v>
      </c>
    </row>
    <row r="770" spans="1:12" x14ac:dyDescent="0.25">
      <c r="A770">
        <v>769</v>
      </c>
      <c r="B770">
        <v>1020</v>
      </c>
      <c r="C770">
        <v>1056</v>
      </c>
      <c r="D770" s="1">
        <v>45853</v>
      </c>
      <c r="E770" t="s">
        <v>324</v>
      </c>
      <c r="F770" t="s">
        <v>325</v>
      </c>
      <c r="G770" t="str">
        <f>_xlfn.XLOOKUP(TRIM(E771),MedicineInfo!A:A,MedicineInfo!B:B,"Not Found")</f>
        <v>Sumatriptan</v>
      </c>
      <c r="H770" s="1" cm="1">
        <f t="array" ref="H770">_xlfn.IFS(
OR(E770="Type 2 Diabetes",E770="Essential Hypertension",E770="Angina Pectoris",E770="Bronchial Asthma",E770="Cardiac Arrhythmia"), D770+30,
OR(E770="Gastritis",E770="Osteoarthritis",E770="Bronchitis",E770="Iron Deficiency Anemia"), D770+14,
OR(E770="Lumbar Strain",E770="Migraine Headache"), D770+7,
OR(E770="Viral Fever",E770="General Checkup","Routine Health Check"), "",
TRUE,""
)</f>
        <v>45883</v>
      </c>
      <c r="I770" s="1" t="str">
        <f t="shared" ref="I770:I833" si="24">IF(H770="","No Follow-up Required","Follow-up Scheduled")</f>
        <v>Follow-up Scheduled</v>
      </c>
      <c r="J770" t="str">
        <f>TEXT(Table8[[#This Row],[visit_Date]],"DDDD")</f>
        <v>Tuesday</v>
      </c>
      <c r="K770" t="str">
        <f>TEXT(Table8[[#This Row],[visit_Date]],"mmmm")</f>
        <v>July</v>
      </c>
      <c r="L770" t="str">
        <f t="shared" ref="L770:L833" si="25">IF(OR(MONTH(D770)=12,MONTH(D770)&lt;=2),"Winter",
IF(MONTH(D770)&lt;=5,"Summer","Monsoon"))</f>
        <v>Monsoon</v>
      </c>
    </row>
    <row r="771" spans="1:12" x14ac:dyDescent="0.25">
      <c r="A771">
        <v>770</v>
      </c>
      <c r="B771">
        <v>1009</v>
      </c>
      <c r="C771">
        <v>279</v>
      </c>
      <c r="D771" s="1">
        <v>45790</v>
      </c>
      <c r="E771" t="s">
        <v>315</v>
      </c>
      <c r="F771" t="s">
        <v>316</v>
      </c>
      <c r="G771" t="str">
        <f>_xlfn.XLOOKUP(TRIM(E772),MedicineInfo!A:A,MedicineInfo!B:B,"Not Found")</f>
        <v>Multivitamin</v>
      </c>
      <c r="H771" s="1" cm="1">
        <f t="array" ref="H771">_xlfn.IFS(
OR(E771="Type 2 Diabetes",E771="Essential Hypertension",E771="Angina Pectoris",E771="Bronchial Asthma",E771="Cardiac Arrhythmia"), D771+30,
OR(E771="Gastritis",E771="Osteoarthritis",E771="Bronchitis",E771="Iron Deficiency Anemia"), D771+14,
OR(E771="Lumbar Strain",E771="Migraine Headache"), D771+7,
OR(E771="Viral Fever",E771="General Checkup","Routine Health Check"), "",
TRUE,""
)</f>
        <v>45797</v>
      </c>
      <c r="I771" s="1" t="str">
        <f t="shared" si="24"/>
        <v>Follow-up Scheduled</v>
      </c>
      <c r="J771" t="str">
        <f>TEXT(Table8[[#This Row],[visit_Date]],"DDDD")</f>
        <v>Tuesday</v>
      </c>
      <c r="K771" t="str">
        <f>TEXT(Table8[[#This Row],[visit_Date]],"mmmm")</f>
        <v>May</v>
      </c>
      <c r="L771" t="str">
        <f t="shared" si="25"/>
        <v>Summer</v>
      </c>
    </row>
    <row r="772" spans="1:12" x14ac:dyDescent="0.25">
      <c r="A772">
        <v>771</v>
      </c>
      <c r="B772">
        <v>1027</v>
      </c>
      <c r="C772">
        <v>1123</v>
      </c>
      <c r="D772" s="1">
        <v>45853</v>
      </c>
      <c r="E772" t="s">
        <v>24</v>
      </c>
      <c r="F772" t="s">
        <v>321</v>
      </c>
      <c r="G772" t="str">
        <f>_xlfn.XLOOKUP(TRIM(E773),MedicineInfo!A:A,MedicineInfo!B:B,"Not Found")</f>
        <v>Metformin</v>
      </c>
      <c r="H772" s="1" t="str" cm="1">
        <f t="array" ref="H772">_xlfn.IFS(
OR(E772="Type 2 Diabetes",E772="Essential Hypertension",E772="Angina Pectoris",E772="Bronchial Asthma",E772="Cardiac Arrhythmia"), D772+30,
OR(E772="Gastritis",E772="Osteoarthritis",E772="Bronchitis",E772="Iron Deficiency Anemia"), D772+14,
OR(E772="Lumbar Strain",E772="Migraine Headache"), D772+7,
OR(E772="Viral Fever",E772="General Checkup","Routine Health Check"), "",
TRUE,""
)</f>
        <v/>
      </c>
      <c r="I772" s="1" t="str">
        <f t="shared" si="24"/>
        <v>No Follow-up Required</v>
      </c>
      <c r="J772" t="str">
        <f>TEXT(Table8[[#This Row],[visit_Date]],"DDDD")</f>
        <v>Tuesday</v>
      </c>
      <c r="K772" t="str">
        <f>TEXT(Table8[[#This Row],[visit_Date]],"mmmm")</f>
        <v>July</v>
      </c>
      <c r="L772" t="str">
        <f t="shared" si="25"/>
        <v>Monsoon</v>
      </c>
    </row>
    <row r="773" spans="1:12" x14ac:dyDescent="0.25">
      <c r="A773">
        <v>772</v>
      </c>
      <c r="B773">
        <v>1024</v>
      </c>
      <c r="C773">
        <v>1125</v>
      </c>
      <c r="D773" s="1">
        <v>45694</v>
      </c>
      <c r="E773" t="s">
        <v>317</v>
      </c>
      <c r="F773" t="s">
        <v>318</v>
      </c>
      <c r="G773" t="str">
        <f>_xlfn.XLOOKUP(TRIM(E774),MedicineInfo!A:A,MedicineInfo!B:B,"Not Found")</f>
        <v>Multivitamin</v>
      </c>
      <c r="H773" s="1" cm="1">
        <f t="array" ref="H773">_xlfn.IFS(
OR(E773="Type 2 Diabetes",E773="Essential Hypertension",E773="Angina Pectoris",E773="Bronchial Asthma",E773="Cardiac Arrhythmia"), D773+30,
OR(E773="Gastritis",E773="Osteoarthritis",E773="Bronchitis",E773="Iron Deficiency Anemia"), D773+14,
OR(E773="Lumbar Strain",E773="Migraine Headache"), D773+7,
OR(E773="Viral Fever",E773="General Checkup","Routine Health Check"), "",
TRUE,""
)</f>
        <v>45724</v>
      </c>
      <c r="I773" s="1" t="str">
        <f t="shared" si="24"/>
        <v>Follow-up Scheduled</v>
      </c>
      <c r="J773" t="str">
        <f>TEXT(Table8[[#This Row],[visit_Date]],"DDDD")</f>
        <v>Thursday</v>
      </c>
      <c r="K773" t="str">
        <f>TEXT(Table8[[#This Row],[visit_Date]],"mmmm")</f>
        <v>February</v>
      </c>
      <c r="L773" t="str">
        <f t="shared" si="25"/>
        <v>Winter</v>
      </c>
    </row>
    <row r="774" spans="1:12" x14ac:dyDescent="0.25">
      <c r="A774">
        <v>773</v>
      </c>
      <c r="B774">
        <v>1027</v>
      </c>
      <c r="C774">
        <v>497</v>
      </c>
      <c r="D774" s="1">
        <v>45669</v>
      </c>
      <c r="E774" t="s">
        <v>24</v>
      </c>
      <c r="F774" t="s">
        <v>321</v>
      </c>
      <c r="G774" t="str">
        <f>_xlfn.XLOOKUP(TRIM(E775),MedicineInfo!A:A,MedicineInfo!B:B,"Not Found")</f>
        <v>Multivitamin</v>
      </c>
      <c r="H774" s="1" t="str" cm="1">
        <f t="array" ref="H774">_xlfn.IFS(
OR(E774="Type 2 Diabetes",E774="Essential Hypertension",E774="Angina Pectoris",E774="Bronchial Asthma",E774="Cardiac Arrhythmia"), D774+30,
OR(E774="Gastritis",E774="Osteoarthritis",E774="Bronchitis",E774="Iron Deficiency Anemia"), D774+14,
OR(E774="Lumbar Strain",E774="Migraine Headache"), D774+7,
OR(E774="Viral Fever",E774="General Checkup","Routine Health Check"), "",
TRUE,""
)</f>
        <v/>
      </c>
      <c r="I774" s="1" t="str">
        <f t="shared" si="24"/>
        <v>No Follow-up Required</v>
      </c>
      <c r="J774" t="str">
        <f>TEXT(Table8[[#This Row],[visit_Date]],"DDDD")</f>
        <v>Sunday</v>
      </c>
      <c r="K774" t="str">
        <f>TEXT(Table8[[#This Row],[visit_Date]],"mmmm")</f>
        <v>January</v>
      </c>
      <c r="L774" t="str">
        <f t="shared" si="25"/>
        <v>Winter</v>
      </c>
    </row>
    <row r="775" spans="1:12" x14ac:dyDescent="0.25">
      <c r="A775">
        <v>774</v>
      </c>
      <c r="B775">
        <v>1027</v>
      </c>
      <c r="C775">
        <v>754</v>
      </c>
      <c r="D775" s="1">
        <v>45684</v>
      </c>
      <c r="E775" t="s">
        <v>24</v>
      </c>
      <c r="F775" t="s">
        <v>321</v>
      </c>
      <c r="G775" t="str">
        <f>_xlfn.XLOOKUP(TRIM(E776),MedicineInfo!A:A,MedicineInfo!B:B,"Not Found")</f>
        <v>Diclofenac</v>
      </c>
      <c r="H775" s="1" t="str" cm="1">
        <f t="array" ref="H775">_xlfn.IFS(
OR(E775="Type 2 Diabetes",E775="Essential Hypertension",E775="Angina Pectoris",E775="Bronchial Asthma",E775="Cardiac Arrhythmia"), D775+30,
OR(E775="Gastritis",E775="Osteoarthritis",E775="Bronchitis",E775="Iron Deficiency Anemia"), D775+14,
OR(E775="Lumbar Strain",E775="Migraine Headache"), D775+7,
OR(E775="Viral Fever",E775="General Checkup","Routine Health Check"), "",
TRUE,""
)</f>
        <v/>
      </c>
      <c r="I775" s="1" t="str">
        <f t="shared" si="24"/>
        <v>No Follow-up Required</v>
      </c>
      <c r="J775" t="str">
        <f>TEXT(Table8[[#This Row],[visit_Date]],"DDDD")</f>
        <v>Monday</v>
      </c>
      <c r="K775" t="str">
        <f>TEXT(Table8[[#This Row],[visit_Date]],"mmmm")</f>
        <v>January</v>
      </c>
      <c r="L775" t="str">
        <f t="shared" si="25"/>
        <v>Winter</v>
      </c>
    </row>
    <row r="776" spans="1:12" x14ac:dyDescent="0.25">
      <c r="A776">
        <v>775</v>
      </c>
      <c r="B776">
        <v>1027</v>
      </c>
      <c r="C776">
        <v>806</v>
      </c>
      <c r="D776" s="1">
        <v>45786</v>
      </c>
      <c r="E776" t="s">
        <v>313</v>
      </c>
      <c r="F776" t="s">
        <v>314</v>
      </c>
      <c r="G776" t="str">
        <f>_xlfn.XLOOKUP(TRIM(E777),MedicineInfo!A:A,MedicineInfo!B:B,"Not Found")</f>
        <v>Paracetamol</v>
      </c>
      <c r="H776" s="1" cm="1">
        <f t="array" ref="H776">_xlfn.IFS(
OR(E776="Type 2 Diabetes",E776="Essential Hypertension",E776="Angina Pectoris",E776="Bronchial Asthma",E776="Cardiac Arrhythmia"), D776+30,
OR(E776="Gastritis",E776="Osteoarthritis",E776="Bronchitis",E776="Iron Deficiency Anemia"), D776+14,
OR(E776="Lumbar Strain",E776="Migraine Headache"), D776+7,
OR(E776="Viral Fever",E776="General Checkup","Routine Health Check"), "",
TRUE,""
)</f>
        <v>45793</v>
      </c>
      <c r="I776" s="1" t="str">
        <f t="shared" si="24"/>
        <v>Follow-up Scheduled</v>
      </c>
      <c r="J776" t="str">
        <f>TEXT(Table8[[#This Row],[visit_Date]],"DDDD")</f>
        <v>Friday</v>
      </c>
      <c r="K776" t="str">
        <f>TEXT(Table8[[#This Row],[visit_Date]],"mmmm")</f>
        <v>May</v>
      </c>
      <c r="L776" t="str">
        <f t="shared" si="25"/>
        <v>Summer</v>
      </c>
    </row>
    <row r="777" spans="1:12" x14ac:dyDescent="0.25">
      <c r="A777">
        <v>776</v>
      </c>
      <c r="B777">
        <v>1027</v>
      </c>
      <c r="C777">
        <v>101</v>
      </c>
      <c r="D777" s="1">
        <v>45686</v>
      </c>
      <c r="E777" t="s">
        <v>326</v>
      </c>
      <c r="F777" t="s">
        <v>327</v>
      </c>
      <c r="G777" t="str">
        <f>_xlfn.XLOOKUP(TRIM(E778),MedicineInfo!A:A,MedicineInfo!B:B,"Not Found")</f>
        <v>Salbutamol Inhaler</v>
      </c>
      <c r="H777" s="1" t="str" cm="1">
        <f t="array" ref="H777">_xlfn.IFS(
OR(E777="Type 2 Diabetes",E777="Essential Hypertension",E777="Angina Pectoris",E777="Bronchial Asthma",E777="Cardiac Arrhythmia"), D777+30,
OR(E777="Gastritis",E777="Osteoarthritis",E777="Bronchitis",E777="Iron Deficiency Anemia"), D777+14,
OR(E777="Lumbar Strain",E777="Migraine Headache"), D777+7,
OR(E777="Viral Fever",E777="General Checkup","Routine Health Check"), "",
TRUE,""
)</f>
        <v/>
      </c>
      <c r="I777" s="1" t="str">
        <f t="shared" si="24"/>
        <v>No Follow-up Required</v>
      </c>
      <c r="J777" t="str">
        <f>TEXT(Table8[[#This Row],[visit_Date]],"DDDD")</f>
        <v>Wednesday</v>
      </c>
      <c r="K777" t="str">
        <f>TEXT(Table8[[#This Row],[visit_Date]],"mmmm")</f>
        <v>January</v>
      </c>
      <c r="L777" t="str">
        <f t="shared" si="25"/>
        <v>Winter</v>
      </c>
    </row>
    <row r="778" spans="1:12" x14ac:dyDescent="0.25">
      <c r="A778">
        <v>777</v>
      </c>
      <c r="B778">
        <v>1020</v>
      </c>
      <c r="C778">
        <v>667</v>
      </c>
      <c r="D778" s="1">
        <v>45792</v>
      </c>
      <c r="E778" t="s">
        <v>324</v>
      </c>
      <c r="F778" t="s">
        <v>325</v>
      </c>
      <c r="G778" t="str">
        <f>_xlfn.XLOOKUP(TRIM(E779),MedicineInfo!A:A,MedicineInfo!B:B,"Not Found")</f>
        <v>Multivitamin</v>
      </c>
      <c r="H778" s="1" cm="1">
        <f t="array" ref="H778">_xlfn.IFS(
OR(E778="Type 2 Diabetes",E778="Essential Hypertension",E778="Angina Pectoris",E778="Bronchial Asthma",E778="Cardiac Arrhythmia"), D778+30,
OR(E778="Gastritis",E778="Osteoarthritis",E778="Bronchitis",E778="Iron Deficiency Anemia"), D778+14,
OR(E778="Lumbar Strain",E778="Migraine Headache"), D778+7,
OR(E778="Viral Fever",E778="General Checkup","Routine Health Check"), "",
TRUE,""
)</f>
        <v>45822</v>
      </c>
      <c r="I778" s="1" t="str">
        <f t="shared" si="24"/>
        <v>Follow-up Scheduled</v>
      </c>
      <c r="J778" t="str">
        <f>TEXT(Table8[[#This Row],[visit_Date]],"DDDD")</f>
        <v>Thursday</v>
      </c>
      <c r="K778" t="str">
        <f>TEXT(Table8[[#This Row],[visit_Date]],"mmmm")</f>
        <v>May</v>
      </c>
      <c r="L778" t="str">
        <f t="shared" si="25"/>
        <v>Summer</v>
      </c>
    </row>
    <row r="779" spans="1:12" x14ac:dyDescent="0.25">
      <c r="A779">
        <v>778</v>
      </c>
      <c r="B779">
        <v>1027</v>
      </c>
      <c r="C779">
        <v>430</v>
      </c>
      <c r="D779" s="1">
        <v>45791</v>
      </c>
      <c r="E779" t="s">
        <v>24</v>
      </c>
      <c r="F779" t="s">
        <v>321</v>
      </c>
      <c r="G779" t="str">
        <f>_xlfn.XLOOKUP(TRIM(E780),MedicineInfo!A:A,MedicineInfo!B:B,"Not Found")</f>
        <v>Metformin</v>
      </c>
      <c r="H779" s="1" t="str" cm="1">
        <f t="array" ref="H779">_xlfn.IFS(
OR(E779="Type 2 Diabetes",E779="Essential Hypertension",E779="Angina Pectoris",E779="Bronchial Asthma",E779="Cardiac Arrhythmia"), D779+30,
OR(E779="Gastritis",E779="Osteoarthritis",E779="Bronchitis",E779="Iron Deficiency Anemia"), D779+14,
OR(E779="Lumbar Strain",E779="Migraine Headache"), D779+7,
OR(E779="Viral Fever",E779="General Checkup","Routine Health Check"), "",
TRUE,""
)</f>
        <v/>
      </c>
      <c r="I779" s="1" t="str">
        <f t="shared" si="24"/>
        <v>No Follow-up Required</v>
      </c>
      <c r="J779" t="str">
        <f>TEXT(Table8[[#This Row],[visit_Date]],"DDDD")</f>
        <v>Wednesday</v>
      </c>
      <c r="K779" t="str">
        <f>TEXT(Table8[[#This Row],[visit_Date]],"mmmm")</f>
        <v>May</v>
      </c>
      <c r="L779" t="str">
        <f t="shared" si="25"/>
        <v>Summer</v>
      </c>
    </row>
    <row r="780" spans="1:12" x14ac:dyDescent="0.25">
      <c r="A780">
        <v>779</v>
      </c>
      <c r="B780">
        <v>1024</v>
      </c>
      <c r="C780">
        <v>1496</v>
      </c>
      <c r="D780" s="1">
        <v>45669</v>
      </c>
      <c r="E780" t="s">
        <v>317</v>
      </c>
      <c r="F780" t="s">
        <v>318</v>
      </c>
      <c r="G780" t="str">
        <f>_xlfn.XLOOKUP(TRIM(E781),MedicineInfo!A:A,MedicineInfo!B:B,"Not Found")</f>
        <v>Nitroglycerin</v>
      </c>
      <c r="H780" s="1" cm="1">
        <f t="array" ref="H780">_xlfn.IFS(
OR(E780="Type 2 Diabetes",E780="Essential Hypertension",E780="Angina Pectoris",E780="Bronchial Asthma",E780="Cardiac Arrhythmia"), D780+30,
OR(E780="Gastritis",E780="Osteoarthritis",E780="Bronchitis",E780="Iron Deficiency Anemia"), D780+14,
OR(E780="Lumbar Strain",E780="Migraine Headache"), D780+7,
OR(E780="Viral Fever",E780="General Checkup","Routine Health Check"), "",
TRUE,""
)</f>
        <v>45699</v>
      </c>
      <c r="I780" s="1" t="str">
        <f t="shared" si="24"/>
        <v>Follow-up Scheduled</v>
      </c>
      <c r="J780" t="str">
        <f>TEXT(Table8[[#This Row],[visit_Date]],"DDDD")</f>
        <v>Sunday</v>
      </c>
      <c r="K780" t="str">
        <f>TEXT(Table8[[#This Row],[visit_Date]],"mmmm")</f>
        <v>January</v>
      </c>
      <c r="L780" t="str">
        <f t="shared" si="25"/>
        <v>Winter</v>
      </c>
    </row>
    <row r="781" spans="1:12" x14ac:dyDescent="0.25">
      <c r="A781">
        <v>780</v>
      </c>
      <c r="B781">
        <v>1001</v>
      </c>
      <c r="C781">
        <v>918</v>
      </c>
      <c r="D781" s="1">
        <v>45738</v>
      </c>
      <c r="E781" t="s">
        <v>322</v>
      </c>
      <c r="F781" t="s">
        <v>323</v>
      </c>
      <c r="G781" t="str">
        <f>_xlfn.XLOOKUP(TRIM(E782),MedicineInfo!A:A,MedicineInfo!B:B,"Not Found")</f>
        <v>Paracetamol</v>
      </c>
      <c r="H781" s="1" cm="1">
        <f t="array" ref="H781">_xlfn.IFS(
OR(E781="Type 2 Diabetes",E781="Essential Hypertension",E781="Angina Pectoris",E781="Bronchial Asthma",E781="Cardiac Arrhythmia"), D781+30,
OR(E781="Gastritis",E781="Osteoarthritis",E781="Bronchitis",E781="Iron Deficiency Anemia"), D781+14,
OR(E781="Lumbar Strain",E781="Migraine Headache"), D781+7,
OR(E781="Viral Fever",E781="General Checkup","Routine Health Check"), "",
TRUE,""
)</f>
        <v>45768</v>
      </c>
      <c r="I781" s="1" t="str">
        <f t="shared" si="24"/>
        <v>Follow-up Scheduled</v>
      </c>
      <c r="J781" t="str">
        <f>TEXT(Table8[[#This Row],[visit_Date]],"DDDD")</f>
        <v>Saturday</v>
      </c>
      <c r="K781" t="str">
        <f>TEXT(Table8[[#This Row],[visit_Date]],"mmmm")</f>
        <v>March</v>
      </c>
      <c r="L781" t="str">
        <f t="shared" si="25"/>
        <v>Summer</v>
      </c>
    </row>
    <row r="782" spans="1:12" x14ac:dyDescent="0.25">
      <c r="A782">
        <v>781</v>
      </c>
      <c r="B782">
        <v>1027</v>
      </c>
      <c r="C782">
        <v>1530</v>
      </c>
      <c r="D782" s="1">
        <v>45672</v>
      </c>
      <c r="E782" t="s">
        <v>326</v>
      </c>
      <c r="F782" t="s">
        <v>327</v>
      </c>
      <c r="G782" t="str">
        <f>_xlfn.XLOOKUP(TRIM(E783),MedicineInfo!A:A,MedicineInfo!B:B,"Not Found")</f>
        <v>Sumatriptan</v>
      </c>
      <c r="H782" s="1" t="str" cm="1">
        <f t="array" ref="H782">_xlfn.IFS(
OR(E782="Type 2 Diabetes",E782="Essential Hypertension",E782="Angina Pectoris",E782="Bronchial Asthma",E782="Cardiac Arrhythmia"), D782+30,
OR(E782="Gastritis",E782="Osteoarthritis",E782="Bronchitis",E782="Iron Deficiency Anemia"), D782+14,
OR(E782="Lumbar Strain",E782="Migraine Headache"), D782+7,
OR(E782="Viral Fever",E782="General Checkup","Routine Health Check"), "",
TRUE,""
)</f>
        <v/>
      </c>
      <c r="I782" s="1" t="str">
        <f t="shared" si="24"/>
        <v>No Follow-up Required</v>
      </c>
      <c r="J782" t="str">
        <f>TEXT(Table8[[#This Row],[visit_Date]],"DDDD")</f>
        <v>Wednesday</v>
      </c>
      <c r="K782" t="str">
        <f>TEXT(Table8[[#This Row],[visit_Date]],"mmmm")</f>
        <v>January</v>
      </c>
      <c r="L782" t="str">
        <f t="shared" si="25"/>
        <v>Winter</v>
      </c>
    </row>
    <row r="783" spans="1:12" x14ac:dyDescent="0.25">
      <c r="A783">
        <v>782</v>
      </c>
      <c r="B783">
        <v>1009</v>
      </c>
      <c r="C783">
        <v>720</v>
      </c>
      <c r="D783" s="1">
        <v>45695</v>
      </c>
      <c r="E783" t="s">
        <v>315</v>
      </c>
      <c r="F783" t="s">
        <v>316</v>
      </c>
      <c r="G783" t="str">
        <f>_xlfn.XLOOKUP(TRIM(E784),MedicineInfo!A:A,MedicineInfo!B:B,"Not Found")</f>
        <v>Multivitamin</v>
      </c>
      <c r="H783" s="1" cm="1">
        <f t="array" ref="H783">_xlfn.IFS(
OR(E783="Type 2 Diabetes",E783="Essential Hypertension",E783="Angina Pectoris",E783="Bronchial Asthma",E783="Cardiac Arrhythmia"), D783+30,
OR(E783="Gastritis",E783="Osteoarthritis",E783="Bronchitis",E783="Iron Deficiency Anemia"), D783+14,
OR(E783="Lumbar Strain",E783="Migraine Headache"), D783+7,
OR(E783="Viral Fever",E783="General Checkup","Routine Health Check"), "",
TRUE,""
)</f>
        <v>45702</v>
      </c>
      <c r="I783" s="1" t="str">
        <f t="shared" si="24"/>
        <v>Follow-up Scheduled</v>
      </c>
      <c r="J783" t="str">
        <f>TEXT(Table8[[#This Row],[visit_Date]],"DDDD")</f>
        <v>Friday</v>
      </c>
      <c r="K783" t="str">
        <f>TEXT(Table8[[#This Row],[visit_Date]],"mmmm")</f>
        <v>February</v>
      </c>
      <c r="L783" t="str">
        <f t="shared" si="25"/>
        <v>Winter</v>
      </c>
    </row>
    <row r="784" spans="1:12" x14ac:dyDescent="0.25">
      <c r="A784">
        <v>783</v>
      </c>
      <c r="B784">
        <v>1027</v>
      </c>
      <c r="C784">
        <v>544</v>
      </c>
      <c r="D784" s="1">
        <v>45736</v>
      </c>
      <c r="E784" t="s">
        <v>24</v>
      </c>
      <c r="F784" t="s">
        <v>321</v>
      </c>
      <c r="G784" t="str">
        <f>_xlfn.XLOOKUP(TRIM(E785),MedicineInfo!A:A,MedicineInfo!B:B,"Not Found")</f>
        <v>Metformin</v>
      </c>
      <c r="H784" s="1" t="str" cm="1">
        <f t="array" ref="H784">_xlfn.IFS(
OR(E784="Type 2 Diabetes",E784="Essential Hypertension",E784="Angina Pectoris",E784="Bronchial Asthma",E784="Cardiac Arrhythmia"), D784+30,
OR(E784="Gastritis",E784="Osteoarthritis",E784="Bronchitis",E784="Iron Deficiency Anemia"), D784+14,
OR(E784="Lumbar Strain",E784="Migraine Headache"), D784+7,
OR(E784="Viral Fever",E784="General Checkup","Routine Health Check"), "",
TRUE,""
)</f>
        <v/>
      </c>
      <c r="I784" s="1" t="str">
        <f t="shared" si="24"/>
        <v>No Follow-up Required</v>
      </c>
      <c r="J784" t="str">
        <f>TEXT(Table8[[#This Row],[visit_Date]],"DDDD")</f>
        <v>Thursday</v>
      </c>
      <c r="K784" t="str">
        <f>TEXT(Table8[[#This Row],[visit_Date]],"mmmm")</f>
        <v>March</v>
      </c>
      <c r="L784" t="str">
        <f t="shared" si="25"/>
        <v>Summer</v>
      </c>
    </row>
    <row r="785" spans="1:12" x14ac:dyDescent="0.25">
      <c r="A785">
        <v>784</v>
      </c>
      <c r="B785">
        <v>1024</v>
      </c>
      <c r="C785">
        <v>269</v>
      </c>
      <c r="D785" s="1">
        <v>45729</v>
      </c>
      <c r="E785" t="s">
        <v>317</v>
      </c>
      <c r="F785" t="s">
        <v>318</v>
      </c>
      <c r="G785" t="str">
        <f>_xlfn.XLOOKUP(TRIM(E786),MedicineInfo!A:A,MedicineInfo!B:B,"Not Found")</f>
        <v>Sumatriptan</v>
      </c>
      <c r="H785" s="1" cm="1">
        <f t="array" ref="H785">_xlfn.IFS(
OR(E785="Type 2 Diabetes",E785="Essential Hypertension",E785="Angina Pectoris",E785="Bronchial Asthma",E785="Cardiac Arrhythmia"), D785+30,
OR(E785="Gastritis",E785="Osteoarthritis",E785="Bronchitis",E785="Iron Deficiency Anemia"), D785+14,
OR(E785="Lumbar Strain",E785="Migraine Headache"), D785+7,
OR(E785="Viral Fever",E785="General Checkup","Routine Health Check"), "",
TRUE,""
)</f>
        <v>45759</v>
      </c>
      <c r="I785" s="1" t="str">
        <f t="shared" si="24"/>
        <v>Follow-up Scheduled</v>
      </c>
      <c r="J785" t="str">
        <f>TEXT(Table8[[#This Row],[visit_Date]],"DDDD")</f>
        <v>Thursday</v>
      </c>
      <c r="K785" t="str">
        <f>TEXT(Table8[[#This Row],[visit_Date]],"mmmm")</f>
        <v>March</v>
      </c>
      <c r="L785" t="str">
        <f t="shared" si="25"/>
        <v>Summer</v>
      </c>
    </row>
    <row r="786" spans="1:12" x14ac:dyDescent="0.25">
      <c r="A786">
        <v>785</v>
      </c>
      <c r="B786">
        <v>1008</v>
      </c>
      <c r="C786">
        <v>1062</v>
      </c>
      <c r="D786" s="1">
        <v>45814</v>
      </c>
      <c r="E786" t="s">
        <v>315</v>
      </c>
      <c r="F786" t="s">
        <v>316</v>
      </c>
      <c r="G786" t="str">
        <f>_xlfn.XLOOKUP(TRIM(E787),MedicineInfo!A:A,MedicineInfo!B:B,"Not Found")</f>
        <v>Multivitamin</v>
      </c>
      <c r="H786" s="1" cm="1">
        <f t="array" ref="H786">_xlfn.IFS(
OR(E786="Type 2 Diabetes",E786="Essential Hypertension",E786="Angina Pectoris",E786="Bronchial Asthma",E786="Cardiac Arrhythmia"), D786+30,
OR(E786="Gastritis",E786="Osteoarthritis",E786="Bronchitis",E786="Iron Deficiency Anemia"), D786+14,
OR(E786="Lumbar Strain",E786="Migraine Headache"), D786+7,
OR(E786="Viral Fever",E786="General Checkup","Routine Health Check"), "",
TRUE,""
)</f>
        <v>45821</v>
      </c>
      <c r="I786" s="1" t="str">
        <f t="shared" si="24"/>
        <v>Follow-up Scheduled</v>
      </c>
      <c r="J786" t="str">
        <f>TEXT(Table8[[#This Row],[visit_Date]],"DDDD")</f>
        <v>Friday</v>
      </c>
      <c r="K786" t="str">
        <f>TEXT(Table8[[#This Row],[visit_Date]],"mmmm")</f>
        <v>June</v>
      </c>
      <c r="L786" t="str">
        <f t="shared" si="25"/>
        <v>Monsoon</v>
      </c>
    </row>
    <row r="787" spans="1:12" x14ac:dyDescent="0.25">
      <c r="A787">
        <v>786</v>
      </c>
      <c r="B787">
        <v>1027</v>
      </c>
      <c r="C787">
        <v>1230</v>
      </c>
      <c r="D787" s="1">
        <v>45783</v>
      </c>
      <c r="E787" t="s">
        <v>24</v>
      </c>
      <c r="F787" t="s">
        <v>321</v>
      </c>
      <c r="G787" t="str">
        <f>_xlfn.XLOOKUP(TRIM(E788),MedicineInfo!A:A,MedicineInfo!B:B,"Not Found")</f>
        <v>Paracetamol</v>
      </c>
      <c r="H787" s="1" t="str" cm="1">
        <f t="array" ref="H787">_xlfn.IFS(
OR(E787="Type 2 Diabetes",E787="Essential Hypertension",E787="Angina Pectoris",E787="Bronchial Asthma",E787="Cardiac Arrhythmia"), D787+30,
OR(E787="Gastritis",E787="Osteoarthritis",E787="Bronchitis",E787="Iron Deficiency Anemia"), D787+14,
OR(E787="Lumbar Strain",E787="Migraine Headache"), D787+7,
OR(E787="Viral Fever",E787="General Checkup","Routine Health Check"), "",
TRUE,""
)</f>
        <v/>
      </c>
      <c r="I787" s="1" t="str">
        <f t="shared" si="24"/>
        <v>No Follow-up Required</v>
      </c>
      <c r="J787" t="str">
        <f>TEXT(Table8[[#This Row],[visit_Date]],"DDDD")</f>
        <v>Tuesday</v>
      </c>
      <c r="K787" t="str">
        <f>TEXT(Table8[[#This Row],[visit_Date]],"mmmm")</f>
        <v>May</v>
      </c>
      <c r="L787" t="str">
        <f t="shared" si="25"/>
        <v>Summer</v>
      </c>
    </row>
    <row r="788" spans="1:12" x14ac:dyDescent="0.25">
      <c r="A788">
        <v>787</v>
      </c>
      <c r="B788">
        <v>1027</v>
      </c>
      <c r="C788">
        <v>1293</v>
      </c>
      <c r="D788" s="1">
        <v>45853</v>
      </c>
      <c r="E788" t="s">
        <v>326</v>
      </c>
      <c r="F788" t="s">
        <v>327</v>
      </c>
      <c r="G788" t="str">
        <f>_xlfn.XLOOKUP(TRIM(E789),MedicineInfo!A:A,MedicineInfo!B:B,"Not Found")</f>
        <v>Metformin</v>
      </c>
      <c r="H788" s="1" t="str" cm="1">
        <f t="array" ref="H788">_xlfn.IFS(
OR(E788="Type 2 Diabetes",E788="Essential Hypertension",E788="Angina Pectoris",E788="Bronchial Asthma",E788="Cardiac Arrhythmia"), D788+30,
OR(E788="Gastritis",E788="Osteoarthritis",E788="Bronchitis",E788="Iron Deficiency Anemia"), D788+14,
OR(E788="Lumbar Strain",E788="Migraine Headache"), D788+7,
OR(E788="Viral Fever",E788="General Checkup","Routine Health Check"), "",
TRUE,""
)</f>
        <v/>
      </c>
      <c r="I788" s="1" t="str">
        <f t="shared" si="24"/>
        <v>No Follow-up Required</v>
      </c>
      <c r="J788" t="str">
        <f>TEXT(Table8[[#This Row],[visit_Date]],"DDDD")</f>
        <v>Tuesday</v>
      </c>
      <c r="K788" t="str">
        <f>TEXT(Table8[[#This Row],[visit_Date]],"mmmm")</f>
        <v>July</v>
      </c>
      <c r="L788" t="str">
        <f t="shared" si="25"/>
        <v>Monsoon</v>
      </c>
    </row>
    <row r="789" spans="1:12" x14ac:dyDescent="0.25">
      <c r="A789">
        <v>788</v>
      </c>
      <c r="B789">
        <v>1024</v>
      </c>
      <c r="C789">
        <v>1416</v>
      </c>
      <c r="D789" s="1">
        <v>45796</v>
      </c>
      <c r="E789" t="s">
        <v>317</v>
      </c>
      <c r="F789" t="s">
        <v>318</v>
      </c>
      <c r="G789" t="str">
        <f>_xlfn.XLOOKUP(TRIM(E790),MedicineInfo!A:A,MedicineInfo!B:B,"Not Found")</f>
        <v>Paracetamol</v>
      </c>
      <c r="H789" s="1" cm="1">
        <f t="array" ref="H789">_xlfn.IFS(
OR(E789="Type 2 Diabetes",E789="Essential Hypertension",E789="Angina Pectoris",E789="Bronchial Asthma",E789="Cardiac Arrhythmia"), D789+30,
OR(E789="Gastritis",E789="Osteoarthritis",E789="Bronchitis",E789="Iron Deficiency Anemia"), D789+14,
OR(E789="Lumbar Strain",E789="Migraine Headache"), D789+7,
OR(E789="Viral Fever",E789="General Checkup","Routine Health Check"), "",
TRUE,""
)</f>
        <v>45826</v>
      </c>
      <c r="I789" s="1" t="str">
        <f t="shared" si="24"/>
        <v>Follow-up Scheduled</v>
      </c>
      <c r="J789" t="str">
        <f>TEXT(Table8[[#This Row],[visit_Date]],"DDDD")</f>
        <v>Monday</v>
      </c>
      <c r="K789" t="str">
        <f>TEXT(Table8[[#This Row],[visit_Date]],"mmmm")</f>
        <v>May</v>
      </c>
      <c r="L789" t="str">
        <f t="shared" si="25"/>
        <v>Summer</v>
      </c>
    </row>
    <row r="790" spans="1:12" x14ac:dyDescent="0.25">
      <c r="A790">
        <v>789</v>
      </c>
      <c r="B790">
        <v>1027</v>
      </c>
      <c r="C790">
        <v>785</v>
      </c>
      <c r="D790" s="1">
        <v>45792</v>
      </c>
      <c r="E790" t="s">
        <v>326</v>
      </c>
      <c r="F790" t="s">
        <v>327</v>
      </c>
      <c r="G790" t="str">
        <f>_xlfn.XLOOKUP(TRIM(E791),MedicineInfo!A:A,MedicineInfo!B:B,"Not Found")</f>
        <v>Amlodipine</v>
      </c>
      <c r="H790" s="1" t="str" cm="1">
        <f t="array" ref="H790">_xlfn.IFS(
OR(E790="Type 2 Diabetes",E790="Essential Hypertension",E790="Angina Pectoris",E790="Bronchial Asthma",E790="Cardiac Arrhythmia"), D790+30,
OR(E790="Gastritis",E790="Osteoarthritis",E790="Bronchitis",E790="Iron Deficiency Anemia"), D790+14,
OR(E790="Lumbar Strain",E790="Migraine Headache"), D790+7,
OR(E790="Viral Fever",E790="General Checkup","Routine Health Check"), "",
TRUE,""
)</f>
        <v/>
      </c>
      <c r="I790" s="1" t="str">
        <f t="shared" si="24"/>
        <v>No Follow-up Required</v>
      </c>
      <c r="J790" t="str">
        <f>TEXT(Table8[[#This Row],[visit_Date]],"DDDD")</f>
        <v>Thursday</v>
      </c>
      <c r="K790" t="str">
        <f>TEXT(Table8[[#This Row],[visit_Date]],"mmmm")</f>
        <v>May</v>
      </c>
      <c r="L790" t="str">
        <f t="shared" si="25"/>
        <v>Summer</v>
      </c>
    </row>
    <row r="791" spans="1:12" x14ac:dyDescent="0.25">
      <c r="A791">
        <v>790</v>
      </c>
      <c r="B791">
        <v>1004</v>
      </c>
      <c r="C791">
        <v>479</v>
      </c>
      <c r="D791" s="1">
        <v>45790</v>
      </c>
      <c r="E791" t="s">
        <v>319</v>
      </c>
      <c r="F791" t="s">
        <v>320</v>
      </c>
      <c r="G791" t="str">
        <f>_xlfn.XLOOKUP(TRIM(E792),MedicineInfo!A:A,MedicineInfo!B:B,"Not Found")</f>
        <v>Amlodipine</v>
      </c>
      <c r="H791" s="1" cm="1">
        <f t="array" ref="H791">_xlfn.IFS(
OR(E791="Type 2 Diabetes",E791="Essential Hypertension",E791="Angina Pectoris",E791="Bronchial Asthma",E791="Cardiac Arrhythmia"), D791+30,
OR(E791="Gastritis",E791="Osteoarthritis",E791="Bronchitis",E791="Iron Deficiency Anemia"), D791+14,
OR(E791="Lumbar Strain",E791="Migraine Headache"), D791+7,
OR(E791="Viral Fever",E791="General Checkup","Routine Health Check"), "",
TRUE,""
)</f>
        <v>45820</v>
      </c>
      <c r="I791" s="1" t="str">
        <f t="shared" si="24"/>
        <v>Follow-up Scheduled</v>
      </c>
      <c r="J791" t="str">
        <f>TEXT(Table8[[#This Row],[visit_Date]],"DDDD")</f>
        <v>Tuesday</v>
      </c>
      <c r="K791" t="str">
        <f>TEXT(Table8[[#This Row],[visit_Date]],"mmmm")</f>
        <v>May</v>
      </c>
      <c r="L791" t="str">
        <f t="shared" si="25"/>
        <v>Summer</v>
      </c>
    </row>
    <row r="792" spans="1:12" x14ac:dyDescent="0.25">
      <c r="A792">
        <v>791</v>
      </c>
      <c r="B792">
        <v>1004</v>
      </c>
      <c r="C792">
        <v>1458</v>
      </c>
      <c r="D792" s="1">
        <v>45777</v>
      </c>
      <c r="E792" t="s">
        <v>319</v>
      </c>
      <c r="F792" t="s">
        <v>320</v>
      </c>
      <c r="G792" t="str">
        <f>_xlfn.XLOOKUP(TRIM(E793),MedicineInfo!A:A,MedicineInfo!B:B,"Not Found")</f>
        <v>Salbutamol Inhaler</v>
      </c>
      <c r="H792" s="1" cm="1">
        <f t="array" ref="H792">_xlfn.IFS(
OR(E792="Type 2 Diabetes",E792="Essential Hypertension",E792="Angina Pectoris",E792="Bronchial Asthma",E792="Cardiac Arrhythmia"), D792+30,
OR(E792="Gastritis",E792="Osteoarthritis",E792="Bronchitis",E792="Iron Deficiency Anemia"), D792+14,
OR(E792="Lumbar Strain",E792="Migraine Headache"), D792+7,
OR(E792="Viral Fever",E792="General Checkup","Routine Health Check"), "",
TRUE,""
)</f>
        <v>45807</v>
      </c>
      <c r="I792" s="1" t="str">
        <f t="shared" si="24"/>
        <v>Follow-up Scheduled</v>
      </c>
      <c r="J792" t="str">
        <f>TEXT(Table8[[#This Row],[visit_Date]],"DDDD")</f>
        <v>Wednesday</v>
      </c>
      <c r="K792" t="str">
        <f>TEXT(Table8[[#This Row],[visit_Date]],"mmmm")</f>
        <v>April</v>
      </c>
      <c r="L792" t="str">
        <f t="shared" si="25"/>
        <v>Summer</v>
      </c>
    </row>
    <row r="793" spans="1:12" x14ac:dyDescent="0.25">
      <c r="A793">
        <v>792</v>
      </c>
      <c r="B793">
        <v>1020</v>
      </c>
      <c r="C793">
        <v>1468</v>
      </c>
      <c r="D793" s="1">
        <v>45790</v>
      </c>
      <c r="E793" t="s">
        <v>324</v>
      </c>
      <c r="F793" t="s">
        <v>325</v>
      </c>
      <c r="G793" t="str">
        <f>_xlfn.XLOOKUP(TRIM(E794),MedicineInfo!A:A,MedicineInfo!B:B,"Not Found")</f>
        <v>Sumatriptan</v>
      </c>
      <c r="H793" s="1" cm="1">
        <f t="array" ref="H793">_xlfn.IFS(
OR(E793="Type 2 Diabetes",E793="Essential Hypertension",E793="Angina Pectoris",E793="Bronchial Asthma",E793="Cardiac Arrhythmia"), D793+30,
OR(E793="Gastritis",E793="Osteoarthritis",E793="Bronchitis",E793="Iron Deficiency Anemia"), D793+14,
OR(E793="Lumbar Strain",E793="Migraine Headache"), D793+7,
OR(E793="Viral Fever",E793="General Checkup","Routine Health Check"), "",
TRUE,""
)</f>
        <v>45820</v>
      </c>
      <c r="I793" s="1" t="str">
        <f t="shared" si="24"/>
        <v>Follow-up Scheduled</v>
      </c>
      <c r="J793" t="str">
        <f>TEXT(Table8[[#This Row],[visit_Date]],"DDDD")</f>
        <v>Tuesday</v>
      </c>
      <c r="K793" t="str">
        <f>TEXT(Table8[[#This Row],[visit_Date]],"mmmm")</f>
        <v>May</v>
      </c>
      <c r="L793" t="str">
        <f t="shared" si="25"/>
        <v>Summer</v>
      </c>
    </row>
    <row r="794" spans="1:12" x14ac:dyDescent="0.25">
      <c r="A794">
        <v>793</v>
      </c>
      <c r="B794">
        <v>1009</v>
      </c>
      <c r="C794">
        <v>207</v>
      </c>
      <c r="D794" s="1">
        <v>45768</v>
      </c>
      <c r="E794" t="s">
        <v>315</v>
      </c>
      <c r="F794" t="s">
        <v>316</v>
      </c>
      <c r="G794" t="str">
        <f>_xlfn.XLOOKUP(TRIM(E795),MedicineInfo!A:A,MedicineInfo!B:B,"Not Found")</f>
        <v>Diclofenac</v>
      </c>
      <c r="H794" s="1" cm="1">
        <f t="array" ref="H794">_xlfn.IFS(
OR(E794="Type 2 Diabetes",E794="Essential Hypertension",E794="Angina Pectoris",E794="Bronchial Asthma",E794="Cardiac Arrhythmia"), D794+30,
OR(E794="Gastritis",E794="Osteoarthritis",E794="Bronchitis",E794="Iron Deficiency Anemia"), D794+14,
OR(E794="Lumbar Strain",E794="Migraine Headache"), D794+7,
OR(E794="Viral Fever",E794="General Checkup","Routine Health Check"), "",
TRUE,""
)</f>
        <v>45775</v>
      </c>
      <c r="I794" s="1" t="str">
        <f t="shared" si="24"/>
        <v>Follow-up Scheduled</v>
      </c>
      <c r="J794" t="str">
        <f>TEXT(Table8[[#This Row],[visit_Date]],"DDDD")</f>
        <v>Monday</v>
      </c>
      <c r="K794" t="str">
        <f>TEXT(Table8[[#This Row],[visit_Date]],"mmmm")</f>
        <v>April</v>
      </c>
      <c r="L794" t="str">
        <f t="shared" si="25"/>
        <v>Summer</v>
      </c>
    </row>
    <row r="795" spans="1:12" x14ac:dyDescent="0.25">
      <c r="A795">
        <v>794</v>
      </c>
      <c r="B795">
        <v>1027</v>
      </c>
      <c r="C795">
        <v>330</v>
      </c>
      <c r="D795" s="1">
        <v>45722</v>
      </c>
      <c r="E795" t="s">
        <v>313</v>
      </c>
      <c r="F795" t="s">
        <v>314</v>
      </c>
      <c r="G795" t="str">
        <f>_xlfn.XLOOKUP(TRIM(E796),MedicineInfo!A:A,MedicineInfo!B:B,"Not Found")</f>
        <v>Multivitamin</v>
      </c>
      <c r="H795" s="1" cm="1">
        <f t="array" ref="H795">_xlfn.IFS(
OR(E795="Type 2 Diabetes",E795="Essential Hypertension",E795="Angina Pectoris",E795="Bronchial Asthma",E795="Cardiac Arrhythmia"), D795+30,
OR(E795="Gastritis",E795="Osteoarthritis",E795="Bronchitis",E795="Iron Deficiency Anemia"), D795+14,
OR(E795="Lumbar Strain",E795="Migraine Headache"), D795+7,
OR(E795="Viral Fever",E795="General Checkup","Routine Health Check"), "",
TRUE,""
)</f>
        <v>45729</v>
      </c>
      <c r="I795" s="1" t="str">
        <f t="shared" si="24"/>
        <v>Follow-up Scheduled</v>
      </c>
      <c r="J795" t="str">
        <f>TEXT(Table8[[#This Row],[visit_Date]],"DDDD")</f>
        <v>Thursday</v>
      </c>
      <c r="K795" t="str">
        <f>TEXT(Table8[[#This Row],[visit_Date]],"mmmm")</f>
        <v>March</v>
      </c>
      <c r="L795" t="str">
        <f t="shared" si="25"/>
        <v>Summer</v>
      </c>
    </row>
    <row r="796" spans="1:12" x14ac:dyDescent="0.25">
      <c r="A796">
        <v>795</v>
      </c>
      <c r="B796">
        <v>1027</v>
      </c>
      <c r="C796">
        <v>456</v>
      </c>
      <c r="D796" s="1">
        <v>45771</v>
      </c>
      <c r="E796" t="s">
        <v>24</v>
      </c>
      <c r="F796" t="s">
        <v>321</v>
      </c>
      <c r="G796" t="str">
        <f>_xlfn.XLOOKUP(TRIM(E797),MedicineInfo!A:A,MedicineInfo!B:B,"Not Found")</f>
        <v>Metformin</v>
      </c>
      <c r="H796" s="1" t="str" cm="1">
        <f t="array" ref="H796">_xlfn.IFS(
OR(E796="Type 2 Diabetes",E796="Essential Hypertension",E796="Angina Pectoris",E796="Bronchial Asthma",E796="Cardiac Arrhythmia"), D796+30,
OR(E796="Gastritis",E796="Osteoarthritis",E796="Bronchitis",E796="Iron Deficiency Anemia"), D796+14,
OR(E796="Lumbar Strain",E796="Migraine Headache"), D796+7,
OR(E796="Viral Fever",E796="General Checkup","Routine Health Check"), "",
TRUE,""
)</f>
        <v/>
      </c>
      <c r="I796" s="1" t="str">
        <f t="shared" si="24"/>
        <v>No Follow-up Required</v>
      </c>
      <c r="J796" t="str">
        <f>TEXT(Table8[[#This Row],[visit_Date]],"DDDD")</f>
        <v>Thursday</v>
      </c>
      <c r="K796" t="str">
        <f>TEXT(Table8[[#This Row],[visit_Date]],"mmmm")</f>
        <v>April</v>
      </c>
      <c r="L796" t="str">
        <f t="shared" si="25"/>
        <v>Summer</v>
      </c>
    </row>
    <row r="797" spans="1:12" x14ac:dyDescent="0.25">
      <c r="A797">
        <v>796</v>
      </c>
      <c r="B797">
        <v>1024</v>
      </c>
      <c r="C797">
        <v>1430</v>
      </c>
      <c r="D797" s="1">
        <v>45783</v>
      </c>
      <c r="E797" t="s">
        <v>317</v>
      </c>
      <c r="F797" t="s">
        <v>318</v>
      </c>
      <c r="G797" t="str">
        <f>_xlfn.XLOOKUP(TRIM(E798),MedicineInfo!A:A,MedicineInfo!B:B,"Not Found")</f>
        <v>Salbutamol Inhaler</v>
      </c>
      <c r="H797" s="1" cm="1">
        <f t="array" ref="H797">_xlfn.IFS(
OR(E797="Type 2 Diabetes",E797="Essential Hypertension",E797="Angina Pectoris",E797="Bronchial Asthma",E797="Cardiac Arrhythmia"), D797+30,
OR(E797="Gastritis",E797="Osteoarthritis",E797="Bronchitis",E797="Iron Deficiency Anemia"), D797+14,
OR(E797="Lumbar Strain",E797="Migraine Headache"), D797+7,
OR(E797="Viral Fever",E797="General Checkup","Routine Health Check"), "",
TRUE,""
)</f>
        <v>45813</v>
      </c>
      <c r="I797" s="1" t="str">
        <f t="shared" si="24"/>
        <v>Follow-up Scheduled</v>
      </c>
      <c r="J797" t="str">
        <f>TEXT(Table8[[#This Row],[visit_Date]],"DDDD")</f>
        <v>Tuesday</v>
      </c>
      <c r="K797" t="str">
        <f>TEXT(Table8[[#This Row],[visit_Date]],"mmmm")</f>
        <v>May</v>
      </c>
      <c r="L797" t="str">
        <f t="shared" si="25"/>
        <v>Summer</v>
      </c>
    </row>
    <row r="798" spans="1:12" x14ac:dyDescent="0.25">
      <c r="A798">
        <v>797</v>
      </c>
      <c r="B798">
        <v>1020</v>
      </c>
      <c r="C798">
        <v>1420</v>
      </c>
      <c r="D798" s="1">
        <v>45791</v>
      </c>
      <c r="E798" t="s">
        <v>324</v>
      </c>
      <c r="F798" t="s">
        <v>325</v>
      </c>
      <c r="G798" t="str">
        <f>_xlfn.XLOOKUP(TRIM(E799),MedicineInfo!A:A,MedicineInfo!B:B,"Not Found")</f>
        <v>Metformin</v>
      </c>
      <c r="H798" s="1" cm="1">
        <f t="array" ref="H798">_xlfn.IFS(
OR(E798="Type 2 Diabetes",E798="Essential Hypertension",E798="Angina Pectoris",E798="Bronchial Asthma",E798="Cardiac Arrhythmia"), D798+30,
OR(E798="Gastritis",E798="Osteoarthritis",E798="Bronchitis",E798="Iron Deficiency Anemia"), D798+14,
OR(E798="Lumbar Strain",E798="Migraine Headache"), D798+7,
OR(E798="Viral Fever",E798="General Checkup","Routine Health Check"), "",
TRUE,""
)</f>
        <v>45821</v>
      </c>
      <c r="I798" s="1" t="str">
        <f t="shared" si="24"/>
        <v>Follow-up Scheduled</v>
      </c>
      <c r="J798" t="str">
        <f>TEXT(Table8[[#This Row],[visit_Date]],"DDDD")</f>
        <v>Wednesday</v>
      </c>
      <c r="K798" t="str">
        <f>TEXT(Table8[[#This Row],[visit_Date]],"mmmm")</f>
        <v>May</v>
      </c>
      <c r="L798" t="str">
        <f t="shared" si="25"/>
        <v>Summer</v>
      </c>
    </row>
    <row r="799" spans="1:12" x14ac:dyDescent="0.25">
      <c r="A799">
        <v>798</v>
      </c>
      <c r="B799">
        <v>1024</v>
      </c>
      <c r="C799">
        <v>585</v>
      </c>
      <c r="D799" s="1">
        <v>45725</v>
      </c>
      <c r="E799" t="s">
        <v>317</v>
      </c>
      <c r="F799" t="s">
        <v>318</v>
      </c>
      <c r="G799" t="str">
        <f>_xlfn.XLOOKUP(TRIM(E800),MedicineInfo!A:A,MedicineInfo!B:B,"Not Found")</f>
        <v>Amlodipine</v>
      </c>
      <c r="H799" s="1" cm="1">
        <f t="array" ref="H799">_xlfn.IFS(
OR(E799="Type 2 Diabetes",E799="Essential Hypertension",E799="Angina Pectoris",E799="Bronchial Asthma",E799="Cardiac Arrhythmia"), D799+30,
OR(E799="Gastritis",E799="Osteoarthritis",E799="Bronchitis",E799="Iron Deficiency Anemia"), D799+14,
OR(E799="Lumbar Strain",E799="Migraine Headache"), D799+7,
OR(E799="Viral Fever",E799="General Checkup","Routine Health Check"), "",
TRUE,""
)</f>
        <v>45755</v>
      </c>
      <c r="I799" s="1" t="str">
        <f t="shared" si="24"/>
        <v>Follow-up Scheduled</v>
      </c>
      <c r="J799" t="str">
        <f>TEXT(Table8[[#This Row],[visit_Date]],"DDDD")</f>
        <v>Sunday</v>
      </c>
      <c r="K799" t="str">
        <f>TEXT(Table8[[#This Row],[visit_Date]],"mmmm")</f>
        <v>March</v>
      </c>
      <c r="L799" t="str">
        <f t="shared" si="25"/>
        <v>Summer</v>
      </c>
    </row>
    <row r="800" spans="1:12" x14ac:dyDescent="0.25">
      <c r="A800">
        <v>799</v>
      </c>
      <c r="B800">
        <v>1002</v>
      </c>
      <c r="C800">
        <v>1076</v>
      </c>
      <c r="D800" s="1">
        <v>45799</v>
      </c>
      <c r="E800" t="s">
        <v>319</v>
      </c>
      <c r="F800" t="s">
        <v>320</v>
      </c>
      <c r="G800" t="str">
        <f>_xlfn.XLOOKUP(TRIM(E801),MedicineInfo!A:A,MedicineInfo!B:B,"Not Found")</f>
        <v>Metformin</v>
      </c>
      <c r="H800" s="1" cm="1">
        <f t="array" ref="H800">_xlfn.IFS(
OR(E800="Type 2 Diabetes",E800="Essential Hypertension",E800="Angina Pectoris",E800="Bronchial Asthma",E800="Cardiac Arrhythmia"), D800+30,
OR(E800="Gastritis",E800="Osteoarthritis",E800="Bronchitis",E800="Iron Deficiency Anemia"), D800+14,
OR(E800="Lumbar Strain",E800="Migraine Headache"), D800+7,
OR(E800="Viral Fever",E800="General Checkup","Routine Health Check"), "",
TRUE,""
)</f>
        <v>45829</v>
      </c>
      <c r="I800" s="1" t="str">
        <f t="shared" si="24"/>
        <v>Follow-up Scheduled</v>
      </c>
      <c r="J800" t="str">
        <f>TEXT(Table8[[#This Row],[visit_Date]],"DDDD")</f>
        <v>Thursday</v>
      </c>
      <c r="K800" t="str">
        <f>TEXT(Table8[[#This Row],[visit_Date]],"mmmm")</f>
        <v>May</v>
      </c>
      <c r="L800" t="str">
        <f t="shared" si="25"/>
        <v>Summer</v>
      </c>
    </row>
    <row r="801" spans="1:12" x14ac:dyDescent="0.25">
      <c r="A801">
        <v>800</v>
      </c>
      <c r="B801">
        <v>1024</v>
      </c>
      <c r="C801">
        <v>1043</v>
      </c>
      <c r="D801" s="1">
        <v>45767</v>
      </c>
      <c r="E801" t="s">
        <v>317</v>
      </c>
      <c r="F801" t="s">
        <v>318</v>
      </c>
      <c r="G801" t="str">
        <f>_xlfn.XLOOKUP(TRIM(E802),MedicineInfo!A:A,MedicineInfo!B:B,"Not Found")</f>
        <v>Paracetamol</v>
      </c>
      <c r="H801" s="1" cm="1">
        <f t="array" ref="H801">_xlfn.IFS(
OR(E801="Type 2 Diabetes",E801="Essential Hypertension",E801="Angina Pectoris",E801="Bronchial Asthma",E801="Cardiac Arrhythmia"), D801+30,
OR(E801="Gastritis",E801="Osteoarthritis",E801="Bronchitis",E801="Iron Deficiency Anemia"), D801+14,
OR(E801="Lumbar Strain",E801="Migraine Headache"), D801+7,
OR(E801="Viral Fever",E801="General Checkup","Routine Health Check"), "",
TRUE,""
)</f>
        <v>45797</v>
      </c>
      <c r="I801" s="1" t="str">
        <f t="shared" si="24"/>
        <v>Follow-up Scheduled</v>
      </c>
      <c r="J801" t="str">
        <f>TEXT(Table8[[#This Row],[visit_Date]],"DDDD")</f>
        <v>Sunday</v>
      </c>
      <c r="K801" t="str">
        <f>TEXT(Table8[[#This Row],[visit_Date]],"mmmm")</f>
        <v>April</v>
      </c>
      <c r="L801" t="str">
        <f t="shared" si="25"/>
        <v>Summer</v>
      </c>
    </row>
    <row r="802" spans="1:12" x14ac:dyDescent="0.25">
      <c r="A802">
        <v>801</v>
      </c>
      <c r="B802">
        <v>1027</v>
      </c>
      <c r="C802">
        <v>1203</v>
      </c>
      <c r="D802" s="1">
        <v>45852</v>
      </c>
      <c r="E802" t="s">
        <v>326</v>
      </c>
      <c r="F802" t="s">
        <v>327</v>
      </c>
      <c r="G802" t="str">
        <f>_xlfn.XLOOKUP(TRIM(E803),MedicineInfo!A:A,MedicineInfo!B:B,"Not Found")</f>
        <v>Salbutamol Inhaler</v>
      </c>
      <c r="H802" s="1" t="str" cm="1">
        <f t="array" ref="H802">_xlfn.IFS(
OR(E802="Type 2 Diabetes",E802="Essential Hypertension",E802="Angina Pectoris",E802="Bronchial Asthma",E802="Cardiac Arrhythmia"), D802+30,
OR(E802="Gastritis",E802="Osteoarthritis",E802="Bronchitis",E802="Iron Deficiency Anemia"), D802+14,
OR(E802="Lumbar Strain",E802="Migraine Headache"), D802+7,
OR(E802="Viral Fever",E802="General Checkup","Routine Health Check"), "",
TRUE,""
)</f>
        <v/>
      </c>
      <c r="I802" s="1" t="str">
        <f t="shared" si="24"/>
        <v>No Follow-up Required</v>
      </c>
      <c r="J802" t="str">
        <f>TEXT(Table8[[#This Row],[visit_Date]],"DDDD")</f>
        <v>Monday</v>
      </c>
      <c r="K802" t="str">
        <f>TEXT(Table8[[#This Row],[visit_Date]],"mmmm")</f>
        <v>July</v>
      </c>
      <c r="L802" t="str">
        <f t="shared" si="25"/>
        <v>Monsoon</v>
      </c>
    </row>
    <row r="803" spans="1:12" x14ac:dyDescent="0.25">
      <c r="A803">
        <v>802</v>
      </c>
      <c r="B803">
        <v>1020</v>
      </c>
      <c r="C803">
        <v>754</v>
      </c>
      <c r="D803" s="1">
        <v>45694</v>
      </c>
      <c r="E803" t="s">
        <v>324</v>
      </c>
      <c r="F803" t="s">
        <v>325</v>
      </c>
      <c r="G803" t="str">
        <f>_xlfn.XLOOKUP(TRIM(E804),MedicineInfo!A:A,MedicineInfo!B:B,"Not Found")</f>
        <v>Sumatriptan</v>
      </c>
      <c r="H803" s="1" cm="1">
        <f t="array" ref="H803">_xlfn.IFS(
OR(E803="Type 2 Diabetes",E803="Essential Hypertension",E803="Angina Pectoris",E803="Bronchial Asthma",E803="Cardiac Arrhythmia"), D803+30,
OR(E803="Gastritis",E803="Osteoarthritis",E803="Bronchitis",E803="Iron Deficiency Anemia"), D803+14,
OR(E803="Lumbar Strain",E803="Migraine Headache"), D803+7,
OR(E803="Viral Fever",E803="General Checkup","Routine Health Check"), "",
TRUE,""
)</f>
        <v>45724</v>
      </c>
      <c r="I803" s="1" t="str">
        <f t="shared" si="24"/>
        <v>Follow-up Scheduled</v>
      </c>
      <c r="J803" t="str">
        <f>TEXT(Table8[[#This Row],[visit_Date]],"DDDD")</f>
        <v>Thursday</v>
      </c>
      <c r="K803" t="str">
        <f>TEXT(Table8[[#This Row],[visit_Date]],"mmmm")</f>
        <v>February</v>
      </c>
      <c r="L803" t="str">
        <f t="shared" si="25"/>
        <v>Winter</v>
      </c>
    </row>
    <row r="804" spans="1:12" x14ac:dyDescent="0.25">
      <c r="A804">
        <v>803</v>
      </c>
      <c r="B804">
        <v>1008</v>
      </c>
      <c r="C804">
        <v>195</v>
      </c>
      <c r="D804" s="1">
        <v>45853</v>
      </c>
      <c r="E804" t="s">
        <v>315</v>
      </c>
      <c r="F804" t="s">
        <v>316</v>
      </c>
      <c r="G804" t="str">
        <f>_xlfn.XLOOKUP(TRIM(E805),MedicineInfo!A:A,MedicineInfo!B:B,"Not Found")</f>
        <v>Sumatriptan</v>
      </c>
      <c r="H804" s="1" cm="1">
        <f t="array" ref="H804">_xlfn.IFS(
OR(E804="Type 2 Diabetes",E804="Essential Hypertension",E804="Angina Pectoris",E804="Bronchial Asthma",E804="Cardiac Arrhythmia"), D804+30,
OR(E804="Gastritis",E804="Osteoarthritis",E804="Bronchitis",E804="Iron Deficiency Anemia"), D804+14,
OR(E804="Lumbar Strain",E804="Migraine Headache"), D804+7,
OR(E804="Viral Fever",E804="General Checkup","Routine Health Check"), "",
TRUE,""
)</f>
        <v>45860</v>
      </c>
      <c r="I804" s="1" t="str">
        <f t="shared" si="24"/>
        <v>Follow-up Scheduled</v>
      </c>
      <c r="J804" t="str">
        <f>TEXT(Table8[[#This Row],[visit_Date]],"DDDD")</f>
        <v>Tuesday</v>
      </c>
      <c r="K804" t="str">
        <f>TEXT(Table8[[#This Row],[visit_Date]],"mmmm")</f>
        <v>July</v>
      </c>
      <c r="L804" t="str">
        <f t="shared" si="25"/>
        <v>Monsoon</v>
      </c>
    </row>
    <row r="805" spans="1:12" x14ac:dyDescent="0.25">
      <c r="A805">
        <v>804</v>
      </c>
      <c r="B805">
        <v>1008</v>
      </c>
      <c r="C805">
        <v>137</v>
      </c>
      <c r="D805" s="1">
        <v>45853</v>
      </c>
      <c r="E805" t="s">
        <v>315</v>
      </c>
      <c r="F805" t="s">
        <v>316</v>
      </c>
      <c r="G805" t="str">
        <f>_xlfn.XLOOKUP(TRIM(E806),MedicineInfo!A:A,MedicineInfo!B:B,"Not Found")</f>
        <v>Multivitamin</v>
      </c>
      <c r="H805" s="1" cm="1">
        <f t="array" ref="H805">_xlfn.IFS(
OR(E805="Type 2 Diabetes",E805="Essential Hypertension",E805="Angina Pectoris",E805="Bronchial Asthma",E805="Cardiac Arrhythmia"), D805+30,
OR(E805="Gastritis",E805="Osteoarthritis",E805="Bronchitis",E805="Iron Deficiency Anemia"), D805+14,
OR(E805="Lumbar Strain",E805="Migraine Headache"), D805+7,
OR(E805="Viral Fever",E805="General Checkup","Routine Health Check"), "",
TRUE,""
)</f>
        <v>45860</v>
      </c>
      <c r="I805" s="1" t="str">
        <f t="shared" si="24"/>
        <v>Follow-up Scheduled</v>
      </c>
      <c r="J805" t="str">
        <f>TEXT(Table8[[#This Row],[visit_Date]],"DDDD")</f>
        <v>Tuesday</v>
      </c>
      <c r="K805" t="str">
        <f>TEXT(Table8[[#This Row],[visit_Date]],"mmmm")</f>
        <v>July</v>
      </c>
      <c r="L805" t="str">
        <f t="shared" si="25"/>
        <v>Monsoon</v>
      </c>
    </row>
    <row r="806" spans="1:12" x14ac:dyDescent="0.25">
      <c r="A806">
        <v>805</v>
      </c>
      <c r="B806">
        <v>1027</v>
      </c>
      <c r="C806">
        <v>849</v>
      </c>
      <c r="D806" s="1">
        <v>45788</v>
      </c>
      <c r="E806" t="s">
        <v>24</v>
      </c>
      <c r="F806" t="s">
        <v>321</v>
      </c>
      <c r="G806" t="str">
        <f>_xlfn.XLOOKUP(TRIM(E807),MedicineInfo!A:A,MedicineInfo!B:B,"Not Found")</f>
        <v>Multivitamin</v>
      </c>
      <c r="H806" s="1" t="str" cm="1">
        <f t="array" ref="H806">_xlfn.IFS(
OR(E806="Type 2 Diabetes",E806="Essential Hypertension",E806="Angina Pectoris",E806="Bronchial Asthma",E806="Cardiac Arrhythmia"), D806+30,
OR(E806="Gastritis",E806="Osteoarthritis",E806="Bronchitis",E806="Iron Deficiency Anemia"), D806+14,
OR(E806="Lumbar Strain",E806="Migraine Headache"), D806+7,
OR(E806="Viral Fever",E806="General Checkup","Routine Health Check"), "",
TRUE,""
)</f>
        <v/>
      </c>
      <c r="I806" s="1" t="str">
        <f t="shared" si="24"/>
        <v>No Follow-up Required</v>
      </c>
      <c r="J806" t="str">
        <f>TEXT(Table8[[#This Row],[visit_Date]],"DDDD")</f>
        <v>Sunday</v>
      </c>
      <c r="K806" t="str">
        <f>TEXT(Table8[[#This Row],[visit_Date]],"mmmm")</f>
        <v>May</v>
      </c>
      <c r="L806" t="str">
        <f t="shared" si="25"/>
        <v>Summer</v>
      </c>
    </row>
    <row r="807" spans="1:12" x14ac:dyDescent="0.25">
      <c r="A807">
        <v>806</v>
      </c>
      <c r="B807">
        <v>1027</v>
      </c>
      <c r="C807">
        <v>1466</v>
      </c>
      <c r="D807" s="1">
        <v>45857</v>
      </c>
      <c r="E807" t="s">
        <v>24</v>
      </c>
      <c r="F807" t="s">
        <v>321</v>
      </c>
      <c r="G807" t="str">
        <f>_xlfn.XLOOKUP(TRIM(E808),MedicineInfo!A:A,MedicineInfo!B:B,"Not Found")</f>
        <v>Amlodipine</v>
      </c>
      <c r="H807" s="1" t="str" cm="1">
        <f t="array" ref="H807">_xlfn.IFS(
OR(E807="Type 2 Diabetes",E807="Essential Hypertension",E807="Angina Pectoris",E807="Bronchial Asthma",E807="Cardiac Arrhythmia"), D807+30,
OR(E807="Gastritis",E807="Osteoarthritis",E807="Bronchitis",E807="Iron Deficiency Anemia"), D807+14,
OR(E807="Lumbar Strain",E807="Migraine Headache"), D807+7,
OR(E807="Viral Fever",E807="General Checkup","Routine Health Check"), "",
TRUE,""
)</f>
        <v/>
      </c>
      <c r="I807" s="1" t="str">
        <f t="shared" si="24"/>
        <v>No Follow-up Required</v>
      </c>
      <c r="J807" t="str">
        <f>TEXT(Table8[[#This Row],[visit_Date]],"DDDD")</f>
        <v>Saturday</v>
      </c>
      <c r="K807" t="str">
        <f>TEXT(Table8[[#This Row],[visit_Date]],"mmmm")</f>
        <v>July</v>
      </c>
      <c r="L807" t="str">
        <f t="shared" si="25"/>
        <v>Monsoon</v>
      </c>
    </row>
    <row r="808" spans="1:12" x14ac:dyDescent="0.25">
      <c r="A808">
        <v>807</v>
      </c>
      <c r="B808">
        <v>1001</v>
      </c>
      <c r="C808">
        <v>527</v>
      </c>
      <c r="D808" s="1">
        <v>45792</v>
      </c>
      <c r="E808" t="s">
        <v>319</v>
      </c>
      <c r="F808" t="s">
        <v>320</v>
      </c>
      <c r="G808" t="str">
        <f>_xlfn.XLOOKUP(TRIM(E809),MedicineInfo!A:A,MedicineInfo!B:B,"Not Found")</f>
        <v>Sumatriptan</v>
      </c>
      <c r="H808" s="1" cm="1">
        <f t="array" ref="H808">_xlfn.IFS(
OR(E808="Type 2 Diabetes",E808="Essential Hypertension",E808="Angina Pectoris",E808="Bronchial Asthma",E808="Cardiac Arrhythmia"), D808+30,
OR(E808="Gastritis",E808="Osteoarthritis",E808="Bronchitis",E808="Iron Deficiency Anemia"), D808+14,
OR(E808="Lumbar Strain",E808="Migraine Headache"), D808+7,
OR(E808="Viral Fever",E808="General Checkup","Routine Health Check"), "",
TRUE,""
)</f>
        <v>45822</v>
      </c>
      <c r="I808" s="1" t="str">
        <f t="shared" si="24"/>
        <v>Follow-up Scheduled</v>
      </c>
      <c r="J808" t="str">
        <f>TEXT(Table8[[#This Row],[visit_Date]],"DDDD")</f>
        <v>Thursday</v>
      </c>
      <c r="K808" t="str">
        <f>TEXT(Table8[[#This Row],[visit_Date]],"mmmm")</f>
        <v>May</v>
      </c>
      <c r="L808" t="str">
        <f t="shared" si="25"/>
        <v>Summer</v>
      </c>
    </row>
    <row r="809" spans="1:12" x14ac:dyDescent="0.25">
      <c r="A809">
        <v>808</v>
      </c>
      <c r="B809">
        <v>1009</v>
      </c>
      <c r="C809">
        <v>216</v>
      </c>
      <c r="D809" s="1">
        <v>45672</v>
      </c>
      <c r="E809" t="s">
        <v>315</v>
      </c>
      <c r="F809" t="s">
        <v>316</v>
      </c>
      <c r="G809" t="str">
        <f>_xlfn.XLOOKUP(TRIM(E810),MedicineInfo!A:A,MedicineInfo!B:B,"Not Found")</f>
        <v>Salbutamol Inhaler</v>
      </c>
      <c r="H809" s="1" cm="1">
        <f t="array" ref="H809">_xlfn.IFS(
OR(E809="Type 2 Diabetes",E809="Essential Hypertension",E809="Angina Pectoris",E809="Bronchial Asthma",E809="Cardiac Arrhythmia"), D809+30,
OR(E809="Gastritis",E809="Osteoarthritis",E809="Bronchitis",E809="Iron Deficiency Anemia"), D809+14,
OR(E809="Lumbar Strain",E809="Migraine Headache"), D809+7,
OR(E809="Viral Fever",E809="General Checkup","Routine Health Check"), "",
TRUE,""
)</f>
        <v>45679</v>
      </c>
      <c r="I809" s="1" t="str">
        <f t="shared" si="24"/>
        <v>Follow-up Scheduled</v>
      </c>
      <c r="J809" t="str">
        <f>TEXT(Table8[[#This Row],[visit_Date]],"DDDD")</f>
        <v>Wednesday</v>
      </c>
      <c r="K809" t="str">
        <f>TEXT(Table8[[#This Row],[visit_Date]],"mmmm")</f>
        <v>January</v>
      </c>
      <c r="L809" t="str">
        <f t="shared" si="25"/>
        <v>Winter</v>
      </c>
    </row>
    <row r="810" spans="1:12" x14ac:dyDescent="0.25">
      <c r="A810">
        <v>809</v>
      </c>
      <c r="B810">
        <v>1020</v>
      </c>
      <c r="C810">
        <v>1344</v>
      </c>
      <c r="D810" s="1">
        <v>45769</v>
      </c>
      <c r="E810" t="s">
        <v>324</v>
      </c>
      <c r="F810" t="s">
        <v>325</v>
      </c>
      <c r="G810" t="str">
        <f>_xlfn.XLOOKUP(TRIM(E811),MedicineInfo!A:A,MedicineInfo!B:B,"Not Found")</f>
        <v>Amlodipine</v>
      </c>
      <c r="H810" s="1" cm="1">
        <f t="array" ref="H810">_xlfn.IFS(
OR(E810="Type 2 Diabetes",E810="Essential Hypertension",E810="Angina Pectoris",E810="Bronchial Asthma",E810="Cardiac Arrhythmia"), D810+30,
OR(E810="Gastritis",E810="Osteoarthritis",E810="Bronchitis",E810="Iron Deficiency Anemia"), D810+14,
OR(E810="Lumbar Strain",E810="Migraine Headache"), D810+7,
OR(E810="Viral Fever",E810="General Checkup","Routine Health Check"), "",
TRUE,""
)</f>
        <v>45799</v>
      </c>
      <c r="I810" s="1" t="str">
        <f t="shared" si="24"/>
        <v>Follow-up Scheduled</v>
      </c>
      <c r="J810" t="str">
        <f>TEXT(Table8[[#This Row],[visit_Date]],"DDDD")</f>
        <v>Tuesday</v>
      </c>
      <c r="K810" t="str">
        <f>TEXT(Table8[[#This Row],[visit_Date]],"mmmm")</f>
        <v>April</v>
      </c>
      <c r="L810" t="str">
        <f t="shared" si="25"/>
        <v>Summer</v>
      </c>
    </row>
    <row r="811" spans="1:12" x14ac:dyDescent="0.25">
      <c r="A811">
        <v>810</v>
      </c>
      <c r="B811">
        <v>1001</v>
      </c>
      <c r="C811">
        <v>605</v>
      </c>
      <c r="D811" s="1">
        <v>45672</v>
      </c>
      <c r="E811" t="s">
        <v>319</v>
      </c>
      <c r="F811" t="s">
        <v>320</v>
      </c>
      <c r="G811" t="str">
        <f>_xlfn.XLOOKUP(TRIM(E812),MedicineInfo!A:A,MedicineInfo!B:B,"Not Found")</f>
        <v>Diclofenac</v>
      </c>
      <c r="H811" s="1" cm="1">
        <f t="array" ref="H811">_xlfn.IFS(
OR(E811="Type 2 Diabetes",E811="Essential Hypertension",E811="Angina Pectoris",E811="Bronchial Asthma",E811="Cardiac Arrhythmia"), D811+30,
OR(E811="Gastritis",E811="Osteoarthritis",E811="Bronchitis",E811="Iron Deficiency Anemia"), D811+14,
OR(E811="Lumbar Strain",E811="Migraine Headache"), D811+7,
OR(E811="Viral Fever",E811="General Checkup","Routine Health Check"), "",
TRUE,""
)</f>
        <v>45702</v>
      </c>
      <c r="I811" s="1" t="str">
        <f t="shared" si="24"/>
        <v>Follow-up Scheduled</v>
      </c>
      <c r="J811" t="str">
        <f>TEXT(Table8[[#This Row],[visit_Date]],"DDDD")</f>
        <v>Wednesday</v>
      </c>
      <c r="K811" t="str">
        <f>TEXT(Table8[[#This Row],[visit_Date]],"mmmm")</f>
        <v>January</v>
      </c>
      <c r="L811" t="str">
        <f t="shared" si="25"/>
        <v>Winter</v>
      </c>
    </row>
    <row r="812" spans="1:12" x14ac:dyDescent="0.25">
      <c r="A812">
        <v>811</v>
      </c>
      <c r="B812">
        <v>1027</v>
      </c>
      <c r="C812">
        <v>245</v>
      </c>
      <c r="D812" s="1">
        <v>45669</v>
      </c>
      <c r="E812" t="s">
        <v>313</v>
      </c>
      <c r="F812" t="s">
        <v>314</v>
      </c>
      <c r="G812" t="str">
        <f>_xlfn.XLOOKUP(TRIM(E813),MedicineInfo!A:A,MedicineInfo!B:B,"Not Found")</f>
        <v>Salbutamol Inhaler</v>
      </c>
      <c r="H812" s="1" cm="1">
        <f t="array" ref="H812">_xlfn.IFS(
OR(E812="Type 2 Diabetes",E812="Essential Hypertension",E812="Angina Pectoris",E812="Bronchial Asthma",E812="Cardiac Arrhythmia"), D812+30,
OR(E812="Gastritis",E812="Osteoarthritis",E812="Bronchitis",E812="Iron Deficiency Anemia"), D812+14,
OR(E812="Lumbar Strain",E812="Migraine Headache"), D812+7,
OR(E812="Viral Fever",E812="General Checkup","Routine Health Check"), "",
TRUE,""
)</f>
        <v>45676</v>
      </c>
      <c r="I812" s="1" t="str">
        <f t="shared" si="24"/>
        <v>Follow-up Scheduled</v>
      </c>
      <c r="J812" t="str">
        <f>TEXT(Table8[[#This Row],[visit_Date]],"DDDD")</f>
        <v>Sunday</v>
      </c>
      <c r="K812" t="str">
        <f>TEXT(Table8[[#This Row],[visit_Date]],"mmmm")</f>
        <v>January</v>
      </c>
      <c r="L812" t="str">
        <f t="shared" si="25"/>
        <v>Winter</v>
      </c>
    </row>
    <row r="813" spans="1:12" x14ac:dyDescent="0.25">
      <c r="A813">
        <v>812</v>
      </c>
      <c r="B813">
        <v>1020</v>
      </c>
      <c r="C813">
        <v>465</v>
      </c>
      <c r="D813" s="1">
        <v>45814</v>
      </c>
      <c r="E813" t="s">
        <v>324</v>
      </c>
      <c r="F813" t="s">
        <v>325</v>
      </c>
      <c r="G813" t="str">
        <f>_xlfn.XLOOKUP(TRIM(E814),MedicineInfo!A:A,MedicineInfo!B:B,"Not Found")</f>
        <v>Nitroglycerin</v>
      </c>
      <c r="H813" s="1" cm="1">
        <f t="array" ref="H813">_xlfn.IFS(
OR(E813="Type 2 Diabetes",E813="Essential Hypertension",E813="Angina Pectoris",E813="Bronchial Asthma",E813="Cardiac Arrhythmia"), D813+30,
OR(E813="Gastritis",E813="Osteoarthritis",E813="Bronchitis",E813="Iron Deficiency Anemia"), D813+14,
OR(E813="Lumbar Strain",E813="Migraine Headache"), D813+7,
OR(E813="Viral Fever",E813="General Checkup","Routine Health Check"), "",
TRUE,""
)</f>
        <v>45844</v>
      </c>
      <c r="I813" s="1" t="str">
        <f t="shared" si="24"/>
        <v>Follow-up Scheduled</v>
      </c>
      <c r="J813" t="str">
        <f>TEXT(Table8[[#This Row],[visit_Date]],"DDDD")</f>
        <v>Friday</v>
      </c>
      <c r="K813" t="str">
        <f>TEXT(Table8[[#This Row],[visit_Date]],"mmmm")</f>
        <v>June</v>
      </c>
      <c r="L813" t="str">
        <f t="shared" si="25"/>
        <v>Monsoon</v>
      </c>
    </row>
    <row r="814" spans="1:12" x14ac:dyDescent="0.25">
      <c r="A814">
        <v>813</v>
      </c>
      <c r="B814">
        <v>1001</v>
      </c>
      <c r="C814">
        <v>1192</v>
      </c>
      <c r="D814" s="1">
        <v>45790</v>
      </c>
      <c r="E814" t="s">
        <v>322</v>
      </c>
      <c r="F814" t="s">
        <v>323</v>
      </c>
      <c r="G814" t="str">
        <f>_xlfn.XLOOKUP(TRIM(E815),MedicineInfo!A:A,MedicineInfo!B:B,"Not Found")</f>
        <v>Multivitamin</v>
      </c>
      <c r="H814" s="1" cm="1">
        <f t="array" ref="H814">_xlfn.IFS(
OR(E814="Type 2 Diabetes",E814="Essential Hypertension",E814="Angina Pectoris",E814="Bronchial Asthma",E814="Cardiac Arrhythmia"), D814+30,
OR(E814="Gastritis",E814="Osteoarthritis",E814="Bronchitis",E814="Iron Deficiency Anemia"), D814+14,
OR(E814="Lumbar Strain",E814="Migraine Headache"), D814+7,
OR(E814="Viral Fever",E814="General Checkup","Routine Health Check"), "",
TRUE,""
)</f>
        <v>45820</v>
      </c>
      <c r="I814" s="1" t="str">
        <f t="shared" si="24"/>
        <v>Follow-up Scheduled</v>
      </c>
      <c r="J814" t="str">
        <f>TEXT(Table8[[#This Row],[visit_Date]],"DDDD")</f>
        <v>Tuesday</v>
      </c>
      <c r="K814" t="str">
        <f>TEXT(Table8[[#This Row],[visit_Date]],"mmmm")</f>
        <v>May</v>
      </c>
      <c r="L814" t="str">
        <f t="shared" si="25"/>
        <v>Summer</v>
      </c>
    </row>
    <row r="815" spans="1:12" x14ac:dyDescent="0.25">
      <c r="A815">
        <v>814</v>
      </c>
      <c r="B815">
        <v>1027</v>
      </c>
      <c r="C815">
        <v>311</v>
      </c>
      <c r="D815" s="1">
        <v>45808</v>
      </c>
      <c r="E815" t="s">
        <v>24</v>
      </c>
      <c r="F815" t="s">
        <v>321</v>
      </c>
      <c r="G815" t="str">
        <f>_xlfn.XLOOKUP(TRIM(E816),MedicineInfo!A:A,MedicineInfo!B:B,"Not Found")</f>
        <v>Salbutamol Inhaler</v>
      </c>
      <c r="H815" s="1" t="str" cm="1">
        <f t="array" ref="H815">_xlfn.IFS(
OR(E815="Type 2 Diabetes",E815="Essential Hypertension",E815="Angina Pectoris",E815="Bronchial Asthma",E815="Cardiac Arrhythmia"), D815+30,
OR(E815="Gastritis",E815="Osteoarthritis",E815="Bronchitis",E815="Iron Deficiency Anemia"), D815+14,
OR(E815="Lumbar Strain",E815="Migraine Headache"), D815+7,
OR(E815="Viral Fever",E815="General Checkup","Routine Health Check"), "",
TRUE,""
)</f>
        <v/>
      </c>
      <c r="I815" s="1" t="str">
        <f t="shared" si="24"/>
        <v>No Follow-up Required</v>
      </c>
      <c r="J815" t="str">
        <f>TEXT(Table8[[#This Row],[visit_Date]],"DDDD")</f>
        <v>Saturday</v>
      </c>
      <c r="K815" t="str">
        <f>TEXT(Table8[[#This Row],[visit_Date]],"mmmm")</f>
        <v>May</v>
      </c>
      <c r="L815" t="str">
        <f t="shared" si="25"/>
        <v>Summer</v>
      </c>
    </row>
    <row r="816" spans="1:12" x14ac:dyDescent="0.25">
      <c r="A816">
        <v>815</v>
      </c>
      <c r="B816">
        <v>1020</v>
      </c>
      <c r="C816">
        <v>894</v>
      </c>
      <c r="D816" s="1">
        <v>45669</v>
      </c>
      <c r="E816" t="s">
        <v>324</v>
      </c>
      <c r="F816" t="s">
        <v>325</v>
      </c>
      <c r="G816" t="str">
        <f>_xlfn.XLOOKUP(TRIM(E817),MedicineInfo!A:A,MedicineInfo!B:B,"Not Found")</f>
        <v>Amlodipine</v>
      </c>
      <c r="H816" s="1" cm="1">
        <f t="array" ref="H816">_xlfn.IFS(
OR(E816="Type 2 Diabetes",E816="Essential Hypertension",E816="Angina Pectoris",E816="Bronchial Asthma",E816="Cardiac Arrhythmia"), D816+30,
OR(E816="Gastritis",E816="Osteoarthritis",E816="Bronchitis",E816="Iron Deficiency Anemia"), D816+14,
OR(E816="Lumbar Strain",E816="Migraine Headache"), D816+7,
OR(E816="Viral Fever",E816="General Checkup","Routine Health Check"), "",
TRUE,""
)</f>
        <v>45699</v>
      </c>
      <c r="I816" s="1" t="str">
        <f t="shared" si="24"/>
        <v>Follow-up Scheduled</v>
      </c>
      <c r="J816" t="str">
        <f>TEXT(Table8[[#This Row],[visit_Date]],"DDDD")</f>
        <v>Sunday</v>
      </c>
      <c r="K816" t="str">
        <f>TEXT(Table8[[#This Row],[visit_Date]],"mmmm")</f>
        <v>January</v>
      </c>
      <c r="L816" t="str">
        <f t="shared" si="25"/>
        <v>Winter</v>
      </c>
    </row>
    <row r="817" spans="1:12" x14ac:dyDescent="0.25">
      <c r="A817">
        <v>816</v>
      </c>
      <c r="B817">
        <v>1002</v>
      </c>
      <c r="C817">
        <v>1227</v>
      </c>
      <c r="D817" s="1">
        <v>45658</v>
      </c>
      <c r="E817" t="s">
        <v>319</v>
      </c>
      <c r="F817" t="s">
        <v>320</v>
      </c>
      <c r="G817" t="str">
        <f>_xlfn.XLOOKUP(TRIM(E818),MedicineInfo!A:A,MedicineInfo!B:B,"Not Found")</f>
        <v>Amlodipine</v>
      </c>
      <c r="H817" s="1" cm="1">
        <f t="array" ref="H817">_xlfn.IFS(
OR(E817="Type 2 Diabetes",E817="Essential Hypertension",E817="Angina Pectoris",E817="Bronchial Asthma",E817="Cardiac Arrhythmia"), D817+30,
OR(E817="Gastritis",E817="Osteoarthritis",E817="Bronchitis",E817="Iron Deficiency Anemia"), D817+14,
OR(E817="Lumbar Strain",E817="Migraine Headache"), D817+7,
OR(E817="Viral Fever",E817="General Checkup","Routine Health Check"), "",
TRUE,""
)</f>
        <v>45688</v>
      </c>
      <c r="I817" s="1" t="str">
        <f t="shared" si="24"/>
        <v>Follow-up Scheduled</v>
      </c>
      <c r="J817" t="str">
        <f>TEXT(Table8[[#This Row],[visit_Date]],"DDDD")</f>
        <v>Wednesday</v>
      </c>
      <c r="K817" t="str">
        <f>TEXT(Table8[[#This Row],[visit_Date]],"mmmm")</f>
        <v>January</v>
      </c>
      <c r="L817" t="str">
        <f t="shared" si="25"/>
        <v>Winter</v>
      </c>
    </row>
    <row r="818" spans="1:12" x14ac:dyDescent="0.25">
      <c r="A818">
        <v>817</v>
      </c>
      <c r="B818">
        <v>1003</v>
      </c>
      <c r="C818">
        <v>1447</v>
      </c>
      <c r="D818" s="1">
        <v>45686</v>
      </c>
      <c r="E818" t="s">
        <v>319</v>
      </c>
      <c r="F818" t="s">
        <v>320</v>
      </c>
      <c r="G818" t="str">
        <f>_xlfn.XLOOKUP(TRIM(E819),MedicineInfo!A:A,MedicineInfo!B:B,"Not Found")</f>
        <v>Diclofenac</v>
      </c>
      <c r="H818" s="1" cm="1">
        <f t="array" ref="H818">_xlfn.IFS(
OR(E818="Type 2 Diabetes",E818="Essential Hypertension",E818="Angina Pectoris",E818="Bronchial Asthma",E818="Cardiac Arrhythmia"), D818+30,
OR(E818="Gastritis",E818="Osteoarthritis",E818="Bronchitis",E818="Iron Deficiency Anemia"), D818+14,
OR(E818="Lumbar Strain",E818="Migraine Headache"), D818+7,
OR(E818="Viral Fever",E818="General Checkup","Routine Health Check"), "",
TRUE,""
)</f>
        <v>45716</v>
      </c>
      <c r="I818" s="1" t="str">
        <f t="shared" si="24"/>
        <v>Follow-up Scheduled</v>
      </c>
      <c r="J818" t="str">
        <f>TEXT(Table8[[#This Row],[visit_Date]],"DDDD")</f>
        <v>Wednesday</v>
      </c>
      <c r="K818" t="str">
        <f>TEXT(Table8[[#This Row],[visit_Date]],"mmmm")</f>
        <v>January</v>
      </c>
      <c r="L818" t="str">
        <f t="shared" si="25"/>
        <v>Winter</v>
      </c>
    </row>
    <row r="819" spans="1:12" x14ac:dyDescent="0.25">
      <c r="A819">
        <v>818</v>
      </c>
      <c r="B819">
        <v>1027</v>
      </c>
      <c r="C819">
        <v>479</v>
      </c>
      <c r="D819" s="1">
        <v>45853</v>
      </c>
      <c r="E819" t="s">
        <v>313</v>
      </c>
      <c r="F819" t="s">
        <v>314</v>
      </c>
      <c r="G819" t="str">
        <f>_xlfn.XLOOKUP(TRIM(E820),MedicineInfo!A:A,MedicineInfo!B:B,"Not Found")</f>
        <v>Multivitamin</v>
      </c>
      <c r="H819" s="1" cm="1">
        <f t="array" ref="H819">_xlfn.IFS(
OR(E819="Type 2 Diabetes",E819="Essential Hypertension",E819="Angina Pectoris",E819="Bronchial Asthma",E819="Cardiac Arrhythmia"), D819+30,
OR(E819="Gastritis",E819="Osteoarthritis",E819="Bronchitis",E819="Iron Deficiency Anemia"), D819+14,
OR(E819="Lumbar Strain",E819="Migraine Headache"), D819+7,
OR(E819="Viral Fever",E819="General Checkup","Routine Health Check"), "",
TRUE,""
)</f>
        <v>45860</v>
      </c>
      <c r="I819" s="1" t="str">
        <f t="shared" si="24"/>
        <v>Follow-up Scheduled</v>
      </c>
      <c r="J819" t="str">
        <f>TEXT(Table8[[#This Row],[visit_Date]],"DDDD")</f>
        <v>Tuesday</v>
      </c>
      <c r="K819" t="str">
        <f>TEXT(Table8[[#This Row],[visit_Date]],"mmmm")</f>
        <v>July</v>
      </c>
      <c r="L819" t="str">
        <f t="shared" si="25"/>
        <v>Monsoon</v>
      </c>
    </row>
    <row r="820" spans="1:12" x14ac:dyDescent="0.25">
      <c r="A820">
        <v>819</v>
      </c>
      <c r="B820">
        <v>1027</v>
      </c>
      <c r="C820">
        <v>257</v>
      </c>
      <c r="D820" s="1">
        <v>45814</v>
      </c>
      <c r="E820" t="s">
        <v>24</v>
      </c>
      <c r="F820" t="s">
        <v>321</v>
      </c>
      <c r="G820" t="str">
        <f>_xlfn.XLOOKUP(TRIM(E821),MedicineInfo!A:A,MedicineInfo!B:B,"Not Found")</f>
        <v>Diclofenac</v>
      </c>
      <c r="H820" s="1" t="str" cm="1">
        <f t="array" ref="H820">_xlfn.IFS(
OR(E820="Type 2 Diabetes",E820="Essential Hypertension",E820="Angina Pectoris",E820="Bronchial Asthma",E820="Cardiac Arrhythmia"), D820+30,
OR(E820="Gastritis",E820="Osteoarthritis",E820="Bronchitis",E820="Iron Deficiency Anemia"), D820+14,
OR(E820="Lumbar Strain",E820="Migraine Headache"), D820+7,
OR(E820="Viral Fever",E820="General Checkup","Routine Health Check"), "",
TRUE,""
)</f>
        <v/>
      </c>
      <c r="I820" s="1" t="str">
        <f t="shared" si="24"/>
        <v>No Follow-up Required</v>
      </c>
      <c r="J820" t="str">
        <f>TEXT(Table8[[#This Row],[visit_Date]],"DDDD")</f>
        <v>Friday</v>
      </c>
      <c r="K820" t="str">
        <f>TEXT(Table8[[#This Row],[visit_Date]],"mmmm")</f>
        <v>June</v>
      </c>
      <c r="L820" t="str">
        <f t="shared" si="25"/>
        <v>Monsoon</v>
      </c>
    </row>
    <row r="821" spans="1:12" x14ac:dyDescent="0.25">
      <c r="A821">
        <v>820</v>
      </c>
      <c r="B821">
        <v>1027</v>
      </c>
      <c r="C821">
        <v>560</v>
      </c>
      <c r="D821" s="1">
        <v>45801</v>
      </c>
      <c r="E821" t="s">
        <v>313</v>
      </c>
      <c r="F821" t="s">
        <v>314</v>
      </c>
      <c r="G821" t="str">
        <f>_xlfn.XLOOKUP(TRIM(E822),MedicineInfo!A:A,MedicineInfo!B:B,"Not Found")</f>
        <v>Amlodipine</v>
      </c>
      <c r="H821" s="1" cm="1">
        <f t="array" ref="H821">_xlfn.IFS(
OR(E821="Type 2 Diabetes",E821="Essential Hypertension",E821="Angina Pectoris",E821="Bronchial Asthma",E821="Cardiac Arrhythmia"), D821+30,
OR(E821="Gastritis",E821="Osteoarthritis",E821="Bronchitis",E821="Iron Deficiency Anemia"), D821+14,
OR(E821="Lumbar Strain",E821="Migraine Headache"), D821+7,
OR(E821="Viral Fever",E821="General Checkup","Routine Health Check"), "",
TRUE,""
)</f>
        <v>45808</v>
      </c>
      <c r="I821" s="1" t="str">
        <f t="shared" si="24"/>
        <v>Follow-up Scheduled</v>
      </c>
      <c r="J821" t="str">
        <f>TEXT(Table8[[#This Row],[visit_Date]],"DDDD")</f>
        <v>Saturday</v>
      </c>
      <c r="K821" t="str">
        <f>TEXT(Table8[[#This Row],[visit_Date]],"mmmm")</f>
        <v>May</v>
      </c>
      <c r="L821" t="str">
        <f t="shared" si="25"/>
        <v>Summer</v>
      </c>
    </row>
    <row r="822" spans="1:12" x14ac:dyDescent="0.25">
      <c r="A822">
        <v>821</v>
      </c>
      <c r="B822">
        <v>1004</v>
      </c>
      <c r="C822">
        <v>267</v>
      </c>
      <c r="D822" s="1">
        <v>45791</v>
      </c>
      <c r="E822" t="s">
        <v>319</v>
      </c>
      <c r="F822" t="s">
        <v>320</v>
      </c>
      <c r="G822" t="str">
        <f>_xlfn.XLOOKUP(TRIM(E823),MedicineInfo!A:A,MedicineInfo!B:B,"Not Found")</f>
        <v>Amlodipine</v>
      </c>
      <c r="H822" s="1" cm="1">
        <f t="array" ref="H822">_xlfn.IFS(
OR(E822="Type 2 Diabetes",E822="Essential Hypertension",E822="Angina Pectoris",E822="Bronchial Asthma",E822="Cardiac Arrhythmia"), D822+30,
OR(E822="Gastritis",E822="Osteoarthritis",E822="Bronchitis",E822="Iron Deficiency Anemia"), D822+14,
OR(E822="Lumbar Strain",E822="Migraine Headache"), D822+7,
OR(E822="Viral Fever",E822="General Checkup","Routine Health Check"), "",
TRUE,""
)</f>
        <v>45821</v>
      </c>
      <c r="I822" s="1" t="str">
        <f t="shared" si="24"/>
        <v>Follow-up Scheduled</v>
      </c>
      <c r="J822" t="str">
        <f>TEXT(Table8[[#This Row],[visit_Date]],"DDDD")</f>
        <v>Wednesday</v>
      </c>
      <c r="K822" t="str">
        <f>TEXT(Table8[[#This Row],[visit_Date]],"mmmm")</f>
        <v>May</v>
      </c>
      <c r="L822" t="str">
        <f t="shared" si="25"/>
        <v>Summer</v>
      </c>
    </row>
    <row r="823" spans="1:12" x14ac:dyDescent="0.25">
      <c r="A823">
        <v>822</v>
      </c>
      <c r="B823">
        <v>1002</v>
      </c>
      <c r="C823">
        <v>430</v>
      </c>
      <c r="D823" s="1">
        <v>45758</v>
      </c>
      <c r="E823" t="s">
        <v>319</v>
      </c>
      <c r="F823" t="s">
        <v>320</v>
      </c>
      <c r="G823" t="str">
        <f>_xlfn.XLOOKUP(TRIM(E824),MedicineInfo!A:A,MedicineInfo!B:B,"Not Found")</f>
        <v>Multivitamin</v>
      </c>
      <c r="H823" s="1" cm="1">
        <f t="array" ref="H823">_xlfn.IFS(
OR(E823="Type 2 Diabetes",E823="Essential Hypertension",E823="Angina Pectoris",E823="Bronchial Asthma",E823="Cardiac Arrhythmia"), D823+30,
OR(E823="Gastritis",E823="Osteoarthritis",E823="Bronchitis",E823="Iron Deficiency Anemia"), D823+14,
OR(E823="Lumbar Strain",E823="Migraine Headache"), D823+7,
OR(E823="Viral Fever",E823="General Checkup","Routine Health Check"), "",
TRUE,""
)</f>
        <v>45788</v>
      </c>
      <c r="I823" s="1" t="str">
        <f t="shared" si="24"/>
        <v>Follow-up Scheduled</v>
      </c>
      <c r="J823" t="str">
        <f>TEXT(Table8[[#This Row],[visit_Date]],"DDDD")</f>
        <v>Friday</v>
      </c>
      <c r="K823" t="str">
        <f>TEXT(Table8[[#This Row],[visit_Date]],"mmmm")</f>
        <v>April</v>
      </c>
      <c r="L823" t="str">
        <f t="shared" si="25"/>
        <v>Summer</v>
      </c>
    </row>
    <row r="824" spans="1:12" x14ac:dyDescent="0.25">
      <c r="A824">
        <v>823</v>
      </c>
      <c r="B824">
        <v>1027</v>
      </c>
      <c r="C824">
        <v>1549</v>
      </c>
      <c r="D824" s="1">
        <v>45686</v>
      </c>
      <c r="E824" t="s">
        <v>24</v>
      </c>
      <c r="F824" t="s">
        <v>321</v>
      </c>
      <c r="G824" t="str">
        <f>_xlfn.XLOOKUP(TRIM(E825),MedicineInfo!A:A,MedicineInfo!B:B,"Not Found")</f>
        <v>Multivitamin</v>
      </c>
      <c r="H824" s="1" t="str" cm="1">
        <f t="array" ref="H824">_xlfn.IFS(
OR(E824="Type 2 Diabetes",E824="Essential Hypertension",E824="Angina Pectoris",E824="Bronchial Asthma",E824="Cardiac Arrhythmia"), D824+30,
OR(E824="Gastritis",E824="Osteoarthritis",E824="Bronchitis",E824="Iron Deficiency Anemia"), D824+14,
OR(E824="Lumbar Strain",E824="Migraine Headache"), D824+7,
OR(E824="Viral Fever",E824="General Checkup","Routine Health Check"), "",
TRUE,""
)</f>
        <v/>
      </c>
      <c r="I824" s="1" t="str">
        <f t="shared" si="24"/>
        <v>No Follow-up Required</v>
      </c>
      <c r="J824" t="str">
        <f>TEXT(Table8[[#This Row],[visit_Date]],"DDDD")</f>
        <v>Wednesday</v>
      </c>
      <c r="K824" t="str">
        <f>TEXT(Table8[[#This Row],[visit_Date]],"mmmm")</f>
        <v>January</v>
      </c>
      <c r="L824" t="str">
        <f t="shared" si="25"/>
        <v>Winter</v>
      </c>
    </row>
    <row r="825" spans="1:12" x14ac:dyDescent="0.25">
      <c r="A825">
        <v>824</v>
      </c>
      <c r="B825">
        <v>1027</v>
      </c>
      <c r="C825">
        <v>535</v>
      </c>
      <c r="D825" s="1">
        <v>45790</v>
      </c>
      <c r="E825" t="s">
        <v>24</v>
      </c>
      <c r="F825" t="s">
        <v>321</v>
      </c>
      <c r="G825" t="str">
        <f>_xlfn.XLOOKUP(TRIM(E826),MedicineInfo!A:A,MedicineInfo!B:B,"Not Found")</f>
        <v>Salbutamol Inhaler</v>
      </c>
      <c r="H825" s="1" t="str" cm="1">
        <f t="array" ref="H825">_xlfn.IFS(
OR(E825="Type 2 Diabetes",E825="Essential Hypertension",E825="Angina Pectoris",E825="Bronchial Asthma",E825="Cardiac Arrhythmia"), D825+30,
OR(E825="Gastritis",E825="Osteoarthritis",E825="Bronchitis",E825="Iron Deficiency Anemia"), D825+14,
OR(E825="Lumbar Strain",E825="Migraine Headache"), D825+7,
OR(E825="Viral Fever",E825="General Checkup","Routine Health Check"), "",
TRUE,""
)</f>
        <v/>
      </c>
      <c r="I825" s="1" t="str">
        <f t="shared" si="24"/>
        <v>No Follow-up Required</v>
      </c>
      <c r="J825" t="str">
        <f>TEXT(Table8[[#This Row],[visit_Date]],"DDDD")</f>
        <v>Tuesday</v>
      </c>
      <c r="K825" t="str">
        <f>TEXT(Table8[[#This Row],[visit_Date]],"mmmm")</f>
        <v>May</v>
      </c>
      <c r="L825" t="str">
        <f t="shared" si="25"/>
        <v>Summer</v>
      </c>
    </row>
    <row r="826" spans="1:12" x14ac:dyDescent="0.25">
      <c r="A826">
        <v>825</v>
      </c>
      <c r="B826">
        <v>1020</v>
      </c>
      <c r="C826">
        <v>1017</v>
      </c>
      <c r="D826" s="1">
        <v>45823</v>
      </c>
      <c r="E826" t="s">
        <v>324</v>
      </c>
      <c r="F826" t="s">
        <v>325</v>
      </c>
      <c r="G826" t="str">
        <f>_xlfn.XLOOKUP(TRIM(E827),MedicineInfo!A:A,MedicineInfo!B:B,"Not Found")</f>
        <v>Sumatriptan</v>
      </c>
      <c r="H826" s="1" cm="1">
        <f t="array" ref="H826">_xlfn.IFS(
OR(E826="Type 2 Diabetes",E826="Essential Hypertension",E826="Angina Pectoris",E826="Bronchial Asthma",E826="Cardiac Arrhythmia"), D826+30,
OR(E826="Gastritis",E826="Osteoarthritis",E826="Bronchitis",E826="Iron Deficiency Anemia"), D826+14,
OR(E826="Lumbar Strain",E826="Migraine Headache"), D826+7,
OR(E826="Viral Fever",E826="General Checkup","Routine Health Check"), "",
TRUE,""
)</f>
        <v>45853</v>
      </c>
      <c r="I826" s="1" t="str">
        <f t="shared" si="24"/>
        <v>Follow-up Scheduled</v>
      </c>
      <c r="J826" t="str">
        <f>TEXT(Table8[[#This Row],[visit_Date]],"DDDD")</f>
        <v>Sunday</v>
      </c>
      <c r="K826" t="str">
        <f>TEXT(Table8[[#This Row],[visit_Date]],"mmmm")</f>
        <v>June</v>
      </c>
      <c r="L826" t="str">
        <f t="shared" si="25"/>
        <v>Monsoon</v>
      </c>
    </row>
    <row r="827" spans="1:12" x14ac:dyDescent="0.25">
      <c r="A827">
        <v>826</v>
      </c>
      <c r="B827">
        <v>1009</v>
      </c>
      <c r="C827">
        <v>159</v>
      </c>
      <c r="D827" s="1">
        <v>45686</v>
      </c>
      <c r="E827" t="s">
        <v>315</v>
      </c>
      <c r="F827" t="s">
        <v>316</v>
      </c>
      <c r="G827" t="str">
        <f>_xlfn.XLOOKUP(TRIM(E828),MedicineInfo!A:A,MedicineInfo!B:B,"Not Found")</f>
        <v>Nitroglycerin</v>
      </c>
      <c r="H827" s="1" cm="1">
        <f t="array" ref="H827">_xlfn.IFS(
OR(E827="Type 2 Diabetes",E827="Essential Hypertension",E827="Angina Pectoris",E827="Bronchial Asthma",E827="Cardiac Arrhythmia"), D827+30,
OR(E827="Gastritis",E827="Osteoarthritis",E827="Bronchitis",E827="Iron Deficiency Anemia"), D827+14,
OR(E827="Lumbar Strain",E827="Migraine Headache"), D827+7,
OR(E827="Viral Fever",E827="General Checkup","Routine Health Check"), "",
TRUE,""
)</f>
        <v>45693</v>
      </c>
      <c r="I827" s="1" t="str">
        <f t="shared" si="24"/>
        <v>Follow-up Scheduled</v>
      </c>
      <c r="J827" t="str">
        <f>TEXT(Table8[[#This Row],[visit_Date]],"DDDD")</f>
        <v>Wednesday</v>
      </c>
      <c r="K827" t="str">
        <f>TEXT(Table8[[#This Row],[visit_Date]],"mmmm")</f>
        <v>January</v>
      </c>
      <c r="L827" t="str">
        <f t="shared" si="25"/>
        <v>Winter</v>
      </c>
    </row>
    <row r="828" spans="1:12" x14ac:dyDescent="0.25">
      <c r="A828">
        <v>827</v>
      </c>
      <c r="B828">
        <v>1001</v>
      </c>
      <c r="C828">
        <v>797</v>
      </c>
      <c r="D828" s="1">
        <v>45675</v>
      </c>
      <c r="E828" t="s">
        <v>322</v>
      </c>
      <c r="F828" t="s">
        <v>323</v>
      </c>
      <c r="G828" t="str">
        <f>_xlfn.XLOOKUP(TRIM(E829),MedicineInfo!A:A,MedicineInfo!B:B,"Not Found")</f>
        <v>Diclofenac</v>
      </c>
      <c r="H828" s="1" cm="1">
        <f t="array" ref="H828">_xlfn.IFS(
OR(E828="Type 2 Diabetes",E828="Essential Hypertension",E828="Angina Pectoris",E828="Bronchial Asthma",E828="Cardiac Arrhythmia"), D828+30,
OR(E828="Gastritis",E828="Osteoarthritis",E828="Bronchitis",E828="Iron Deficiency Anemia"), D828+14,
OR(E828="Lumbar Strain",E828="Migraine Headache"), D828+7,
OR(E828="Viral Fever",E828="General Checkup","Routine Health Check"), "",
TRUE,""
)</f>
        <v>45705</v>
      </c>
      <c r="I828" s="1" t="str">
        <f t="shared" si="24"/>
        <v>Follow-up Scheduled</v>
      </c>
      <c r="J828" t="str">
        <f>TEXT(Table8[[#This Row],[visit_Date]],"DDDD")</f>
        <v>Saturday</v>
      </c>
      <c r="K828" t="str">
        <f>TEXT(Table8[[#This Row],[visit_Date]],"mmmm")</f>
        <v>January</v>
      </c>
      <c r="L828" t="str">
        <f t="shared" si="25"/>
        <v>Winter</v>
      </c>
    </row>
    <row r="829" spans="1:12" x14ac:dyDescent="0.25">
      <c r="A829">
        <v>828</v>
      </c>
      <c r="B829">
        <v>1027</v>
      </c>
      <c r="C829">
        <v>196</v>
      </c>
      <c r="D829" s="1">
        <v>45814</v>
      </c>
      <c r="E829" t="s">
        <v>313</v>
      </c>
      <c r="F829" t="s">
        <v>314</v>
      </c>
      <c r="G829" t="str">
        <f>_xlfn.XLOOKUP(TRIM(E830),MedicineInfo!A:A,MedicineInfo!B:B,"Not Found")</f>
        <v>Nitroglycerin</v>
      </c>
      <c r="H829" s="1" cm="1">
        <f t="array" ref="H829">_xlfn.IFS(
OR(E829="Type 2 Diabetes",E829="Essential Hypertension",E829="Angina Pectoris",E829="Bronchial Asthma",E829="Cardiac Arrhythmia"), D829+30,
OR(E829="Gastritis",E829="Osteoarthritis",E829="Bronchitis",E829="Iron Deficiency Anemia"), D829+14,
OR(E829="Lumbar Strain",E829="Migraine Headache"), D829+7,
OR(E829="Viral Fever",E829="General Checkup","Routine Health Check"), "",
TRUE,""
)</f>
        <v>45821</v>
      </c>
      <c r="I829" s="1" t="str">
        <f t="shared" si="24"/>
        <v>Follow-up Scheduled</v>
      </c>
      <c r="J829" t="str">
        <f>TEXT(Table8[[#This Row],[visit_Date]],"DDDD")</f>
        <v>Friday</v>
      </c>
      <c r="K829" t="str">
        <f>TEXT(Table8[[#This Row],[visit_Date]],"mmmm")</f>
        <v>June</v>
      </c>
      <c r="L829" t="str">
        <f t="shared" si="25"/>
        <v>Monsoon</v>
      </c>
    </row>
    <row r="830" spans="1:12" x14ac:dyDescent="0.25">
      <c r="A830">
        <v>829</v>
      </c>
      <c r="B830">
        <v>1027</v>
      </c>
      <c r="C830">
        <v>122</v>
      </c>
      <c r="D830" s="1">
        <v>45814</v>
      </c>
      <c r="E830" t="s">
        <v>322</v>
      </c>
      <c r="F830" t="s">
        <v>323</v>
      </c>
      <c r="G830" t="str">
        <f>_xlfn.XLOOKUP(TRIM(E831),MedicineInfo!A:A,MedicineInfo!B:B,"Not Found")</f>
        <v>Multivitamin</v>
      </c>
      <c r="H830" s="1" cm="1">
        <f t="array" ref="H830">_xlfn.IFS(
OR(E830="Type 2 Diabetes",E830="Essential Hypertension",E830="Angina Pectoris",E830="Bronchial Asthma",E830="Cardiac Arrhythmia"), D830+30,
OR(E830="Gastritis",E830="Osteoarthritis",E830="Bronchitis",E830="Iron Deficiency Anemia"), D830+14,
OR(E830="Lumbar Strain",E830="Migraine Headache"), D830+7,
OR(E830="Viral Fever",E830="General Checkup","Routine Health Check"), "",
TRUE,""
)</f>
        <v>45844</v>
      </c>
      <c r="I830" s="1" t="str">
        <f t="shared" si="24"/>
        <v>Follow-up Scheduled</v>
      </c>
      <c r="J830" t="str">
        <f>TEXT(Table8[[#This Row],[visit_Date]],"DDDD")</f>
        <v>Friday</v>
      </c>
      <c r="K830" t="str">
        <f>TEXT(Table8[[#This Row],[visit_Date]],"mmmm")</f>
        <v>June</v>
      </c>
      <c r="L830" t="str">
        <f t="shared" si="25"/>
        <v>Monsoon</v>
      </c>
    </row>
    <row r="831" spans="1:12" x14ac:dyDescent="0.25">
      <c r="A831">
        <v>830</v>
      </c>
      <c r="B831">
        <v>1027</v>
      </c>
      <c r="C831">
        <v>766</v>
      </c>
      <c r="D831" s="1">
        <v>45704</v>
      </c>
      <c r="E831" t="s">
        <v>24</v>
      </c>
      <c r="F831" t="s">
        <v>321</v>
      </c>
      <c r="G831" t="str">
        <f>_xlfn.XLOOKUP(TRIM(E832),MedicineInfo!A:A,MedicineInfo!B:B,"Not Found")</f>
        <v>Nitroglycerin</v>
      </c>
      <c r="H831" s="1" t="str" cm="1">
        <f t="array" ref="H831">_xlfn.IFS(
OR(E831="Type 2 Diabetes",E831="Essential Hypertension",E831="Angina Pectoris",E831="Bronchial Asthma",E831="Cardiac Arrhythmia"), D831+30,
OR(E831="Gastritis",E831="Osteoarthritis",E831="Bronchitis",E831="Iron Deficiency Anemia"), D831+14,
OR(E831="Lumbar Strain",E831="Migraine Headache"), D831+7,
OR(E831="Viral Fever",E831="General Checkup","Routine Health Check"), "",
TRUE,""
)</f>
        <v/>
      </c>
      <c r="I831" s="1" t="str">
        <f t="shared" si="24"/>
        <v>No Follow-up Required</v>
      </c>
      <c r="J831" t="str">
        <f>TEXT(Table8[[#This Row],[visit_Date]],"DDDD")</f>
        <v>Sunday</v>
      </c>
      <c r="K831" t="str">
        <f>TEXT(Table8[[#This Row],[visit_Date]],"mmmm")</f>
        <v>February</v>
      </c>
      <c r="L831" t="str">
        <f t="shared" si="25"/>
        <v>Winter</v>
      </c>
    </row>
    <row r="832" spans="1:12" x14ac:dyDescent="0.25">
      <c r="A832">
        <v>831</v>
      </c>
      <c r="B832">
        <v>1001</v>
      </c>
      <c r="C832">
        <v>193</v>
      </c>
      <c r="D832" s="1">
        <v>45747</v>
      </c>
      <c r="E832" t="s">
        <v>322</v>
      </c>
      <c r="F832" t="s">
        <v>323</v>
      </c>
      <c r="G832" t="str">
        <f>_xlfn.XLOOKUP(TRIM(E833),MedicineInfo!A:A,MedicineInfo!B:B,"Not Found")</f>
        <v>Sumatriptan</v>
      </c>
      <c r="H832" s="1" cm="1">
        <f t="array" ref="H832">_xlfn.IFS(
OR(E832="Type 2 Diabetes",E832="Essential Hypertension",E832="Angina Pectoris",E832="Bronchial Asthma",E832="Cardiac Arrhythmia"), D832+30,
OR(E832="Gastritis",E832="Osteoarthritis",E832="Bronchitis",E832="Iron Deficiency Anemia"), D832+14,
OR(E832="Lumbar Strain",E832="Migraine Headache"), D832+7,
OR(E832="Viral Fever",E832="General Checkup","Routine Health Check"), "",
TRUE,""
)</f>
        <v>45777</v>
      </c>
      <c r="I832" s="1" t="str">
        <f t="shared" si="24"/>
        <v>Follow-up Scheduled</v>
      </c>
      <c r="J832" t="str">
        <f>TEXT(Table8[[#This Row],[visit_Date]],"DDDD")</f>
        <v>Monday</v>
      </c>
      <c r="K832" t="str">
        <f>TEXT(Table8[[#This Row],[visit_Date]],"mmmm")</f>
        <v>March</v>
      </c>
      <c r="L832" t="str">
        <f t="shared" si="25"/>
        <v>Summer</v>
      </c>
    </row>
    <row r="833" spans="1:12" x14ac:dyDescent="0.25">
      <c r="A833">
        <v>832</v>
      </c>
      <c r="B833">
        <v>1008</v>
      </c>
      <c r="C833">
        <v>126</v>
      </c>
      <c r="D833" s="1">
        <v>45819</v>
      </c>
      <c r="E833" t="s">
        <v>315</v>
      </c>
      <c r="F833" t="s">
        <v>316</v>
      </c>
      <c r="G833" t="str">
        <f>_xlfn.XLOOKUP(TRIM(E834),MedicineInfo!A:A,MedicineInfo!B:B,"Not Found")</f>
        <v>Salbutamol Inhaler</v>
      </c>
      <c r="H833" s="1" cm="1">
        <f t="array" ref="H833">_xlfn.IFS(
OR(E833="Type 2 Diabetes",E833="Essential Hypertension",E833="Angina Pectoris",E833="Bronchial Asthma",E833="Cardiac Arrhythmia"), D833+30,
OR(E833="Gastritis",E833="Osteoarthritis",E833="Bronchitis",E833="Iron Deficiency Anemia"), D833+14,
OR(E833="Lumbar Strain",E833="Migraine Headache"), D833+7,
OR(E833="Viral Fever",E833="General Checkup","Routine Health Check"), "",
TRUE,""
)</f>
        <v>45826</v>
      </c>
      <c r="I833" s="1" t="str">
        <f t="shared" si="24"/>
        <v>Follow-up Scheduled</v>
      </c>
      <c r="J833" t="str">
        <f>TEXT(Table8[[#This Row],[visit_Date]],"DDDD")</f>
        <v>Wednesday</v>
      </c>
      <c r="K833" t="str">
        <f>TEXT(Table8[[#This Row],[visit_Date]],"mmmm")</f>
        <v>June</v>
      </c>
      <c r="L833" t="str">
        <f t="shared" si="25"/>
        <v>Monsoon</v>
      </c>
    </row>
    <row r="834" spans="1:12" x14ac:dyDescent="0.25">
      <c r="A834">
        <v>833</v>
      </c>
      <c r="B834">
        <v>1020</v>
      </c>
      <c r="C834">
        <v>533</v>
      </c>
      <c r="D834" s="1">
        <v>45669</v>
      </c>
      <c r="E834" t="s">
        <v>324</v>
      </c>
      <c r="F834" t="s">
        <v>325</v>
      </c>
      <c r="G834" t="str">
        <f>_xlfn.XLOOKUP(TRIM(E835),MedicineInfo!A:A,MedicineInfo!B:B,"Not Found")</f>
        <v>Nitroglycerin</v>
      </c>
      <c r="H834" s="1" cm="1">
        <f t="array" ref="H834">_xlfn.IFS(
OR(E834="Type 2 Diabetes",E834="Essential Hypertension",E834="Angina Pectoris",E834="Bronchial Asthma",E834="Cardiac Arrhythmia"), D834+30,
OR(E834="Gastritis",E834="Osteoarthritis",E834="Bronchitis",E834="Iron Deficiency Anemia"), D834+14,
OR(E834="Lumbar Strain",E834="Migraine Headache"), D834+7,
OR(E834="Viral Fever",E834="General Checkup","Routine Health Check"), "",
TRUE,""
)</f>
        <v>45699</v>
      </c>
      <c r="I834" s="1" t="str">
        <f t="shared" ref="I834:I897" si="26">IF(H834="","No Follow-up Required","Follow-up Scheduled")</f>
        <v>Follow-up Scheduled</v>
      </c>
      <c r="J834" t="str">
        <f>TEXT(Table8[[#This Row],[visit_Date]],"DDDD")</f>
        <v>Sunday</v>
      </c>
      <c r="K834" t="str">
        <f>TEXT(Table8[[#This Row],[visit_Date]],"mmmm")</f>
        <v>January</v>
      </c>
      <c r="L834" t="str">
        <f t="shared" ref="L834:L897" si="27">IF(OR(MONTH(D834)=12,MONTH(D834)&lt;=2),"Winter",
IF(MONTH(D834)&lt;=5,"Summer","Monsoon"))</f>
        <v>Winter</v>
      </c>
    </row>
    <row r="835" spans="1:12" x14ac:dyDescent="0.25">
      <c r="A835">
        <v>834</v>
      </c>
      <c r="B835">
        <v>1001</v>
      </c>
      <c r="C835">
        <v>980</v>
      </c>
      <c r="D835" s="1">
        <v>45743</v>
      </c>
      <c r="E835" t="s">
        <v>322</v>
      </c>
      <c r="F835" t="s">
        <v>323</v>
      </c>
      <c r="G835" t="str">
        <f>_xlfn.XLOOKUP(TRIM(E836),MedicineInfo!A:A,MedicineInfo!B:B,"Not Found")</f>
        <v>Salbutamol Inhaler</v>
      </c>
      <c r="H835" s="1" cm="1">
        <f t="array" ref="H835">_xlfn.IFS(
OR(E835="Type 2 Diabetes",E835="Essential Hypertension",E835="Angina Pectoris",E835="Bronchial Asthma",E835="Cardiac Arrhythmia"), D835+30,
OR(E835="Gastritis",E835="Osteoarthritis",E835="Bronchitis",E835="Iron Deficiency Anemia"), D835+14,
OR(E835="Lumbar Strain",E835="Migraine Headache"), D835+7,
OR(E835="Viral Fever",E835="General Checkup","Routine Health Check"), "",
TRUE,""
)</f>
        <v>45773</v>
      </c>
      <c r="I835" s="1" t="str">
        <f t="shared" si="26"/>
        <v>Follow-up Scheduled</v>
      </c>
      <c r="J835" t="str">
        <f>TEXT(Table8[[#This Row],[visit_Date]],"DDDD")</f>
        <v>Thursday</v>
      </c>
      <c r="K835" t="str">
        <f>TEXT(Table8[[#This Row],[visit_Date]],"mmmm")</f>
        <v>March</v>
      </c>
      <c r="L835" t="str">
        <f t="shared" si="27"/>
        <v>Summer</v>
      </c>
    </row>
    <row r="836" spans="1:12" x14ac:dyDescent="0.25">
      <c r="A836">
        <v>835</v>
      </c>
      <c r="B836">
        <v>1020</v>
      </c>
      <c r="C836">
        <v>975</v>
      </c>
      <c r="D836" s="1">
        <v>45763</v>
      </c>
      <c r="E836" t="s">
        <v>324</v>
      </c>
      <c r="F836" t="s">
        <v>325</v>
      </c>
      <c r="G836" t="str">
        <f>_xlfn.XLOOKUP(TRIM(E837),MedicineInfo!A:A,MedicineInfo!B:B,"Not Found")</f>
        <v>Paracetamol</v>
      </c>
      <c r="H836" s="1" cm="1">
        <f t="array" ref="H836">_xlfn.IFS(
OR(E836="Type 2 Diabetes",E836="Essential Hypertension",E836="Angina Pectoris",E836="Bronchial Asthma",E836="Cardiac Arrhythmia"), D836+30,
OR(E836="Gastritis",E836="Osteoarthritis",E836="Bronchitis",E836="Iron Deficiency Anemia"), D836+14,
OR(E836="Lumbar Strain",E836="Migraine Headache"), D836+7,
OR(E836="Viral Fever",E836="General Checkup","Routine Health Check"), "",
TRUE,""
)</f>
        <v>45793</v>
      </c>
      <c r="I836" s="1" t="str">
        <f t="shared" si="26"/>
        <v>Follow-up Scheduled</v>
      </c>
      <c r="J836" t="str">
        <f>TEXT(Table8[[#This Row],[visit_Date]],"DDDD")</f>
        <v>Wednesday</v>
      </c>
      <c r="K836" t="str">
        <f>TEXT(Table8[[#This Row],[visit_Date]],"mmmm")</f>
        <v>April</v>
      </c>
      <c r="L836" t="str">
        <f t="shared" si="27"/>
        <v>Summer</v>
      </c>
    </row>
    <row r="837" spans="1:12" x14ac:dyDescent="0.25">
      <c r="A837">
        <v>836</v>
      </c>
      <c r="B837">
        <v>1027</v>
      </c>
      <c r="C837">
        <v>644</v>
      </c>
      <c r="D837" s="1">
        <v>45792</v>
      </c>
      <c r="E837" t="s">
        <v>326</v>
      </c>
      <c r="F837" t="s">
        <v>327</v>
      </c>
      <c r="G837" t="str">
        <f>_xlfn.XLOOKUP(TRIM(E838),MedicineInfo!A:A,MedicineInfo!B:B,"Not Found")</f>
        <v>Nitroglycerin</v>
      </c>
      <c r="H837" s="1" t="str" cm="1">
        <f t="array" ref="H837">_xlfn.IFS(
OR(E837="Type 2 Diabetes",E837="Essential Hypertension",E837="Angina Pectoris",E837="Bronchial Asthma",E837="Cardiac Arrhythmia"), D837+30,
OR(E837="Gastritis",E837="Osteoarthritis",E837="Bronchitis",E837="Iron Deficiency Anemia"), D837+14,
OR(E837="Lumbar Strain",E837="Migraine Headache"), D837+7,
OR(E837="Viral Fever",E837="General Checkup","Routine Health Check"), "",
TRUE,""
)</f>
        <v/>
      </c>
      <c r="I837" s="1" t="str">
        <f t="shared" si="26"/>
        <v>No Follow-up Required</v>
      </c>
      <c r="J837" t="str">
        <f>TEXT(Table8[[#This Row],[visit_Date]],"DDDD")</f>
        <v>Thursday</v>
      </c>
      <c r="K837" t="str">
        <f>TEXT(Table8[[#This Row],[visit_Date]],"mmmm")</f>
        <v>May</v>
      </c>
      <c r="L837" t="str">
        <f t="shared" si="27"/>
        <v>Summer</v>
      </c>
    </row>
    <row r="838" spans="1:12" x14ac:dyDescent="0.25">
      <c r="A838">
        <v>837</v>
      </c>
      <c r="B838">
        <v>1001</v>
      </c>
      <c r="C838">
        <v>336</v>
      </c>
      <c r="D838" s="1">
        <v>45858</v>
      </c>
      <c r="E838" t="s">
        <v>322</v>
      </c>
      <c r="F838" t="s">
        <v>323</v>
      </c>
      <c r="G838" t="str">
        <f>_xlfn.XLOOKUP(TRIM(E839),MedicineInfo!A:A,MedicineInfo!B:B,"Not Found")</f>
        <v>Nitroglycerin</v>
      </c>
      <c r="H838" s="1" cm="1">
        <f t="array" ref="H838">_xlfn.IFS(
OR(E838="Type 2 Diabetes",E838="Essential Hypertension",E838="Angina Pectoris",E838="Bronchial Asthma",E838="Cardiac Arrhythmia"), D838+30,
OR(E838="Gastritis",E838="Osteoarthritis",E838="Bronchitis",E838="Iron Deficiency Anemia"), D838+14,
OR(E838="Lumbar Strain",E838="Migraine Headache"), D838+7,
OR(E838="Viral Fever",E838="General Checkup","Routine Health Check"), "",
TRUE,""
)</f>
        <v>45888</v>
      </c>
      <c r="I838" s="1" t="str">
        <f t="shared" si="26"/>
        <v>Follow-up Scheduled</v>
      </c>
      <c r="J838" t="str">
        <f>TEXT(Table8[[#This Row],[visit_Date]],"DDDD")</f>
        <v>Sunday</v>
      </c>
      <c r="K838" t="str">
        <f>TEXT(Table8[[#This Row],[visit_Date]],"mmmm")</f>
        <v>July</v>
      </c>
      <c r="L838" t="str">
        <f t="shared" si="27"/>
        <v>Monsoon</v>
      </c>
    </row>
    <row r="839" spans="1:12" x14ac:dyDescent="0.25">
      <c r="A839">
        <v>838</v>
      </c>
      <c r="B839">
        <v>1001</v>
      </c>
      <c r="C839">
        <v>376</v>
      </c>
      <c r="D839" s="1">
        <v>45769</v>
      </c>
      <c r="E839" t="s">
        <v>322</v>
      </c>
      <c r="F839" t="s">
        <v>323</v>
      </c>
      <c r="G839" t="str">
        <f>_xlfn.XLOOKUP(TRIM(E840),MedicineInfo!A:A,MedicineInfo!B:B,"Not Found")</f>
        <v>Multivitamin</v>
      </c>
      <c r="H839" s="1" cm="1">
        <f t="array" ref="H839">_xlfn.IFS(
OR(E839="Type 2 Diabetes",E839="Essential Hypertension",E839="Angina Pectoris",E839="Bronchial Asthma",E839="Cardiac Arrhythmia"), D839+30,
OR(E839="Gastritis",E839="Osteoarthritis",E839="Bronchitis",E839="Iron Deficiency Anemia"), D839+14,
OR(E839="Lumbar Strain",E839="Migraine Headache"), D839+7,
OR(E839="Viral Fever",E839="General Checkup","Routine Health Check"), "",
TRUE,""
)</f>
        <v>45799</v>
      </c>
      <c r="I839" s="1" t="str">
        <f t="shared" si="26"/>
        <v>Follow-up Scheduled</v>
      </c>
      <c r="J839" t="str">
        <f>TEXT(Table8[[#This Row],[visit_Date]],"DDDD")</f>
        <v>Tuesday</v>
      </c>
      <c r="K839" t="str">
        <f>TEXT(Table8[[#This Row],[visit_Date]],"mmmm")</f>
        <v>April</v>
      </c>
      <c r="L839" t="str">
        <f t="shared" si="27"/>
        <v>Summer</v>
      </c>
    </row>
    <row r="840" spans="1:12" x14ac:dyDescent="0.25">
      <c r="A840">
        <v>839</v>
      </c>
      <c r="B840">
        <v>1027</v>
      </c>
      <c r="C840">
        <v>159</v>
      </c>
      <c r="D840" s="1">
        <v>45777</v>
      </c>
      <c r="E840" t="s">
        <v>24</v>
      </c>
      <c r="F840" t="s">
        <v>321</v>
      </c>
      <c r="G840" t="str">
        <f>_xlfn.XLOOKUP(TRIM(E841),MedicineInfo!A:A,MedicineInfo!B:B,"Not Found")</f>
        <v>Multivitamin</v>
      </c>
      <c r="H840" s="1" t="str" cm="1">
        <f t="array" ref="H840">_xlfn.IFS(
OR(E840="Type 2 Diabetes",E840="Essential Hypertension",E840="Angina Pectoris",E840="Bronchial Asthma",E840="Cardiac Arrhythmia"), D840+30,
OR(E840="Gastritis",E840="Osteoarthritis",E840="Bronchitis",E840="Iron Deficiency Anemia"), D840+14,
OR(E840="Lumbar Strain",E840="Migraine Headache"), D840+7,
OR(E840="Viral Fever",E840="General Checkup","Routine Health Check"), "",
TRUE,""
)</f>
        <v/>
      </c>
      <c r="I840" s="1" t="str">
        <f t="shared" si="26"/>
        <v>No Follow-up Required</v>
      </c>
      <c r="J840" t="str">
        <f>TEXT(Table8[[#This Row],[visit_Date]],"DDDD")</f>
        <v>Wednesday</v>
      </c>
      <c r="K840" t="str">
        <f>TEXT(Table8[[#This Row],[visit_Date]],"mmmm")</f>
        <v>April</v>
      </c>
      <c r="L840" t="str">
        <f t="shared" si="27"/>
        <v>Summer</v>
      </c>
    </row>
    <row r="841" spans="1:12" x14ac:dyDescent="0.25">
      <c r="A841">
        <v>840</v>
      </c>
      <c r="B841">
        <v>1027</v>
      </c>
      <c r="C841">
        <v>1390</v>
      </c>
      <c r="D841" s="1">
        <v>45754</v>
      </c>
      <c r="E841" t="s">
        <v>24</v>
      </c>
      <c r="F841" t="s">
        <v>321</v>
      </c>
      <c r="G841" t="str">
        <f>_xlfn.XLOOKUP(TRIM(E842),MedicineInfo!A:A,MedicineInfo!B:B,"Not Found")</f>
        <v>Multivitamin</v>
      </c>
      <c r="H841" s="1" t="str" cm="1">
        <f t="array" ref="H841">_xlfn.IFS(
OR(E841="Type 2 Diabetes",E841="Essential Hypertension",E841="Angina Pectoris",E841="Bronchial Asthma",E841="Cardiac Arrhythmia"), D841+30,
OR(E841="Gastritis",E841="Osteoarthritis",E841="Bronchitis",E841="Iron Deficiency Anemia"), D841+14,
OR(E841="Lumbar Strain",E841="Migraine Headache"), D841+7,
OR(E841="Viral Fever",E841="General Checkup","Routine Health Check"), "",
TRUE,""
)</f>
        <v/>
      </c>
      <c r="I841" s="1" t="str">
        <f t="shared" si="26"/>
        <v>No Follow-up Required</v>
      </c>
      <c r="J841" t="str">
        <f>TEXT(Table8[[#This Row],[visit_Date]],"DDDD")</f>
        <v>Monday</v>
      </c>
      <c r="K841" t="str">
        <f>TEXT(Table8[[#This Row],[visit_Date]],"mmmm")</f>
        <v>April</v>
      </c>
      <c r="L841" t="str">
        <f t="shared" si="27"/>
        <v>Summer</v>
      </c>
    </row>
    <row r="842" spans="1:12" x14ac:dyDescent="0.25">
      <c r="A842">
        <v>841</v>
      </c>
      <c r="B842">
        <v>1027</v>
      </c>
      <c r="C842">
        <v>779</v>
      </c>
      <c r="D842" s="1">
        <v>45811</v>
      </c>
      <c r="E842" t="s">
        <v>24</v>
      </c>
      <c r="F842" t="s">
        <v>321</v>
      </c>
      <c r="G842" t="str">
        <f>_xlfn.XLOOKUP(TRIM(E843),MedicineInfo!A:A,MedicineInfo!B:B,"Not Found")</f>
        <v>Salbutamol Inhaler</v>
      </c>
      <c r="H842" s="1" t="str" cm="1">
        <f t="array" ref="H842">_xlfn.IFS(
OR(E842="Type 2 Diabetes",E842="Essential Hypertension",E842="Angina Pectoris",E842="Bronchial Asthma",E842="Cardiac Arrhythmia"), D842+30,
OR(E842="Gastritis",E842="Osteoarthritis",E842="Bronchitis",E842="Iron Deficiency Anemia"), D842+14,
OR(E842="Lumbar Strain",E842="Migraine Headache"), D842+7,
OR(E842="Viral Fever",E842="General Checkup","Routine Health Check"), "",
TRUE,""
)</f>
        <v/>
      </c>
      <c r="I842" s="1" t="str">
        <f t="shared" si="26"/>
        <v>No Follow-up Required</v>
      </c>
      <c r="J842" t="str">
        <f>TEXT(Table8[[#This Row],[visit_Date]],"DDDD")</f>
        <v>Tuesday</v>
      </c>
      <c r="K842" t="str">
        <f>TEXT(Table8[[#This Row],[visit_Date]],"mmmm")</f>
        <v>June</v>
      </c>
      <c r="L842" t="str">
        <f t="shared" si="27"/>
        <v>Monsoon</v>
      </c>
    </row>
    <row r="843" spans="1:12" x14ac:dyDescent="0.25">
      <c r="A843">
        <v>842</v>
      </c>
      <c r="B843">
        <v>1020</v>
      </c>
      <c r="C843">
        <v>752</v>
      </c>
      <c r="D843" s="1">
        <v>45747</v>
      </c>
      <c r="E843" t="s">
        <v>324</v>
      </c>
      <c r="F843" t="s">
        <v>325</v>
      </c>
      <c r="G843" t="str">
        <f>_xlfn.XLOOKUP(TRIM(E844),MedicineInfo!A:A,MedicineInfo!B:B,"Not Found")</f>
        <v>Sumatriptan</v>
      </c>
      <c r="H843" s="1" cm="1">
        <f t="array" ref="H843">_xlfn.IFS(
OR(E843="Type 2 Diabetes",E843="Essential Hypertension",E843="Angina Pectoris",E843="Bronchial Asthma",E843="Cardiac Arrhythmia"), D843+30,
OR(E843="Gastritis",E843="Osteoarthritis",E843="Bronchitis",E843="Iron Deficiency Anemia"), D843+14,
OR(E843="Lumbar Strain",E843="Migraine Headache"), D843+7,
OR(E843="Viral Fever",E843="General Checkup","Routine Health Check"), "",
TRUE,""
)</f>
        <v>45777</v>
      </c>
      <c r="I843" s="1" t="str">
        <f t="shared" si="26"/>
        <v>Follow-up Scheduled</v>
      </c>
      <c r="J843" t="str">
        <f>TEXT(Table8[[#This Row],[visit_Date]],"DDDD")</f>
        <v>Monday</v>
      </c>
      <c r="K843" t="str">
        <f>TEXT(Table8[[#This Row],[visit_Date]],"mmmm")</f>
        <v>March</v>
      </c>
      <c r="L843" t="str">
        <f t="shared" si="27"/>
        <v>Summer</v>
      </c>
    </row>
    <row r="844" spans="1:12" x14ac:dyDescent="0.25">
      <c r="A844">
        <v>843</v>
      </c>
      <c r="B844">
        <v>1009</v>
      </c>
      <c r="C844">
        <v>1060</v>
      </c>
      <c r="D844" s="1">
        <v>45790</v>
      </c>
      <c r="E844" t="s">
        <v>315</v>
      </c>
      <c r="F844" t="s">
        <v>316</v>
      </c>
      <c r="G844" t="str">
        <f>_xlfn.XLOOKUP(TRIM(E845),MedicineInfo!A:A,MedicineInfo!B:B,"Not Found")</f>
        <v>Diclofenac</v>
      </c>
      <c r="H844" s="1" cm="1">
        <f t="array" ref="H844">_xlfn.IFS(
OR(E844="Type 2 Diabetes",E844="Essential Hypertension",E844="Angina Pectoris",E844="Bronchial Asthma",E844="Cardiac Arrhythmia"), D844+30,
OR(E844="Gastritis",E844="Osteoarthritis",E844="Bronchitis",E844="Iron Deficiency Anemia"), D844+14,
OR(E844="Lumbar Strain",E844="Migraine Headache"), D844+7,
OR(E844="Viral Fever",E844="General Checkup","Routine Health Check"), "",
TRUE,""
)</f>
        <v>45797</v>
      </c>
      <c r="I844" s="1" t="str">
        <f t="shared" si="26"/>
        <v>Follow-up Scheduled</v>
      </c>
      <c r="J844" t="str">
        <f>TEXT(Table8[[#This Row],[visit_Date]],"DDDD")</f>
        <v>Tuesday</v>
      </c>
      <c r="K844" t="str">
        <f>TEXT(Table8[[#This Row],[visit_Date]],"mmmm")</f>
        <v>May</v>
      </c>
      <c r="L844" t="str">
        <f t="shared" si="27"/>
        <v>Summer</v>
      </c>
    </row>
    <row r="845" spans="1:12" x14ac:dyDescent="0.25">
      <c r="A845">
        <v>844</v>
      </c>
      <c r="B845">
        <v>1027</v>
      </c>
      <c r="C845">
        <v>1313</v>
      </c>
      <c r="D845" s="1">
        <v>45790</v>
      </c>
      <c r="E845" t="s">
        <v>313</v>
      </c>
      <c r="F845" t="s">
        <v>314</v>
      </c>
      <c r="G845" t="str">
        <f>_xlfn.XLOOKUP(TRIM(E846),MedicineInfo!A:A,MedicineInfo!B:B,"Not Found")</f>
        <v>Amlodipine</v>
      </c>
      <c r="H845" s="1" cm="1">
        <f t="array" ref="H845">_xlfn.IFS(
OR(E845="Type 2 Diabetes",E845="Essential Hypertension",E845="Angina Pectoris",E845="Bronchial Asthma",E845="Cardiac Arrhythmia"), D845+30,
OR(E845="Gastritis",E845="Osteoarthritis",E845="Bronchitis",E845="Iron Deficiency Anemia"), D845+14,
OR(E845="Lumbar Strain",E845="Migraine Headache"), D845+7,
OR(E845="Viral Fever",E845="General Checkup","Routine Health Check"), "",
TRUE,""
)</f>
        <v>45797</v>
      </c>
      <c r="I845" s="1" t="str">
        <f t="shared" si="26"/>
        <v>Follow-up Scheduled</v>
      </c>
      <c r="J845" t="str">
        <f>TEXT(Table8[[#This Row],[visit_Date]],"DDDD")</f>
        <v>Tuesday</v>
      </c>
      <c r="K845" t="str">
        <f>TEXT(Table8[[#This Row],[visit_Date]],"mmmm")</f>
        <v>May</v>
      </c>
      <c r="L845" t="str">
        <f t="shared" si="27"/>
        <v>Summer</v>
      </c>
    </row>
    <row r="846" spans="1:12" x14ac:dyDescent="0.25">
      <c r="A846">
        <v>845</v>
      </c>
      <c r="B846">
        <v>1002</v>
      </c>
      <c r="C846">
        <v>1575</v>
      </c>
      <c r="D846" s="1">
        <v>45672</v>
      </c>
      <c r="E846" t="s">
        <v>319</v>
      </c>
      <c r="F846" t="s">
        <v>320</v>
      </c>
      <c r="G846" t="str">
        <f>_xlfn.XLOOKUP(TRIM(E847),MedicineInfo!A:A,MedicineInfo!B:B,"Not Found")</f>
        <v>Diclofenac</v>
      </c>
      <c r="H846" s="1" cm="1">
        <f t="array" ref="H846">_xlfn.IFS(
OR(E846="Type 2 Diabetes",E846="Essential Hypertension",E846="Angina Pectoris",E846="Bronchial Asthma",E846="Cardiac Arrhythmia"), D846+30,
OR(E846="Gastritis",E846="Osteoarthritis",E846="Bronchitis",E846="Iron Deficiency Anemia"), D846+14,
OR(E846="Lumbar Strain",E846="Migraine Headache"), D846+7,
OR(E846="Viral Fever",E846="General Checkup","Routine Health Check"), "",
TRUE,""
)</f>
        <v>45702</v>
      </c>
      <c r="I846" s="1" t="str">
        <f t="shared" si="26"/>
        <v>Follow-up Scheduled</v>
      </c>
      <c r="J846" t="str">
        <f>TEXT(Table8[[#This Row],[visit_Date]],"DDDD")</f>
        <v>Wednesday</v>
      </c>
      <c r="K846" t="str">
        <f>TEXT(Table8[[#This Row],[visit_Date]],"mmmm")</f>
        <v>January</v>
      </c>
      <c r="L846" t="str">
        <f t="shared" si="27"/>
        <v>Winter</v>
      </c>
    </row>
    <row r="847" spans="1:12" x14ac:dyDescent="0.25">
      <c r="A847">
        <v>846</v>
      </c>
      <c r="B847">
        <v>1027</v>
      </c>
      <c r="C847">
        <v>108</v>
      </c>
      <c r="D847" s="1">
        <v>45814</v>
      </c>
      <c r="E847" t="s">
        <v>313</v>
      </c>
      <c r="F847" t="s">
        <v>314</v>
      </c>
      <c r="G847" t="str">
        <f>_xlfn.XLOOKUP(TRIM(E848),MedicineInfo!A:A,MedicineInfo!B:B,"Not Found")</f>
        <v>Sumatriptan</v>
      </c>
      <c r="H847" s="1" cm="1">
        <f t="array" ref="H847">_xlfn.IFS(
OR(E847="Type 2 Diabetes",E847="Essential Hypertension",E847="Angina Pectoris",E847="Bronchial Asthma",E847="Cardiac Arrhythmia"), D847+30,
OR(E847="Gastritis",E847="Osteoarthritis",E847="Bronchitis",E847="Iron Deficiency Anemia"), D847+14,
OR(E847="Lumbar Strain",E847="Migraine Headache"), D847+7,
OR(E847="Viral Fever",E847="General Checkup","Routine Health Check"), "",
TRUE,""
)</f>
        <v>45821</v>
      </c>
      <c r="I847" s="1" t="str">
        <f t="shared" si="26"/>
        <v>Follow-up Scheduled</v>
      </c>
      <c r="J847" t="str">
        <f>TEXT(Table8[[#This Row],[visit_Date]],"DDDD")</f>
        <v>Friday</v>
      </c>
      <c r="K847" t="str">
        <f>TEXT(Table8[[#This Row],[visit_Date]],"mmmm")</f>
        <v>June</v>
      </c>
      <c r="L847" t="str">
        <f t="shared" si="27"/>
        <v>Monsoon</v>
      </c>
    </row>
    <row r="848" spans="1:12" x14ac:dyDescent="0.25">
      <c r="A848">
        <v>847</v>
      </c>
      <c r="B848">
        <v>1008</v>
      </c>
      <c r="C848">
        <v>402</v>
      </c>
      <c r="D848" s="1">
        <v>45731</v>
      </c>
      <c r="E848" t="s">
        <v>315</v>
      </c>
      <c r="F848" t="s">
        <v>316</v>
      </c>
      <c r="G848" t="str">
        <f>_xlfn.XLOOKUP(TRIM(E849),MedicineInfo!A:A,MedicineInfo!B:B,"Not Found")</f>
        <v>Metformin</v>
      </c>
      <c r="H848" s="1" cm="1">
        <f t="array" ref="H848">_xlfn.IFS(
OR(E848="Type 2 Diabetes",E848="Essential Hypertension",E848="Angina Pectoris",E848="Bronchial Asthma",E848="Cardiac Arrhythmia"), D848+30,
OR(E848="Gastritis",E848="Osteoarthritis",E848="Bronchitis",E848="Iron Deficiency Anemia"), D848+14,
OR(E848="Lumbar Strain",E848="Migraine Headache"), D848+7,
OR(E848="Viral Fever",E848="General Checkup","Routine Health Check"), "",
TRUE,""
)</f>
        <v>45738</v>
      </c>
      <c r="I848" s="1" t="str">
        <f t="shared" si="26"/>
        <v>Follow-up Scheduled</v>
      </c>
      <c r="J848" t="str">
        <f>TEXT(Table8[[#This Row],[visit_Date]],"DDDD")</f>
        <v>Saturday</v>
      </c>
      <c r="K848" t="str">
        <f>TEXT(Table8[[#This Row],[visit_Date]],"mmmm")</f>
        <v>March</v>
      </c>
      <c r="L848" t="str">
        <f t="shared" si="27"/>
        <v>Summer</v>
      </c>
    </row>
    <row r="849" spans="1:12" x14ac:dyDescent="0.25">
      <c r="A849">
        <v>848</v>
      </c>
      <c r="B849">
        <v>1024</v>
      </c>
      <c r="C849">
        <v>816</v>
      </c>
      <c r="D849" s="1">
        <v>45777</v>
      </c>
      <c r="E849" t="s">
        <v>317</v>
      </c>
      <c r="F849" t="s">
        <v>318</v>
      </c>
      <c r="G849" t="str">
        <f>_xlfn.XLOOKUP(TRIM(E850),MedicineInfo!A:A,MedicineInfo!B:B,"Not Found")</f>
        <v>Salbutamol Inhaler</v>
      </c>
      <c r="H849" s="1" cm="1">
        <f t="array" ref="H849">_xlfn.IFS(
OR(E849="Type 2 Diabetes",E849="Essential Hypertension",E849="Angina Pectoris",E849="Bronchial Asthma",E849="Cardiac Arrhythmia"), D849+30,
OR(E849="Gastritis",E849="Osteoarthritis",E849="Bronchitis",E849="Iron Deficiency Anemia"), D849+14,
OR(E849="Lumbar Strain",E849="Migraine Headache"), D849+7,
OR(E849="Viral Fever",E849="General Checkup","Routine Health Check"), "",
TRUE,""
)</f>
        <v>45807</v>
      </c>
      <c r="I849" s="1" t="str">
        <f t="shared" si="26"/>
        <v>Follow-up Scheduled</v>
      </c>
      <c r="J849" t="str">
        <f>TEXT(Table8[[#This Row],[visit_Date]],"DDDD")</f>
        <v>Wednesday</v>
      </c>
      <c r="K849" t="str">
        <f>TEXT(Table8[[#This Row],[visit_Date]],"mmmm")</f>
        <v>April</v>
      </c>
      <c r="L849" t="str">
        <f t="shared" si="27"/>
        <v>Summer</v>
      </c>
    </row>
    <row r="850" spans="1:12" x14ac:dyDescent="0.25">
      <c r="A850">
        <v>849</v>
      </c>
      <c r="B850">
        <v>1020</v>
      </c>
      <c r="C850">
        <v>1258</v>
      </c>
      <c r="D850" s="1">
        <v>45792</v>
      </c>
      <c r="E850" t="s">
        <v>324</v>
      </c>
      <c r="F850" t="s">
        <v>325</v>
      </c>
      <c r="G850" t="str">
        <f>_xlfn.XLOOKUP(TRIM(E851),MedicineInfo!A:A,MedicineInfo!B:B,"Not Found")</f>
        <v>Salbutamol Inhaler</v>
      </c>
      <c r="H850" s="1" cm="1">
        <f t="array" ref="H850">_xlfn.IFS(
OR(E850="Type 2 Diabetes",E850="Essential Hypertension",E850="Angina Pectoris",E850="Bronchial Asthma",E850="Cardiac Arrhythmia"), D850+30,
OR(E850="Gastritis",E850="Osteoarthritis",E850="Bronchitis",E850="Iron Deficiency Anemia"), D850+14,
OR(E850="Lumbar Strain",E850="Migraine Headache"), D850+7,
OR(E850="Viral Fever",E850="General Checkup","Routine Health Check"), "",
TRUE,""
)</f>
        <v>45822</v>
      </c>
      <c r="I850" s="1" t="str">
        <f t="shared" si="26"/>
        <v>Follow-up Scheduled</v>
      </c>
      <c r="J850" t="str">
        <f>TEXT(Table8[[#This Row],[visit_Date]],"DDDD")</f>
        <v>Thursday</v>
      </c>
      <c r="K850" t="str">
        <f>TEXT(Table8[[#This Row],[visit_Date]],"mmmm")</f>
        <v>May</v>
      </c>
      <c r="L850" t="str">
        <f t="shared" si="27"/>
        <v>Summer</v>
      </c>
    </row>
    <row r="851" spans="1:12" x14ac:dyDescent="0.25">
      <c r="A851">
        <v>850</v>
      </c>
      <c r="B851">
        <v>1020</v>
      </c>
      <c r="C851">
        <v>451</v>
      </c>
      <c r="D851" s="1">
        <v>45783</v>
      </c>
      <c r="E851" t="s">
        <v>324</v>
      </c>
      <c r="F851" t="s">
        <v>325</v>
      </c>
      <c r="G851" t="str">
        <f>_xlfn.XLOOKUP(TRIM(E852),MedicineInfo!A:A,MedicineInfo!B:B,"Not Found")</f>
        <v>Salbutamol Inhaler</v>
      </c>
      <c r="H851" s="1" cm="1">
        <f t="array" ref="H851">_xlfn.IFS(
OR(E851="Type 2 Diabetes",E851="Essential Hypertension",E851="Angina Pectoris",E851="Bronchial Asthma",E851="Cardiac Arrhythmia"), D851+30,
OR(E851="Gastritis",E851="Osteoarthritis",E851="Bronchitis",E851="Iron Deficiency Anemia"), D851+14,
OR(E851="Lumbar Strain",E851="Migraine Headache"), D851+7,
OR(E851="Viral Fever",E851="General Checkup","Routine Health Check"), "",
TRUE,""
)</f>
        <v>45813</v>
      </c>
      <c r="I851" s="1" t="str">
        <f t="shared" si="26"/>
        <v>Follow-up Scheduled</v>
      </c>
      <c r="J851" t="str">
        <f>TEXT(Table8[[#This Row],[visit_Date]],"DDDD")</f>
        <v>Tuesday</v>
      </c>
      <c r="K851" t="str">
        <f>TEXT(Table8[[#This Row],[visit_Date]],"mmmm")</f>
        <v>May</v>
      </c>
      <c r="L851" t="str">
        <f t="shared" si="27"/>
        <v>Summer</v>
      </c>
    </row>
    <row r="852" spans="1:12" x14ac:dyDescent="0.25">
      <c r="A852">
        <v>851</v>
      </c>
      <c r="B852">
        <v>1020</v>
      </c>
      <c r="C852">
        <v>249</v>
      </c>
      <c r="D852" s="1">
        <v>45814</v>
      </c>
      <c r="E852" t="s">
        <v>324</v>
      </c>
      <c r="F852" t="s">
        <v>325</v>
      </c>
      <c r="G852" t="str">
        <f>_xlfn.XLOOKUP(TRIM(E853),MedicineInfo!A:A,MedicineInfo!B:B,"Not Found")</f>
        <v>Amlodipine</v>
      </c>
      <c r="H852" s="1" cm="1">
        <f t="array" ref="H852">_xlfn.IFS(
OR(E852="Type 2 Diabetes",E852="Essential Hypertension",E852="Angina Pectoris",E852="Bronchial Asthma",E852="Cardiac Arrhythmia"), D852+30,
OR(E852="Gastritis",E852="Osteoarthritis",E852="Bronchitis",E852="Iron Deficiency Anemia"), D852+14,
OR(E852="Lumbar Strain",E852="Migraine Headache"), D852+7,
OR(E852="Viral Fever",E852="General Checkup","Routine Health Check"), "",
TRUE,""
)</f>
        <v>45844</v>
      </c>
      <c r="I852" s="1" t="str">
        <f t="shared" si="26"/>
        <v>Follow-up Scheduled</v>
      </c>
      <c r="J852" t="str">
        <f>TEXT(Table8[[#This Row],[visit_Date]],"DDDD")</f>
        <v>Friday</v>
      </c>
      <c r="K852" t="str">
        <f>TEXT(Table8[[#This Row],[visit_Date]],"mmmm")</f>
        <v>June</v>
      </c>
      <c r="L852" t="str">
        <f t="shared" si="27"/>
        <v>Monsoon</v>
      </c>
    </row>
    <row r="853" spans="1:12" x14ac:dyDescent="0.25">
      <c r="A853">
        <v>852</v>
      </c>
      <c r="B853">
        <v>1002</v>
      </c>
      <c r="C853">
        <v>551</v>
      </c>
      <c r="D853" s="1">
        <v>45704</v>
      </c>
      <c r="E853" t="s">
        <v>319</v>
      </c>
      <c r="F853" t="s">
        <v>320</v>
      </c>
      <c r="G853" t="str">
        <f>_xlfn.XLOOKUP(TRIM(E854),MedicineInfo!A:A,MedicineInfo!B:B,"Not Found")</f>
        <v>Amlodipine</v>
      </c>
      <c r="H853" s="1" cm="1">
        <f t="array" ref="H853">_xlfn.IFS(
OR(E853="Type 2 Diabetes",E853="Essential Hypertension",E853="Angina Pectoris",E853="Bronchial Asthma",E853="Cardiac Arrhythmia"), D853+30,
OR(E853="Gastritis",E853="Osteoarthritis",E853="Bronchitis",E853="Iron Deficiency Anemia"), D853+14,
OR(E853="Lumbar Strain",E853="Migraine Headache"), D853+7,
OR(E853="Viral Fever",E853="General Checkup","Routine Health Check"), "",
TRUE,""
)</f>
        <v>45734</v>
      </c>
      <c r="I853" s="1" t="str">
        <f t="shared" si="26"/>
        <v>Follow-up Scheduled</v>
      </c>
      <c r="J853" t="str">
        <f>TEXT(Table8[[#This Row],[visit_Date]],"DDDD")</f>
        <v>Sunday</v>
      </c>
      <c r="K853" t="str">
        <f>TEXT(Table8[[#This Row],[visit_Date]],"mmmm")</f>
        <v>February</v>
      </c>
      <c r="L853" t="str">
        <f t="shared" si="27"/>
        <v>Winter</v>
      </c>
    </row>
    <row r="854" spans="1:12" x14ac:dyDescent="0.25">
      <c r="A854">
        <v>853</v>
      </c>
      <c r="B854">
        <v>1001</v>
      </c>
      <c r="C854">
        <v>539</v>
      </c>
      <c r="D854" s="1">
        <v>45814</v>
      </c>
      <c r="E854" t="s">
        <v>319</v>
      </c>
      <c r="F854" t="s">
        <v>320</v>
      </c>
      <c r="G854" t="str">
        <f>_xlfn.XLOOKUP(TRIM(E855),MedicineInfo!A:A,MedicineInfo!B:B,"Not Found")</f>
        <v>Diclofenac</v>
      </c>
      <c r="H854" s="1" cm="1">
        <f t="array" ref="H854">_xlfn.IFS(
OR(E854="Type 2 Diabetes",E854="Essential Hypertension",E854="Angina Pectoris",E854="Bronchial Asthma",E854="Cardiac Arrhythmia"), D854+30,
OR(E854="Gastritis",E854="Osteoarthritis",E854="Bronchitis",E854="Iron Deficiency Anemia"), D854+14,
OR(E854="Lumbar Strain",E854="Migraine Headache"), D854+7,
OR(E854="Viral Fever",E854="General Checkup","Routine Health Check"), "",
TRUE,""
)</f>
        <v>45844</v>
      </c>
      <c r="I854" s="1" t="str">
        <f t="shared" si="26"/>
        <v>Follow-up Scheduled</v>
      </c>
      <c r="J854" t="str">
        <f>TEXT(Table8[[#This Row],[visit_Date]],"DDDD")</f>
        <v>Friday</v>
      </c>
      <c r="K854" t="str">
        <f>TEXT(Table8[[#This Row],[visit_Date]],"mmmm")</f>
        <v>June</v>
      </c>
      <c r="L854" t="str">
        <f t="shared" si="27"/>
        <v>Monsoon</v>
      </c>
    </row>
    <row r="855" spans="1:12" x14ac:dyDescent="0.25">
      <c r="A855">
        <v>854</v>
      </c>
      <c r="B855">
        <v>1027</v>
      </c>
      <c r="C855">
        <v>469</v>
      </c>
      <c r="D855" s="1">
        <v>45744</v>
      </c>
      <c r="E855" t="s">
        <v>313</v>
      </c>
      <c r="F855" t="s">
        <v>314</v>
      </c>
      <c r="G855" t="str">
        <f>_xlfn.XLOOKUP(TRIM(E856),MedicineInfo!A:A,MedicineInfo!B:B,"Not Found")</f>
        <v>Amlodipine</v>
      </c>
      <c r="H855" s="1" cm="1">
        <f t="array" ref="H855">_xlfn.IFS(
OR(E855="Type 2 Diabetes",E855="Essential Hypertension",E855="Angina Pectoris",E855="Bronchial Asthma",E855="Cardiac Arrhythmia"), D855+30,
OR(E855="Gastritis",E855="Osteoarthritis",E855="Bronchitis",E855="Iron Deficiency Anemia"), D855+14,
OR(E855="Lumbar Strain",E855="Migraine Headache"), D855+7,
OR(E855="Viral Fever",E855="General Checkup","Routine Health Check"), "",
TRUE,""
)</f>
        <v>45751</v>
      </c>
      <c r="I855" s="1" t="str">
        <f t="shared" si="26"/>
        <v>Follow-up Scheduled</v>
      </c>
      <c r="J855" t="str">
        <f>TEXT(Table8[[#This Row],[visit_Date]],"DDDD")</f>
        <v>Friday</v>
      </c>
      <c r="K855" t="str">
        <f>TEXT(Table8[[#This Row],[visit_Date]],"mmmm")</f>
        <v>March</v>
      </c>
      <c r="L855" t="str">
        <f t="shared" si="27"/>
        <v>Summer</v>
      </c>
    </row>
    <row r="856" spans="1:12" x14ac:dyDescent="0.25">
      <c r="A856">
        <v>855</v>
      </c>
      <c r="B856">
        <v>1001</v>
      </c>
      <c r="C856">
        <v>311</v>
      </c>
      <c r="D856" s="1">
        <v>45725</v>
      </c>
      <c r="E856" t="s">
        <v>319</v>
      </c>
      <c r="F856" t="s">
        <v>320</v>
      </c>
      <c r="G856" t="str">
        <f>_xlfn.XLOOKUP(TRIM(E857),MedicineInfo!A:A,MedicineInfo!B:B,"Not Found")</f>
        <v>Metformin</v>
      </c>
      <c r="H856" s="1" cm="1">
        <f t="array" ref="H856">_xlfn.IFS(
OR(E856="Type 2 Diabetes",E856="Essential Hypertension",E856="Angina Pectoris",E856="Bronchial Asthma",E856="Cardiac Arrhythmia"), D856+30,
OR(E856="Gastritis",E856="Osteoarthritis",E856="Bronchitis",E856="Iron Deficiency Anemia"), D856+14,
OR(E856="Lumbar Strain",E856="Migraine Headache"), D856+7,
OR(E856="Viral Fever",E856="General Checkup","Routine Health Check"), "",
TRUE,""
)</f>
        <v>45755</v>
      </c>
      <c r="I856" s="1" t="str">
        <f t="shared" si="26"/>
        <v>Follow-up Scheduled</v>
      </c>
      <c r="J856" t="str">
        <f>TEXT(Table8[[#This Row],[visit_Date]],"DDDD")</f>
        <v>Sunday</v>
      </c>
      <c r="K856" t="str">
        <f>TEXT(Table8[[#This Row],[visit_Date]],"mmmm")</f>
        <v>March</v>
      </c>
      <c r="L856" t="str">
        <f t="shared" si="27"/>
        <v>Summer</v>
      </c>
    </row>
    <row r="857" spans="1:12" x14ac:dyDescent="0.25">
      <c r="A857">
        <v>856</v>
      </c>
      <c r="B857">
        <v>1024</v>
      </c>
      <c r="C857">
        <v>345</v>
      </c>
      <c r="D857" s="1">
        <v>45699</v>
      </c>
      <c r="E857" t="s">
        <v>317</v>
      </c>
      <c r="F857" t="s">
        <v>318</v>
      </c>
      <c r="G857" t="str">
        <f>_xlfn.XLOOKUP(TRIM(E858),MedicineInfo!A:A,MedicineInfo!B:B,"Not Found")</f>
        <v>Amlodipine</v>
      </c>
      <c r="H857" s="1" cm="1">
        <f t="array" ref="H857">_xlfn.IFS(
OR(E857="Type 2 Diabetes",E857="Essential Hypertension",E857="Angina Pectoris",E857="Bronchial Asthma",E857="Cardiac Arrhythmia"), D857+30,
OR(E857="Gastritis",E857="Osteoarthritis",E857="Bronchitis",E857="Iron Deficiency Anemia"), D857+14,
OR(E857="Lumbar Strain",E857="Migraine Headache"), D857+7,
OR(E857="Viral Fever",E857="General Checkup","Routine Health Check"), "",
TRUE,""
)</f>
        <v>45729</v>
      </c>
      <c r="I857" s="1" t="str">
        <f t="shared" si="26"/>
        <v>Follow-up Scheduled</v>
      </c>
      <c r="J857" t="str">
        <f>TEXT(Table8[[#This Row],[visit_Date]],"DDDD")</f>
        <v>Tuesday</v>
      </c>
      <c r="K857" t="str">
        <f>TEXT(Table8[[#This Row],[visit_Date]],"mmmm")</f>
        <v>February</v>
      </c>
      <c r="L857" t="str">
        <f t="shared" si="27"/>
        <v>Winter</v>
      </c>
    </row>
    <row r="858" spans="1:12" x14ac:dyDescent="0.25">
      <c r="A858">
        <v>857</v>
      </c>
      <c r="B858">
        <v>1002</v>
      </c>
      <c r="C858">
        <v>514</v>
      </c>
      <c r="D858" s="1">
        <v>45708</v>
      </c>
      <c r="E858" t="s">
        <v>319</v>
      </c>
      <c r="F858" t="s">
        <v>320</v>
      </c>
      <c r="G858" t="str">
        <f>_xlfn.XLOOKUP(TRIM(E859),MedicineInfo!A:A,MedicineInfo!B:B,"Not Found")</f>
        <v>Sumatriptan</v>
      </c>
      <c r="H858" s="1" cm="1">
        <f t="array" ref="H858">_xlfn.IFS(
OR(E858="Type 2 Diabetes",E858="Essential Hypertension",E858="Angina Pectoris",E858="Bronchial Asthma",E858="Cardiac Arrhythmia"), D858+30,
OR(E858="Gastritis",E858="Osteoarthritis",E858="Bronchitis",E858="Iron Deficiency Anemia"), D858+14,
OR(E858="Lumbar Strain",E858="Migraine Headache"), D858+7,
OR(E858="Viral Fever",E858="General Checkup","Routine Health Check"), "",
TRUE,""
)</f>
        <v>45738</v>
      </c>
      <c r="I858" s="1" t="str">
        <f t="shared" si="26"/>
        <v>Follow-up Scheduled</v>
      </c>
      <c r="J858" t="str">
        <f>TEXT(Table8[[#This Row],[visit_Date]],"DDDD")</f>
        <v>Thursday</v>
      </c>
      <c r="K858" t="str">
        <f>TEXT(Table8[[#This Row],[visit_Date]],"mmmm")</f>
        <v>February</v>
      </c>
      <c r="L858" t="str">
        <f t="shared" si="27"/>
        <v>Winter</v>
      </c>
    </row>
    <row r="859" spans="1:12" x14ac:dyDescent="0.25">
      <c r="A859">
        <v>858</v>
      </c>
      <c r="B859">
        <v>1008</v>
      </c>
      <c r="C859">
        <v>764</v>
      </c>
      <c r="D859" s="1">
        <v>45691</v>
      </c>
      <c r="E859" t="s">
        <v>315</v>
      </c>
      <c r="F859" t="s">
        <v>316</v>
      </c>
      <c r="G859" t="str">
        <f>_xlfn.XLOOKUP(TRIM(E860),MedicineInfo!A:A,MedicineInfo!B:B,"Not Found")</f>
        <v>Multivitamin</v>
      </c>
      <c r="H859" s="1" cm="1">
        <f t="array" ref="H859">_xlfn.IFS(
OR(E859="Type 2 Diabetes",E859="Essential Hypertension",E859="Angina Pectoris",E859="Bronchial Asthma",E859="Cardiac Arrhythmia"), D859+30,
OR(E859="Gastritis",E859="Osteoarthritis",E859="Bronchitis",E859="Iron Deficiency Anemia"), D859+14,
OR(E859="Lumbar Strain",E859="Migraine Headache"), D859+7,
OR(E859="Viral Fever",E859="General Checkup","Routine Health Check"), "",
TRUE,""
)</f>
        <v>45698</v>
      </c>
      <c r="I859" s="1" t="str">
        <f t="shared" si="26"/>
        <v>Follow-up Scheduled</v>
      </c>
      <c r="J859" t="str">
        <f>TEXT(Table8[[#This Row],[visit_Date]],"DDDD")</f>
        <v>Monday</v>
      </c>
      <c r="K859" t="str">
        <f>TEXT(Table8[[#This Row],[visit_Date]],"mmmm")</f>
        <v>February</v>
      </c>
      <c r="L859" t="str">
        <f t="shared" si="27"/>
        <v>Winter</v>
      </c>
    </row>
    <row r="860" spans="1:12" x14ac:dyDescent="0.25">
      <c r="A860">
        <v>859</v>
      </c>
      <c r="B860">
        <v>1027</v>
      </c>
      <c r="C860">
        <v>989</v>
      </c>
      <c r="D860" s="1">
        <v>45775</v>
      </c>
      <c r="E860" t="s">
        <v>24</v>
      </c>
      <c r="F860" t="s">
        <v>321</v>
      </c>
      <c r="G860" t="str">
        <f>_xlfn.XLOOKUP(TRIM(E861),MedicineInfo!A:A,MedicineInfo!B:B,"Not Found")</f>
        <v>Multivitamin</v>
      </c>
      <c r="H860" s="1" t="str" cm="1">
        <f t="array" ref="H860">_xlfn.IFS(
OR(E860="Type 2 Diabetes",E860="Essential Hypertension",E860="Angina Pectoris",E860="Bronchial Asthma",E860="Cardiac Arrhythmia"), D860+30,
OR(E860="Gastritis",E860="Osteoarthritis",E860="Bronchitis",E860="Iron Deficiency Anemia"), D860+14,
OR(E860="Lumbar Strain",E860="Migraine Headache"), D860+7,
OR(E860="Viral Fever",E860="General Checkup","Routine Health Check"), "",
TRUE,""
)</f>
        <v/>
      </c>
      <c r="I860" s="1" t="str">
        <f t="shared" si="26"/>
        <v>No Follow-up Required</v>
      </c>
      <c r="J860" t="str">
        <f>TEXT(Table8[[#This Row],[visit_Date]],"DDDD")</f>
        <v>Monday</v>
      </c>
      <c r="K860" t="str">
        <f>TEXT(Table8[[#This Row],[visit_Date]],"mmmm")</f>
        <v>April</v>
      </c>
      <c r="L860" t="str">
        <f t="shared" si="27"/>
        <v>Summer</v>
      </c>
    </row>
    <row r="861" spans="1:12" x14ac:dyDescent="0.25">
      <c r="A861">
        <v>860</v>
      </c>
      <c r="B861">
        <v>1027</v>
      </c>
      <c r="C861">
        <v>1033</v>
      </c>
      <c r="D861" s="1">
        <v>45790</v>
      </c>
      <c r="E861" t="s">
        <v>24</v>
      </c>
      <c r="F861" t="s">
        <v>321</v>
      </c>
      <c r="G861" t="str">
        <f>_xlfn.XLOOKUP(TRIM(E862),MedicineInfo!A:A,MedicineInfo!B:B,"Not Found")</f>
        <v>Metformin</v>
      </c>
      <c r="H861" s="1" t="str" cm="1">
        <f t="array" ref="H861">_xlfn.IFS(
OR(E861="Type 2 Diabetes",E861="Essential Hypertension",E861="Angina Pectoris",E861="Bronchial Asthma",E861="Cardiac Arrhythmia"), D861+30,
OR(E861="Gastritis",E861="Osteoarthritis",E861="Bronchitis",E861="Iron Deficiency Anemia"), D861+14,
OR(E861="Lumbar Strain",E861="Migraine Headache"), D861+7,
OR(E861="Viral Fever",E861="General Checkup","Routine Health Check"), "",
TRUE,""
)</f>
        <v/>
      </c>
      <c r="I861" s="1" t="str">
        <f t="shared" si="26"/>
        <v>No Follow-up Required</v>
      </c>
      <c r="J861" t="str">
        <f>TEXT(Table8[[#This Row],[visit_Date]],"DDDD")</f>
        <v>Tuesday</v>
      </c>
      <c r="K861" t="str">
        <f>TEXT(Table8[[#This Row],[visit_Date]],"mmmm")</f>
        <v>May</v>
      </c>
      <c r="L861" t="str">
        <f t="shared" si="27"/>
        <v>Summer</v>
      </c>
    </row>
    <row r="862" spans="1:12" x14ac:dyDescent="0.25">
      <c r="A862">
        <v>861</v>
      </c>
      <c r="B862">
        <v>1024</v>
      </c>
      <c r="C862">
        <v>121</v>
      </c>
      <c r="D862" s="1">
        <v>45761</v>
      </c>
      <c r="E862" t="s">
        <v>317</v>
      </c>
      <c r="F862" t="s">
        <v>318</v>
      </c>
      <c r="G862" t="str">
        <f>_xlfn.XLOOKUP(TRIM(E863),MedicineInfo!A:A,MedicineInfo!B:B,"Not Found")</f>
        <v>Diclofenac</v>
      </c>
      <c r="H862" s="1" cm="1">
        <f t="array" ref="H862">_xlfn.IFS(
OR(E862="Type 2 Diabetes",E862="Essential Hypertension",E862="Angina Pectoris",E862="Bronchial Asthma",E862="Cardiac Arrhythmia"), D862+30,
OR(E862="Gastritis",E862="Osteoarthritis",E862="Bronchitis",E862="Iron Deficiency Anemia"), D862+14,
OR(E862="Lumbar Strain",E862="Migraine Headache"), D862+7,
OR(E862="Viral Fever",E862="General Checkup","Routine Health Check"), "",
TRUE,""
)</f>
        <v>45791</v>
      </c>
      <c r="I862" s="1" t="str">
        <f t="shared" si="26"/>
        <v>Follow-up Scheduled</v>
      </c>
      <c r="J862" t="str">
        <f>TEXT(Table8[[#This Row],[visit_Date]],"DDDD")</f>
        <v>Monday</v>
      </c>
      <c r="K862" t="str">
        <f>TEXT(Table8[[#This Row],[visit_Date]],"mmmm")</f>
        <v>April</v>
      </c>
      <c r="L862" t="str">
        <f t="shared" si="27"/>
        <v>Summer</v>
      </c>
    </row>
    <row r="863" spans="1:12" x14ac:dyDescent="0.25">
      <c r="A863">
        <v>862</v>
      </c>
      <c r="B863">
        <v>1027</v>
      </c>
      <c r="C863">
        <v>1354</v>
      </c>
      <c r="D863" s="1">
        <v>45672</v>
      </c>
      <c r="E863" t="s">
        <v>313</v>
      </c>
      <c r="F863" t="s">
        <v>314</v>
      </c>
      <c r="G863" t="str">
        <f>_xlfn.XLOOKUP(TRIM(E864),MedicineInfo!A:A,MedicineInfo!B:B,"Not Found")</f>
        <v>Amlodipine</v>
      </c>
      <c r="H863" s="1" cm="1">
        <f t="array" ref="H863">_xlfn.IFS(
OR(E863="Type 2 Diabetes",E863="Essential Hypertension",E863="Angina Pectoris",E863="Bronchial Asthma",E863="Cardiac Arrhythmia"), D863+30,
OR(E863="Gastritis",E863="Osteoarthritis",E863="Bronchitis",E863="Iron Deficiency Anemia"), D863+14,
OR(E863="Lumbar Strain",E863="Migraine Headache"), D863+7,
OR(E863="Viral Fever",E863="General Checkup","Routine Health Check"), "",
TRUE,""
)</f>
        <v>45679</v>
      </c>
      <c r="I863" s="1" t="str">
        <f t="shared" si="26"/>
        <v>Follow-up Scheduled</v>
      </c>
      <c r="J863" t="str">
        <f>TEXT(Table8[[#This Row],[visit_Date]],"DDDD")</f>
        <v>Wednesday</v>
      </c>
      <c r="K863" t="str">
        <f>TEXT(Table8[[#This Row],[visit_Date]],"mmmm")</f>
        <v>January</v>
      </c>
      <c r="L863" t="str">
        <f t="shared" si="27"/>
        <v>Winter</v>
      </c>
    </row>
    <row r="864" spans="1:12" x14ac:dyDescent="0.25">
      <c r="A864">
        <v>863</v>
      </c>
      <c r="B864">
        <v>1001</v>
      </c>
      <c r="C864">
        <v>658</v>
      </c>
      <c r="D864" s="1">
        <v>45792</v>
      </c>
      <c r="E864" t="s">
        <v>319</v>
      </c>
      <c r="F864" t="s">
        <v>320</v>
      </c>
      <c r="G864" t="str">
        <f>_xlfn.XLOOKUP(TRIM(E865),MedicineInfo!A:A,MedicineInfo!B:B,"Not Found")</f>
        <v>Diclofenac</v>
      </c>
      <c r="H864" s="1" cm="1">
        <f t="array" ref="H864">_xlfn.IFS(
OR(E864="Type 2 Diabetes",E864="Essential Hypertension",E864="Angina Pectoris",E864="Bronchial Asthma",E864="Cardiac Arrhythmia"), D864+30,
OR(E864="Gastritis",E864="Osteoarthritis",E864="Bronchitis",E864="Iron Deficiency Anemia"), D864+14,
OR(E864="Lumbar Strain",E864="Migraine Headache"), D864+7,
OR(E864="Viral Fever",E864="General Checkup","Routine Health Check"), "",
TRUE,""
)</f>
        <v>45822</v>
      </c>
      <c r="I864" s="1" t="str">
        <f t="shared" si="26"/>
        <v>Follow-up Scheduled</v>
      </c>
      <c r="J864" t="str">
        <f>TEXT(Table8[[#This Row],[visit_Date]],"DDDD")</f>
        <v>Thursday</v>
      </c>
      <c r="K864" t="str">
        <f>TEXT(Table8[[#This Row],[visit_Date]],"mmmm")</f>
        <v>May</v>
      </c>
      <c r="L864" t="str">
        <f t="shared" si="27"/>
        <v>Summer</v>
      </c>
    </row>
    <row r="865" spans="1:12" x14ac:dyDescent="0.25">
      <c r="A865">
        <v>864</v>
      </c>
      <c r="B865">
        <v>1027</v>
      </c>
      <c r="C865">
        <v>525</v>
      </c>
      <c r="D865" s="1">
        <v>45755</v>
      </c>
      <c r="E865" t="s">
        <v>313</v>
      </c>
      <c r="F865" t="s">
        <v>314</v>
      </c>
      <c r="G865" t="str">
        <f>_xlfn.XLOOKUP(TRIM(E866),MedicineInfo!A:A,MedicineInfo!B:B,"Not Found")</f>
        <v>Diclofenac</v>
      </c>
      <c r="H865" s="1" cm="1">
        <f t="array" ref="H865">_xlfn.IFS(
OR(E865="Type 2 Diabetes",E865="Essential Hypertension",E865="Angina Pectoris",E865="Bronchial Asthma",E865="Cardiac Arrhythmia"), D865+30,
OR(E865="Gastritis",E865="Osteoarthritis",E865="Bronchitis",E865="Iron Deficiency Anemia"), D865+14,
OR(E865="Lumbar Strain",E865="Migraine Headache"), D865+7,
OR(E865="Viral Fever",E865="General Checkup","Routine Health Check"), "",
TRUE,""
)</f>
        <v>45762</v>
      </c>
      <c r="I865" s="1" t="str">
        <f t="shared" si="26"/>
        <v>Follow-up Scheduled</v>
      </c>
      <c r="J865" t="str">
        <f>TEXT(Table8[[#This Row],[visit_Date]],"DDDD")</f>
        <v>Tuesday</v>
      </c>
      <c r="K865" t="str">
        <f>TEXT(Table8[[#This Row],[visit_Date]],"mmmm")</f>
        <v>April</v>
      </c>
      <c r="L865" t="str">
        <f t="shared" si="27"/>
        <v>Summer</v>
      </c>
    </row>
    <row r="866" spans="1:12" x14ac:dyDescent="0.25">
      <c r="A866">
        <v>865</v>
      </c>
      <c r="B866">
        <v>1027</v>
      </c>
      <c r="C866">
        <v>249</v>
      </c>
      <c r="D866" s="1">
        <v>45727</v>
      </c>
      <c r="E866" t="s">
        <v>313</v>
      </c>
      <c r="F866" t="s">
        <v>314</v>
      </c>
      <c r="G866" t="str">
        <f>_xlfn.XLOOKUP(TRIM(E867),MedicineInfo!A:A,MedicineInfo!B:B,"Not Found")</f>
        <v>Amlodipine</v>
      </c>
      <c r="H866" s="1" cm="1">
        <f t="array" ref="H866">_xlfn.IFS(
OR(E866="Type 2 Diabetes",E866="Essential Hypertension",E866="Angina Pectoris",E866="Bronchial Asthma",E866="Cardiac Arrhythmia"), D866+30,
OR(E866="Gastritis",E866="Osteoarthritis",E866="Bronchitis",E866="Iron Deficiency Anemia"), D866+14,
OR(E866="Lumbar Strain",E866="Migraine Headache"), D866+7,
OR(E866="Viral Fever",E866="General Checkup","Routine Health Check"), "",
TRUE,""
)</f>
        <v>45734</v>
      </c>
      <c r="I866" s="1" t="str">
        <f t="shared" si="26"/>
        <v>Follow-up Scheduled</v>
      </c>
      <c r="J866" t="str">
        <f>TEXT(Table8[[#This Row],[visit_Date]],"DDDD")</f>
        <v>Tuesday</v>
      </c>
      <c r="K866" t="str">
        <f>TEXT(Table8[[#This Row],[visit_Date]],"mmmm")</f>
        <v>March</v>
      </c>
      <c r="L866" t="str">
        <f t="shared" si="27"/>
        <v>Summer</v>
      </c>
    </row>
    <row r="867" spans="1:12" x14ac:dyDescent="0.25">
      <c r="A867">
        <v>866</v>
      </c>
      <c r="B867">
        <v>1002</v>
      </c>
      <c r="C867">
        <v>518</v>
      </c>
      <c r="D867" s="1">
        <v>45767</v>
      </c>
      <c r="E867" t="s">
        <v>319</v>
      </c>
      <c r="F867" t="s">
        <v>320</v>
      </c>
      <c r="G867" t="str">
        <f>_xlfn.XLOOKUP(TRIM(E868),MedicineInfo!A:A,MedicineInfo!B:B,"Not Found")</f>
        <v>Diclofenac</v>
      </c>
      <c r="H867" s="1" cm="1">
        <f t="array" ref="H867">_xlfn.IFS(
OR(E867="Type 2 Diabetes",E867="Essential Hypertension",E867="Angina Pectoris",E867="Bronchial Asthma",E867="Cardiac Arrhythmia"), D867+30,
OR(E867="Gastritis",E867="Osteoarthritis",E867="Bronchitis",E867="Iron Deficiency Anemia"), D867+14,
OR(E867="Lumbar Strain",E867="Migraine Headache"), D867+7,
OR(E867="Viral Fever",E867="General Checkup","Routine Health Check"), "",
TRUE,""
)</f>
        <v>45797</v>
      </c>
      <c r="I867" s="1" t="str">
        <f t="shared" si="26"/>
        <v>Follow-up Scheduled</v>
      </c>
      <c r="J867" t="str">
        <f>TEXT(Table8[[#This Row],[visit_Date]],"DDDD")</f>
        <v>Sunday</v>
      </c>
      <c r="K867" t="str">
        <f>TEXT(Table8[[#This Row],[visit_Date]],"mmmm")</f>
        <v>April</v>
      </c>
      <c r="L867" t="str">
        <f t="shared" si="27"/>
        <v>Summer</v>
      </c>
    </row>
    <row r="868" spans="1:12" x14ac:dyDescent="0.25">
      <c r="A868">
        <v>867</v>
      </c>
      <c r="B868">
        <v>1027</v>
      </c>
      <c r="C868">
        <v>1001</v>
      </c>
      <c r="D868" s="1">
        <v>45758</v>
      </c>
      <c r="E868" t="s">
        <v>313</v>
      </c>
      <c r="F868" t="s">
        <v>314</v>
      </c>
      <c r="G868" t="str">
        <f>_xlfn.XLOOKUP(TRIM(E869),MedicineInfo!A:A,MedicineInfo!B:B,"Not Found")</f>
        <v>Multivitamin</v>
      </c>
      <c r="H868" s="1" cm="1">
        <f t="array" ref="H868">_xlfn.IFS(
OR(E868="Type 2 Diabetes",E868="Essential Hypertension",E868="Angina Pectoris",E868="Bronchial Asthma",E868="Cardiac Arrhythmia"), D868+30,
OR(E868="Gastritis",E868="Osteoarthritis",E868="Bronchitis",E868="Iron Deficiency Anemia"), D868+14,
OR(E868="Lumbar Strain",E868="Migraine Headache"), D868+7,
OR(E868="Viral Fever",E868="General Checkup","Routine Health Check"), "",
TRUE,""
)</f>
        <v>45765</v>
      </c>
      <c r="I868" s="1" t="str">
        <f t="shared" si="26"/>
        <v>Follow-up Scheduled</v>
      </c>
      <c r="J868" t="str">
        <f>TEXT(Table8[[#This Row],[visit_Date]],"DDDD")</f>
        <v>Friday</v>
      </c>
      <c r="K868" t="str">
        <f>TEXT(Table8[[#This Row],[visit_Date]],"mmmm")</f>
        <v>April</v>
      </c>
      <c r="L868" t="str">
        <f t="shared" si="27"/>
        <v>Summer</v>
      </c>
    </row>
    <row r="869" spans="1:12" x14ac:dyDescent="0.25">
      <c r="A869">
        <v>868</v>
      </c>
      <c r="B869">
        <v>1027</v>
      </c>
      <c r="C869">
        <v>706</v>
      </c>
      <c r="D869" s="1">
        <v>45693</v>
      </c>
      <c r="E869" t="s">
        <v>24</v>
      </c>
      <c r="F869" t="s">
        <v>321</v>
      </c>
      <c r="G869" t="str">
        <f>_xlfn.XLOOKUP(TRIM(E870),MedicineInfo!A:A,MedicineInfo!B:B,"Not Found")</f>
        <v>Salbutamol Inhaler</v>
      </c>
      <c r="H869" s="1" t="str" cm="1">
        <f t="array" ref="H869">_xlfn.IFS(
OR(E869="Type 2 Diabetes",E869="Essential Hypertension",E869="Angina Pectoris",E869="Bronchial Asthma",E869="Cardiac Arrhythmia"), D869+30,
OR(E869="Gastritis",E869="Osteoarthritis",E869="Bronchitis",E869="Iron Deficiency Anemia"), D869+14,
OR(E869="Lumbar Strain",E869="Migraine Headache"), D869+7,
OR(E869="Viral Fever",E869="General Checkup","Routine Health Check"), "",
TRUE,""
)</f>
        <v/>
      </c>
      <c r="I869" s="1" t="str">
        <f t="shared" si="26"/>
        <v>No Follow-up Required</v>
      </c>
      <c r="J869" t="str">
        <f>TEXT(Table8[[#This Row],[visit_Date]],"DDDD")</f>
        <v>Wednesday</v>
      </c>
      <c r="K869" t="str">
        <f>TEXT(Table8[[#This Row],[visit_Date]],"mmmm")</f>
        <v>February</v>
      </c>
      <c r="L869" t="str">
        <f t="shared" si="27"/>
        <v>Winter</v>
      </c>
    </row>
    <row r="870" spans="1:12" x14ac:dyDescent="0.25">
      <c r="A870">
        <v>869</v>
      </c>
      <c r="B870">
        <v>1020</v>
      </c>
      <c r="C870">
        <v>933</v>
      </c>
      <c r="D870" s="1">
        <v>45733</v>
      </c>
      <c r="E870" t="s">
        <v>324</v>
      </c>
      <c r="F870" t="s">
        <v>325</v>
      </c>
      <c r="G870" t="str">
        <f>_xlfn.XLOOKUP(TRIM(E871),MedicineInfo!A:A,MedicineInfo!B:B,"Not Found")</f>
        <v>Sumatriptan</v>
      </c>
      <c r="H870" s="1" cm="1">
        <f t="array" ref="H870">_xlfn.IFS(
OR(E870="Type 2 Diabetes",E870="Essential Hypertension",E870="Angina Pectoris",E870="Bronchial Asthma",E870="Cardiac Arrhythmia"), D870+30,
OR(E870="Gastritis",E870="Osteoarthritis",E870="Bronchitis",E870="Iron Deficiency Anemia"), D870+14,
OR(E870="Lumbar Strain",E870="Migraine Headache"), D870+7,
OR(E870="Viral Fever",E870="General Checkup","Routine Health Check"), "",
TRUE,""
)</f>
        <v>45763</v>
      </c>
      <c r="I870" s="1" t="str">
        <f t="shared" si="26"/>
        <v>Follow-up Scheduled</v>
      </c>
      <c r="J870" t="str">
        <f>TEXT(Table8[[#This Row],[visit_Date]],"DDDD")</f>
        <v>Monday</v>
      </c>
      <c r="K870" t="str">
        <f>TEXT(Table8[[#This Row],[visit_Date]],"mmmm")</f>
        <v>March</v>
      </c>
      <c r="L870" t="str">
        <f t="shared" si="27"/>
        <v>Summer</v>
      </c>
    </row>
    <row r="871" spans="1:12" x14ac:dyDescent="0.25">
      <c r="A871">
        <v>870</v>
      </c>
      <c r="B871">
        <v>1008</v>
      </c>
      <c r="C871">
        <v>1163</v>
      </c>
      <c r="D871" s="1">
        <v>45814</v>
      </c>
      <c r="E871" t="s">
        <v>315</v>
      </c>
      <c r="F871" t="s">
        <v>316</v>
      </c>
      <c r="G871" t="str">
        <f>_xlfn.XLOOKUP(TRIM(E872),MedicineInfo!A:A,MedicineInfo!B:B,"Not Found")</f>
        <v>Multivitamin</v>
      </c>
      <c r="H871" s="1" cm="1">
        <f t="array" ref="H871">_xlfn.IFS(
OR(E871="Type 2 Diabetes",E871="Essential Hypertension",E871="Angina Pectoris",E871="Bronchial Asthma",E871="Cardiac Arrhythmia"), D871+30,
OR(E871="Gastritis",E871="Osteoarthritis",E871="Bronchitis",E871="Iron Deficiency Anemia"), D871+14,
OR(E871="Lumbar Strain",E871="Migraine Headache"), D871+7,
OR(E871="Viral Fever",E871="General Checkup","Routine Health Check"), "",
TRUE,""
)</f>
        <v>45821</v>
      </c>
      <c r="I871" s="1" t="str">
        <f t="shared" si="26"/>
        <v>Follow-up Scheduled</v>
      </c>
      <c r="J871" t="str">
        <f>TEXT(Table8[[#This Row],[visit_Date]],"DDDD")</f>
        <v>Friday</v>
      </c>
      <c r="K871" t="str">
        <f>TEXT(Table8[[#This Row],[visit_Date]],"mmmm")</f>
        <v>June</v>
      </c>
      <c r="L871" t="str">
        <f t="shared" si="27"/>
        <v>Monsoon</v>
      </c>
    </row>
    <row r="872" spans="1:12" x14ac:dyDescent="0.25">
      <c r="A872">
        <v>871</v>
      </c>
      <c r="B872">
        <v>1027</v>
      </c>
      <c r="C872">
        <v>1135</v>
      </c>
      <c r="D872" s="1">
        <v>45814</v>
      </c>
      <c r="E872" t="s">
        <v>24</v>
      </c>
      <c r="F872" t="s">
        <v>321</v>
      </c>
      <c r="G872" t="str">
        <f>_xlfn.XLOOKUP(TRIM(E873),MedicineInfo!A:A,MedicineInfo!B:B,"Not Found")</f>
        <v>Diclofenac</v>
      </c>
      <c r="H872" s="1" t="str" cm="1">
        <f t="array" ref="H872">_xlfn.IFS(
OR(E872="Type 2 Diabetes",E872="Essential Hypertension",E872="Angina Pectoris",E872="Bronchial Asthma",E872="Cardiac Arrhythmia"), D872+30,
OR(E872="Gastritis",E872="Osteoarthritis",E872="Bronchitis",E872="Iron Deficiency Anemia"), D872+14,
OR(E872="Lumbar Strain",E872="Migraine Headache"), D872+7,
OR(E872="Viral Fever",E872="General Checkup","Routine Health Check"), "",
TRUE,""
)</f>
        <v/>
      </c>
      <c r="I872" s="1" t="str">
        <f t="shared" si="26"/>
        <v>No Follow-up Required</v>
      </c>
      <c r="J872" t="str">
        <f>TEXT(Table8[[#This Row],[visit_Date]],"DDDD")</f>
        <v>Friday</v>
      </c>
      <c r="K872" t="str">
        <f>TEXT(Table8[[#This Row],[visit_Date]],"mmmm")</f>
        <v>June</v>
      </c>
      <c r="L872" t="str">
        <f t="shared" si="27"/>
        <v>Monsoon</v>
      </c>
    </row>
    <row r="873" spans="1:12" x14ac:dyDescent="0.25">
      <c r="A873">
        <v>872</v>
      </c>
      <c r="B873">
        <v>1027</v>
      </c>
      <c r="C873">
        <v>543</v>
      </c>
      <c r="D873" s="1">
        <v>45691</v>
      </c>
      <c r="E873" t="s">
        <v>313</v>
      </c>
      <c r="F873" t="s">
        <v>314</v>
      </c>
      <c r="G873" t="str">
        <f>_xlfn.XLOOKUP(TRIM(E874),MedicineInfo!A:A,MedicineInfo!B:B,"Not Found")</f>
        <v>Multivitamin</v>
      </c>
      <c r="H873" s="1" cm="1">
        <f t="array" ref="H873">_xlfn.IFS(
OR(E873="Type 2 Diabetes",E873="Essential Hypertension",E873="Angina Pectoris",E873="Bronchial Asthma",E873="Cardiac Arrhythmia"), D873+30,
OR(E873="Gastritis",E873="Osteoarthritis",E873="Bronchitis",E873="Iron Deficiency Anemia"), D873+14,
OR(E873="Lumbar Strain",E873="Migraine Headache"), D873+7,
OR(E873="Viral Fever",E873="General Checkup","Routine Health Check"), "",
TRUE,""
)</f>
        <v>45698</v>
      </c>
      <c r="I873" s="1" t="str">
        <f t="shared" si="26"/>
        <v>Follow-up Scheduled</v>
      </c>
      <c r="J873" t="str">
        <f>TEXT(Table8[[#This Row],[visit_Date]],"DDDD")</f>
        <v>Monday</v>
      </c>
      <c r="K873" t="str">
        <f>TEXT(Table8[[#This Row],[visit_Date]],"mmmm")</f>
        <v>February</v>
      </c>
      <c r="L873" t="str">
        <f t="shared" si="27"/>
        <v>Winter</v>
      </c>
    </row>
    <row r="874" spans="1:12" x14ac:dyDescent="0.25">
      <c r="A874">
        <v>873</v>
      </c>
      <c r="B874">
        <v>1027</v>
      </c>
      <c r="C874">
        <v>301</v>
      </c>
      <c r="D874" s="1">
        <v>45819</v>
      </c>
      <c r="E874" t="s">
        <v>24</v>
      </c>
      <c r="F874" t="s">
        <v>321</v>
      </c>
      <c r="G874" t="str">
        <f>_xlfn.XLOOKUP(TRIM(E875),MedicineInfo!A:A,MedicineInfo!B:B,"Not Found")</f>
        <v>Amlodipine</v>
      </c>
      <c r="H874" s="1" t="str" cm="1">
        <f t="array" ref="H874">_xlfn.IFS(
OR(E874="Type 2 Diabetes",E874="Essential Hypertension",E874="Angina Pectoris",E874="Bronchial Asthma",E874="Cardiac Arrhythmia"), D874+30,
OR(E874="Gastritis",E874="Osteoarthritis",E874="Bronchitis",E874="Iron Deficiency Anemia"), D874+14,
OR(E874="Lumbar Strain",E874="Migraine Headache"), D874+7,
OR(E874="Viral Fever",E874="General Checkup","Routine Health Check"), "",
TRUE,""
)</f>
        <v/>
      </c>
      <c r="I874" s="1" t="str">
        <f t="shared" si="26"/>
        <v>No Follow-up Required</v>
      </c>
      <c r="J874" t="str">
        <f>TEXT(Table8[[#This Row],[visit_Date]],"DDDD")</f>
        <v>Wednesday</v>
      </c>
      <c r="K874" t="str">
        <f>TEXT(Table8[[#This Row],[visit_Date]],"mmmm")</f>
        <v>June</v>
      </c>
      <c r="L874" t="str">
        <f t="shared" si="27"/>
        <v>Monsoon</v>
      </c>
    </row>
    <row r="875" spans="1:12" x14ac:dyDescent="0.25">
      <c r="A875">
        <v>874</v>
      </c>
      <c r="B875">
        <v>1002</v>
      </c>
      <c r="C875">
        <v>909</v>
      </c>
      <c r="D875" s="1">
        <v>45669</v>
      </c>
      <c r="E875" t="s">
        <v>319</v>
      </c>
      <c r="F875" t="s">
        <v>320</v>
      </c>
      <c r="G875" t="str">
        <f>_xlfn.XLOOKUP(TRIM(E876),MedicineInfo!A:A,MedicineInfo!B:B,"Not Found")</f>
        <v>Paracetamol</v>
      </c>
      <c r="H875" s="1" cm="1">
        <f t="array" ref="H875">_xlfn.IFS(
OR(E875="Type 2 Diabetes",E875="Essential Hypertension",E875="Angina Pectoris",E875="Bronchial Asthma",E875="Cardiac Arrhythmia"), D875+30,
OR(E875="Gastritis",E875="Osteoarthritis",E875="Bronchitis",E875="Iron Deficiency Anemia"), D875+14,
OR(E875="Lumbar Strain",E875="Migraine Headache"), D875+7,
OR(E875="Viral Fever",E875="General Checkup","Routine Health Check"), "",
TRUE,""
)</f>
        <v>45699</v>
      </c>
      <c r="I875" s="1" t="str">
        <f t="shared" si="26"/>
        <v>Follow-up Scheduled</v>
      </c>
      <c r="J875" t="str">
        <f>TEXT(Table8[[#This Row],[visit_Date]],"DDDD")</f>
        <v>Sunday</v>
      </c>
      <c r="K875" t="str">
        <f>TEXT(Table8[[#This Row],[visit_Date]],"mmmm")</f>
        <v>January</v>
      </c>
      <c r="L875" t="str">
        <f t="shared" si="27"/>
        <v>Winter</v>
      </c>
    </row>
    <row r="876" spans="1:12" x14ac:dyDescent="0.25">
      <c r="A876">
        <v>875</v>
      </c>
      <c r="B876">
        <v>1027</v>
      </c>
      <c r="C876">
        <v>282</v>
      </c>
      <c r="D876" s="1">
        <v>45791</v>
      </c>
      <c r="E876" t="s">
        <v>326</v>
      </c>
      <c r="F876" t="s">
        <v>327</v>
      </c>
      <c r="G876" t="str">
        <f>_xlfn.XLOOKUP(TRIM(E877),MedicineInfo!A:A,MedicineInfo!B:B,"Not Found")</f>
        <v>Paracetamol</v>
      </c>
      <c r="H876" s="1" t="str" cm="1">
        <f t="array" ref="H876">_xlfn.IFS(
OR(E876="Type 2 Diabetes",E876="Essential Hypertension",E876="Angina Pectoris",E876="Bronchial Asthma",E876="Cardiac Arrhythmia"), D876+30,
OR(E876="Gastritis",E876="Osteoarthritis",E876="Bronchitis",E876="Iron Deficiency Anemia"), D876+14,
OR(E876="Lumbar Strain",E876="Migraine Headache"), D876+7,
OR(E876="Viral Fever",E876="General Checkup","Routine Health Check"), "",
TRUE,""
)</f>
        <v/>
      </c>
      <c r="I876" s="1" t="str">
        <f t="shared" si="26"/>
        <v>No Follow-up Required</v>
      </c>
      <c r="J876" t="str">
        <f>TEXT(Table8[[#This Row],[visit_Date]],"DDDD")</f>
        <v>Wednesday</v>
      </c>
      <c r="K876" t="str">
        <f>TEXT(Table8[[#This Row],[visit_Date]],"mmmm")</f>
        <v>May</v>
      </c>
      <c r="L876" t="str">
        <f t="shared" si="27"/>
        <v>Summer</v>
      </c>
    </row>
    <row r="877" spans="1:12" x14ac:dyDescent="0.25">
      <c r="A877">
        <v>876</v>
      </c>
      <c r="B877">
        <v>1027</v>
      </c>
      <c r="C877">
        <v>1508</v>
      </c>
      <c r="D877" s="1">
        <v>45777</v>
      </c>
      <c r="E877" t="s">
        <v>326</v>
      </c>
      <c r="F877" t="s">
        <v>327</v>
      </c>
      <c r="G877" t="str">
        <f>_xlfn.XLOOKUP(TRIM(E878),MedicineInfo!A:A,MedicineInfo!B:B,"Not Found")</f>
        <v>Sumatriptan</v>
      </c>
      <c r="H877" s="1" t="str" cm="1">
        <f t="array" ref="H877">_xlfn.IFS(
OR(E877="Type 2 Diabetes",E877="Essential Hypertension",E877="Angina Pectoris",E877="Bronchial Asthma",E877="Cardiac Arrhythmia"), D877+30,
OR(E877="Gastritis",E877="Osteoarthritis",E877="Bronchitis",E877="Iron Deficiency Anemia"), D877+14,
OR(E877="Lumbar Strain",E877="Migraine Headache"), D877+7,
OR(E877="Viral Fever",E877="General Checkup","Routine Health Check"), "",
TRUE,""
)</f>
        <v/>
      </c>
      <c r="I877" s="1" t="str">
        <f t="shared" si="26"/>
        <v>No Follow-up Required</v>
      </c>
      <c r="J877" t="str">
        <f>TEXT(Table8[[#This Row],[visit_Date]],"DDDD")</f>
        <v>Wednesday</v>
      </c>
      <c r="K877" t="str">
        <f>TEXT(Table8[[#This Row],[visit_Date]],"mmmm")</f>
        <v>April</v>
      </c>
      <c r="L877" t="str">
        <f t="shared" si="27"/>
        <v>Summer</v>
      </c>
    </row>
    <row r="878" spans="1:12" x14ac:dyDescent="0.25">
      <c r="A878">
        <v>877</v>
      </c>
      <c r="B878">
        <v>1009</v>
      </c>
      <c r="C878">
        <v>1036</v>
      </c>
      <c r="D878" s="1">
        <v>45819</v>
      </c>
      <c r="E878" t="s">
        <v>315</v>
      </c>
      <c r="F878" t="s">
        <v>316</v>
      </c>
      <c r="G878" t="str">
        <f>_xlfn.XLOOKUP(TRIM(E879),MedicineInfo!A:A,MedicineInfo!B:B,"Not Found")</f>
        <v>Metformin</v>
      </c>
      <c r="H878" s="1" cm="1">
        <f t="array" ref="H878">_xlfn.IFS(
OR(E878="Type 2 Diabetes",E878="Essential Hypertension",E878="Angina Pectoris",E878="Bronchial Asthma",E878="Cardiac Arrhythmia"), D878+30,
OR(E878="Gastritis",E878="Osteoarthritis",E878="Bronchitis",E878="Iron Deficiency Anemia"), D878+14,
OR(E878="Lumbar Strain",E878="Migraine Headache"), D878+7,
OR(E878="Viral Fever",E878="General Checkup","Routine Health Check"), "",
TRUE,""
)</f>
        <v>45826</v>
      </c>
      <c r="I878" s="1" t="str">
        <f t="shared" si="26"/>
        <v>Follow-up Scheduled</v>
      </c>
      <c r="J878" t="str">
        <f>TEXT(Table8[[#This Row],[visit_Date]],"DDDD")</f>
        <v>Wednesday</v>
      </c>
      <c r="K878" t="str">
        <f>TEXT(Table8[[#This Row],[visit_Date]],"mmmm")</f>
        <v>June</v>
      </c>
      <c r="L878" t="str">
        <f t="shared" si="27"/>
        <v>Monsoon</v>
      </c>
    </row>
    <row r="879" spans="1:12" x14ac:dyDescent="0.25">
      <c r="A879">
        <v>878</v>
      </c>
      <c r="B879">
        <v>1024</v>
      </c>
      <c r="C879">
        <v>1572</v>
      </c>
      <c r="D879" s="1">
        <v>45849</v>
      </c>
      <c r="E879" t="s">
        <v>317</v>
      </c>
      <c r="F879" t="s">
        <v>318</v>
      </c>
      <c r="G879" t="str">
        <f>_xlfn.XLOOKUP(TRIM(E880),MedicineInfo!A:A,MedicineInfo!B:B,"Not Found")</f>
        <v>Metformin</v>
      </c>
      <c r="H879" s="1" cm="1">
        <f t="array" ref="H879">_xlfn.IFS(
OR(E879="Type 2 Diabetes",E879="Essential Hypertension",E879="Angina Pectoris",E879="Bronchial Asthma",E879="Cardiac Arrhythmia"), D879+30,
OR(E879="Gastritis",E879="Osteoarthritis",E879="Bronchitis",E879="Iron Deficiency Anemia"), D879+14,
OR(E879="Lumbar Strain",E879="Migraine Headache"), D879+7,
OR(E879="Viral Fever",E879="General Checkup","Routine Health Check"), "",
TRUE,""
)</f>
        <v>45879</v>
      </c>
      <c r="I879" s="1" t="str">
        <f t="shared" si="26"/>
        <v>Follow-up Scheduled</v>
      </c>
      <c r="J879" t="str">
        <f>TEXT(Table8[[#This Row],[visit_Date]],"DDDD")</f>
        <v>Friday</v>
      </c>
      <c r="K879" t="str">
        <f>TEXT(Table8[[#This Row],[visit_Date]],"mmmm")</f>
        <v>July</v>
      </c>
      <c r="L879" t="str">
        <f t="shared" si="27"/>
        <v>Monsoon</v>
      </c>
    </row>
    <row r="880" spans="1:12" x14ac:dyDescent="0.25">
      <c r="A880">
        <v>879</v>
      </c>
      <c r="B880">
        <v>1024</v>
      </c>
      <c r="C880">
        <v>259</v>
      </c>
      <c r="D880" s="1">
        <v>45799</v>
      </c>
      <c r="E880" t="s">
        <v>317</v>
      </c>
      <c r="F880" t="s">
        <v>318</v>
      </c>
      <c r="G880" t="str">
        <f>_xlfn.XLOOKUP(TRIM(E881),MedicineInfo!A:A,MedicineInfo!B:B,"Not Found")</f>
        <v>Paracetamol</v>
      </c>
      <c r="H880" s="1" cm="1">
        <f t="array" ref="H880">_xlfn.IFS(
OR(E880="Type 2 Diabetes",E880="Essential Hypertension",E880="Angina Pectoris",E880="Bronchial Asthma",E880="Cardiac Arrhythmia"), D880+30,
OR(E880="Gastritis",E880="Osteoarthritis",E880="Bronchitis",E880="Iron Deficiency Anemia"), D880+14,
OR(E880="Lumbar Strain",E880="Migraine Headache"), D880+7,
OR(E880="Viral Fever",E880="General Checkup","Routine Health Check"), "",
TRUE,""
)</f>
        <v>45829</v>
      </c>
      <c r="I880" s="1" t="str">
        <f t="shared" si="26"/>
        <v>Follow-up Scheduled</v>
      </c>
      <c r="J880" t="str">
        <f>TEXT(Table8[[#This Row],[visit_Date]],"DDDD")</f>
        <v>Thursday</v>
      </c>
      <c r="K880" t="str">
        <f>TEXT(Table8[[#This Row],[visit_Date]],"mmmm")</f>
        <v>May</v>
      </c>
      <c r="L880" t="str">
        <f t="shared" si="27"/>
        <v>Summer</v>
      </c>
    </row>
    <row r="881" spans="1:12" x14ac:dyDescent="0.25">
      <c r="A881">
        <v>880</v>
      </c>
      <c r="B881">
        <v>1027</v>
      </c>
      <c r="C881">
        <v>1387</v>
      </c>
      <c r="D881" s="1">
        <v>45839</v>
      </c>
      <c r="E881" t="s">
        <v>326</v>
      </c>
      <c r="F881" t="s">
        <v>327</v>
      </c>
      <c r="G881" t="str">
        <f>_xlfn.XLOOKUP(TRIM(E882),MedicineInfo!A:A,MedicineInfo!B:B,"Not Found")</f>
        <v>Multivitamin</v>
      </c>
      <c r="H881" s="1" t="str" cm="1">
        <f t="array" ref="H881">_xlfn.IFS(
OR(E881="Type 2 Diabetes",E881="Essential Hypertension",E881="Angina Pectoris",E881="Bronchial Asthma",E881="Cardiac Arrhythmia"), D881+30,
OR(E881="Gastritis",E881="Osteoarthritis",E881="Bronchitis",E881="Iron Deficiency Anemia"), D881+14,
OR(E881="Lumbar Strain",E881="Migraine Headache"), D881+7,
OR(E881="Viral Fever",E881="General Checkup","Routine Health Check"), "",
TRUE,""
)</f>
        <v/>
      </c>
      <c r="I881" s="1" t="str">
        <f t="shared" si="26"/>
        <v>No Follow-up Required</v>
      </c>
      <c r="J881" t="str">
        <f>TEXT(Table8[[#This Row],[visit_Date]],"DDDD")</f>
        <v>Tuesday</v>
      </c>
      <c r="K881" t="str">
        <f>TEXT(Table8[[#This Row],[visit_Date]],"mmmm")</f>
        <v>July</v>
      </c>
      <c r="L881" t="str">
        <f t="shared" si="27"/>
        <v>Monsoon</v>
      </c>
    </row>
    <row r="882" spans="1:12" x14ac:dyDescent="0.25">
      <c r="A882">
        <v>881</v>
      </c>
      <c r="B882">
        <v>1027</v>
      </c>
      <c r="C882">
        <v>1276</v>
      </c>
      <c r="D882" s="1">
        <v>45791</v>
      </c>
      <c r="E882" t="s">
        <v>24</v>
      </c>
      <c r="F882" t="s">
        <v>321</v>
      </c>
      <c r="G882" t="str">
        <f>_xlfn.XLOOKUP(TRIM(E883),MedicineInfo!A:A,MedicineInfo!B:B,"Not Found")</f>
        <v>Salbutamol Inhaler</v>
      </c>
      <c r="H882" s="1" t="str" cm="1">
        <f t="array" ref="H882">_xlfn.IFS(
OR(E882="Type 2 Diabetes",E882="Essential Hypertension",E882="Angina Pectoris",E882="Bronchial Asthma",E882="Cardiac Arrhythmia"), D882+30,
OR(E882="Gastritis",E882="Osteoarthritis",E882="Bronchitis",E882="Iron Deficiency Anemia"), D882+14,
OR(E882="Lumbar Strain",E882="Migraine Headache"), D882+7,
OR(E882="Viral Fever",E882="General Checkup","Routine Health Check"), "",
TRUE,""
)</f>
        <v/>
      </c>
      <c r="I882" s="1" t="str">
        <f t="shared" si="26"/>
        <v>No Follow-up Required</v>
      </c>
      <c r="J882" t="str">
        <f>TEXT(Table8[[#This Row],[visit_Date]],"DDDD")</f>
        <v>Wednesday</v>
      </c>
      <c r="K882" t="str">
        <f>TEXT(Table8[[#This Row],[visit_Date]],"mmmm")</f>
        <v>May</v>
      </c>
      <c r="L882" t="str">
        <f t="shared" si="27"/>
        <v>Summer</v>
      </c>
    </row>
    <row r="883" spans="1:12" x14ac:dyDescent="0.25">
      <c r="A883">
        <v>882</v>
      </c>
      <c r="B883">
        <v>1020</v>
      </c>
      <c r="C883">
        <v>679</v>
      </c>
      <c r="D883" s="1">
        <v>45755</v>
      </c>
      <c r="E883" t="s">
        <v>324</v>
      </c>
      <c r="F883" t="s">
        <v>325</v>
      </c>
      <c r="G883" t="str">
        <f>_xlfn.XLOOKUP(TRIM(E884),MedicineInfo!A:A,MedicineInfo!B:B,"Not Found")</f>
        <v>Sumatriptan</v>
      </c>
      <c r="H883" s="1" cm="1">
        <f t="array" ref="H883">_xlfn.IFS(
OR(E883="Type 2 Diabetes",E883="Essential Hypertension",E883="Angina Pectoris",E883="Bronchial Asthma",E883="Cardiac Arrhythmia"), D883+30,
OR(E883="Gastritis",E883="Osteoarthritis",E883="Bronchitis",E883="Iron Deficiency Anemia"), D883+14,
OR(E883="Lumbar Strain",E883="Migraine Headache"), D883+7,
OR(E883="Viral Fever",E883="General Checkup","Routine Health Check"), "",
TRUE,""
)</f>
        <v>45785</v>
      </c>
      <c r="I883" s="1" t="str">
        <f t="shared" si="26"/>
        <v>Follow-up Scheduled</v>
      </c>
      <c r="J883" t="str">
        <f>TEXT(Table8[[#This Row],[visit_Date]],"DDDD")</f>
        <v>Tuesday</v>
      </c>
      <c r="K883" t="str">
        <f>TEXT(Table8[[#This Row],[visit_Date]],"mmmm")</f>
        <v>April</v>
      </c>
      <c r="L883" t="str">
        <f t="shared" si="27"/>
        <v>Summer</v>
      </c>
    </row>
    <row r="884" spans="1:12" x14ac:dyDescent="0.25">
      <c r="A884">
        <v>883</v>
      </c>
      <c r="B884">
        <v>1008</v>
      </c>
      <c r="C884">
        <v>1320</v>
      </c>
      <c r="D884" s="1">
        <v>45809</v>
      </c>
      <c r="E884" t="s">
        <v>315</v>
      </c>
      <c r="F884" t="s">
        <v>316</v>
      </c>
      <c r="G884" t="str">
        <f>_xlfn.XLOOKUP(TRIM(E885),MedicineInfo!A:A,MedicineInfo!B:B,"Not Found")</f>
        <v>Salbutamol Inhaler</v>
      </c>
      <c r="H884" s="1" cm="1">
        <f t="array" ref="H884">_xlfn.IFS(
OR(E884="Type 2 Diabetes",E884="Essential Hypertension",E884="Angina Pectoris",E884="Bronchial Asthma",E884="Cardiac Arrhythmia"), D884+30,
OR(E884="Gastritis",E884="Osteoarthritis",E884="Bronchitis",E884="Iron Deficiency Anemia"), D884+14,
OR(E884="Lumbar Strain",E884="Migraine Headache"), D884+7,
OR(E884="Viral Fever",E884="General Checkup","Routine Health Check"), "",
TRUE,""
)</f>
        <v>45816</v>
      </c>
      <c r="I884" s="1" t="str">
        <f t="shared" si="26"/>
        <v>Follow-up Scheduled</v>
      </c>
      <c r="J884" t="str">
        <f>TEXT(Table8[[#This Row],[visit_Date]],"DDDD")</f>
        <v>Sunday</v>
      </c>
      <c r="K884" t="str">
        <f>TEXT(Table8[[#This Row],[visit_Date]],"mmmm")</f>
        <v>June</v>
      </c>
      <c r="L884" t="str">
        <f t="shared" si="27"/>
        <v>Monsoon</v>
      </c>
    </row>
    <row r="885" spans="1:12" x14ac:dyDescent="0.25">
      <c r="A885">
        <v>884</v>
      </c>
      <c r="B885">
        <v>1020</v>
      </c>
      <c r="C885">
        <v>1032</v>
      </c>
      <c r="D885" s="1">
        <v>45669</v>
      </c>
      <c r="E885" t="s">
        <v>324</v>
      </c>
      <c r="F885" t="s">
        <v>325</v>
      </c>
      <c r="G885" t="str">
        <f>_xlfn.XLOOKUP(TRIM(E886),MedicineInfo!A:A,MedicineInfo!B:B,"Not Found")</f>
        <v>Nitroglycerin</v>
      </c>
      <c r="H885" s="1" cm="1">
        <f t="array" ref="H885">_xlfn.IFS(
OR(E885="Type 2 Diabetes",E885="Essential Hypertension",E885="Angina Pectoris",E885="Bronchial Asthma",E885="Cardiac Arrhythmia"), D885+30,
OR(E885="Gastritis",E885="Osteoarthritis",E885="Bronchitis",E885="Iron Deficiency Anemia"), D885+14,
OR(E885="Lumbar Strain",E885="Migraine Headache"), D885+7,
OR(E885="Viral Fever",E885="General Checkup","Routine Health Check"), "",
TRUE,""
)</f>
        <v>45699</v>
      </c>
      <c r="I885" s="1" t="str">
        <f t="shared" si="26"/>
        <v>Follow-up Scheduled</v>
      </c>
      <c r="J885" t="str">
        <f>TEXT(Table8[[#This Row],[visit_Date]],"DDDD")</f>
        <v>Sunday</v>
      </c>
      <c r="K885" t="str">
        <f>TEXT(Table8[[#This Row],[visit_Date]],"mmmm")</f>
        <v>January</v>
      </c>
      <c r="L885" t="str">
        <f t="shared" si="27"/>
        <v>Winter</v>
      </c>
    </row>
    <row r="886" spans="1:12" x14ac:dyDescent="0.25">
      <c r="A886">
        <v>885</v>
      </c>
      <c r="B886">
        <v>1001</v>
      </c>
      <c r="C886">
        <v>1224</v>
      </c>
      <c r="D886" s="1">
        <v>45694</v>
      </c>
      <c r="E886" t="s">
        <v>322</v>
      </c>
      <c r="F886" t="s">
        <v>323</v>
      </c>
      <c r="G886" t="str">
        <f>_xlfn.XLOOKUP(TRIM(E887),MedicineInfo!A:A,MedicineInfo!B:B,"Not Found")</f>
        <v>Paracetamol</v>
      </c>
      <c r="H886" s="1" cm="1">
        <f t="array" ref="H886">_xlfn.IFS(
OR(E886="Type 2 Diabetes",E886="Essential Hypertension",E886="Angina Pectoris",E886="Bronchial Asthma",E886="Cardiac Arrhythmia"), D886+30,
OR(E886="Gastritis",E886="Osteoarthritis",E886="Bronchitis",E886="Iron Deficiency Anemia"), D886+14,
OR(E886="Lumbar Strain",E886="Migraine Headache"), D886+7,
OR(E886="Viral Fever",E886="General Checkup","Routine Health Check"), "",
TRUE,""
)</f>
        <v>45724</v>
      </c>
      <c r="I886" s="1" t="str">
        <f t="shared" si="26"/>
        <v>Follow-up Scheduled</v>
      </c>
      <c r="J886" t="str">
        <f>TEXT(Table8[[#This Row],[visit_Date]],"DDDD")</f>
        <v>Thursday</v>
      </c>
      <c r="K886" t="str">
        <f>TEXT(Table8[[#This Row],[visit_Date]],"mmmm")</f>
        <v>February</v>
      </c>
      <c r="L886" t="str">
        <f t="shared" si="27"/>
        <v>Winter</v>
      </c>
    </row>
    <row r="887" spans="1:12" x14ac:dyDescent="0.25">
      <c r="A887">
        <v>886</v>
      </c>
      <c r="B887">
        <v>1027</v>
      </c>
      <c r="C887">
        <v>968</v>
      </c>
      <c r="D887" s="1">
        <v>45777</v>
      </c>
      <c r="E887" t="s">
        <v>326</v>
      </c>
      <c r="F887" t="s">
        <v>327</v>
      </c>
      <c r="G887" t="str">
        <f>_xlfn.XLOOKUP(TRIM(E888),MedicineInfo!A:A,MedicineInfo!B:B,"Not Found")</f>
        <v>Metformin</v>
      </c>
      <c r="H887" s="1" t="str" cm="1">
        <f t="array" ref="H887">_xlfn.IFS(
OR(E887="Type 2 Diabetes",E887="Essential Hypertension",E887="Angina Pectoris",E887="Bronchial Asthma",E887="Cardiac Arrhythmia"), D887+30,
OR(E887="Gastritis",E887="Osteoarthritis",E887="Bronchitis",E887="Iron Deficiency Anemia"), D887+14,
OR(E887="Lumbar Strain",E887="Migraine Headache"), D887+7,
OR(E887="Viral Fever",E887="General Checkup","Routine Health Check"), "",
TRUE,""
)</f>
        <v/>
      </c>
      <c r="I887" s="1" t="str">
        <f t="shared" si="26"/>
        <v>No Follow-up Required</v>
      </c>
      <c r="J887" t="str">
        <f>TEXT(Table8[[#This Row],[visit_Date]],"DDDD")</f>
        <v>Wednesday</v>
      </c>
      <c r="K887" t="str">
        <f>TEXT(Table8[[#This Row],[visit_Date]],"mmmm")</f>
        <v>April</v>
      </c>
      <c r="L887" t="str">
        <f t="shared" si="27"/>
        <v>Summer</v>
      </c>
    </row>
    <row r="888" spans="1:12" x14ac:dyDescent="0.25">
      <c r="A888">
        <v>887</v>
      </c>
      <c r="B888">
        <v>1024</v>
      </c>
      <c r="C888">
        <v>120</v>
      </c>
      <c r="D888" s="1">
        <v>45832</v>
      </c>
      <c r="E888" t="s">
        <v>317</v>
      </c>
      <c r="F888" t="s">
        <v>318</v>
      </c>
      <c r="G888" t="str">
        <f>_xlfn.XLOOKUP(TRIM(E889),MedicineInfo!A:A,MedicineInfo!B:B,"Not Found")</f>
        <v>Diclofenac</v>
      </c>
      <c r="H888" s="1" cm="1">
        <f t="array" ref="H888">_xlfn.IFS(
OR(E888="Type 2 Diabetes",E888="Essential Hypertension",E888="Angina Pectoris",E888="Bronchial Asthma",E888="Cardiac Arrhythmia"), D888+30,
OR(E888="Gastritis",E888="Osteoarthritis",E888="Bronchitis",E888="Iron Deficiency Anemia"), D888+14,
OR(E888="Lumbar Strain",E888="Migraine Headache"), D888+7,
OR(E888="Viral Fever",E888="General Checkup","Routine Health Check"), "",
TRUE,""
)</f>
        <v>45862</v>
      </c>
      <c r="I888" s="1" t="str">
        <f t="shared" si="26"/>
        <v>Follow-up Scheduled</v>
      </c>
      <c r="J888" t="str">
        <f>TEXT(Table8[[#This Row],[visit_Date]],"DDDD")</f>
        <v>Tuesday</v>
      </c>
      <c r="K888" t="str">
        <f>TEXT(Table8[[#This Row],[visit_Date]],"mmmm")</f>
        <v>June</v>
      </c>
      <c r="L888" t="str">
        <f t="shared" si="27"/>
        <v>Monsoon</v>
      </c>
    </row>
    <row r="889" spans="1:12" x14ac:dyDescent="0.25">
      <c r="A889">
        <v>888</v>
      </c>
      <c r="B889">
        <v>1027</v>
      </c>
      <c r="C889">
        <v>1531</v>
      </c>
      <c r="D889" s="1">
        <v>45790</v>
      </c>
      <c r="E889" t="s">
        <v>313</v>
      </c>
      <c r="F889" t="s">
        <v>314</v>
      </c>
      <c r="G889" t="str">
        <f>_xlfn.XLOOKUP(TRIM(E890),MedicineInfo!A:A,MedicineInfo!B:B,"Not Found")</f>
        <v>Nitroglycerin</v>
      </c>
      <c r="H889" s="1" cm="1">
        <f t="array" ref="H889">_xlfn.IFS(
OR(E889="Type 2 Diabetes",E889="Essential Hypertension",E889="Angina Pectoris",E889="Bronchial Asthma",E889="Cardiac Arrhythmia"), D889+30,
OR(E889="Gastritis",E889="Osteoarthritis",E889="Bronchitis",E889="Iron Deficiency Anemia"), D889+14,
OR(E889="Lumbar Strain",E889="Migraine Headache"), D889+7,
OR(E889="Viral Fever",E889="General Checkup","Routine Health Check"), "",
TRUE,""
)</f>
        <v>45797</v>
      </c>
      <c r="I889" s="1" t="str">
        <f t="shared" si="26"/>
        <v>Follow-up Scheduled</v>
      </c>
      <c r="J889" t="str">
        <f>TEXT(Table8[[#This Row],[visit_Date]],"DDDD")</f>
        <v>Tuesday</v>
      </c>
      <c r="K889" t="str">
        <f>TEXT(Table8[[#This Row],[visit_Date]],"mmmm")</f>
        <v>May</v>
      </c>
      <c r="L889" t="str">
        <f t="shared" si="27"/>
        <v>Summer</v>
      </c>
    </row>
    <row r="890" spans="1:12" x14ac:dyDescent="0.25">
      <c r="A890">
        <v>889</v>
      </c>
      <c r="B890">
        <v>1001</v>
      </c>
      <c r="C890">
        <v>579</v>
      </c>
      <c r="D890" s="1">
        <v>45799</v>
      </c>
      <c r="E890" t="s">
        <v>322</v>
      </c>
      <c r="F890" t="s">
        <v>323</v>
      </c>
      <c r="G890" t="str">
        <f>_xlfn.XLOOKUP(TRIM(E891),MedicineInfo!A:A,MedicineInfo!B:B,"Not Found")</f>
        <v>Metformin</v>
      </c>
      <c r="H890" s="1" cm="1">
        <f t="array" ref="H890">_xlfn.IFS(
OR(E890="Type 2 Diabetes",E890="Essential Hypertension",E890="Angina Pectoris",E890="Bronchial Asthma",E890="Cardiac Arrhythmia"), D890+30,
OR(E890="Gastritis",E890="Osteoarthritis",E890="Bronchitis",E890="Iron Deficiency Anemia"), D890+14,
OR(E890="Lumbar Strain",E890="Migraine Headache"), D890+7,
OR(E890="Viral Fever",E890="General Checkup","Routine Health Check"), "",
TRUE,""
)</f>
        <v>45829</v>
      </c>
      <c r="I890" s="1" t="str">
        <f t="shared" si="26"/>
        <v>Follow-up Scheduled</v>
      </c>
      <c r="J890" t="str">
        <f>TEXT(Table8[[#This Row],[visit_Date]],"DDDD")</f>
        <v>Thursday</v>
      </c>
      <c r="K890" t="str">
        <f>TEXT(Table8[[#This Row],[visit_Date]],"mmmm")</f>
        <v>May</v>
      </c>
      <c r="L890" t="str">
        <f t="shared" si="27"/>
        <v>Summer</v>
      </c>
    </row>
    <row r="891" spans="1:12" x14ac:dyDescent="0.25">
      <c r="A891">
        <v>890</v>
      </c>
      <c r="B891">
        <v>1024</v>
      </c>
      <c r="C891">
        <v>1134</v>
      </c>
      <c r="D891" s="1">
        <v>45719</v>
      </c>
      <c r="E891" t="s">
        <v>317</v>
      </c>
      <c r="F891" t="s">
        <v>318</v>
      </c>
      <c r="G891" t="str">
        <f>_xlfn.XLOOKUP(TRIM(E892),MedicineInfo!A:A,MedicineInfo!B:B,"Not Found")</f>
        <v>Nitroglycerin</v>
      </c>
      <c r="H891" s="1" cm="1">
        <f t="array" ref="H891">_xlfn.IFS(
OR(E891="Type 2 Diabetes",E891="Essential Hypertension",E891="Angina Pectoris",E891="Bronchial Asthma",E891="Cardiac Arrhythmia"), D891+30,
OR(E891="Gastritis",E891="Osteoarthritis",E891="Bronchitis",E891="Iron Deficiency Anemia"), D891+14,
OR(E891="Lumbar Strain",E891="Migraine Headache"), D891+7,
OR(E891="Viral Fever",E891="General Checkup","Routine Health Check"), "",
TRUE,""
)</f>
        <v>45749</v>
      </c>
      <c r="I891" s="1" t="str">
        <f t="shared" si="26"/>
        <v>Follow-up Scheduled</v>
      </c>
      <c r="J891" t="str">
        <f>TEXT(Table8[[#This Row],[visit_Date]],"DDDD")</f>
        <v>Monday</v>
      </c>
      <c r="K891" t="str">
        <f>TEXT(Table8[[#This Row],[visit_Date]],"mmmm")</f>
        <v>March</v>
      </c>
      <c r="L891" t="str">
        <f t="shared" si="27"/>
        <v>Summer</v>
      </c>
    </row>
    <row r="892" spans="1:12" x14ac:dyDescent="0.25">
      <c r="A892">
        <v>891</v>
      </c>
      <c r="B892">
        <v>1027</v>
      </c>
      <c r="C892">
        <v>1088</v>
      </c>
      <c r="D892" s="1">
        <v>45799</v>
      </c>
      <c r="E892" t="s">
        <v>322</v>
      </c>
      <c r="F892" t="s">
        <v>323</v>
      </c>
      <c r="G892" t="str">
        <f>_xlfn.XLOOKUP(TRIM(E893),MedicineInfo!A:A,MedicineInfo!B:B,"Not Found")</f>
        <v>Sumatriptan</v>
      </c>
      <c r="H892" s="1" cm="1">
        <f t="array" ref="H892">_xlfn.IFS(
OR(E892="Type 2 Diabetes",E892="Essential Hypertension",E892="Angina Pectoris",E892="Bronchial Asthma",E892="Cardiac Arrhythmia"), D892+30,
OR(E892="Gastritis",E892="Osteoarthritis",E892="Bronchitis",E892="Iron Deficiency Anemia"), D892+14,
OR(E892="Lumbar Strain",E892="Migraine Headache"), D892+7,
OR(E892="Viral Fever",E892="General Checkup","Routine Health Check"), "",
TRUE,""
)</f>
        <v>45829</v>
      </c>
      <c r="I892" s="1" t="str">
        <f t="shared" si="26"/>
        <v>Follow-up Scheduled</v>
      </c>
      <c r="J892" t="str">
        <f>TEXT(Table8[[#This Row],[visit_Date]],"DDDD")</f>
        <v>Thursday</v>
      </c>
      <c r="K892" t="str">
        <f>TEXT(Table8[[#This Row],[visit_Date]],"mmmm")</f>
        <v>May</v>
      </c>
      <c r="L892" t="str">
        <f t="shared" si="27"/>
        <v>Summer</v>
      </c>
    </row>
    <row r="893" spans="1:12" x14ac:dyDescent="0.25">
      <c r="A893">
        <v>892</v>
      </c>
      <c r="B893">
        <v>1009</v>
      </c>
      <c r="C893">
        <v>231</v>
      </c>
      <c r="D893" s="1">
        <v>45669</v>
      </c>
      <c r="E893" t="s">
        <v>315</v>
      </c>
      <c r="F893" t="s">
        <v>316</v>
      </c>
      <c r="G893" t="str">
        <f>_xlfn.XLOOKUP(TRIM(E894),MedicineInfo!A:A,MedicineInfo!B:B,"Not Found")</f>
        <v>Multivitamin</v>
      </c>
      <c r="H893" s="1" cm="1">
        <f t="array" ref="H893">_xlfn.IFS(
OR(E893="Type 2 Diabetes",E893="Essential Hypertension",E893="Angina Pectoris",E893="Bronchial Asthma",E893="Cardiac Arrhythmia"), D893+30,
OR(E893="Gastritis",E893="Osteoarthritis",E893="Bronchitis",E893="Iron Deficiency Anemia"), D893+14,
OR(E893="Lumbar Strain",E893="Migraine Headache"), D893+7,
OR(E893="Viral Fever",E893="General Checkup","Routine Health Check"), "",
TRUE,""
)</f>
        <v>45676</v>
      </c>
      <c r="I893" s="1" t="str">
        <f t="shared" si="26"/>
        <v>Follow-up Scheduled</v>
      </c>
      <c r="J893" t="str">
        <f>TEXT(Table8[[#This Row],[visit_Date]],"DDDD")</f>
        <v>Sunday</v>
      </c>
      <c r="K893" t="str">
        <f>TEXT(Table8[[#This Row],[visit_Date]],"mmmm")</f>
        <v>January</v>
      </c>
      <c r="L893" t="str">
        <f t="shared" si="27"/>
        <v>Winter</v>
      </c>
    </row>
    <row r="894" spans="1:12" x14ac:dyDescent="0.25">
      <c r="A894">
        <v>893</v>
      </c>
      <c r="B894">
        <v>1027</v>
      </c>
      <c r="C894">
        <v>1332</v>
      </c>
      <c r="D894" s="1">
        <v>45672</v>
      </c>
      <c r="E894" t="s">
        <v>24</v>
      </c>
      <c r="F894" t="s">
        <v>321</v>
      </c>
      <c r="G894" t="str">
        <f>_xlfn.XLOOKUP(TRIM(E895),MedicineInfo!A:A,MedicineInfo!B:B,"Not Found")</f>
        <v>Nitroglycerin</v>
      </c>
      <c r="H894" s="1" t="str" cm="1">
        <f t="array" ref="H894">_xlfn.IFS(
OR(E894="Type 2 Diabetes",E894="Essential Hypertension",E894="Angina Pectoris",E894="Bronchial Asthma",E894="Cardiac Arrhythmia"), D894+30,
OR(E894="Gastritis",E894="Osteoarthritis",E894="Bronchitis",E894="Iron Deficiency Anemia"), D894+14,
OR(E894="Lumbar Strain",E894="Migraine Headache"), D894+7,
OR(E894="Viral Fever",E894="General Checkup","Routine Health Check"), "",
TRUE,""
)</f>
        <v/>
      </c>
      <c r="I894" s="1" t="str">
        <f t="shared" si="26"/>
        <v>No Follow-up Required</v>
      </c>
      <c r="J894" t="str">
        <f>TEXT(Table8[[#This Row],[visit_Date]],"DDDD")</f>
        <v>Wednesday</v>
      </c>
      <c r="K894" t="str">
        <f>TEXT(Table8[[#This Row],[visit_Date]],"mmmm")</f>
        <v>January</v>
      </c>
      <c r="L894" t="str">
        <f t="shared" si="27"/>
        <v>Winter</v>
      </c>
    </row>
    <row r="895" spans="1:12" x14ac:dyDescent="0.25">
      <c r="A895">
        <v>894</v>
      </c>
      <c r="B895">
        <v>1027</v>
      </c>
      <c r="C895">
        <v>314</v>
      </c>
      <c r="D895" s="1">
        <v>45814</v>
      </c>
      <c r="E895" t="s">
        <v>322</v>
      </c>
      <c r="F895" t="s">
        <v>323</v>
      </c>
      <c r="G895" t="str">
        <f>_xlfn.XLOOKUP(TRIM(E896),MedicineInfo!A:A,MedicineInfo!B:B,"Not Found")</f>
        <v>Amlodipine</v>
      </c>
      <c r="H895" s="1" cm="1">
        <f t="array" ref="H895">_xlfn.IFS(
OR(E895="Type 2 Diabetes",E895="Essential Hypertension",E895="Angina Pectoris",E895="Bronchial Asthma",E895="Cardiac Arrhythmia"), D895+30,
OR(E895="Gastritis",E895="Osteoarthritis",E895="Bronchitis",E895="Iron Deficiency Anemia"), D895+14,
OR(E895="Lumbar Strain",E895="Migraine Headache"), D895+7,
OR(E895="Viral Fever",E895="General Checkup","Routine Health Check"), "",
TRUE,""
)</f>
        <v>45844</v>
      </c>
      <c r="I895" s="1" t="str">
        <f t="shared" si="26"/>
        <v>Follow-up Scheduled</v>
      </c>
      <c r="J895" t="str">
        <f>TEXT(Table8[[#This Row],[visit_Date]],"DDDD")</f>
        <v>Friday</v>
      </c>
      <c r="K895" t="str">
        <f>TEXT(Table8[[#This Row],[visit_Date]],"mmmm")</f>
        <v>June</v>
      </c>
      <c r="L895" t="str">
        <f t="shared" si="27"/>
        <v>Monsoon</v>
      </c>
    </row>
    <row r="896" spans="1:12" x14ac:dyDescent="0.25">
      <c r="A896">
        <v>895</v>
      </c>
      <c r="B896">
        <v>1003</v>
      </c>
      <c r="C896">
        <v>1078</v>
      </c>
      <c r="D896" s="1">
        <v>45686</v>
      </c>
      <c r="E896" t="s">
        <v>319</v>
      </c>
      <c r="F896" t="s">
        <v>320</v>
      </c>
      <c r="G896" t="str">
        <f>_xlfn.XLOOKUP(TRIM(E897),MedicineInfo!A:A,MedicineInfo!B:B,"Not Found")</f>
        <v>Sumatriptan</v>
      </c>
      <c r="H896" s="1" cm="1">
        <f t="array" ref="H896">_xlfn.IFS(
OR(E896="Type 2 Diabetes",E896="Essential Hypertension",E896="Angina Pectoris",E896="Bronchial Asthma",E896="Cardiac Arrhythmia"), D896+30,
OR(E896="Gastritis",E896="Osteoarthritis",E896="Bronchitis",E896="Iron Deficiency Anemia"), D896+14,
OR(E896="Lumbar Strain",E896="Migraine Headache"), D896+7,
OR(E896="Viral Fever",E896="General Checkup","Routine Health Check"), "",
TRUE,""
)</f>
        <v>45716</v>
      </c>
      <c r="I896" s="1" t="str">
        <f t="shared" si="26"/>
        <v>Follow-up Scheduled</v>
      </c>
      <c r="J896" t="str">
        <f>TEXT(Table8[[#This Row],[visit_Date]],"DDDD")</f>
        <v>Wednesday</v>
      </c>
      <c r="K896" t="str">
        <f>TEXT(Table8[[#This Row],[visit_Date]],"mmmm")</f>
        <v>January</v>
      </c>
      <c r="L896" t="str">
        <f t="shared" si="27"/>
        <v>Winter</v>
      </c>
    </row>
    <row r="897" spans="1:12" x14ac:dyDescent="0.25">
      <c r="A897">
        <v>896</v>
      </c>
      <c r="B897">
        <v>1008</v>
      </c>
      <c r="C897">
        <v>459</v>
      </c>
      <c r="D897" s="1">
        <v>45814</v>
      </c>
      <c r="E897" t="s">
        <v>315</v>
      </c>
      <c r="F897" t="s">
        <v>316</v>
      </c>
      <c r="G897" t="str">
        <f>_xlfn.XLOOKUP(TRIM(E898),MedicineInfo!A:A,MedicineInfo!B:B,"Not Found")</f>
        <v>Sumatriptan</v>
      </c>
      <c r="H897" s="1" cm="1">
        <f t="array" ref="H897">_xlfn.IFS(
OR(E897="Type 2 Diabetes",E897="Essential Hypertension",E897="Angina Pectoris",E897="Bronchial Asthma",E897="Cardiac Arrhythmia"), D897+30,
OR(E897="Gastritis",E897="Osteoarthritis",E897="Bronchitis",E897="Iron Deficiency Anemia"), D897+14,
OR(E897="Lumbar Strain",E897="Migraine Headache"), D897+7,
OR(E897="Viral Fever",E897="General Checkup","Routine Health Check"), "",
TRUE,""
)</f>
        <v>45821</v>
      </c>
      <c r="I897" s="1" t="str">
        <f t="shared" si="26"/>
        <v>Follow-up Scheduled</v>
      </c>
      <c r="J897" t="str">
        <f>TEXT(Table8[[#This Row],[visit_Date]],"DDDD")</f>
        <v>Friday</v>
      </c>
      <c r="K897" t="str">
        <f>TEXT(Table8[[#This Row],[visit_Date]],"mmmm")</f>
        <v>June</v>
      </c>
      <c r="L897" t="str">
        <f t="shared" si="27"/>
        <v>Monsoon</v>
      </c>
    </row>
    <row r="898" spans="1:12" x14ac:dyDescent="0.25">
      <c r="A898">
        <v>897</v>
      </c>
      <c r="B898">
        <v>1008</v>
      </c>
      <c r="C898">
        <v>1506</v>
      </c>
      <c r="D898" s="1">
        <v>45790</v>
      </c>
      <c r="E898" t="s">
        <v>315</v>
      </c>
      <c r="F898" t="s">
        <v>316</v>
      </c>
      <c r="G898" t="str">
        <f>_xlfn.XLOOKUP(TRIM(E899),MedicineInfo!A:A,MedicineInfo!B:B,"Not Found")</f>
        <v>Sumatriptan</v>
      </c>
      <c r="H898" s="1" cm="1">
        <f t="array" ref="H898">_xlfn.IFS(
OR(E898="Type 2 Diabetes",E898="Essential Hypertension",E898="Angina Pectoris",E898="Bronchial Asthma",E898="Cardiac Arrhythmia"), D898+30,
OR(E898="Gastritis",E898="Osteoarthritis",E898="Bronchitis",E898="Iron Deficiency Anemia"), D898+14,
OR(E898="Lumbar Strain",E898="Migraine Headache"), D898+7,
OR(E898="Viral Fever",E898="General Checkup","Routine Health Check"), "",
TRUE,""
)</f>
        <v>45797</v>
      </c>
      <c r="I898" s="1" t="str">
        <f t="shared" ref="I898:I961" si="28">IF(H898="","No Follow-up Required","Follow-up Scheduled")</f>
        <v>Follow-up Scheduled</v>
      </c>
      <c r="J898" t="str">
        <f>TEXT(Table8[[#This Row],[visit_Date]],"DDDD")</f>
        <v>Tuesday</v>
      </c>
      <c r="K898" t="str">
        <f>TEXT(Table8[[#This Row],[visit_Date]],"mmmm")</f>
        <v>May</v>
      </c>
      <c r="L898" t="str">
        <f t="shared" ref="L898:L961" si="29">IF(OR(MONTH(D898)=12,MONTH(D898)&lt;=2),"Winter",
IF(MONTH(D898)&lt;=5,"Summer","Monsoon"))</f>
        <v>Summer</v>
      </c>
    </row>
    <row r="899" spans="1:12" x14ac:dyDescent="0.25">
      <c r="A899">
        <v>898</v>
      </c>
      <c r="B899">
        <v>1009</v>
      </c>
      <c r="C899">
        <v>615</v>
      </c>
      <c r="D899" s="1">
        <v>45818</v>
      </c>
      <c r="E899" t="s">
        <v>315</v>
      </c>
      <c r="F899" t="s">
        <v>316</v>
      </c>
      <c r="G899" t="str">
        <f>_xlfn.XLOOKUP(TRIM(E900),MedicineInfo!A:A,MedicineInfo!B:B,"Not Found")</f>
        <v>Amlodipine</v>
      </c>
      <c r="H899" s="1" cm="1">
        <f t="array" ref="H899">_xlfn.IFS(
OR(E899="Type 2 Diabetes",E899="Essential Hypertension",E899="Angina Pectoris",E899="Bronchial Asthma",E899="Cardiac Arrhythmia"), D899+30,
OR(E899="Gastritis",E899="Osteoarthritis",E899="Bronchitis",E899="Iron Deficiency Anemia"), D899+14,
OR(E899="Lumbar Strain",E899="Migraine Headache"), D899+7,
OR(E899="Viral Fever",E899="General Checkup","Routine Health Check"), "",
TRUE,""
)</f>
        <v>45825</v>
      </c>
      <c r="I899" s="1" t="str">
        <f t="shared" si="28"/>
        <v>Follow-up Scheduled</v>
      </c>
      <c r="J899" t="str">
        <f>TEXT(Table8[[#This Row],[visit_Date]],"DDDD")</f>
        <v>Tuesday</v>
      </c>
      <c r="K899" t="str">
        <f>TEXT(Table8[[#This Row],[visit_Date]],"mmmm")</f>
        <v>June</v>
      </c>
      <c r="L899" t="str">
        <f t="shared" si="29"/>
        <v>Monsoon</v>
      </c>
    </row>
    <row r="900" spans="1:12" x14ac:dyDescent="0.25">
      <c r="A900">
        <v>899</v>
      </c>
      <c r="B900">
        <v>1004</v>
      </c>
      <c r="C900">
        <v>231</v>
      </c>
      <c r="D900" s="1">
        <v>45790</v>
      </c>
      <c r="E900" t="s">
        <v>319</v>
      </c>
      <c r="F900" t="s">
        <v>320</v>
      </c>
      <c r="G900" t="str">
        <f>_xlfn.XLOOKUP(TRIM(E901),MedicineInfo!A:A,MedicineInfo!B:B,"Not Found")</f>
        <v>Multivitamin</v>
      </c>
      <c r="H900" s="1" cm="1">
        <f t="array" ref="H900">_xlfn.IFS(
OR(E900="Type 2 Diabetes",E900="Essential Hypertension",E900="Angina Pectoris",E900="Bronchial Asthma",E900="Cardiac Arrhythmia"), D900+30,
OR(E900="Gastritis",E900="Osteoarthritis",E900="Bronchitis",E900="Iron Deficiency Anemia"), D900+14,
OR(E900="Lumbar Strain",E900="Migraine Headache"), D900+7,
OR(E900="Viral Fever",E900="General Checkup","Routine Health Check"), "",
TRUE,""
)</f>
        <v>45820</v>
      </c>
      <c r="I900" s="1" t="str">
        <f t="shared" si="28"/>
        <v>Follow-up Scheduled</v>
      </c>
      <c r="J900" t="str">
        <f>TEXT(Table8[[#This Row],[visit_Date]],"DDDD")</f>
        <v>Tuesday</v>
      </c>
      <c r="K900" t="str">
        <f>TEXT(Table8[[#This Row],[visit_Date]],"mmmm")</f>
        <v>May</v>
      </c>
      <c r="L900" t="str">
        <f t="shared" si="29"/>
        <v>Summer</v>
      </c>
    </row>
    <row r="901" spans="1:12" x14ac:dyDescent="0.25">
      <c r="A901">
        <v>900</v>
      </c>
      <c r="B901">
        <v>1027</v>
      </c>
      <c r="C901">
        <v>1343</v>
      </c>
      <c r="D901" s="1">
        <v>45672</v>
      </c>
      <c r="E901" t="s">
        <v>24</v>
      </c>
      <c r="F901" t="s">
        <v>321</v>
      </c>
      <c r="G901" t="str">
        <f>_xlfn.XLOOKUP(TRIM(E902),MedicineInfo!A:A,MedicineInfo!B:B,"Not Found")</f>
        <v>Diclofenac</v>
      </c>
      <c r="H901" s="1" t="str" cm="1">
        <f t="array" ref="H901">_xlfn.IFS(
OR(E901="Type 2 Diabetes",E901="Essential Hypertension",E901="Angina Pectoris",E901="Bronchial Asthma",E901="Cardiac Arrhythmia"), D901+30,
OR(E901="Gastritis",E901="Osteoarthritis",E901="Bronchitis",E901="Iron Deficiency Anemia"), D901+14,
OR(E901="Lumbar Strain",E901="Migraine Headache"), D901+7,
OR(E901="Viral Fever",E901="General Checkup","Routine Health Check"), "",
TRUE,""
)</f>
        <v/>
      </c>
      <c r="I901" s="1" t="str">
        <f t="shared" si="28"/>
        <v>No Follow-up Required</v>
      </c>
      <c r="J901" t="str">
        <f>TEXT(Table8[[#This Row],[visit_Date]],"DDDD")</f>
        <v>Wednesday</v>
      </c>
      <c r="K901" t="str">
        <f>TEXT(Table8[[#This Row],[visit_Date]],"mmmm")</f>
        <v>January</v>
      </c>
      <c r="L901" t="str">
        <f t="shared" si="29"/>
        <v>Winter</v>
      </c>
    </row>
    <row r="902" spans="1:12" x14ac:dyDescent="0.25">
      <c r="A902">
        <v>901</v>
      </c>
      <c r="B902">
        <v>1027</v>
      </c>
      <c r="C902">
        <v>1239</v>
      </c>
      <c r="D902" s="1">
        <v>45758</v>
      </c>
      <c r="E902" t="s">
        <v>313</v>
      </c>
      <c r="F902" t="s">
        <v>314</v>
      </c>
      <c r="G902" t="str">
        <f>_xlfn.XLOOKUP(TRIM(E903),MedicineInfo!A:A,MedicineInfo!B:B,"Not Found")</f>
        <v>Amlodipine</v>
      </c>
      <c r="H902" s="1" cm="1">
        <f t="array" ref="H902">_xlfn.IFS(
OR(E902="Type 2 Diabetes",E902="Essential Hypertension",E902="Angina Pectoris",E902="Bronchial Asthma",E902="Cardiac Arrhythmia"), D902+30,
OR(E902="Gastritis",E902="Osteoarthritis",E902="Bronchitis",E902="Iron Deficiency Anemia"), D902+14,
OR(E902="Lumbar Strain",E902="Migraine Headache"), D902+7,
OR(E902="Viral Fever",E902="General Checkup","Routine Health Check"), "",
TRUE,""
)</f>
        <v>45765</v>
      </c>
      <c r="I902" s="1" t="str">
        <f t="shared" si="28"/>
        <v>Follow-up Scheduled</v>
      </c>
      <c r="J902" t="str">
        <f>TEXT(Table8[[#This Row],[visit_Date]],"DDDD")</f>
        <v>Friday</v>
      </c>
      <c r="K902" t="str">
        <f>TEXT(Table8[[#This Row],[visit_Date]],"mmmm")</f>
        <v>April</v>
      </c>
      <c r="L902" t="str">
        <f t="shared" si="29"/>
        <v>Summer</v>
      </c>
    </row>
    <row r="903" spans="1:12" x14ac:dyDescent="0.25">
      <c r="A903">
        <v>902</v>
      </c>
      <c r="B903">
        <v>1003</v>
      </c>
      <c r="C903">
        <v>347</v>
      </c>
      <c r="D903" s="1">
        <v>45757</v>
      </c>
      <c r="E903" t="s">
        <v>319</v>
      </c>
      <c r="F903" t="s">
        <v>320</v>
      </c>
      <c r="G903" t="str">
        <f>_xlfn.XLOOKUP(TRIM(E904),MedicineInfo!A:A,MedicineInfo!B:B,"Not Found")</f>
        <v>Salbutamol Inhaler</v>
      </c>
      <c r="H903" s="1" cm="1">
        <f t="array" ref="H903">_xlfn.IFS(
OR(E903="Type 2 Diabetes",E903="Essential Hypertension",E903="Angina Pectoris",E903="Bronchial Asthma",E903="Cardiac Arrhythmia"), D903+30,
OR(E903="Gastritis",E903="Osteoarthritis",E903="Bronchitis",E903="Iron Deficiency Anemia"), D903+14,
OR(E903="Lumbar Strain",E903="Migraine Headache"), D903+7,
OR(E903="Viral Fever",E903="General Checkup","Routine Health Check"), "",
TRUE,""
)</f>
        <v>45787</v>
      </c>
      <c r="I903" s="1" t="str">
        <f t="shared" si="28"/>
        <v>Follow-up Scheduled</v>
      </c>
      <c r="J903" t="str">
        <f>TEXT(Table8[[#This Row],[visit_Date]],"DDDD")</f>
        <v>Thursday</v>
      </c>
      <c r="K903" t="str">
        <f>TEXT(Table8[[#This Row],[visit_Date]],"mmmm")</f>
        <v>April</v>
      </c>
      <c r="L903" t="str">
        <f t="shared" si="29"/>
        <v>Summer</v>
      </c>
    </row>
    <row r="904" spans="1:12" x14ac:dyDescent="0.25">
      <c r="A904">
        <v>903</v>
      </c>
      <c r="B904">
        <v>1020</v>
      </c>
      <c r="C904">
        <v>920</v>
      </c>
      <c r="D904" s="1">
        <v>45792</v>
      </c>
      <c r="E904" t="s">
        <v>324</v>
      </c>
      <c r="F904" t="s">
        <v>325</v>
      </c>
      <c r="G904" t="str">
        <f>_xlfn.XLOOKUP(TRIM(E905),MedicineInfo!A:A,MedicineInfo!B:B,"Not Found")</f>
        <v>Nitroglycerin</v>
      </c>
      <c r="H904" s="1" cm="1">
        <f t="array" ref="H904">_xlfn.IFS(
OR(E904="Type 2 Diabetes",E904="Essential Hypertension",E904="Angina Pectoris",E904="Bronchial Asthma",E904="Cardiac Arrhythmia"), D904+30,
OR(E904="Gastritis",E904="Osteoarthritis",E904="Bronchitis",E904="Iron Deficiency Anemia"), D904+14,
OR(E904="Lumbar Strain",E904="Migraine Headache"), D904+7,
OR(E904="Viral Fever",E904="General Checkup","Routine Health Check"), "",
TRUE,""
)</f>
        <v>45822</v>
      </c>
      <c r="I904" s="1" t="str">
        <f t="shared" si="28"/>
        <v>Follow-up Scheduled</v>
      </c>
      <c r="J904" t="str">
        <f>TEXT(Table8[[#This Row],[visit_Date]],"DDDD")</f>
        <v>Thursday</v>
      </c>
      <c r="K904" t="str">
        <f>TEXT(Table8[[#This Row],[visit_Date]],"mmmm")</f>
        <v>May</v>
      </c>
      <c r="L904" t="str">
        <f t="shared" si="29"/>
        <v>Summer</v>
      </c>
    </row>
    <row r="905" spans="1:12" x14ac:dyDescent="0.25">
      <c r="A905">
        <v>904</v>
      </c>
      <c r="B905">
        <v>1027</v>
      </c>
      <c r="C905">
        <v>1105</v>
      </c>
      <c r="D905" s="1">
        <v>45730</v>
      </c>
      <c r="E905" t="s">
        <v>322</v>
      </c>
      <c r="F905" t="s">
        <v>323</v>
      </c>
      <c r="G905" t="str">
        <f>_xlfn.XLOOKUP(TRIM(E906),MedicineInfo!A:A,MedicineInfo!B:B,"Not Found")</f>
        <v>Nitroglycerin</v>
      </c>
      <c r="H905" s="1" cm="1">
        <f t="array" ref="H905">_xlfn.IFS(
OR(E905="Type 2 Diabetes",E905="Essential Hypertension",E905="Angina Pectoris",E905="Bronchial Asthma",E905="Cardiac Arrhythmia"), D905+30,
OR(E905="Gastritis",E905="Osteoarthritis",E905="Bronchitis",E905="Iron Deficiency Anemia"), D905+14,
OR(E905="Lumbar Strain",E905="Migraine Headache"), D905+7,
OR(E905="Viral Fever",E905="General Checkup","Routine Health Check"), "",
TRUE,""
)</f>
        <v>45760</v>
      </c>
      <c r="I905" s="1" t="str">
        <f t="shared" si="28"/>
        <v>Follow-up Scheduled</v>
      </c>
      <c r="J905" t="str">
        <f>TEXT(Table8[[#This Row],[visit_Date]],"DDDD")</f>
        <v>Friday</v>
      </c>
      <c r="K905" t="str">
        <f>TEXT(Table8[[#This Row],[visit_Date]],"mmmm")</f>
        <v>March</v>
      </c>
      <c r="L905" t="str">
        <f t="shared" si="29"/>
        <v>Summer</v>
      </c>
    </row>
    <row r="906" spans="1:12" x14ac:dyDescent="0.25">
      <c r="A906">
        <v>905</v>
      </c>
      <c r="B906">
        <v>1001</v>
      </c>
      <c r="C906">
        <v>422</v>
      </c>
      <c r="D906" s="1">
        <v>45783</v>
      </c>
      <c r="E906" t="s">
        <v>322</v>
      </c>
      <c r="F906" t="s">
        <v>323</v>
      </c>
      <c r="G906" t="str">
        <f>_xlfn.XLOOKUP(TRIM(E907),MedicineInfo!A:A,MedicineInfo!B:B,"Not Found")</f>
        <v>Sumatriptan</v>
      </c>
      <c r="H906" s="1" cm="1">
        <f t="array" ref="H906">_xlfn.IFS(
OR(E906="Type 2 Diabetes",E906="Essential Hypertension",E906="Angina Pectoris",E906="Bronchial Asthma",E906="Cardiac Arrhythmia"), D906+30,
OR(E906="Gastritis",E906="Osteoarthritis",E906="Bronchitis",E906="Iron Deficiency Anemia"), D906+14,
OR(E906="Lumbar Strain",E906="Migraine Headache"), D906+7,
OR(E906="Viral Fever",E906="General Checkup","Routine Health Check"), "",
TRUE,""
)</f>
        <v>45813</v>
      </c>
      <c r="I906" s="1" t="str">
        <f t="shared" si="28"/>
        <v>Follow-up Scheduled</v>
      </c>
      <c r="J906" t="str">
        <f>TEXT(Table8[[#This Row],[visit_Date]],"DDDD")</f>
        <v>Tuesday</v>
      </c>
      <c r="K906" t="str">
        <f>TEXT(Table8[[#This Row],[visit_Date]],"mmmm")</f>
        <v>May</v>
      </c>
      <c r="L906" t="str">
        <f t="shared" si="29"/>
        <v>Summer</v>
      </c>
    </row>
    <row r="907" spans="1:12" x14ac:dyDescent="0.25">
      <c r="A907">
        <v>906</v>
      </c>
      <c r="B907">
        <v>1008</v>
      </c>
      <c r="C907">
        <v>1486</v>
      </c>
      <c r="D907" s="1">
        <v>45853</v>
      </c>
      <c r="E907" t="s">
        <v>315</v>
      </c>
      <c r="F907" t="s">
        <v>316</v>
      </c>
      <c r="G907" t="str">
        <f>_xlfn.XLOOKUP(TRIM(E908),MedicineInfo!A:A,MedicineInfo!B:B,"Not Found")</f>
        <v>Multivitamin</v>
      </c>
      <c r="H907" s="1" cm="1">
        <f t="array" ref="H907">_xlfn.IFS(
OR(E907="Type 2 Diabetes",E907="Essential Hypertension",E907="Angina Pectoris",E907="Bronchial Asthma",E907="Cardiac Arrhythmia"), D907+30,
OR(E907="Gastritis",E907="Osteoarthritis",E907="Bronchitis",E907="Iron Deficiency Anemia"), D907+14,
OR(E907="Lumbar Strain",E907="Migraine Headache"), D907+7,
OR(E907="Viral Fever",E907="General Checkup","Routine Health Check"), "",
TRUE,""
)</f>
        <v>45860</v>
      </c>
      <c r="I907" s="1" t="str">
        <f t="shared" si="28"/>
        <v>Follow-up Scheduled</v>
      </c>
      <c r="J907" t="str">
        <f>TEXT(Table8[[#This Row],[visit_Date]],"DDDD")</f>
        <v>Tuesday</v>
      </c>
      <c r="K907" t="str">
        <f>TEXT(Table8[[#This Row],[visit_Date]],"mmmm")</f>
        <v>July</v>
      </c>
      <c r="L907" t="str">
        <f t="shared" si="29"/>
        <v>Monsoon</v>
      </c>
    </row>
    <row r="908" spans="1:12" x14ac:dyDescent="0.25">
      <c r="A908">
        <v>907</v>
      </c>
      <c r="B908">
        <v>1366</v>
      </c>
      <c r="C908">
        <v>464</v>
      </c>
      <c r="D908" s="1">
        <v>45853</v>
      </c>
      <c r="E908" t="s">
        <v>24</v>
      </c>
      <c r="F908" t="s">
        <v>321</v>
      </c>
      <c r="G908" t="str">
        <f>_xlfn.XLOOKUP(TRIM(E909),MedicineInfo!A:A,MedicineInfo!B:B,"Not Found")</f>
        <v>Multivitamin</v>
      </c>
      <c r="H908" s="1" t="str" cm="1">
        <f t="array" ref="H908">_xlfn.IFS(
OR(E908="Type 2 Diabetes",E908="Essential Hypertension",E908="Angina Pectoris",E908="Bronchial Asthma",E908="Cardiac Arrhythmia"), D908+30,
OR(E908="Gastritis",E908="Osteoarthritis",E908="Bronchitis",E908="Iron Deficiency Anemia"), D908+14,
OR(E908="Lumbar Strain",E908="Migraine Headache"), D908+7,
OR(E908="Viral Fever",E908="General Checkup","Routine Health Check"), "",
TRUE,""
)</f>
        <v/>
      </c>
      <c r="I908" s="1" t="str">
        <f t="shared" si="28"/>
        <v>No Follow-up Required</v>
      </c>
      <c r="J908" t="str">
        <f>TEXT(Table8[[#This Row],[visit_Date]],"DDDD")</f>
        <v>Tuesday</v>
      </c>
      <c r="K908" t="str">
        <f>TEXT(Table8[[#This Row],[visit_Date]],"mmmm")</f>
        <v>July</v>
      </c>
      <c r="L908" t="str">
        <f t="shared" si="29"/>
        <v>Monsoon</v>
      </c>
    </row>
    <row r="909" spans="1:12" x14ac:dyDescent="0.25">
      <c r="A909">
        <v>908</v>
      </c>
      <c r="B909">
        <v>1193</v>
      </c>
      <c r="C909">
        <v>415</v>
      </c>
      <c r="D909" s="1">
        <v>45767</v>
      </c>
      <c r="E909" t="s">
        <v>24</v>
      </c>
      <c r="F909" t="s">
        <v>321</v>
      </c>
      <c r="G909" t="str">
        <f>_xlfn.XLOOKUP(TRIM(E910),MedicineInfo!A:A,MedicineInfo!B:B,"Not Found")</f>
        <v>Escitalopram</v>
      </c>
      <c r="H909" s="1" t="str" cm="1">
        <f t="array" ref="H909">_xlfn.IFS(
OR(E909="Type 2 Diabetes",E909="Essential Hypertension",E909="Angina Pectoris",E909="Bronchial Asthma",E909="Cardiac Arrhythmia"), D909+30,
OR(E909="Gastritis",E909="Osteoarthritis",E909="Bronchitis",E909="Iron Deficiency Anemia"), D909+14,
OR(E909="Lumbar Strain",E909="Migraine Headache"), D909+7,
OR(E909="Viral Fever",E909="General Checkup","Routine Health Check"), "",
TRUE,""
)</f>
        <v/>
      </c>
      <c r="I909" s="1" t="str">
        <f t="shared" si="28"/>
        <v>No Follow-up Required</v>
      </c>
      <c r="J909" t="str">
        <f>TEXT(Table8[[#This Row],[visit_Date]],"DDDD")</f>
        <v>Sunday</v>
      </c>
      <c r="K909" t="str">
        <f>TEXT(Table8[[#This Row],[visit_Date]],"mmmm")</f>
        <v>April</v>
      </c>
      <c r="L909" t="str">
        <f t="shared" si="29"/>
        <v>Summer</v>
      </c>
    </row>
    <row r="910" spans="1:12" x14ac:dyDescent="0.25">
      <c r="A910">
        <v>909</v>
      </c>
      <c r="B910">
        <v>1268</v>
      </c>
      <c r="C910">
        <v>1004</v>
      </c>
      <c r="D910" s="1">
        <v>45672</v>
      </c>
      <c r="E910" t="s">
        <v>328</v>
      </c>
      <c r="F910" t="s">
        <v>329</v>
      </c>
      <c r="G910" t="str">
        <f>_xlfn.XLOOKUP(TRIM(E911),MedicineInfo!A:A,MedicineInfo!B:B,"Not Found")</f>
        <v>Amiodarone</v>
      </c>
      <c r="H910" s="1" t="str" cm="1">
        <f t="array" ref="H910">_xlfn.IFS(
OR(E910="Type 2 Diabetes",E910="Essential Hypertension",E910="Angina Pectoris",E910="Bronchial Asthma",E910="Cardiac Arrhythmia"), D910+30,
OR(E910="Gastritis",E910="Osteoarthritis",E910="Bronchitis",E910="Iron Deficiency Anemia"), D910+14,
OR(E910="Lumbar Strain",E910="Migraine Headache"), D910+7,
OR(E910="Viral Fever",E910="General Checkup","Routine Health Check"), "",
TRUE,""
)</f>
        <v/>
      </c>
      <c r="I910" s="1" t="str">
        <f t="shared" si="28"/>
        <v>No Follow-up Required</v>
      </c>
      <c r="J910" t="str">
        <f>TEXT(Table8[[#This Row],[visit_Date]],"DDDD")</f>
        <v>Wednesday</v>
      </c>
      <c r="K910" t="str">
        <f>TEXT(Table8[[#This Row],[visit_Date]],"mmmm")</f>
        <v>January</v>
      </c>
      <c r="L910" t="str">
        <f t="shared" si="29"/>
        <v>Winter</v>
      </c>
    </row>
    <row r="911" spans="1:12" x14ac:dyDescent="0.25">
      <c r="A911">
        <v>910</v>
      </c>
      <c r="B911">
        <v>1318</v>
      </c>
      <c r="C911">
        <v>641</v>
      </c>
      <c r="D911" s="1">
        <v>45791</v>
      </c>
      <c r="E911" t="s">
        <v>330</v>
      </c>
      <c r="F911" t="s">
        <v>331</v>
      </c>
      <c r="G911" t="str">
        <f>_xlfn.XLOOKUP(TRIM(E912),MedicineInfo!A:A,MedicineInfo!B:B,"Not Found")</f>
        <v>Multivitamin</v>
      </c>
      <c r="H911" s="1" cm="1">
        <f t="array" ref="H911">_xlfn.IFS(
OR(E911="Type 2 Diabetes",E911="Essential Hypertension",E911="Angina Pectoris",E911="Bronchial Asthma",E911="Cardiac Arrhythmia"), D911+30,
OR(E911="Gastritis",E911="Osteoarthritis",E911="Bronchitis",E911="Iron Deficiency Anemia"), D911+14,
OR(E911="Lumbar Strain",E911="Migraine Headache"), D911+7,
OR(E911="Viral Fever",E911="General Checkup","Routine Health Check"), "",
TRUE,""
)</f>
        <v>45821</v>
      </c>
      <c r="I911" s="1" t="str">
        <f t="shared" si="28"/>
        <v>Follow-up Scheduled</v>
      </c>
      <c r="J911" t="str">
        <f>TEXT(Table8[[#This Row],[visit_Date]],"DDDD")</f>
        <v>Wednesday</v>
      </c>
      <c r="K911" t="str">
        <f>TEXT(Table8[[#This Row],[visit_Date]],"mmmm")</f>
        <v>May</v>
      </c>
      <c r="L911" t="str">
        <f t="shared" si="29"/>
        <v>Summer</v>
      </c>
    </row>
    <row r="912" spans="1:12" x14ac:dyDescent="0.25">
      <c r="A912">
        <v>911</v>
      </c>
      <c r="B912">
        <v>1050</v>
      </c>
      <c r="C912">
        <v>546</v>
      </c>
      <c r="D912" s="1">
        <v>45767</v>
      </c>
      <c r="E912" t="s">
        <v>24</v>
      </c>
      <c r="F912" t="s">
        <v>321</v>
      </c>
      <c r="G912" t="str">
        <f>_xlfn.XLOOKUP(TRIM(E913),MedicineInfo!A:A,MedicineInfo!B:B,"Not Found")</f>
        <v>Multivitamin</v>
      </c>
      <c r="H912" s="1" t="str" cm="1">
        <f t="array" ref="H912">_xlfn.IFS(
OR(E912="Type 2 Diabetes",E912="Essential Hypertension",E912="Angina Pectoris",E912="Bronchial Asthma",E912="Cardiac Arrhythmia"), D912+30,
OR(E912="Gastritis",E912="Osteoarthritis",E912="Bronchitis",E912="Iron Deficiency Anemia"), D912+14,
OR(E912="Lumbar Strain",E912="Migraine Headache"), D912+7,
OR(E912="Viral Fever",E912="General Checkup","Routine Health Check"), "",
TRUE,""
)</f>
        <v/>
      </c>
      <c r="I912" s="1" t="str">
        <f t="shared" si="28"/>
        <v>No Follow-up Required</v>
      </c>
      <c r="J912" t="str">
        <f>TEXT(Table8[[#This Row],[visit_Date]],"DDDD")</f>
        <v>Sunday</v>
      </c>
      <c r="K912" t="str">
        <f>TEXT(Table8[[#This Row],[visit_Date]],"mmmm")</f>
        <v>April</v>
      </c>
      <c r="L912" t="str">
        <f t="shared" si="29"/>
        <v>Summer</v>
      </c>
    </row>
    <row r="913" spans="1:12" x14ac:dyDescent="0.25">
      <c r="A913">
        <v>912</v>
      </c>
      <c r="B913">
        <v>1219</v>
      </c>
      <c r="C913">
        <v>463</v>
      </c>
      <c r="D913" s="1">
        <v>45792</v>
      </c>
      <c r="E913" t="s">
        <v>24</v>
      </c>
      <c r="F913" t="s">
        <v>321</v>
      </c>
      <c r="G913" t="str">
        <f>_xlfn.XLOOKUP(TRIM(E914),MedicineInfo!A:A,MedicineInfo!B:B,"Not Found")</f>
        <v>Multivitamin</v>
      </c>
      <c r="H913" s="1" t="str" cm="1">
        <f t="array" ref="H913">_xlfn.IFS(
OR(E913="Type 2 Diabetes",E913="Essential Hypertension",E913="Angina Pectoris",E913="Bronchial Asthma",E913="Cardiac Arrhythmia"), D913+30,
OR(E913="Gastritis",E913="Osteoarthritis",E913="Bronchitis",E913="Iron Deficiency Anemia"), D913+14,
OR(E913="Lumbar Strain",E913="Migraine Headache"), D913+7,
OR(E913="Viral Fever",E913="General Checkup","Routine Health Check"), "",
TRUE,""
)</f>
        <v/>
      </c>
      <c r="I913" s="1" t="str">
        <f t="shared" si="28"/>
        <v>No Follow-up Required</v>
      </c>
      <c r="J913" t="str">
        <f>TEXT(Table8[[#This Row],[visit_Date]],"DDDD")</f>
        <v>Thursday</v>
      </c>
      <c r="K913" t="str">
        <f>TEXT(Table8[[#This Row],[visit_Date]],"mmmm")</f>
        <v>May</v>
      </c>
      <c r="L913" t="str">
        <f t="shared" si="29"/>
        <v>Summer</v>
      </c>
    </row>
    <row r="914" spans="1:12" x14ac:dyDescent="0.25">
      <c r="A914">
        <v>913</v>
      </c>
      <c r="B914">
        <v>1020</v>
      </c>
      <c r="C914">
        <v>1056</v>
      </c>
      <c r="D914" s="1">
        <v>45814</v>
      </c>
      <c r="E914" t="s">
        <v>24</v>
      </c>
      <c r="F914" t="s">
        <v>321</v>
      </c>
      <c r="G914" t="str">
        <f>_xlfn.XLOOKUP(TRIM(E915),MedicineInfo!A:A,MedicineInfo!B:B,"Not Found")</f>
        <v>Multivitamin</v>
      </c>
      <c r="H914" s="1" t="str" cm="1">
        <f t="array" ref="H914">_xlfn.IFS(
OR(E914="Type 2 Diabetes",E914="Essential Hypertension",E914="Angina Pectoris",E914="Bronchial Asthma",E914="Cardiac Arrhythmia"), D914+30,
OR(E914="Gastritis",E914="Osteoarthritis",E914="Bronchitis",E914="Iron Deficiency Anemia"), D914+14,
OR(E914="Lumbar Strain",E914="Migraine Headache"), D914+7,
OR(E914="Viral Fever",E914="General Checkup","Routine Health Check"), "",
TRUE,""
)</f>
        <v/>
      </c>
      <c r="I914" s="1" t="str">
        <f t="shared" si="28"/>
        <v>No Follow-up Required</v>
      </c>
      <c r="J914" t="str">
        <f>TEXT(Table8[[#This Row],[visit_Date]],"DDDD")</f>
        <v>Friday</v>
      </c>
      <c r="K914" t="str">
        <f>TEXT(Table8[[#This Row],[visit_Date]],"mmmm")</f>
        <v>June</v>
      </c>
      <c r="L914" t="str">
        <f t="shared" si="29"/>
        <v>Monsoon</v>
      </c>
    </row>
    <row r="915" spans="1:12" x14ac:dyDescent="0.25">
      <c r="A915">
        <v>914</v>
      </c>
      <c r="B915">
        <v>1342</v>
      </c>
      <c r="C915">
        <v>537</v>
      </c>
      <c r="D915" s="1">
        <v>45782</v>
      </c>
      <c r="E915" t="s">
        <v>24</v>
      </c>
      <c r="F915" t="s">
        <v>321</v>
      </c>
      <c r="G915" t="str">
        <f>_xlfn.XLOOKUP(TRIM(E916),MedicineInfo!A:A,MedicineInfo!B:B,"Not Found")</f>
        <v>Multivitamin</v>
      </c>
      <c r="H915" s="1" t="str" cm="1">
        <f t="array" ref="H915">_xlfn.IFS(
OR(E915="Type 2 Diabetes",E915="Essential Hypertension",E915="Angina Pectoris",E915="Bronchial Asthma",E915="Cardiac Arrhythmia"), D915+30,
OR(E915="Gastritis",E915="Osteoarthritis",E915="Bronchitis",E915="Iron Deficiency Anemia"), D915+14,
OR(E915="Lumbar Strain",E915="Migraine Headache"), D915+7,
OR(E915="Viral Fever",E915="General Checkup","Routine Health Check"), "",
TRUE,""
)</f>
        <v/>
      </c>
      <c r="I915" s="1" t="str">
        <f t="shared" si="28"/>
        <v>No Follow-up Required</v>
      </c>
      <c r="J915" t="str">
        <f>TEXT(Table8[[#This Row],[visit_Date]],"DDDD")</f>
        <v>Monday</v>
      </c>
      <c r="K915" t="str">
        <f>TEXT(Table8[[#This Row],[visit_Date]],"mmmm")</f>
        <v>May</v>
      </c>
      <c r="L915" t="str">
        <f t="shared" si="29"/>
        <v>Summer</v>
      </c>
    </row>
    <row r="916" spans="1:12" x14ac:dyDescent="0.25">
      <c r="A916">
        <v>915</v>
      </c>
      <c r="B916">
        <v>1174</v>
      </c>
      <c r="C916">
        <v>617</v>
      </c>
      <c r="D916" s="1">
        <v>45799</v>
      </c>
      <c r="E916" t="s">
        <v>24</v>
      </c>
      <c r="F916" t="s">
        <v>321</v>
      </c>
      <c r="G916" t="str">
        <f>_xlfn.XLOOKUP(TRIM(E917),MedicineInfo!A:A,MedicineInfo!B:B,"Not Found")</f>
        <v>Multivitamin</v>
      </c>
      <c r="H916" s="1" t="str" cm="1">
        <f t="array" ref="H916">_xlfn.IFS(
OR(E916="Type 2 Diabetes",E916="Essential Hypertension",E916="Angina Pectoris",E916="Bronchial Asthma",E916="Cardiac Arrhythmia"), D916+30,
OR(E916="Gastritis",E916="Osteoarthritis",E916="Bronchitis",E916="Iron Deficiency Anemia"), D916+14,
OR(E916="Lumbar Strain",E916="Migraine Headache"), D916+7,
OR(E916="Viral Fever",E916="General Checkup","Routine Health Check"), "",
TRUE,""
)</f>
        <v/>
      </c>
      <c r="I916" s="1" t="str">
        <f t="shared" si="28"/>
        <v>No Follow-up Required</v>
      </c>
      <c r="J916" t="str">
        <f>TEXT(Table8[[#This Row],[visit_Date]],"DDDD")</f>
        <v>Thursday</v>
      </c>
      <c r="K916" t="str">
        <f>TEXT(Table8[[#This Row],[visit_Date]],"mmmm")</f>
        <v>May</v>
      </c>
      <c r="L916" t="str">
        <f t="shared" si="29"/>
        <v>Summer</v>
      </c>
    </row>
    <row r="917" spans="1:12" x14ac:dyDescent="0.25">
      <c r="A917">
        <v>916</v>
      </c>
      <c r="B917">
        <v>1175</v>
      </c>
      <c r="C917">
        <v>742</v>
      </c>
      <c r="D917" s="1">
        <v>45853</v>
      </c>
      <c r="E917" t="s">
        <v>24</v>
      </c>
      <c r="F917" t="s">
        <v>321</v>
      </c>
      <c r="G917" t="str">
        <f>_xlfn.XLOOKUP(TRIM(E918),MedicineInfo!A:A,MedicineInfo!B:B,"Not Found")</f>
        <v>Multivitamin</v>
      </c>
      <c r="H917" s="1" t="str" cm="1">
        <f t="array" ref="H917">_xlfn.IFS(
OR(E917="Type 2 Diabetes",E917="Essential Hypertension",E917="Angina Pectoris",E917="Bronchial Asthma",E917="Cardiac Arrhythmia"), D917+30,
OR(E917="Gastritis",E917="Osteoarthritis",E917="Bronchitis",E917="Iron Deficiency Anemia"), D917+14,
OR(E917="Lumbar Strain",E917="Migraine Headache"), D917+7,
OR(E917="Viral Fever",E917="General Checkup","Routine Health Check"), "",
TRUE,""
)</f>
        <v/>
      </c>
      <c r="I917" s="1" t="str">
        <f t="shared" si="28"/>
        <v>No Follow-up Required</v>
      </c>
      <c r="J917" t="str">
        <f>TEXT(Table8[[#This Row],[visit_Date]],"DDDD")</f>
        <v>Tuesday</v>
      </c>
      <c r="K917" t="str">
        <f>TEXT(Table8[[#This Row],[visit_Date]],"mmmm")</f>
        <v>July</v>
      </c>
      <c r="L917" t="str">
        <f t="shared" si="29"/>
        <v>Monsoon</v>
      </c>
    </row>
    <row r="918" spans="1:12" x14ac:dyDescent="0.25">
      <c r="A918">
        <v>917</v>
      </c>
      <c r="B918">
        <v>1117</v>
      </c>
      <c r="C918">
        <v>445</v>
      </c>
      <c r="D918" s="1">
        <v>45762</v>
      </c>
      <c r="E918" t="s">
        <v>24</v>
      </c>
      <c r="F918" t="s">
        <v>321</v>
      </c>
      <c r="G918" t="str">
        <f>_xlfn.XLOOKUP(TRIM(E919),MedicineInfo!A:A,MedicineInfo!B:B,"Not Found")</f>
        <v>Multivitamin</v>
      </c>
      <c r="H918" s="1" t="str" cm="1">
        <f t="array" ref="H918">_xlfn.IFS(
OR(E918="Type 2 Diabetes",E918="Essential Hypertension",E918="Angina Pectoris",E918="Bronchial Asthma",E918="Cardiac Arrhythmia"), D918+30,
OR(E918="Gastritis",E918="Osteoarthritis",E918="Bronchitis",E918="Iron Deficiency Anemia"), D918+14,
OR(E918="Lumbar Strain",E918="Migraine Headache"), D918+7,
OR(E918="Viral Fever",E918="General Checkup","Routine Health Check"), "",
TRUE,""
)</f>
        <v/>
      </c>
      <c r="I918" s="1" t="str">
        <f t="shared" si="28"/>
        <v>No Follow-up Required</v>
      </c>
      <c r="J918" t="str">
        <f>TEXT(Table8[[#This Row],[visit_Date]],"DDDD")</f>
        <v>Tuesday</v>
      </c>
      <c r="K918" t="str">
        <f>TEXT(Table8[[#This Row],[visit_Date]],"mmmm")</f>
        <v>April</v>
      </c>
      <c r="L918" t="str">
        <f t="shared" si="29"/>
        <v>Summer</v>
      </c>
    </row>
    <row r="919" spans="1:12" x14ac:dyDescent="0.25">
      <c r="A919">
        <v>918</v>
      </c>
      <c r="B919">
        <v>1229</v>
      </c>
      <c r="C919">
        <v>786</v>
      </c>
      <c r="D919" s="1">
        <v>45835</v>
      </c>
      <c r="E919" t="s">
        <v>24</v>
      </c>
      <c r="F919" t="s">
        <v>321</v>
      </c>
      <c r="G919" t="str">
        <f>_xlfn.XLOOKUP(TRIM(E920),MedicineInfo!A:A,MedicineInfo!B:B,"Not Found")</f>
        <v>Multivitamin</v>
      </c>
      <c r="H919" s="1" t="str" cm="1">
        <f t="array" ref="H919">_xlfn.IFS(
OR(E919="Type 2 Diabetes",E919="Essential Hypertension",E919="Angina Pectoris",E919="Bronchial Asthma",E919="Cardiac Arrhythmia"), D919+30,
OR(E919="Gastritis",E919="Osteoarthritis",E919="Bronchitis",E919="Iron Deficiency Anemia"), D919+14,
OR(E919="Lumbar Strain",E919="Migraine Headache"), D919+7,
OR(E919="Viral Fever",E919="General Checkup","Routine Health Check"), "",
TRUE,""
)</f>
        <v/>
      </c>
      <c r="I919" s="1" t="str">
        <f t="shared" si="28"/>
        <v>No Follow-up Required</v>
      </c>
      <c r="J919" t="str">
        <f>TEXT(Table8[[#This Row],[visit_Date]],"DDDD")</f>
        <v>Friday</v>
      </c>
      <c r="K919" t="str">
        <f>TEXT(Table8[[#This Row],[visit_Date]],"mmmm")</f>
        <v>June</v>
      </c>
      <c r="L919" t="str">
        <f t="shared" si="29"/>
        <v>Monsoon</v>
      </c>
    </row>
    <row r="920" spans="1:12" x14ac:dyDescent="0.25">
      <c r="A920">
        <v>919</v>
      </c>
      <c r="B920">
        <v>1310</v>
      </c>
      <c r="C920">
        <v>393</v>
      </c>
      <c r="D920" s="1">
        <v>45853</v>
      </c>
      <c r="E920" t="s">
        <v>24</v>
      </c>
      <c r="F920" t="s">
        <v>321</v>
      </c>
      <c r="G920" t="str">
        <f>_xlfn.XLOOKUP(TRIM(E921),MedicineInfo!A:A,MedicineInfo!B:B,"Not Found")</f>
        <v>Multivitamin</v>
      </c>
      <c r="H920" s="1" t="str" cm="1">
        <f t="array" ref="H920">_xlfn.IFS(
OR(E920="Type 2 Diabetes",E920="Essential Hypertension",E920="Angina Pectoris",E920="Bronchial Asthma",E920="Cardiac Arrhythmia"), D920+30,
OR(E920="Gastritis",E920="Osteoarthritis",E920="Bronchitis",E920="Iron Deficiency Anemia"), D920+14,
OR(E920="Lumbar Strain",E920="Migraine Headache"), D920+7,
OR(E920="Viral Fever",E920="General Checkup","Routine Health Check"), "",
TRUE,""
)</f>
        <v/>
      </c>
      <c r="I920" s="1" t="str">
        <f t="shared" si="28"/>
        <v>No Follow-up Required</v>
      </c>
      <c r="J920" t="str">
        <f>TEXT(Table8[[#This Row],[visit_Date]],"DDDD")</f>
        <v>Tuesday</v>
      </c>
      <c r="K920" t="str">
        <f>TEXT(Table8[[#This Row],[visit_Date]],"mmmm")</f>
        <v>July</v>
      </c>
      <c r="L920" t="str">
        <f t="shared" si="29"/>
        <v>Monsoon</v>
      </c>
    </row>
    <row r="921" spans="1:12" x14ac:dyDescent="0.25">
      <c r="A921">
        <v>920</v>
      </c>
      <c r="B921">
        <v>1189</v>
      </c>
      <c r="C921">
        <v>216</v>
      </c>
      <c r="D921" s="1">
        <v>45707</v>
      </c>
      <c r="E921" t="s">
        <v>24</v>
      </c>
      <c r="F921" t="s">
        <v>321</v>
      </c>
      <c r="G921" t="str">
        <f>_xlfn.XLOOKUP(TRIM(E922),MedicineInfo!A:A,MedicineInfo!B:B,"Not Found")</f>
        <v>Multivitamin</v>
      </c>
      <c r="H921" s="1" t="str" cm="1">
        <f t="array" ref="H921">_xlfn.IFS(
OR(E921="Type 2 Diabetes",E921="Essential Hypertension",E921="Angina Pectoris",E921="Bronchial Asthma",E921="Cardiac Arrhythmia"), D921+30,
OR(E921="Gastritis",E921="Osteoarthritis",E921="Bronchitis",E921="Iron Deficiency Anemia"), D921+14,
OR(E921="Lumbar Strain",E921="Migraine Headache"), D921+7,
OR(E921="Viral Fever",E921="General Checkup","Routine Health Check"), "",
TRUE,""
)</f>
        <v/>
      </c>
      <c r="I921" s="1" t="str">
        <f t="shared" si="28"/>
        <v>No Follow-up Required</v>
      </c>
      <c r="J921" t="str">
        <f>TEXT(Table8[[#This Row],[visit_Date]],"DDDD")</f>
        <v>Wednesday</v>
      </c>
      <c r="K921" t="str">
        <f>TEXT(Table8[[#This Row],[visit_Date]],"mmmm")</f>
        <v>February</v>
      </c>
      <c r="L921" t="str">
        <f t="shared" si="29"/>
        <v>Winter</v>
      </c>
    </row>
    <row r="922" spans="1:12" x14ac:dyDescent="0.25">
      <c r="A922">
        <v>921</v>
      </c>
      <c r="B922">
        <v>1352</v>
      </c>
      <c r="C922">
        <v>688</v>
      </c>
      <c r="D922" s="1">
        <v>45747</v>
      </c>
      <c r="E922" t="s">
        <v>24</v>
      </c>
      <c r="F922" t="s">
        <v>321</v>
      </c>
      <c r="G922" t="str">
        <f>_xlfn.XLOOKUP(TRIM(E923),MedicineInfo!A:A,MedicineInfo!B:B,"Not Found")</f>
        <v>Multivitamin</v>
      </c>
      <c r="H922" s="1" t="str" cm="1">
        <f t="array" ref="H922">_xlfn.IFS(
OR(E922="Type 2 Diabetes",E922="Essential Hypertension",E922="Angina Pectoris",E922="Bronchial Asthma",E922="Cardiac Arrhythmia"), D922+30,
OR(E922="Gastritis",E922="Osteoarthritis",E922="Bronchitis",E922="Iron Deficiency Anemia"), D922+14,
OR(E922="Lumbar Strain",E922="Migraine Headache"), D922+7,
OR(E922="Viral Fever",E922="General Checkup","Routine Health Check"), "",
TRUE,""
)</f>
        <v/>
      </c>
      <c r="I922" s="1" t="str">
        <f t="shared" si="28"/>
        <v>No Follow-up Required</v>
      </c>
      <c r="J922" t="str">
        <f>TEXT(Table8[[#This Row],[visit_Date]],"DDDD")</f>
        <v>Monday</v>
      </c>
      <c r="K922" t="str">
        <f>TEXT(Table8[[#This Row],[visit_Date]],"mmmm")</f>
        <v>March</v>
      </c>
      <c r="L922" t="str">
        <f t="shared" si="29"/>
        <v>Summer</v>
      </c>
    </row>
    <row r="923" spans="1:12" x14ac:dyDescent="0.25">
      <c r="A923">
        <v>922</v>
      </c>
      <c r="B923">
        <v>1072</v>
      </c>
      <c r="C923">
        <v>574</v>
      </c>
      <c r="D923" s="1">
        <v>45862</v>
      </c>
      <c r="E923" t="s">
        <v>24</v>
      </c>
      <c r="F923" t="s">
        <v>321</v>
      </c>
      <c r="G923" t="str">
        <f>_xlfn.XLOOKUP(TRIM(E924),MedicineInfo!A:A,MedicineInfo!B:B,"Not Found")</f>
        <v>Multivitamin</v>
      </c>
      <c r="H923" s="1" t="str" cm="1">
        <f t="array" ref="H923">_xlfn.IFS(
OR(E923="Type 2 Diabetes",E923="Essential Hypertension",E923="Angina Pectoris",E923="Bronchial Asthma",E923="Cardiac Arrhythmia"), D923+30,
OR(E923="Gastritis",E923="Osteoarthritis",E923="Bronchitis",E923="Iron Deficiency Anemia"), D923+14,
OR(E923="Lumbar Strain",E923="Migraine Headache"), D923+7,
OR(E923="Viral Fever",E923="General Checkup","Routine Health Check"), "",
TRUE,""
)</f>
        <v/>
      </c>
      <c r="I923" s="1" t="str">
        <f t="shared" si="28"/>
        <v>No Follow-up Required</v>
      </c>
      <c r="J923" t="str">
        <f>TEXT(Table8[[#This Row],[visit_Date]],"DDDD")</f>
        <v>Thursday</v>
      </c>
      <c r="K923" t="str">
        <f>TEXT(Table8[[#This Row],[visit_Date]],"mmmm")</f>
        <v>July</v>
      </c>
      <c r="L923" t="str">
        <f t="shared" si="29"/>
        <v>Monsoon</v>
      </c>
    </row>
    <row r="924" spans="1:12" x14ac:dyDescent="0.25">
      <c r="A924">
        <v>923</v>
      </c>
      <c r="B924">
        <v>1341</v>
      </c>
      <c r="C924">
        <v>1207</v>
      </c>
      <c r="D924" s="1">
        <v>45714</v>
      </c>
      <c r="E924" t="s">
        <v>24</v>
      </c>
      <c r="F924" t="s">
        <v>321</v>
      </c>
      <c r="G924" t="str">
        <f>_xlfn.XLOOKUP(TRIM(E925),MedicineInfo!A:A,MedicineInfo!B:B,"Not Found")</f>
        <v>Multivitamin</v>
      </c>
      <c r="H924" s="1" t="str" cm="1">
        <f t="array" ref="H924">_xlfn.IFS(
OR(E924="Type 2 Diabetes",E924="Essential Hypertension",E924="Angina Pectoris",E924="Bronchial Asthma",E924="Cardiac Arrhythmia"), D924+30,
OR(E924="Gastritis",E924="Osteoarthritis",E924="Bronchitis",E924="Iron Deficiency Anemia"), D924+14,
OR(E924="Lumbar Strain",E924="Migraine Headache"), D924+7,
OR(E924="Viral Fever",E924="General Checkup","Routine Health Check"), "",
TRUE,""
)</f>
        <v/>
      </c>
      <c r="I924" s="1" t="str">
        <f t="shared" si="28"/>
        <v>No Follow-up Required</v>
      </c>
      <c r="J924" t="str">
        <f>TEXT(Table8[[#This Row],[visit_Date]],"DDDD")</f>
        <v>Wednesday</v>
      </c>
      <c r="K924" t="str">
        <f>TEXT(Table8[[#This Row],[visit_Date]],"mmmm")</f>
        <v>February</v>
      </c>
      <c r="L924" t="str">
        <f t="shared" si="29"/>
        <v>Winter</v>
      </c>
    </row>
    <row r="925" spans="1:12" x14ac:dyDescent="0.25">
      <c r="A925">
        <v>924</v>
      </c>
      <c r="B925">
        <v>1232</v>
      </c>
      <c r="C925">
        <v>381</v>
      </c>
      <c r="D925" s="1">
        <v>45792</v>
      </c>
      <c r="E925" t="s">
        <v>24</v>
      </c>
      <c r="F925" t="s">
        <v>321</v>
      </c>
      <c r="G925" t="str">
        <f>_xlfn.XLOOKUP(TRIM(E926),MedicineInfo!A:A,MedicineInfo!B:B,"Not Found")</f>
        <v>Diclofenac</v>
      </c>
      <c r="H925" s="1" t="str" cm="1">
        <f t="array" ref="H925">_xlfn.IFS(
OR(E925="Type 2 Diabetes",E925="Essential Hypertension",E925="Angina Pectoris",E925="Bronchial Asthma",E925="Cardiac Arrhythmia"), D925+30,
OR(E925="Gastritis",E925="Osteoarthritis",E925="Bronchitis",E925="Iron Deficiency Anemia"), D925+14,
OR(E925="Lumbar Strain",E925="Migraine Headache"), D925+7,
OR(E925="Viral Fever",E925="General Checkup","Routine Health Check"), "",
TRUE,""
)</f>
        <v/>
      </c>
      <c r="I925" s="1" t="str">
        <f t="shared" si="28"/>
        <v>No Follow-up Required</v>
      </c>
      <c r="J925" t="str">
        <f>TEXT(Table8[[#This Row],[visit_Date]],"DDDD")</f>
        <v>Thursday</v>
      </c>
      <c r="K925" t="str">
        <f>TEXT(Table8[[#This Row],[visit_Date]],"mmmm")</f>
        <v>May</v>
      </c>
      <c r="L925" t="str">
        <f t="shared" si="29"/>
        <v>Summer</v>
      </c>
    </row>
    <row r="926" spans="1:12" x14ac:dyDescent="0.25">
      <c r="A926">
        <v>925</v>
      </c>
      <c r="B926">
        <v>1122</v>
      </c>
      <c r="C926">
        <v>1382</v>
      </c>
      <c r="D926" s="1">
        <v>45805</v>
      </c>
      <c r="E926" t="s">
        <v>313</v>
      </c>
      <c r="F926" t="s">
        <v>314</v>
      </c>
      <c r="G926" t="str">
        <f>_xlfn.XLOOKUP(TRIM(E927),MedicineInfo!A:A,MedicineInfo!B:B,"Not Found")</f>
        <v>Vitamin D3</v>
      </c>
      <c r="H926" s="1" cm="1">
        <f t="array" ref="H926">_xlfn.IFS(
OR(E926="Type 2 Diabetes",E926="Essential Hypertension",E926="Angina Pectoris",E926="Bronchial Asthma",E926="Cardiac Arrhythmia"), D926+30,
OR(E926="Gastritis",E926="Osteoarthritis",E926="Bronchitis",E926="Iron Deficiency Anemia"), D926+14,
OR(E926="Lumbar Strain",E926="Migraine Headache"), D926+7,
OR(E926="Viral Fever",E926="General Checkup","Routine Health Check"), "",
TRUE,""
)</f>
        <v>45812</v>
      </c>
      <c r="I926" s="1" t="str">
        <f t="shared" si="28"/>
        <v>Follow-up Scheduled</v>
      </c>
      <c r="J926" t="str">
        <f>TEXT(Table8[[#This Row],[visit_Date]],"DDDD")</f>
        <v>Wednesday</v>
      </c>
      <c r="K926" t="str">
        <f>TEXT(Table8[[#This Row],[visit_Date]],"mmmm")</f>
        <v>May</v>
      </c>
      <c r="L926" t="str">
        <f t="shared" si="29"/>
        <v>Summer</v>
      </c>
    </row>
    <row r="927" spans="1:12" x14ac:dyDescent="0.25">
      <c r="A927">
        <v>926</v>
      </c>
      <c r="B927">
        <v>1078</v>
      </c>
      <c r="C927">
        <v>264</v>
      </c>
      <c r="D927" s="1">
        <v>45801</v>
      </c>
      <c r="E927" t="s">
        <v>332</v>
      </c>
      <c r="F927" t="s">
        <v>333</v>
      </c>
      <c r="G927" t="str">
        <f>_xlfn.XLOOKUP(TRIM(E928),MedicineInfo!A:A,MedicineInfo!B:B,"Not Found")</f>
        <v>Sertraline</v>
      </c>
      <c r="H927" s="1" t="str" cm="1">
        <f t="array" ref="H927">_xlfn.IFS(
OR(E927="Type 2 Diabetes",E927="Essential Hypertension",E927="Angina Pectoris",E927="Bronchial Asthma",E927="Cardiac Arrhythmia"), D927+30,
OR(E927="Gastritis",E927="Osteoarthritis",E927="Bronchitis",E927="Iron Deficiency Anemia"), D927+14,
OR(E927="Lumbar Strain",E927="Migraine Headache"), D927+7,
OR(E927="Viral Fever",E927="General Checkup","Routine Health Check"), "",
TRUE,""
)</f>
        <v/>
      </c>
      <c r="I927" s="1" t="str">
        <f t="shared" si="28"/>
        <v>No Follow-up Required</v>
      </c>
      <c r="J927" t="str">
        <f>TEXT(Table8[[#This Row],[visit_Date]],"DDDD")</f>
        <v>Saturday</v>
      </c>
      <c r="K927" t="str">
        <f>TEXT(Table8[[#This Row],[visit_Date]],"mmmm")</f>
        <v>May</v>
      </c>
      <c r="L927" t="str">
        <f t="shared" si="29"/>
        <v>Summer</v>
      </c>
    </row>
    <row r="928" spans="1:12" x14ac:dyDescent="0.25">
      <c r="A928">
        <v>927</v>
      </c>
      <c r="B928">
        <v>1079</v>
      </c>
      <c r="C928">
        <v>1491</v>
      </c>
      <c r="D928" s="1">
        <v>45790</v>
      </c>
      <c r="E928" t="s">
        <v>334</v>
      </c>
      <c r="F928" t="s">
        <v>335</v>
      </c>
      <c r="G928" t="str">
        <f>_xlfn.XLOOKUP(TRIM(E929),MedicineInfo!A:A,MedicineInfo!B:B,"Not Found")</f>
        <v>Multivitamin</v>
      </c>
      <c r="H928" s="1" t="str" cm="1">
        <f t="array" ref="H928">_xlfn.IFS(
OR(E928="Type 2 Diabetes",E928="Essential Hypertension",E928="Angina Pectoris",E928="Bronchial Asthma",E928="Cardiac Arrhythmia"), D928+30,
OR(E928="Gastritis",E928="Osteoarthritis",E928="Bronchitis",E928="Iron Deficiency Anemia"), D928+14,
OR(E928="Lumbar Strain",E928="Migraine Headache"), D928+7,
OR(E928="Viral Fever",E928="General Checkup","Routine Health Check"), "",
TRUE,""
)</f>
        <v/>
      </c>
      <c r="I928" s="1" t="str">
        <f t="shared" si="28"/>
        <v>No Follow-up Required</v>
      </c>
      <c r="J928" t="str">
        <f>TEXT(Table8[[#This Row],[visit_Date]],"DDDD")</f>
        <v>Tuesday</v>
      </c>
      <c r="K928" t="str">
        <f>TEXT(Table8[[#This Row],[visit_Date]],"mmmm")</f>
        <v>May</v>
      </c>
      <c r="L928" t="str">
        <f t="shared" si="29"/>
        <v>Summer</v>
      </c>
    </row>
    <row r="929" spans="1:12" x14ac:dyDescent="0.25">
      <c r="A929">
        <v>928</v>
      </c>
      <c r="B929">
        <v>1343</v>
      </c>
      <c r="C929">
        <v>896</v>
      </c>
      <c r="D929" s="1">
        <v>45823</v>
      </c>
      <c r="E929" t="s">
        <v>24</v>
      </c>
      <c r="F929" t="s">
        <v>321</v>
      </c>
      <c r="G929" t="str">
        <f>_xlfn.XLOOKUP(TRIM(E930),MedicineInfo!A:A,MedicineInfo!B:B,"Not Found")</f>
        <v>Multivitamin</v>
      </c>
      <c r="H929" s="1" t="str" cm="1">
        <f t="array" ref="H929">_xlfn.IFS(
OR(E929="Type 2 Diabetes",E929="Essential Hypertension",E929="Angina Pectoris",E929="Bronchial Asthma",E929="Cardiac Arrhythmia"), D929+30,
OR(E929="Gastritis",E929="Osteoarthritis",E929="Bronchitis",E929="Iron Deficiency Anemia"), D929+14,
OR(E929="Lumbar Strain",E929="Migraine Headache"), D929+7,
OR(E929="Viral Fever",E929="General Checkup","Routine Health Check"), "",
TRUE,""
)</f>
        <v/>
      </c>
      <c r="I929" s="1" t="str">
        <f t="shared" si="28"/>
        <v>No Follow-up Required</v>
      </c>
      <c r="J929" t="str">
        <f>TEXT(Table8[[#This Row],[visit_Date]],"DDDD")</f>
        <v>Sunday</v>
      </c>
      <c r="K929" t="str">
        <f>TEXT(Table8[[#This Row],[visit_Date]],"mmmm")</f>
        <v>June</v>
      </c>
      <c r="L929" t="str">
        <f t="shared" si="29"/>
        <v>Monsoon</v>
      </c>
    </row>
    <row r="930" spans="1:12" x14ac:dyDescent="0.25">
      <c r="A930">
        <v>929</v>
      </c>
      <c r="B930">
        <v>1372</v>
      </c>
      <c r="C930">
        <v>1266</v>
      </c>
      <c r="D930" s="1">
        <v>45844</v>
      </c>
      <c r="E930" t="s">
        <v>24</v>
      </c>
      <c r="F930" t="s">
        <v>321</v>
      </c>
      <c r="G930" t="str">
        <f>_xlfn.XLOOKUP(TRIM(E931),MedicineInfo!A:A,MedicineInfo!B:B,"Not Found")</f>
        <v>Multivitamin</v>
      </c>
      <c r="H930" s="1" t="str" cm="1">
        <f t="array" ref="H930">_xlfn.IFS(
OR(E930="Type 2 Diabetes",E930="Essential Hypertension",E930="Angina Pectoris",E930="Bronchial Asthma",E930="Cardiac Arrhythmia"), D930+30,
OR(E930="Gastritis",E930="Osteoarthritis",E930="Bronchitis",E930="Iron Deficiency Anemia"), D930+14,
OR(E930="Lumbar Strain",E930="Migraine Headache"), D930+7,
OR(E930="Viral Fever",E930="General Checkup","Routine Health Check"), "",
TRUE,""
)</f>
        <v/>
      </c>
      <c r="I930" s="1" t="str">
        <f t="shared" si="28"/>
        <v>No Follow-up Required</v>
      </c>
      <c r="J930" t="str">
        <f>TEXT(Table8[[#This Row],[visit_Date]],"DDDD")</f>
        <v>Sunday</v>
      </c>
      <c r="K930" t="str">
        <f>TEXT(Table8[[#This Row],[visit_Date]],"mmmm")</f>
        <v>July</v>
      </c>
      <c r="L930" t="str">
        <f t="shared" si="29"/>
        <v>Monsoon</v>
      </c>
    </row>
    <row r="931" spans="1:12" x14ac:dyDescent="0.25">
      <c r="A931">
        <v>930</v>
      </c>
      <c r="B931">
        <v>1345</v>
      </c>
      <c r="C931">
        <v>921</v>
      </c>
      <c r="D931" s="1">
        <v>45823</v>
      </c>
      <c r="E931" t="s">
        <v>24</v>
      </c>
      <c r="F931" t="s">
        <v>321</v>
      </c>
      <c r="G931" t="str">
        <f>_xlfn.XLOOKUP(TRIM(E932),MedicineInfo!A:A,MedicineInfo!B:B,"Not Found")</f>
        <v>Multivitamin</v>
      </c>
      <c r="H931" s="1" t="str" cm="1">
        <f t="array" ref="H931">_xlfn.IFS(
OR(E931="Type 2 Diabetes",E931="Essential Hypertension",E931="Angina Pectoris",E931="Bronchial Asthma",E931="Cardiac Arrhythmia"), D931+30,
OR(E931="Gastritis",E931="Osteoarthritis",E931="Bronchitis",E931="Iron Deficiency Anemia"), D931+14,
OR(E931="Lumbar Strain",E931="Migraine Headache"), D931+7,
OR(E931="Viral Fever",E931="General Checkup","Routine Health Check"), "",
TRUE,""
)</f>
        <v/>
      </c>
      <c r="I931" s="1" t="str">
        <f t="shared" si="28"/>
        <v>No Follow-up Required</v>
      </c>
      <c r="J931" t="str">
        <f>TEXT(Table8[[#This Row],[visit_Date]],"DDDD")</f>
        <v>Sunday</v>
      </c>
      <c r="K931" t="str">
        <f>TEXT(Table8[[#This Row],[visit_Date]],"mmmm")</f>
        <v>June</v>
      </c>
      <c r="L931" t="str">
        <f t="shared" si="29"/>
        <v>Monsoon</v>
      </c>
    </row>
    <row r="932" spans="1:12" x14ac:dyDescent="0.25">
      <c r="A932">
        <v>931</v>
      </c>
      <c r="B932">
        <v>1211</v>
      </c>
      <c r="C932">
        <v>100</v>
      </c>
      <c r="D932" s="1">
        <v>45774</v>
      </c>
      <c r="E932" t="s">
        <v>24</v>
      </c>
      <c r="F932" t="s">
        <v>321</v>
      </c>
      <c r="G932" t="str">
        <f>_xlfn.XLOOKUP(TRIM(E933),MedicineInfo!A:A,MedicineInfo!B:B,"Not Found")</f>
        <v>Multivitamin</v>
      </c>
      <c r="H932" s="1" t="str" cm="1">
        <f t="array" ref="H932">_xlfn.IFS(
OR(E932="Type 2 Diabetes",E932="Essential Hypertension",E932="Angina Pectoris",E932="Bronchial Asthma",E932="Cardiac Arrhythmia"), D932+30,
OR(E932="Gastritis",E932="Osteoarthritis",E932="Bronchitis",E932="Iron Deficiency Anemia"), D932+14,
OR(E932="Lumbar Strain",E932="Migraine Headache"), D932+7,
OR(E932="Viral Fever",E932="General Checkup","Routine Health Check"), "",
TRUE,""
)</f>
        <v/>
      </c>
      <c r="I932" s="1" t="str">
        <f t="shared" si="28"/>
        <v>No Follow-up Required</v>
      </c>
      <c r="J932" t="str">
        <f>TEXT(Table8[[#This Row],[visit_Date]],"DDDD")</f>
        <v>Sunday</v>
      </c>
      <c r="K932" t="str">
        <f>TEXT(Table8[[#This Row],[visit_Date]],"mmmm")</f>
        <v>April</v>
      </c>
      <c r="L932" t="str">
        <f t="shared" si="29"/>
        <v>Summer</v>
      </c>
    </row>
    <row r="933" spans="1:12" x14ac:dyDescent="0.25">
      <c r="A933">
        <v>932</v>
      </c>
      <c r="B933">
        <v>1210</v>
      </c>
      <c r="C933">
        <v>1512</v>
      </c>
      <c r="D933" s="1">
        <v>45777</v>
      </c>
      <c r="E933" t="s">
        <v>24</v>
      </c>
      <c r="F933" t="s">
        <v>321</v>
      </c>
      <c r="G933" t="str">
        <f>_xlfn.XLOOKUP(TRIM(E934),MedicineInfo!A:A,MedicineInfo!B:B,"Not Found")</f>
        <v>Multivitamin</v>
      </c>
      <c r="H933" s="1" t="str" cm="1">
        <f t="array" ref="H933">_xlfn.IFS(
OR(E933="Type 2 Diabetes",E933="Essential Hypertension",E933="Angina Pectoris",E933="Bronchial Asthma",E933="Cardiac Arrhythmia"), D933+30,
OR(E933="Gastritis",E933="Osteoarthritis",E933="Bronchitis",E933="Iron Deficiency Anemia"), D933+14,
OR(E933="Lumbar Strain",E933="Migraine Headache"), D933+7,
OR(E933="Viral Fever",E933="General Checkup","Routine Health Check"), "",
TRUE,""
)</f>
        <v/>
      </c>
      <c r="I933" s="1" t="str">
        <f t="shared" si="28"/>
        <v>No Follow-up Required</v>
      </c>
      <c r="J933" t="str">
        <f>TEXT(Table8[[#This Row],[visit_Date]],"DDDD")</f>
        <v>Wednesday</v>
      </c>
      <c r="K933" t="str">
        <f>TEXT(Table8[[#This Row],[visit_Date]],"mmmm")</f>
        <v>April</v>
      </c>
      <c r="L933" t="str">
        <f t="shared" si="29"/>
        <v>Summer</v>
      </c>
    </row>
    <row r="934" spans="1:12" x14ac:dyDescent="0.25">
      <c r="A934">
        <v>933</v>
      </c>
      <c r="B934">
        <v>1136</v>
      </c>
      <c r="C934">
        <v>1205</v>
      </c>
      <c r="D934" s="1">
        <v>45747</v>
      </c>
      <c r="E934" t="s">
        <v>24</v>
      </c>
      <c r="F934" t="s">
        <v>321</v>
      </c>
      <c r="G934" t="str">
        <f>_xlfn.XLOOKUP(TRIM(E935),MedicineInfo!A:A,MedicineInfo!B:B,"Not Found")</f>
        <v>Multivitamin</v>
      </c>
      <c r="H934" s="1" t="str" cm="1">
        <f t="array" ref="H934">_xlfn.IFS(
OR(E934="Type 2 Diabetes",E934="Essential Hypertension",E934="Angina Pectoris",E934="Bronchial Asthma",E934="Cardiac Arrhythmia"), D934+30,
OR(E934="Gastritis",E934="Osteoarthritis",E934="Bronchitis",E934="Iron Deficiency Anemia"), D934+14,
OR(E934="Lumbar Strain",E934="Migraine Headache"), D934+7,
OR(E934="Viral Fever",E934="General Checkup","Routine Health Check"), "",
TRUE,""
)</f>
        <v/>
      </c>
      <c r="I934" s="1" t="str">
        <f t="shared" si="28"/>
        <v>No Follow-up Required</v>
      </c>
      <c r="J934" t="str">
        <f>TEXT(Table8[[#This Row],[visit_Date]],"DDDD")</f>
        <v>Monday</v>
      </c>
      <c r="K934" t="str">
        <f>TEXT(Table8[[#This Row],[visit_Date]],"mmmm")</f>
        <v>March</v>
      </c>
      <c r="L934" t="str">
        <f t="shared" si="29"/>
        <v>Summer</v>
      </c>
    </row>
    <row r="935" spans="1:12" x14ac:dyDescent="0.25">
      <c r="A935">
        <v>934</v>
      </c>
      <c r="B935">
        <v>1026</v>
      </c>
      <c r="C935">
        <v>829</v>
      </c>
      <c r="D935" s="1">
        <v>45827</v>
      </c>
      <c r="E935" t="s">
        <v>24</v>
      </c>
      <c r="F935" t="s">
        <v>321</v>
      </c>
      <c r="G935" t="str">
        <f>_xlfn.XLOOKUP(TRIM(E936),MedicineInfo!A:A,MedicineInfo!B:B,"Not Found")</f>
        <v>Multivitamin</v>
      </c>
      <c r="H935" s="1" t="str" cm="1">
        <f t="array" ref="H935">_xlfn.IFS(
OR(E935="Type 2 Diabetes",E935="Essential Hypertension",E935="Angina Pectoris",E935="Bronchial Asthma",E935="Cardiac Arrhythmia"), D935+30,
OR(E935="Gastritis",E935="Osteoarthritis",E935="Bronchitis",E935="Iron Deficiency Anemia"), D935+14,
OR(E935="Lumbar Strain",E935="Migraine Headache"), D935+7,
OR(E935="Viral Fever",E935="General Checkup","Routine Health Check"), "",
TRUE,""
)</f>
        <v/>
      </c>
      <c r="I935" s="1" t="str">
        <f t="shared" si="28"/>
        <v>No Follow-up Required</v>
      </c>
      <c r="J935" t="str">
        <f>TEXT(Table8[[#This Row],[visit_Date]],"DDDD")</f>
        <v>Thursday</v>
      </c>
      <c r="K935" t="str">
        <f>TEXT(Table8[[#This Row],[visit_Date]],"mmmm")</f>
        <v>June</v>
      </c>
      <c r="L935" t="str">
        <f t="shared" si="29"/>
        <v>Monsoon</v>
      </c>
    </row>
    <row r="936" spans="1:12" x14ac:dyDescent="0.25">
      <c r="A936">
        <v>935</v>
      </c>
      <c r="B936">
        <v>1315</v>
      </c>
      <c r="C936">
        <v>1067</v>
      </c>
      <c r="D936" s="1">
        <v>45823</v>
      </c>
      <c r="E936" t="s">
        <v>24</v>
      </c>
      <c r="F936" t="s">
        <v>321</v>
      </c>
      <c r="G936" t="str">
        <f>_xlfn.XLOOKUP(TRIM(E937),MedicineInfo!A:A,MedicineInfo!B:B,"Not Found")</f>
        <v>Multivitamin</v>
      </c>
      <c r="H936" s="1" t="str" cm="1">
        <f t="array" ref="H936">_xlfn.IFS(
OR(E936="Type 2 Diabetes",E936="Essential Hypertension",E936="Angina Pectoris",E936="Bronchial Asthma",E936="Cardiac Arrhythmia"), D936+30,
OR(E936="Gastritis",E936="Osteoarthritis",E936="Bronchitis",E936="Iron Deficiency Anemia"), D936+14,
OR(E936="Lumbar Strain",E936="Migraine Headache"), D936+7,
OR(E936="Viral Fever",E936="General Checkup","Routine Health Check"), "",
TRUE,""
)</f>
        <v/>
      </c>
      <c r="I936" s="1" t="str">
        <f t="shared" si="28"/>
        <v>No Follow-up Required</v>
      </c>
      <c r="J936" t="str">
        <f>TEXT(Table8[[#This Row],[visit_Date]],"DDDD")</f>
        <v>Sunday</v>
      </c>
      <c r="K936" t="str">
        <f>TEXT(Table8[[#This Row],[visit_Date]],"mmmm")</f>
        <v>June</v>
      </c>
      <c r="L936" t="str">
        <f t="shared" si="29"/>
        <v>Monsoon</v>
      </c>
    </row>
    <row r="937" spans="1:12" x14ac:dyDescent="0.25">
      <c r="A937">
        <v>936</v>
      </c>
      <c r="B937">
        <v>1159</v>
      </c>
      <c r="C937">
        <v>1348</v>
      </c>
      <c r="D937" s="1">
        <v>45687</v>
      </c>
      <c r="E937" t="s">
        <v>24</v>
      </c>
      <c r="F937" t="s">
        <v>321</v>
      </c>
      <c r="G937" t="str">
        <f>_xlfn.XLOOKUP(TRIM(E938),MedicineInfo!A:A,MedicineInfo!B:B,"Not Found")</f>
        <v>Multivitamin</v>
      </c>
      <c r="H937" s="1" t="str" cm="1">
        <f t="array" ref="H937">_xlfn.IFS(
OR(E937="Type 2 Diabetes",E937="Essential Hypertension",E937="Angina Pectoris",E937="Bronchial Asthma",E937="Cardiac Arrhythmia"), D937+30,
OR(E937="Gastritis",E937="Osteoarthritis",E937="Bronchitis",E937="Iron Deficiency Anemia"), D937+14,
OR(E937="Lumbar Strain",E937="Migraine Headache"), D937+7,
OR(E937="Viral Fever",E937="General Checkup","Routine Health Check"), "",
TRUE,""
)</f>
        <v/>
      </c>
      <c r="I937" s="1" t="str">
        <f t="shared" si="28"/>
        <v>No Follow-up Required</v>
      </c>
      <c r="J937" t="str">
        <f>TEXT(Table8[[#This Row],[visit_Date]],"DDDD")</f>
        <v>Thursday</v>
      </c>
      <c r="K937" t="str">
        <f>TEXT(Table8[[#This Row],[visit_Date]],"mmmm")</f>
        <v>January</v>
      </c>
      <c r="L937" t="str">
        <f t="shared" si="29"/>
        <v>Winter</v>
      </c>
    </row>
    <row r="938" spans="1:12" x14ac:dyDescent="0.25">
      <c r="A938">
        <v>937</v>
      </c>
      <c r="B938">
        <v>1202</v>
      </c>
      <c r="C938">
        <v>1427</v>
      </c>
      <c r="D938" s="1">
        <v>45760</v>
      </c>
      <c r="E938" t="s">
        <v>24</v>
      </c>
      <c r="F938" t="s">
        <v>321</v>
      </c>
      <c r="G938" t="str">
        <f>_xlfn.XLOOKUP(TRIM(E939),MedicineInfo!A:A,MedicineInfo!B:B,"Not Found")</f>
        <v>Multivitamin</v>
      </c>
      <c r="H938" s="1" t="str" cm="1">
        <f t="array" ref="H938">_xlfn.IFS(
OR(E938="Type 2 Diabetes",E938="Essential Hypertension",E938="Angina Pectoris",E938="Bronchial Asthma",E938="Cardiac Arrhythmia"), D938+30,
OR(E938="Gastritis",E938="Osteoarthritis",E938="Bronchitis",E938="Iron Deficiency Anemia"), D938+14,
OR(E938="Lumbar Strain",E938="Migraine Headache"), D938+7,
OR(E938="Viral Fever",E938="General Checkup","Routine Health Check"), "",
TRUE,""
)</f>
        <v/>
      </c>
      <c r="I938" s="1" t="str">
        <f t="shared" si="28"/>
        <v>No Follow-up Required</v>
      </c>
      <c r="J938" t="str">
        <f>TEXT(Table8[[#This Row],[visit_Date]],"DDDD")</f>
        <v>Sunday</v>
      </c>
      <c r="K938" t="str">
        <f>TEXT(Table8[[#This Row],[visit_Date]],"mmmm")</f>
        <v>April</v>
      </c>
      <c r="L938" t="str">
        <f t="shared" si="29"/>
        <v>Summer</v>
      </c>
    </row>
    <row r="939" spans="1:12" x14ac:dyDescent="0.25">
      <c r="A939">
        <v>938</v>
      </c>
      <c r="B939">
        <v>1362</v>
      </c>
      <c r="C939">
        <v>1265</v>
      </c>
      <c r="D939" s="1">
        <v>45853</v>
      </c>
      <c r="E939" t="s">
        <v>24</v>
      </c>
      <c r="F939" t="s">
        <v>321</v>
      </c>
      <c r="G939" t="str">
        <f>_xlfn.XLOOKUP(TRIM(E940),MedicineInfo!A:A,MedicineInfo!B:B,"Not Found")</f>
        <v>Multivitamin</v>
      </c>
      <c r="H939" s="1" t="str" cm="1">
        <f t="array" ref="H939">_xlfn.IFS(
OR(E939="Type 2 Diabetes",E939="Essential Hypertension",E939="Angina Pectoris",E939="Bronchial Asthma",E939="Cardiac Arrhythmia"), D939+30,
OR(E939="Gastritis",E939="Osteoarthritis",E939="Bronchitis",E939="Iron Deficiency Anemia"), D939+14,
OR(E939="Lumbar Strain",E939="Migraine Headache"), D939+7,
OR(E939="Viral Fever",E939="General Checkup","Routine Health Check"), "",
TRUE,""
)</f>
        <v/>
      </c>
      <c r="I939" s="1" t="str">
        <f t="shared" si="28"/>
        <v>No Follow-up Required</v>
      </c>
      <c r="J939" t="str">
        <f>TEXT(Table8[[#This Row],[visit_Date]],"DDDD")</f>
        <v>Tuesday</v>
      </c>
      <c r="K939" t="str">
        <f>TEXT(Table8[[#This Row],[visit_Date]],"mmmm")</f>
        <v>July</v>
      </c>
      <c r="L939" t="str">
        <f t="shared" si="29"/>
        <v>Monsoon</v>
      </c>
    </row>
    <row r="940" spans="1:12" x14ac:dyDescent="0.25">
      <c r="A940">
        <v>939</v>
      </c>
      <c r="B940">
        <v>1114</v>
      </c>
      <c r="C940">
        <v>823</v>
      </c>
      <c r="D940" s="1">
        <v>45744</v>
      </c>
      <c r="E940" t="s">
        <v>24</v>
      </c>
      <c r="F940" t="s">
        <v>321</v>
      </c>
      <c r="G940" t="str">
        <f>_xlfn.XLOOKUP(TRIM(E941),MedicineInfo!A:A,MedicineInfo!B:B,"Not Found")</f>
        <v>Multivitamin</v>
      </c>
      <c r="H940" s="1" t="str" cm="1">
        <f t="array" ref="H940">_xlfn.IFS(
OR(E940="Type 2 Diabetes",E940="Essential Hypertension",E940="Angina Pectoris",E940="Bronchial Asthma",E940="Cardiac Arrhythmia"), D940+30,
OR(E940="Gastritis",E940="Osteoarthritis",E940="Bronchitis",E940="Iron Deficiency Anemia"), D940+14,
OR(E940="Lumbar Strain",E940="Migraine Headache"), D940+7,
OR(E940="Viral Fever",E940="General Checkup","Routine Health Check"), "",
TRUE,""
)</f>
        <v/>
      </c>
      <c r="I940" s="1" t="str">
        <f t="shared" si="28"/>
        <v>No Follow-up Required</v>
      </c>
      <c r="J940" t="str">
        <f>TEXT(Table8[[#This Row],[visit_Date]],"DDDD")</f>
        <v>Friday</v>
      </c>
      <c r="K940" t="str">
        <f>TEXT(Table8[[#This Row],[visit_Date]],"mmmm")</f>
        <v>March</v>
      </c>
      <c r="L940" t="str">
        <f t="shared" si="29"/>
        <v>Summer</v>
      </c>
    </row>
    <row r="941" spans="1:12" x14ac:dyDescent="0.25">
      <c r="A941">
        <v>940</v>
      </c>
      <c r="B941">
        <v>1303</v>
      </c>
      <c r="C941">
        <v>131</v>
      </c>
      <c r="D941" s="1">
        <v>45815</v>
      </c>
      <c r="E941" t="s">
        <v>24</v>
      </c>
      <c r="F941" t="s">
        <v>321</v>
      </c>
      <c r="G941" t="str">
        <f>_xlfn.XLOOKUP(TRIM(E942),MedicineInfo!A:A,MedicineInfo!B:B,"Not Found")</f>
        <v>Multivitamin</v>
      </c>
      <c r="H941" s="1" t="str" cm="1">
        <f t="array" ref="H941">_xlfn.IFS(
OR(E941="Type 2 Diabetes",E941="Essential Hypertension",E941="Angina Pectoris",E941="Bronchial Asthma",E941="Cardiac Arrhythmia"), D941+30,
OR(E941="Gastritis",E941="Osteoarthritis",E941="Bronchitis",E941="Iron Deficiency Anemia"), D941+14,
OR(E941="Lumbar Strain",E941="Migraine Headache"), D941+7,
OR(E941="Viral Fever",E941="General Checkup","Routine Health Check"), "",
TRUE,""
)</f>
        <v/>
      </c>
      <c r="I941" s="1" t="str">
        <f t="shared" si="28"/>
        <v>No Follow-up Required</v>
      </c>
      <c r="J941" t="str">
        <f>TEXT(Table8[[#This Row],[visit_Date]],"DDDD")</f>
        <v>Saturday</v>
      </c>
      <c r="K941" t="str">
        <f>TEXT(Table8[[#This Row],[visit_Date]],"mmmm")</f>
        <v>June</v>
      </c>
      <c r="L941" t="str">
        <f t="shared" si="29"/>
        <v>Monsoon</v>
      </c>
    </row>
    <row r="942" spans="1:12" x14ac:dyDescent="0.25">
      <c r="A942">
        <v>941</v>
      </c>
      <c r="B942">
        <v>1343</v>
      </c>
      <c r="C942">
        <v>1554</v>
      </c>
      <c r="D942" s="1">
        <v>45790</v>
      </c>
      <c r="E942" t="s">
        <v>24</v>
      </c>
      <c r="F942" t="s">
        <v>321</v>
      </c>
      <c r="G942" t="str">
        <f>_xlfn.XLOOKUP(TRIM(E943),MedicineInfo!A:A,MedicineInfo!B:B,"Not Found")</f>
        <v>Multivitamin</v>
      </c>
      <c r="H942" s="1" t="str" cm="1">
        <f t="array" ref="H942">_xlfn.IFS(
OR(E942="Type 2 Diabetes",E942="Essential Hypertension",E942="Angina Pectoris",E942="Bronchial Asthma",E942="Cardiac Arrhythmia"), D942+30,
OR(E942="Gastritis",E942="Osteoarthritis",E942="Bronchitis",E942="Iron Deficiency Anemia"), D942+14,
OR(E942="Lumbar Strain",E942="Migraine Headache"), D942+7,
OR(E942="Viral Fever",E942="General Checkup","Routine Health Check"), "",
TRUE,""
)</f>
        <v/>
      </c>
      <c r="I942" s="1" t="str">
        <f t="shared" si="28"/>
        <v>No Follow-up Required</v>
      </c>
      <c r="J942" t="str">
        <f>TEXT(Table8[[#This Row],[visit_Date]],"DDDD")</f>
        <v>Tuesday</v>
      </c>
      <c r="K942" t="str">
        <f>TEXT(Table8[[#This Row],[visit_Date]],"mmmm")</f>
        <v>May</v>
      </c>
      <c r="L942" t="str">
        <f t="shared" si="29"/>
        <v>Summer</v>
      </c>
    </row>
    <row r="943" spans="1:12" x14ac:dyDescent="0.25">
      <c r="A943">
        <v>942</v>
      </c>
      <c r="B943">
        <v>1356</v>
      </c>
      <c r="C943">
        <v>313</v>
      </c>
      <c r="D943" s="1">
        <v>45792</v>
      </c>
      <c r="E943" t="s">
        <v>24</v>
      </c>
      <c r="F943" t="s">
        <v>321</v>
      </c>
      <c r="G943" t="str">
        <f>_xlfn.XLOOKUP(TRIM(E944),MedicineInfo!A:A,MedicineInfo!B:B,"Not Found")</f>
        <v>Calcium Supplement</v>
      </c>
      <c r="H943" s="1" t="str" cm="1">
        <f t="array" ref="H943">_xlfn.IFS(
OR(E943="Type 2 Diabetes",E943="Essential Hypertension",E943="Angina Pectoris",E943="Bronchial Asthma",E943="Cardiac Arrhythmia"), D943+30,
OR(E943="Gastritis",E943="Osteoarthritis",E943="Bronchitis",E943="Iron Deficiency Anemia"), D943+14,
OR(E943="Lumbar Strain",E943="Migraine Headache"), D943+7,
OR(E943="Viral Fever",E943="General Checkup","Routine Health Check"), "",
TRUE,""
)</f>
        <v/>
      </c>
      <c r="I943" s="1" t="str">
        <f t="shared" si="28"/>
        <v>No Follow-up Required</v>
      </c>
      <c r="J943" t="str">
        <f>TEXT(Table8[[#This Row],[visit_Date]],"DDDD")</f>
        <v>Thursday</v>
      </c>
      <c r="K943" t="str">
        <f>TEXT(Table8[[#This Row],[visit_Date]],"mmmm")</f>
        <v>May</v>
      </c>
      <c r="L943" t="str">
        <f t="shared" si="29"/>
        <v>Summer</v>
      </c>
    </row>
    <row r="944" spans="1:12" x14ac:dyDescent="0.25">
      <c r="A944">
        <v>943</v>
      </c>
      <c r="B944">
        <v>1098</v>
      </c>
      <c r="C944">
        <v>843</v>
      </c>
      <c r="D944" s="1">
        <v>45792</v>
      </c>
      <c r="E944" t="s">
        <v>336</v>
      </c>
      <c r="F944" t="s">
        <v>337</v>
      </c>
      <c r="G944" t="str">
        <f>_xlfn.XLOOKUP(TRIM(E945),MedicineInfo!A:A,MedicineInfo!B:B,"Not Found")</f>
        <v>Hydrocortisone Cream</v>
      </c>
      <c r="H944" s="1" t="str" cm="1">
        <f t="array" ref="H944">_xlfn.IFS(
OR(E944="Type 2 Diabetes",E944="Essential Hypertension",E944="Angina Pectoris",E944="Bronchial Asthma",E944="Cardiac Arrhythmia"), D944+30,
OR(E944="Gastritis",E944="Osteoarthritis",E944="Bronchitis",E944="Iron Deficiency Anemia"), D944+14,
OR(E944="Lumbar Strain",E944="Migraine Headache"), D944+7,
OR(E944="Viral Fever",E944="General Checkup","Routine Health Check"), "",
TRUE,""
)</f>
        <v/>
      </c>
      <c r="I944" s="1" t="str">
        <f t="shared" si="28"/>
        <v>No Follow-up Required</v>
      </c>
      <c r="J944" t="str">
        <f>TEXT(Table8[[#This Row],[visit_Date]],"DDDD")</f>
        <v>Thursday</v>
      </c>
      <c r="K944" t="str">
        <f>TEXT(Table8[[#This Row],[visit_Date]],"mmmm")</f>
        <v>May</v>
      </c>
      <c r="L944" t="str">
        <f t="shared" si="29"/>
        <v>Summer</v>
      </c>
    </row>
    <row r="945" spans="1:12" x14ac:dyDescent="0.25">
      <c r="A945">
        <v>944</v>
      </c>
      <c r="B945">
        <v>1385</v>
      </c>
      <c r="C945">
        <v>1463</v>
      </c>
      <c r="D945" s="1">
        <v>45689</v>
      </c>
      <c r="E945" t="s">
        <v>338</v>
      </c>
      <c r="F945" t="s">
        <v>339</v>
      </c>
      <c r="G945" t="str">
        <f>_xlfn.XLOOKUP(TRIM(E946),MedicineInfo!A:A,MedicineInfo!B:B,"Not Found")</f>
        <v>Multivitamin</v>
      </c>
      <c r="H945" s="1" t="str" cm="1">
        <f t="array" ref="H945">_xlfn.IFS(
OR(E945="Type 2 Diabetes",E945="Essential Hypertension",E945="Angina Pectoris",E945="Bronchial Asthma",E945="Cardiac Arrhythmia"), D945+30,
OR(E945="Gastritis",E945="Osteoarthritis",E945="Bronchitis",E945="Iron Deficiency Anemia"), D945+14,
OR(E945="Lumbar Strain",E945="Migraine Headache"), D945+7,
OR(E945="Viral Fever",E945="General Checkup","Routine Health Check"), "",
TRUE,""
)</f>
        <v/>
      </c>
      <c r="I945" s="1" t="str">
        <f t="shared" si="28"/>
        <v>No Follow-up Required</v>
      </c>
      <c r="J945" t="str">
        <f>TEXT(Table8[[#This Row],[visit_Date]],"DDDD")</f>
        <v>Saturday</v>
      </c>
      <c r="K945" t="str">
        <f>TEXT(Table8[[#This Row],[visit_Date]],"mmmm")</f>
        <v>February</v>
      </c>
      <c r="L945" t="str">
        <f t="shared" si="29"/>
        <v>Winter</v>
      </c>
    </row>
    <row r="946" spans="1:12" x14ac:dyDescent="0.25">
      <c r="A946">
        <v>945</v>
      </c>
      <c r="B946">
        <v>1273</v>
      </c>
      <c r="C946">
        <v>171</v>
      </c>
      <c r="D946" s="1">
        <v>45669</v>
      </c>
      <c r="E946" t="s">
        <v>24</v>
      </c>
      <c r="F946" t="s">
        <v>321</v>
      </c>
      <c r="G946" t="str">
        <f>_xlfn.XLOOKUP(TRIM(E947),MedicineInfo!A:A,MedicineInfo!B:B,"Not Found")</f>
        <v>Multivitamin</v>
      </c>
      <c r="H946" s="1" t="str" cm="1">
        <f t="array" ref="H946">_xlfn.IFS(
OR(E946="Type 2 Diabetes",E946="Essential Hypertension",E946="Angina Pectoris",E946="Bronchial Asthma",E946="Cardiac Arrhythmia"), D946+30,
OR(E946="Gastritis",E946="Osteoarthritis",E946="Bronchitis",E946="Iron Deficiency Anemia"), D946+14,
OR(E946="Lumbar Strain",E946="Migraine Headache"), D946+7,
OR(E946="Viral Fever",E946="General Checkup","Routine Health Check"), "",
TRUE,""
)</f>
        <v/>
      </c>
      <c r="I946" s="1" t="str">
        <f t="shared" si="28"/>
        <v>No Follow-up Required</v>
      </c>
      <c r="J946" t="str">
        <f>TEXT(Table8[[#This Row],[visit_Date]],"DDDD")</f>
        <v>Sunday</v>
      </c>
      <c r="K946" t="str">
        <f>TEXT(Table8[[#This Row],[visit_Date]],"mmmm")</f>
        <v>January</v>
      </c>
      <c r="L946" t="str">
        <f t="shared" si="29"/>
        <v>Winter</v>
      </c>
    </row>
    <row r="947" spans="1:12" x14ac:dyDescent="0.25">
      <c r="A947">
        <v>946</v>
      </c>
      <c r="B947">
        <v>1296</v>
      </c>
      <c r="C947">
        <v>497</v>
      </c>
      <c r="D947" s="1">
        <v>45817</v>
      </c>
      <c r="E947" t="s">
        <v>24</v>
      </c>
      <c r="F947" t="s">
        <v>321</v>
      </c>
      <c r="G947" t="str">
        <f>_xlfn.XLOOKUP(TRIM(E948),MedicineInfo!A:A,MedicineInfo!B:B,"Not Found")</f>
        <v>Not Found</v>
      </c>
      <c r="H947" s="1" t="str" cm="1">
        <f t="array" ref="H947">_xlfn.IFS(
OR(E947="Type 2 Diabetes",E947="Essential Hypertension",E947="Angina Pectoris",E947="Bronchial Asthma",E947="Cardiac Arrhythmia"), D947+30,
OR(E947="Gastritis",E947="Osteoarthritis",E947="Bronchitis",E947="Iron Deficiency Anemia"), D947+14,
OR(E947="Lumbar Strain",E947="Migraine Headache"), D947+7,
OR(E947="Viral Fever",E947="General Checkup","Routine Health Check"), "",
TRUE,""
)</f>
        <v/>
      </c>
      <c r="I947" s="1" t="str">
        <f t="shared" si="28"/>
        <v>No Follow-up Required</v>
      </c>
      <c r="J947" t="str">
        <f>TEXT(Table8[[#This Row],[visit_Date]],"DDDD")</f>
        <v>Monday</v>
      </c>
      <c r="K947" t="str">
        <f>TEXT(Table8[[#This Row],[visit_Date]],"mmmm")</f>
        <v>June</v>
      </c>
      <c r="L947" t="str">
        <f t="shared" si="29"/>
        <v>Monsoon</v>
      </c>
    </row>
    <row r="948" spans="1:12" x14ac:dyDescent="0.25">
      <c r="A948">
        <v>947</v>
      </c>
      <c r="B948">
        <v>1192</v>
      </c>
      <c r="C948">
        <v>743</v>
      </c>
      <c r="D948" s="1">
        <v>45777</v>
      </c>
      <c r="E948" t="s">
        <v>340</v>
      </c>
      <c r="F948" t="s">
        <v>341</v>
      </c>
      <c r="G948" t="str">
        <f>_xlfn.XLOOKUP(TRIM(E949),MedicineInfo!A:A,MedicineInfo!B:B,"Not Found")</f>
        <v>Multivitamin</v>
      </c>
      <c r="H948" s="1" t="str" cm="1">
        <f t="array" ref="H948">_xlfn.IFS(
OR(E948="Type 2 Diabetes",E948="Essential Hypertension",E948="Angina Pectoris",E948="Bronchial Asthma",E948="Cardiac Arrhythmia"), D948+30,
OR(E948="Gastritis",E948="Osteoarthritis",E948="Bronchitis",E948="Iron Deficiency Anemia"), D948+14,
OR(E948="Lumbar Strain",E948="Migraine Headache"), D948+7,
OR(E948="Viral Fever",E948="General Checkup","Routine Health Check"), "",
TRUE,""
)</f>
        <v/>
      </c>
      <c r="I948" s="1" t="str">
        <f t="shared" si="28"/>
        <v>No Follow-up Required</v>
      </c>
      <c r="J948" t="str">
        <f>TEXT(Table8[[#This Row],[visit_Date]],"DDDD")</f>
        <v>Wednesday</v>
      </c>
      <c r="K948" t="str">
        <f>TEXT(Table8[[#This Row],[visit_Date]],"mmmm")</f>
        <v>April</v>
      </c>
      <c r="L948" t="str">
        <f t="shared" si="29"/>
        <v>Summer</v>
      </c>
    </row>
    <row r="949" spans="1:12" x14ac:dyDescent="0.25">
      <c r="A949">
        <v>948</v>
      </c>
      <c r="B949">
        <v>1113</v>
      </c>
      <c r="C949">
        <v>539</v>
      </c>
      <c r="D949" s="1">
        <v>45661</v>
      </c>
      <c r="E949" t="s">
        <v>24</v>
      </c>
      <c r="F949" t="s">
        <v>321</v>
      </c>
      <c r="G949" t="str">
        <f>_xlfn.XLOOKUP(TRIM(E950),MedicineInfo!A:A,MedicineInfo!B:B,"Not Found")</f>
        <v>Neuro Vitamins</v>
      </c>
      <c r="H949" s="1" t="str" cm="1">
        <f t="array" ref="H949">_xlfn.IFS(
OR(E949="Type 2 Diabetes",E949="Essential Hypertension",E949="Angina Pectoris",E949="Bronchial Asthma",E949="Cardiac Arrhythmia"), D949+30,
OR(E949="Gastritis",E949="Osteoarthritis",E949="Bronchitis",E949="Iron Deficiency Anemia"), D949+14,
OR(E949="Lumbar Strain",E949="Migraine Headache"), D949+7,
OR(E949="Viral Fever",E949="General Checkup","Routine Health Check"), "",
TRUE,""
)</f>
        <v/>
      </c>
      <c r="I949" s="1" t="str">
        <f t="shared" si="28"/>
        <v>No Follow-up Required</v>
      </c>
      <c r="J949" t="str">
        <f>TEXT(Table8[[#This Row],[visit_Date]],"DDDD")</f>
        <v>Saturday</v>
      </c>
      <c r="K949" t="str">
        <f>TEXT(Table8[[#This Row],[visit_Date]],"mmmm")</f>
        <v>January</v>
      </c>
      <c r="L949" t="str">
        <f t="shared" si="29"/>
        <v>Winter</v>
      </c>
    </row>
    <row r="950" spans="1:12" x14ac:dyDescent="0.25">
      <c r="A950">
        <v>949</v>
      </c>
      <c r="B950">
        <v>1236</v>
      </c>
      <c r="C950">
        <v>1257</v>
      </c>
      <c r="D950" s="1">
        <v>45814</v>
      </c>
      <c r="E950" t="s">
        <v>342</v>
      </c>
      <c r="F950" t="s">
        <v>343</v>
      </c>
      <c r="G950" t="str">
        <f>_xlfn.XLOOKUP(TRIM(E951),MedicineInfo!A:A,MedicineInfo!B:B,"Not Found")</f>
        <v>Multivitamin</v>
      </c>
      <c r="H950" s="1" t="str" cm="1">
        <f t="array" ref="H950">_xlfn.IFS(
OR(E950="Type 2 Diabetes",E950="Essential Hypertension",E950="Angina Pectoris",E950="Bronchial Asthma",E950="Cardiac Arrhythmia"), D950+30,
OR(E950="Gastritis",E950="Osteoarthritis",E950="Bronchitis",E950="Iron Deficiency Anemia"), D950+14,
OR(E950="Lumbar Strain",E950="Migraine Headache"), D950+7,
OR(E950="Viral Fever",E950="General Checkup","Routine Health Check"), "",
TRUE,""
)</f>
        <v/>
      </c>
      <c r="I950" s="1" t="str">
        <f t="shared" si="28"/>
        <v>No Follow-up Required</v>
      </c>
      <c r="J950" t="str">
        <f>TEXT(Table8[[#This Row],[visit_Date]],"DDDD")</f>
        <v>Friday</v>
      </c>
      <c r="K950" t="str">
        <f>TEXT(Table8[[#This Row],[visit_Date]],"mmmm")</f>
        <v>June</v>
      </c>
      <c r="L950" t="str">
        <f t="shared" si="29"/>
        <v>Monsoon</v>
      </c>
    </row>
    <row r="951" spans="1:12" x14ac:dyDescent="0.25">
      <c r="A951">
        <v>950</v>
      </c>
      <c r="B951">
        <v>1129</v>
      </c>
      <c r="C951">
        <v>304</v>
      </c>
      <c r="D951" s="1">
        <v>45747</v>
      </c>
      <c r="E951" t="s">
        <v>24</v>
      </c>
      <c r="F951" t="s">
        <v>321</v>
      </c>
      <c r="G951" t="str">
        <f>_xlfn.XLOOKUP(TRIM(E952),MedicineInfo!A:A,MedicineInfo!B:B,"Not Found")</f>
        <v>Multivitamin</v>
      </c>
      <c r="H951" s="1" t="str" cm="1">
        <f t="array" ref="H951">_xlfn.IFS(
OR(E951="Type 2 Diabetes",E951="Essential Hypertension",E951="Angina Pectoris",E951="Bronchial Asthma",E951="Cardiac Arrhythmia"), D951+30,
OR(E951="Gastritis",E951="Osteoarthritis",E951="Bronchitis",E951="Iron Deficiency Anemia"), D951+14,
OR(E951="Lumbar Strain",E951="Migraine Headache"), D951+7,
OR(E951="Viral Fever",E951="General Checkup","Routine Health Check"), "",
TRUE,""
)</f>
        <v/>
      </c>
      <c r="I951" s="1" t="str">
        <f t="shared" si="28"/>
        <v>No Follow-up Required</v>
      </c>
      <c r="J951" t="str">
        <f>TEXT(Table8[[#This Row],[visit_Date]],"DDDD")</f>
        <v>Monday</v>
      </c>
      <c r="K951" t="str">
        <f>TEXT(Table8[[#This Row],[visit_Date]],"mmmm")</f>
        <v>March</v>
      </c>
      <c r="L951" t="str">
        <f t="shared" si="29"/>
        <v>Summer</v>
      </c>
    </row>
    <row r="952" spans="1:12" x14ac:dyDescent="0.25">
      <c r="A952">
        <v>951</v>
      </c>
      <c r="B952">
        <v>1188</v>
      </c>
      <c r="C952">
        <v>1221</v>
      </c>
      <c r="D952" s="1">
        <v>45767</v>
      </c>
      <c r="E952" t="s">
        <v>24</v>
      </c>
      <c r="F952" t="s">
        <v>321</v>
      </c>
      <c r="G952" t="str">
        <f>_xlfn.XLOOKUP(TRIM(E953),MedicineInfo!A:A,MedicineInfo!B:B,"Not Found")</f>
        <v>Multivitamin</v>
      </c>
      <c r="H952" s="1" t="str" cm="1">
        <f t="array" ref="H952">_xlfn.IFS(
OR(E952="Type 2 Diabetes",E952="Essential Hypertension",E952="Angina Pectoris",E952="Bronchial Asthma",E952="Cardiac Arrhythmia"), D952+30,
OR(E952="Gastritis",E952="Osteoarthritis",E952="Bronchitis",E952="Iron Deficiency Anemia"), D952+14,
OR(E952="Lumbar Strain",E952="Migraine Headache"), D952+7,
OR(E952="Viral Fever",E952="General Checkup","Routine Health Check"), "",
TRUE,""
)</f>
        <v/>
      </c>
      <c r="I952" s="1" t="str">
        <f t="shared" si="28"/>
        <v>No Follow-up Required</v>
      </c>
      <c r="J952" t="str">
        <f>TEXT(Table8[[#This Row],[visit_Date]],"DDDD")</f>
        <v>Sunday</v>
      </c>
      <c r="K952" t="str">
        <f>TEXT(Table8[[#This Row],[visit_Date]],"mmmm")</f>
        <v>April</v>
      </c>
      <c r="L952" t="str">
        <f t="shared" si="29"/>
        <v>Summer</v>
      </c>
    </row>
    <row r="953" spans="1:12" x14ac:dyDescent="0.25">
      <c r="A953">
        <v>952</v>
      </c>
      <c r="B953">
        <v>1200</v>
      </c>
      <c r="C953">
        <v>836</v>
      </c>
      <c r="D953" s="1">
        <v>45814</v>
      </c>
      <c r="E953" t="s">
        <v>24</v>
      </c>
      <c r="F953" t="s">
        <v>321</v>
      </c>
      <c r="G953" t="str">
        <f>_xlfn.XLOOKUP(TRIM(E954),MedicineInfo!A:A,MedicineInfo!B:B,"Not Found")</f>
        <v>Multivitamin</v>
      </c>
      <c r="H953" s="1" t="str" cm="1">
        <f t="array" ref="H953">_xlfn.IFS(
OR(E953="Type 2 Diabetes",E953="Essential Hypertension",E953="Angina Pectoris",E953="Bronchial Asthma",E953="Cardiac Arrhythmia"), D953+30,
OR(E953="Gastritis",E953="Osteoarthritis",E953="Bronchitis",E953="Iron Deficiency Anemia"), D953+14,
OR(E953="Lumbar Strain",E953="Migraine Headache"), D953+7,
OR(E953="Viral Fever",E953="General Checkup","Routine Health Check"), "",
TRUE,""
)</f>
        <v/>
      </c>
      <c r="I953" s="1" t="str">
        <f t="shared" si="28"/>
        <v>No Follow-up Required</v>
      </c>
      <c r="J953" t="str">
        <f>TEXT(Table8[[#This Row],[visit_Date]],"DDDD")</f>
        <v>Friday</v>
      </c>
      <c r="K953" t="str">
        <f>TEXT(Table8[[#This Row],[visit_Date]],"mmmm")</f>
        <v>June</v>
      </c>
      <c r="L953" t="str">
        <f t="shared" si="29"/>
        <v>Monsoon</v>
      </c>
    </row>
    <row r="954" spans="1:12" x14ac:dyDescent="0.25">
      <c r="A954">
        <v>953</v>
      </c>
      <c r="B954">
        <v>1287</v>
      </c>
      <c r="C954">
        <v>1505</v>
      </c>
      <c r="D954" s="1">
        <v>45758</v>
      </c>
      <c r="E954" t="s">
        <v>24</v>
      </c>
      <c r="F954" t="s">
        <v>321</v>
      </c>
      <c r="G954" t="str">
        <f>_xlfn.XLOOKUP(TRIM(E955),MedicineInfo!A:A,MedicineInfo!B:B,"Not Found")</f>
        <v>Multivitamin</v>
      </c>
      <c r="H954" s="1" t="str" cm="1">
        <f t="array" ref="H954">_xlfn.IFS(
OR(E954="Type 2 Diabetes",E954="Essential Hypertension",E954="Angina Pectoris",E954="Bronchial Asthma",E954="Cardiac Arrhythmia"), D954+30,
OR(E954="Gastritis",E954="Osteoarthritis",E954="Bronchitis",E954="Iron Deficiency Anemia"), D954+14,
OR(E954="Lumbar Strain",E954="Migraine Headache"), D954+7,
OR(E954="Viral Fever",E954="General Checkup","Routine Health Check"), "",
TRUE,""
)</f>
        <v/>
      </c>
      <c r="I954" s="1" t="str">
        <f t="shared" si="28"/>
        <v>No Follow-up Required</v>
      </c>
      <c r="J954" t="str">
        <f>TEXT(Table8[[#This Row],[visit_Date]],"DDDD")</f>
        <v>Friday</v>
      </c>
      <c r="K954" t="str">
        <f>TEXT(Table8[[#This Row],[visit_Date]],"mmmm")</f>
        <v>April</v>
      </c>
      <c r="L954" t="str">
        <f t="shared" si="29"/>
        <v>Summer</v>
      </c>
    </row>
    <row r="955" spans="1:12" x14ac:dyDescent="0.25">
      <c r="A955">
        <v>954</v>
      </c>
      <c r="B955">
        <v>1067</v>
      </c>
      <c r="C955">
        <v>611</v>
      </c>
      <c r="D955" s="1">
        <v>45781</v>
      </c>
      <c r="E955" t="s">
        <v>24</v>
      </c>
      <c r="F955" t="s">
        <v>321</v>
      </c>
      <c r="G955" t="str">
        <f>_xlfn.XLOOKUP(TRIM(E956),MedicineInfo!A:A,MedicineInfo!B:B,"Not Found")</f>
        <v>Pantoprazole</v>
      </c>
      <c r="H955" s="1" t="str" cm="1">
        <f t="array" ref="H955">_xlfn.IFS(
OR(E955="Type 2 Diabetes",E955="Essential Hypertension",E955="Angina Pectoris",E955="Bronchial Asthma",E955="Cardiac Arrhythmia"), D955+30,
OR(E955="Gastritis",E955="Osteoarthritis",E955="Bronchitis",E955="Iron Deficiency Anemia"), D955+14,
OR(E955="Lumbar Strain",E955="Migraine Headache"), D955+7,
OR(E955="Viral Fever",E955="General Checkup","Routine Health Check"), "",
TRUE,""
)</f>
        <v/>
      </c>
      <c r="I955" s="1" t="str">
        <f t="shared" si="28"/>
        <v>No Follow-up Required</v>
      </c>
      <c r="J955" t="str">
        <f>TEXT(Table8[[#This Row],[visit_Date]],"DDDD")</f>
        <v>Sunday</v>
      </c>
      <c r="K955" t="str">
        <f>TEXT(Table8[[#This Row],[visit_Date]],"mmmm")</f>
        <v>May</v>
      </c>
      <c r="L955" t="str">
        <f t="shared" si="29"/>
        <v>Summer</v>
      </c>
    </row>
    <row r="956" spans="1:12" x14ac:dyDescent="0.25">
      <c r="A956">
        <v>955</v>
      </c>
      <c r="B956">
        <v>1336</v>
      </c>
      <c r="C956">
        <v>1472</v>
      </c>
      <c r="D956" s="1">
        <v>45758</v>
      </c>
      <c r="E956" t="s">
        <v>344</v>
      </c>
      <c r="F956" t="s">
        <v>345</v>
      </c>
      <c r="G956" t="str">
        <f>_xlfn.XLOOKUP(TRIM(E957),MedicineInfo!A:A,MedicineInfo!B:B,"Not Found")</f>
        <v>Vitamin D3</v>
      </c>
      <c r="H956" s="1" cm="1">
        <f t="array" ref="H956">_xlfn.IFS(
OR(E956="Type 2 Diabetes",E956="Essential Hypertension",E956="Angina Pectoris",E956="Bronchial Asthma",E956="Cardiac Arrhythmia"), D956+30,
OR(E956="Gastritis",E956="Osteoarthritis",E956="Bronchitis",E956="Iron Deficiency Anemia"), D956+14,
OR(E956="Lumbar Strain",E956="Migraine Headache"), D956+7,
OR(E956="Viral Fever",E956="General Checkup","Routine Health Check"), "",
TRUE,""
)</f>
        <v>45772</v>
      </c>
      <c r="I956" s="1" t="str">
        <f t="shared" si="28"/>
        <v>Follow-up Scheduled</v>
      </c>
      <c r="J956" t="str">
        <f>TEXT(Table8[[#This Row],[visit_Date]],"DDDD")</f>
        <v>Friday</v>
      </c>
      <c r="K956" t="str">
        <f>TEXT(Table8[[#This Row],[visit_Date]],"mmmm")</f>
        <v>April</v>
      </c>
      <c r="L956" t="str">
        <f t="shared" si="29"/>
        <v>Summer</v>
      </c>
    </row>
    <row r="957" spans="1:12" x14ac:dyDescent="0.25">
      <c r="A957">
        <v>956</v>
      </c>
      <c r="B957">
        <v>1259</v>
      </c>
      <c r="C957">
        <v>1198</v>
      </c>
      <c r="D957" s="1">
        <v>45686</v>
      </c>
      <c r="E957" t="s">
        <v>332</v>
      </c>
      <c r="F957" t="s">
        <v>333</v>
      </c>
      <c r="G957" t="str">
        <f>_xlfn.XLOOKUP(TRIM(E958),MedicineInfo!A:A,MedicineInfo!B:B,"Not Found")</f>
        <v>Multivitamin</v>
      </c>
      <c r="H957" s="1" t="str" cm="1">
        <f t="array" ref="H957">_xlfn.IFS(
OR(E957="Type 2 Diabetes",E957="Essential Hypertension",E957="Angina Pectoris",E957="Bronchial Asthma",E957="Cardiac Arrhythmia"), D957+30,
OR(E957="Gastritis",E957="Osteoarthritis",E957="Bronchitis",E957="Iron Deficiency Anemia"), D957+14,
OR(E957="Lumbar Strain",E957="Migraine Headache"), D957+7,
OR(E957="Viral Fever",E957="General Checkup","Routine Health Check"), "",
TRUE,""
)</f>
        <v/>
      </c>
      <c r="I957" s="1" t="str">
        <f t="shared" si="28"/>
        <v>No Follow-up Required</v>
      </c>
      <c r="J957" t="str">
        <f>TEXT(Table8[[#This Row],[visit_Date]],"DDDD")</f>
        <v>Wednesday</v>
      </c>
      <c r="K957" t="str">
        <f>TEXT(Table8[[#This Row],[visit_Date]],"mmmm")</f>
        <v>January</v>
      </c>
      <c r="L957" t="str">
        <f t="shared" si="29"/>
        <v>Winter</v>
      </c>
    </row>
    <row r="958" spans="1:12" x14ac:dyDescent="0.25">
      <c r="A958">
        <v>957</v>
      </c>
      <c r="B958">
        <v>1073</v>
      </c>
      <c r="C958">
        <v>735</v>
      </c>
      <c r="D958" s="1">
        <v>45748</v>
      </c>
      <c r="E958" t="s">
        <v>24</v>
      </c>
      <c r="F958" t="s">
        <v>321</v>
      </c>
      <c r="G958" t="str">
        <f>_xlfn.XLOOKUP(TRIM(E959),MedicineInfo!A:A,MedicineInfo!B:B,"Not Found")</f>
        <v>Multivitamin</v>
      </c>
      <c r="H958" s="1" t="str" cm="1">
        <f t="array" ref="H958">_xlfn.IFS(
OR(E958="Type 2 Diabetes",E958="Essential Hypertension",E958="Angina Pectoris",E958="Bronchial Asthma",E958="Cardiac Arrhythmia"), D958+30,
OR(E958="Gastritis",E958="Osteoarthritis",E958="Bronchitis",E958="Iron Deficiency Anemia"), D958+14,
OR(E958="Lumbar Strain",E958="Migraine Headache"), D958+7,
OR(E958="Viral Fever",E958="General Checkup","Routine Health Check"), "",
TRUE,""
)</f>
        <v/>
      </c>
      <c r="I958" s="1" t="str">
        <f t="shared" si="28"/>
        <v>No Follow-up Required</v>
      </c>
      <c r="J958" t="str">
        <f>TEXT(Table8[[#This Row],[visit_Date]],"DDDD")</f>
        <v>Tuesday</v>
      </c>
      <c r="K958" t="str">
        <f>TEXT(Table8[[#This Row],[visit_Date]],"mmmm")</f>
        <v>April</v>
      </c>
      <c r="L958" t="str">
        <f t="shared" si="29"/>
        <v>Summer</v>
      </c>
    </row>
    <row r="959" spans="1:12" x14ac:dyDescent="0.25">
      <c r="A959">
        <v>958</v>
      </c>
      <c r="B959">
        <v>1132</v>
      </c>
      <c r="C959">
        <v>1423</v>
      </c>
      <c r="D959" s="1">
        <v>45798</v>
      </c>
      <c r="E959" t="s">
        <v>24</v>
      </c>
      <c r="F959" t="s">
        <v>321</v>
      </c>
      <c r="G959" t="str">
        <f>_xlfn.XLOOKUP(TRIM(E960),MedicineInfo!A:A,MedicineInfo!B:B,"Not Found")</f>
        <v>Amoxicillin</v>
      </c>
      <c r="H959" s="1" t="str" cm="1">
        <f t="array" ref="H959">_xlfn.IFS(
OR(E959="Type 2 Diabetes",E959="Essential Hypertension",E959="Angina Pectoris",E959="Bronchial Asthma",E959="Cardiac Arrhythmia"), D959+30,
OR(E959="Gastritis",E959="Osteoarthritis",E959="Bronchitis",E959="Iron Deficiency Anemia"), D959+14,
OR(E959="Lumbar Strain",E959="Migraine Headache"), D959+7,
OR(E959="Viral Fever",E959="General Checkup","Routine Health Check"), "",
TRUE,""
)</f>
        <v/>
      </c>
      <c r="I959" s="1" t="str">
        <f t="shared" si="28"/>
        <v>No Follow-up Required</v>
      </c>
      <c r="J959" t="str">
        <f>TEXT(Table8[[#This Row],[visit_Date]],"DDDD")</f>
        <v>Wednesday</v>
      </c>
      <c r="K959" t="str">
        <f>TEXT(Table8[[#This Row],[visit_Date]],"mmmm")</f>
        <v>May</v>
      </c>
      <c r="L959" t="str">
        <f t="shared" si="29"/>
        <v>Summer</v>
      </c>
    </row>
    <row r="960" spans="1:12" x14ac:dyDescent="0.25">
      <c r="A960">
        <v>959</v>
      </c>
      <c r="B960">
        <v>1275</v>
      </c>
      <c r="C960">
        <v>540</v>
      </c>
      <c r="D960" s="1">
        <v>45672</v>
      </c>
      <c r="E960" t="s">
        <v>346</v>
      </c>
      <c r="F960" t="s">
        <v>347</v>
      </c>
      <c r="G960" t="str">
        <f>_xlfn.XLOOKUP(TRIM(E961),MedicineInfo!A:A,MedicineInfo!B:B,"Not Found")</f>
        <v>Aceclofenac</v>
      </c>
      <c r="H960" s="1" cm="1">
        <f t="array" ref="H960">_xlfn.IFS(
OR(E960="Type 2 Diabetes",E960="Essential Hypertension",E960="Angina Pectoris",E960="Bronchial Asthma",E960="Cardiac Arrhythmia"), D960+30,
OR(E960="Gastritis",E960="Osteoarthritis",E960="Bronchitis",E960="Iron Deficiency Anemia"), D960+14,
OR(E960="Lumbar Strain",E960="Migraine Headache"), D960+7,
OR(E960="Viral Fever",E960="General Checkup","Routine Health Check"), "",
TRUE,""
)</f>
        <v>45686</v>
      </c>
      <c r="I960" s="1" t="str">
        <f t="shared" si="28"/>
        <v>Follow-up Scheduled</v>
      </c>
      <c r="J960" t="str">
        <f>TEXT(Table8[[#This Row],[visit_Date]],"DDDD")</f>
        <v>Wednesday</v>
      </c>
      <c r="K960" t="str">
        <f>TEXT(Table8[[#This Row],[visit_Date]],"mmmm")</f>
        <v>January</v>
      </c>
      <c r="L960" t="str">
        <f t="shared" si="29"/>
        <v>Winter</v>
      </c>
    </row>
    <row r="961" spans="1:12" x14ac:dyDescent="0.25">
      <c r="A961">
        <v>960</v>
      </c>
      <c r="B961">
        <v>1307</v>
      </c>
      <c r="C961">
        <v>179</v>
      </c>
      <c r="D961" s="1">
        <v>45722</v>
      </c>
      <c r="E961" t="s">
        <v>348</v>
      </c>
      <c r="F961" t="s">
        <v>349</v>
      </c>
      <c r="G961" t="str">
        <f>_xlfn.XLOOKUP(TRIM(E962),MedicineInfo!A:A,MedicineInfo!B:B,"Not Found")</f>
        <v>Multivitamin</v>
      </c>
      <c r="H961" s="1" cm="1">
        <f t="array" ref="H961">_xlfn.IFS(
OR(E961="Type 2 Diabetes",E961="Essential Hypertension",E961="Angina Pectoris",E961="Bronchial Asthma",E961="Cardiac Arrhythmia"), D961+30,
OR(E961="Gastritis",E961="Osteoarthritis",E961="Bronchitis",E961="Iron Deficiency Anemia"), D961+14,
OR(E961="Lumbar Strain",E961="Migraine Headache"), D961+7,
OR(E961="Viral Fever",E961="General Checkup","Routine Health Check"), "",
TRUE,""
)</f>
        <v>45736</v>
      </c>
      <c r="I961" s="1" t="str">
        <f t="shared" si="28"/>
        <v>Follow-up Scheduled</v>
      </c>
      <c r="J961" t="str">
        <f>TEXT(Table8[[#This Row],[visit_Date]],"DDDD")</f>
        <v>Thursday</v>
      </c>
      <c r="K961" t="str">
        <f>TEXT(Table8[[#This Row],[visit_Date]],"mmmm")</f>
        <v>March</v>
      </c>
      <c r="L961" t="str">
        <f t="shared" si="29"/>
        <v>Summer</v>
      </c>
    </row>
    <row r="962" spans="1:12" x14ac:dyDescent="0.25">
      <c r="A962">
        <v>961</v>
      </c>
      <c r="B962">
        <v>1041</v>
      </c>
      <c r="C962">
        <v>370</v>
      </c>
      <c r="D962" s="1">
        <v>45672</v>
      </c>
      <c r="E962" t="s">
        <v>24</v>
      </c>
      <c r="F962" t="s">
        <v>321</v>
      </c>
      <c r="G962" t="str">
        <f>_xlfn.XLOOKUP(TRIM(E963),MedicineInfo!A:A,MedicineInfo!B:B,"Not Found")</f>
        <v>Multivitamin</v>
      </c>
      <c r="H962" s="1" t="str" cm="1">
        <f t="array" ref="H962">_xlfn.IFS(
OR(E962="Type 2 Diabetes",E962="Essential Hypertension",E962="Angina Pectoris",E962="Bronchial Asthma",E962="Cardiac Arrhythmia"), D962+30,
OR(E962="Gastritis",E962="Osteoarthritis",E962="Bronchitis",E962="Iron Deficiency Anemia"), D962+14,
OR(E962="Lumbar Strain",E962="Migraine Headache"), D962+7,
OR(E962="Viral Fever",E962="General Checkup","Routine Health Check"), "",
TRUE,""
)</f>
        <v/>
      </c>
      <c r="I962" s="1" t="str">
        <f t="shared" ref="I962:I1025" si="30">IF(H962="","No Follow-up Required","Follow-up Scheduled")</f>
        <v>No Follow-up Required</v>
      </c>
      <c r="J962" t="str">
        <f>TEXT(Table8[[#This Row],[visit_Date]],"DDDD")</f>
        <v>Wednesday</v>
      </c>
      <c r="K962" t="str">
        <f>TEXT(Table8[[#This Row],[visit_Date]],"mmmm")</f>
        <v>January</v>
      </c>
      <c r="L962" t="str">
        <f t="shared" ref="L962:L1025" si="31">IF(OR(MONTH(D962)=12,MONTH(D962)&lt;=2),"Winter",
IF(MONTH(D962)&lt;=5,"Summer","Monsoon"))</f>
        <v>Winter</v>
      </c>
    </row>
    <row r="963" spans="1:12" x14ac:dyDescent="0.25">
      <c r="A963">
        <v>962</v>
      </c>
      <c r="B963">
        <v>1275</v>
      </c>
      <c r="C963">
        <v>175</v>
      </c>
      <c r="D963" s="1">
        <v>45711</v>
      </c>
      <c r="E963" t="s">
        <v>24</v>
      </c>
      <c r="F963" t="s">
        <v>321</v>
      </c>
      <c r="G963" t="str">
        <f>_xlfn.XLOOKUP(TRIM(E964),MedicineInfo!A:A,MedicineInfo!B:B,"Not Found")</f>
        <v>Multivitamin</v>
      </c>
      <c r="H963" s="1" t="str" cm="1">
        <f t="array" ref="H963">_xlfn.IFS(
OR(E963="Type 2 Diabetes",E963="Essential Hypertension",E963="Angina Pectoris",E963="Bronchial Asthma",E963="Cardiac Arrhythmia"), D963+30,
OR(E963="Gastritis",E963="Osteoarthritis",E963="Bronchitis",E963="Iron Deficiency Anemia"), D963+14,
OR(E963="Lumbar Strain",E963="Migraine Headache"), D963+7,
OR(E963="Viral Fever",E963="General Checkup","Routine Health Check"), "",
TRUE,""
)</f>
        <v/>
      </c>
      <c r="I963" s="1" t="str">
        <f t="shared" si="30"/>
        <v>No Follow-up Required</v>
      </c>
      <c r="J963" t="str">
        <f>TEXT(Table8[[#This Row],[visit_Date]],"DDDD")</f>
        <v>Sunday</v>
      </c>
      <c r="K963" t="str">
        <f>TEXT(Table8[[#This Row],[visit_Date]],"mmmm")</f>
        <v>February</v>
      </c>
      <c r="L963" t="str">
        <f t="shared" si="31"/>
        <v>Winter</v>
      </c>
    </row>
    <row r="964" spans="1:12" x14ac:dyDescent="0.25">
      <c r="A964">
        <v>963</v>
      </c>
      <c r="B964">
        <v>1009</v>
      </c>
      <c r="C964">
        <v>276</v>
      </c>
      <c r="D964" s="1">
        <v>45747</v>
      </c>
      <c r="E964" t="s">
        <v>24</v>
      </c>
      <c r="F964" t="s">
        <v>321</v>
      </c>
      <c r="G964" t="str">
        <f>_xlfn.XLOOKUP(TRIM(E965),MedicineInfo!A:A,MedicineInfo!B:B,"Not Found")</f>
        <v>Multivitamin</v>
      </c>
      <c r="H964" s="1" t="str" cm="1">
        <f t="array" ref="H964">_xlfn.IFS(
OR(E964="Type 2 Diabetes",E964="Essential Hypertension",E964="Angina Pectoris",E964="Bronchial Asthma",E964="Cardiac Arrhythmia"), D964+30,
OR(E964="Gastritis",E964="Osteoarthritis",E964="Bronchitis",E964="Iron Deficiency Anemia"), D964+14,
OR(E964="Lumbar Strain",E964="Migraine Headache"), D964+7,
OR(E964="Viral Fever",E964="General Checkup","Routine Health Check"), "",
TRUE,""
)</f>
        <v/>
      </c>
      <c r="I964" s="1" t="str">
        <f t="shared" si="30"/>
        <v>No Follow-up Required</v>
      </c>
      <c r="J964" t="str">
        <f>TEXT(Table8[[#This Row],[visit_Date]],"DDDD")</f>
        <v>Monday</v>
      </c>
      <c r="K964" t="str">
        <f>TEXT(Table8[[#This Row],[visit_Date]],"mmmm")</f>
        <v>March</v>
      </c>
      <c r="L964" t="str">
        <f t="shared" si="31"/>
        <v>Summer</v>
      </c>
    </row>
    <row r="965" spans="1:12" x14ac:dyDescent="0.25">
      <c r="A965">
        <v>964</v>
      </c>
      <c r="B965">
        <v>1302</v>
      </c>
      <c r="C965">
        <v>106</v>
      </c>
      <c r="D965" s="1">
        <v>45853</v>
      </c>
      <c r="E965" t="s">
        <v>24</v>
      </c>
      <c r="F965" t="s">
        <v>321</v>
      </c>
      <c r="G965" t="str">
        <f>_xlfn.XLOOKUP(TRIM(E966),MedicineInfo!A:A,MedicineInfo!B:B,"Not Found")</f>
        <v>Multivitamin</v>
      </c>
      <c r="H965" s="1" t="str" cm="1">
        <f t="array" ref="H965">_xlfn.IFS(
OR(E965="Type 2 Diabetes",E965="Essential Hypertension",E965="Angina Pectoris",E965="Bronchial Asthma",E965="Cardiac Arrhythmia"), D965+30,
OR(E965="Gastritis",E965="Osteoarthritis",E965="Bronchitis",E965="Iron Deficiency Anemia"), D965+14,
OR(E965="Lumbar Strain",E965="Migraine Headache"), D965+7,
OR(E965="Viral Fever",E965="General Checkup","Routine Health Check"), "",
TRUE,""
)</f>
        <v/>
      </c>
      <c r="I965" s="1" t="str">
        <f t="shared" si="30"/>
        <v>No Follow-up Required</v>
      </c>
      <c r="J965" t="str">
        <f>TEXT(Table8[[#This Row],[visit_Date]],"DDDD")</f>
        <v>Tuesday</v>
      </c>
      <c r="K965" t="str">
        <f>TEXT(Table8[[#This Row],[visit_Date]],"mmmm")</f>
        <v>July</v>
      </c>
      <c r="L965" t="str">
        <f t="shared" si="31"/>
        <v>Monsoon</v>
      </c>
    </row>
    <row r="966" spans="1:12" x14ac:dyDescent="0.25">
      <c r="A966">
        <v>965</v>
      </c>
      <c r="B966">
        <v>1090</v>
      </c>
      <c r="C966">
        <v>1238</v>
      </c>
      <c r="D966" s="1">
        <v>45792</v>
      </c>
      <c r="E966" t="s">
        <v>24</v>
      </c>
      <c r="F966" t="s">
        <v>321</v>
      </c>
      <c r="G966" t="str">
        <f>_xlfn.XLOOKUP(TRIM(E967),MedicineInfo!A:A,MedicineInfo!B:B,"Not Found")</f>
        <v>Amoxicillin</v>
      </c>
      <c r="H966" s="1" t="str" cm="1">
        <f t="array" ref="H966">_xlfn.IFS(
OR(E966="Type 2 Diabetes",E966="Essential Hypertension",E966="Angina Pectoris",E966="Bronchial Asthma",E966="Cardiac Arrhythmia"), D966+30,
OR(E966="Gastritis",E966="Osteoarthritis",E966="Bronchitis",E966="Iron Deficiency Anemia"), D966+14,
OR(E966="Lumbar Strain",E966="Migraine Headache"), D966+7,
OR(E966="Viral Fever",E966="General Checkup","Routine Health Check"), "",
TRUE,""
)</f>
        <v/>
      </c>
      <c r="I966" s="1" t="str">
        <f t="shared" si="30"/>
        <v>No Follow-up Required</v>
      </c>
      <c r="J966" t="str">
        <f>TEXT(Table8[[#This Row],[visit_Date]],"DDDD")</f>
        <v>Thursday</v>
      </c>
      <c r="K966" t="str">
        <f>TEXT(Table8[[#This Row],[visit_Date]],"mmmm")</f>
        <v>May</v>
      </c>
      <c r="L966" t="str">
        <f t="shared" si="31"/>
        <v>Summer</v>
      </c>
    </row>
    <row r="967" spans="1:12" x14ac:dyDescent="0.25">
      <c r="A967">
        <v>966</v>
      </c>
      <c r="B967">
        <v>1193</v>
      </c>
      <c r="C967">
        <v>442</v>
      </c>
      <c r="D967" s="1">
        <v>45739</v>
      </c>
      <c r="E967" t="s">
        <v>346</v>
      </c>
      <c r="F967" t="s">
        <v>347</v>
      </c>
      <c r="G967" t="str">
        <f>_xlfn.XLOOKUP(TRIM(E968),MedicineInfo!A:A,MedicineInfo!B:B,"Not Found")</f>
        <v>Multivitamin</v>
      </c>
      <c r="H967" s="1" cm="1">
        <f t="array" ref="H967">_xlfn.IFS(
OR(E967="Type 2 Diabetes",E967="Essential Hypertension",E967="Angina Pectoris",E967="Bronchial Asthma",E967="Cardiac Arrhythmia"), D967+30,
OR(E967="Gastritis",E967="Osteoarthritis",E967="Bronchitis",E967="Iron Deficiency Anemia"), D967+14,
OR(E967="Lumbar Strain",E967="Migraine Headache"), D967+7,
OR(E967="Viral Fever",E967="General Checkup","Routine Health Check"), "",
TRUE,""
)</f>
        <v>45753</v>
      </c>
      <c r="I967" s="1" t="str">
        <f t="shared" si="30"/>
        <v>Follow-up Scheduled</v>
      </c>
      <c r="J967" t="str">
        <f>TEXT(Table8[[#This Row],[visit_Date]],"DDDD")</f>
        <v>Sunday</v>
      </c>
      <c r="K967" t="str">
        <f>TEXT(Table8[[#This Row],[visit_Date]],"mmmm")</f>
        <v>March</v>
      </c>
      <c r="L967" t="str">
        <f t="shared" si="31"/>
        <v>Summer</v>
      </c>
    </row>
    <row r="968" spans="1:12" x14ac:dyDescent="0.25">
      <c r="A968">
        <v>967</v>
      </c>
      <c r="B968">
        <v>1017</v>
      </c>
      <c r="C968">
        <v>1515</v>
      </c>
      <c r="D968" s="1">
        <v>45797</v>
      </c>
      <c r="E968" t="s">
        <v>24</v>
      </c>
      <c r="F968" t="s">
        <v>321</v>
      </c>
      <c r="G968" t="str">
        <f>_xlfn.XLOOKUP(TRIM(E969),MedicineInfo!A:A,MedicineInfo!B:B,"Not Found")</f>
        <v>Multivitamin</v>
      </c>
      <c r="H968" s="1" t="str" cm="1">
        <f t="array" ref="H968">_xlfn.IFS(
OR(E968="Type 2 Diabetes",E968="Essential Hypertension",E968="Angina Pectoris",E968="Bronchial Asthma",E968="Cardiac Arrhythmia"), D968+30,
OR(E968="Gastritis",E968="Osteoarthritis",E968="Bronchitis",E968="Iron Deficiency Anemia"), D968+14,
OR(E968="Lumbar Strain",E968="Migraine Headache"), D968+7,
OR(E968="Viral Fever",E968="General Checkup","Routine Health Check"), "",
TRUE,""
)</f>
        <v/>
      </c>
      <c r="I968" s="1" t="str">
        <f t="shared" si="30"/>
        <v>No Follow-up Required</v>
      </c>
      <c r="J968" t="str">
        <f>TEXT(Table8[[#This Row],[visit_Date]],"DDDD")</f>
        <v>Tuesday</v>
      </c>
      <c r="K968" t="str">
        <f>TEXT(Table8[[#This Row],[visit_Date]],"mmmm")</f>
        <v>May</v>
      </c>
      <c r="L968" t="str">
        <f t="shared" si="31"/>
        <v>Summer</v>
      </c>
    </row>
    <row r="969" spans="1:12" x14ac:dyDescent="0.25">
      <c r="A969">
        <v>968</v>
      </c>
      <c r="B969">
        <v>1094</v>
      </c>
      <c r="C969">
        <v>1114</v>
      </c>
      <c r="D969" s="1">
        <v>45777</v>
      </c>
      <c r="E969" t="s">
        <v>24</v>
      </c>
      <c r="F969" t="s">
        <v>321</v>
      </c>
      <c r="G969" t="str">
        <f>_xlfn.XLOOKUP(TRIM(E970),MedicineInfo!A:A,MedicineInfo!B:B,"Not Found")</f>
        <v>Vitamin D3</v>
      </c>
      <c r="H969" s="1" t="str" cm="1">
        <f t="array" ref="H969">_xlfn.IFS(
OR(E969="Type 2 Diabetes",E969="Essential Hypertension",E969="Angina Pectoris",E969="Bronchial Asthma",E969="Cardiac Arrhythmia"), D969+30,
OR(E969="Gastritis",E969="Osteoarthritis",E969="Bronchitis",E969="Iron Deficiency Anemia"), D969+14,
OR(E969="Lumbar Strain",E969="Migraine Headache"), D969+7,
OR(E969="Viral Fever",E969="General Checkup","Routine Health Check"), "",
TRUE,""
)</f>
        <v/>
      </c>
      <c r="I969" s="1" t="str">
        <f t="shared" si="30"/>
        <v>No Follow-up Required</v>
      </c>
      <c r="J969" t="str">
        <f>TEXT(Table8[[#This Row],[visit_Date]],"DDDD")</f>
        <v>Wednesday</v>
      </c>
      <c r="K969" t="str">
        <f>TEXT(Table8[[#This Row],[visit_Date]],"mmmm")</f>
        <v>April</v>
      </c>
      <c r="L969" t="str">
        <f t="shared" si="31"/>
        <v>Summer</v>
      </c>
    </row>
    <row r="970" spans="1:12" x14ac:dyDescent="0.25">
      <c r="A970">
        <v>969</v>
      </c>
      <c r="B970">
        <v>1207</v>
      </c>
      <c r="C970">
        <v>1227</v>
      </c>
      <c r="D970" s="1">
        <v>45690</v>
      </c>
      <c r="E970" t="s">
        <v>332</v>
      </c>
      <c r="F970" t="s">
        <v>333</v>
      </c>
      <c r="G970" t="str">
        <f>_xlfn.XLOOKUP(TRIM(E971),MedicineInfo!A:A,MedicineInfo!B:B,"Not Found")</f>
        <v>Donepezil</v>
      </c>
      <c r="H970" s="1" t="str" cm="1">
        <f t="array" ref="H970">_xlfn.IFS(
OR(E970="Type 2 Diabetes",E970="Essential Hypertension",E970="Angina Pectoris",E970="Bronchial Asthma",E970="Cardiac Arrhythmia"), D970+30,
OR(E970="Gastritis",E970="Osteoarthritis",E970="Bronchitis",E970="Iron Deficiency Anemia"), D970+14,
OR(E970="Lumbar Strain",E970="Migraine Headache"), D970+7,
OR(E970="Viral Fever",E970="General Checkup","Routine Health Check"), "",
TRUE,""
)</f>
        <v/>
      </c>
      <c r="I970" s="1" t="str">
        <f t="shared" si="30"/>
        <v>No Follow-up Required</v>
      </c>
      <c r="J970" t="str">
        <f>TEXT(Table8[[#This Row],[visit_Date]],"DDDD")</f>
        <v>Sunday</v>
      </c>
      <c r="K970" t="str">
        <f>TEXT(Table8[[#This Row],[visit_Date]],"mmmm")</f>
        <v>February</v>
      </c>
      <c r="L970" t="str">
        <f t="shared" si="31"/>
        <v>Winter</v>
      </c>
    </row>
    <row r="971" spans="1:12" x14ac:dyDescent="0.25">
      <c r="A971">
        <v>970</v>
      </c>
      <c r="B971">
        <v>1165</v>
      </c>
      <c r="C971">
        <v>1395</v>
      </c>
      <c r="D971" s="1">
        <v>45861</v>
      </c>
      <c r="E971" t="s">
        <v>350</v>
      </c>
      <c r="F971" t="s">
        <v>351</v>
      </c>
      <c r="G971" t="str">
        <f>_xlfn.XLOOKUP(TRIM(E972),MedicineInfo!A:A,MedicineInfo!B:B,"Not Found")</f>
        <v>Multivitamin</v>
      </c>
      <c r="H971" s="1" t="str" cm="1">
        <f t="array" ref="H971">_xlfn.IFS(
OR(E971="Type 2 Diabetes",E971="Essential Hypertension",E971="Angina Pectoris",E971="Bronchial Asthma",E971="Cardiac Arrhythmia"), D971+30,
OR(E971="Gastritis",E971="Osteoarthritis",E971="Bronchitis",E971="Iron Deficiency Anemia"), D971+14,
OR(E971="Lumbar Strain",E971="Migraine Headache"), D971+7,
OR(E971="Viral Fever",E971="General Checkup","Routine Health Check"), "",
TRUE,""
)</f>
        <v/>
      </c>
      <c r="I971" s="1" t="str">
        <f t="shared" si="30"/>
        <v>No Follow-up Required</v>
      </c>
      <c r="J971" t="str">
        <f>TEXT(Table8[[#This Row],[visit_Date]],"DDDD")</f>
        <v>Wednesday</v>
      </c>
      <c r="K971" t="str">
        <f>TEXT(Table8[[#This Row],[visit_Date]],"mmmm")</f>
        <v>July</v>
      </c>
      <c r="L971" t="str">
        <f t="shared" si="31"/>
        <v>Monsoon</v>
      </c>
    </row>
    <row r="972" spans="1:12" x14ac:dyDescent="0.25">
      <c r="A972">
        <v>971</v>
      </c>
      <c r="B972">
        <v>1260</v>
      </c>
      <c r="C972">
        <v>1367</v>
      </c>
      <c r="D972" s="1">
        <v>45686</v>
      </c>
      <c r="E972" t="s">
        <v>24</v>
      </c>
      <c r="F972" t="s">
        <v>321</v>
      </c>
      <c r="G972" t="str">
        <f>_xlfn.XLOOKUP(TRIM(E973),MedicineInfo!A:A,MedicineInfo!B:B,"Not Found")</f>
        <v>Calcium Supplement</v>
      </c>
      <c r="H972" s="1" t="str" cm="1">
        <f t="array" ref="H972">_xlfn.IFS(
OR(E972="Type 2 Diabetes",E972="Essential Hypertension",E972="Angina Pectoris",E972="Bronchial Asthma",E972="Cardiac Arrhythmia"), D972+30,
OR(E972="Gastritis",E972="Osteoarthritis",E972="Bronchitis",E972="Iron Deficiency Anemia"), D972+14,
OR(E972="Lumbar Strain",E972="Migraine Headache"), D972+7,
OR(E972="Viral Fever",E972="General Checkup","Routine Health Check"), "",
TRUE,""
)</f>
        <v/>
      </c>
      <c r="I972" s="1" t="str">
        <f t="shared" si="30"/>
        <v>No Follow-up Required</v>
      </c>
      <c r="J972" t="str">
        <f>TEXT(Table8[[#This Row],[visit_Date]],"DDDD")</f>
        <v>Wednesday</v>
      </c>
      <c r="K972" t="str">
        <f>TEXT(Table8[[#This Row],[visit_Date]],"mmmm")</f>
        <v>January</v>
      </c>
      <c r="L972" t="str">
        <f t="shared" si="31"/>
        <v>Winter</v>
      </c>
    </row>
    <row r="973" spans="1:12" x14ac:dyDescent="0.25">
      <c r="A973">
        <v>972</v>
      </c>
      <c r="B973">
        <v>1298</v>
      </c>
      <c r="C973">
        <v>940</v>
      </c>
      <c r="D973" s="1">
        <v>45799</v>
      </c>
      <c r="E973" t="s">
        <v>336</v>
      </c>
      <c r="F973" t="s">
        <v>337</v>
      </c>
      <c r="G973" t="str">
        <f>_xlfn.XLOOKUP(TRIM(E974),MedicineInfo!A:A,MedicineInfo!B:B,"Not Found")</f>
        <v>Paracetamol</v>
      </c>
      <c r="H973" s="1" t="str" cm="1">
        <f t="array" ref="H973">_xlfn.IFS(
OR(E973="Type 2 Diabetes",E973="Essential Hypertension",E973="Angina Pectoris",E973="Bronchial Asthma",E973="Cardiac Arrhythmia"), D973+30,
OR(E973="Gastritis",E973="Osteoarthritis",E973="Bronchitis",E973="Iron Deficiency Anemia"), D973+14,
OR(E973="Lumbar Strain",E973="Migraine Headache"), D973+7,
OR(E973="Viral Fever",E973="General Checkup","Routine Health Check"), "",
TRUE,""
)</f>
        <v/>
      </c>
      <c r="I973" s="1" t="str">
        <f t="shared" si="30"/>
        <v>No Follow-up Required</v>
      </c>
      <c r="J973" t="str">
        <f>TEXT(Table8[[#This Row],[visit_Date]],"DDDD")</f>
        <v>Thursday</v>
      </c>
      <c r="K973" t="str">
        <f>TEXT(Table8[[#This Row],[visit_Date]],"mmmm")</f>
        <v>May</v>
      </c>
      <c r="L973" t="str">
        <f t="shared" si="31"/>
        <v>Summer</v>
      </c>
    </row>
    <row r="974" spans="1:12" x14ac:dyDescent="0.25">
      <c r="A974">
        <v>973</v>
      </c>
      <c r="B974">
        <v>1346</v>
      </c>
      <c r="C974">
        <v>238</v>
      </c>
      <c r="D974" s="1">
        <v>45691</v>
      </c>
      <c r="E974" t="s">
        <v>326</v>
      </c>
      <c r="F974" t="s">
        <v>327</v>
      </c>
      <c r="G974" t="str">
        <f>_xlfn.XLOOKUP(TRIM(E975),MedicineInfo!A:A,MedicineInfo!B:B,"Not Found")</f>
        <v>Multivitamin</v>
      </c>
      <c r="H974" s="1" t="str" cm="1">
        <f t="array" ref="H974">_xlfn.IFS(
OR(E974="Type 2 Diabetes",E974="Essential Hypertension",E974="Angina Pectoris",E974="Bronchial Asthma",E974="Cardiac Arrhythmia"), D974+30,
OR(E974="Gastritis",E974="Osteoarthritis",E974="Bronchitis",E974="Iron Deficiency Anemia"), D974+14,
OR(E974="Lumbar Strain",E974="Migraine Headache"), D974+7,
OR(E974="Viral Fever",E974="General Checkup","Routine Health Check"), "",
TRUE,""
)</f>
        <v/>
      </c>
      <c r="I974" s="1" t="str">
        <f t="shared" si="30"/>
        <v>No Follow-up Required</v>
      </c>
      <c r="J974" t="str">
        <f>TEXT(Table8[[#This Row],[visit_Date]],"DDDD")</f>
        <v>Monday</v>
      </c>
      <c r="K974" t="str">
        <f>TEXT(Table8[[#This Row],[visit_Date]],"mmmm")</f>
        <v>February</v>
      </c>
      <c r="L974" t="str">
        <f t="shared" si="31"/>
        <v>Winter</v>
      </c>
    </row>
    <row r="975" spans="1:12" x14ac:dyDescent="0.25">
      <c r="A975">
        <v>974</v>
      </c>
      <c r="B975">
        <v>1061</v>
      </c>
      <c r="C975">
        <v>836</v>
      </c>
      <c r="D975" s="1">
        <v>45845</v>
      </c>
      <c r="E975" t="s">
        <v>24</v>
      </c>
      <c r="F975" t="s">
        <v>321</v>
      </c>
      <c r="G975" t="str">
        <f>_xlfn.XLOOKUP(TRIM(E976),MedicineInfo!A:A,MedicineInfo!B:B,"Not Found")</f>
        <v>Multivitamin</v>
      </c>
      <c r="H975" s="1" t="str" cm="1">
        <f t="array" ref="H975">_xlfn.IFS(
OR(E975="Type 2 Diabetes",E975="Essential Hypertension",E975="Angina Pectoris",E975="Bronchial Asthma",E975="Cardiac Arrhythmia"), D975+30,
OR(E975="Gastritis",E975="Osteoarthritis",E975="Bronchitis",E975="Iron Deficiency Anemia"), D975+14,
OR(E975="Lumbar Strain",E975="Migraine Headache"), D975+7,
OR(E975="Viral Fever",E975="General Checkup","Routine Health Check"), "",
TRUE,""
)</f>
        <v/>
      </c>
      <c r="I975" s="1" t="str">
        <f t="shared" si="30"/>
        <v>No Follow-up Required</v>
      </c>
      <c r="J975" t="str">
        <f>TEXT(Table8[[#This Row],[visit_Date]],"DDDD")</f>
        <v>Monday</v>
      </c>
      <c r="K975" t="str">
        <f>TEXT(Table8[[#This Row],[visit_Date]],"mmmm")</f>
        <v>July</v>
      </c>
      <c r="L975" t="str">
        <f t="shared" si="31"/>
        <v>Monsoon</v>
      </c>
    </row>
    <row r="976" spans="1:12" x14ac:dyDescent="0.25">
      <c r="A976">
        <v>975</v>
      </c>
      <c r="B976">
        <v>1146</v>
      </c>
      <c r="C976">
        <v>831</v>
      </c>
      <c r="D976" s="1">
        <v>45768</v>
      </c>
      <c r="E976" t="s">
        <v>24</v>
      </c>
      <c r="F976" t="s">
        <v>321</v>
      </c>
      <c r="G976" t="str">
        <f>_xlfn.XLOOKUP(TRIM(E977),MedicineInfo!A:A,MedicineInfo!B:B,"Not Found")</f>
        <v>Multivitamin</v>
      </c>
      <c r="H976" s="1" t="str" cm="1">
        <f t="array" ref="H976">_xlfn.IFS(
OR(E976="Type 2 Diabetes",E976="Essential Hypertension",E976="Angina Pectoris",E976="Bronchial Asthma",E976="Cardiac Arrhythmia"), D976+30,
OR(E976="Gastritis",E976="Osteoarthritis",E976="Bronchitis",E976="Iron Deficiency Anemia"), D976+14,
OR(E976="Lumbar Strain",E976="Migraine Headache"), D976+7,
OR(E976="Viral Fever",E976="General Checkup","Routine Health Check"), "",
TRUE,""
)</f>
        <v/>
      </c>
      <c r="I976" s="1" t="str">
        <f t="shared" si="30"/>
        <v>No Follow-up Required</v>
      </c>
      <c r="J976" t="str">
        <f>TEXT(Table8[[#This Row],[visit_Date]],"DDDD")</f>
        <v>Monday</v>
      </c>
      <c r="K976" t="str">
        <f>TEXT(Table8[[#This Row],[visit_Date]],"mmmm")</f>
        <v>April</v>
      </c>
      <c r="L976" t="str">
        <f t="shared" si="31"/>
        <v>Summer</v>
      </c>
    </row>
    <row r="977" spans="1:12" x14ac:dyDescent="0.25">
      <c r="A977">
        <v>976</v>
      </c>
      <c r="B977">
        <v>1058</v>
      </c>
      <c r="C977">
        <v>919</v>
      </c>
      <c r="D977" s="1">
        <v>45777</v>
      </c>
      <c r="E977" t="s">
        <v>24</v>
      </c>
      <c r="F977" t="s">
        <v>321</v>
      </c>
      <c r="G977" t="str">
        <f>_xlfn.XLOOKUP(TRIM(E978),MedicineInfo!A:A,MedicineInfo!B:B,"Not Found")</f>
        <v>Multivitamin</v>
      </c>
      <c r="H977" s="1" t="str" cm="1">
        <f t="array" ref="H977">_xlfn.IFS(
OR(E977="Type 2 Diabetes",E977="Essential Hypertension",E977="Angina Pectoris",E977="Bronchial Asthma",E977="Cardiac Arrhythmia"), D977+30,
OR(E977="Gastritis",E977="Osteoarthritis",E977="Bronchitis",E977="Iron Deficiency Anemia"), D977+14,
OR(E977="Lumbar Strain",E977="Migraine Headache"), D977+7,
OR(E977="Viral Fever",E977="General Checkup","Routine Health Check"), "",
TRUE,""
)</f>
        <v/>
      </c>
      <c r="I977" s="1" t="str">
        <f t="shared" si="30"/>
        <v>No Follow-up Required</v>
      </c>
      <c r="J977" t="str">
        <f>TEXT(Table8[[#This Row],[visit_Date]],"DDDD")</f>
        <v>Wednesday</v>
      </c>
      <c r="K977" t="str">
        <f>TEXT(Table8[[#This Row],[visit_Date]],"mmmm")</f>
        <v>April</v>
      </c>
      <c r="L977" t="str">
        <f t="shared" si="31"/>
        <v>Summer</v>
      </c>
    </row>
    <row r="978" spans="1:12" x14ac:dyDescent="0.25">
      <c r="A978">
        <v>977</v>
      </c>
      <c r="B978">
        <v>1362</v>
      </c>
      <c r="C978">
        <v>494</v>
      </c>
      <c r="D978" s="1">
        <v>45669</v>
      </c>
      <c r="E978" t="s">
        <v>24</v>
      </c>
      <c r="F978" t="s">
        <v>321</v>
      </c>
      <c r="G978" t="str">
        <f>_xlfn.XLOOKUP(TRIM(E979),MedicineInfo!A:A,MedicineInfo!B:B,"Not Found")</f>
        <v>Multivitamin</v>
      </c>
      <c r="H978" s="1" t="str" cm="1">
        <f t="array" ref="H978">_xlfn.IFS(
OR(E978="Type 2 Diabetes",E978="Essential Hypertension",E978="Angina Pectoris",E978="Bronchial Asthma",E978="Cardiac Arrhythmia"), D978+30,
OR(E978="Gastritis",E978="Osteoarthritis",E978="Bronchitis",E978="Iron Deficiency Anemia"), D978+14,
OR(E978="Lumbar Strain",E978="Migraine Headache"), D978+7,
OR(E978="Viral Fever",E978="General Checkup","Routine Health Check"), "",
TRUE,""
)</f>
        <v/>
      </c>
      <c r="I978" s="1" t="str">
        <f t="shared" si="30"/>
        <v>No Follow-up Required</v>
      </c>
      <c r="J978" t="str">
        <f>TEXT(Table8[[#This Row],[visit_Date]],"DDDD")</f>
        <v>Sunday</v>
      </c>
      <c r="K978" t="str">
        <f>TEXT(Table8[[#This Row],[visit_Date]],"mmmm")</f>
        <v>January</v>
      </c>
      <c r="L978" t="str">
        <f t="shared" si="31"/>
        <v>Winter</v>
      </c>
    </row>
    <row r="979" spans="1:12" x14ac:dyDescent="0.25">
      <c r="A979">
        <v>978</v>
      </c>
      <c r="B979">
        <v>1313</v>
      </c>
      <c r="C979">
        <v>1264</v>
      </c>
      <c r="D979" s="1">
        <v>45792</v>
      </c>
      <c r="E979" t="s">
        <v>24</v>
      </c>
      <c r="F979" t="s">
        <v>321</v>
      </c>
      <c r="G979" t="str">
        <f>_xlfn.XLOOKUP(TRIM(E980),MedicineInfo!A:A,MedicineInfo!B:B,"Not Found")</f>
        <v>Multivitamin</v>
      </c>
      <c r="H979" s="1" t="str" cm="1">
        <f t="array" ref="H979">_xlfn.IFS(
OR(E979="Type 2 Diabetes",E979="Essential Hypertension",E979="Angina Pectoris",E979="Bronchial Asthma",E979="Cardiac Arrhythmia"), D979+30,
OR(E979="Gastritis",E979="Osteoarthritis",E979="Bronchitis",E979="Iron Deficiency Anemia"), D979+14,
OR(E979="Lumbar Strain",E979="Migraine Headache"), D979+7,
OR(E979="Viral Fever",E979="General Checkup","Routine Health Check"), "",
TRUE,""
)</f>
        <v/>
      </c>
      <c r="I979" s="1" t="str">
        <f t="shared" si="30"/>
        <v>No Follow-up Required</v>
      </c>
      <c r="J979" t="str">
        <f>TEXT(Table8[[#This Row],[visit_Date]],"DDDD")</f>
        <v>Thursday</v>
      </c>
      <c r="K979" t="str">
        <f>TEXT(Table8[[#This Row],[visit_Date]],"mmmm")</f>
        <v>May</v>
      </c>
      <c r="L979" t="str">
        <f t="shared" si="31"/>
        <v>Summer</v>
      </c>
    </row>
    <row r="980" spans="1:12" x14ac:dyDescent="0.25">
      <c r="A980">
        <v>979</v>
      </c>
      <c r="B980">
        <v>1085</v>
      </c>
      <c r="C980">
        <v>1555</v>
      </c>
      <c r="D980" s="1">
        <v>45694</v>
      </c>
      <c r="E980" t="s">
        <v>24</v>
      </c>
      <c r="F980" t="s">
        <v>321</v>
      </c>
      <c r="G980" t="str">
        <f>_xlfn.XLOOKUP(TRIM(E981),MedicineInfo!A:A,MedicineInfo!B:B,"Not Found")</f>
        <v>Multivitamin</v>
      </c>
      <c r="H980" s="1" t="str" cm="1">
        <f t="array" ref="H980">_xlfn.IFS(
OR(E980="Type 2 Diabetes",E980="Essential Hypertension",E980="Angina Pectoris",E980="Bronchial Asthma",E980="Cardiac Arrhythmia"), D980+30,
OR(E980="Gastritis",E980="Osteoarthritis",E980="Bronchitis",E980="Iron Deficiency Anemia"), D980+14,
OR(E980="Lumbar Strain",E980="Migraine Headache"), D980+7,
OR(E980="Viral Fever",E980="General Checkup","Routine Health Check"), "",
TRUE,""
)</f>
        <v/>
      </c>
      <c r="I980" s="1" t="str">
        <f t="shared" si="30"/>
        <v>No Follow-up Required</v>
      </c>
      <c r="J980" t="str">
        <f>TEXT(Table8[[#This Row],[visit_Date]],"DDDD")</f>
        <v>Thursday</v>
      </c>
      <c r="K980" t="str">
        <f>TEXT(Table8[[#This Row],[visit_Date]],"mmmm")</f>
        <v>February</v>
      </c>
      <c r="L980" t="str">
        <f t="shared" si="31"/>
        <v>Winter</v>
      </c>
    </row>
    <row r="981" spans="1:12" x14ac:dyDescent="0.25">
      <c r="A981">
        <v>980</v>
      </c>
      <c r="B981">
        <v>1367</v>
      </c>
      <c r="C981">
        <v>406</v>
      </c>
      <c r="D981" s="1">
        <v>45792</v>
      </c>
      <c r="E981" t="s">
        <v>24</v>
      </c>
      <c r="F981" t="s">
        <v>321</v>
      </c>
      <c r="G981" t="str">
        <f>_xlfn.XLOOKUP(TRIM(E982),MedicineInfo!A:A,MedicineInfo!B:B,"Not Found")</f>
        <v>Multivitamin</v>
      </c>
      <c r="H981" s="1" t="str" cm="1">
        <f t="array" ref="H981">_xlfn.IFS(
OR(E981="Type 2 Diabetes",E981="Essential Hypertension",E981="Angina Pectoris",E981="Bronchial Asthma",E981="Cardiac Arrhythmia"), D981+30,
OR(E981="Gastritis",E981="Osteoarthritis",E981="Bronchitis",E981="Iron Deficiency Anemia"), D981+14,
OR(E981="Lumbar Strain",E981="Migraine Headache"), D981+7,
OR(E981="Viral Fever",E981="General Checkup","Routine Health Check"), "",
TRUE,""
)</f>
        <v/>
      </c>
      <c r="I981" s="1" t="str">
        <f t="shared" si="30"/>
        <v>No Follow-up Required</v>
      </c>
      <c r="J981" t="str">
        <f>TEXT(Table8[[#This Row],[visit_Date]],"DDDD")</f>
        <v>Thursday</v>
      </c>
      <c r="K981" t="str">
        <f>TEXT(Table8[[#This Row],[visit_Date]],"mmmm")</f>
        <v>May</v>
      </c>
      <c r="L981" t="str">
        <f t="shared" si="31"/>
        <v>Summer</v>
      </c>
    </row>
    <row r="982" spans="1:12" x14ac:dyDescent="0.25">
      <c r="A982">
        <v>981</v>
      </c>
      <c r="B982">
        <v>1046</v>
      </c>
      <c r="C982">
        <v>111</v>
      </c>
      <c r="D982" s="1">
        <v>45814</v>
      </c>
      <c r="E982" t="s">
        <v>24</v>
      </c>
      <c r="F982" t="s">
        <v>321</v>
      </c>
      <c r="G982" t="str">
        <f>_xlfn.XLOOKUP(TRIM(E983),MedicineInfo!A:A,MedicineInfo!B:B,"Not Found")</f>
        <v>Multivitamin</v>
      </c>
      <c r="H982" s="1" t="str" cm="1">
        <f t="array" ref="H982">_xlfn.IFS(
OR(E982="Type 2 Diabetes",E982="Essential Hypertension",E982="Angina Pectoris",E982="Bronchial Asthma",E982="Cardiac Arrhythmia"), D982+30,
OR(E982="Gastritis",E982="Osteoarthritis",E982="Bronchitis",E982="Iron Deficiency Anemia"), D982+14,
OR(E982="Lumbar Strain",E982="Migraine Headache"), D982+7,
OR(E982="Viral Fever",E982="General Checkup","Routine Health Check"), "",
TRUE,""
)</f>
        <v/>
      </c>
      <c r="I982" s="1" t="str">
        <f t="shared" si="30"/>
        <v>No Follow-up Required</v>
      </c>
      <c r="J982" t="str">
        <f>TEXT(Table8[[#This Row],[visit_Date]],"DDDD")</f>
        <v>Friday</v>
      </c>
      <c r="K982" t="str">
        <f>TEXT(Table8[[#This Row],[visit_Date]],"mmmm")</f>
        <v>June</v>
      </c>
      <c r="L982" t="str">
        <f t="shared" si="31"/>
        <v>Monsoon</v>
      </c>
    </row>
    <row r="983" spans="1:12" x14ac:dyDescent="0.25">
      <c r="A983">
        <v>982</v>
      </c>
      <c r="B983">
        <v>1149</v>
      </c>
      <c r="C983">
        <v>185</v>
      </c>
      <c r="D983" s="1">
        <v>45819</v>
      </c>
      <c r="E983" t="s">
        <v>24</v>
      </c>
      <c r="F983" t="s">
        <v>321</v>
      </c>
      <c r="G983" t="str">
        <f>_xlfn.XLOOKUP(TRIM(E984),MedicineInfo!A:A,MedicineInfo!B:B,"Not Found")</f>
        <v>Neuro Vitamins</v>
      </c>
      <c r="H983" s="1" t="str" cm="1">
        <f t="array" ref="H983">_xlfn.IFS(
OR(E983="Type 2 Diabetes",E983="Essential Hypertension",E983="Angina Pectoris",E983="Bronchial Asthma",E983="Cardiac Arrhythmia"), D983+30,
OR(E983="Gastritis",E983="Osteoarthritis",E983="Bronchitis",E983="Iron Deficiency Anemia"), D983+14,
OR(E983="Lumbar Strain",E983="Migraine Headache"), D983+7,
OR(E983="Viral Fever",E983="General Checkup","Routine Health Check"), "",
TRUE,""
)</f>
        <v/>
      </c>
      <c r="I983" s="1" t="str">
        <f t="shared" si="30"/>
        <v>No Follow-up Required</v>
      </c>
      <c r="J983" t="str">
        <f>TEXT(Table8[[#This Row],[visit_Date]],"DDDD")</f>
        <v>Wednesday</v>
      </c>
      <c r="K983" t="str">
        <f>TEXT(Table8[[#This Row],[visit_Date]],"mmmm")</f>
        <v>June</v>
      </c>
      <c r="L983" t="str">
        <f t="shared" si="31"/>
        <v>Monsoon</v>
      </c>
    </row>
    <row r="984" spans="1:12" x14ac:dyDescent="0.25">
      <c r="A984">
        <v>983</v>
      </c>
      <c r="B984">
        <v>1217</v>
      </c>
      <c r="C984">
        <v>259</v>
      </c>
      <c r="D984" s="1">
        <v>45791</v>
      </c>
      <c r="E984" t="s">
        <v>342</v>
      </c>
      <c r="F984" t="s">
        <v>343</v>
      </c>
      <c r="G984" t="str">
        <f>_xlfn.XLOOKUP(TRIM(E985),MedicineInfo!A:A,MedicineInfo!B:B,"Not Found")</f>
        <v>Multivitamin</v>
      </c>
      <c r="H984" s="1" t="str" cm="1">
        <f t="array" ref="H984">_xlfn.IFS(
OR(E984="Type 2 Diabetes",E984="Essential Hypertension",E984="Angina Pectoris",E984="Bronchial Asthma",E984="Cardiac Arrhythmia"), D984+30,
OR(E984="Gastritis",E984="Osteoarthritis",E984="Bronchitis",E984="Iron Deficiency Anemia"), D984+14,
OR(E984="Lumbar Strain",E984="Migraine Headache"), D984+7,
OR(E984="Viral Fever",E984="General Checkup","Routine Health Check"), "",
TRUE,""
)</f>
        <v/>
      </c>
      <c r="I984" s="1" t="str">
        <f t="shared" si="30"/>
        <v>No Follow-up Required</v>
      </c>
      <c r="J984" t="str">
        <f>TEXT(Table8[[#This Row],[visit_Date]],"DDDD")</f>
        <v>Wednesday</v>
      </c>
      <c r="K984" t="str">
        <f>TEXT(Table8[[#This Row],[visit_Date]],"mmmm")</f>
        <v>May</v>
      </c>
      <c r="L984" t="str">
        <f t="shared" si="31"/>
        <v>Summer</v>
      </c>
    </row>
    <row r="985" spans="1:12" x14ac:dyDescent="0.25">
      <c r="A985">
        <v>984</v>
      </c>
      <c r="B985">
        <v>1195</v>
      </c>
      <c r="C985">
        <v>1544</v>
      </c>
      <c r="D985" s="1">
        <v>45819</v>
      </c>
      <c r="E985" t="s">
        <v>24</v>
      </c>
      <c r="F985" t="s">
        <v>321</v>
      </c>
      <c r="G985" t="str">
        <f>_xlfn.XLOOKUP(TRIM(E986),MedicineInfo!A:A,MedicineInfo!B:B,"Not Found")</f>
        <v>Sumatriptan</v>
      </c>
      <c r="H985" s="1" t="str" cm="1">
        <f t="array" ref="H985">_xlfn.IFS(
OR(E985="Type 2 Diabetes",E985="Essential Hypertension",E985="Angina Pectoris",E985="Bronchial Asthma",E985="Cardiac Arrhythmia"), D985+30,
OR(E985="Gastritis",E985="Osteoarthritis",E985="Bronchitis",E985="Iron Deficiency Anemia"), D985+14,
OR(E985="Lumbar Strain",E985="Migraine Headache"), D985+7,
OR(E985="Viral Fever",E985="General Checkup","Routine Health Check"), "",
TRUE,""
)</f>
        <v/>
      </c>
      <c r="I985" s="1" t="str">
        <f t="shared" si="30"/>
        <v>No Follow-up Required</v>
      </c>
      <c r="J985" t="str">
        <f>TEXT(Table8[[#This Row],[visit_Date]],"DDDD")</f>
        <v>Wednesday</v>
      </c>
      <c r="K985" t="str">
        <f>TEXT(Table8[[#This Row],[visit_Date]],"mmmm")</f>
        <v>June</v>
      </c>
      <c r="L985" t="str">
        <f t="shared" si="31"/>
        <v>Monsoon</v>
      </c>
    </row>
    <row r="986" spans="1:12" x14ac:dyDescent="0.25">
      <c r="A986">
        <v>985</v>
      </c>
      <c r="B986">
        <v>1097</v>
      </c>
      <c r="C986">
        <v>557</v>
      </c>
      <c r="D986" s="1">
        <v>45702</v>
      </c>
      <c r="E986" t="s">
        <v>315</v>
      </c>
      <c r="F986" t="s">
        <v>316</v>
      </c>
      <c r="G986" t="str">
        <f>_xlfn.XLOOKUP(TRIM(E987),MedicineInfo!A:A,MedicineInfo!B:B,"Not Found")</f>
        <v>Multivitamin</v>
      </c>
      <c r="H986" s="1" cm="1">
        <f t="array" ref="H986">_xlfn.IFS(
OR(E986="Type 2 Diabetes",E986="Essential Hypertension",E986="Angina Pectoris",E986="Bronchial Asthma",E986="Cardiac Arrhythmia"), D986+30,
OR(E986="Gastritis",E986="Osteoarthritis",E986="Bronchitis",E986="Iron Deficiency Anemia"), D986+14,
OR(E986="Lumbar Strain",E986="Migraine Headache"), D986+7,
OR(E986="Viral Fever",E986="General Checkup","Routine Health Check"), "",
TRUE,""
)</f>
        <v>45709</v>
      </c>
      <c r="I986" s="1" t="str">
        <f t="shared" si="30"/>
        <v>Follow-up Scheduled</v>
      </c>
      <c r="J986" t="str">
        <f>TEXT(Table8[[#This Row],[visit_Date]],"DDDD")</f>
        <v>Friday</v>
      </c>
      <c r="K986" t="str">
        <f>TEXT(Table8[[#This Row],[visit_Date]],"mmmm")</f>
        <v>February</v>
      </c>
      <c r="L986" t="str">
        <f t="shared" si="31"/>
        <v>Winter</v>
      </c>
    </row>
    <row r="987" spans="1:12" x14ac:dyDescent="0.25">
      <c r="A987">
        <v>986</v>
      </c>
      <c r="B987">
        <v>1334</v>
      </c>
      <c r="C987">
        <v>1023</v>
      </c>
      <c r="D987" s="1">
        <v>45791</v>
      </c>
      <c r="E987" t="s">
        <v>24</v>
      </c>
      <c r="F987" t="s">
        <v>321</v>
      </c>
      <c r="G987" t="str">
        <f>_xlfn.XLOOKUP(TRIM(E988),MedicineInfo!A:A,MedicineInfo!B:B,"Not Found")</f>
        <v>Multivitamin</v>
      </c>
      <c r="H987" s="1" t="str" cm="1">
        <f t="array" ref="H987">_xlfn.IFS(
OR(E987="Type 2 Diabetes",E987="Essential Hypertension",E987="Angina Pectoris",E987="Bronchial Asthma",E987="Cardiac Arrhythmia"), D987+30,
OR(E987="Gastritis",E987="Osteoarthritis",E987="Bronchitis",E987="Iron Deficiency Anemia"), D987+14,
OR(E987="Lumbar Strain",E987="Migraine Headache"), D987+7,
OR(E987="Viral Fever",E987="General Checkup","Routine Health Check"), "",
TRUE,""
)</f>
        <v/>
      </c>
      <c r="I987" s="1" t="str">
        <f t="shared" si="30"/>
        <v>No Follow-up Required</v>
      </c>
      <c r="J987" t="str">
        <f>TEXT(Table8[[#This Row],[visit_Date]],"DDDD")</f>
        <v>Wednesday</v>
      </c>
      <c r="K987" t="str">
        <f>TEXT(Table8[[#This Row],[visit_Date]],"mmmm")</f>
        <v>May</v>
      </c>
      <c r="L987" t="str">
        <f t="shared" si="31"/>
        <v>Summer</v>
      </c>
    </row>
    <row r="988" spans="1:12" x14ac:dyDescent="0.25">
      <c r="A988">
        <v>987</v>
      </c>
      <c r="B988">
        <v>1031</v>
      </c>
      <c r="C988">
        <v>207</v>
      </c>
      <c r="D988" s="1">
        <v>45758</v>
      </c>
      <c r="E988" t="s">
        <v>24</v>
      </c>
      <c r="F988" t="s">
        <v>321</v>
      </c>
      <c r="G988" t="str">
        <f>_xlfn.XLOOKUP(TRIM(E989),MedicineInfo!A:A,MedicineInfo!B:B,"Not Found")</f>
        <v>Multivitamin</v>
      </c>
      <c r="H988" s="1" t="str" cm="1">
        <f t="array" ref="H988">_xlfn.IFS(
OR(E988="Type 2 Diabetes",E988="Essential Hypertension",E988="Angina Pectoris",E988="Bronchial Asthma",E988="Cardiac Arrhythmia"), D988+30,
OR(E988="Gastritis",E988="Osteoarthritis",E988="Bronchitis",E988="Iron Deficiency Anemia"), D988+14,
OR(E988="Lumbar Strain",E988="Migraine Headache"), D988+7,
OR(E988="Viral Fever",E988="General Checkup","Routine Health Check"), "",
TRUE,""
)</f>
        <v/>
      </c>
      <c r="I988" s="1" t="str">
        <f t="shared" si="30"/>
        <v>No Follow-up Required</v>
      </c>
      <c r="J988" t="str">
        <f>TEXT(Table8[[#This Row],[visit_Date]],"DDDD")</f>
        <v>Friday</v>
      </c>
      <c r="K988" t="str">
        <f>TEXT(Table8[[#This Row],[visit_Date]],"mmmm")</f>
        <v>April</v>
      </c>
      <c r="L988" t="str">
        <f t="shared" si="31"/>
        <v>Summer</v>
      </c>
    </row>
    <row r="989" spans="1:12" x14ac:dyDescent="0.25">
      <c r="A989">
        <v>988</v>
      </c>
      <c r="B989">
        <v>1127</v>
      </c>
      <c r="C989">
        <v>168</v>
      </c>
      <c r="D989" s="1">
        <v>45758</v>
      </c>
      <c r="E989" t="s">
        <v>24</v>
      </c>
      <c r="F989" t="s">
        <v>321</v>
      </c>
      <c r="G989" t="str">
        <f>_xlfn.XLOOKUP(TRIM(E990),MedicineInfo!A:A,MedicineInfo!B:B,"Not Found")</f>
        <v>Multivitamin</v>
      </c>
      <c r="H989" s="1" t="str" cm="1">
        <f t="array" ref="H989">_xlfn.IFS(
OR(E989="Type 2 Diabetes",E989="Essential Hypertension",E989="Angina Pectoris",E989="Bronchial Asthma",E989="Cardiac Arrhythmia"), D989+30,
OR(E989="Gastritis",E989="Osteoarthritis",E989="Bronchitis",E989="Iron Deficiency Anemia"), D989+14,
OR(E989="Lumbar Strain",E989="Migraine Headache"), D989+7,
OR(E989="Viral Fever",E989="General Checkup","Routine Health Check"), "",
TRUE,""
)</f>
        <v/>
      </c>
      <c r="I989" s="1" t="str">
        <f t="shared" si="30"/>
        <v>No Follow-up Required</v>
      </c>
      <c r="J989" t="str">
        <f>TEXT(Table8[[#This Row],[visit_Date]],"DDDD")</f>
        <v>Friday</v>
      </c>
      <c r="K989" t="str">
        <f>TEXT(Table8[[#This Row],[visit_Date]],"mmmm")</f>
        <v>April</v>
      </c>
      <c r="L989" t="str">
        <f t="shared" si="31"/>
        <v>Summer</v>
      </c>
    </row>
    <row r="990" spans="1:12" x14ac:dyDescent="0.25">
      <c r="A990">
        <v>989</v>
      </c>
      <c r="B990">
        <v>1108</v>
      </c>
      <c r="C990">
        <v>662</v>
      </c>
      <c r="D990" s="1">
        <v>45732</v>
      </c>
      <c r="E990" t="s">
        <v>24</v>
      </c>
      <c r="F990" t="s">
        <v>321</v>
      </c>
      <c r="G990" t="str">
        <f>_xlfn.XLOOKUP(TRIM(E991),MedicineInfo!A:A,MedicineInfo!B:B,"Not Found")</f>
        <v>Multivitamin</v>
      </c>
      <c r="H990" s="1" t="str" cm="1">
        <f t="array" ref="H990">_xlfn.IFS(
OR(E990="Type 2 Diabetes",E990="Essential Hypertension",E990="Angina Pectoris",E990="Bronchial Asthma",E990="Cardiac Arrhythmia"), D990+30,
OR(E990="Gastritis",E990="Osteoarthritis",E990="Bronchitis",E990="Iron Deficiency Anemia"), D990+14,
OR(E990="Lumbar Strain",E990="Migraine Headache"), D990+7,
OR(E990="Viral Fever",E990="General Checkup","Routine Health Check"), "",
TRUE,""
)</f>
        <v/>
      </c>
      <c r="I990" s="1" t="str">
        <f t="shared" si="30"/>
        <v>No Follow-up Required</v>
      </c>
      <c r="J990" t="str">
        <f>TEXT(Table8[[#This Row],[visit_Date]],"DDDD")</f>
        <v>Sunday</v>
      </c>
      <c r="K990" t="str">
        <f>TEXT(Table8[[#This Row],[visit_Date]],"mmmm")</f>
        <v>March</v>
      </c>
      <c r="L990" t="str">
        <f t="shared" si="31"/>
        <v>Summer</v>
      </c>
    </row>
    <row r="991" spans="1:12" x14ac:dyDescent="0.25">
      <c r="A991">
        <v>990</v>
      </c>
      <c r="B991">
        <v>1128</v>
      </c>
      <c r="C991">
        <v>1522</v>
      </c>
      <c r="D991" s="1">
        <v>45669</v>
      </c>
      <c r="E991" t="s">
        <v>24</v>
      </c>
      <c r="F991" t="s">
        <v>321</v>
      </c>
      <c r="G991" t="str">
        <f>_xlfn.XLOOKUP(TRIM(E992),MedicineInfo!A:A,MedicineInfo!B:B,"Not Found")</f>
        <v>Multivitamin</v>
      </c>
      <c r="H991" s="1" t="str" cm="1">
        <f t="array" ref="H991">_xlfn.IFS(
OR(E991="Type 2 Diabetes",E991="Essential Hypertension",E991="Angina Pectoris",E991="Bronchial Asthma",E991="Cardiac Arrhythmia"), D991+30,
OR(E991="Gastritis",E991="Osteoarthritis",E991="Bronchitis",E991="Iron Deficiency Anemia"), D991+14,
OR(E991="Lumbar Strain",E991="Migraine Headache"), D991+7,
OR(E991="Viral Fever",E991="General Checkup","Routine Health Check"), "",
TRUE,""
)</f>
        <v/>
      </c>
      <c r="I991" s="1" t="str">
        <f t="shared" si="30"/>
        <v>No Follow-up Required</v>
      </c>
      <c r="J991" t="str">
        <f>TEXT(Table8[[#This Row],[visit_Date]],"DDDD")</f>
        <v>Sunday</v>
      </c>
      <c r="K991" t="str">
        <f>TEXT(Table8[[#This Row],[visit_Date]],"mmmm")</f>
        <v>January</v>
      </c>
      <c r="L991" t="str">
        <f t="shared" si="31"/>
        <v>Winter</v>
      </c>
    </row>
    <row r="992" spans="1:12" x14ac:dyDescent="0.25">
      <c r="A992">
        <v>991</v>
      </c>
      <c r="B992">
        <v>1192</v>
      </c>
      <c r="C992">
        <v>996</v>
      </c>
      <c r="D992" s="1">
        <v>45756</v>
      </c>
      <c r="E992" t="s">
        <v>24</v>
      </c>
      <c r="F992" t="s">
        <v>321</v>
      </c>
      <c r="G992" t="str">
        <f>_xlfn.XLOOKUP(TRIM(E993),MedicineInfo!A:A,MedicineInfo!B:B,"Not Found")</f>
        <v>Multivitamin</v>
      </c>
      <c r="H992" s="1" t="str" cm="1">
        <f t="array" ref="H992">_xlfn.IFS(
OR(E992="Type 2 Diabetes",E992="Essential Hypertension",E992="Angina Pectoris",E992="Bronchial Asthma",E992="Cardiac Arrhythmia"), D992+30,
OR(E992="Gastritis",E992="Osteoarthritis",E992="Bronchitis",E992="Iron Deficiency Anemia"), D992+14,
OR(E992="Lumbar Strain",E992="Migraine Headache"), D992+7,
OR(E992="Viral Fever",E992="General Checkup","Routine Health Check"), "",
TRUE,""
)</f>
        <v/>
      </c>
      <c r="I992" s="1" t="str">
        <f t="shared" si="30"/>
        <v>No Follow-up Required</v>
      </c>
      <c r="J992" t="str">
        <f>TEXT(Table8[[#This Row],[visit_Date]],"DDDD")</f>
        <v>Wednesday</v>
      </c>
      <c r="K992" t="str">
        <f>TEXT(Table8[[#This Row],[visit_Date]],"mmmm")</f>
        <v>April</v>
      </c>
      <c r="L992" t="str">
        <f t="shared" si="31"/>
        <v>Summer</v>
      </c>
    </row>
    <row r="993" spans="1:12" x14ac:dyDescent="0.25">
      <c r="A993">
        <v>992</v>
      </c>
      <c r="B993">
        <v>1103</v>
      </c>
      <c r="C993">
        <v>172</v>
      </c>
      <c r="D993" s="1">
        <v>45672</v>
      </c>
      <c r="E993" t="s">
        <v>24</v>
      </c>
      <c r="F993" t="s">
        <v>321</v>
      </c>
      <c r="G993" t="str">
        <f>_xlfn.XLOOKUP(TRIM(E994),MedicineInfo!A:A,MedicineInfo!B:B,"Not Found")</f>
        <v>Multivitamin</v>
      </c>
      <c r="H993" s="1" t="str" cm="1">
        <f t="array" ref="H993">_xlfn.IFS(
OR(E993="Type 2 Diabetes",E993="Essential Hypertension",E993="Angina Pectoris",E993="Bronchial Asthma",E993="Cardiac Arrhythmia"), D993+30,
OR(E993="Gastritis",E993="Osteoarthritis",E993="Bronchitis",E993="Iron Deficiency Anemia"), D993+14,
OR(E993="Lumbar Strain",E993="Migraine Headache"), D993+7,
OR(E993="Viral Fever",E993="General Checkup","Routine Health Check"), "",
TRUE,""
)</f>
        <v/>
      </c>
      <c r="I993" s="1" t="str">
        <f t="shared" si="30"/>
        <v>No Follow-up Required</v>
      </c>
      <c r="J993" t="str">
        <f>TEXT(Table8[[#This Row],[visit_Date]],"DDDD")</f>
        <v>Wednesday</v>
      </c>
      <c r="K993" t="str">
        <f>TEXT(Table8[[#This Row],[visit_Date]],"mmmm")</f>
        <v>January</v>
      </c>
      <c r="L993" t="str">
        <f t="shared" si="31"/>
        <v>Winter</v>
      </c>
    </row>
    <row r="994" spans="1:12" x14ac:dyDescent="0.25">
      <c r="A994">
        <v>993</v>
      </c>
      <c r="B994">
        <v>1041</v>
      </c>
      <c r="C994">
        <v>1036</v>
      </c>
      <c r="D994" s="1">
        <v>45799</v>
      </c>
      <c r="E994" t="s">
        <v>24</v>
      </c>
      <c r="F994" t="s">
        <v>321</v>
      </c>
      <c r="G994" t="str">
        <f>_xlfn.XLOOKUP(TRIM(E995),MedicineInfo!A:A,MedicineInfo!B:B,"Not Found")</f>
        <v>Multivitamin</v>
      </c>
      <c r="H994" s="1" t="str" cm="1">
        <f t="array" ref="H994">_xlfn.IFS(
OR(E994="Type 2 Diabetes",E994="Essential Hypertension",E994="Angina Pectoris",E994="Bronchial Asthma",E994="Cardiac Arrhythmia"), D994+30,
OR(E994="Gastritis",E994="Osteoarthritis",E994="Bronchitis",E994="Iron Deficiency Anemia"), D994+14,
OR(E994="Lumbar Strain",E994="Migraine Headache"), D994+7,
OR(E994="Viral Fever",E994="General Checkup","Routine Health Check"), "",
TRUE,""
)</f>
        <v/>
      </c>
      <c r="I994" s="1" t="str">
        <f t="shared" si="30"/>
        <v>No Follow-up Required</v>
      </c>
      <c r="J994" t="str">
        <f>TEXT(Table8[[#This Row],[visit_Date]],"DDDD")</f>
        <v>Thursday</v>
      </c>
      <c r="K994" t="str">
        <f>TEXT(Table8[[#This Row],[visit_Date]],"mmmm")</f>
        <v>May</v>
      </c>
      <c r="L994" t="str">
        <f t="shared" si="31"/>
        <v>Summer</v>
      </c>
    </row>
    <row r="995" spans="1:12" x14ac:dyDescent="0.25">
      <c r="A995">
        <v>994</v>
      </c>
      <c r="B995">
        <v>1261</v>
      </c>
      <c r="C995">
        <v>1351</v>
      </c>
      <c r="D995" s="1">
        <v>45791</v>
      </c>
      <c r="E995" t="s">
        <v>24</v>
      </c>
      <c r="F995" t="s">
        <v>321</v>
      </c>
      <c r="G995" t="str">
        <f>_xlfn.XLOOKUP(TRIM(E996),MedicineInfo!A:A,MedicineInfo!B:B,"Not Found")</f>
        <v>Sodium Valproate</v>
      </c>
      <c r="H995" s="1" t="str" cm="1">
        <f t="array" ref="H995">_xlfn.IFS(
OR(E995="Type 2 Diabetes",E995="Essential Hypertension",E995="Angina Pectoris",E995="Bronchial Asthma",E995="Cardiac Arrhythmia"), D995+30,
OR(E995="Gastritis",E995="Osteoarthritis",E995="Bronchitis",E995="Iron Deficiency Anemia"), D995+14,
OR(E995="Lumbar Strain",E995="Migraine Headache"), D995+7,
OR(E995="Viral Fever",E995="General Checkup","Routine Health Check"), "",
TRUE,""
)</f>
        <v/>
      </c>
      <c r="I995" s="1" t="str">
        <f t="shared" si="30"/>
        <v>No Follow-up Required</v>
      </c>
      <c r="J995" t="str">
        <f>TEXT(Table8[[#This Row],[visit_Date]],"DDDD")</f>
        <v>Wednesday</v>
      </c>
      <c r="K995" t="str">
        <f>TEXT(Table8[[#This Row],[visit_Date]],"mmmm")</f>
        <v>May</v>
      </c>
      <c r="L995" t="str">
        <f t="shared" si="31"/>
        <v>Summer</v>
      </c>
    </row>
    <row r="996" spans="1:12" x14ac:dyDescent="0.25">
      <c r="A996">
        <v>995</v>
      </c>
      <c r="B996">
        <v>1145</v>
      </c>
      <c r="C996">
        <v>1294</v>
      </c>
      <c r="D996" s="1">
        <v>45772</v>
      </c>
      <c r="E996" t="s">
        <v>352</v>
      </c>
      <c r="F996" t="s">
        <v>353</v>
      </c>
      <c r="G996" t="str">
        <f>_xlfn.XLOOKUP(TRIM(E997),MedicineInfo!A:A,MedicineInfo!B:B,"Not Found")</f>
        <v>Multivitamin</v>
      </c>
      <c r="H996" s="1" t="str" cm="1">
        <f t="array" ref="H996">_xlfn.IFS(
OR(E996="Type 2 Diabetes",E996="Essential Hypertension",E996="Angina Pectoris",E996="Bronchial Asthma",E996="Cardiac Arrhythmia"), D996+30,
OR(E996="Gastritis",E996="Osteoarthritis",E996="Bronchitis",E996="Iron Deficiency Anemia"), D996+14,
OR(E996="Lumbar Strain",E996="Migraine Headache"), D996+7,
OR(E996="Viral Fever",E996="General Checkup","Routine Health Check"), "",
TRUE,""
)</f>
        <v/>
      </c>
      <c r="I996" s="1" t="str">
        <f t="shared" si="30"/>
        <v>No Follow-up Required</v>
      </c>
      <c r="J996" t="str">
        <f>TEXT(Table8[[#This Row],[visit_Date]],"DDDD")</f>
        <v>Friday</v>
      </c>
      <c r="K996" t="str">
        <f>TEXT(Table8[[#This Row],[visit_Date]],"mmmm")</f>
        <v>April</v>
      </c>
      <c r="L996" t="str">
        <f t="shared" si="31"/>
        <v>Summer</v>
      </c>
    </row>
    <row r="997" spans="1:12" x14ac:dyDescent="0.25">
      <c r="A997">
        <v>996</v>
      </c>
      <c r="B997">
        <v>1138</v>
      </c>
      <c r="C997">
        <v>1520</v>
      </c>
      <c r="D997" s="1">
        <v>45732</v>
      </c>
      <c r="E997" t="s">
        <v>24</v>
      </c>
      <c r="F997" t="s">
        <v>321</v>
      </c>
      <c r="G997" t="str">
        <f>_xlfn.XLOOKUP(TRIM(E998),MedicineInfo!A:A,MedicineInfo!B:B,"Not Found")</f>
        <v>Vitamin D3</v>
      </c>
      <c r="H997" s="1" t="str" cm="1">
        <f t="array" ref="H997">_xlfn.IFS(
OR(E997="Type 2 Diabetes",E997="Essential Hypertension",E997="Angina Pectoris",E997="Bronchial Asthma",E997="Cardiac Arrhythmia"), D997+30,
OR(E997="Gastritis",E997="Osteoarthritis",E997="Bronchitis",E997="Iron Deficiency Anemia"), D997+14,
OR(E997="Lumbar Strain",E997="Migraine Headache"), D997+7,
OR(E997="Viral Fever",E997="General Checkup","Routine Health Check"), "",
TRUE,""
)</f>
        <v/>
      </c>
      <c r="I997" s="1" t="str">
        <f t="shared" si="30"/>
        <v>No Follow-up Required</v>
      </c>
      <c r="J997" t="str">
        <f>TEXT(Table8[[#This Row],[visit_Date]],"DDDD")</f>
        <v>Sunday</v>
      </c>
      <c r="K997" t="str">
        <f>TEXT(Table8[[#This Row],[visit_Date]],"mmmm")</f>
        <v>March</v>
      </c>
      <c r="L997" t="str">
        <f t="shared" si="31"/>
        <v>Summer</v>
      </c>
    </row>
    <row r="998" spans="1:12" x14ac:dyDescent="0.25">
      <c r="A998">
        <v>997</v>
      </c>
      <c r="B998">
        <v>1107</v>
      </c>
      <c r="C998">
        <v>997</v>
      </c>
      <c r="D998" s="1">
        <v>45783</v>
      </c>
      <c r="E998" t="s">
        <v>332</v>
      </c>
      <c r="F998" t="s">
        <v>333</v>
      </c>
      <c r="G998" t="str">
        <f>_xlfn.XLOOKUP(TRIM(E999),MedicineInfo!A:A,MedicineInfo!B:B,"Not Found")</f>
        <v>Multivitamin</v>
      </c>
      <c r="H998" s="1" t="str" cm="1">
        <f t="array" ref="H998">_xlfn.IFS(
OR(E998="Type 2 Diabetes",E998="Essential Hypertension",E998="Angina Pectoris",E998="Bronchial Asthma",E998="Cardiac Arrhythmia"), D998+30,
OR(E998="Gastritis",E998="Osteoarthritis",E998="Bronchitis",E998="Iron Deficiency Anemia"), D998+14,
OR(E998="Lumbar Strain",E998="Migraine Headache"), D998+7,
OR(E998="Viral Fever",E998="General Checkup","Routine Health Check"), "",
TRUE,""
)</f>
        <v/>
      </c>
      <c r="I998" s="1" t="str">
        <f t="shared" si="30"/>
        <v>No Follow-up Required</v>
      </c>
      <c r="J998" t="str">
        <f>TEXT(Table8[[#This Row],[visit_Date]],"DDDD")</f>
        <v>Tuesday</v>
      </c>
      <c r="K998" t="str">
        <f>TEXT(Table8[[#This Row],[visit_Date]],"mmmm")</f>
        <v>May</v>
      </c>
      <c r="L998" t="str">
        <f t="shared" si="31"/>
        <v>Summer</v>
      </c>
    </row>
    <row r="999" spans="1:12" x14ac:dyDescent="0.25">
      <c r="A999">
        <v>998</v>
      </c>
      <c r="B999">
        <v>1050</v>
      </c>
      <c r="C999">
        <v>614</v>
      </c>
      <c r="D999" s="1">
        <v>45824</v>
      </c>
      <c r="E999" t="s">
        <v>24</v>
      </c>
      <c r="F999" t="s">
        <v>321</v>
      </c>
      <c r="G999" t="str">
        <f>_xlfn.XLOOKUP(TRIM(E1000),MedicineInfo!A:A,MedicineInfo!B:B,"Not Found")</f>
        <v>Multivitamin</v>
      </c>
      <c r="H999" s="1" t="str" cm="1">
        <f t="array" ref="H999">_xlfn.IFS(
OR(E999="Type 2 Diabetes",E999="Essential Hypertension",E999="Angina Pectoris",E999="Bronchial Asthma",E999="Cardiac Arrhythmia"), D999+30,
OR(E999="Gastritis",E999="Osteoarthritis",E999="Bronchitis",E999="Iron Deficiency Anemia"), D999+14,
OR(E999="Lumbar Strain",E999="Migraine Headache"), D999+7,
OR(E999="Viral Fever",E999="General Checkup","Routine Health Check"), "",
TRUE,""
)</f>
        <v/>
      </c>
      <c r="I999" s="1" t="str">
        <f t="shared" si="30"/>
        <v>No Follow-up Required</v>
      </c>
      <c r="J999" t="str">
        <f>TEXT(Table8[[#This Row],[visit_Date]],"DDDD")</f>
        <v>Monday</v>
      </c>
      <c r="K999" t="str">
        <f>TEXT(Table8[[#This Row],[visit_Date]],"mmmm")</f>
        <v>June</v>
      </c>
      <c r="L999" t="str">
        <f t="shared" si="31"/>
        <v>Monsoon</v>
      </c>
    </row>
    <row r="1000" spans="1:12" x14ac:dyDescent="0.25">
      <c r="A1000">
        <v>999</v>
      </c>
      <c r="B1000">
        <v>1046</v>
      </c>
      <c r="C1000">
        <v>1193</v>
      </c>
      <c r="D1000" s="1">
        <v>45814</v>
      </c>
      <c r="E1000" t="s">
        <v>24</v>
      </c>
      <c r="F1000" t="s">
        <v>321</v>
      </c>
      <c r="G1000" t="str">
        <f>_xlfn.XLOOKUP(TRIM(E1001),MedicineInfo!A:A,MedicineInfo!B:B,"Not Found")</f>
        <v>Multivitamin</v>
      </c>
      <c r="H1000" s="1" t="str" cm="1">
        <f t="array" ref="H1000">_xlfn.IFS(
OR(E1000="Type 2 Diabetes",E1000="Essential Hypertension",E1000="Angina Pectoris",E1000="Bronchial Asthma",E1000="Cardiac Arrhythmia"), D1000+30,
OR(E1000="Gastritis",E1000="Osteoarthritis",E1000="Bronchitis",E1000="Iron Deficiency Anemia"), D1000+14,
OR(E1000="Lumbar Strain",E1000="Migraine Headache"), D1000+7,
OR(E1000="Viral Fever",E1000="General Checkup","Routine Health Check"), "",
TRUE,""
)</f>
        <v/>
      </c>
      <c r="I1000" s="1" t="str">
        <f t="shared" si="30"/>
        <v>No Follow-up Required</v>
      </c>
      <c r="J1000" t="str">
        <f>TEXT(Table8[[#This Row],[visit_Date]],"DDDD")</f>
        <v>Friday</v>
      </c>
      <c r="K1000" t="str">
        <f>TEXT(Table8[[#This Row],[visit_Date]],"mmmm")</f>
        <v>June</v>
      </c>
      <c r="L1000" t="str">
        <f t="shared" si="31"/>
        <v>Monsoon</v>
      </c>
    </row>
    <row r="1001" spans="1:12" x14ac:dyDescent="0.25">
      <c r="A1001">
        <v>1000</v>
      </c>
      <c r="B1001">
        <v>1306</v>
      </c>
      <c r="C1001">
        <v>1549</v>
      </c>
      <c r="D1001" s="1">
        <v>45758</v>
      </c>
      <c r="E1001" t="s">
        <v>24</v>
      </c>
      <c r="F1001" t="s">
        <v>321</v>
      </c>
      <c r="G1001" t="str">
        <f>_xlfn.XLOOKUP(TRIM(E1002),MedicineInfo!A:A,MedicineInfo!B:B,"Not Found")</f>
        <v>Multivitamin</v>
      </c>
      <c r="H1001" s="1" t="str" cm="1">
        <f t="array" ref="H1001">_xlfn.IFS(
OR(E1001="Type 2 Diabetes",E1001="Essential Hypertension",E1001="Angina Pectoris",E1001="Bronchial Asthma",E1001="Cardiac Arrhythmia"), D1001+30,
OR(E1001="Gastritis",E1001="Osteoarthritis",E1001="Bronchitis",E1001="Iron Deficiency Anemia"), D1001+14,
OR(E1001="Lumbar Strain",E1001="Migraine Headache"), D1001+7,
OR(E1001="Viral Fever",E1001="General Checkup","Routine Health Check"), "",
TRUE,""
)</f>
        <v/>
      </c>
      <c r="I1001" s="1" t="str">
        <f t="shared" si="30"/>
        <v>No Follow-up Required</v>
      </c>
      <c r="J1001" t="str">
        <f>TEXT(Table8[[#This Row],[visit_Date]],"DDDD")</f>
        <v>Friday</v>
      </c>
      <c r="K1001" t="str">
        <f>TEXT(Table8[[#This Row],[visit_Date]],"mmmm")</f>
        <v>April</v>
      </c>
      <c r="L1001" t="str">
        <f t="shared" si="31"/>
        <v>Summer</v>
      </c>
    </row>
    <row r="1002" spans="1:12" x14ac:dyDescent="0.25">
      <c r="A1002">
        <v>1001</v>
      </c>
      <c r="B1002">
        <v>1015</v>
      </c>
      <c r="C1002">
        <v>1260</v>
      </c>
      <c r="D1002" s="1">
        <v>45691</v>
      </c>
      <c r="E1002" t="s">
        <v>24</v>
      </c>
      <c r="F1002" t="s">
        <v>321</v>
      </c>
      <c r="G1002" t="str">
        <f>_xlfn.XLOOKUP(TRIM(E1003),MedicineInfo!A:A,MedicineInfo!B:B,"Not Found")</f>
        <v>Multivitamin</v>
      </c>
      <c r="H1002" s="1" t="str" cm="1">
        <f t="array" ref="H1002">_xlfn.IFS(
OR(E1002="Type 2 Diabetes",E1002="Essential Hypertension",E1002="Angina Pectoris",E1002="Bronchial Asthma",E1002="Cardiac Arrhythmia"), D1002+30,
OR(E1002="Gastritis",E1002="Osteoarthritis",E1002="Bronchitis",E1002="Iron Deficiency Anemia"), D1002+14,
OR(E1002="Lumbar Strain",E1002="Migraine Headache"), D1002+7,
OR(E1002="Viral Fever",E1002="General Checkup","Routine Health Check"), "",
TRUE,""
)</f>
        <v/>
      </c>
      <c r="I1002" s="1" t="str">
        <f t="shared" si="30"/>
        <v>No Follow-up Required</v>
      </c>
      <c r="J1002" t="str">
        <f>TEXT(Table8[[#This Row],[visit_Date]],"DDDD")</f>
        <v>Monday</v>
      </c>
      <c r="K1002" t="str">
        <f>TEXT(Table8[[#This Row],[visit_Date]],"mmmm")</f>
        <v>February</v>
      </c>
      <c r="L1002" t="str">
        <f t="shared" si="31"/>
        <v>Winter</v>
      </c>
    </row>
    <row r="1003" spans="1:12" x14ac:dyDescent="0.25">
      <c r="A1003">
        <v>1002</v>
      </c>
      <c r="B1003">
        <v>1188</v>
      </c>
      <c r="C1003">
        <v>724</v>
      </c>
      <c r="D1003" s="1">
        <v>45691</v>
      </c>
      <c r="E1003" t="s">
        <v>24</v>
      </c>
      <c r="F1003" t="s">
        <v>321</v>
      </c>
      <c r="G1003" t="str">
        <f>_xlfn.XLOOKUP(TRIM(E1004),MedicineInfo!A:A,MedicineInfo!B:B,"Not Found")</f>
        <v>Multivitamin</v>
      </c>
      <c r="H1003" s="1" t="str" cm="1">
        <f t="array" ref="H1003">_xlfn.IFS(
OR(E1003="Type 2 Diabetes",E1003="Essential Hypertension",E1003="Angina Pectoris",E1003="Bronchial Asthma",E1003="Cardiac Arrhythmia"), D1003+30,
OR(E1003="Gastritis",E1003="Osteoarthritis",E1003="Bronchitis",E1003="Iron Deficiency Anemia"), D1003+14,
OR(E1003="Lumbar Strain",E1003="Migraine Headache"), D1003+7,
OR(E1003="Viral Fever",E1003="General Checkup","Routine Health Check"), "",
TRUE,""
)</f>
        <v/>
      </c>
      <c r="I1003" s="1" t="str">
        <f t="shared" si="30"/>
        <v>No Follow-up Required</v>
      </c>
      <c r="J1003" t="str">
        <f>TEXT(Table8[[#This Row],[visit_Date]],"DDDD")</f>
        <v>Monday</v>
      </c>
      <c r="K1003" t="str">
        <f>TEXT(Table8[[#This Row],[visit_Date]],"mmmm")</f>
        <v>February</v>
      </c>
      <c r="L1003" t="str">
        <f t="shared" si="31"/>
        <v>Winter</v>
      </c>
    </row>
    <row r="1004" spans="1:12" x14ac:dyDescent="0.25">
      <c r="A1004">
        <v>1003</v>
      </c>
      <c r="B1004">
        <v>1168</v>
      </c>
      <c r="C1004">
        <v>419</v>
      </c>
      <c r="D1004" s="1">
        <v>45814</v>
      </c>
      <c r="E1004" t="s">
        <v>24</v>
      </c>
      <c r="F1004" t="s">
        <v>321</v>
      </c>
      <c r="G1004" t="str">
        <f>_xlfn.XLOOKUP(TRIM(E1005),MedicineInfo!A:A,MedicineInfo!B:B,"Not Found")</f>
        <v>Multivitamin</v>
      </c>
      <c r="H1004" s="1" t="str" cm="1">
        <f t="array" ref="H1004">_xlfn.IFS(
OR(E1004="Type 2 Diabetes",E1004="Essential Hypertension",E1004="Angina Pectoris",E1004="Bronchial Asthma",E1004="Cardiac Arrhythmia"), D1004+30,
OR(E1004="Gastritis",E1004="Osteoarthritis",E1004="Bronchitis",E1004="Iron Deficiency Anemia"), D1004+14,
OR(E1004="Lumbar Strain",E1004="Migraine Headache"), D1004+7,
OR(E1004="Viral Fever",E1004="General Checkup","Routine Health Check"), "",
TRUE,""
)</f>
        <v/>
      </c>
      <c r="I1004" s="1" t="str">
        <f t="shared" si="30"/>
        <v>No Follow-up Required</v>
      </c>
      <c r="J1004" t="str">
        <f>TEXT(Table8[[#This Row],[visit_Date]],"DDDD")</f>
        <v>Friday</v>
      </c>
      <c r="K1004" t="str">
        <f>TEXT(Table8[[#This Row],[visit_Date]],"mmmm")</f>
        <v>June</v>
      </c>
      <c r="L1004" t="str">
        <f t="shared" si="31"/>
        <v>Monsoon</v>
      </c>
    </row>
    <row r="1005" spans="1:12" x14ac:dyDescent="0.25">
      <c r="A1005">
        <v>1004</v>
      </c>
      <c r="B1005">
        <v>1090</v>
      </c>
      <c r="C1005">
        <v>523</v>
      </c>
      <c r="D1005" s="1">
        <v>45829</v>
      </c>
      <c r="E1005" t="s">
        <v>24</v>
      </c>
      <c r="F1005" t="s">
        <v>321</v>
      </c>
      <c r="G1005" t="str">
        <f>_xlfn.XLOOKUP(TRIM(E1006),MedicineInfo!A:A,MedicineInfo!B:B,"Not Found")</f>
        <v>Multivitamin</v>
      </c>
      <c r="H1005" s="1" t="str" cm="1">
        <f t="array" ref="H1005">_xlfn.IFS(
OR(E1005="Type 2 Diabetes",E1005="Essential Hypertension",E1005="Angina Pectoris",E1005="Bronchial Asthma",E1005="Cardiac Arrhythmia"), D1005+30,
OR(E1005="Gastritis",E1005="Osteoarthritis",E1005="Bronchitis",E1005="Iron Deficiency Anemia"), D1005+14,
OR(E1005="Lumbar Strain",E1005="Migraine Headache"), D1005+7,
OR(E1005="Viral Fever",E1005="General Checkup","Routine Health Check"), "",
TRUE,""
)</f>
        <v/>
      </c>
      <c r="I1005" s="1" t="str">
        <f t="shared" si="30"/>
        <v>No Follow-up Required</v>
      </c>
      <c r="J1005" t="str">
        <f>TEXT(Table8[[#This Row],[visit_Date]],"DDDD")</f>
        <v>Saturday</v>
      </c>
      <c r="K1005" t="str">
        <f>TEXT(Table8[[#This Row],[visit_Date]],"mmmm")</f>
        <v>June</v>
      </c>
      <c r="L1005" t="str">
        <f t="shared" si="31"/>
        <v>Monsoon</v>
      </c>
    </row>
    <row r="1006" spans="1:12" x14ac:dyDescent="0.25">
      <c r="A1006">
        <v>1005</v>
      </c>
      <c r="B1006">
        <v>1121</v>
      </c>
      <c r="C1006">
        <v>568</v>
      </c>
      <c r="D1006" s="1">
        <v>45792</v>
      </c>
      <c r="E1006" t="s">
        <v>24</v>
      </c>
      <c r="F1006" t="s">
        <v>321</v>
      </c>
      <c r="G1006" t="str">
        <f>_xlfn.XLOOKUP(TRIM(E1007),MedicineInfo!A:A,MedicineInfo!B:B,"Not Found")</f>
        <v>Multivitamin</v>
      </c>
      <c r="H1006" s="1" t="str" cm="1">
        <f t="array" ref="H1006">_xlfn.IFS(
OR(E1006="Type 2 Diabetes",E1006="Essential Hypertension",E1006="Angina Pectoris",E1006="Bronchial Asthma",E1006="Cardiac Arrhythmia"), D1006+30,
OR(E1006="Gastritis",E1006="Osteoarthritis",E1006="Bronchitis",E1006="Iron Deficiency Anemia"), D1006+14,
OR(E1006="Lumbar Strain",E1006="Migraine Headache"), D1006+7,
OR(E1006="Viral Fever",E1006="General Checkup","Routine Health Check"), "",
TRUE,""
)</f>
        <v/>
      </c>
      <c r="I1006" s="1" t="str">
        <f t="shared" si="30"/>
        <v>No Follow-up Required</v>
      </c>
      <c r="J1006" t="str">
        <f>TEXT(Table8[[#This Row],[visit_Date]],"DDDD")</f>
        <v>Thursday</v>
      </c>
      <c r="K1006" t="str">
        <f>TEXT(Table8[[#This Row],[visit_Date]],"mmmm")</f>
        <v>May</v>
      </c>
      <c r="L1006" t="str">
        <f t="shared" si="31"/>
        <v>Summer</v>
      </c>
    </row>
    <row r="1007" spans="1:12" x14ac:dyDescent="0.25">
      <c r="A1007">
        <v>1006</v>
      </c>
      <c r="B1007">
        <v>1028</v>
      </c>
      <c r="C1007">
        <v>359</v>
      </c>
      <c r="D1007" s="1">
        <v>45691</v>
      </c>
      <c r="E1007" t="s">
        <v>24</v>
      </c>
      <c r="F1007" t="s">
        <v>321</v>
      </c>
      <c r="G1007" t="str">
        <f>_xlfn.XLOOKUP(TRIM(E1008),MedicineInfo!A:A,MedicineInfo!B:B,"Not Found")</f>
        <v>Multivitamin</v>
      </c>
      <c r="H1007" s="1" t="str" cm="1">
        <f t="array" ref="H1007">_xlfn.IFS(
OR(E1007="Type 2 Diabetes",E1007="Essential Hypertension",E1007="Angina Pectoris",E1007="Bronchial Asthma",E1007="Cardiac Arrhythmia"), D1007+30,
OR(E1007="Gastritis",E1007="Osteoarthritis",E1007="Bronchitis",E1007="Iron Deficiency Anemia"), D1007+14,
OR(E1007="Lumbar Strain",E1007="Migraine Headache"), D1007+7,
OR(E1007="Viral Fever",E1007="General Checkup","Routine Health Check"), "",
TRUE,""
)</f>
        <v/>
      </c>
      <c r="I1007" s="1" t="str">
        <f t="shared" si="30"/>
        <v>No Follow-up Required</v>
      </c>
      <c r="J1007" t="str">
        <f>TEXT(Table8[[#This Row],[visit_Date]],"DDDD")</f>
        <v>Monday</v>
      </c>
      <c r="K1007" t="str">
        <f>TEXT(Table8[[#This Row],[visit_Date]],"mmmm")</f>
        <v>February</v>
      </c>
      <c r="L1007" t="str">
        <f t="shared" si="31"/>
        <v>Winter</v>
      </c>
    </row>
    <row r="1008" spans="1:12" x14ac:dyDescent="0.25">
      <c r="A1008">
        <v>1007</v>
      </c>
      <c r="B1008">
        <v>1119</v>
      </c>
      <c r="C1008">
        <v>973</v>
      </c>
      <c r="D1008" s="1">
        <v>45799</v>
      </c>
      <c r="E1008" t="s">
        <v>24</v>
      </c>
      <c r="F1008" t="s">
        <v>321</v>
      </c>
      <c r="G1008" t="str">
        <f>_xlfn.XLOOKUP(TRIM(E1009),MedicineInfo!A:A,MedicineInfo!B:B,"Not Found")</f>
        <v>Pantoprazole</v>
      </c>
      <c r="H1008" s="1" t="str" cm="1">
        <f t="array" ref="H1008">_xlfn.IFS(
OR(E1008="Type 2 Diabetes",E1008="Essential Hypertension",E1008="Angina Pectoris",E1008="Bronchial Asthma",E1008="Cardiac Arrhythmia"), D1008+30,
OR(E1008="Gastritis",E1008="Osteoarthritis",E1008="Bronchitis",E1008="Iron Deficiency Anemia"), D1008+14,
OR(E1008="Lumbar Strain",E1008="Migraine Headache"), D1008+7,
OR(E1008="Viral Fever",E1008="General Checkup","Routine Health Check"), "",
TRUE,""
)</f>
        <v/>
      </c>
      <c r="I1008" s="1" t="str">
        <f t="shared" si="30"/>
        <v>No Follow-up Required</v>
      </c>
      <c r="J1008" t="str">
        <f>TEXT(Table8[[#This Row],[visit_Date]],"DDDD")</f>
        <v>Thursday</v>
      </c>
      <c r="K1008" t="str">
        <f>TEXT(Table8[[#This Row],[visit_Date]],"mmmm")</f>
        <v>May</v>
      </c>
      <c r="L1008" t="str">
        <f t="shared" si="31"/>
        <v>Summer</v>
      </c>
    </row>
    <row r="1009" spans="1:12" x14ac:dyDescent="0.25">
      <c r="A1009">
        <v>1008</v>
      </c>
      <c r="B1009">
        <v>1249</v>
      </c>
      <c r="C1009">
        <v>420</v>
      </c>
      <c r="D1009" s="1">
        <v>45792</v>
      </c>
      <c r="E1009" t="s">
        <v>344</v>
      </c>
      <c r="F1009" t="s">
        <v>345</v>
      </c>
      <c r="G1009" t="str">
        <f>_xlfn.XLOOKUP(TRIM(E1010),MedicineInfo!A:A,MedicineInfo!B:B,"Not Found")</f>
        <v>Multivitamin</v>
      </c>
      <c r="H1009" s="1" cm="1">
        <f t="array" ref="H1009">_xlfn.IFS(
OR(E1009="Type 2 Diabetes",E1009="Essential Hypertension",E1009="Angina Pectoris",E1009="Bronchial Asthma",E1009="Cardiac Arrhythmia"), D1009+30,
OR(E1009="Gastritis",E1009="Osteoarthritis",E1009="Bronchitis",E1009="Iron Deficiency Anemia"), D1009+14,
OR(E1009="Lumbar Strain",E1009="Migraine Headache"), D1009+7,
OR(E1009="Viral Fever",E1009="General Checkup","Routine Health Check"), "",
TRUE,""
)</f>
        <v>45806</v>
      </c>
      <c r="I1009" s="1" t="str">
        <f t="shared" si="30"/>
        <v>Follow-up Scheduled</v>
      </c>
      <c r="J1009" t="str">
        <f>TEXT(Table8[[#This Row],[visit_Date]],"DDDD")</f>
        <v>Thursday</v>
      </c>
      <c r="K1009" t="str">
        <f>TEXT(Table8[[#This Row],[visit_Date]],"mmmm")</f>
        <v>May</v>
      </c>
      <c r="L1009" t="str">
        <f t="shared" si="31"/>
        <v>Summer</v>
      </c>
    </row>
    <row r="1010" spans="1:12" x14ac:dyDescent="0.25">
      <c r="A1010">
        <v>1009</v>
      </c>
      <c r="B1010">
        <v>1212</v>
      </c>
      <c r="C1010">
        <v>1317</v>
      </c>
      <c r="D1010" s="1">
        <v>45686</v>
      </c>
      <c r="E1010" t="s">
        <v>24</v>
      </c>
      <c r="F1010" t="s">
        <v>321</v>
      </c>
      <c r="G1010" t="str">
        <f>_xlfn.XLOOKUP(TRIM(E1011),MedicineInfo!A:A,MedicineInfo!B:B,"Not Found")</f>
        <v>Multivitamin</v>
      </c>
      <c r="H1010" s="1" t="str" cm="1">
        <f t="array" ref="H1010">_xlfn.IFS(
OR(E1010="Type 2 Diabetes",E1010="Essential Hypertension",E1010="Angina Pectoris",E1010="Bronchial Asthma",E1010="Cardiac Arrhythmia"), D1010+30,
OR(E1010="Gastritis",E1010="Osteoarthritis",E1010="Bronchitis",E1010="Iron Deficiency Anemia"), D1010+14,
OR(E1010="Lumbar Strain",E1010="Migraine Headache"), D1010+7,
OR(E1010="Viral Fever",E1010="General Checkup","Routine Health Check"), "",
TRUE,""
)</f>
        <v/>
      </c>
      <c r="I1010" s="1" t="str">
        <f t="shared" si="30"/>
        <v>No Follow-up Required</v>
      </c>
      <c r="J1010" t="str">
        <f>TEXT(Table8[[#This Row],[visit_Date]],"DDDD")</f>
        <v>Wednesday</v>
      </c>
      <c r="K1010" t="str">
        <f>TEXT(Table8[[#This Row],[visit_Date]],"mmmm")</f>
        <v>January</v>
      </c>
      <c r="L1010" t="str">
        <f t="shared" si="31"/>
        <v>Winter</v>
      </c>
    </row>
    <row r="1011" spans="1:12" x14ac:dyDescent="0.25">
      <c r="A1011">
        <v>1010</v>
      </c>
      <c r="B1011">
        <v>1010</v>
      </c>
      <c r="C1011">
        <v>1047</v>
      </c>
      <c r="D1011" s="1">
        <v>45790</v>
      </c>
      <c r="E1011" t="s">
        <v>24</v>
      </c>
      <c r="F1011" t="s">
        <v>321</v>
      </c>
      <c r="G1011" t="str">
        <f>_xlfn.XLOOKUP(TRIM(E1012),MedicineInfo!A:A,MedicineInfo!B:B,"Not Found")</f>
        <v>Multivitamin</v>
      </c>
      <c r="H1011" s="1" t="str" cm="1">
        <f t="array" ref="H1011">_xlfn.IFS(
OR(E1011="Type 2 Diabetes",E1011="Essential Hypertension",E1011="Angina Pectoris",E1011="Bronchial Asthma",E1011="Cardiac Arrhythmia"), D1011+30,
OR(E1011="Gastritis",E1011="Osteoarthritis",E1011="Bronchitis",E1011="Iron Deficiency Anemia"), D1011+14,
OR(E1011="Lumbar Strain",E1011="Migraine Headache"), D1011+7,
OR(E1011="Viral Fever",E1011="General Checkup","Routine Health Check"), "",
TRUE,""
)</f>
        <v/>
      </c>
      <c r="I1011" s="1" t="str">
        <f t="shared" si="30"/>
        <v>No Follow-up Required</v>
      </c>
      <c r="J1011" t="str">
        <f>TEXT(Table8[[#This Row],[visit_Date]],"DDDD")</f>
        <v>Tuesday</v>
      </c>
      <c r="K1011" t="str">
        <f>TEXT(Table8[[#This Row],[visit_Date]],"mmmm")</f>
        <v>May</v>
      </c>
      <c r="L1011" t="str">
        <f t="shared" si="31"/>
        <v>Summer</v>
      </c>
    </row>
    <row r="1012" spans="1:12" x14ac:dyDescent="0.25">
      <c r="A1012">
        <v>1011</v>
      </c>
      <c r="B1012">
        <v>1321</v>
      </c>
      <c r="C1012">
        <v>1502</v>
      </c>
      <c r="D1012" s="1">
        <v>45729</v>
      </c>
      <c r="E1012" t="s">
        <v>24</v>
      </c>
      <c r="F1012" t="s">
        <v>321</v>
      </c>
      <c r="G1012" t="str">
        <f>_xlfn.XLOOKUP(TRIM(E1013),MedicineInfo!A:A,MedicineInfo!B:B,"Not Found")</f>
        <v>Multivitamin</v>
      </c>
      <c r="H1012" s="1" t="str" cm="1">
        <f t="array" ref="H1012">_xlfn.IFS(
OR(E1012="Type 2 Diabetes",E1012="Essential Hypertension",E1012="Angina Pectoris",E1012="Bronchial Asthma",E1012="Cardiac Arrhythmia"), D1012+30,
OR(E1012="Gastritis",E1012="Osteoarthritis",E1012="Bronchitis",E1012="Iron Deficiency Anemia"), D1012+14,
OR(E1012="Lumbar Strain",E1012="Migraine Headache"), D1012+7,
OR(E1012="Viral Fever",E1012="General Checkup","Routine Health Check"), "",
TRUE,""
)</f>
        <v/>
      </c>
      <c r="I1012" s="1" t="str">
        <f t="shared" si="30"/>
        <v>No Follow-up Required</v>
      </c>
      <c r="J1012" t="str">
        <f>TEXT(Table8[[#This Row],[visit_Date]],"DDDD")</f>
        <v>Thursday</v>
      </c>
      <c r="K1012" t="str">
        <f>TEXT(Table8[[#This Row],[visit_Date]],"mmmm")</f>
        <v>March</v>
      </c>
      <c r="L1012" t="str">
        <f t="shared" si="31"/>
        <v>Summer</v>
      </c>
    </row>
    <row r="1013" spans="1:12" x14ac:dyDescent="0.25">
      <c r="A1013">
        <v>1012</v>
      </c>
      <c r="B1013">
        <v>1278</v>
      </c>
      <c r="C1013">
        <v>933</v>
      </c>
      <c r="D1013" s="1">
        <v>45747</v>
      </c>
      <c r="E1013" t="s">
        <v>24</v>
      </c>
      <c r="F1013" t="s">
        <v>321</v>
      </c>
      <c r="G1013" t="str">
        <f>_xlfn.XLOOKUP(TRIM(E1014),MedicineInfo!A:A,MedicineInfo!B:B,"Not Found")</f>
        <v>Nitroglycerin</v>
      </c>
      <c r="H1013" s="1" t="str" cm="1">
        <f t="array" ref="H1013">_xlfn.IFS(
OR(E1013="Type 2 Diabetes",E1013="Essential Hypertension",E1013="Angina Pectoris",E1013="Bronchial Asthma",E1013="Cardiac Arrhythmia"), D1013+30,
OR(E1013="Gastritis",E1013="Osteoarthritis",E1013="Bronchitis",E1013="Iron Deficiency Anemia"), D1013+14,
OR(E1013="Lumbar Strain",E1013="Migraine Headache"), D1013+7,
OR(E1013="Viral Fever",E1013="General Checkup","Routine Health Check"), "",
TRUE,""
)</f>
        <v/>
      </c>
      <c r="I1013" s="1" t="str">
        <f t="shared" si="30"/>
        <v>No Follow-up Required</v>
      </c>
      <c r="J1013" t="str">
        <f>TEXT(Table8[[#This Row],[visit_Date]],"DDDD")</f>
        <v>Monday</v>
      </c>
      <c r="K1013" t="str">
        <f>TEXT(Table8[[#This Row],[visit_Date]],"mmmm")</f>
        <v>March</v>
      </c>
      <c r="L1013" t="str">
        <f t="shared" si="31"/>
        <v>Summer</v>
      </c>
    </row>
    <row r="1014" spans="1:12" x14ac:dyDescent="0.25">
      <c r="A1014">
        <v>1013</v>
      </c>
      <c r="B1014">
        <v>1155</v>
      </c>
      <c r="C1014">
        <v>1053</v>
      </c>
      <c r="D1014" s="1">
        <v>45814</v>
      </c>
      <c r="E1014" t="s">
        <v>322</v>
      </c>
      <c r="F1014" t="s">
        <v>323</v>
      </c>
      <c r="G1014" t="str">
        <f>_xlfn.XLOOKUP(TRIM(E1015),MedicineInfo!A:A,MedicineInfo!B:B,"Not Found")</f>
        <v>Multivitamin</v>
      </c>
      <c r="H1014" s="1" cm="1">
        <f t="array" ref="H1014">_xlfn.IFS(
OR(E1014="Type 2 Diabetes",E1014="Essential Hypertension",E1014="Angina Pectoris",E1014="Bronchial Asthma",E1014="Cardiac Arrhythmia"), D1014+30,
OR(E1014="Gastritis",E1014="Osteoarthritis",E1014="Bronchitis",E1014="Iron Deficiency Anemia"), D1014+14,
OR(E1014="Lumbar Strain",E1014="Migraine Headache"), D1014+7,
OR(E1014="Viral Fever",E1014="General Checkup","Routine Health Check"), "",
TRUE,""
)</f>
        <v>45844</v>
      </c>
      <c r="I1014" s="1" t="str">
        <f t="shared" si="30"/>
        <v>Follow-up Scheduled</v>
      </c>
      <c r="J1014" t="str">
        <f>TEXT(Table8[[#This Row],[visit_Date]],"DDDD")</f>
        <v>Friday</v>
      </c>
      <c r="K1014" t="str">
        <f>TEXT(Table8[[#This Row],[visit_Date]],"mmmm")</f>
        <v>June</v>
      </c>
      <c r="L1014" t="str">
        <f t="shared" si="31"/>
        <v>Monsoon</v>
      </c>
    </row>
    <row r="1015" spans="1:12" x14ac:dyDescent="0.25">
      <c r="A1015">
        <v>1014</v>
      </c>
      <c r="B1015">
        <v>1028</v>
      </c>
      <c r="C1015">
        <v>965</v>
      </c>
      <c r="D1015" s="1">
        <v>45791</v>
      </c>
      <c r="E1015" t="s">
        <v>24</v>
      </c>
      <c r="F1015" t="s">
        <v>321</v>
      </c>
      <c r="G1015" t="str">
        <f>_xlfn.XLOOKUP(TRIM(E1016),MedicineInfo!A:A,MedicineInfo!B:B,"Not Found")</f>
        <v>Multivitamin</v>
      </c>
      <c r="H1015" s="1" t="str" cm="1">
        <f t="array" ref="H1015">_xlfn.IFS(
OR(E1015="Type 2 Diabetes",E1015="Essential Hypertension",E1015="Angina Pectoris",E1015="Bronchial Asthma",E1015="Cardiac Arrhythmia"), D1015+30,
OR(E1015="Gastritis",E1015="Osteoarthritis",E1015="Bronchitis",E1015="Iron Deficiency Anemia"), D1015+14,
OR(E1015="Lumbar Strain",E1015="Migraine Headache"), D1015+7,
OR(E1015="Viral Fever",E1015="General Checkup","Routine Health Check"), "",
TRUE,""
)</f>
        <v/>
      </c>
      <c r="I1015" s="1" t="str">
        <f t="shared" si="30"/>
        <v>No Follow-up Required</v>
      </c>
      <c r="J1015" t="str">
        <f>TEXT(Table8[[#This Row],[visit_Date]],"DDDD")</f>
        <v>Wednesday</v>
      </c>
      <c r="K1015" t="str">
        <f>TEXT(Table8[[#This Row],[visit_Date]],"mmmm")</f>
        <v>May</v>
      </c>
      <c r="L1015" t="str">
        <f t="shared" si="31"/>
        <v>Summer</v>
      </c>
    </row>
    <row r="1016" spans="1:12" x14ac:dyDescent="0.25">
      <c r="A1016">
        <v>1015</v>
      </c>
      <c r="B1016">
        <v>1302</v>
      </c>
      <c r="C1016">
        <v>667</v>
      </c>
      <c r="D1016" s="1">
        <v>45722</v>
      </c>
      <c r="E1016" t="s">
        <v>24</v>
      </c>
      <c r="F1016" t="s">
        <v>321</v>
      </c>
      <c r="G1016" t="str">
        <f>_xlfn.XLOOKUP(TRIM(E1017),MedicineInfo!A:A,MedicineInfo!B:B,"Not Found")</f>
        <v>Cefixime</v>
      </c>
      <c r="H1016" s="1" t="str" cm="1">
        <f t="array" ref="H1016">_xlfn.IFS(
OR(E1016="Type 2 Diabetes",E1016="Essential Hypertension",E1016="Angina Pectoris",E1016="Bronchial Asthma",E1016="Cardiac Arrhythmia"), D1016+30,
OR(E1016="Gastritis",E1016="Osteoarthritis",E1016="Bronchitis",E1016="Iron Deficiency Anemia"), D1016+14,
OR(E1016="Lumbar Strain",E1016="Migraine Headache"), D1016+7,
OR(E1016="Viral Fever",E1016="General Checkup","Routine Health Check"), "",
TRUE,""
)</f>
        <v/>
      </c>
      <c r="I1016" s="1" t="str">
        <f t="shared" si="30"/>
        <v>No Follow-up Required</v>
      </c>
      <c r="J1016" t="str">
        <f>TEXT(Table8[[#This Row],[visit_Date]],"DDDD")</f>
        <v>Thursday</v>
      </c>
      <c r="K1016" t="str">
        <f>TEXT(Table8[[#This Row],[visit_Date]],"mmmm")</f>
        <v>March</v>
      </c>
      <c r="L1016" t="str">
        <f t="shared" si="31"/>
        <v>Summer</v>
      </c>
    </row>
    <row r="1017" spans="1:12" x14ac:dyDescent="0.25">
      <c r="A1017">
        <v>1016</v>
      </c>
      <c r="B1017">
        <v>1313</v>
      </c>
      <c r="C1017">
        <v>717</v>
      </c>
      <c r="D1017" s="1">
        <v>45791</v>
      </c>
      <c r="E1017" t="s">
        <v>354</v>
      </c>
      <c r="F1017" t="s">
        <v>355</v>
      </c>
      <c r="G1017" t="str">
        <f>_xlfn.XLOOKUP(TRIM(E1018),MedicineInfo!A:A,MedicineInfo!B:B,"Not Found")</f>
        <v>Multivitamin</v>
      </c>
      <c r="H1017" s="1" t="str" cm="1">
        <f t="array" ref="H1017">_xlfn.IFS(
OR(E1017="Type 2 Diabetes",E1017="Essential Hypertension",E1017="Angina Pectoris",E1017="Bronchial Asthma",E1017="Cardiac Arrhythmia"), D1017+30,
OR(E1017="Gastritis",E1017="Osteoarthritis",E1017="Bronchitis",E1017="Iron Deficiency Anemia"), D1017+14,
OR(E1017="Lumbar Strain",E1017="Migraine Headache"), D1017+7,
OR(E1017="Viral Fever",E1017="General Checkup","Routine Health Check"), "",
TRUE,""
)</f>
        <v/>
      </c>
      <c r="I1017" s="1" t="str">
        <f t="shared" si="30"/>
        <v>No Follow-up Required</v>
      </c>
      <c r="J1017" t="str">
        <f>TEXT(Table8[[#This Row],[visit_Date]],"DDDD")</f>
        <v>Wednesday</v>
      </c>
      <c r="K1017" t="str">
        <f>TEXT(Table8[[#This Row],[visit_Date]],"mmmm")</f>
        <v>May</v>
      </c>
      <c r="L1017" t="str">
        <f t="shared" si="31"/>
        <v>Summer</v>
      </c>
    </row>
    <row r="1018" spans="1:12" x14ac:dyDescent="0.25">
      <c r="A1018">
        <v>1017</v>
      </c>
      <c r="B1018">
        <v>1305</v>
      </c>
      <c r="C1018">
        <v>501</v>
      </c>
      <c r="D1018" s="1">
        <v>45758</v>
      </c>
      <c r="E1018" t="s">
        <v>24</v>
      </c>
      <c r="F1018" t="s">
        <v>321</v>
      </c>
      <c r="G1018" t="str">
        <f>_xlfn.XLOOKUP(TRIM(E1019),MedicineInfo!A:A,MedicineInfo!B:B,"Not Found")</f>
        <v>Multivitamin</v>
      </c>
      <c r="H1018" s="1" t="str" cm="1">
        <f t="array" ref="H1018">_xlfn.IFS(
OR(E1018="Type 2 Diabetes",E1018="Essential Hypertension",E1018="Angina Pectoris",E1018="Bronchial Asthma",E1018="Cardiac Arrhythmia"), D1018+30,
OR(E1018="Gastritis",E1018="Osteoarthritis",E1018="Bronchitis",E1018="Iron Deficiency Anemia"), D1018+14,
OR(E1018="Lumbar Strain",E1018="Migraine Headache"), D1018+7,
OR(E1018="Viral Fever",E1018="General Checkup","Routine Health Check"), "",
TRUE,""
)</f>
        <v/>
      </c>
      <c r="I1018" s="1" t="str">
        <f t="shared" si="30"/>
        <v>No Follow-up Required</v>
      </c>
      <c r="J1018" t="str">
        <f>TEXT(Table8[[#This Row],[visit_Date]],"DDDD")</f>
        <v>Friday</v>
      </c>
      <c r="K1018" t="str">
        <f>TEXT(Table8[[#This Row],[visit_Date]],"mmmm")</f>
        <v>April</v>
      </c>
      <c r="L1018" t="str">
        <f t="shared" si="31"/>
        <v>Summer</v>
      </c>
    </row>
    <row r="1019" spans="1:12" x14ac:dyDescent="0.25">
      <c r="A1019">
        <v>1018</v>
      </c>
      <c r="B1019">
        <v>1126</v>
      </c>
      <c r="C1019">
        <v>1118</v>
      </c>
      <c r="D1019" s="1">
        <v>45852</v>
      </c>
      <c r="E1019" t="s">
        <v>24</v>
      </c>
      <c r="F1019" t="s">
        <v>321</v>
      </c>
      <c r="G1019" t="str">
        <f>_xlfn.XLOOKUP(TRIM(E1020),MedicineInfo!A:A,MedicineInfo!B:B,"Not Found")</f>
        <v>Multivitamin</v>
      </c>
      <c r="H1019" s="1" t="str" cm="1">
        <f t="array" ref="H1019">_xlfn.IFS(
OR(E1019="Type 2 Diabetes",E1019="Essential Hypertension",E1019="Angina Pectoris",E1019="Bronchial Asthma",E1019="Cardiac Arrhythmia"), D1019+30,
OR(E1019="Gastritis",E1019="Osteoarthritis",E1019="Bronchitis",E1019="Iron Deficiency Anemia"), D1019+14,
OR(E1019="Lumbar Strain",E1019="Migraine Headache"), D1019+7,
OR(E1019="Viral Fever",E1019="General Checkup","Routine Health Check"), "",
TRUE,""
)</f>
        <v/>
      </c>
      <c r="I1019" s="1" t="str">
        <f t="shared" si="30"/>
        <v>No Follow-up Required</v>
      </c>
      <c r="J1019" t="str">
        <f>TEXT(Table8[[#This Row],[visit_Date]],"DDDD")</f>
        <v>Monday</v>
      </c>
      <c r="K1019" t="str">
        <f>TEXT(Table8[[#This Row],[visit_Date]],"mmmm")</f>
        <v>July</v>
      </c>
      <c r="L1019" t="str">
        <f t="shared" si="31"/>
        <v>Monsoon</v>
      </c>
    </row>
    <row r="1020" spans="1:12" x14ac:dyDescent="0.25">
      <c r="A1020">
        <v>1019</v>
      </c>
      <c r="B1020">
        <v>1239</v>
      </c>
      <c r="C1020">
        <v>209</v>
      </c>
      <c r="D1020" s="1">
        <v>45823</v>
      </c>
      <c r="E1020" t="s">
        <v>24</v>
      </c>
      <c r="F1020" t="s">
        <v>321</v>
      </c>
      <c r="G1020" t="str">
        <f>_xlfn.XLOOKUP(TRIM(E1021),MedicineInfo!A:A,MedicineInfo!B:B,"Not Found")</f>
        <v>Multivitamin</v>
      </c>
      <c r="H1020" s="1" t="str" cm="1">
        <f t="array" ref="H1020">_xlfn.IFS(
OR(E1020="Type 2 Diabetes",E1020="Essential Hypertension",E1020="Angina Pectoris",E1020="Bronchial Asthma",E1020="Cardiac Arrhythmia"), D1020+30,
OR(E1020="Gastritis",E1020="Osteoarthritis",E1020="Bronchitis",E1020="Iron Deficiency Anemia"), D1020+14,
OR(E1020="Lumbar Strain",E1020="Migraine Headache"), D1020+7,
OR(E1020="Viral Fever",E1020="General Checkup","Routine Health Check"), "",
TRUE,""
)</f>
        <v/>
      </c>
      <c r="I1020" s="1" t="str">
        <f t="shared" si="30"/>
        <v>No Follow-up Required</v>
      </c>
      <c r="J1020" t="str">
        <f>TEXT(Table8[[#This Row],[visit_Date]],"DDDD")</f>
        <v>Sunday</v>
      </c>
      <c r="K1020" t="str">
        <f>TEXT(Table8[[#This Row],[visit_Date]],"mmmm")</f>
        <v>June</v>
      </c>
      <c r="L1020" t="str">
        <f t="shared" si="31"/>
        <v>Monsoon</v>
      </c>
    </row>
    <row r="1021" spans="1:12" x14ac:dyDescent="0.25">
      <c r="A1021">
        <v>1020</v>
      </c>
      <c r="B1021">
        <v>1123</v>
      </c>
      <c r="C1021">
        <v>625</v>
      </c>
      <c r="D1021" s="1">
        <v>45694</v>
      </c>
      <c r="E1021" t="s">
        <v>24</v>
      </c>
      <c r="F1021" t="s">
        <v>321</v>
      </c>
      <c r="G1021" t="str">
        <f>_xlfn.XLOOKUP(TRIM(E1022),MedicineInfo!A:A,MedicineInfo!B:B,"Not Found")</f>
        <v>Multivitamin</v>
      </c>
      <c r="H1021" s="1" t="str" cm="1">
        <f t="array" ref="H1021">_xlfn.IFS(
OR(E1021="Type 2 Diabetes",E1021="Essential Hypertension",E1021="Angina Pectoris",E1021="Bronchial Asthma",E1021="Cardiac Arrhythmia"), D1021+30,
OR(E1021="Gastritis",E1021="Osteoarthritis",E1021="Bronchitis",E1021="Iron Deficiency Anemia"), D1021+14,
OR(E1021="Lumbar Strain",E1021="Migraine Headache"), D1021+7,
OR(E1021="Viral Fever",E1021="General Checkup","Routine Health Check"), "",
TRUE,""
)</f>
        <v/>
      </c>
      <c r="I1021" s="1" t="str">
        <f t="shared" si="30"/>
        <v>No Follow-up Required</v>
      </c>
      <c r="J1021" t="str">
        <f>TEXT(Table8[[#This Row],[visit_Date]],"DDDD")</f>
        <v>Thursday</v>
      </c>
      <c r="K1021" t="str">
        <f>TEXT(Table8[[#This Row],[visit_Date]],"mmmm")</f>
        <v>February</v>
      </c>
      <c r="L1021" t="str">
        <f t="shared" si="31"/>
        <v>Winter</v>
      </c>
    </row>
    <row r="1022" spans="1:12" x14ac:dyDescent="0.25">
      <c r="A1022">
        <v>1021</v>
      </c>
      <c r="B1022">
        <v>1111</v>
      </c>
      <c r="C1022">
        <v>1487</v>
      </c>
      <c r="D1022" s="1">
        <v>45853</v>
      </c>
      <c r="E1022" t="s">
        <v>24</v>
      </c>
      <c r="F1022" t="s">
        <v>321</v>
      </c>
      <c r="G1022" t="str">
        <f>_xlfn.XLOOKUP(TRIM(E1023),MedicineInfo!A:A,MedicineInfo!B:B,"Not Found")</f>
        <v>Multivitamin</v>
      </c>
      <c r="H1022" s="1" t="str" cm="1">
        <f t="array" ref="H1022">_xlfn.IFS(
OR(E1022="Type 2 Diabetes",E1022="Essential Hypertension",E1022="Angina Pectoris",E1022="Bronchial Asthma",E1022="Cardiac Arrhythmia"), D1022+30,
OR(E1022="Gastritis",E1022="Osteoarthritis",E1022="Bronchitis",E1022="Iron Deficiency Anemia"), D1022+14,
OR(E1022="Lumbar Strain",E1022="Migraine Headache"), D1022+7,
OR(E1022="Viral Fever",E1022="General Checkup","Routine Health Check"), "",
TRUE,""
)</f>
        <v/>
      </c>
      <c r="I1022" s="1" t="str">
        <f t="shared" si="30"/>
        <v>No Follow-up Required</v>
      </c>
      <c r="J1022" t="str">
        <f>TEXT(Table8[[#This Row],[visit_Date]],"DDDD")</f>
        <v>Tuesday</v>
      </c>
      <c r="K1022" t="str">
        <f>TEXT(Table8[[#This Row],[visit_Date]],"mmmm")</f>
        <v>July</v>
      </c>
      <c r="L1022" t="str">
        <f t="shared" si="31"/>
        <v>Monsoon</v>
      </c>
    </row>
    <row r="1023" spans="1:12" x14ac:dyDescent="0.25">
      <c r="A1023">
        <v>1022</v>
      </c>
      <c r="B1023">
        <v>1357</v>
      </c>
      <c r="C1023">
        <v>823</v>
      </c>
      <c r="D1023" s="1">
        <v>45799</v>
      </c>
      <c r="E1023" t="s">
        <v>24</v>
      </c>
      <c r="F1023" t="s">
        <v>321</v>
      </c>
      <c r="G1023" t="str">
        <f>_xlfn.XLOOKUP(TRIM(E1024),MedicineInfo!A:A,MedicineInfo!B:B,"Not Found")</f>
        <v>Amoxicillin</v>
      </c>
      <c r="H1023" s="1" t="str" cm="1">
        <f t="array" ref="H1023">_xlfn.IFS(
OR(E1023="Type 2 Diabetes",E1023="Essential Hypertension",E1023="Angina Pectoris",E1023="Bronchial Asthma",E1023="Cardiac Arrhythmia"), D1023+30,
OR(E1023="Gastritis",E1023="Osteoarthritis",E1023="Bronchitis",E1023="Iron Deficiency Anemia"), D1023+14,
OR(E1023="Lumbar Strain",E1023="Migraine Headache"), D1023+7,
OR(E1023="Viral Fever",E1023="General Checkup","Routine Health Check"), "",
TRUE,""
)</f>
        <v/>
      </c>
      <c r="I1023" s="1" t="str">
        <f t="shared" si="30"/>
        <v>No Follow-up Required</v>
      </c>
      <c r="J1023" t="str">
        <f>TEXT(Table8[[#This Row],[visit_Date]],"DDDD")</f>
        <v>Thursday</v>
      </c>
      <c r="K1023" t="str">
        <f>TEXT(Table8[[#This Row],[visit_Date]],"mmmm")</f>
        <v>May</v>
      </c>
      <c r="L1023" t="str">
        <f t="shared" si="31"/>
        <v>Summer</v>
      </c>
    </row>
    <row r="1024" spans="1:12" x14ac:dyDescent="0.25">
      <c r="A1024">
        <v>1023</v>
      </c>
      <c r="B1024">
        <v>1321</v>
      </c>
      <c r="C1024">
        <v>799</v>
      </c>
      <c r="D1024" s="1">
        <v>45783</v>
      </c>
      <c r="E1024" t="s">
        <v>346</v>
      </c>
      <c r="F1024" t="s">
        <v>347</v>
      </c>
      <c r="G1024" t="str">
        <f>_xlfn.XLOOKUP(TRIM(E1025),MedicineInfo!A:A,MedicineInfo!B:B,"Not Found")</f>
        <v>Multivitamin</v>
      </c>
      <c r="H1024" s="1" cm="1">
        <f t="array" ref="H1024">_xlfn.IFS(
OR(E1024="Type 2 Diabetes",E1024="Essential Hypertension",E1024="Angina Pectoris",E1024="Bronchial Asthma",E1024="Cardiac Arrhythmia"), D1024+30,
OR(E1024="Gastritis",E1024="Osteoarthritis",E1024="Bronchitis",E1024="Iron Deficiency Anemia"), D1024+14,
OR(E1024="Lumbar Strain",E1024="Migraine Headache"), D1024+7,
OR(E1024="Viral Fever",E1024="General Checkup","Routine Health Check"), "",
TRUE,""
)</f>
        <v>45797</v>
      </c>
      <c r="I1024" s="1" t="str">
        <f t="shared" si="30"/>
        <v>Follow-up Scheduled</v>
      </c>
      <c r="J1024" t="str">
        <f>TEXT(Table8[[#This Row],[visit_Date]],"DDDD")</f>
        <v>Tuesday</v>
      </c>
      <c r="K1024" t="str">
        <f>TEXT(Table8[[#This Row],[visit_Date]],"mmmm")</f>
        <v>May</v>
      </c>
      <c r="L1024" t="str">
        <f t="shared" si="31"/>
        <v>Summer</v>
      </c>
    </row>
    <row r="1025" spans="1:12" x14ac:dyDescent="0.25">
      <c r="A1025">
        <v>1024</v>
      </c>
      <c r="B1025">
        <v>1380</v>
      </c>
      <c r="C1025">
        <v>133</v>
      </c>
      <c r="D1025" s="1">
        <v>45814</v>
      </c>
      <c r="E1025" t="s">
        <v>24</v>
      </c>
      <c r="F1025" t="s">
        <v>321</v>
      </c>
      <c r="G1025" t="str">
        <f>_xlfn.XLOOKUP(TRIM(E1026),MedicineInfo!A:A,MedicineInfo!B:B,"Not Found")</f>
        <v>Multivitamin</v>
      </c>
      <c r="H1025" s="1" t="str" cm="1">
        <f t="array" ref="H1025">_xlfn.IFS(
OR(E1025="Type 2 Diabetes",E1025="Essential Hypertension",E1025="Angina Pectoris",E1025="Bronchial Asthma",E1025="Cardiac Arrhythmia"), D1025+30,
OR(E1025="Gastritis",E1025="Osteoarthritis",E1025="Bronchitis",E1025="Iron Deficiency Anemia"), D1025+14,
OR(E1025="Lumbar Strain",E1025="Migraine Headache"), D1025+7,
OR(E1025="Viral Fever",E1025="General Checkup","Routine Health Check"), "",
TRUE,""
)</f>
        <v/>
      </c>
      <c r="I1025" s="1" t="str">
        <f t="shared" si="30"/>
        <v>No Follow-up Required</v>
      </c>
      <c r="J1025" t="str">
        <f>TEXT(Table8[[#This Row],[visit_Date]],"DDDD")</f>
        <v>Friday</v>
      </c>
      <c r="K1025" t="str">
        <f>TEXT(Table8[[#This Row],[visit_Date]],"mmmm")</f>
        <v>June</v>
      </c>
      <c r="L1025" t="str">
        <f t="shared" si="31"/>
        <v>Monsoon</v>
      </c>
    </row>
    <row r="1026" spans="1:12" x14ac:dyDescent="0.25">
      <c r="A1026">
        <v>1025</v>
      </c>
      <c r="B1026">
        <v>1340</v>
      </c>
      <c r="C1026">
        <v>618</v>
      </c>
      <c r="D1026" s="1">
        <v>45758</v>
      </c>
      <c r="E1026" t="s">
        <v>24</v>
      </c>
      <c r="F1026" t="s">
        <v>321</v>
      </c>
      <c r="G1026" t="str">
        <f>_xlfn.XLOOKUP(TRIM(E1027),MedicineInfo!A:A,MedicineInfo!B:B,"Not Found")</f>
        <v>Multivitamin</v>
      </c>
      <c r="H1026" s="1" t="str" cm="1">
        <f t="array" ref="H1026">_xlfn.IFS(
OR(E1026="Type 2 Diabetes",E1026="Essential Hypertension",E1026="Angina Pectoris",E1026="Bronchial Asthma",E1026="Cardiac Arrhythmia"), D1026+30,
OR(E1026="Gastritis",E1026="Osteoarthritis",E1026="Bronchitis",E1026="Iron Deficiency Anemia"), D1026+14,
OR(E1026="Lumbar Strain",E1026="Migraine Headache"), D1026+7,
OR(E1026="Viral Fever",E1026="General Checkup","Routine Health Check"), "",
TRUE,""
)</f>
        <v/>
      </c>
      <c r="I1026" s="1" t="str">
        <f t="shared" ref="I1026:I1089" si="32">IF(H1026="","No Follow-up Required","Follow-up Scheduled")</f>
        <v>No Follow-up Required</v>
      </c>
      <c r="J1026" t="str">
        <f>TEXT(Table8[[#This Row],[visit_Date]],"DDDD")</f>
        <v>Friday</v>
      </c>
      <c r="K1026" t="str">
        <f>TEXT(Table8[[#This Row],[visit_Date]],"mmmm")</f>
        <v>April</v>
      </c>
      <c r="L1026" t="str">
        <f t="shared" ref="L1026:L1089" si="33">IF(OR(MONTH(D1026)=12,MONTH(D1026)&lt;=2),"Winter",
IF(MONTH(D1026)&lt;=5,"Summer","Monsoon"))</f>
        <v>Summer</v>
      </c>
    </row>
    <row r="1027" spans="1:12" x14ac:dyDescent="0.25">
      <c r="A1027">
        <v>1026</v>
      </c>
      <c r="B1027">
        <v>1257</v>
      </c>
      <c r="C1027">
        <v>152</v>
      </c>
      <c r="D1027" s="1">
        <v>45660</v>
      </c>
      <c r="E1027" t="s">
        <v>24</v>
      </c>
      <c r="F1027" t="s">
        <v>321</v>
      </c>
      <c r="G1027" t="str">
        <f>_xlfn.XLOOKUP(TRIM(E1028),MedicineInfo!A:A,MedicineInfo!B:B,"Not Found")</f>
        <v>Multivitamin</v>
      </c>
      <c r="H1027" s="1" t="str" cm="1">
        <f t="array" ref="H1027">_xlfn.IFS(
OR(E1027="Type 2 Diabetes",E1027="Essential Hypertension",E1027="Angina Pectoris",E1027="Bronchial Asthma",E1027="Cardiac Arrhythmia"), D1027+30,
OR(E1027="Gastritis",E1027="Osteoarthritis",E1027="Bronchitis",E1027="Iron Deficiency Anemia"), D1027+14,
OR(E1027="Lumbar Strain",E1027="Migraine Headache"), D1027+7,
OR(E1027="Viral Fever",E1027="General Checkup","Routine Health Check"), "",
TRUE,""
)</f>
        <v/>
      </c>
      <c r="I1027" s="1" t="str">
        <f t="shared" si="32"/>
        <v>No Follow-up Required</v>
      </c>
      <c r="J1027" t="str">
        <f>TEXT(Table8[[#This Row],[visit_Date]],"DDDD")</f>
        <v>Friday</v>
      </c>
      <c r="K1027" t="str">
        <f>TEXT(Table8[[#This Row],[visit_Date]],"mmmm")</f>
        <v>January</v>
      </c>
      <c r="L1027" t="str">
        <f t="shared" si="33"/>
        <v>Winter</v>
      </c>
    </row>
    <row r="1028" spans="1:12" x14ac:dyDescent="0.25">
      <c r="A1028">
        <v>1027</v>
      </c>
      <c r="B1028">
        <v>1079</v>
      </c>
      <c r="C1028">
        <v>145</v>
      </c>
      <c r="D1028" s="1">
        <v>45850</v>
      </c>
      <c r="E1028" t="s">
        <v>24</v>
      </c>
      <c r="F1028" t="s">
        <v>321</v>
      </c>
      <c r="G1028" t="str">
        <f>_xlfn.XLOOKUP(TRIM(E1029),MedicineInfo!A:A,MedicineInfo!B:B,"Not Found")</f>
        <v>Multivitamin</v>
      </c>
      <c r="H1028" s="1" t="str" cm="1">
        <f t="array" ref="H1028">_xlfn.IFS(
OR(E1028="Type 2 Diabetes",E1028="Essential Hypertension",E1028="Angina Pectoris",E1028="Bronchial Asthma",E1028="Cardiac Arrhythmia"), D1028+30,
OR(E1028="Gastritis",E1028="Osteoarthritis",E1028="Bronchitis",E1028="Iron Deficiency Anemia"), D1028+14,
OR(E1028="Lumbar Strain",E1028="Migraine Headache"), D1028+7,
OR(E1028="Viral Fever",E1028="General Checkup","Routine Health Check"), "",
TRUE,""
)</f>
        <v/>
      </c>
      <c r="I1028" s="1" t="str">
        <f t="shared" si="32"/>
        <v>No Follow-up Required</v>
      </c>
      <c r="J1028" t="str">
        <f>TEXT(Table8[[#This Row],[visit_Date]],"DDDD")</f>
        <v>Saturday</v>
      </c>
      <c r="K1028" t="str">
        <f>TEXT(Table8[[#This Row],[visit_Date]],"mmmm")</f>
        <v>July</v>
      </c>
      <c r="L1028" t="str">
        <f t="shared" si="33"/>
        <v>Monsoon</v>
      </c>
    </row>
    <row r="1029" spans="1:12" x14ac:dyDescent="0.25">
      <c r="A1029">
        <v>1028</v>
      </c>
      <c r="B1029">
        <v>1333</v>
      </c>
      <c r="C1029">
        <v>819</v>
      </c>
      <c r="D1029" s="1">
        <v>45801</v>
      </c>
      <c r="E1029" t="s">
        <v>24</v>
      </c>
      <c r="F1029" t="s">
        <v>321</v>
      </c>
      <c r="G1029" t="str">
        <f>_xlfn.XLOOKUP(TRIM(E1030),MedicineInfo!A:A,MedicineInfo!B:B,"Not Found")</f>
        <v>Folic Acid</v>
      </c>
      <c r="H1029" s="1" t="str" cm="1">
        <f t="array" ref="H1029">_xlfn.IFS(
OR(E1029="Type 2 Diabetes",E1029="Essential Hypertension",E1029="Angina Pectoris",E1029="Bronchial Asthma",E1029="Cardiac Arrhythmia"), D1029+30,
OR(E1029="Gastritis",E1029="Osteoarthritis",E1029="Bronchitis",E1029="Iron Deficiency Anemia"), D1029+14,
OR(E1029="Lumbar Strain",E1029="Migraine Headache"), D1029+7,
OR(E1029="Viral Fever",E1029="General Checkup","Routine Health Check"), "",
TRUE,""
)</f>
        <v/>
      </c>
      <c r="I1029" s="1" t="str">
        <f t="shared" si="32"/>
        <v>No Follow-up Required</v>
      </c>
      <c r="J1029" t="str">
        <f>TEXT(Table8[[#This Row],[visit_Date]],"DDDD")</f>
        <v>Saturday</v>
      </c>
      <c r="K1029" t="str">
        <f>TEXT(Table8[[#This Row],[visit_Date]],"mmmm")</f>
        <v>May</v>
      </c>
      <c r="L1029" t="str">
        <f t="shared" si="33"/>
        <v>Summer</v>
      </c>
    </row>
    <row r="1030" spans="1:12" x14ac:dyDescent="0.25">
      <c r="A1030">
        <v>1029</v>
      </c>
      <c r="B1030">
        <v>1041</v>
      </c>
      <c r="C1030">
        <v>408</v>
      </c>
      <c r="D1030" s="1">
        <v>45814</v>
      </c>
      <c r="E1030" t="s">
        <v>356</v>
      </c>
      <c r="F1030" t="s">
        <v>357</v>
      </c>
      <c r="G1030" t="str">
        <f>_xlfn.XLOOKUP(TRIM(E1031),MedicineInfo!A:A,MedicineInfo!B:B,"Not Found")</f>
        <v>Multivitamin</v>
      </c>
      <c r="H1030" s="1" t="str" cm="1">
        <f t="array" ref="H1030">_xlfn.IFS(
OR(E1030="Type 2 Diabetes",E1030="Essential Hypertension",E1030="Angina Pectoris",E1030="Bronchial Asthma",E1030="Cardiac Arrhythmia"), D1030+30,
OR(E1030="Gastritis",E1030="Osteoarthritis",E1030="Bronchitis",E1030="Iron Deficiency Anemia"), D1030+14,
OR(E1030="Lumbar Strain",E1030="Migraine Headache"), D1030+7,
OR(E1030="Viral Fever",E1030="General Checkup","Routine Health Check"), "",
TRUE,""
)</f>
        <v/>
      </c>
      <c r="I1030" s="1" t="str">
        <f t="shared" si="32"/>
        <v>No Follow-up Required</v>
      </c>
      <c r="J1030" t="str">
        <f>TEXT(Table8[[#This Row],[visit_Date]],"DDDD")</f>
        <v>Friday</v>
      </c>
      <c r="K1030" t="str">
        <f>TEXT(Table8[[#This Row],[visit_Date]],"mmmm")</f>
        <v>June</v>
      </c>
      <c r="L1030" t="str">
        <f t="shared" si="33"/>
        <v>Monsoon</v>
      </c>
    </row>
    <row r="1031" spans="1:12" x14ac:dyDescent="0.25">
      <c r="A1031">
        <v>1030</v>
      </c>
      <c r="B1031">
        <v>1392</v>
      </c>
      <c r="C1031">
        <v>288</v>
      </c>
      <c r="D1031" s="1">
        <v>45777</v>
      </c>
      <c r="E1031" t="s">
        <v>24</v>
      </c>
      <c r="F1031" t="s">
        <v>321</v>
      </c>
      <c r="G1031" t="str">
        <f>_xlfn.XLOOKUP(TRIM(E1032),MedicineInfo!A:A,MedicineInfo!B:B,"Not Found")</f>
        <v>Multivitamin</v>
      </c>
      <c r="H1031" s="1" t="str" cm="1">
        <f t="array" ref="H1031">_xlfn.IFS(
OR(E1031="Type 2 Diabetes",E1031="Essential Hypertension",E1031="Angina Pectoris",E1031="Bronchial Asthma",E1031="Cardiac Arrhythmia"), D1031+30,
OR(E1031="Gastritis",E1031="Osteoarthritis",E1031="Bronchitis",E1031="Iron Deficiency Anemia"), D1031+14,
OR(E1031="Lumbar Strain",E1031="Migraine Headache"), D1031+7,
OR(E1031="Viral Fever",E1031="General Checkup","Routine Health Check"), "",
TRUE,""
)</f>
        <v/>
      </c>
      <c r="I1031" s="1" t="str">
        <f t="shared" si="32"/>
        <v>No Follow-up Required</v>
      </c>
      <c r="J1031" t="str">
        <f>TEXT(Table8[[#This Row],[visit_Date]],"DDDD")</f>
        <v>Wednesday</v>
      </c>
      <c r="K1031" t="str">
        <f>TEXT(Table8[[#This Row],[visit_Date]],"mmmm")</f>
        <v>April</v>
      </c>
      <c r="L1031" t="str">
        <f t="shared" si="33"/>
        <v>Summer</v>
      </c>
    </row>
    <row r="1032" spans="1:12" x14ac:dyDescent="0.25">
      <c r="A1032">
        <v>1031</v>
      </c>
      <c r="B1032">
        <v>1088</v>
      </c>
      <c r="C1032">
        <v>1123</v>
      </c>
      <c r="D1032" s="1">
        <v>45767</v>
      </c>
      <c r="E1032" t="s">
        <v>24</v>
      </c>
      <c r="F1032" t="s">
        <v>321</v>
      </c>
      <c r="G1032" t="str">
        <f>_xlfn.XLOOKUP(TRIM(E1033),MedicineInfo!A:A,MedicineInfo!B:B,"Not Found")</f>
        <v>Multivitamin</v>
      </c>
      <c r="H1032" s="1" t="str" cm="1">
        <f t="array" ref="H1032">_xlfn.IFS(
OR(E1032="Type 2 Diabetes",E1032="Essential Hypertension",E1032="Angina Pectoris",E1032="Bronchial Asthma",E1032="Cardiac Arrhythmia"), D1032+30,
OR(E1032="Gastritis",E1032="Osteoarthritis",E1032="Bronchitis",E1032="Iron Deficiency Anemia"), D1032+14,
OR(E1032="Lumbar Strain",E1032="Migraine Headache"), D1032+7,
OR(E1032="Viral Fever",E1032="General Checkup","Routine Health Check"), "",
TRUE,""
)</f>
        <v/>
      </c>
      <c r="I1032" s="1" t="str">
        <f t="shared" si="32"/>
        <v>No Follow-up Required</v>
      </c>
      <c r="J1032" t="str">
        <f>TEXT(Table8[[#This Row],[visit_Date]],"DDDD")</f>
        <v>Sunday</v>
      </c>
      <c r="K1032" t="str">
        <f>TEXT(Table8[[#This Row],[visit_Date]],"mmmm")</f>
        <v>April</v>
      </c>
      <c r="L1032" t="str">
        <f t="shared" si="33"/>
        <v>Summer</v>
      </c>
    </row>
    <row r="1033" spans="1:12" x14ac:dyDescent="0.25">
      <c r="A1033">
        <v>1032</v>
      </c>
      <c r="B1033">
        <v>1028</v>
      </c>
      <c r="C1033">
        <v>187</v>
      </c>
      <c r="D1033" s="1">
        <v>45816</v>
      </c>
      <c r="E1033" t="s">
        <v>24</v>
      </c>
      <c r="F1033" t="s">
        <v>321</v>
      </c>
      <c r="G1033" t="str">
        <f>_xlfn.XLOOKUP(TRIM(E1034),MedicineInfo!A:A,MedicineInfo!B:B,"Not Found")</f>
        <v>Multivitamin</v>
      </c>
      <c r="H1033" s="1" t="str" cm="1">
        <f t="array" ref="H1033">_xlfn.IFS(
OR(E1033="Type 2 Diabetes",E1033="Essential Hypertension",E1033="Angina Pectoris",E1033="Bronchial Asthma",E1033="Cardiac Arrhythmia"), D1033+30,
OR(E1033="Gastritis",E1033="Osteoarthritis",E1033="Bronchitis",E1033="Iron Deficiency Anemia"), D1033+14,
OR(E1033="Lumbar Strain",E1033="Migraine Headache"), D1033+7,
OR(E1033="Viral Fever",E1033="General Checkup","Routine Health Check"), "",
TRUE,""
)</f>
        <v/>
      </c>
      <c r="I1033" s="1" t="str">
        <f t="shared" si="32"/>
        <v>No Follow-up Required</v>
      </c>
      <c r="J1033" t="str">
        <f>TEXT(Table8[[#This Row],[visit_Date]],"DDDD")</f>
        <v>Sunday</v>
      </c>
      <c r="K1033" t="str">
        <f>TEXT(Table8[[#This Row],[visit_Date]],"mmmm")</f>
        <v>June</v>
      </c>
      <c r="L1033" t="str">
        <f t="shared" si="33"/>
        <v>Monsoon</v>
      </c>
    </row>
    <row r="1034" spans="1:12" x14ac:dyDescent="0.25">
      <c r="A1034">
        <v>1033</v>
      </c>
      <c r="B1034">
        <v>1075</v>
      </c>
      <c r="C1034">
        <v>926</v>
      </c>
      <c r="D1034" s="1">
        <v>45669</v>
      </c>
      <c r="E1034" t="s">
        <v>24</v>
      </c>
      <c r="F1034" t="s">
        <v>321</v>
      </c>
      <c r="G1034" t="str">
        <f>_xlfn.XLOOKUP(TRIM(E1035),MedicineInfo!A:A,MedicineInfo!B:B,"Not Found")</f>
        <v>Multivitamin</v>
      </c>
      <c r="H1034" s="1" t="str" cm="1">
        <f t="array" ref="H1034">_xlfn.IFS(
OR(E1034="Type 2 Diabetes",E1034="Essential Hypertension",E1034="Angina Pectoris",E1034="Bronchial Asthma",E1034="Cardiac Arrhythmia"), D1034+30,
OR(E1034="Gastritis",E1034="Osteoarthritis",E1034="Bronchitis",E1034="Iron Deficiency Anemia"), D1034+14,
OR(E1034="Lumbar Strain",E1034="Migraine Headache"), D1034+7,
OR(E1034="Viral Fever",E1034="General Checkup","Routine Health Check"), "",
TRUE,""
)</f>
        <v/>
      </c>
      <c r="I1034" s="1" t="str">
        <f t="shared" si="32"/>
        <v>No Follow-up Required</v>
      </c>
      <c r="J1034" t="str">
        <f>TEXT(Table8[[#This Row],[visit_Date]],"DDDD")</f>
        <v>Sunday</v>
      </c>
      <c r="K1034" t="str">
        <f>TEXT(Table8[[#This Row],[visit_Date]],"mmmm")</f>
        <v>January</v>
      </c>
      <c r="L1034" t="str">
        <f t="shared" si="33"/>
        <v>Winter</v>
      </c>
    </row>
    <row r="1035" spans="1:12" x14ac:dyDescent="0.25">
      <c r="A1035">
        <v>1034</v>
      </c>
      <c r="B1035">
        <v>1281</v>
      </c>
      <c r="C1035">
        <v>1217</v>
      </c>
      <c r="D1035" s="1">
        <v>45710</v>
      </c>
      <c r="E1035" t="s">
        <v>24</v>
      </c>
      <c r="F1035" t="s">
        <v>321</v>
      </c>
      <c r="G1035" t="str">
        <f>_xlfn.XLOOKUP(TRIM(E1036),MedicineInfo!A:A,MedicineInfo!B:B,"Not Found")</f>
        <v>Multivitamin</v>
      </c>
      <c r="H1035" s="1" t="str" cm="1">
        <f t="array" ref="H1035">_xlfn.IFS(
OR(E1035="Type 2 Diabetes",E1035="Essential Hypertension",E1035="Angina Pectoris",E1035="Bronchial Asthma",E1035="Cardiac Arrhythmia"), D1035+30,
OR(E1035="Gastritis",E1035="Osteoarthritis",E1035="Bronchitis",E1035="Iron Deficiency Anemia"), D1035+14,
OR(E1035="Lumbar Strain",E1035="Migraine Headache"), D1035+7,
OR(E1035="Viral Fever",E1035="General Checkup","Routine Health Check"), "",
TRUE,""
)</f>
        <v/>
      </c>
      <c r="I1035" s="1" t="str">
        <f t="shared" si="32"/>
        <v>No Follow-up Required</v>
      </c>
      <c r="J1035" t="str">
        <f>TEXT(Table8[[#This Row],[visit_Date]],"DDDD")</f>
        <v>Saturday</v>
      </c>
      <c r="K1035" t="str">
        <f>TEXT(Table8[[#This Row],[visit_Date]],"mmmm")</f>
        <v>February</v>
      </c>
      <c r="L1035" t="str">
        <f t="shared" si="33"/>
        <v>Winter</v>
      </c>
    </row>
    <row r="1036" spans="1:12" x14ac:dyDescent="0.25">
      <c r="A1036">
        <v>1035</v>
      </c>
      <c r="B1036">
        <v>1279</v>
      </c>
      <c r="C1036">
        <v>1482</v>
      </c>
      <c r="D1036" s="1">
        <v>45669</v>
      </c>
      <c r="E1036" t="s">
        <v>24</v>
      </c>
      <c r="F1036" t="s">
        <v>321</v>
      </c>
      <c r="G1036" t="str">
        <f>_xlfn.XLOOKUP(TRIM(E1037),MedicineInfo!A:A,MedicineInfo!B:B,"Not Found")</f>
        <v>Multivitamin</v>
      </c>
      <c r="H1036" s="1" t="str" cm="1">
        <f t="array" ref="H1036">_xlfn.IFS(
OR(E1036="Type 2 Diabetes",E1036="Essential Hypertension",E1036="Angina Pectoris",E1036="Bronchial Asthma",E1036="Cardiac Arrhythmia"), D1036+30,
OR(E1036="Gastritis",E1036="Osteoarthritis",E1036="Bronchitis",E1036="Iron Deficiency Anemia"), D1036+14,
OR(E1036="Lumbar Strain",E1036="Migraine Headache"), D1036+7,
OR(E1036="Viral Fever",E1036="General Checkup","Routine Health Check"), "",
TRUE,""
)</f>
        <v/>
      </c>
      <c r="I1036" s="1" t="str">
        <f t="shared" si="32"/>
        <v>No Follow-up Required</v>
      </c>
      <c r="J1036" t="str">
        <f>TEXT(Table8[[#This Row],[visit_Date]],"DDDD")</f>
        <v>Sunday</v>
      </c>
      <c r="K1036" t="str">
        <f>TEXT(Table8[[#This Row],[visit_Date]],"mmmm")</f>
        <v>January</v>
      </c>
      <c r="L1036" t="str">
        <f t="shared" si="33"/>
        <v>Winter</v>
      </c>
    </row>
    <row r="1037" spans="1:12" x14ac:dyDescent="0.25">
      <c r="A1037">
        <v>1036</v>
      </c>
      <c r="B1037">
        <v>1313</v>
      </c>
      <c r="C1037">
        <v>792</v>
      </c>
      <c r="D1037" s="1">
        <v>45853</v>
      </c>
      <c r="E1037" t="s">
        <v>24</v>
      </c>
      <c r="F1037" t="s">
        <v>321</v>
      </c>
      <c r="G1037" t="str">
        <f>_xlfn.XLOOKUP(TRIM(E1038),MedicineInfo!A:A,MedicineInfo!B:B,"Not Found")</f>
        <v>Sodium Valproate</v>
      </c>
      <c r="H1037" s="1" t="str" cm="1">
        <f t="array" ref="H1037">_xlfn.IFS(
OR(E1037="Type 2 Diabetes",E1037="Essential Hypertension",E1037="Angina Pectoris",E1037="Bronchial Asthma",E1037="Cardiac Arrhythmia"), D1037+30,
OR(E1037="Gastritis",E1037="Osteoarthritis",E1037="Bronchitis",E1037="Iron Deficiency Anemia"), D1037+14,
OR(E1037="Lumbar Strain",E1037="Migraine Headache"), D1037+7,
OR(E1037="Viral Fever",E1037="General Checkup","Routine Health Check"), "",
TRUE,""
)</f>
        <v/>
      </c>
      <c r="I1037" s="1" t="str">
        <f t="shared" si="32"/>
        <v>No Follow-up Required</v>
      </c>
      <c r="J1037" t="str">
        <f>TEXT(Table8[[#This Row],[visit_Date]],"DDDD")</f>
        <v>Tuesday</v>
      </c>
      <c r="K1037" t="str">
        <f>TEXT(Table8[[#This Row],[visit_Date]],"mmmm")</f>
        <v>July</v>
      </c>
      <c r="L1037" t="str">
        <f t="shared" si="33"/>
        <v>Monsoon</v>
      </c>
    </row>
    <row r="1038" spans="1:12" x14ac:dyDescent="0.25">
      <c r="A1038">
        <v>1037</v>
      </c>
      <c r="B1038">
        <v>1166</v>
      </c>
      <c r="C1038">
        <v>1135</v>
      </c>
      <c r="D1038" s="1">
        <v>45706</v>
      </c>
      <c r="E1038" t="s">
        <v>352</v>
      </c>
      <c r="F1038" t="s">
        <v>353</v>
      </c>
      <c r="G1038" t="str">
        <f>_xlfn.XLOOKUP(TRIM(E1039),MedicineInfo!A:A,MedicineInfo!B:B,"Not Found")</f>
        <v>Multivitamin</v>
      </c>
      <c r="H1038" s="1" t="str" cm="1">
        <f t="array" ref="H1038">_xlfn.IFS(
OR(E1038="Type 2 Diabetes",E1038="Essential Hypertension",E1038="Angina Pectoris",E1038="Bronchial Asthma",E1038="Cardiac Arrhythmia"), D1038+30,
OR(E1038="Gastritis",E1038="Osteoarthritis",E1038="Bronchitis",E1038="Iron Deficiency Anemia"), D1038+14,
OR(E1038="Lumbar Strain",E1038="Migraine Headache"), D1038+7,
OR(E1038="Viral Fever",E1038="General Checkup","Routine Health Check"), "",
TRUE,""
)</f>
        <v/>
      </c>
      <c r="I1038" s="1" t="str">
        <f t="shared" si="32"/>
        <v>No Follow-up Required</v>
      </c>
      <c r="J1038" t="str">
        <f>TEXT(Table8[[#This Row],[visit_Date]],"DDDD")</f>
        <v>Tuesday</v>
      </c>
      <c r="K1038" t="str">
        <f>TEXT(Table8[[#This Row],[visit_Date]],"mmmm")</f>
        <v>February</v>
      </c>
      <c r="L1038" t="str">
        <f t="shared" si="33"/>
        <v>Winter</v>
      </c>
    </row>
    <row r="1039" spans="1:12" x14ac:dyDescent="0.25">
      <c r="A1039">
        <v>1038</v>
      </c>
      <c r="B1039">
        <v>1191</v>
      </c>
      <c r="C1039">
        <v>409</v>
      </c>
      <c r="D1039" s="1">
        <v>45777</v>
      </c>
      <c r="E1039" t="s">
        <v>24</v>
      </c>
      <c r="F1039" t="s">
        <v>321</v>
      </c>
      <c r="G1039" t="str">
        <f>_xlfn.XLOOKUP(TRIM(E1040),MedicineInfo!A:A,MedicineInfo!B:B,"Not Found")</f>
        <v>Multivitamin</v>
      </c>
      <c r="H1039" s="1" t="str" cm="1">
        <f t="array" ref="H1039">_xlfn.IFS(
OR(E1039="Type 2 Diabetes",E1039="Essential Hypertension",E1039="Angina Pectoris",E1039="Bronchial Asthma",E1039="Cardiac Arrhythmia"), D1039+30,
OR(E1039="Gastritis",E1039="Osteoarthritis",E1039="Bronchitis",E1039="Iron Deficiency Anemia"), D1039+14,
OR(E1039="Lumbar Strain",E1039="Migraine Headache"), D1039+7,
OR(E1039="Viral Fever",E1039="General Checkup","Routine Health Check"), "",
TRUE,""
)</f>
        <v/>
      </c>
      <c r="I1039" s="1" t="str">
        <f t="shared" si="32"/>
        <v>No Follow-up Required</v>
      </c>
      <c r="J1039" t="str">
        <f>TEXT(Table8[[#This Row],[visit_Date]],"DDDD")</f>
        <v>Wednesday</v>
      </c>
      <c r="K1039" t="str">
        <f>TEXT(Table8[[#This Row],[visit_Date]],"mmmm")</f>
        <v>April</v>
      </c>
      <c r="L1039" t="str">
        <f t="shared" si="33"/>
        <v>Summer</v>
      </c>
    </row>
    <row r="1040" spans="1:12" x14ac:dyDescent="0.25">
      <c r="A1040">
        <v>1039</v>
      </c>
      <c r="B1040">
        <v>1204</v>
      </c>
      <c r="C1040">
        <v>1123</v>
      </c>
      <c r="D1040" s="1">
        <v>45857</v>
      </c>
      <c r="E1040" t="s">
        <v>24</v>
      </c>
      <c r="F1040" t="s">
        <v>321</v>
      </c>
      <c r="G1040" t="str">
        <f>_xlfn.XLOOKUP(TRIM(E1041),MedicineInfo!A:A,MedicineInfo!B:B,"Not Found")</f>
        <v>Diclofenac</v>
      </c>
      <c r="H1040" s="1" t="str" cm="1">
        <f t="array" ref="H1040">_xlfn.IFS(
OR(E1040="Type 2 Diabetes",E1040="Essential Hypertension",E1040="Angina Pectoris",E1040="Bronchial Asthma",E1040="Cardiac Arrhythmia"), D1040+30,
OR(E1040="Gastritis",E1040="Osteoarthritis",E1040="Bronchitis",E1040="Iron Deficiency Anemia"), D1040+14,
OR(E1040="Lumbar Strain",E1040="Migraine Headache"), D1040+7,
OR(E1040="Viral Fever",E1040="General Checkup","Routine Health Check"), "",
TRUE,""
)</f>
        <v/>
      </c>
      <c r="I1040" s="1" t="str">
        <f t="shared" si="32"/>
        <v>No Follow-up Required</v>
      </c>
      <c r="J1040" t="str">
        <f>TEXT(Table8[[#This Row],[visit_Date]],"DDDD")</f>
        <v>Saturday</v>
      </c>
      <c r="K1040" t="str">
        <f>TEXT(Table8[[#This Row],[visit_Date]],"mmmm")</f>
        <v>July</v>
      </c>
      <c r="L1040" t="str">
        <f t="shared" si="33"/>
        <v>Monsoon</v>
      </c>
    </row>
    <row r="1041" spans="1:12" x14ac:dyDescent="0.25">
      <c r="A1041">
        <v>1040</v>
      </c>
      <c r="B1041">
        <v>1136</v>
      </c>
      <c r="C1041">
        <v>168</v>
      </c>
      <c r="D1041" s="1">
        <v>45777</v>
      </c>
      <c r="E1041" t="s">
        <v>313</v>
      </c>
      <c r="F1041" t="s">
        <v>314</v>
      </c>
      <c r="G1041" t="str">
        <f>_xlfn.XLOOKUP(TRIM(E1042),MedicineInfo!A:A,MedicineInfo!B:B,"Not Found")</f>
        <v>Multivitamin</v>
      </c>
      <c r="H1041" s="1" cm="1">
        <f t="array" ref="H1041">_xlfn.IFS(
OR(E1041="Type 2 Diabetes",E1041="Essential Hypertension",E1041="Angina Pectoris",E1041="Bronchial Asthma",E1041="Cardiac Arrhythmia"), D1041+30,
OR(E1041="Gastritis",E1041="Osteoarthritis",E1041="Bronchitis",E1041="Iron Deficiency Anemia"), D1041+14,
OR(E1041="Lumbar Strain",E1041="Migraine Headache"), D1041+7,
OR(E1041="Viral Fever",E1041="General Checkup","Routine Health Check"), "",
TRUE,""
)</f>
        <v>45784</v>
      </c>
      <c r="I1041" s="1" t="str">
        <f t="shared" si="32"/>
        <v>Follow-up Scheduled</v>
      </c>
      <c r="J1041" t="str">
        <f>TEXT(Table8[[#This Row],[visit_Date]],"DDDD")</f>
        <v>Wednesday</v>
      </c>
      <c r="K1041" t="str">
        <f>TEXT(Table8[[#This Row],[visit_Date]],"mmmm")</f>
        <v>April</v>
      </c>
      <c r="L1041" t="str">
        <f t="shared" si="33"/>
        <v>Summer</v>
      </c>
    </row>
    <row r="1042" spans="1:12" x14ac:dyDescent="0.25">
      <c r="A1042">
        <v>1041</v>
      </c>
      <c r="B1042">
        <v>1393</v>
      </c>
      <c r="C1042">
        <v>425</v>
      </c>
      <c r="D1042" s="1">
        <v>45698</v>
      </c>
      <c r="E1042" t="s">
        <v>24</v>
      </c>
      <c r="F1042" t="s">
        <v>321</v>
      </c>
      <c r="G1042" t="str">
        <f>_xlfn.XLOOKUP(TRIM(E1043),MedicineInfo!A:A,MedicineInfo!B:B,"Not Found")</f>
        <v>Folic Acid</v>
      </c>
      <c r="H1042" s="1" t="str" cm="1">
        <f t="array" ref="H1042">_xlfn.IFS(
OR(E1042="Type 2 Diabetes",E1042="Essential Hypertension",E1042="Angina Pectoris",E1042="Bronchial Asthma",E1042="Cardiac Arrhythmia"), D1042+30,
OR(E1042="Gastritis",E1042="Osteoarthritis",E1042="Bronchitis",E1042="Iron Deficiency Anemia"), D1042+14,
OR(E1042="Lumbar Strain",E1042="Migraine Headache"), D1042+7,
OR(E1042="Viral Fever",E1042="General Checkup","Routine Health Check"), "",
TRUE,""
)</f>
        <v/>
      </c>
      <c r="I1042" s="1" t="str">
        <f t="shared" si="32"/>
        <v>No Follow-up Required</v>
      </c>
      <c r="J1042" t="str">
        <f>TEXT(Table8[[#This Row],[visit_Date]],"DDDD")</f>
        <v>Monday</v>
      </c>
      <c r="K1042" t="str">
        <f>TEXT(Table8[[#This Row],[visit_Date]],"mmmm")</f>
        <v>February</v>
      </c>
      <c r="L1042" t="str">
        <f t="shared" si="33"/>
        <v>Winter</v>
      </c>
    </row>
    <row r="1043" spans="1:12" x14ac:dyDescent="0.25">
      <c r="A1043">
        <v>1042</v>
      </c>
      <c r="B1043">
        <v>1324</v>
      </c>
      <c r="C1043">
        <v>601</v>
      </c>
      <c r="D1043" s="1">
        <v>45694</v>
      </c>
      <c r="E1043" t="s">
        <v>356</v>
      </c>
      <c r="F1043" t="s">
        <v>357</v>
      </c>
      <c r="G1043" t="str">
        <f>_xlfn.XLOOKUP(TRIM(E1044),MedicineInfo!A:A,MedicineInfo!B:B,"Not Found")</f>
        <v>Multivitamin</v>
      </c>
      <c r="H1043" s="1" t="str" cm="1">
        <f t="array" ref="H1043">_xlfn.IFS(
OR(E1043="Type 2 Diabetes",E1043="Essential Hypertension",E1043="Angina Pectoris",E1043="Bronchial Asthma",E1043="Cardiac Arrhythmia"), D1043+30,
OR(E1043="Gastritis",E1043="Osteoarthritis",E1043="Bronchitis",E1043="Iron Deficiency Anemia"), D1043+14,
OR(E1043="Lumbar Strain",E1043="Migraine Headache"), D1043+7,
OR(E1043="Viral Fever",E1043="General Checkup","Routine Health Check"), "",
TRUE,""
)</f>
        <v/>
      </c>
      <c r="I1043" s="1" t="str">
        <f t="shared" si="32"/>
        <v>No Follow-up Required</v>
      </c>
      <c r="J1043" t="str">
        <f>TEXT(Table8[[#This Row],[visit_Date]],"DDDD")</f>
        <v>Thursday</v>
      </c>
      <c r="K1043" t="str">
        <f>TEXT(Table8[[#This Row],[visit_Date]],"mmmm")</f>
        <v>February</v>
      </c>
      <c r="L1043" t="str">
        <f t="shared" si="33"/>
        <v>Winter</v>
      </c>
    </row>
    <row r="1044" spans="1:12" x14ac:dyDescent="0.25">
      <c r="A1044">
        <v>1043</v>
      </c>
      <c r="B1044">
        <v>1035</v>
      </c>
      <c r="C1044">
        <v>481</v>
      </c>
      <c r="D1044" s="1">
        <v>45724</v>
      </c>
      <c r="E1044" t="s">
        <v>24</v>
      </c>
      <c r="F1044" t="s">
        <v>321</v>
      </c>
      <c r="G1044" t="str">
        <f>_xlfn.XLOOKUP(TRIM(E1045),MedicineInfo!A:A,MedicineInfo!B:B,"Not Found")</f>
        <v>Multivitamin</v>
      </c>
      <c r="H1044" s="1" t="str" cm="1">
        <f t="array" ref="H1044">_xlfn.IFS(
OR(E1044="Type 2 Diabetes",E1044="Essential Hypertension",E1044="Angina Pectoris",E1044="Bronchial Asthma",E1044="Cardiac Arrhythmia"), D1044+30,
OR(E1044="Gastritis",E1044="Osteoarthritis",E1044="Bronchitis",E1044="Iron Deficiency Anemia"), D1044+14,
OR(E1044="Lumbar Strain",E1044="Migraine Headache"), D1044+7,
OR(E1044="Viral Fever",E1044="General Checkup","Routine Health Check"), "",
TRUE,""
)</f>
        <v/>
      </c>
      <c r="I1044" s="1" t="str">
        <f t="shared" si="32"/>
        <v>No Follow-up Required</v>
      </c>
      <c r="J1044" t="str">
        <f>TEXT(Table8[[#This Row],[visit_Date]],"DDDD")</f>
        <v>Saturday</v>
      </c>
      <c r="K1044" t="str">
        <f>TEXT(Table8[[#This Row],[visit_Date]],"mmmm")</f>
        <v>March</v>
      </c>
      <c r="L1044" t="str">
        <f t="shared" si="33"/>
        <v>Summer</v>
      </c>
    </row>
    <row r="1045" spans="1:12" x14ac:dyDescent="0.25">
      <c r="A1045">
        <v>1044</v>
      </c>
      <c r="B1045">
        <v>1117</v>
      </c>
      <c r="C1045">
        <v>869</v>
      </c>
      <c r="D1045" s="1">
        <v>45782</v>
      </c>
      <c r="E1045" t="s">
        <v>24</v>
      </c>
      <c r="F1045" t="s">
        <v>321</v>
      </c>
      <c r="G1045" t="str">
        <f>_xlfn.XLOOKUP(TRIM(E1046),MedicineInfo!A:A,MedicineInfo!B:B,"Not Found")</f>
        <v>Paracetamol</v>
      </c>
      <c r="H1045" s="1" t="str" cm="1">
        <f t="array" ref="H1045">_xlfn.IFS(
OR(E1045="Type 2 Diabetes",E1045="Essential Hypertension",E1045="Angina Pectoris",E1045="Bronchial Asthma",E1045="Cardiac Arrhythmia"), D1045+30,
OR(E1045="Gastritis",E1045="Osteoarthritis",E1045="Bronchitis",E1045="Iron Deficiency Anemia"), D1045+14,
OR(E1045="Lumbar Strain",E1045="Migraine Headache"), D1045+7,
OR(E1045="Viral Fever",E1045="General Checkup","Routine Health Check"), "",
TRUE,""
)</f>
        <v/>
      </c>
      <c r="I1045" s="1" t="str">
        <f t="shared" si="32"/>
        <v>No Follow-up Required</v>
      </c>
      <c r="J1045" t="str">
        <f>TEXT(Table8[[#This Row],[visit_Date]],"DDDD")</f>
        <v>Monday</v>
      </c>
      <c r="K1045" t="str">
        <f>TEXT(Table8[[#This Row],[visit_Date]],"mmmm")</f>
        <v>May</v>
      </c>
      <c r="L1045" t="str">
        <f t="shared" si="33"/>
        <v>Summer</v>
      </c>
    </row>
    <row r="1046" spans="1:12" x14ac:dyDescent="0.25">
      <c r="A1046">
        <v>1045</v>
      </c>
      <c r="B1046">
        <v>1280</v>
      </c>
      <c r="C1046">
        <v>1351</v>
      </c>
      <c r="D1046" s="1">
        <v>45694</v>
      </c>
      <c r="E1046" t="s">
        <v>326</v>
      </c>
      <c r="F1046" t="s">
        <v>327</v>
      </c>
      <c r="G1046" t="str">
        <f>_xlfn.XLOOKUP(TRIM(E1047),MedicineInfo!A:A,MedicineInfo!B:B,"Not Found")</f>
        <v>Sertraline</v>
      </c>
      <c r="H1046" s="1" t="str" cm="1">
        <f t="array" ref="H1046">_xlfn.IFS(
OR(E1046="Type 2 Diabetes",E1046="Essential Hypertension",E1046="Angina Pectoris",E1046="Bronchial Asthma",E1046="Cardiac Arrhythmia"), D1046+30,
OR(E1046="Gastritis",E1046="Osteoarthritis",E1046="Bronchitis",E1046="Iron Deficiency Anemia"), D1046+14,
OR(E1046="Lumbar Strain",E1046="Migraine Headache"), D1046+7,
OR(E1046="Viral Fever",E1046="General Checkup","Routine Health Check"), "",
TRUE,""
)</f>
        <v/>
      </c>
      <c r="I1046" s="1" t="str">
        <f t="shared" si="32"/>
        <v>No Follow-up Required</v>
      </c>
      <c r="J1046" t="str">
        <f>TEXT(Table8[[#This Row],[visit_Date]],"DDDD")</f>
        <v>Thursday</v>
      </c>
      <c r="K1046" t="str">
        <f>TEXT(Table8[[#This Row],[visit_Date]],"mmmm")</f>
        <v>February</v>
      </c>
      <c r="L1046" t="str">
        <f t="shared" si="33"/>
        <v>Winter</v>
      </c>
    </row>
    <row r="1047" spans="1:12" x14ac:dyDescent="0.25">
      <c r="A1047">
        <v>1046</v>
      </c>
      <c r="B1047">
        <v>1342</v>
      </c>
      <c r="C1047">
        <v>465</v>
      </c>
      <c r="D1047" s="1">
        <v>45662</v>
      </c>
      <c r="E1047" t="s">
        <v>334</v>
      </c>
      <c r="F1047" t="s">
        <v>335</v>
      </c>
      <c r="G1047" t="str">
        <f>_xlfn.XLOOKUP(TRIM(E1048),MedicineInfo!A:A,MedicineInfo!B:B,"Not Found")</f>
        <v>Multivitamin</v>
      </c>
      <c r="H1047" s="1" t="str" cm="1">
        <f t="array" ref="H1047">_xlfn.IFS(
OR(E1047="Type 2 Diabetes",E1047="Essential Hypertension",E1047="Angina Pectoris",E1047="Bronchial Asthma",E1047="Cardiac Arrhythmia"), D1047+30,
OR(E1047="Gastritis",E1047="Osteoarthritis",E1047="Bronchitis",E1047="Iron Deficiency Anemia"), D1047+14,
OR(E1047="Lumbar Strain",E1047="Migraine Headache"), D1047+7,
OR(E1047="Viral Fever",E1047="General Checkup","Routine Health Check"), "",
TRUE,""
)</f>
        <v/>
      </c>
      <c r="I1047" s="1" t="str">
        <f t="shared" si="32"/>
        <v>No Follow-up Required</v>
      </c>
      <c r="J1047" t="str">
        <f>TEXT(Table8[[#This Row],[visit_Date]],"DDDD")</f>
        <v>Sunday</v>
      </c>
      <c r="K1047" t="str">
        <f>TEXT(Table8[[#This Row],[visit_Date]],"mmmm")</f>
        <v>January</v>
      </c>
      <c r="L1047" t="str">
        <f t="shared" si="33"/>
        <v>Winter</v>
      </c>
    </row>
    <row r="1048" spans="1:12" x14ac:dyDescent="0.25">
      <c r="A1048">
        <v>1047</v>
      </c>
      <c r="B1048">
        <v>1032</v>
      </c>
      <c r="C1048">
        <v>945</v>
      </c>
      <c r="D1048" s="1">
        <v>45758</v>
      </c>
      <c r="E1048" t="s">
        <v>24</v>
      </c>
      <c r="F1048" t="s">
        <v>321</v>
      </c>
      <c r="G1048" t="str">
        <f>_xlfn.XLOOKUP(TRIM(E1049),MedicineInfo!A:A,MedicineInfo!B:B,"Not Found")</f>
        <v>Folic Acid</v>
      </c>
      <c r="H1048" s="1" t="str" cm="1">
        <f t="array" ref="H1048">_xlfn.IFS(
OR(E1048="Type 2 Diabetes",E1048="Essential Hypertension",E1048="Angina Pectoris",E1048="Bronchial Asthma",E1048="Cardiac Arrhythmia"), D1048+30,
OR(E1048="Gastritis",E1048="Osteoarthritis",E1048="Bronchitis",E1048="Iron Deficiency Anemia"), D1048+14,
OR(E1048="Lumbar Strain",E1048="Migraine Headache"), D1048+7,
OR(E1048="Viral Fever",E1048="General Checkup","Routine Health Check"), "",
TRUE,""
)</f>
        <v/>
      </c>
      <c r="I1048" s="1" t="str">
        <f t="shared" si="32"/>
        <v>No Follow-up Required</v>
      </c>
      <c r="J1048" t="str">
        <f>TEXT(Table8[[#This Row],[visit_Date]],"DDDD")</f>
        <v>Friday</v>
      </c>
      <c r="K1048" t="str">
        <f>TEXT(Table8[[#This Row],[visit_Date]],"mmmm")</f>
        <v>April</v>
      </c>
      <c r="L1048" t="str">
        <f t="shared" si="33"/>
        <v>Summer</v>
      </c>
    </row>
    <row r="1049" spans="1:12" x14ac:dyDescent="0.25">
      <c r="A1049">
        <v>1048</v>
      </c>
      <c r="B1049">
        <v>1098</v>
      </c>
      <c r="C1049">
        <v>354</v>
      </c>
      <c r="D1049" s="1">
        <v>45834</v>
      </c>
      <c r="E1049" t="s">
        <v>356</v>
      </c>
      <c r="F1049" t="s">
        <v>357</v>
      </c>
      <c r="G1049" t="str">
        <f>_xlfn.XLOOKUP(TRIM(E1050),MedicineInfo!A:A,MedicineInfo!B:B,"Not Found")</f>
        <v>Neuro Vitamins</v>
      </c>
      <c r="H1049" s="1" t="str" cm="1">
        <f t="array" ref="H1049">_xlfn.IFS(
OR(E1049="Type 2 Diabetes",E1049="Essential Hypertension",E1049="Angina Pectoris",E1049="Bronchial Asthma",E1049="Cardiac Arrhythmia"), D1049+30,
OR(E1049="Gastritis",E1049="Osteoarthritis",E1049="Bronchitis",E1049="Iron Deficiency Anemia"), D1049+14,
OR(E1049="Lumbar Strain",E1049="Migraine Headache"), D1049+7,
OR(E1049="Viral Fever",E1049="General Checkup","Routine Health Check"), "",
TRUE,""
)</f>
        <v/>
      </c>
      <c r="I1049" s="1" t="str">
        <f t="shared" si="32"/>
        <v>No Follow-up Required</v>
      </c>
      <c r="J1049" t="str">
        <f>TEXT(Table8[[#This Row],[visit_Date]],"DDDD")</f>
        <v>Thursday</v>
      </c>
      <c r="K1049" t="str">
        <f>TEXT(Table8[[#This Row],[visit_Date]],"mmmm")</f>
        <v>June</v>
      </c>
      <c r="L1049" t="str">
        <f t="shared" si="33"/>
        <v>Monsoon</v>
      </c>
    </row>
    <row r="1050" spans="1:12" x14ac:dyDescent="0.25">
      <c r="A1050">
        <v>1049</v>
      </c>
      <c r="B1050">
        <v>1382</v>
      </c>
      <c r="C1050">
        <v>245</v>
      </c>
      <c r="D1050" s="1">
        <v>45691</v>
      </c>
      <c r="E1050" t="s">
        <v>342</v>
      </c>
      <c r="F1050" t="s">
        <v>343</v>
      </c>
      <c r="G1050" t="str">
        <f>_xlfn.XLOOKUP(TRIM(E1051),MedicineInfo!A:A,MedicineInfo!B:B,"Not Found")</f>
        <v>Multivitamin</v>
      </c>
      <c r="H1050" s="1" t="str" cm="1">
        <f t="array" ref="H1050">_xlfn.IFS(
OR(E1050="Type 2 Diabetes",E1050="Essential Hypertension",E1050="Angina Pectoris",E1050="Bronchial Asthma",E1050="Cardiac Arrhythmia"), D1050+30,
OR(E1050="Gastritis",E1050="Osteoarthritis",E1050="Bronchitis",E1050="Iron Deficiency Anemia"), D1050+14,
OR(E1050="Lumbar Strain",E1050="Migraine Headache"), D1050+7,
OR(E1050="Viral Fever",E1050="General Checkup","Routine Health Check"), "",
TRUE,""
)</f>
        <v/>
      </c>
      <c r="I1050" s="1" t="str">
        <f t="shared" si="32"/>
        <v>No Follow-up Required</v>
      </c>
      <c r="J1050" t="str">
        <f>TEXT(Table8[[#This Row],[visit_Date]],"DDDD")</f>
        <v>Monday</v>
      </c>
      <c r="K1050" t="str">
        <f>TEXT(Table8[[#This Row],[visit_Date]],"mmmm")</f>
        <v>February</v>
      </c>
      <c r="L1050" t="str">
        <f t="shared" si="33"/>
        <v>Winter</v>
      </c>
    </row>
    <row r="1051" spans="1:12" x14ac:dyDescent="0.25">
      <c r="A1051">
        <v>1050</v>
      </c>
      <c r="B1051">
        <v>1046</v>
      </c>
      <c r="C1051">
        <v>383</v>
      </c>
      <c r="D1051" s="1">
        <v>45672</v>
      </c>
      <c r="E1051" t="s">
        <v>24</v>
      </c>
      <c r="F1051" t="s">
        <v>321</v>
      </c>
      <c r="G1051" t="str">
        <f>_xlfn.XLOOKUP(TRIM(E1052),MedicineInfo!A:A,MedicineInfo!B:B,"Not Found")</f>
        <v>Pantoprazole</v>
      </c>
      <c r="H1051" s="1" t="str" cm="1">
        <f t="array" ref="H1051">_xlfn.IFS(
OR(E1051="Type 2 Diabetes",E1051="Essential Hypertension",E1051="Angina Pectoris",E1051="Bronchial Asthma",E1051="Cardiac Arrhythmia"), D1051+30,
OR(E1051="Gastritis",E1051="Osteoarthritis",E1051="Bronchitis",E1051="Iron Deficiency Anemia"), D1051+14,
OR(E1051="Lumbar Strain",E1051="Migraine Headache"), D1051+7,
OR(E1051="Viral Fever",E1051="General Checkup","Routine Health Check"), "",
TRUE,""
)</f>
        <v/>
      </c>
      <c r="I1051" s="1" t="str">
        <f t="shared" si="32"/>
        <v>No Follow-up Required</v>
      </c>
      <c r="J1051" t="str">
        <f>TEXT(Table8[[#This Row],[visit_Date]],"DDDD")</f>
        <v>Wednesday</v>
      </c>
      <c r="K1051" t="str">
        <f>TEXT(Table8[[#This Row],[visit_Date]],"mmmm")</f>
        <v>January</v>
      </c>
      <c r="L1051" t="str">
        <f t="shared" si="33"/>
        <v>Winter</v>
      </c>
    </row>
    <row r="1052" spans="1:12" x14ac:dyDescent="0.25">
      <c r="A1052">
        <v>1051</v>
      </c>
      <c r="B1052">
        <v>1095</v>
      </c>
      <c r="C1052">
        <v>723</v>
      </c>
      <c r="D1052" s="1">
        <v>45819</v>
      </c>
      <c r="E1052" t="s">
        <v>344</v>
      </c>
      <c r="F1052" t="s">
        <v>345</v>
      </c>
      <c r="G1052" t="str">
        <f>_xlfn.XLOOKUP(TRIM(E1053),MedicineInfo!A:A,MedicineInfo!B:B,"Not Found")</f>
        <v>Multivitamin</v>
      </c>
      <c r="H1052" s="1" cm="1">
        <f t="array" ref="H1052">_xlfn.IFS(
OR(E1052="Type 2 Diabetes",E1052="Essential Hypertension",E1052="Angina Pectoris",E1052="Bronchial Asthma",E1052="Cardiac Arrhythmia"), D1052+30,
OR(E1052="Gastritis",E1052="Osteoarthritis",E1052="Bronchitis",E1052="Iron Deficiency Anemia"), D1052+14,
OR(E1052="Lumbar Strain",E1052="Migraine Headache"), D1052+7,
OR(E1052="Viral Fever",E1052="General Checkup","Routine Health Check"), "",
TRUE,""
)</f>
        <v>45833</v>
      </c>
      <c r="I1052" s="1" t="str">
        <f t="shared" si="32"/>
        <v>Follow-up Scheduled</v>
      </c>
      <c r="J1052" t="str">
        <f>TEXT(Table8[[#This Row],[visit_Date]],"DDDD")</f>
        <v>Wednesday</v>
      </c>
      <c r="K1052" t="str">
        <f>TEXT(Table8[[#This Row],[visit_Date]],"mmmm")</f>
        <v>June</v>
      </c>
      <c r="L1052" t="str">
        <f t="shared" si="33"/>
        <v>Monsoon</v>
      </c>
    </row>
    <row r="1053" spans="1:12" x14ac:dyDescent="0.25">
      <c r="A1053">
        <v>1052</v>
      </c>
      <c r="B1053">
        <v>1175</v>
      </c>
      <c r="C1053">
        <v>1425</v>
      </c>
      <c r="D1053" s="1">
        <v>45814</v>
      </c>
      <c r="E1053" t="s">
        <v>24</v>
      </c>
      <c r="F1053" t="s">
        <v>321</v>
      </c>
      <c r="G1053" t="str">
        <f>_xlfn.XLOOKUP(TRIM(E1054),MedicineInfo!A:A,MedicineInfo!B:B,"Not Found")</f>
        <v>Multivitamin</v>
      </c>
      <c r="H1053" s="1" t="str" cm="1">
        <f t="array" ref="H1053">_xlfn.IFS(
OR(E1053="Type 2 Diabetes",E1053="Essential Hypertension",E1053="Angina Pectoris",E1053="Bronchial Asthma",E1053="Cardiac Arrhythmia"), D1053+30,
OR(E1053="Gastritis",E1053="Osteoarthritis",E1053="Bronchitis",E1053="Iron Deficiency Anemia"), D1053+14,
OR(E1053="Lumbar Strain",E1053="Migraine Headache"), D1053+7,
OR(E1053="Viral Fever",E1053="General Checkup","Routine Health Check"), "",
TRUE,""
)</f>
        <v/>
      </c>
      <c r="I1053" s="1" t="str">
        <f t="shared" si="32"/>
        <v>No Follow-up Required</v>
      </c>
      <c r="J1053" t="str">
        <f>TEXT(Table8[[#This Row],[visit_Date]],"DDDD")</f>
        <v>Friday</v>
      </c>
      <c r="K1053" t="str">
        <f>TEXT(Table8[[#This Row],[visit_Date]],"mmmm")</f>
        <v>June</v>
      </c>
      <c r="L1053" t="str">
        <f t="shared" si="33"/>
        <v>Monsoon</v>
      </c>
    </row>
    <row r="1054" spans="1:12" x14ac:dyDescent="0.25">
      <c r="A1054">
        <v>1053</v>
      </c>
      <c r="B1054">
        <v>1177</v>
      </c>
      <c r="C1054">
        <v>1050</v>
      </c>
      <c r="D1054" s="1">
        <v>45756</v>
      </c>
      <c r="E1054" t="s">
        <v>24</v>
      </c>
      <c r="F1054" t="s">
        <v>321</v>
      </c>
      <c r="G1054" t="str">
        <f>_xlfn.XLOOKUP(TRIM(E1055),MedicineInfo!A:A,MedicineInfo!B:B,"Not Found")</f>
        <v>Multivitamin</v>
      </c>
      <c r="H1054" s="1" t="str" cm="1">
        <f t="array" ref="H1054">_xlfn.IFS(
OR(E1054="Type 2 Diabetes",E1054="Essential Hypertension",E1054="Angina Pectoris",E1054="Bronchial Asthma",E1054="Cardiac Arrhythmia"), D1054+30,
OR(E1054="Gastritis",E1054="Osteoarthritis",E1054="Bronchitis",E1054="Iron Deficiency Anemia"), D1054+14,
OR(E1054="Lumbar Strain",E1054="Migraine Headache"), D1054+7,
OR(E1054="Viral Fever",E1054="General Checkup","Routine Health Check"), "",
TRUE,""
)</f>
        <v/>
      </c>
      <c r="I1054" s="1" t="str">
        <f t="shared" si="32"/>
        <v>No Follow-up Required</v>
      </c>
      <c r="J1054" t="str">
        <f>TEXT(Table8[[#This Row],[visit_Date]],"DDDD")</f>
        <v>Wednesday</v>
      </c>
      <c r="K1054" t="str">
        <f>TEXT(Table8[[#This Row],[visit_Date]],"mmmm")</f>
        <v>April</v>
      </c>
      <c r="L1054" t="str">
        <f t="shared" si="33"/>
        <v>Summer</v>
      </c>
    </row>
    <row r="1055" spans="1:12" x14ac:dyDescent="0.25">
      <c r="A1055">
        <v>1054</v>
      </c>
      <c r="B1055">
        <v>1274</v>
      </c>
      <c r="C1055">
        <v>1176</v>
      </c>
      <c r="D1055" s="1">
        <v>45747</v>
      </c>
      <c r="E1055" t="s">
        <v>24</v>
      </c>
      <c r="F1055" t="s">
        <v>321</v>
      </c>
      <c r="G1055" t="str">
        <f>_xlfn.XLOOKUP(TRIM(E1056),MedicineInfo!A:A,MedicineInfo!B:B,"Not Found")</f>
        <v>Multivitamin</v>
      </c>
      <c r="H1055" s="1" t="str" cm="1">
        <f t="array" ref="H1055">_xlfn.IFS(
OR(E1055="Type 2 Diabetes",E1055="Essential Hypertension",E1055="Angina Pectoris",E1055="Bronchial Asthma",E1055="Cardiac Arrhythmia"), D1055+30,
OR(E1055="Gastritis",E1055="Osteoarthritis",E1055="Bronchitis",E1055="Iron Deficiency Anemia"), D1055+14,
OR(E1055="Lumbar Strain",E1055="Migraine Headache"), D1055+7,
OR(E1055="Viral Fever",E1055="General Checkup","Routine Health Check"), "",
TRUE,""
)</f>
        <v/>
      </c>
      <c r="I1055" s="1" t="str">
        <f t="shared" si="32"/>
        <v>No Follow-up Required</v>
      </c>
      <c r="J1055" t="str">
        <f>TEXT(Table8[[#This Row],[visit_Date]],"DDDD")</f>
        <v>Monday</v>
      </c>
      <c r="K1055" t="str">
        <f>TEXT(Table8[[#This Row],[visit_Date]],"mmmm")</f>
        <v>March</v>
      </c>
      <c r="L1055" t="str">
        <f t="shared" si="33"/>
        <v>Summer</v>
      </c>
    </row>
    <row r="1056" spans="1:12" x14ac:dyDescent="0.25">
      <c r="A1056">
        <v>1055</v>
      </c>
      <c r="B1056">
        <v>1008</v>
      </c>
      <c r="C1056">
        <v>444</v>
      </c>
      <c r="D1056" s="1">
        <v>45783</v>
      </c>
      <c r="E1056" t="s">
        <v>24</v>
      </c>
      <c r="F1056" t="s">
        <v>321</v>
      </c>
      <c r="G1056" t="str">
        <f>_xlfn.XLOOKUP(TRIM(E1057),MedicineInfo!A:A,MedicineInfo!B:B,"Not Found")</f>
        <v>Multivitamin</v>
      </c>
      <c r="H1056" s="1" t="str" cm="1">
        <f t="array" ref="H1056">_xlfn.IFS(
OR(E1056="Type 2 Diabetes",E1056="Essential Hypertension",E1056="Angina Pectoris",E1056="Bronchial Asthma",E1056="Cardiac Arrhythmia"), D1056+30,
OR(E1056="Gastritis",E1056="Osteoarthritis",E1056="Bronchitis",E1056="Iron Deficiency Anemia"), D1056+14,
OR(E1056="Lumbar Strain",E1056="Migraine Headache"), D1056+7,
OR(E1056="Viral Fever",E1056="General Checkup","Routine Health Check"), "",
TRUE,""
)</f>
        <v/>
      </c>
      <c r="I1056" s="1" t="str">
        <f t="shared" si="32"/>
        <v>No Follow-up Required</v>
      </c>
      <c r="J1056" t="str">
        <f>TEXT(Table8[[#This Row],[visit_Date]],"DDDD")</f>
        <v>Tuesday</v>
      </c>
      <c r="K1056" t="str">
        <f>TEXT(Table8[[#This Row],[visit_Date]],"mmmm")</f>
        <v>May</v>
      </c>
      <c r="L1056" t="str">
        <f t="shared" si="33"/>
        <v>Summer</v>
      </c>
    </row>
    <row r="1057" spans="1:12" x14ac:dyDescent="0.25">
      <c r="A1057">
        <v>1056</v>
      </c>
      <c r="B1057">
        <v>1045</v>
      </c>
      <c r="C1057">
        <v>279</v>
      </c>
      <c r="D1057" s="1">
        <v>45824</v>
      </c>
      <c r="E1057" t="s">
        <v>24</v>
      </c>
      <c r="F1057" t="s">
        <v>321</v>
      </c>
      <c r="G1057" t="str">
        <f>_xlfn.XLOOKUP(TRIM(E1058),MedicineInfo!A:A,MedicineInfo!B:B,"Not Found")</f>
        <v>Multivitamin</v>
      </c>
      <c r="H1057" s="1" t="str" cm="1">
        <f t="array" ref="H1057">_xlfn.IFS(
OR(E1057="Type 2 Diabetes",E1057="Essential Hypertension",E1057="Angina Pectoris",E1057="Bronchial Asthma",E1057="Cardiac Arrhythmia"), D1057+30,
OR(E1057="Gastritis",E1057="Osteoarthritis",E1057="Bronchitis",E1057="Iron Deficiency Anemia"), D1057+14,
OR(E1057="Lumbar Strain",E1057="Migraine Headache"), D1057+7,
OR(E1057="Viral Fever",E1057="General Checkup","Routine Health Check"), "",
TRUE,""
)</f>
        <v/>
      </c>
      <c r="I1057" s="1" t="str">
        <f t="shared" si="32"/>
        <v>No Follow-up Required</v>
      </c>
      <c r="J1057" t="str">
        <f>TEXT(Table8[[#This Row],[visit_Date]],"DDDD")</f>
        <v>Monday</v>
      </c>
      <c r="K1057" t="str">
        <f>TEXT(Table8[[#This Row],[visit_Date]],"mmmm")</f>
        <v>June</v>
      </c>
      <c r="L1057" t="str">
        <f t="shared" si="33"/>
        <v>Monsoon</v>
      </c>
    </row>
    <row r="1058" spans="1:12" x14ac:dyDescent="0.25">
      <c r="A1058">
        <v>1057</v>
      </c>
      <c r="B1058">
        <v>1346</v>
      </c>
      <c r="C1058">
        <v>113</v>
      </c>
      <c r="D1058" s="1">
        <v>45810</v>
      </c>
      <c r="E1058" t="s">
        <v>24</v>
      </c>
      <c r="F1058" t="s">
        <v>321</v>
      </c>
      <c r="G1058" t="str">
        <f>_xlfn.XLOOKUP(TRIM(E1059),MedicineInfo!A:A,MedicineInfo!B:B,"Not Found")</f>
        <v>Multivitamin</v>
      </c>
      <c r="H1058" s="1" t="str" cm="1">
        <f t="array" ref="H1058">_xlfn.IFS(
OR(E1058="Type 2 Diabetes",E1058="Essential Hypertension",E1058="Angina Pectoris",E1058="Bronchial Asthma",E1058="Cardiac Arrhythmia"), D1058+30,
OR(E1058="Gastritis",E1058="Osteoarthritis",E1058="Bronchitis",E1058="Iron Deficiency Anemia"), D1058+14,
OR(E1058="Lumbar Strain",E1058="Migraine Headache"), D1058+7,
OR(E1058="Viral Fever",E1058="General Checkup","Routine Health Check"), "",
TRUE,""
)</f>
        <v/>
      </c>
      <c r="I1058" s="1" t="str">
        <f t="shared" si="32"/>
        <v>No Follow-up Required</v>
      </c>
      <c r="J1058" t="str">
        <f>TEXT(Table8[[#This Row],[visit_Date]],"DDDD")</f>
        <v>Monday</v>
      </c>
      <c r="K1058" t="str">
        <f>TEXT(Table8[[#This Row],[visit_Date]],"mmmm")</f>
        <v>June</v>
      </c>
      <c r="L1058" t="str">
        <f t="shared" si="33"/>
        <v>Monsoon</v>
      </c>
    </row>
    <row r="1059" spans="1:12" x14ac:dyDescent="0.25">
      <c r="A1059">
        <v>1058</v>
      </c>
      <c r="B1059">
        <v>1175</v>
      </c>
      <c r="C1059">
        <v>1123</v>
      </c>
      <c r="D1059" s="1">
        <v>45674</v>
      </c>
      <c r="E1059" t="s">
        <v>24</v>
      </c>
      <c r="F1059" t="s">
        <v>321</v>
      </c>
      <c r="G1059" t="str">
        <f>_xlfn.XLOOKUP(TRIM(E1060),MedicineInfo!A:A,MedicineInfo!B:B,"Not Found")</f>
        <v>Multivitamin</v>
      </c>
      <c r="H1059" s="1" t="str" cm="1">
        <f t="array" ref="H1059">_xlfn.IFS(
OR(E1059="Type 2 Diabetes",E1059="Essential Hypertension",E1059="Angina Pectoris",E1059="Bronchial Asthma",E1059="Cardiac Arrhythmia"), D1059+30,
OR(E1059="Gastritis",E1059="Osteoarthritis",E1059="Bronchitis",E1059="Iron Deficiency Anemia"), D1059+14,
OR(E1059="Lumbar Strain",E1059="Migraine Headache"), D1059+7,
OR(E1059="Viral Fever",E1059="General Checkup","Routine Health Check"), "",
TRUE,""
)</f>
        <v/>
      </c>
      <c r="I1059" s="1" t="str">
        <f t="shared" si="32"/>
        <v>No Follow-up Required</v>
      </c>
      <c r="J1059" t="str">
        <f>TEXT(Table8[[#This Row],[visit_Date]],"DDDD")</f>
        <v>Friday</v>
      </c>
      <c r="K1059" t="str">
        <f>TEXT(Table8[[#This Row],[visit_Date]],"mmmm")</f>
        <v>January</v>
      </c>
      <c r="L1059" t="str">
        <f t="shared" si="33"/>
        <v>Winter</v>
      </c>
    </row>
    <row r="1060" spans="1:12" x14ac:dyDescent="0.25">
      <c r="A1060">
        <v>1059</v>
      </c>
      <c r="B1060">
        <v>1354</v>
      </c>
      <c r="C1060">
        <v>253</v>
      </c>
      <c r="D1060" s="1">
        <v>45661</v>
      </c>
      <c r="E1060" t="s">
        <v>24</v>
      </c>
      <c r="F1060" t="s">
        <v>321</v>
      </c>
      <c r="G1060" t="str">
        <f>_xlfn.XLOOKUP(TRIM(E1061),MedicineInfo!A:A,MedicineInfo!B:B,"Not Found")</f>
        <v>Amiodarone</v>
      </c>
      <c r="H1060" s="1" t="str" cm="1">
        <f t="array" ref="H1060">_xlfn.IFS(
OR(E1060="Type 2 Diabetes",E1060="Essential Hypertension",E1060="Angina Pectoris",E1060="Bronchial Asthma",E1060="Cardiac Arrhythmia"), D1060+30,
OR(E1060="Gastritis",E1060="Osteoarthritis",E1060="Bronchitis",E1060="Iron Deficiency Anemia"), D1060+14,
OR(E1060="Lumbar Strain",E1060="Migraine Headache"), D1060+7,
OR(E1060="Viral Fever",E1060="General Checkup","Routine Health Check"), "",
TRUE,""
)</f>
        <v/>
      </c>
      <c r="I1060" s="1" t="str">
        <f t="shared" si="32"/>
        <v>No Follow-up Required</v>
      </c>
      <c r="J1060" t="str">
        <f>TEXT(Table8[[#This Row],[visit_Date]],"DDDD")</f>
        <v>Saturday</v>
      </c>
      <c r="K1060" t="str">
        <f>TEXT(Table8[[#This Row],[visit_Date]],"mmmm")</f>
        <v>January</v>
      </c>
      <c r="L1060" t="str">
        <f t="shared" si="33"/>
        <v>Winter</v>
      </c>
    </row>
    <row r="1061" spans="1:12" x14ac:dyDescent="0.25">
      <c r="A1061">
        <v>1060</v>
      </c>
      <c r="B1061">
        <v>1039</v>
      </c>
      <c r="C1061">
        <v>843</v>
      </c>
      <c r="D1061" s="1">
        <v>45823</v>
      </c>
      <c r="E1061" t="s">
        <v>330</v>
      </c>
      <c r="F1061" t="s">
        <v>331</v>
      </c>
      <c r="G1061" t="str">
        <f>_xlfn.XLOOKUP(TRIM(E1062),MedicineInfo!A:A,MedicineInfo!B:B,"Not Found")</f>
        <v>Multivitamin</v>
      </c>
      <c r="H1061" s="1" cm="1">
        <f t="array" ref="H1061">_xlfn.IFS(
OR(E1061="Type 2 Diabetes",E1061="Essential Hypertension",E1061="Angina Pectoris",E1061="Bronchial Asthma",E1061="Cardiac Arrhythmia"), D1061+30,
OR(E1061="Gastritis",E1061="Osteoarthritis",E1061="Bronchitis",E1061="Iron Deficiency Anemia"), D1061+14,
OR(E1061="Lumbar Strain",E1061="Migraine Headache"), D1061+7,
OR(E1061="Viral Fever",E1061="General Checkup","Routine Health Check"), "",
TRUE,""
)</f>
        <v>45853</v>
      </c>
      <c r="I1061" s="1" t="str">
        <f t="shared" si="32"/>
        <v>Follow-up Scheduled</v>
      </c>
      <c r="J1061" t="str">
        <f>TEXT(Table8[[#This Row],[visit_Date]],"DDDD")</f>
        <v>Sunday</v>
      </c>
      <c r="K1061" t="str">
        <f>TEXT(Table8[[#This Row],[visit_Date]],"mmmm")</f>
        <v>June</v>
      </c>
      <c r="L1061" t="str">
        <f t="shared" si="33"/>
        <v>Monsoon</v>
      </c>
    </row>
    <row r="1062" spans="1:12" x14ac:dyDescent="0.25">
      <c r="A1062">
        <v>1061</v>
      </c>
      <c r="B1062">
        <v>1127</v>
      </c>
      <c r="C1062">
        <v>420</v>
      </c>
      <c r="D1062" s="1">
        <v>45834</v>
      </c>
      <c r="E1062" t="s">
        <v>24</v>
      </c>
      <c r="F1062" t="s">
        <v>321</v>
      </c>
      <c r="G1062" t="str">
        <f>_xlfn.XLOOKUP(TRIM(E1063),MedicineInfo!A:A,MedicineInfo!B:B,"Not Found")</f>
        <v>Multivitamin</v>
      </c>
      <c r="H1062" s="1" t="str" cm="1">
        <f t="array" ref="H1062">_xlfn.IFS(
OR(E1062="Type 2 Diabetes",E1062="Essential Hypertension",E1062="Angina Pectoris",E1062="Bronchial Asthma",E1062="Cardiac Arrhythmia"), D1062+30,
OR(E1062="Gastritis",E1062="Osteoarthritis",E1062="Bronchitis",E1062="Iron Deficiency Anemia"), D1062+14,
OR(E1062="Lumbar Strain",E1062="Migraine Headache"), D1062+7,
OR(E1062="Viral Fever",E1062="General Checkup","Routine Health Check"), "",
TRUE,""
)</f>
        <v/>
      </c>
      <c r="I1062" s="1" t="str">
        <f t="shared" si="32"/>
        <v>No Follow-up Required</v>
      </c>
      <c r="J1062" t="str">
        <f>TEXT(Table8[[#This Row],[visit_Date]],"DDDD")</f>
        <v>Thursday</v>
      </c>
      <c r="K1062" t="str">
        <f>TEXT(Table8[[#This Row],[visit_Date]],"mmmm")</f>
        <v>June</v>
      </c>
      <c r="L1062" t="str">
        <f t="shared" si="33"/>
        <v>Monsoon</v>
      </c>
    </row>
    <row r="1063" spans="1:12" x14ac:dyDescent="0.25">
      <c r="A1063">
        <v>1062</v>
      </c>
      <c r="B1063">
        <v>1138</v>
      </c>
      <c r="C1063">
        <v>1197</v>
      </c>
      <c r="D1063" s="1">
        <v>45853</v>
      </c>
      <c r="E1063" t="s">
        <v>24</v>
      </c>
      <c r="F1063" t="s">
        <v>321</v>
      </c>
      <c r="G1063" t="str">
        <f>_xlfn.XLOOKUP(TRIM(E1064),MedicineInfo!A:A,MedicineInfo!B:B,"Not Found")</f>
        <v>Multivitamin</v>
      </c>
      <c r="H1063" s="1" t="str" cm="1">
        <f t="array" ref="H1063">_xlfn.IFS(
OR(E1063="Type 2 Diabetes",E1063="Essential Hypertension",E1063="Angina Pectoris",E1063="Bronchial Asthma",E1063="Cardiac Arrhythmia"), D1063+30,
OR(E1063="Gastritis",E1063="Osteoarthritis",E1063="Bronchitis",E1063="Iron Deficiency Anemia"), D1063+14,
OR(E1063="Lumbar Strain",E1063="Migraine Headache"), D1063+7,
OR(E1063="Viral Fever",E1063="General Checkup","Routine Health Check"), "",
TRUE,""
)</f>
        <v/>
      </c>
      <c r="I1063" s="1" t="str">
        <f t="shared" si="32"/>
        <v>No Follow-up Required</v>
      </c>
      <c r="J1063" t="str">
        <f>TEXT(Table8[[#This Row],[visit_Date]],"DDDD")</f>
        <v>Tuesday</v>
      </c>
      <c r="K1063" t="str">
        <f>TEXT(Table8[[#This Row],[visit_Date]],"mmmm")</f>
        <v>July</v>
      </c>
      <c r="L1063" t="str">
        <f t="shared" si="33"/>
        <v>Monsoon</v>
      </c>
    </row>
    <row r="1064" spans="1:12" x14ac:dyDescent="0.25">
      <c r="A1064">
        <v>1063</v>
      </c>
      <c r="B1064">
        <v>1104</v>
      </c>
      <c r="C1064">
        <v>1491</v>
      </c>
      <c r="D1064" s="1">
        <v>45716</v>
      </c>
      <c r="E1064" t="s">
        <v>24</v>
      </c>
      <c r="F1064" t="s">
        <v>321</v>
      </c>
      <c r="G1064" t="str">
        <f>_xlfn.XLOOKUP(TRIM(E1065),MedicineInfo!A:A,MedicineInfo!B:B,"Not Found")</f>
        <v>Multivitamin</v>
      </c>
      <c r="H1064" s="1" t="str" cm="1">
        <f t="array" ref="H1064">_xlfn.IFS(
OR(E1064="Type 2 Diabetes",E1064="Essential Hypertension",E1064="Angina Pectoris",E1064="Bronchial Asthma",E1064="Cardiac Arrhythmia"), D1064+30,
OR(E1064="Gastritis",E1064="Osteoarthritis",E1064="Bronchitis",E1064="Iron Deficiency Anemia"), D1064+14,
OR(E1064="Lumbar Strain",E1064="Migraine Headache"), D1064+7,
OR(E1064="Viral Fever",E1064="General Checkup","Routine Health Check"), "",
TRUE,""
)</f>
        <v/>
      </c>
      <c r="I1064" s="1" t="str">
        <f t="shared" si="32"/>
        <v>No Follow-up Required</v>
      </c>
      <c r="J1064" t="str">
        <f>TEXT(Table8[[#This Row],[visit_Date]],"DDDD")</f>
        <v>Friday</v>
      </c>
      <c r="K1064" t="str">
        <f>TEXT(Table8[[#This Row],[visit_Date]],"mmmm")</f>
        <v>February</v>
      </c>
      <c r="L1064" t="str">
        <f t="shared" si="33"/>
        <v>Winter</v>
      </c>
    </row>
    <row r="1065" spans="1:12" x14ac:dyDescent="0.25">
      <c r="A1065">
        <v>1064</v>
      </c>
      <c r="B1065">
        <v>1039</v>
      </c>
      <c r="C1065">
        <v>1282</v>
      </c>
      <c r="D1065" s="1">
        <v>45814</v>
      </c>
      <c r="E1065" t="s">
        <v>24</v>
      </c>
      <c r="F1065" t="s">
        <v>321</v>
      </c>
      <c r="G1065" t="str">
        <f>_xlfn.XLOOKUP(TRIM(E1066),MedicineInfo!A:A,MedicineInfo!B:B,"Not Found")</f>
        <v>Multivitamin</v>
      </c>
      <c r="H1065" s="1" t="str" cm="1">
        <f t="array" ref="H1065">_xlfn.IFS(
OR(E1065="Type 2 Diabetes",E1065="Essential Hypertension",E1065="Angina Pectoris",E1065="Bronchial Asthma",E1065="Cardiac Arrhythmia"), D1065+30,
OR(E1065="Gastritis",E1065="Osteoarthritis",E1065="Bronchitis",E1065="Iron Deficiency Anemia"), D1065+14,
OR(E1065="Lumbar Strain",E1065="Migraine Headache"), D1065+7,
OR(E1065="Viral Fever",E1065="General Checkup","Routine Health Check"), "",
TRUE,""
)</f>
        <v/>
      </c>
      <c r="I1065" s="1" t="str">
        <f t="shared" si="32"/>
        <v>No Follow-up Required</v>
      </c>
      <c r="J1065" t="str">
        <f>TEXT(Table8[[#This Row],[visit_Date]],"DDDD")</f>
        <v>Friday</v>
      </c>
      <c r="K1065" t="str">
        <f>TEXT(Table8[[#This Row],[visit_Date]],"mmmm")</f>
        <v>June</v>
      </c>
      <c r="L1065" t="str">
        <f t="shared" si="33"/>
        <v>Monsoon</v>
      </c>
    </row>
    <row r="1066" spans="1:12" x14ac:dyDescent="0.25">
      <c r="A1066">
        <v>1065</v>
      </c>
      <c r="B1066">
        <v>1302</v>
      </c>
      <c r="C1066">
        <v>336</v>
      </c>
      <c r="D1066" s="1">
        <v>45686</v>
      </c>
      <c r="E1066" t="s">
        <v>24</v>
      </c>
      <c r="F1066" t="s">
        <v>321</v>
      </c>
      <c r="G1066" t="str">
        <f>_xlfn.XLOOKUP(TRIM(E1067),MedicineInfo!A:A,MedicineInfo!B:B,"Not Found")</f>
        <v>Multivitamin</v>
      </c>
      <c r="H1066" s="1" t="str" cm="1">
        <f t="array" ref="H1066">_xlfn.IFS(
OR(E1066="Type 2 Diabetes",E1066="Essential Hypertension",E1066="Angina Pectoris",E1066="Bronchial Asthma",E1066="Cardiac Arrhythmia"), D1066+30,
OR(E1066="Gastritis",E1066="Osteoarthritis",E1066="Bronchitis",E1066="Iron Deficiency Anemia"), D1066+14,
OR(E1066="Lumbar Strain",E1066="Migraine Headache"), D1066+7,
OR(E1066="Viral Fever",E1066="General Checkup","Routine Health Check"), "",
TRUE,""
)</f>
        <v/>
      </c>
      <c r="I1066" s="1" t="str">
        <f t="shared" si="32"/>
        <v>No Follow-up Required</v>
      </c>
      <c r="J1066" t="str">
        <f>TEXT(Table8[[#This Row],[visit_Date]],"DDDD")</f>
        <v>Wednesday</v>
      </c>
      <c r="K1066" t="str">
        <f>TEXT(Table8[[#This Row],[visit_Date]],"mmmm")</f>
        <v>January</v>
      </c>
      <c r="L1066" t="str">
        <f t="shared" si="33"/>
        <v>Winter</v>
      </c>
    </row>
    <row r="1067" spans="1:12" x14ac:dyDescent="0.25">
      <c r="A1067">
        <v>1066</v>
      </c>
      <c r="B1067">
        <v>1174</v>
      </c>
      <c r="C1067">
        <v>400</v>
      </c>
      <c r="D1067" s="1">
        <v>45796</v>
      </c>
      <c r="E1067" t="s">
        <v>24</v>
      </c>
      <c r="F1067" t="s">
        <v>321</v>
      </c>
      <c r="G1067" t="str">
        <f>_xlfn.XLOOKUP(TRIM(E1068),MedicineInfo!A:A,MedicineInfo!B:B,"Not Found")</f>
        <v>Multivitamin</v>
      </c>
      <c r="H1067" s="1" t="str" cm="1">
        <f t="array" ref="H1067">_xlfn.IFS(
OR(E1067="Type 2 Diabetes",E1067="Essential Hypertension",E1067="Angina Pectoris",E1067="Bronchial Asthma",E1067="Cardiac Arrhythmia"), D1067+30,
OR(E1067="Gastritis",E1067="Osteoarthritis",E1067="Bronchitis",E1067="Iron Deficiency Anemia"), D1067+14,
OR(E1067="Lumbar Strain",E1067="Migraine Headache"), D1067+7,
OR(E1067="Viral Fever",E1067="General Checkup","Routine Health Check"), "",
TRUE,""
)</f>
        <v/>
      </c>
      <c r="I1067" s="1" t="str">
        <f t="shared" si="32"/>
        <v>No Follow-up Required</v>
      </c>
      <c r="J1067" t="str">
        <f>TEXT(Table8[[#This Row],[visit_Date]],"DDDD")</f>
        <v>Monday</v>
      </c>
      <c r="K1067" t="str">
        <f>TEXT(Table8[[#This Row],[visit_Date]],"mmmm")</f>
        <v>May</v>
      </c>
      <c r="L1067" t="str">
        <f t="shared" si="33"/>
        <v>Summer</v>
      </c>
    </row>
    <row r="1068" spans="1:12" x14ac:dyDescent="0.25">
      <c r="A1068">
        <v>1067</v>
      </c>
      <c r="B1068">
        <v>1326</v>
      </c>
      <c r="C1068">
        <v>1337</v>
      </c>
      <c r="D1068" s="1">
        <v>45686</v>
      </c>
      <c r="E1068" t="s">
        <v>24</v>
      </c>
      <c r="F1068" t="s">
        <v>321</v>
      </c>
      <c r="G1068" t="str">
        <f>_xlfn.XLOOKUP(TRIM(E1069),MedicineInfo!A:A,MedicineInfo!B:B,"Not Found")</f>
        <v>Nitroglycerin</v>
      </c>
      <c r="H1068" s="1" t="str" cm="1">
        <f t="array" ref="H1068">_xlfn.IFS(
OR(E1068="Type 2 Diabetes",E1068="Essential Hypertension",E1068="Angina Pectoris",E1068="Bronchial Asthma",E1068="Cardiac Arrhythmia"), D1068+30,
OR(E1068="Gastritis",E1068="Osteoarthritis",E1068="Bronchitis",E1068="Iron Deficiency Anemia"), D1068+14,
OR(E1068="Lumbar Strain",E1068="Migraine Headache"), D1068+7,
OR(E1068="Viral Fever",E1068="General Checkup","Routine Health Check"), "",
TRUE,""
)</f>
        <v/>
      </c>
      <c r="I1068" s="1" t="str">
        <f t="shared" si="32"/>
        <v>No Follow-up Required</v>
      </c>
      <c r="J1068" t="str">
        <f>TEXT(Table8[[#This Row],[visit_Date]],"DDDD")</f>
        <v>Wednesday</v>
      </c>
      <c r="K1068" t="str">
        <f>TEXT(Table8[[#This Row],[visit_Date]],"mmmm")</f>
        <v>January</v>
      </c>
      <c r="L1068" t="str">
        <f t="shared" si="33"/>
        <v>Winter</v>
      </c>
    </row>
    <row r="1069" spans="1:12" x14ac:dyDescent="0.25">
      <c r="A1069">
        <v>1068</v>
      </c>
      <c r="B1069">
        <v>1072</v>
      </c>
      <c r="C1069">
        <v>855</v>
      </c>
      <c r="D1069" s="1">
        <v>45691</v>
      </c>
      <c r="E1069" t="s">
        <v>322</v>
      </c>
      <c r="F1069" t="s">
        <v>323</v>
      </c>
      <c r="G1069" t="str">
        <f>_xlfn.XLOOKUP(TRIM(E1070),MedicineInfo!A:A,MedicineInfo!B:B,"Not Found")</f>
        <v>Multivitamin</v>
      </c>
      <c r="H1069" s="1" cm="1">
        <f t="array" ref="H1069">_xlfn.IFS(
OR(E1069="Type 2 Diabetes",E1069="Essential Hypertension",E1069="Angina Pectoris",E1069="Bronchial Asthma",E1069="Cardiac Arrhythmia"), D1069+30,
OR(E1069="Gastritis",E1069="Osteoarthritis",E1069="Bronchitis",E1069="Iron Deficiency Anemia"), D1069+14,
OR(E1069="Lumbar Strain",E1069="Migraine Headache"), D1069+7,
OR(E1069="Viral Fever",E1069="General Checkup","Routine Health Check"), "",
TRUE,""
)</f>
        <v>45721</v>
      </c>
      <c r="I1069" s="1" t="str">
        <f t="shared" si="32"/>
        <v>Follow-up Scheduled</v>
      </c>
      <c r="J1069" t="str">
        <f>TEXT(Table8[[#This Row],[visit_Date]],"DDDD")</f>
        <v>Monday</v>
      </c>
      <c r="K1069" t="str">
        <f>TEXT(Table8[[#This Row],[visit_Date]],"mmmm")</f>
        <v>February</v>
      </c>
      <c r="L1069" t="str">
        <f t="shared" si="33"/>
        <v>Winter</v>
      </c>
    </row>
    <row r="1070" spans="1:12" x14ac:dyDescent="0.25">
      <c r="A1070">
        <v>1069</v>
      </c>
      <c r="B1070">
        <v>1038</v>
      </c>
      <c r="C1070">
        <v>872</v>
      </c>
      <c r="D1070" s="1">
        <v>45669</v>
      </c>
      <c r="E1070" t="s">
        <v>24</v>
      </c>
      <c r="F1070" t="s">
        <v>321</v>
      </c>
      <c r="G1070" t="str">
        <f>_xlfn.XLOOKUP(TRIM(E1071),MedicineInfo!A:A,MedicineInfo!B:B,"Not Found")</f>
        <v>Multivitamin</v>
      </c>
      <c r="H1070" s="1" t="str" cm="1">
        <f t="array" ref="H1070">_xlfn.IFS(
OR(E1070="Type 2 Diabetes",E1070="Essential Hypertension",E1070="Angina Pectoris",E1070="Bronchial Asthma",E1070="Cardiac Arrhythmia"), D1070+30,
OR(E1070="Gastritis",E1070="Osteoarthritis",E1070="Bronchitis",E1070="Iron Deficiency Anemia"), D1070+14,
OR(E1070="Lumbar Strain",E1070="Migraine Headache"), D1070+7,
OR(E1070="Viral Fever",E1070="General Checkup","Routine Health Check"), "",
TRUE,""
)</f>
        <v/>
      </c>
      <c r="I1070" s="1" t="str">
        <f t="shared" si="32"/>
        <v>No Follow-up Required</v>
      </c>
      <c r="J1070" t="str">
        <f>TEXT(Table8[[#This Row],[visit_Date]],"DDDD")</f>
        <v>Sunday</v>
      </c>
      <c r="K1070" t="str">
        <f>TEXT(Table8[[#This Row],[visit_Date]],"mmmm")</f>
        <v>January</v>
      </c>
      <c r="L1070" t="str">
        <f t="shared" si="33"/>
        <v>Winter</v>
      </c>
    </row>
    <row r="1071" spans="1:12" x14ac:dyDescent="0.25">
      <c r="A1071">
        <v>1070</v>
      </c>
      <c r="B1071">
        <v>1225</v>
      </c>
      <c r="C1071">
        <v>229</v>
      </c>
      <c r="D1071" s="1">
        <v>45767</v>
      </c>
      <c r="E1071" t="s">
        <v>24</v>
      </c>
      <c r="F1071" t="s">
        <v>321</v>
      </c>
      <c r="G1071" t="str">
        <f>_xlfn.XLOOKUP(TRIM(E1072),MedicineInfo!A:A,MedicineInfo!B:B,"Not Found")</f>
        <v>Multivitamin</v>
      </c>
      <c r="H1071" s="1" t="str" cm="1">
        <f t="array" ref="H1071">_xlfn.IFS(
OR(E1071="Type 2 Diabetes",E1071="Essential Hypertension",E1071="Angina Pectoris",E1071="Bronchial Asthma",E1071="Cardiac Arrhythmia"), D1071+30,
OR(E1071="Gastritis",E1071="Osteoarthritis",E1071="Bronchitis",E1071="Iron Deficiency Anemia"), D1071+14,
OR(E1071="Lumbar Strain",E1071="Migraine Headache"), D1071+7,
OR(E1071="Viral Fever",E1071="General Checkup","Routine Health Check"), "",
TRUE,""
)</f>
        <v/>
      </c>
      <c r="I1071" s="1" t="str">
        <f t="shared" si="32"/>
        <v>No Follow-up Required</v>
      </c>
      <c r="J1071" t="str">
        <f>TEXT(Table8[[#This Row],[visit_Date]],"DDDD")</f>
        <v>Sunday</v>
      </c>
      <c r="K1071" t="str">
        <f>TEXT(Table8[[#This Row],[visit_Date]],"mmmm")</f>
        <v>April</v>
      </c>
      <c r="L1071" t="str">
        <f t="shared" si="33"/>
        <v>Summer</v>
      </c>
    </row>
    <row r="1072" spans="1:12" x14ac:dyDescent="0.25">
      <c r="A1072">
        <v>1071</v>
      </c>
      <c r="B1072">
        <v>1148</v>
      </c>
      <c r="C1072">
        <v>215</v>
      </c>
      <c r="D1072" s="1">
        <v>45750</v>
      </c>
      <c r="E1072" t="s">
        <v>24</v>
      </c>
      <c r="F1072" t="s">
        <v>321</v>
      </c>
      <c r="G1072" t="str">
        <f>_xlfn.XLOOKUP(TRIM(E1073),MedicineInfo!A:A,MedicineInfo!B:B,"Not Found")</f>
        <v>Vitamin D3</v>
      </c>
      <c r="H1072" s="1" t="str" cm="1">
        <f t="array" ref="H1072">_xlfn.IFS(
OR(E1072="Type 2 Diabetes",E1072="Essential Hypertension",E1072="Angina Pectoris",E1072="Bronchial Asthma",E1072="Cardiac Arrhythmia"), D1072+30,
OR(E1072="Gastritis",E1072="Osteoarthritis",E1072="Bronchitis",E1072="Iron Deficiency Anemia"), D1072+14,
OR(E1072="Lumbar Strain",E1072="Migraine Headache"), D1072+7,
OR(E1072="Viral Fever",E1072="General Checkup","Routine Health Check"), "",
TRUE,""
)</f>
        <v/>
      </c>
      <c r="I1072" s="1" t="str">
        <f t="shared" si="32"/>
        <v>No Follow-up Required</v>
      </c>
      <c r="J1072" t="str">
        <f>TEXT(Table8[[#This Row],[visit_Date]],"DDDD")</f>
        <v>Thursday</v>
      </c>
      <c r="K1072" t="str">
        <f>TEXT(Table8[[#This Row],[visit_Date]],"mmmm")</f>
        <v>April</v>
      </c>
      <c r="L1072" t="str">
        <f t="shared" si="33"/>
        <v>Summer</v>
      </c>
    </row>
    <row r="1073" spans="1:12" x14ac:dyDescent="0.25">
      <c r="A1073">
        <v>1072</v>
      </c>
      <c r="B1073">
        <v>1024</v>
      </c>
      <c r="C1073">
        <v>1306</v>
      </c>
      <c r="D1073" s="1">
        <v>45828</v>
      </c>
      <c r="E1073" t="s">
        <v>332</v>
      </c>
      <c r="F1073" t="s">
        <v>333</v>
      </c>
      <c r="G1073" t="str">
        <f>_xlfn.XLOOKUP(TRIM(E1074),MedicineInfo!A:A,MedicineInfo!B:B,"Not Found")</f>
        <v>Multivitamin</v>
      </c>
      <c r="H1073" s="1" t="str" cm="1">
        <f t="array" ref="H1073">_xlfn.IFS(
OR(E1073="Type 2 Diabetes",E1073="Essential Hypertension",E1073="Angina Pectoris",E1073="Bronchial Asthma",E1073="Cardiac Arrhythmia"), D1073+30,
OR(E1073="Gastritis",E1073="Osteoarthritis",E1073="Bronchitis",E1073="Iron Deficiency Anemia"), D1073+14,
OR(E1073="Lumbar Strain",E1073="Migraine Headache"), D1073+7,
OR(E1073="Viral Fever",E1073="General Checkup","Routine Health Check"), "",
TRUE,""
)</f>
        <v/>
      </c>
      <c r="I1073" s="1" t="str">
        <f t="shared" si="32"/>
        <v>No Follow-up Required</v>
      </c>
      <c r="J1073" t="str">
        <f>TEXT(Table8[[#This Row],[visit_Date]],"DDDD")</f>
        <v>Friday</v>
      </c>
      <c r="K1073" t="str">
        <f>TEXT(Table8[[#This Row],[visit_Date]],"mmmm")</f>
        <v>June</v>
      </c>
      <c r="L1073" t="str">
        <f t="shared" si="33"/>
        <v>Monsoon</v>
      </c>
    </row>
    <row r="1074" spans="1:12" x14ac:dyDescent="0.25">
      <c r="A1074">
        <v>1073</v>
      </c>
      <c r="B1074">
        <v>1087</v>
      </c>
      <c r="C1074">
        <v>891</v>
      </c>
      <c r="D1074" s="1">
        <v>45683</v>
      </c>
      <c r="E1074" t="s">
        <v>24</v>
      </c>
      <c r="F1074" t="s">
        <v>321</v>
      </c>
      <c r="G1074" t="str">
        <f>_xlfn.XLOOKUP(TRIM(E1075),MedicineInfo!A:A,MedicineInfo!B:B,"Not Found")</f>
        <v>Multivitamin</v>
      </c>
      <c r="H1074" s="1" t="str" cm="1">
        <f t="array" ref="H1074">_xlfn.IFS(
OR(E1074="Type 2 Diabetes",E1074="Essential Hypertension",E1074="Angina Pectoris",E1074="Bronchial Asthma",E1074="Cardiac Arrhythmia"), D1074+30,
OR(E1074="Gastritis",E1074="Osteoarthritis",E1074="Bronchitis",E1074="Iron Deficiency Anemia"), D1074+14,
OR(E1074="Lumbar Strain",E1074="Migraine Headache"), D1074+7,
OR(E1074="Viral Fever",E1074="General Checkup","Routine Health Check"), "",
TRUE,""
)</f>
        <v/>
      </c>
      <c r="I1074" s="1" t="str">
        <f t="shared" si="32"/>
        <v>No Follow-up Required</v>
      </c>
      <c r="J1074" t="str">
        <f>TEXT(Table8[[#This Row],[visit_Date]],"DDDD")</f>
        <v>Sunday</v>
      </c>
      <c r="K1074" t="str">
        <f>TEXT(Table8[[#This Row],[visit_Date]],"mmmm")</f>
        <v>January</v>
      </c>
      <c r="L1074" t="str">
        <f t="shared" si="33"/>
        <v>Winter</v>
      </c>
    </row>
    <row r="1075" spans="1:12" x14ac:dyDescent="0.25">
      <c r="A1075">
        <v>1074</v>
      </c>
      <c r="B1075">
        <v>1371</v>
      </c>
      <c r="C1075">
        <v>1005</v>
      </c>
      <c r="D1075" s="1">
        <v>45758</v>
      </c>
      <c r="E1075" t="s">
        <v>24</v>
      </c>
      <c r="F1075" t="s">
        <v>321</v>
      </c>
      <c r="G1075" t="str">
        <f>_xlfn.XLOOKUP(TRIM(E1076),MedicineInfo!A:A,MedicineInfo!B:B,"Not Found")</f>
        <v>Multivitamin</v>
      </c>
      <c r="H1075" s="1" t="str" cm="1">
        <f t="array" ref="H1075">_xlfn.IFS(
OR(E1075="Type 2 Diabetes",E1075="Essential Hypertension",E1075="Angina Pectoris",E1075="Bronchial Asthma",E1075="Cardiac Arrhythmia"), D1075+30,
OR(E1075="Gastritis",E1075="Osteoarthritis",E1075="Bronchitis",E1075="Iron Deficiency Anemia"), D1075+14,
OR(E1075="Lumbar Strain",E1075="Migraine Headache"), D1075+7,
OR(E1075="Viral Fever",E1075="General Checkup","Routine Health Check"), "",
TRUE,""
)</f>
        <v/>
      </c>
      <c r="I1075" s="1" t="str">
        <f t="shared" si="32"/>
        <v>No Follow-up Required</v>
      </c>
      <c r="J1075" t="str">
        <f>TEXT(Table8[[#This Row],[visit_Date]],"DDDD")</f>
        <v>Friday</v>
      </c>
      <c r="K1075" t="str">
        <f>TEXT(Table8[[#This Row],[visit_Date]],"mmmm")</f>
        <v>April</v>
      </c>
      <c r="L1075" t="str">
        <f t="shared" si="33"/>
        <v>Summer</v>
      </c>
    </row>
    <row r="1076" spans="1:12" x14ac:dyDescent="0.25">
      <c r="A1076">
        <v>1075</v>
      </c>
      <c r="B1076">
        <v>1179</v>
      </c>
      <c r="C1076">
        <v>101</v>
      </c>
      <c r="D1076" s="1">
        <v>45777</v>
      </c>
      <c r="E1076" t="s">
        <v>24</v>
      </c>
      <c r="F1076" t="s">
        <v>321</v>
      </c>
      <c r="G1076" t="str">
        <f>_xlfn.XLOOKUP(TRIM(E1077),MedicineInfo!A:A,MedicineInfo!B:B,"Not Found")</f>
        <v>Multivitamin</v>
      </c>
      <c r="H1076" s="1" t="str" cm="1">
        <f t="array" ref="H1076">_xlfn.IFS(
OR(E1076="Type 2 Diabetes",E1076="Essential Hypertension",E1076="Angina Pectoris",E1076="Bronchial Asthma",E1076="Cardiac Arrhythmia"), D1076+30,
OR(E1076="Gastritis",E1076="Osteoarthritis",E1076="Bronchitis",E1076="Iron Deficiency Anemia"), D1076+14,
OR(E1076="Lumbar Strain",E1076="Migraine Headache"), D1076+7,
OR(E1076="Viral Fever",E1076="General Checkup","Routine Health Check"), "",
TRUE,""
)</f>
        <v/>
      </c>
      <c r="I1076" s="1" t="str">
        <f t="shared" si="32"/>
        <v>No Follow-up Required</v>
      </c>
      <c r="J1076" t="str">
        <f>TEXT(Table8[[#This Row],[visit_Date]],"DDDD")</f>
        <v>Wednesday</v>
      </c>
      <c r="K1076" t="str">
        <f>TEXT(Table8[[#This Row],[visit_Date]],"mmmm")</f>
        <v>April</v>
      </c>
      <c r="L1076" t="str">
        <f t="shared" si="33"/>
        <v>Summer</v>
      </c>
    </row>
    <row r="1077" spans="1:12" x14ac:dyDescent="0.25">
      <c r="A1077">
        <v>1076</v>
      </c>
      <c r="B1077">
        <v>1315</v>
      </c>
      <c r="C1077">
        <v>1599</v>
      </c>
      <c r="D1077" s="1">
        <v>45791</v>
      </c>
      <c r="E1077" t="s">
        <v>24</v>
      </c>
      <c r="F1077" t="s">
        <v>321</v>
      </c>
      <c r="G1077" t="str">
        <f>_xlfn.XLOOKUP(TRIM(E1078),MedicineInfo!A:A,MedicineInfo!B:B,"Not Found")</f>
        <v>Multivitamin</v>
      </c>
      <c r="H1077" s="1" t="str" cm="1">
        <f t="array" ref="H1077">_xlfn.IFS(
OR(E1077="Type 2 Diabetes",E1077="Essential Hypertension",E1077="Angina Pectoris",E1077="Bronchial Asthma",E1077="Cardiac Arrhythmia"), D1077+30,
OR(E1077="Gastritis",E1077="Osteoarthritis",E1077="Bronchitis",E1077="Iron Deficiency Anemia"), D1077+14,
OR(E1077="Lumbar Strain",E1077="Migraine Headache"), D1077+7,
OR(E1077="Viral Fever",E1077="General Checkup","Routine Health Check"), "",
TRUE,""
)</f>
        <v/>
      </c>
      <c r="I1077" s="1" t="str">
        <f t="shared" si="32"/>
        <v>No Follow-up Required</v>
      </c>
      <c r="J1077" t="str">
        <f>TEXT(Table8[[#This Row],[visit_Date]],"DDDD")</f>
        <v>Wednesday</v>
      </c>
      <c r="K1077" t="str">
        <f>TEXT(Table8[[#This Row],[visit_Date]],"mmmm")</f>
        <v>May</v>
      </c>
      <c r="L1077" t="str">
        <f t="shared" si="33"/>
        <v>Summer</v>
      </c>
    </row>
    <row r="1078" spans="1:12" x14ac:dyDescent="0.25">
      <c r="A1078">
        <v>1077</v>
      </c>
      <c r="B1078">
        <v>1184</v>
      </c>
      <c r="C1078">
        <v>480</v>
      </c>
      <c r="D1078" s="1">
        <v>45779</v>
      </c>
      <c r="E1078" t="s">
        <v>24</v>
      </c>
      <c r="F1078" t="s">
        <v>321</v>
      </c>
      <c r="G1078" t="str">
        <f>_xlfn.XLOOKUP(TRIM(E1079),MedicineInfo!A:A,MedicineInfo!B:B,"Not Found")</f>
        <v>Amoxicillin</v>
      </c>
      <c r="H1078" s="1" t="str" cm="1">
        <f t="array" ref="H1078">_xlfn.IFS(
OR(E1078="Type 2 Diabetes",E1078="Essential Hypertension",E1078="Angina Pectoris",E1078="Bronchial Asthma",E1078="Cardiac Arrhythmia"), D1078+30,
OR(E1078="Gastritis",E1078="Osteoarthritis",E1078="Bronchitis",E1078="Iron Deficiency Anemia"), D1078+14,
OR(E1078="Lumbar Strain",E1078="Migraine Headache"), D1078+7,
OR(E1078="Viral Fever",E1078="General Checkup","Routine Health Check"), "",
TRUE,""
)</f>
        <v/>
      </c>
      <c r="I1078" s="1" t="str">
        <f t="shared" si="32"/>
        <v>No Follow-up Required</v>
      </c>
      <c r="J1078" t="str">
        <f>TEXT(Table8[[#This Row],[visit_Date]],"DDDD")</f>
        <v>Friday</v>
      </c>
      <c r="K1078" t="str">
        <f>TEXT(Table8[[#This Row],[visit_Date]],"mmmm")</f>
        <v>May</v>
      </c>
      <c r="L1078" t="str">
        <f t="shared" si="33"/>
        <v>Summer</v>
      </c>
    </row>
    <row r="1079" spans="1:12" x14ac:dyDescent="0.25">
      <c r="A1079">
        <v>1078</v>
      </c>
      <c r="B1079">
        <v>1119</v>
      </c>
      <c r="C1079">
        <v>1064</v>
      </c>
      <c r="D1079" s="1">
        <v>45795</v>
      </c>
      <c r="E1079" t="s">
        <v>346</v>
      </c>
      <c r="F1079" t="s">
        <v>347</v>
      </c>
      <c r="G1079" t="str">
        <f>_xlfn.XLOOKUP(TRIM(E1080),MedicineInfo!A:A,MedicineInfo!B:B,"Not Found")</f>
        <v>Multivitamin</v>
      </c>
      <c r="H1079" s="1" cm="1">
        <f t="array" ref="H1079">_xlfn.IFS(
OR(E1079="Type 2 Diabetes",E1079="Essential Hypertension",E1079="Angina Pectoris",E1079="Bronchial Asthma",E1079="Cardiac Arrhythmia"), D1079+30,
OR(E1079="Gastritis",E1079="Osteoarthritis",E1079="Bronchitis",E1079="Iron Deficiency Anemia"), D1079+14,
OR(E1079="Lumbar Strain",E1079="Migraine Headache"), D1079+7,
OR(E1079="Viral Fever",E1079="General Checkup","Routine Health Check"), "",
TRUE,""
)</f>
        <v>45809</v>
      </c>
      <c r="I1079" s="1" t="str">
        <f t="shared" si="32"/>
        <v>Follow-up Scheduled</v>
      </c>
      <c r="J1079" t="str">
        <f>TEXT(Table8[[#This Row],[visit_Date]],"DDDD")</f>
        <v>Sunday</v>
      </c>
      <c r="K1079" t="str">
        <f>TEXT(Table8[[#This Row],[visit_Date]],"mmmm")</f>
        <v>May</v>
      </c>
      <c r="L1079" t="str">
        <f t="shared" si="33"/>
        <v>Summer</v>
      </c>
    </row>
    <row r="1080" spans="1:12" x14ac:dyDescent="0.25">
      <c r="A1080">
        <v>1079</v>
      </c>
      <c r="B1080">
        <v>1394</v>
      </c>
      <c r="C1080">
        <v>468</v>
      </c>
      <c r="D1080" s="1">
        <v>45792</v>
      </c>
      <c r="E1080" t="s">
        <v>24</v>
      </c>
      <c r="F1080" t="s">
        <v>321</v>
      </c>
      <c r="G1080" t="str">
        <f>_xlfn.XLOOKUP(TRIM(E1081),MedicineInfo!A:A,MedicineInfo!B:B,"Not Found")</f>
        <v>Multivitamin</v>
      </c>
      <c r="H1080" s="1" t="str" cm="1">
        <f t="array" ref="H1080">_xlfn.IFS(
OR(E1080="Type 2 Diabetes",E1080="Essential Hypertension",E1080="Angina Pectoris",E1080="Bronchial Asthma",E1080="Cardiac Arrhythmia"), D1080+30,
OR(E1080="Gastritis",E1080="Osteoarthritis",E1080="Bronchitis",E1080="Iron Deficiency Anemia"), D1080+14,
OR(E1080="Lumbar Strain",E1080="Migraine Headache"), D1080+7,
OR(E1080="Viral Fever",E1080="General Checkup","Routine Health Check"), "",
TRUE,""
)</f>
        <v/>
      </c>
      <c r="I1080" s="1" t="str">
        <f t="shared" si="32"/>
        <v>No Follow-up Required</v>
      </c>
      <c r="J1080" t="str">
        <f>TEXT(Table8[[#This Row],[visit_Date]],"DDDD")</f>
        <v>Thursday</v>
      </c>
      <c r="K1080" t="str">
        <f>TEXT(Table8[[#This Row],[visit_Date]],"mmmm")</f>
        <v>May</v>
      </c>
      <c r="L1080" t="str">
        <f t="shared" si="33"/>
        <v>Summer</v>
      </c>
    </row>
    <row r="1081" spans="1:12" x14ac:dyDescent="0.25">
      <c r="A1081">
        <v>1080</v>
      </c>
      <c r="B1081">
        <v>1190</v>
      </c>
      <c r="C1081">
        <v>552</v>
      </c>
      <c r="D1081" s="1">
        <v>45783</v>
      </c>
      <c r="E1081" t="s">
        <v>24</v>
      </c>
      <c r="F1081" t="s">
        <v>321</v>
      </c>
      <c r="G1081" t="str">
        <f>_xlfn.XLOOKUP(TRIM(E1082),MedicineInfo!A:A,MedicineInfo!B:B,"Not Found")</f>
        <v>Multivitamin</v>
      </c>
      <c r="H1081" s="1" t="str" cm="1">
        <f t="array" ref="H1081">_xlfn.IFS(
OR(E1081="Type 2 Diabetes",E1081="Essential Hypertension",E1081="Angina Pectoris",E1081="Bronchial Asthma",E1081="Cardiac Arrhythmia"), D1081+30,
OR(E1081="Gastritis",E1081="Osteoarthritis",E1081="Bronchitis",E1081="Iron Deficiency Anemia"), D1081+14,
OR(E1081="Lumbar Strain",E1081="Migraine Headache"), D1081+7,
OR(E1081="Viral Fever",E1081="General Checkup","Routine Health Check"), "",
TRUE,""
)</f>
        <v/>
      </c>
      <c r="I1081" s="1" t="str">
        <f t="shared" si="32"/>
        <v>No Follow-up Required</v>
      </c>
      <c r="J1081" t="str">
        <f>TEXT(Table8[[#This Row],[visit_Date]],"DDDD")</f>
        <v>Tuesday</v>
      </c>
      <c r="K1081" t="str">
        <f>TEXT(Table8[[#This Row],[visit_Date]],"mmmm")</f>
        <v>May</v>
      </c>
      <c r="L1081" t="str">
        <f t="shared" si="33"/>
        <v>Summer</v>
      </c>
    </row>
    <row r="1082" spans="1:12" x14ac:dyDescent="0.25">
      <c r="A1082">
        <v>1081</v>
      </c>
      <c r="B1082">
        <v>1117</v>
      </c>
      <c r="C1082">
        <v>1275</v>
      </c>
      <c r="D1082" s="1">
        <v>45767</v>
      </c>
      <c r="E1082" t="s">
        <v>24</v>
      </c>
      <c r="F1082" t="s">
        <v>321</v>
      </c>
      <c r="G1082" t="str">
        <f>_xlfn.XLOOKUP(TRIM(E1083),MedicineInfo!A:A,MedicineInfo!B:B,"Not Found")</f>
        <v>Cefixime</v>
      </c>
      <c r="H1082" s="1" t="str" cm="1">
        <f t="array" ref="H1082">_xlfn.IFS(
OR(E1082="Type 2 Diabetes",E1082="Essential Hypertension",E1082="Angina Pectoris",E1082="Bronchial Asthma",E1082="Cardiac Arrhythmia"), D1082+30,
OR(E1082="Gastritis",E1082="Osteoarthritis",E1082="Bronchitis",E1082="Iron Deficiency Anemia"), D1082+14,
OR(E1082="Lumbar Strain",E1082="Migraine Headache"), D1082+7,
OR(E1082="Viral Fever",E1082="General Checkup","Routine Health Check"), "",
TRUE,""
)</f>
        <v/>
      </c>
      <c r="I1082" s="1" t="str">
        <f t="shared" si="32"/>
        <v>No Follow-up Required</v>
      </c>
      <c r="J1082" t="str">
        <f>TEXT(Table8[[#This Row],[visit_Date]],"DDDD")</f>
        <v>Sunday</v>
      </c>
      <c r="K1082" t="str">
        <f>TEXT(Table8[[#This Row],[visit_Date]],"mmmm")</f>
        <v>April</v>
      </c>
      <c r="L1082" t="str">
        <f t="shared" si="33"/>
        <v>Summer</v>
      </c>
    </row>
    <row r="1083" spans="1:12" x14ac:dyDescent="0.25">
      <c r="A1083">
        <v>1082</v>
      </c>
      <c r="B1083">
        <v>1202</v>
      </c>
      <c r="C1083">
        <v>824</v>
      </c>
      <c r="D1083" s="1">
        <v>45756</v>
      </c>
      <c r="E1083" t="s">
        <v>354</v>
      </c>
      <c r="F1083" t="s">
        <v>355</v>
      </c>
      <c r="G1083" t="str">
        <f>_xlfn.XLOOKUP(TRIM(E1084),MedicineInfo!A:A,MedicineInfo!B:B,"Not Found")</f>
        <v>Multivitamin</v>
      </c>
      <c r="H1083" s="1" t="str" cm="1">
        <f t="array" ref="H1083">_xlfn.IFS(
OR(E1083="Type 2 Diabetes",E1083="Essential Hypertension",E1083="Angina Pectoris",E1083="Bronchial Asthma",E1083="Cardiac Arrhythmia"), D1083+30,
OR(E1083="Gastritis",E1083="Osteoarthritis",E1083="Bronchitis",E1083="Iron Deficiency Anemia"), D1083+14,
OR(E1083="Lumbar Strain",E1083="Migraine Headache"), D1083+7,
OR(E1083="Viral Fever",E1083="General Checkup","Routine Health Check"), "",
TRUE,""
)</f>
        <v/>
      </c>
      <c r="I1083" s="1" t="str">
        <f t="shared" si="32"/>
        <v>No Follow-up Required</v>
      </c>
      <c r="J1083" t="str">
        <f>TEXT(Table8[[#This Row],[visit_Date]],"DDDD")</f>
        <v>Wednesday</v>
      </c>
      <c r="K1083" t="str">
        <f>TEXT(Table8[[#This Row],[visit_Date]],"mmmm")</f>
        <v>April</v>
      </c>
      <c r="L1083" t="str">
        <f t="shared" si="33"/>
        <v>Summer</v>
      </c>
    </row>
    <row r="1084" spans="1:12" x14ac:dyDescent="0.25">
      <c r="A1084">
        <v>1083</v>
      </c>
      <c r="B1084">
        <v>1280</v>
      </c>
      <c r="C1084">
        <v>1193</v>
      </c>
      <c r="D1084" s="1">
        <v>45756</v>
      </c>
      <c r="E1084" t="s">
        <v>24</v>
      </c>
      <c r="F1084" t="s">
        <v>321</v>
      </c>
      <c r="G1084" t="str">
        <f>_xlfn.XLOOKUP(TRIM(E1085),MedicineInfo!A:A,MedicineInfo!B:B,"Not Found")</f>
        <v>Multivitamin</v>
      </c>
      <c r="H1084" s="1" t="str" cm="1">
        <f t="array" ref="H1084">_xlfn.IFS(
OR(E1084="Type 2 Diabetes",E1084="Essential Hypertension",E1084="Angina Pectoris",E1084="Bronchial Asthma",E1084="Cardiac Arrhythmia"), D1084+30,
OR(E1084="Gastritis",E1084="Osteoarthritis",E1084="Bronchitis",E1084="Iron Deficiency Anemia"), D1084+14,
OR(E1084="Lumbar Strain",E1084="Migraine Headache"), D1084+7,
OR(E1084="Viral Fever",E1084="General Checkup","Routine Health Check"), "",
TRUE,""
)</f>
        <v/>
      </c>
      <c r="I1084" s="1" t="str">
        <f t="shared" si="32"/>
        <v>No Follow-up Required</v>
      </c>
      <c r="J1084" t="str">
        <f>TEXT(Table8[[#This Row],[visit_Date]],"DDDD")</f>
        <v>Wednesday</v>
      </c>
      <c r="K1084" t="str">
        <f>TEXT(Table8[[#This Row],[visit_Date]],"mmmm")</f>
        <v>April</v>
      </c>
      <c r="L1084" t="str">
        <f t="shared" si="33"/>
        <v>Summer</v>
      </c>
    </row>
    <row r="1085" spans="1:12" x14ac:dyDescent="0.25">
      <c r="A1085">
        <v>1084</v>
      </c>
      <c r="B1085">
        <v>1271</v>
      </c>
      <c r="C1085">
        <v>558</v>
      </c>
      <c r="D1085" s="1">
        <v>45814</v>
      </c>
      <c r="E1085" t="s">
        <v>24</v>
      </c>
      <c r="F1085" t="s">
        <v>321</v>
      </c>
      <c r="G1085" t="str">
        <f>_xlfn.XLOOKUP(TRIM(E1086),MedicineInfo!A:A,MedicineInfo!B:B,"Not Found")</f>
        <v>Multivitamin</v>
      </c>
      <c r="H1085" s="1" t="str" cm="1">
        <f t="array" ref="H1085">_xlfn.IFS(
OR(E1085="Type 2 Diabetes",E1085="Essential Hypertension",E1085="Angina Pectoris",E1085="Bronchial Asthma",E1085="Cardiac Arrhythmia"), D1085+30,
OR(E1085="Gastritis",E1085="Osteoarthritis",E1085="Bronchitis",E1085="Iron Deficiency Anemia"), D1085+14,
OR(E1085="Lumbar Strain",E1085="Migraine Headache"), D1085+7,
OR(E1085="Viral Fever",E1085="General Checkup","Routine Health Check"), "",
TRUE,""
)</f>
        <v/>
      </c>
      <c r="I1085" s="1" t="str">
        <f t="shared" si="32"/>
        <v>No Follow-up Required</v>
      </c>
      <c r="J1085" t="str">
        <f>TEXT(Table8[[#This Row],[visit_Date]],"DDDD")</f>
        <v>Friday</v>
      </c>
      <c r="K1085" t="str">
        <f>TEXT(Table8[[#This Row],[visit_Date]],"mmmm")</f>
        <v>June</v>
      </c>
      <c r="L1085" t="str">
        <f t="shared" si="33"/>
        <v>Monsoon</v>
      </c>
    </row>
    <row r="1086" spans="1:12" x14ac:dyDescent="0.25">
      <c r="A1086">
        <v>1085</v>
      </c>
      <c r="B1086">
        <v>1199</v>
      </c>
      <c r="C1086">
        <v>461</v>
      </c>
      <c r="D1086" s="1">
        <v>45758</v>
      </c>
      <c r="E1086" t="s">
        <v>24</v>
      </c>
      <c r="F1086" t="s">
        <v>321</v>
      </c>
      <c r="G1086" t="str">
        <f>_xlfn.XLOOKUP(TRIM(E1087),MedicineInfo!A:A,MedicineInfo!B:B,"Not Found")</f>
        <v>Multivitamin</v>
      </c>
      <c r="H1086" s="1" t="str" cm="1">
        <f t="array" ref="H1086">_xlfn.IFS(
OR(E1086="Type 2 Diabetes",E1086="Essential Hypertension",E1086="Angina Pectoris",E1086="Bronchial Asthma",E1086="Cardiac Arrhythmia"), D1086+30,
OR(E1086="Gastritis",E1086="Osteoarthritis",E1086="Bronchitis",E1086="Iron Deficiency Anemia"), D1086+14,
OR(E1086="Lumbar Strain",E1086="Migraine Headache"), D1086+7,
OR(E1086="Viral Fever",E1086="General Checkup","Routine Health Check"), "",
TRUE,""
)</f>
        <v/>
      </c>
      <c r="I1086" s="1" t="str">
        <f t="shared" si="32"/>
        <v>No Follow-up Required</v>
      </c>
      <c r="J1086" t="str">
        <f>TEXT(Table8[[#This Row],[visit_Date]],"DDDD")</f>
        <v>Friday</v>
      </c>
      <c r="K1086" t="str">
        <f>TEXT(Table8[[#This Row],[visit_Date]],"mmmm")</f>
        <v>April</v>
      </c>
      <c r="L1086" t="str">
        <f t="shared" si="33"/>
        <v>Summer</v>
      </c>
    </row>
    <row r="1087" spans="1:12" x14ac:dyDescent="0.25">
      <c r="A1087">
        <v>1086</v>
      </c>
      <c r="B1087">
        <v>1129</v>
      </c>
      <c r="C1087">
        <v>384</v>
      </c>
      <c r="D1087" s="1">
        <v>45672</v>
      </c>
      <c r="E1087" t="s">
        <v>24</v>
      </c>
      <c r="F1087" t="s">
        <v>321</v>
      </c>
      <c r="G1087" t="str">
        <f>_xlfn.XLOOKUP(TRIM(E1088),MedicineInfo!A:A,MedicineInfo!B:B,"Not Found")</f>
        <v>Amiodarone</v>
      </c>
      <c r="H1087" s="1" t="str" cm="1">
        <f t="array" ref="H1087">_xlfn.IFS(
OR(E1087="Type 2 Diabetes",E1087="Essential Hypertension",E1087="Angina Pectoris",E1087="Bronchial Asthma",E1087="Cardiac Arrhythmia"), D1087+30,
OR(E1087="Gastritis",E1087="Osteoarthritis",E1087="Bronchitis",E1087="Iron Deficiency Anemia"), D1087+14,
OR(E1087="Lumbar Strain",E1087="Migraine Headache"), D1087+7,
OR(E1087="Viral Fever",E1087="General Checkup","Routine Health Check"), "",
TRUE,""
)</f>
        <v/>
      </c>
      <c r="I1087" s="1" t="str">
        <f t="shared" si="32"/>
        <v>No Follow-up Required</v>
      </c>
      <c r="J1087" t="str">
        <f>TEXT(Table8[[#This Row],[visit_Date]],"DDDD")</f>
        <v>Wednesday</v>
      </c>
      <c r="K1087" t="str">
        <f>TEXT(Table8[[#This Row],[visit_Date]],"mmmm")</f>
        <v>January</v>
      </c>
      <c r="L1087" t="str">
        <f t="shared" si="33"/>
        <v>Winter</v>
      </c>
    </row>
    <row r="1088" spans="1:12" x14ac:dyDescent="0.25">
      <c r="A1088">
        <v>1087</v>
      </c>
      <c r="B1088">
        <v>1270</v>
      </c>
      <c r="C1088">
        <v>807</v>
      </c>
      <c r="D1088" s="1">
        <v>45792</v>
      </c>
      <c r="E1088" t="s">
        <v>330</v>
      </c>
      <c r="F1088" t="s">
        <v>331</v>
      </c>
      <c r="G1088" t="str">
        <f>_xlfn.XLOOKUP(TRIM(E1089),MedicineInfo!A:A,MedicineInfo!B:B,"Not Found")</f>
        <v>Multivitamin</v>
      </c>
      <c r="H1088" s="1" cm="1">
        <f t="array" ref="H1088">_xlfn.IFS(
OR(E1088="Type 2 Diabetes",E1088="Essential Hypertension",E1088="Angina Pectoris",E1088="Bronchial Asthma",E1088="Cardiac Arrhythmia"), D1088+30,
OR(E1088="Gastritis",E1088="Osteoarthritis",E1088="Bronchitis",E1088="Iron Deficiency Anemia"), D1088+14,
OR(E1088="Lumbar Strain",E1088="Migraine Headache"), D1088+7,
OR(E1088="Viral Fever",E1088="General Checkup","Routine Health Check"), "",
TRUE,""
)</f>
        <v>45822</v>
      </c>
      <c r="I1088" s="1" t="str">
        <f t="shared" si="32"/>
        <v>Follow-up Scheduled</v>
      </c>
      <c r="J1088" t="str">
        <f>TEXT(Table8[[#This Row],[visit_Date]],"DDDD")</f>
        <v>Thursday</v>
      </c>
      <c r="K1088" t="str">
        <f>TEXT(Table8[[#This Row],[visit_Date]],"mmmm")</f>
        <v>May</v>
      </c>
      <c r="L1088" t="str">
        <f t="shared" si="33"/>
        <v>Summer</v>
      </c>
    </row>
    <row r="1089" spans="1:12" x14ac:dyDescent="0.25">
      <c r="A1089">
        <v>1088</v>
      </c>
      <c r="B1089">
        <v>1039</v>
      </c>
      <c r="C1089">
        <v>231</v>
      </c>
      <c r="D1089" s="1">
        <v>45668</v>
      </c>
      <c r="E1089" t="s">
        <v>24</v>
      </c>
      <c r="F1089" t="s">
        <v>321</v>
      </c>
      <c r="G1089" t="str">
        <f>_xlfn.XLOOKUP(TRIM(E1090),MedicineInfo!A:A,MedicineInfo!B:B,"Not Found")</f>
        <v>Multivitamin</v>
      </c>
      <c r="H1089" s="1" t="str" cm="1">
        <f t="array" ref="H1089">_xlfn.IFS(
OR(E1089="Type 2 Diabetes",E1089="Essential Hypertension",E1089="Angina Pectoris",E1089="Bronchial Asthma",E1089="Cardiac Arrhythmia"), D1089+30,
OR(E1089="Gastritis",E1089="Osteoarthritis",E1089="Bronchitis",E1089="Iron Deficiency Anemia"), D1089+14,
OR(E1089="Lumbar Strain",E1089="Migraine Headache"), D1089+7,
OR(E1089="Viral Fever",E1089="General Checkup","Routine Health Check"), "",
TRUE,""
)</f>
        <v/>
      </c>
      <c r="I1089" s="1" t="str">
        <f t="shared" si="32"/>
        <v>No Follow-up Required</v>
      </c>
      <c r="J1089" t="str">
        <f>TEXT(Table8[[#This Row],[visit_Date]],"DDDD")</f>
        <v>Saturday</v>
      </c>
      <c r="K1089" t="str">
        <f>TEXT(Table8[[#This Row],[visit_Date]],"mmmm")</f>
        <v>January</v>
      </c>
      <c r="L1089" t="str">
        <f t="shared" si="33"/>
        <v>Winter</v>
      </c>
    </row>
    <row r="1090" spans="1:12" x14ac:dyDescent="0.25">
      <c r="A1090">
        <v>1089</v>
      </c>
      <c r="B1090">
        <v>1066</v>
      </c>
      <c r="C1090">
        <v>843</v>
      </c>
      <c r="D1090" s="1">
        <v>45669</v>
      </c>
      <c r="E1090" t="s">
        <v>24</v>
      </c>
      <c r="F1090" t="s">
        <v>321</v>
      </c>
      <c r="G1090" t="str">
        <f>_xlfn.XLOOKUP(TRIM(E1091),MedicineInfo!A:A,MedicineInfo!B:B,"Not Found")</f>
        <v>Multivitamin</v>
      </c>
      <c r="H1090" s="1" t="str" cm="1">
        <f t="array" ref="H1090">_xlfn.IFS(
OR(E1090="Type 2 Diabetes",E1090="Essential Hypertension",E1090="Angina Pectoris",E1090="Bronchial Asthma",E1090="Cardiac Arrhythmia"), D1090+30,
OR(E1090="Gastritis",E1090="Osteoarthritis",E1090="Bronchitis",E1090="Iron Deficiency Anemia"), D1090+14,
OR(E1090="Lumbar Strain",E1090="Migraine Headache"), D1090+7,
OR(E1090="Viral Fever",E1090="General Checkup","Routine Health Check"), "",
TRUE,""
)</f>
        <v/>
      </c>
      <c r="I1090" s="1" t="str">
        <f t="shared" ref="I1090:I1153" si="34">IF(H1090="","No Follow-up Required","Follow-up Scheduled")</f>
        <v>No Follow-up Required</v>
      </c>
      <c r="J1090" t="str">
        <f>TEXT(Table8[[#This Row],[visit_Date]],"DDDD")</f>
        <v>Sunday</v>
      </c>
      <c r="K1090" t="str">
        <f>TEXT(Table8[[#This Row],[visit_Date]],"mmmm")</f>
        <v>January</v>
      </c>
      <c r="L1090" t="str">
        <f t="shared" ref="L1090:L1153" si="35">IF(OR(MONTH(D1090)=12,MONTH(D1090)&lt;=2),"Winter",
IF(MONTH(D1090)&lt;=5,"Summer","Monsoon"))</f>
        <v>Winter</v>
      </c>
    </row>
    <row r="1091" spans="1:12" x14ac:dyDescent="0.25">
      <c r="A1091">
        <v>1090</v>
      </c>
      <c r="B1091">
        <v>1282</v>
      </c>
      <c r="C1091">
        <v>1339</v>
      </c>
      <c r="D1091" s="1">
        <v>45832</v>
      </c>
      <c r="E1091" t="s">
        <v>24</v>
      </c>
      <c r="F1091" t="s">
        <v>321</v>
      </c>
      <c r="G1091" t="str">
        <f>_xlfn.XLOOKUP(TRIM(E1092),MedicineInfo!A:A,MedicineInfo!B:B,"Not Found")</f>
        <v>Multivitamin</v>
      </c>
      <c r="H1091" s="1" t="str" cm="1">
        <f t="array" ref="H1091">_xlfn.IFS(
OR(E1091="Type 2 Diabetes",E1091="Essential Hypertension",E1091="Angina Pectoris",E1091="Bronchial Asthma",E1091="Cardiac Arrhythmia"), D1091+30,
OR(E1091="Gastritis",E1091="Osteoarthritis",E1091="Bronchitis",E1091="Iron Deficiency Anemia"), D1091+14,
OR(E1091="Lumbar Strain",E1091="Migraine Headache"), D1091+7,
OR(E1091="Viral Fever",E1091="General Checkup","Routine Health Check"), "",
TRUE,""
)</f>
        <v/>
      </c>
      <c r="I1091" s="1" t="str">
        <f t="shared" si="34"/>
        <v>No Follow-up Required</v>
      </c>
      <c r="J1091" t="str">
        <f>TEXT(Table8[[#This Row],[visit_Date]],"DDDD")</f>
        <v>Tuesday</v>
      </c>
      <c r="K1091" t="str">
        <f>TEXT(Table8[[#This Row],[visit_Date]],"mmmm")</f>
        <v>June</v>
      </c>
      <c r="L1091" t="str">
        <f t="shared" si="35"/>
        <v>Monsoon</v>
      </c>
    </row>
    <row r="1092" spans="1:12" x14ac:dyDescent="0.25">
      <c r="A1092">
        <v>1091</v>
      </c>
      <c r="B1092">
        <v>1210</v>
      </c>
      <c r="C1092">
        <v>1200</v>
      </c>
      <c r="D1092" s="1">
        <v>45820</v>
      </c>
      <c r="E1092" t="s">
        <v>24</v>
      </c>
      <c r="F1092" t="s">
        <v>321</v>
      </c>
      <c r="G1092" t="str">
        <f>_xlfn.XLOOKUP(TRIM(E1093),MedicineInfo!A:A,MedicineInfo!B:B,"Not Found")</f>
        <v>Multivitamin</v>
      </c>
      <c r="H1092" s="1" t="str" cm="1">
        <f t="array" ref="H1092">_xlfn.IFS(
OR(E1092="Type 2 Diabetes",E1092="Essential Hypertension",E1092="Angina Pectoris",E1092="Bronchial Asthma",E1092="Cardiac Arrhythmia"), D1092+30,
OR(E1092="Gastritis",E1092="Osteoarthritis",E1092="Bronchitis",E1092="Iron Deficiency Anemia"), D1092+14,
OR(E1092="Lumbar Strain",E1092="Migraine Headache"), D1092+7,
OR(E1092="Viral Fever",E1092="General Checkup","Routine Health Check"), "",
TRUE,""
)</f>
        <v/>
      </c>
      <c r="I1092" s="1" t="str">
        <f t="shared" si="34"/>
        <v>No Follow-up Required</v>
      </c>
      <c r="J1092" t="str">
        <f>TEXT(Table8[[#This Row],[visit_Date]],"DDDD")</f>
        <v>Thursday</v>
      </c>
      <c r="K1092" t="str">
        <f>TEXT(Table8[[#This Row],[visit_Date]],"mmmm")</f>
        <v>June</v>
      </c>
      <c r="L1092" t="str">
        <f t="shared" si="35"/>
        <v>Monsoon</v>
      </c>
    </row>
    <row r="1093" spans="1:12" x14ac:dyDescent="0.25">
      <c r="A1093">
        <v>1092</v>
      </c>
      <c r="B1093">
        <v>1128</v>
      </c>
      <c r="C1093">
        <v>787</v>
      </c>
      <c r="D1093" s="1">
        <v>45771</v>
      </c>
      <c r="E1093" t="s">
        <v>24</v>
      </c>
      <c r="F1093" t="s">
        <v>321</v>
      </c>
      <c r="G1093" t="str">
        <f>_xlfn.XLOOKUP(TRIM(E1094),MedicineInfo!A:A,MedicineInfo!B:B,"Not Found")</f>
        <v>Multivitamin</v>
      </c>
      <c r="H1093" s="1" t="str" cm="1">
        <f t="array" ref="H1093">_xlfn.IFS(
OR(E1093="Type 2 Diabetes",E1093="Essential Hypertension",E1093="Angina Pectoris",E1093="Bronchial Asthma",E1093="Cardiac Arrhythmia"), D1093+30,
OR(E1093="Gastritis",E1093="Osteoarthritis",E1093="Bronchitis",E1093="Iron Deficiency Anemia"), D1093+14,
OR(E1093="Lumbar Strain",E1093="Migraine Headache"), D1093+7,
OR(E1093="Viral Fever",E1093="General Checkup","Routine Health Check"), "",
TRUE,""
)</f>
        <v/>
      </c>
      <c r="I1093" s="1" t="str">
        <f t="shared" si="34"/>
        <v>No Follow-up Required</v>
      </c>
      <c r="J1093" t="str">
        <f>TEXT(Table8[[#This Row],[visit_Date]],"DDDD")</f>
        <v>Thursday</v>
      </c>
      <c r="K1093" t="str">
        <f>TEXT(Table8[[#This Row],[visit_Date]],"mmmm")</f>
        <v>April</v>
      </c>
      <c r="L1093" t="str">
        <f t="shared" si="35"/>
        <v>Summer</v>
      </c>
    </row>
    <row r="1094" spans="1:12" x14ac:dyDescent="0.25">
      <c r="A1094">
        <v>1093</v>
      </c>
      <c r="B1094">
        <v>1343</v>
      </c>
      <c r="C1094">
        <v>290</v>
      </c>
      <c r="D1094" s="1">
        <v>45728</v>
      </c>
      <c r="E1094" t="s">
        <v>24</v>
      </c>
      <c r="F1094" t="s">
        <v>321</v>
      </c>
      <c r="G1094" t="str">
        <f>_xlfn.XLOOKUP(TRIM(E1095),MedicineInfo!A:A,MedicineInfo!B:B,"Not Found")</f>
        <v>Multivitamin</v>
      </c>
      <c r="H1094" s="1" t="str" cm="1">
        <f t="array" ref="H1094">_xlfn.IFS(
OR(E1094="Type 2 Diabetes",E1094="Essential Hypertension",E1094="Angina Pectoris",E1094="Bronchial Asthma",E1094="Cardiac Arrhythmia"), D1094+30,
OR(E1094="Gastritis",E1094="Osteoarthritis",E1094="Bronchitis",E1094="Iron Deficiency Anemia"), D1094+14,
OR(E1094="Lumbar Strain",E1094="Migraine Headache"), D1094+7,
OR(E1094="Viral Fever",E1094="General Checkup","Routine Health Check"), "",
TRUE,""
)</f>
        <v/>
      </c>
      <c r="I1094" s="1" t="str">
        <f t="shared" si="34"/>
        <v>No Follow-up Required</v>
      </c>
      <c r="J1094" t="str">
        <f>TEXT(Table8[[#This Row],[visit_Date]],"DDDD")</f>
        <v>Wednesday</v>
      </c>
      <c r="K1094" t="str">
        <f>TEXT(Table8[[#This Row],[visit_Date]],"mmmm")</f>
        <v>March</v>
      </c>
      <c r="L1094" t="str">
        <f t="shared" si="35"/>
        <v>Summer</v>
      </c>
    </row>
    <row r="1095" spans="1:12" x14ac:dyDescent="0.25">
      <c r="A1095">
        <v>1094</v>
      </c>
      <c r="B1095">
        <v>1052</v>
      </c>
      <c r="C1095">
        <v>1078</v>
      </c>
      <c r="D1095" s="1">
        <v>45802</v>
      </c>
      <c r="E1095" t="s">
        <v>24</v>
      </c>
      <c r="F1095" t="s">
        <v>321</v>
      </c>
      <c r="G1095" t="str">
        <f>_xlfn.XLOOKUP(TRIM(E1096),MedicineInfo!A:A,MedicineInfo!B:B,"Not Found")</f>
        <v>Multivitamin</v>
      </c>
      <c r="H1095" s="1" t="str" cm="1">
        <f t="array" ref="H1095">_xlfn.IFS(
OR(E1095="Type 2 Diabetes",E1095="Essential Hypertension",E1095="Angina Pectoris",E1095="Bronchial Asthma",E1095="Cardiac Arrhythmia"), D1095+30,
OR(E1095="Gastritis",E1095="Osteoarthritis",E1095="Bronchitis",E1095="Iron Deficiency Anemia"), D1095+14,
OR(E1095="Lumbar Strain",E1095="Migraine Headache"), D1095+7,
OR(E1095="Viral Fever",E1095="General Checkup","Routine Health Check"), "",
TRUE,""
)</f>
        <v/>
      </c>
      <c r="I1095" s="1" t="str">
        <f t="shared" si="34"/>
        <v>No Follow-up Required</v>
      </c>
      <c r="J1095" t="str">
        <f>TEXT(Table8[[#This Row],[visit_Date]],"DDDD")</f>
        <v>Sunday</v>
      </c>
      <c r="K1095" t="str">
        <f>TEXT(Table8[[#This Row],[visit_Date]],"mmmm")</f>
        <v>May</v>
      </c>
      <c r="L1095" t="str">
        <f t="shared" si="35"/>
        <v>Summer</v>
      </c>
    </row>
    <row r="1096" spans="1:12" x14ac:dyDescent="0.25">
      <c r="A1096">
        <v>1095</v>
      </c>
      <c r="B1096">
        <v>1324</v>
      </c>
      <c r="C1096">
        <v>852</v>
      </c>
      <c r="D1096" s="1">
        <v>45790</v>
      </c>
      <c r="E1096" t="s">
        <v>24</v>
      </c>
      <c r="F1096" t="s">
        <v>321</v>
      </c>
      <c r="G1096" t="str">
        <f>_xlfn.XLOOKUP(TRIM(E1097),MedicineInfo!A:A,MedicineInfo!B:B,"Not Found")</f>
        <v>Multivitamin</v>
      </c>
      <c r="H1096" s="1" t="str" cm="1">
        <f t="array" ref="H1096">_xlfn.IFS(
OR(E1096="Type 2 Diabetes",E1096="Essential Hypertension",E1096="Angina Pectoris",E1096="Bronchial Asthma",E1096="Cardiac Arrhythmia"), D1096+30,
OR(E1096="Gastritis",E1096="Osteoarthritis",E1096="Bronchitis",E1096="Iron Deficiency Anemia"), D1096+14,
OR(E1096="Lumbar Strain",E1096="Migraine Headache"), D1096+7,
OR(E1096="Viral Fever",E1096="General Checkup","Routine Health Check"), "",
TRUE,""
)</f>
        <v/>
      </c>
      <c r="I1096" s="1" t="str">
        <f t="shared" si="34"/>
        <v>No Follow-up Required</v>
      </c>
      <c r="J1096" t="str">
        <f>TEXT(Table8[[#This Row],[visit_Date]],"DDDD")</f>
        <v>Tuesday</v>
      </c>
      <c r="K1096" t="str">
        <f>TEXT(Table8[[#This Row],[visit_Date]],"mmmm")</f>
        <v>May</v>
      </c>
      <c r="L1096" t="str">
        <f t="shared" si="35"/>
        <v>Summer</v>
      </c>
    </row>
    <row r="1097" spans="1:12" x14ac:dyDescent="0.25">
      <c r="A1097">
        <v>1096</v>
      </c>
      <c r="B1097">
        <v>1341</v>
      </c>
      <c r="C1097">
        <v>146</v>
      </c>
      <c r="D1097" s="1">
        <v>45777</v>
      </c>
      <c r="E1097" t="s">
        <v>24</v>
      </c>
      <c r="F1097" t="s">
        <v>321</v>
      </c>
      <c r="G1097" t="str">
        <f>_xlfn.XLOOKUP(TRIM(E1098),MedicineInfo!A:A,MedicineInfo!B:B,"Not Found")</f>
        <v>Multivitamin</v>
      </c>
      <c r="H1097" s="1" t="str" cm="1">
        <f t="array" ref="H1097">_xlfn.IFS(
OR(E1097="Type 2 Diabetes",E1097="Essential Hypertension",E1097="Angina Pectoris",E1097="Bronchial Asthma",E1097="Cardiac Arrhythmia"), D1097+30,
OR(E1097="Gastritis",E1097="Osteoarthritis",E1097="Bronchitis",E1097="Iron Deficiency Anemia"), D1097+14,
OR(E1097="Lumbar Strain",E1097="Migraine Headache"), D1097+7,
OR(E1097="Viral Fever",E1097="General Checkup","Routine Health Check"), "",
TRUE,""
)</f>
        <v/>
      </c>
      <c r="I1097" s="1" t="str">
        <f t="shared" si="34"/>
        <v>No Follow-up Required</v>
      </c>
      <c r="J1097" t="str">
        <f>TEXT(Table8[[#This Row],[visit_Date]],"DDDD")</f>
        <v>Wednesday</v>
      </c>
      <c r="K1097" t="str">
        <f>TEXT(Table8[[#This Row],[visit_Date]],"mmmm")</f>
        <v>April</v>
      </c>
      <c r="L1097" t="str">
        <f t="shared" si="35"/>
        <v>Summer</v>
      </c>
    </row>
    <row r="1098" spans="1:12" x14ac:dyDescent="0.25">
      <c r="A1098">
        <v>1097</v>
      </c>
      <c r="B1098">
        <v>1044</v>
      </c>
      <c r="C1098">
        <v>712</v>
      </c>
      <c r="D1098" s="1">
        <v>45712</v>
      </c>
      <c r="E1098" t="s">
        <v>24</v>
      </c>
      <c r="F1098" t="s">
        <v>321</v>
      </c>
      <c r="G1098" t="str">
        <f>_xlfn.XLOOKUP(TRIM(E1099),MedicineInfo!A:A,MedicineInfo!B:B,"Not Found")</f>
        <v>Multivitamin</v>
      </c>
      <c r="H1098" s="1" t="str" cm="1">
        <f t="array" ref="H1098">_xlfn.IFS(
OR(E1098="Type 2 Diabetes",E1098="Essential Hypertension",E1098="Angina Pectoris",E1098="Bronchial Asthma",E1098="Cardiac Arrhythmia"), D1098+30,
OR(E1098="Gastritis",E1098="Osteoarthritis",E1098="Bronchitis",E1098="Iron Deficiency Anemia"), D1098+14,
OR(E1098="Lumbar Strain",E1098="Migraine Headache"), D1098+7,
OR(E1098="Viral Fever",E1098="General Checkup","Routine Health Check"), "",
TRUE,""
)</f>
        <v/>
      </c>
      <c r="I1098" s="1" t="str">
        <f t="shared" si="34"/>
        <v>No Follow-up Required</v>
      </c>
      <c r="J1098" t="str">
        <f>TEXT(Table8[[#This Row],[visit_Date]],"DDDD")</f>
        <v>Monday</v>
      </c>
      <c r="K1098" t="str">
        <f>TEXT(Table8[[#This Row],[visit_Date]],"mmmm")</f>
        <v>February</v>
      </c>
      <c r="L1098" t="str">
        <f t="shared" si="35"/>
        <v>Winter</v>
      </c>
    </row>
    <row r="1099" spans="1:12" x14ac:dyDescent="0.25">
      <c r="A1099">
        <v>1098</v>
      </c>
      <c r="B1099">
        <v>1353</v>
      </c>
      <c r="C1099">
        <v>282</v>
      </c>
      <c r="D1099" s="1">
        <v>45792</v>
      </c>
      <c r="E1099" t="s">
        <v>24</v>
      </c>
      <c r="F1099" t="s">
        <v>321</v>
      </c>
      <c r="G1099" t="str">
        <f>_xlfn.XLOOKUP(TRIM(E1100),MedicineInfo!A:A,MedicineInfo!B:B,"Not Found")</f>
        <v>Multivitamin</v>
      </c>
      <c r="H1099" s="1" t="str" cm="1">
        <f t="array" ref="H1099">_xlfn.IFS(
OR(E1099="Type 2 Diabetes",E1099="Essential Hypertension",E1099="Angina Pectoris",E1099="Bronchial Asthma",E1099="Cardiac Arrhythmia"), D1099+30,
OR(E1099="Gastritis",E1099="Osteoarthritis",E1099="Bronchitis",E1099="Iron Deficiency Anemia"), D1099+14,
OR(E1099="Lumbar Strain",E1099="Migraine Headache"), D1099+7,
OR(E1099="Viral Fever",E1099="General Checkup","Routine Health Check"), "",
TRUE,""
)</f>
        <v/>
      </c>
      <c r="I1099" s="1" t="str">
        <f t="shared" si="34"/>
        <v>No Follow-up Required</v>
      </c>
      <c r="J1099" t="str">
        <f>TEXT(Table8[[#This Row],[visit_Date]],"DDDD")</f>
        <v>Thursday</v>
      </c>
      <c r="K1099" t="str">
        <f>TEXT(Table8[[#This Row],[visit_Date]],"mmmm")</f>
        <v>May</v>
      </c>
      <c r="L1099" t="str">
        <f t="shared" si="35"/>
        <v>Summer</v>
      </c>
    </row>
    <row r="1100" spans="1:12" x14ac:dyDescent="0.25">
      <c r="A1100">
        <v>1099</v>
      </c>
      <c r="B1100">
        <v>1288</v>
      </c>
      <c r="C1100">
        <v>364</v>
      </c>
      <c r="D1100" s="1">
        <v>45796</v>
      </c>
      <c r="E1100" t="s">
        <v>24</v>
      </c>
      <c r="F1100" t="s">
        <v>321</v>
      </c>
      <c r="G1100" t="str">
        <f>_xlfn.XLOOKUP(TRIM(E1101),MedicineInfo!A:A,MedicineInfo!B:B,"Not Found")</f>
        <v>Multivitamin</v>
      </c>
      <c r="H1100" s="1" t="str" cm="1">
        <f t="array" ref="H1100">_xlfn.IFS(
OR(E1100="Type 2 Diabetes",E1100="Essential Hypertension",E1100="Angina Pectoris",E1100="Bronchial Asthma",E1100="Cardiac Arrhythmia"), D1100+30,
OR(E1100="Gastritis",E1100="Osteoarthritis",E1100="Bronchitis",E1100="Iron Deficiency Anemia"), D1100+14,
OR(E1100="Lumbar Strain",E1100="Migraine Headache"), D1100+7,
OR(E1100="Viral Fever",E1100="General Checkup","Routine Health Check"), "",
TRUE,""
)</f>
        <v/>
      </c>
      <c r="I1100" s="1" t="str">
        <f t="shared" si="34"/>
        <v>No Follow-up Required</v>
      </c>
      <c r="J1100" t="str">
        <f>TEXT(Table8[[#This Row],[visit_Date]],"DDDD")</f>
        <v>Monday</v>
      </c>
      <c r="K1100" t="str">
        <f>TEXT(Table8[[#This Row],[visit_Date]],"mmmm")</f>
        <v>May</v>
      </c>
      <c r="L1100" t="str">
        <f t="shared" si="35"/>
        <v>Summer</v>
      </c>
    </row>
    <row r="1101" spans="1:12" x14ac:dyDescent="0.25">
      <c r="A1101">
        <v>1100</v>
      </c>
      <c r="B1101">
        <v>1201</v>
      </c>
      <c r="C1101">
        <v>865</v>
      </c>
      <c r="D1101" s="1">
        <v>45767</v>
      </c>
      <c r="E1101" t="s">
        <v>24</v>
      </c>
      <c r="F1101" t="s">
        <v>321</v>
      </c>
      <c r="G1101" t="str">
        <f>_xlfn.XLOOKUP(TRIM(E1102),MedicineInfo!A:A,MedicineInfo!B:B,"Not Found")</f>
        <v>Donepezil</v>
      </c>
      <c r="H1101" s="1" t="str" cm="1">
        <f t="array" ref="H1101">_xlfn.IFS(
OR(E1101="Type 2 Diabetes",E1101="Essential Hypertension",E1101="Angina Pectoris",E1101="Bronchial Asthma",E1101="Cardiac Arrhythmia"), D1101+30,
OR(E1101="Gastritis",E1101="Osteoarthritis",E1101="Bronchitis",E1101="Iron Deficiency Anemia"), D1101+14,
OR(E1101="Lumbar Strain",E1101="Migraine Headache"), D1101+7,
OR(E1101="Viral Fever",E1101="General Checkup","Routine Health Check"), "",
TRUE,""
)</f>
        <v/>
      </c>
      <c r="I1101" s="1" t="str">
        <f t="shared" si="34"/>
        <v>No Follow-up Required</v>
      </c>
      <c r="J1101" t="str">
        <f>TEXT(Table8[[#This Row],[visit_Date]],"DDDD")</f>
        <v>Sunday</v>
      </c>
      <c r="K1101" t="str">
        <f>TEXT(Table8[[#This Row],[visit_Date]],"mmmm")</f>
        <v>April</v>
      </c>
      <c r="L1101" t="str">
        <f t="shared" si="35"/>
        <v>Summer</v>
      </c>
    </row>
    <row r="1102" spans="1:12" x14ac:dyDescent="0.25">
      <c r="A1102">
        <v>1101</v>
      </c>
      <c r="B1102">
        <v>1261</v>
      </c>
      <c r="C1102">
        <v>1240</v>
      </c>
      <c r="D1102" s="1">
        <v>45792</v>
      </c>
      <c r="E1102" t="s">
        <v>350</v>
      </c>
      <c r="F1102" t="s">
        <v>351</v>
      </c>
      <c r="G1102" t="str">
        <f>_xlfn.XLOOKUP(TRIM(E1103),MedicineInfo!A:A,MedicineInfo!B:B,"Not Found")</f>
        <v>Multivitamin</v>
      </c>
      <c r="H1102" s="1" t="str" cm="1">
        <f t="array" ref="H1102">_xlfn.IFS(
OR(E1102="Type 2 Diabetes",E1102="Essential Hypertension",E1102="Angina Pectoris",E1102="Bronchial Asthma",E1102="Cardiac Arrhythmia"), D1102+30,
OR(E1102="Gastritis",E1102="Osteoarthritis",E1102="Bronchitis",E1102="Iron Deficiency Anemia"), D1102+14,
OR(E1102="Lumbar Strain",E1102="Migraine Headache"), D1102+7,
OR(E1102="Viral Fever",E1102="General Checkup","Routine Health Check"), "",
TRUE,""
)</f>
        <v/>
      </c>
      <c r="I1102" s="1" t="str">
        <f t="shared" si="34"/>
        <v>No Follow-up Required</v>
      </c>
      <c r="J1102" t="str">
        <f>TEXT(Table8[[#This Row],[visit_Date]],"DDDD")</f>
        <v>Thursday</v>
      </c>
      <c r="K1102" t="str">
        <f>TEXT(Table8[[#This Row],[visit_Date]],"mmmm")</f>
        <v>May</v>
      </c>
      <c r="L1102" t="str">
        <f t="shared" si="35"/>
        <v>Summer</v>
      </c>
    </row>
    <row r="1103" spans="1:12" x14ac:dyDescent="0.25">
      <c r="A1103">
        <v>1102</v>
      </c>
      <c r="B1103">
        <v>1177</v>
      </c>
      <c r="C1103">
        <v>1468</v>
      </c>
      <c r="D1103" s="1">
        <v>45758</v>
      </c>
      <c r="E1103" t="s">
        <v>24</v>
      </c>
      <c r="F1103" t="s">
        <v>321</v>
      </c>
      <c r="G1103" t="str">
        <f>_xlfn.XLOOKUP(TRIM(E1104),MedicineInfo!A:A,MedicineInfo!B:B,"Not Found")</f>
        <v>Multivitamin</v>
      </c>
      <c r="H1103" s="1" t="str" cm="1">
        <f t="array" ref="H1103">_xlfn.IFS(
OR(E1103="Type 2 Diabetes",E1103="Essential Hypertension",E1103="Angina Pectoris",E1103="Bronchial Asthma",E1103="Cardiac Arrhythmia"), D1103+30,
OR(E1103="Gastritis",E1103="Osteoarthritis",E1103="Bronchitis",E1103="Iron Deficiency Anemia"), D1103+14,
OR(E1103="Lumbar Strain",E1103="Migraine Headache"), D1103+7,
OR(E1103="Viral Fever",E1103="General Checkup","Routine Health Check"), "",
TRUE,""
)</f>
        <v/>
      </c>
      <c r="I1103" s="1" t="str">
        <f t="shared" si="34"/>
        <v>No Follow-up Required</v>
      </c>
      <c r="J1103" t="str">
        <f>TEXT(Table8[[#This Row],[visit_Date]],"DDDD")</f>
        <v>Friday</v>
      </c>
      <c r="K1103" t="str">
        <f>TEXT(Table8[[#This Row],[visit_Date]],"mmmm")</f>
        <v>April</v>
      </c>
      <c r="L1103" t="str">
        <f t="shared" si="35"/>
        <v>Summer</v>
      </c>
    </row>
    <row r="1104" spans="1:12" x14ac:dyDescent="0.25">
      <c r="A1104">
        <v>1103</v>
      </c>
      <c r="B1104">
        <v>1260</v>
      </c>
      <c r="C1104">
        <v>905</v>
      </c>
      <c r="D1104" s="1">
        <v>45830</v>
      </c>
      <c r="E1104" t="s">
        <v>24</v>
      </c>
      <c r="F1104" t="s">
        <v>321</v>
      </c>
      <c r="G1104" t="str">
        <f>_xlfn.XLOOKUP(TRIM(E1105),MedicineInfo!A:A,MedicineInfo!B:B,"Not Found")</f>
        <v>Multivitamin</v>
      </c>
      <c r="H1104" s="1" t="str" cm="1">
        <f t="array" ref="H1104">_xlfn.IFS(
OR(E1104="Type 2 Diabetes",E1104="Essential Hypertension",E1104="Angina Pectoris",E1104="Bronchial Asthma",E1104="Cardiac Arrhythmia"), D1104+30,
OR(E1104="Gastritis",E1104="Osteoarthritis",E1104="Bronchitis",E1104="Iron Deficiency Anemia"), D1104+14,
OR(E1104="Lumbar Strain",E1104="Migraine Headache"), D1104+7,
OR(E1104="Viral Fever",E1104="General Checkup","Routine Health Check"), "",
TRUE,""
)</f>
        <v/>
      </c>
      <c r="I1104" s="1" t="str">
        <f t="shared" si="34"/>
        <v>No Follow-up Required</v>
      </c>
      <c r="J1104" t="str">
        <f>TEXT(Table8[[#This Row],[visit_Date]],"DDDD")</f>
        <v>Sunday</v>
      </c>
      <c r="K1104" t="str">
        <f>TEXT(Table8[[#This Row],[visit_Date]],"mmmm")</f>
        <v>June</v>
      </c>
      <c r="L1104" t="str">
        <f t="shared" si="35"/>
        <v>Monsoon</v>
      </c>
    </row>
    <row r="1105" spans="1:12" x14ac:dyDescent="0.25">
      <c r="A1105">
        <v>1104</v>
      </c>
      <c r="B1105">
        <v>1355</v>
      </c>
      <c r="C1105">
        <v>1471</v>
      </c>
      <c r="D1105" s="1">
        <v>45687</v>
      </c>
      <c r="E1105" t="s">
        <v>24</v>
      </c>
      <c r="F1105" t="s">
        <v>321</v>
      </c>
      <c r="G1105" t="str">
        <f>_xlfn.XLOOKUP(TRIM(E1106),MedicineInfo!A:A,MedicineInfo!B:B,"Not Found")</f>
        <v>Multivitamin</v>
      </c>
      <c r="H1105" s="1" t="str" cm="1">
        <f t="array" ref="H1105">_xlfn.IFS(
OR(E1105="Type 2 Diabetes",E1105="Essential Hypertension",E1105="Angina Pectoris",E1105="Bronchial Asthma",E1105="Cardiac Arrhythmia"), D1105+30,
OR(E1105="Gastritis",E1105="Osteoarthritis",E1105="Bronchitis",E1105="Iron Deficiency Anemia"), D1105+14,
OR(E1105="Lumbar Strain",E1105="Migraine Headache"), D1105+7,
OR(E1105="Viral Fever",E1105="General Checkup","Routine Health Check"), "",
TRUE,""
)</f>
        <v/>
      </c>
      <c r="I1105" s="1" t="str">
        <f t="shared" si="34"/>
        <v>No Follow-up Required</v>
      </c>
      <c r="J1105" t="str">
        <f>TEXT(Table8[[#This Row],[visit_Date]],"DDDD")</f>
        <v>Thursday</v>
      </c>
      <c r="K1105" t="str">
        <f>TEXT(Table8[[#This Row],[visit_Date]],"mmmm")</f>
        <v>January</v>
      </c>
      <c r="L1105" t="str">
        <f t="shared" si="35"/>
        <v>Winter</v>
      </c>
    </row>
    <row r="1106" spans="1:12" x14ac:dyDescent="0.25">
      <c r="A1106">
        <v>1105</v>
      </c>
      <c r="B1106">
        <v>1327</v>
      </c>
      <c r="C1106">
        <v>1532</v>
      </c>
      <c r="D1106" s="1">
        <v>45672</v>
      </c>
      <c r="E1106" t="s">
        <v>24</v>
      </c>
      <c r="F1106" t="s">
        <v>321</v>
      </c>
      <c r="G1106" t="str">
        <f>_xlfn.XLOOKUP(TRIM(E1107),MedicineInfo!A:A,MedicineInfo!B:B,"Not Found")</f>
        <v>Multivitamin</v>
      </c>
      <c r="H1106" s="1" t="str" cm="1">
        <f t="array" ref="H1106">_xlfn.IFS(
OR(E1106="Type 2 Diabetes",E1106="Essential Hypertension",E1106="Angina Pectoris",E1106="Bronchial Asthma",E1106="Cardiac Arrhythmia"), D1106+30,
OR(E1106="Gastritis",E1106="Osteoarthritis",E1106="Bronchitis",E1106="Iron Deficiency Anemia"), D1106+14,
OR(E1106="Lumbar Strain",E1106="Migraine Headache"), D1106+7,
OR(E1106="Viral Fever",E1106="General Checkup","Routine Health Check"), "",
TRUE,""
)</f>
        <v/>
      </c>
      <c r="I1106" s="1" t="str">
        <f t="shared" si="34"/>
        <v>No Follow-up Required</v>
      </c>
      <c r="J1106" t="str">
        <f>TEXT(Table8[[#This Row],[visit_Date]],"DDDD")</f>
        <v>Wednesday</v>
      </c>
      <c r="K1106" t="str">
        <f>TEXT(Table8[[#This Row],[visit_Date]],"mmmm")</f>
        <v>January</v>
      </c>
      <c r="L1106" t="str">
        <f t="shared" si="35"/>
        <v>Winter</v>
      </c>
    </row>
    <row r="1107" spans="1:12" x14ac:dyDescent="0.25">
      <c r="A1107">
        <v>1106</v>
      </c>
      <c r="B1107">
        <v>1166</v>
      </c>
      <c r="C1107">
        <v>1069</v>
      </c>
      <c r="D1107" s="1">
        <v>45799</v>
      </c>
      <c r="E1107" t="s">
        <v>24</v>
      </c>
      <c r="F1107" t="s">
        <v>321</v>
      </c>
      <c r="G1107" t="str">
        <f>_xlfn.XLOOKUP(TRIM(E1108),MedicineInfo!A:A,MedicineInfo!B:B,"Not Found")</f>
        <v>Multivitamin</v>
      </c>
      <c r="H1107" s="1" t="str" cm="1">
        <f t="array" ref="H1107">_xlfn.IFS(
OR(E1107="Type 2 Diabetes",E1107="Essential Hypertension",E1107="Angina Pectoris",E1107="Bronchial Asthma",E1107="Cardiac Arrhythmia"), D1107+30,
OR(E1107="Gastritis",E1107="Osteoarthritis",E1107="Bronchitis",E1107="Iron Deficiency Anemia"), D1107+14,
OR(E1107="Lumbar Strain",E1107="Migraine Headache"), D1107+7,
OR(E1107="Viral Fever",E1107="General Checkup","Routine Health Check"), "",
TRUE,""
)</f>
        <v/>
      </c>
      <c r="I1107" s="1" t="str">
        <f t="shared" si="34"/>
        <v>No Follow-up Required</v>
      </c>
      <c r="J1107" t="str">
        <f>TEXT(Table8[[#This Row],[visit_Date]],"DDDD")</f>
        <v>Thursday</v>
      </c>
      <c r="K1107" t="str">
        <f>TEXT(Table8[[#This Row],[visit_Date]],"mmmm")</f>
        <v>May</v>
      </c>
      <c r="L1107" t="str">
        <f t="shared" si="35"/>
        <v>Summer</v>
      </c>
    </row>
    <row r="1108" spans="1:12" x14ac:dyDescent="0.25">
      <c r="A1108">
        <v>1107</v>
      </c>
      <c r="B1108">
        <v>1041</v>
      </c>
      <c r="C1108">
        <v>868</v>
      </c>
      <c r="D1108" s="1">
        <v>45730</v>
      </c>
      <c r="E1108" t="s">
        <v>24</v>
      </c>
      <c r="F1108" t="s">
        <v>321</v>
      </c>
      <c r="G1108" t="str">
        <f>_xlfn.XLOOKUP(TRIM(E1109),MedicineInfo!A:A,MedicineInfo!B:B,"Not Found")</f>
        <v>Multivitamin</v>
      </c>
      <c r="H1108" s="1" t="str" cm="1">
        <f t="array" ref="H1108">_xlfn.IFS(
OR(E1108="Type 2 Diabetes",E1108="Essential Hypertension",E1108="Angina Pectoris",E1108="Bronchial Asthma",E1108="Cardiac Arrhythmia"), D1108+30,
OR(E1108="Gastritis",E1108="Osteoarthritis",E1108="Bronchitis",E1108="Iron Deficiency Anemia"), D1108+14,
OR(E1108="Lumbar Strain",E1108="Migraine Headache"), D1108+7,
OR(E1108="Viral Fever",E1108="General Checkup","Routine Health Check"), "",
TRUE,""
)</f>
        <v/>
      </c>
      <c r="I1108" s="1" t="str">
        <f t="shared" si="34"/>
        <v>No Follow-up Required</v>
      </c>
      <c r="J1108" t="str">
        <f>TEXT(Table8[[#This Row],[visit_Date]],"DDDD")</f>
        <v>Friday</v>
      </c>
      <c r="K1108" t="str">
        <f>TEXT(Table8[[#This Row],[visit_Date]],"mmmm")</f>
        <v>March</v>
      </c>
      <c r="L1108" t="str">
        <f t="shared" si="35"/>
        <v>Summer</v>
      </c>
    </row>
    <row r="1109" spans="1:12" x14ac:dyDescent="0.25">
      <c r="A1109">
        <v>1108</v>
      </c>
      <c r="B1109">
        <v>1196</v>
      </c>
      <c r="C1109">
        <v>991</v>
      </c>
      <c r="D1109" s="1">
        <v>45719</v>
      </c>
      <c r="E1109" t="s">
        <v>24</v>
      </c>
      <c r="F1109" t="s">
        <v>321</v>
      </c>
      <c r="G1109" t="str">
        <f>_xlfn.XLOOKUP(TRIM(E1110),MedicineInfo!A:A,MedicineInfo!B:B,"Not Found")</f>
        <v>Multivitamin</v>
      </c>
      <c r="H1109" s="1" t="str" cm="1">
        <f t="array" ref="H1109">_xlfn.IFS(
OR(E1109="Type 2 Diabetes",E1109="Essential Hypertension",E1109="Angina Pectoris",E1109="Bronchial Asthma",E1109="Cardiac Arrhythmia"), D1109+30,
OR(E1109="Gastritis",E1109="Osteoarthritis",E1109="Bronchitis",E1109="Iron Deficiency Anemia"), D1109+14,
OR(E1109="Lumbar Strain",E1109="Migraine Headache"), D1109+7,
OR(E1109="Viral Fever",E1109="General Checkup","Routine Health Check"), "",
TRUE,""
)</f>
        <v/>
      </c>
      <c r="I1109" s="1" t="str">
        <f t="shared" si="34"/>
        <v>No Follow-up Required</v>
      </c>
      <c r="J1109" t="str">
        <f>TEXT(Table8[[#This Row],[visit_Date]],"DDDD")</f>
        <v>Monday</v>
      </c>
      <c r="K1109" t="str">
        <f>TEXT(Table8[[#This Row],[visit_Date]],"mmmm")</f>
        <v>March</v>
      </c>
      <c r="L1109" t="str">
        <f t="shared" si="35"/>
        <v>Summer</v>
      </c>
    </row>
    <row r="1110" spans="1:12" x14ac:dyDescent="0.25">
      <c r="A1110">
        <v>1109</v>
      </c>
      <c r="B1110">
        <v>1246</v>
      </c>
      <c r="C1110">
        <v>845</v>
      </c>
      <c r="D1110" s="1">
        <v>45790</v>
      </c>
      <c r="E1110" t="s">
        <v>24</v>
      </c>
      <c r="F1110" t="s">
        <v>321</v>
      </c>
      <c r="G1110" t="str">
        <f>_xlfn.XLOOKUP(TRIM(E1111),MedicineInfo!A:A,MedicineInfo!B:B,"Not Found")</f>
        <v>Multivitamin</v>
      </c>
      <c r="H1110" s="1" t="str" cm="1">
        <f t="array" ref="H1110">_xlfn.IFS(
OR(E1110="Type 2 Diabetes",E1110="Essential Hypertension",E1110="Angina Pectoris",E1110="Bronchial Asthma",E1110="Cardiac Arrhythmia"), D1110+30,
OR(E1110="Gastritis",E1110="Osteoarthritis",E1110="Bronchitis",E1110="Iron Deficiency Anemia"), D1110+14,
OR(E1110="Lumbar Strain",E1110="Migraine Headache"), D1110+7,
OR(E1110="Viral Fever",E1110="General Checkup","Routine Health Check"), "",
TRUE,""
)</f>
        <v/>
      </c>
      <c r="I1110" s="1" t="str">
        <f t="shared" si="34"/>
        <v>No Follow-up Required</v>
      </c>
      <c r="J1110" t="str">
        <f>TEXT(Table8[[#This Row],[visit_Date]],"DDDD")</f>
        <v>Tuesday</v>
      </c>
      <c r="K1110" t="str">
        <f>TEXT(Table8[[#This Row],[visit_Date]],"mmmm")</f>
        <v>May</v>
      </c>
      <c r="L1110" t="str">
        <f t="shared" si="35"/>
        <v>Summer</v>
      </c>
    </row>
    <row r="1111" spans="1:12" x14ac:dyDescent="0.25">
      <c r="A1111">
        <v>1110</v>
      </c>
      <c r="B1111">
        <v>1240</v>
      </c>
      <c r="C1111">
        <v>199</v>
      </c>
      <c r="D1111" s="1">
        <v>45783</v>
      </c>
      <c r="E1111" t="s">
        <v>24</v>
      </c>
      <c r="F1111" t="s">
        <v>321</v>
      </c>
      <c r="G1111" t="str">
        <f>_xlfn.XLOOKUP(TRIM(E1112),MedicineInfo!A:A,MedicineInfo!B:B,"Not Found")</f>
        <v>Multivitamin</v>
      </c>
      <c r="H1111" s="1" t="str" cm="1">
        <f t="array" ref="H1111">_xlfn.IFS(
OR(E1111="Type 2 Diabetes",E1111="Essential Hypertension",E1111="Angina Pectoris",E1111="Bronchial Asthma",E1111="Cardiac Arrhythmia"), D1111+30,
OR(E1111="Gastritis",E1111="Osteoarthritis",E1111="Bronchitis",E1111="Iron Deficiency Anemia"), D1111+14,
OR(E1111="Lumbar Strain",E1111="Migraine Headache"), D1111+7,
OR(E1111="Viral Fever",E1111="General Checkup","Routine Health Check"), "",
TRUE,""
)</f>
        <v/>
      </c>
      <c r="I1111" s="1" t="str">
        <f t="shared" si="34"/>
        <v>No Follow-up Required</v>
      </c>
      <c r="J1111" t="str">
        <f>TEXT(Table8[[#This Row],[visit_Date]],"DDDD")</f>
        <v>Tuesday</v>
      </c>
      <c r="K1111" t="str">
        <f>TEXT(Table8[[#This Row],[visit_Date]],"mmmm")</f>
        <v>May</v>
      </c>
      <c r="L1111" t="str">
        <f t="shared" si="35"/>
        <v>Summer</v>
      </c>
    </row>
    <row r="1112" spans="1:12" x14ac:dyDescent="0.25">
      <c r="A1112">
        <v>1111</v>
      </c>
      <c r="B1112">
        <v>1381</v>
      </c>
      <c r="C1112">
        <v>239</v>
      </c>
      <c r="D1112" s="1">
        <v>45791</v>
      </c>
      <c r="E1112" t="s">
        <v>24</v>
      </c>
      <c r="F1112" t="s">
        <v>321</v>
      </c>
      <c r="G1112" t="str">
        <f>_xlfn.XLOOKUP(TRIM(E1113),MedicineInfo!A:A,MedicineInfo!B:B,"Not Found")</f>
        <v>Multivitamin</v>
      </c>
      <c r="H1112" s="1" t="str" cm="1">
        <f t="array" ref="H1112">_xlfn.IFS(
OR(E1112="Type 2 Diabetes",E1112="Essential Hypertension",E1112="Angina Pectoris",E1112="Bronchial Asthma",E1112="Cardiac Arrhythmia"), D1112+30,
OR(E1112="Gastritis",E1112="Osteoarthritis",E1112="Bronchitis",E1112="Iron Deficiency Anemia"), D1112+14,
OR(E1112="Lumbar Strain",E1112="Migraine Headache"), D1112+7,
OR(E1112="Viral Fever",E1112="General Checkup","Routine Health Check"), "",
TRUE,""
)</f>
        <v/>
      </c>
      <c r="I1112" s="1" t="str">
        <f t="shared" si="34"/>
        <v>No Follow-up Required</v>
      </c>
      <c r="J1112" t="str">
        <f>TEXT(Table8[[#This Row],[visit_Date]],"DDDD")</f>
        <v>Wednesday</v>
      </c>
      <c r="K1112" t="str">
        <f>TEXT(Table8[[#This Row],[visit_Date]],"mmmm")</f>
        <v>May</v>
      </c>
      <c r="L1112" t="str">
        <f t="shared" si="35"/>
        <v>Summer</v>
      </c>
    </row>
    <row r="1113" spans="1:12" x14ac:dyDescent="0.25">
      <c r="A1113">
        <v>1112</v>
      </c>
      <c r="B1113">
        <v>1151</v>
      </c>
      <c r="C1113">
        <v>823</v>
      </c>
      <c r="D1113" s="1">
        <v>45771</v>
      </c>
      <c r="E1113" t="s">
        <v>24</v>
      </c>
      <c r="F1113" t="s">
        <v>321</v>
      </c>
      <c r="G1113" t="str">
        <f>_xlfn.XLOOKUP(TRIM(E1114),MedicineInfo!A:A,MedicineInfo!B:B,"Not Found")</f>
        <v>Multivitamin</v>
      </c>
      <c r="H1113" s="1" t="str" cm="1">
        <f t="array" ref="H1113">_xlfn.IFS(
OR(E1113="Type 2 Diabetes",E1113="Essential Hypertension",E1113="Angina Pectoris",E1113="Bronchial Asthma",E1113="Cardiac Arrhythmia"), D1113+30,
OR(E1113="Gastritis",E1113="Osteoarthritis",E1113="Bronchitis",E1113="Iron Deficiency Anemia"), D1113+14,
OR(E1113="Lumbar Strain",E1113="Migraine Headache"), D1113+7,
OR(E1113="Viral Fever",E1113="General Checkup","Routine Health Check"), "",
TRUE,""
)</f>
        <v/>
      </c>
      <c r="I1113" s="1" t="str">
        <f t="shared" si="34"/>
        <v>No Follow-up Required</v>
      </c>
      <c r="J1113" t="str">
        <f>TEXT(Table8[[#This Row],[visit_Date]],"DDDD")</f>
        <v>Thursday</v>
      </c>
      <c r="K1113" t="str">
        <f>TEXT(Table8[[#This Row],[visit_Date]],"mmmm")</f>
        <v>April</v>
      </c>
      <c r="L1113" t="str">
        <f t="shared" si="35"/>
        <v>Summer</v>
      </c>
    </row>
    <row r="1114" spans="1:12" x14ac:dyDescent="0.25">
      <c r="A1114">
        <v>1113</v>
      </c>
      <c r="B1114">
        <v>1079</v>
      </c>
      <c r="C1114">
        <v>1197</v>
      </c>
      <c r="D1114" s="1">
        <v>45777</v>
      </c>
      <c r="E1114" t="s">
        <v>24</v>
      </c>
      <c r="F1114" t="s">
        <v>321</v>
      </c>
      <c r="G1114" t="str">
        <f>_xlfn.XLOOKUP(TRIM(E1115),MedicineInfo!A:A,MedicineInfo!B:B,"Not Found")</f>
        <v>Metformin</v>
      </c>
      <c r="H1114" s="1" t="str" cm="1">
        <f t="array" ref="H1114">_xlfn.IFS(
OR(E1114="Type 2 Diabetes",E1114="Essential Hypertension",E1114="Angina Pectoris",E1114="Bronchial Asthma",E1114="Cardiac Arrhythmia"), D1114+30,
OR(E1114="Gastritis",E1114="Osteoarthritis",E1114="Bronchitis",E1114="Iron Deficiency Anemia"), D1114+14,
OR(E1114="Lumbar Strain",E1114="Migraine Headache"), D1114+7,
OR(E1114="Viral Fever",E1114="General Checkup","Routine Health Check"), "",
TRUE,""
)</f>
        <v/>
      </c>
      <c r="I1114" s="1" t="str">
        <f t="shared" si="34"/>
        <v>No Follow-up Required</v>
      </c>
      <c r="J1114" t="str">
        <f>TEXT(Table8[[#This Row],[visit_Date]],"DDDD")</f>
        <v>Wednesday</v>
      </c>
      <c r="K1114" t="str">
        <f>TEXT(Table8[[#This Row],[visit_Date]],"mmmm")</f>
        <v>April</v>
      </c>
      <c r="L1114" t="str">
        <f t="shared" si="35"/>
        <v>Summer</v>
      </c>
    </row>
    <row r="1115" spans="1:12" x14ac:dyDescent="0.25">
      <c r="A1115">
        <v>1114</v>
      </c>
      <c r="B1115">
        <v>1020</v>
      </c>
      <c r="C1115">
        <v>392</v>
      </c>
      <c r="D1115" s="1">
        <v>45694</v>
      </c>
      <c r="E1115" t="s">
        <v>317</v>
      </c>
      <c r="F1115" t="s">
        <v>318</v>
      </c>
      <c r="G1115" t="str">
        <f>_xlfn.XLOOKUP(TRIM(E1116),MedicineInfo!A:A,MedicineInfo!B:B,"Not Found")</f>
        <v>Paracetamol</v>
      </c>
      <c r="H1115" s="1" cm="1">
        <f t="array" ref="H1115">_xlfn.IFS(
OR(E1115="Type 2 Diabetes",E1115="Essential Hypertension",E1115="Angina Pectoris",E1115="Bronchial Asthma",E1115="Cardiac Arrhythmia"), D1115+30,
OR(E1115="Gastritis",E1115="Osteoarthritis",E1115="Bronchitis",E1115="Iron Deficiency Anemia"), D1115+14,
OR(E1115="Lumbar Strain",E1115="Migraine Headache"), D1115+7,
OR(E1115="Viral Fever",E1115="General Checkup","Routine Health Check"), "",
TRUE,""
)</f>
        <v>45724</v>
      </c>
      <c r="I1115" s="1" t="str">
        <f t="shared" si="34"/>
        <v>Follow-up Scheduled</v>
      </c>
      <c r="J1115" t="str">
        <f>TEXT(Table8[[#This Row],[visit_Date]],"DDDD")</f>
        <v>Thursday</v>
      </c>
      <c r="K1115" t="str">
        <f>TEXT(Table8[[#This Row],[visit_Date]],"mmmm")</f>
        <v>February</v>
      </c>
      <c r="L1115" t="str">
        <f t="shared" si="35"/>
        <v>Winter</v>
      </c>
    </row>
    <row r="1116" spans="1:12" x14ac:dyDescent="0.25">
      <c r="A1116">
        <v>1115</v>
      </c>
      <c r="B1116">
        <v>1203</v>
      </c>
      <c r="C1116">
        <v>960</v>
      </c>
      <c r="D1116" s="1">
        <v>45791</v>
      </c>
      <c r="E1116" t="s">
        <v>326</v>
      </c>
      <c r="F1116" t="s">
        <v>327</v>
      </c>
      <c r="G1116" t="str">
        <f>_xlfn.XLOOKUP(TRIM(E1117),MedicineInfo!A:A,MedicineInfo!B:B,"Not Found")</f>
        <v>Multivitamin</v>
      </c>
      <c r="H1116" s="1" t="str" cm="1">
        <f t="array" ref="H1116">_xlfn.IFS(
OR(E1116="Type 2 Diabetes",E1116="Essential Hypertension",E1116="Angina Pectoris",E1116="Bronchial Asthma",E1116="Cardiac Arrhythmia"), D1116+30,
OR(E1116="Gastritis",E1116="Osteoarthritis",E1116="Bronchitis",E1116="Iron Deficiency Anemia"), D1116+14,
OR(E1116="Lumbar Strain",E1116="Migraine Headache"), D1116+7,
OR(E1116="Viral Fever",E1116="General Checkup","Routine Health Check"), "",
TRUE,""
)</f>
        <v/>
      </c>
      <c r="I1116" s="1" t="str">
        <f t="shared" si="34"/>
        <v>No Follow-up Required</v>
      </c>
      <c r="J1116" t="str">
        <f>TEXT(Table8[[#This Row],[visit_Date]],"DDDD")</f>
        <v>Wednesday</v>
      </c>
      <c r="K1116" t="str">
        <f>TEXT(Table8[[#This Row],[visit_Date]],"mmmm")</f>
        <v>May</v>
      </c>
      <c r="L1116" t="str">
        <f t="shared" si="35"/>
        <v>Summer</v>
      </c>
    </row>
    <row r="1117" spans="1:12" x14ac:dyDescent="0.25">
      <c r="A1117">
        <v>1116</v>
      </c>
      <c r="B1117">
        <v>1400</v>
      </c>
      <c r="C1117">
        <v>1329</v>
      </c>
      <c r="D1117" s="1">
        <v>45723</v>
      </c>
      <c r="E1117" t="s">
        <v>24</v>
      </c>
      <c r="F1117" t="s">
        <v>321</v>
      </c>
      <c r="G1117" t="str">
        <f>_xlfn.XLOOKUP(TRIM(E1118),MedicineInfo!A:A,MedicineInfo!B:B,"Not Found")</f>
        <v>Multivitamin</v>
      </c>
      <c r="H1117" s="1" t="str" cm="1">
        <f t="array" ref="H1117">_xlfn.IFS(
OR(E1117="Type 2 Diabetes",E1117="Essential Hypertension",E1117="Angina Pectoris",E1117="Bronchial Asthma",E1117="Cardiac Arrhythmia"), D1117+30,
OR(E1117="Gastritis",E1117="Osteoarthritis",E1117="Bronchitis",E1117="Iron Deficiency Anemia"), D1117+14,
OR(E1117="Lumbar Strain",E1117="Migraine Headache"), D1117+7,
OR(E1117="Viral Fever",E1117="General Checkup","Routine Health Check"), "",
TRUE,""
)</f>
        <v/>
      </c>
      <c r="I1117" s="1" t="str">
        <f t="shared" si="34"/>
        <v>No Follow-up Required</v>
      </c>
      <c r="J1117" t="str">
        <f>TEXT(Table8[[#This Row],[visit_Date]],"DDDD")</f>
        <v>Friday</v>
      </c>
      <c r="K1117" t="str">
        <f>TEXT(Table8[[#This Row],[visit_Date]],"mmmm")</f>
        <v>March</v>
      </c>
      <c r="L1117" t="str">
        <f t="shared" si="35"/>
        <v>Summer</v>
      </c>
    </row>
    <row r="1118" spans="1:12" x14ac:dyDescent="0.25">
      <c r="A1118">
        <v>1117</v>
      </c>
      <c r="B1118">
        <v>1065</v>
      </c>
      <c r="C1118">
        <v>231</v>
      </c>
      <c r="D1118" s="1">
        <v>45842</v>
      </c>
      <c r="E1118" t="s">
        <v>24</v>
      </c>
      <c r="F1118" t="s">
        <v>321</v>
      </c>
      <c r="G1118" t="str">
        <f>_xlfn.XLOOKUP(TRIM(E1119),MedicineInfo!A:A,MedicineInfo!B:B,"Not Found")</f>
        <v>Multivitamin</v>
      </c>
      <c r="H1118" s="1" t="str" cm="1">
        <f t="array" ref="H1118">_xlfn.IFS(
OR(E1118="Type 2 Diabetes",E1118="Essential Hypertension",E1118="Angina Pectoris",E1118="Bronchial Asthma",E1118="Cardiac Arrhythmia"), D1118+30,
OR(E1118="Gastritis",E1118="Osteoarthritis",E1118="Bronchitis",E1118="Iron Deficiency Anemia"), D1118+14,
OR(E1118="Lumbar Strain",E1118="Migraine Headache"), D1118+7,
OR(E1118="Viral Fever",E1118="General Checkup","Routine Health Check"), "",
TRUE,""
)</f>
        <v/>
      </c>
      <c r="I1118" s="1" t="str">
        <f t="shared" si="34"/>
        <v>No Follow-up Required</v>
      </c>
      <c r="J1118" t="str">
        <f>TEXT(Table8[[#This Row],[visit_Date]],"DDDD")</f>
        <v>Friday</v>
      </c>
      <c r="K1118" t="str">
        <f>TEXT(Table8[[#This Row],[visit_Date]],"mmmm")</f>
        <v>July</v>
      </c>
      <c r="L1118" t="str">
        <f t="shared" si="35"/>
        <v>Monsoon</v>
      </c>
    </row>
    <row r="1119" spans="1:12" x14ac:dyDescent="0.25">
      <c r="A1119">
        <v>1118</v>
      </c>
      <c r="B1119">
        <v>1009</v>
      </c>
      <c r="C1119">
        <v>450</v>
      </c>
      <c r="D1119" s="1">
        <v>45801</v>
      </c>
      <c r="E1119" t="s">
        <v>24</v>
      </c>
      <c r="F1119" t="s">
        <v>321</v>
      </c>
      <c r="G1119" t="str">
        <f>_xlfn.XLOOKUP(TRIM(E1120),MedicineInfo!A:A,MedicineInfo!B:B,"Not Found")</f>
        <v>Salbutamol Inhaler</v>
      </c>
      <c r="H1119" s="1" t="str" cm="1">
        <f t="array" ref="H1119">_xlfn.IFS(
OR(E1119="Type 2 Diabetes",E1119="Essential Hypertension",E1119="Angina Pectoris",E1119="Bronchial Asthma",E1119="Cardiac Arrhythmia"), D1119+30,
OR(E1119="Gastritis",E1119="Osteoarthritis",E1119="Bronchitis",E1119="Iron Deficiency Anemia"), D1119+14,
OR(E1119="Lumbar Strain",E1119="Migraine Headache"), D1119+7,
OR(E1119="Viral Fever",E1119="General Checkup","Routine Health Check"), "",
TRUE,""
)</f>
        <v/>
      </c>
      <c r="I1119" s="1" t="str">
        <f t="shared" si="34"/>
        <v>No Follow-up Required</v>
      </c>
      <c r="J1119" t="str">
        <f>TEXT(Table8[[#This Row],[visit_Date]],"DDDD")</f>
        <v>Saturday</v>
      </c>
      <c r="K1119" t="str">
        <f>TEXT(Table8[[#This Row],[visit_Date]],"mmmm")</f>
        <v>May</v>
      </c>
      <c r="L1119" t="str">
        <f t="shared" si="35"/>
        <v>Summer</v>
      </c>
    </row>
    <row r="1120" spans="1:12" x14ac:dyDescent="0.25">
      <c r="A1120">
        <v>1119</v>
      </c>
      <c r="B1120">
        <v>1033</v>
      </c>
      <c r="C1120">
        <v>224</v>
      </c>
      <c r="D1120" s="1">
        <v>45783</v>
      </c>
      <c r="E1120" t="s">
        <v>324</v>
      </c>
      <c r="F1120" t="s">
        <v>325</v>
      </c>
      <c r="G1120" t="str">
        <f>_xlfn.XLOOKUP(TRIM(E1121),MedicineInfo!A:A,MedicineInfo!B:B,"Not Found")</f>
        <v>Multivitamin</v>
      </c>
      <c r="H1120" s="1" cm="1">
        <f t="array" ref="H1120">_xlfn.IFS(
OR(E1120="Type 2 Diabetes",E1120="Essential Hypertension",E1120="Angina Pectoris",E1120="Bronchial Asthma",E1120="Cardiac Arrhythmia"), D1120+30,
OR(E1120="Gastritis",E1120="Osteoarthritis",E1120="Bronchitis",E1120="Iron Deficiency Anemia"), D1120+14,
OR(E1120="Lumbar Strain",E1120="Migraine Headache"), D1120+7,
OR(E1120="Viral Fever",E1120="General Checkup","Routine Health Check"), "",
TRUE,""
)</f>
        <v>45813</v>
      </c>
      <c r="I1120" s="1" t="str">
        <f t="shared" si="34"/>
        <v>Follow-up Scheduled</v>
      </c>
      <c r="J1120" t="str">
        <f>TEXT(Table8[[#This Row],[visit_Date]],"DDDD")</f>
        <v>Tuesday</v>
      </c>
      <c r="K1120" t="str">
        <f>TEXT(Table8[[#This Row],[visit_Date]],"mmmm")</f>
        <v>May</v>
      </c>
      <c r="L1120" t="str">
        <f t="shared" si="35"/>
        <v>Summer</v>
      </c>
    </row>
    <row r="1121" spans="1:12" x14ac:dyDescent="0.25">
      <c r="A1121">
        <v>1120</v>
      </c>
      <c r="B1121">
        <v>1208</v>
      </c>
      <c r="C1121">
        <v>1368</v>
      </c>
      <c r="D1121" s="1">
        <v>45787</v>
      </c>
      <c r="E1121" t="s">
        <v>24</v>
      </c>
      <c r="F1121" t="s">
        <v>321</v>
      </c>
      <c r="G1121" t="str">
        <f>_xlfn.XLOOKUP(TRIM(E1122),MedicineInfo!A:A,MedicineInfo!B:B,"Not Found")</f>
        <v>Multivitamin</v>
      </c>
      <c r="H1121" s="1" t="str" cm="1">
        <f t="array" ref="H1121">_xlfn.IFS(
OR(E1121="Type 2 Diabetes",E1121="Essential Hypertension",E1121="Angina Pectoris",E1121="Bronchial Asthma",E1121="Cardiac Arrhythmia"), D1121+30,
OR(E1121="Gastritis",E1121="Osteoarthritis",E1121="Bronchitis",E1121="Iron Deficiency Anemia"), D1121+14,
OR(E1121="Lumbar Strain",E1121="Migraine Headache"), D1121+7,
OR(E1121="Viral Fever",E1121="General Checkup","Routine Health Check"), "",
TRUE,""
)</f>
        <v/>
      </c>
      <c r="I1121" s="1" t="str">
        <f t="shared" si="34"/>
        <v>No Follow-up Required</v>
      </c>
      <c r="J1121" t="str">
        <f>TEXT(Table8[[#This Row],[visit_Date]],"DDDD")</f>
        <v>Saturday</v>
      </c>
      <c r="K1121" t="str">
        <f>TEXT(Table8[[#This Row],[visit_Date]],"mmmm")</f>
        <v>May</v>
      </c>
      <c r="L1121" t="str">
        <f t="shared" si="35"/>
        <v>Summer</v>
      </c>
    </row>
    <row r="1122" spans="1:12" x14ac:dyDescent="0.25">
      <c r="A1122">
        <v>1121</v>
      </c>
      <c r="B1122">
        <v>1164</v>
      </c>
      <c r="C1122">
        <v>1472</v>
      </c>
      <c r="D1122" s="1">
        <v>45822</v>
      </c>
      <c r="E1122" t="s">
        <v>24</v>
      </c>
      <c r="F1122" t="s">
        <v>321</v>
      </c>
      <c r="G1122" t="str">
        <f>_xlfn.XLOOKUP(TRIM(E1123),MedicineInfo!A:A,MedicineInfo!B:B,"Not Found")</f>
        <v>Multivitamin</v>
      </c>
      <c r="H1122" s="1" t="str" cm="1">
        <f t="array" ref="H1122">_xlfn.IFS(
OR(E1122="Type 2 Diabetes",E1122="Essential Hypertension",E1122="Angina Pectoris",E1122="Bronchial Asthma",E1122="Cardiac Arrhythmia"), D1122+30,
OR(E1122="Gastritis",E1122="Osteoarthritis",E1122="Bronchitis",E1122="Iron Deficiency Anemia"), D1122+14,
OR(E1122="Lumbar Strain",E1122="Migraine Headache"), D1122+7,
OR(E1122="Viral Fever",E1122="General Checkup","Routine Health Check"), "",
TRUE,""
)</f>
        <v/>
      </c>
      <c r="I1122" s="1" t="str">
        <f t="shared" si="34"/>
        <v>No Follow-up Required</v>
      </c>
      <c r="J1122" t="str">
        <f>TEXT(Table8[[#This Row],[visit_Date]],"DDDD")</f>
        <v>Saturday</v>
      </c>
      <c r="K1122" t="str">
        <f>TEXT(Table8[[#This Row],[visit_Date]],"mmmm")</f>
        <v>June</v>
      </c>
      <c r="L1122" t="str">
        <f t="shared" si="35"/>
        <v>Monsoon</v>
      </c>
    </row>
    <row r="1123" spans="1:12" x14ac:dyDescent="0.25">
      <c r="A1123">
        <v>1122</v>
      </c>
      <c r="B1123">
        <v>1259</v>
      </c>
      <c r="C1123">
        <v>1589</v>
      </c>
      <c r="D1123" s="1">
        <v>45850</v>
      </c>
      <c r="E1123" t="s">
        <v>24</v>
      </c>
      <c r="F1123" t="s">
        <v>321</v>
      </c>
      <c r="G1123" t="str">
        <f>_xlfn.XLOOKUP(TRIM(E1124),MedicineInfo!A:A,MedicineInfo!B:B,"Not Found")</f>
        <v>Multivitamin</v>
      </c>
      <c r="H1123" s="1" t="str" cm="1">
        <f t="array" ref="H1123">_xlfn.IFS(
OR(E1123="Type 2 Diabetes",E1123="Essential Hypertension",E1123="Angina Pectoris",E1123="Bronchial Asthma",E1123="Cardiac Arrhythmia"), D1123+30,
OR(E1123="Gastritis",E1123="Osteoarthritis",E1123="Bronchitis",E1123="Iron Deficiency Anemia"), D1123+14,
OR(E1123="Lumbar Strain",E1123="Migraine Headache"), D1123+7,
OR(E1123="Viral Fever",E1123="General Checkup","Routine Health Check"), "",
TRUE,""
)</f>
        <v/>
      </c>
      <c r="I1123" s="1" t="str">
        <f t="shared" si="34"/>
        <v>No Follow-up Required</v>
      </c>
      <c r="J1123" t="str">
        <f>TEXT(Table8[[#This Row],[visit_Date]],"DDDD")</f>
        <v>Saturday</v>
      </c>
      <c r="K1123" t="str">
        <f>TEXT(Table8[[#This Row],[visit_Date]],"mmmm")</f>
        <v>July</v>
      </c>
      <c r="L1123" t="str">
        <f t="shared" si="35"/>
        <v>Monsoon</v>
      </c>
    </row>
    <row r="1124" spans="1:12" x14ac:dyDescent="0.25">
      <c r="A1124">
        <v>1123</v>
      </c>
      <c r="B1124">
        <v>1121</v>
      </c>
      <c r="C1124">
        <v>1492</v>
      </c>
      <c r="D1124" s="1">
        <v>45680</v>
      </c>
      <c r="E1124" t="s">
        <v>24</v>
      </c>
      <c r="F1124" t="s">
        <v>321</v>
      </c>
      <c r="G1124" t="str">
        <f>_xlfn.XLOOKUP(TRIM(E1125),MedicineInfo!A:A,MedicineInfo!B:B,"Not Found")</f>
        <v>Pantoprazole</v>
      </c>
      <c r="H1124" s="1" t="str" cm="1">
        <f t="array" ref="H1124">_xlfn.IFS(
OR(E1124="Type 2 Diabetes",E1124="Essential Hypertension",E1124="Angina Pectoris",E1124="Bronchial Asthma",E1124="Cardiac Arrhythmia"), D1124+30,
OR(E1124="Gastritis",E1124="Osteoarthritis",E1124="Bronchitis",E1124="Iron Deficiency Anemia"), D1124+14,
OR(E1124="Lumbar Strain",E1124="Migraine Headache"), D1124+7,
OR(E1124="Viral Fever",E1124="General Checkup","Routine Health Check"), "",
TRUE,""
)</f>
        <v/>
      </c>
      <c r="I1124" s="1" t="str">
        <f t="shared" si="34"/>
        <v>No Follow-up Required</v>
      </c>
      <c r="J1124" t="str">
        <f>TEXT(Table8[[#This Row],[visit_Date]],"DDDD")</f>
        <v>Thursday</v>
      </c>
      <c r="K1124" t="str">
        <f>TEXT(Table8[[#This Row],[visit_Date]],"mmmm")</f>
        <v>January</v>
      </c>
      <c r="L1124" t="str">
        <f t="shared" si="35"/>
        <v>Winter</v>
      </c>
    </row>
    <row r="1125" spans="1:12" x14ac:dyDescent="0.25">
      <c r="A1125">
        <v>1124</v>
      </c>
      <c r="B1125">
        <v>1261</v>
      </c>
      <c r="C1125">
        <v>1222</v>
      </c>
      <c r="D1125" s="1">
        <v>45853</v>
      </c>
      <c r="E1125" t="s">
        <v>344</v>
      </c>
      <c r="F1125" t="s">
        <v>345</v>
      </c>
      <c r="G1125" t="str">
        <f>_xlfn.XLOOKUP(TRIM(E1126),MedicineInfo!A:A,MedicineInfo!B:B,"Not Found")</f>
        <v>Multivitamin</v>
      </c>
      <c r="H1125" s="1" cm="1">
        <f t="array" ref="H1125">_xlfn.IFS(
OR(E1125="Type 2 Diabetes",E1125="Essential Hypertension",E1125="Angina Pectoris",E1125="Bronchial Asthma",E1125="Cardiac Arrhythmia"), D1125+30,
OR(E1125="Gastritis",E1125="Osteoarthritis",E1125="Bronchitis",E1125="Iron Deficiency Anemia"), D1125+14,
OR(E1125="Lumbar Strain",E1125="Migraine Headache"), D1125+7,
OR(E1125="Viral Fever",E1125="General Checkup","Routine Health Check"), "",
TRUE,""
)</f>
        <v>45867</v>
      </c>
      <c r="I1125" s="1" t="str">
        <f t="shared" si="34"/>
        <v>Follow-up Scheduled</v>
      </c>
      <c r="J1125" t="str">
        <f>TEXT(Table8[[#This Row],[visit_Date]],"DDDD")</f>
        <v>Tuesday</v>
      </c>
      <c r="K1125" t="str">
        <f>TEXT(Table8[[#This Row],[visit_Date]],"mmmm")</f>
        <v>July</v>
      </c>
      <c r="L1125" t="str">
        <f t="shared" si="35"/>
        <v>Monsoon</v>
      </c>
    </row>
    <row r="1126" spans="1:12" x14ac:dyDescent="0.25">
      <c r="A1126">
        <v>1125</v>
      </c>
      <c r="B1126">
        <v>1343</v>
      </c>
      <c r="C1126">
        <v>1512</v>
      </c>
      <c r="D1126" s="1">
        <v>45814</v>
      </c>
      <c r="E1126" t="s">
        <v>24</v>
      </c>
      <c r="F1126" t="s">
        <v>321</v>
      </c>
      <c r="G1126" t="str">
        <f>_xlfn.XLOOKUP(TRIM(E1127),MedicineInfo!A:A,MedicineInfo!B:B,"Not Found")</f>
        <v>Aceclofenac</v>
      </c>
      <c r="H1126" s="1" t="str" cm="1">
        <f t="array" ref="H1126">_xlfn.IFS(
OR(E1126="Type 2 Diabetes",E1126="Essential Hypertension",E1126="Angina Pectoris",E1126="Bronchial Asthma",E1126="Cardiac Arrhythmia"), D1126+30,
OR(E1126="Gastritis",E1126="Osteoarthritis",E1126="Bronchitis",E1126="Iron Deficiency Anemia"), D1126+14,
OR(E1126="Lumbar Strain",E1126="Migraine Headache"), D1126+7,
OR(E1126="Viral Fever",E1126="General Checkup","Routine Health Check"), "",
TRUE,""
)</f>
        <v/>
      </c>
      <c r="I1126" s="1" t="str">
        <f t="shared" si="34"/>
        <v>No Follow-up Required</v>
      </c>
      <c r="J1126" t="str">
        <f>TEXT(Table8[[#This Row],[visit_Date]],"DDDD")</f>
        <v>Friday</v>
      </c>
      <c r="K1126" t="str">
        <f>TEXT(Table8[[#This Row],[visit_Date]],"mmmm")</f>
        <v>June</v>
      </c>
      <c r="L1126" t="str">
        <f t="shared" si="35"/>
        <v>Monsoon</v>
      </c>
    </row>
    <row r="1127" spans="1:12" x14ac:dyDescent="0.25">
      <c r="A1127">
        <v>1126</v>
      </c>
      <c r="B1127">
        <v>1027</v>
      </c>
      <c r="C1127">
        <v>360</v>
      </c>
      <c r="D1127" s="1">
        <v>45792</v>
      </c>
      <c r="E1127" t="s">
        <v>348</v>
      </c>
      <c r="F1127" t="s">
        <v>349</v>
      </c>
      <c r="G1127" t="str">
        <f>_xlfn.XLOOKUP(TRIM(E1128),MedicineInfo!A:A,MedicineInfo!B:B,"Not Found")</f>
        <v>Ferrous Sulfate</v>
      </c>
      <c r="H1127" s="1" cm="1">
        <f t="array" ref="H1127">_xlfn.IFS(
OR(E1127="Type 2 Diabetes",E1127="Essential Hypertension",E1127="Angina Pectoris",E1127="Bronchial Asthma",E1127="Cardiac Arrhythmia"), D1127+30,
OR(E1127="Gastritis",E1127="Osteoarthritis",E1127="Bronchitis",E1127="Iron Deficiency Anemia"), D1127+14,
OR(E1127="Lumbar Strain",E1127="Migraine Headache"), D1127+7,
OR(E1127="Viral Fever",E1127="General Checkup","Routine Health Check"), "",
TRUE,""
)</f>
        <v>45806</v>
      </c>
      <c r="I1127" s="1" t="str">
        <f t="shared" si="34"/>
        <v>Follow-up Scheduled</v>
      </c>
      <c r="J1127" t="str">
        <f>TEXT(Table8[[#This Row],[visit_Date]],"DDDD")</f>
        <v>Thursday</v>
      </c>
      <c r="K1127" t="str">
        <f>TEXT(Table8[[#This Row],[visit_Date]],"mmmm")</f>
        <v>May</v>
      </c>
      <c r="L1127" t="str">
        <f t="shared" si="35"/>
        <v>Summer</v>
      </c>
    </row>
    <row r="1128" spans="1:12" x14ac:dyDescent="0.25">
      <c r="A1128">
        <v>1127</v>
      </c>
      <c r="B1128">
        <v>1008</v>
      </c>
      <c r="C1128">
        <v>1025</v>
      </c>
      <c r="D1128" s="1">
        <v>45853</v>
      </c>
      <c r="E1128" t="s">
        <v>358</v>
      </c>
      <c r="F1128" t="s">
        <v>359</v>
      </c>
      <c r="G1128" t="str">
        <f>_xlfn.XLOOKUP(TRIM(E1129),MedicineInfo!A:A,MedicineInfo!B:B,"Not Found")</f>
        <v>Multivitamin</v>
      </c>
      <c r="H1128" s="1" cm="1">
        <f t="array" ref="H1128">_xlfn.IFS(
OR(E1128="Type 2 Diabetes",E1128="Essential Hypertension",E1128="Angina Pectoris",E1128="Bronchial Asthma",E1128="Cardiac Arrhythmia"), D1128+30,
OR(E1128="Gastritis",E1128="Osteoarthritis",E1128="Bronchitis",E1128="Iron Deficiency Anemia"), D1128+14,
OR(E1128="Lumbar Strain",E1128="Migraine Headache"), D1128+7,
OR(E1128="Viral Fever",E1128="General Checkup","Routine Health Check"), "",
TRUE,""
)</f>
        <v>45867</v>
      </c>
      <c r="I1128" s="1" t="str">
        <f t="shared" si="34"/>
        <v>Follow-up Scheduled</v>
      </c>
      <c r="J1128" t="str">
        <f>TEXT(Table8[[#This Row],[visit_Date]],"DDDD")</f>
        <v>Tuesday</v>
      </c>
      <c r="K1128" t="str">
        <f>TEXT(Table8[[#This Row],[visit_Date]],"mmmm")</f>
        <v>July</v>
      </c>
      <c r="L1128" t="str">
        <f t="shared" si="35"/>
        <v>Monsoon</v>
      </c>
    </row>
    <row r="1129" spans="1:12" x14ac:dyDescent="0.25">
      <c r="A1129">
        <v>1128</v>
      </c>
      <c r="B1129">
        <v>1110</v>
      </c>
      <c r="C1129">
        <v>668</v>
      </c>
      <c r="D1129" s="1">
        <v>45819</v>
      </c>
      <c r="E1129" t="s">
        <v>24</v>
      </c>
      <c r="F1129" t="s">
        <v>321</v>
      </c>
      <c r="G1129" t="str">
        <f>_xlfn.XLOOKUP(TRIM(E1130),MedicineInfo!A:A,MedicineInfo!B:B,"Not Found")</f>
        <v>Neuro Vitamins</v>
      </c>
      <c r="H1129" s="1" t="str" cm="1">
        <f t="array" ref="H1129">_xlfn.IFS(
OR(E1129="Type 2 Diabetes",E1129="Essential Hypertension",E1129="Angina Pectoris",E1129="Bronchial Asthma",E1129="Cardiac Arrhythmia"), D1129+30,
OR(E1129="Gastritis",E1129="Osteoarthritis",E1129="Bronchitis",E1129="Iron Deficiency Anemia"), D1129+14,
OR(E1129="Lumbar Strain",E1129="Migraine Headache"), D1129+7,
OR(E1129="Viral Fever",E1129="General Checkup","Routine Health Check"), "",
TRUE,""
)</f>
        <v/>
      </c>
      <c r="I1129" s="1" t="str">
        <f t="shared" si="34"/>
        <v>No Follow-up Required</v>
      </c>
      <c r="J1129" t="str">
        <f>TEXT(Table8[[#This Row],[visit_Date]],"DDDD")</f>
        <v>Wednesday</v>
      </c>
      <c r="K1129" t="str">
        <f>TEXT(Table8[[#This Row],[visit_Date]],"mmmm")</f>
        <v>June</v>
      </c>
      <c r="L1129" t="str">
        <f t="shared" si="35"/>
        <v>Monsoon</v>
      </c>
    </row>
    <row r="1130" spans="1:12" x14ac:dyDescent="0.25">
      <c r="A1130">
        <v>1129</v>
      </c>
      <c r="B1130">
        <v>1349</v>
      </c>
      <c r="C1130">
        <v>159</v>
      </c>
      <c r="D1130" s="1">
        <v>45795</v>
      </c>
      <c r="E1130" t="s">
        <v>342</v>
      </c>
      <c r="F1130" t="s">
        <v>343</v>
      </c>
      <c r="G1130" t="str">
        <f>_xlfn.XLOOKUP(TRIM(E1131),MedicineInfo!A:A,MedicineInfo!B:B,"Not Found")</f>
        <v>Multivitamin</v>
      </c>
      <c r="H1130" s="1" t="str" cm="1">
        <f t="array" ref="H1130">_xlfn.IFS(
OR(E1130="Type 2 Diabetes",E1130="Essential Hypertension",E1130="Angina Pectoris",E1130="Bronchial Asthma",E1130="Cardiac Arrhythmia"), D1130+30,
OR(E1130="Gastritis",E1130="Osteoarthritis",E1130="Bronchitis",E1130="Iron Deficiency Anemia"), D1130+14,
OR(E1130="Lumbar Strain",E1130="Migraine Headache"), D1130+7,
OR(E1130="Viral Fever",E1130="General Checkup","Routine Health Check"), "",
TRUE,""
)</f>
        <v/>
      </c>
      <c r="I1130" s="1" t="str">
        <f t="shared" si="34"/>
        <v>No Follow-up Required</v>
      </c>
      <c r="J1130" t="str">
        <f>TEXT(Table8[[#This Row],[visit_Date]],"DDDD")</f>
        <v>Sunday</v>
      </c>
      <c r="K1130" t="str">
        <f>TEXT(Table8[[#This Row],[visit_Date]],"mmmm")</f>
        <v>May</v>
      </c>
      <c r="L1130" t="str">
        <f t="shared" si="35"/>
        <v>Summer</v>
      </c>
    </row>
    <row r="1131" spans="1:12" x14ac:dyDescent="0.25">
      <c r="A1131">
        <v>1130</v>
      </c>
      <c r="B1131">
        <v>1242</v>
      </c>
      <c r="C1131">
        <v>1234</v>
      </c>
      <c r="D1131" s="1">
        <v>45686</v>
      </c>
      <c r="E1131" t="s">
        <v>24</v>
      </c>
      <c r="F1131" t="s">
        <v>321</v>
      </c>
      <c r="G1131" t="str">
        <f>_xlfn.XLOOKUP(TRIM(E1132),MedicineInfo!A:A,MedicineInfo!B:B,"Not Found")</f>
        <v>Multivitamin</v>
      </c>
      <c r="H1131" s="1" t="str" cm="1">
        <f t="array" ref="H1131">_xlfn.IFS(
OR(E1131="Type 2 Diabetes",E1131="Essential Hypertension",E1131="Angina Pectoris",E1131="Bronchial Asthma",E1131="Cardiac Arrhythmia"), D1131+30,
OR(E1131="Gastritis",E1131="Osteoarthritis",E1131="Bronchitis",E1131="Iron Deficiency Anemia"), D1131+14,
OR(E1131="Lumbar Strain",E1131="Migraine Headache"), D1131+7,
OR(E1131="Viral Fever",E1131="General Checkup","Routine Health Check"), "",
TRUE,""
)</f>
        <v/>
      </c>
      <c r="I1131" s="1" t="str">
        <f t="shared" si="34"/>
        <v>No Follow-up Required</v>
      </c>
      <c r="J1131" t="str">
        <f>TEXT(Table8[[#This Row],[visit_Date]],"DDDD")</f>
        <v>Wednesday</v>
      </c>
      <c r="K1131" t="str">
        <f>TEXT(Table8[[#This Row],[visit_Date]],"mmmm")</f>
        <v>January</v>
      </c>
      <c r="L1131" t="str">
        <f t="shared" si="35"/>
        <v>Winter</v>
      </c>
    </row>
    <row r="1132" spans="1:12" x14ac:dyDescent="0.25">
      <c r="A1132">
        <v>1131</v>
      </c>
      <c r="B1132">
        <v>1364</v>
      </c>
      <c r="C1132">
        <v>643</v>
      </c>
      <c r="D1132" s="1">
        <v>45669</v>
      </c>
      <c r="E1132" t="s">
        <v>24</v>
      </c>
      <c r="F1132" t="s">
        <v>321</v>
      </c>
      <c r="G1132" t="str">
        <f>_xlfn.XLOOKUP(TRIM(E1133),MedicineInfo!A:A,MedicineInfo!B:B,"Not Found")</f>
        <v>Multivitamin</v>
      </c>
      <c r="H1132" s="1" t="str" cm="1">
        <f t="array" ref="H1132">_xlfn.IFS(
OR(E1132="Type 2 Diabetes",E1132="Essential Hypertension",E1132="Angina Pectoris",E1132="Bronchial Asthma",E1132="Cardiac Arrhythmia"), D1132+30,
OR(E1132="Gastritis",E1132="Osteoarthritis",E1132="Bronchitis",E1132="Iron Deficiency Anemia"), D1132+14,
OR(E1132="Lumbar Strain",E1132="Migraine Headache"), D1132+7,
OR(E1132="Viral Fever",E1132="General Checkup","Routine Health Check"), "",
TRUE,""
)</f>
        <v/>
      </c>
      <c r="I1132" s="1" t="str">
        <f t="shared" si="34"/>
        <v>No Follow-up Required</v>
      </c>
      <c r="J1132" t="str">
        <f>TEXT(Table8[[#This Row],[visit_Date]],"DDDD")</f>
        <v>Sunday</v>
      </c>
      <c r="K1132" t="str">
        <f>TEXT(Table8[[#This Row],[visit_Date]],"mmmm")</f>
        <v>January</v>
      </c>
      <c r="L1132" t="str">
        <f t="shared" si="35"/>
        <v>Winter</v>
      </c>
    </row>
    <row r="1133" spans="1:12" x14ac:dyDescent="0.25">
      <c r="A1133">
        <v>1132</v>
      </c>
      <c r="B1133">
        <v>1180</v>
      </c>
      <c r="C1133">
        <v>1503</v>
      </c>
      <c r="D1133" s="1">
        <v>45672</v>
      </c>
      <c r="E1133" t="s">
        <v>24</v>
      </c>
      <c r="F1133" t="s">
        <v>321</v>
      </c>
      <c r="G1133" t="str">
        <f>_xlfn.XLOOKUP(TRIM(E1134),MedicineInfo!A:A,MedicineInfo!B:B,"Not Found")</f>
        <v>Hydrocortisone Cream</v>
      </c>
      <c r="H1133" s="1" t="str" cm="1">
        <f t="array" ref="H1133">_xlfn.IFS(
OR(E1133="Type 2 Diabetes",E1133="Essential Hypertension",E1133="Angina Pectoris",E1133="Bronchial Asthma",E1133="Cardiac Arrhythmia"), D1133+30,
OR(E1133="Gastritis",E1133="Osteoarthritis",E1133="Bronchitis",E1133="Iron Deficiency Anemia"), D1133+14,
OR(E1133="Lumbar Strain",E1133="Migraine Headache"), D1133+7,
OR(E1133="Viral Fever",E1133="General Checkup","Routine Health Check"), "",
TRUE,""
)</f>
        <v/>
      </c>
      <c r="I1133" s="1" t="str">
        <f t="shared" si="34"/>
        <v>No Follow-up Required</v>
      </c>
      <c r="J1133" t="str">
        <f>TEXT(Table8[[#This Row],[visit_Date]],"DDDD")</f>
        <v>Wednesday</v>
      </c>
      <c r="K1133" t="str">
        <f>TEXT(Table8[[#This Row],[visit_Date]],"mmmm")</f>
        <v>January</v>
      </c>
      <c r="L1133" t="str">
        <f t="shared" si="35"/>
        <v>Winter</v>
      </c>
    </row>
    <row r="1134" spans="1:12" x14ac:dyDescent="0.25">
      <c r="A1134">
        <v>1133</v>
      </c>
      <c r="B1134">
        <v>1302</v>
      </c>
      <c r="C1134">
        <v>732</v>
      </c>
      <c r="D1134" s="1">
        <v>45799</v>
      </c>
      <c r="E1134" t="s">
        <v>338</v>
      </c>
      <c r="F1134" t="s">
        <v>339</v>
      </c>
      <c r="G1134" t="str">
        <f>_xlfn.XLOOKUP(TRIM(E1135),MedicineInfo!A:A,MedicineInfo!B:B,"Not Found")</f>
        <v>Multivitamin</v>
      </c>
      <c r="H1134" s="1" t="str" cm="1">
        <f t="array" ref="H1134">_xlfn.IFS(
OR(E1134="Type 2 Diabetes",E1134="Essential Hypertension",E1134="Angina Pectoris",E1134="Bronchial Asthma",E1134="Cardiac Arrhythmia"), D1134+30,
OR(E1134="Gastritis",E1134="Osteoarthritis",E1134="Bronchitis",E1134="Iron Deficiency Anemia"), D1134+14,
OR(E1134="Lumbar Strain",E1134="Migraine Headache"), D1134+7,
OR(E1134="Viral Fever",E1134="General Checkup","Routine Health Check"), "",
TRUE,""
)</f>
        <v/>
      </c>
      <c r="I1134" s="1" t="str">
        <f t="shared" si="34"/>
        <v>No Follow-up Required</v>
      </c>
      <c r="J1134" t="str">
        <f>TEXT(Table8[[#This Row],[visit_Date]],"DDDD")</f>
        <v>Thursday</v>
      </c>
      <c r="K1134" t="str">
        <f>TEXT(Table8[[#This Row],[visit_Date]],"mmmm")</f>
        <v>May</v>
      </c>
      <c r="L1134" t="str">
        <f t="shared" si="35"/>
        <v>Summer</v>
      </c>
    </row>
    <row r="1135" spans="1:12" x14ac:dyDescent="0.25">
      <c r="A1135">
        <v>1134</v>
      </c>
      <c r="B1135">
        <v>1257</v>
      </c>
      <c r="C1135">
        <v>519</v>
      </c>
      <c r="D1135" s="1">
        <v>45723</v>
      </c>
      <c r="E1135" t="s">
        <v>24</v>
      </c>
      <c r="F1135" t="s">
        <v>321</v>
      </c>
      <c r="G1135" t="str">
        <f>_xlfn.XLOOKUP(TRIM(E1136),MedicineInfo!A:A,MedicineInfo!B:B,"Not Found")</f>
        <v>Multivitamin</v>
      </c>
      <c r="H1135" s="1" t="str" cm="1">
        <f t="array" ref="H1135">_xlfn.IFS(
OR(E1135="Type 2 Diabetes",E1135="Essential Hypertension",E1135="Angina Pectoris",E1135="Bronchial Asthma",E1135="Cardiac Arrhythmia"), D1135+30,
OR(E1135="Gastritis",E1135="Osteoarthritis",E1135="Bronchitis",E1135="Iron Deficiency Anemia"), D1135+14,
OR(E1135="Lumbar Strain",E1135="Migraine Headache"), D1135+7,
OR(E1135="Viral Fever",E1135="General Checkup","Routine Health Check"), "",
TRUE,""
)</f>
        <v/>
      </c>
      <c r="I1135" s="1" t="str">
        <f t="shared" si="34"/>
        <v>No Follow-up Required</v>
      </c>
      <c r="J1135" t="str">
        <f>TEXT(Table8[[#This Row],[visit_Date]],"DDDD")</f>
        <v>Friday</v>
      </c>
      <c r="K1135" t="str">
        <f>TEXT(Table8[[#This Row],[visit_Date]],"mmmm")</f>
        <v>March</v>
      </c>
      <c r="L1135" t="str">
        <f t="shared" si="35"/>
        <v>Summer</v>
      </c>
    </row>
    <row r="1136" spans="1:12" x14ac:dyDescent="0.25">
      <c r="A1136">
        <v>1135</v>
      </c>
      <c r="B1136">
        <v>1070</v>
      </c>
      <c r="C1136">
        <v>1419</v>
      </c>
      <c r="D1136" s="1">
        <v>45814</v>
      </c>
      <c r="E1136" t="s">
        <v>24</v>
      </c>
      <c r="F1136" t="s">
        <v>321</v>
      </c>
      <c r="G1136" t="str">
        <f>_xlfn.XLOOKUP(TRIM(E1137),MedicineInfo!A:A,MedicineInfo!B:B,"Not Found")</f>
        <v>Multivitamin</v>
      </c>
      <c r="H1136" s="1" t="str" cm="1">
        <f t="array" ref="H1136">_xlfn.IFS(
OR(E1136="Type 2 Diabetes",E1136="Essential Hypertension",E1136="Angina Pectoris",E1136="Bronchial Asthma",E1136="Cardiac Arrhythmia"), D1136+30,
OR(E1136="Gastritis",E1136="Osteoarthritis",E1136="Bronchitis",E1136="Iron Deficiency Anemia"), D1136+14,
OR(E1136="Lumbar Strain",E1136="Migraine Headache"), D1136+7,
OR(E1136="Viral Fever",E1136="General Checkup","Routine Health Check"), "",
TRUE,""
)</f>
        <v/>
      </c>
      <c r="I1136" s="1" t="str">
        <f t="shared" si="34"/>
        <v>No Follow-up Required</v>
      </c>
      <c r="J1136" t="str">
        <f>TEXT(Table8[[#This Row],[visit_Date]],"DDDD")</f>
        <v>Friday</v>
      </c>
      <c r="K1136" t="str">
        <f>TEXT(Table8[[#This Row],[visit_Date]],"mmmm")</f>
        <v>June</v>
      </c>
      <c r="L1136" t="str">
        <f t="shared" si="35"/>
        <v>Monsoon</v>
      </c>
    </row>
    <row r="1137" spans="1:12" x14ac:dyDescent="0.25">
      <c r="A1137">
        <v>1136</v>
      </c>
      <c r="B1137">
        <v>1361</v>
      </c>
      <c r="C1137">
        <v>1205</v>
      </c>
      <c r="D1137" s="1">
        <v>45691</v>
      </c>
      <c r="E1137" t="s">
        <v>24</v>
      </c>
      <c r="F1137" t="s">
        <v>321</v>
      </c>
      <c r="G1137" t="str">
        <f>_xlfn.XLOOKUP(TRIM(E1138),MedicineInfo!A:A,MedicineInfo!B:B,"Not Found")</f>
        <v>Multivitamin</v>
      </c>
      <c r="H1137" s="1" t="str" cm="1">
        <f t="array" ref="H1137">_xlfn.IFS(
OR(E1137="Type 2 Diabetes",E1137="Essential Hypertension",E1137="Angina Pectoris",E1137="Bronchial Asthma",E1137="Cardiac Arrhythmia"), D1137+30,
OR(E1137="Gastritis",E1137="Osteoarthritis",E1137="Bronchitis",E1137="Iron Deficiency Anemia"), D1137+14,
OR(E1137="Lumbar Strain",E1137="Migraine Headache"), D1137+7,
OR(E1137="Viral Fever",E1137="General Checkup","Routine Health Check"), "",
TRUE,""
)</f>
        <v/>
      </c>
      <c r="I1137" s="1" t="str">
        <f t="shared" si="34"/>
        <v>No Follow-up Required</v>
      </c>
      <c r="J1137" t="str">
        <f>TEXT(Table8[[#This Row],[visit_Date]],"DDDD")</f>
        <v>Monday</v>
      </c>
      <c r="K1137" t="str">
        <f>TEXT(Table8[[#This Row],[visit_Date]],"mmmm")</f>
        <v>February</v>
      </c>
      <c r="L1137" t="str">
        <f t="shared" si="35"/>
        <v>Winter</v>
      </c>
    </row>
    <row r="1138" spans="1:12" x14ac:dyDescent="0.25">
      <c r="A1138">
        <v>1137</v>
      </c>
      <c r="B1138">
        <v>1008</v>
      </c>
      <c r="C1138">
        <v>1584</v>
      </c>
      <c r="D1138" s="1">
        <v>45823</v>
      </c>
      <c r="E1138" t="s">
        <v>24</v>
      </c>
      <c r="F1138" t="s">
        <v>321</v>
      </c>
      <c r="G1138" t="str">
        <f>_xlfn.XLOOKUP(TRIM(E1139),MedicineInfo!A:A,MedicineInfo!B:B,"Not Found")</f>
        <v>Multivitamin</v>
      </c>
      <c r="H1138" s="1" t="str" cm="1">
        <f t="array" ref="H1138">_xlfn.IFS(
OR(E1138="Type 2 Diabetes",E1138="Essential Hypertension",E1138="Angina Pectoris",E1138="Bronchial Asthma",E1138="Cardiac Arrhythmia"), D1138+30,
OR(E1138="Gastritis",E1138="Osteoarthritis",E1138="Bronchitis",E1138="Iron Deficiency Anemia"), D1138+14,
OR(E1138="Lumbar Strain",E1138="Migraine Headache"), D1138+7,
OR(E1138="Viral Fever",E1138="General Checkup","Routine Health Check"), "",
TRUE,""
)</f>
        <v/>
      </c>
      <c r="I1138" s="1" t="str">
        <f t="shared" si="34"/>
        <v>No Follow-up Required</v>
      </c>
      <c r="J1138" t="str">
        <f>TEXT(Table8[[#This Row],[visit_Date]],"DDDD")</f>
        <v>Sunday</v>
      </c>
      <c r="K1138" t="str">
        <f>TEXT(Table8[[#This Row],[visit_Date]],"mmmm")</f>
        <v>June</v>
      </c>
      <c r="L1138" t="str">
        <f t="shared" si="35"/>
        <v>Monsoon</v>
      </c>
    </row>
    <row r="1139" spans="1:12" x14ac:dyDescent="0.25">
      <c r="A1139">
        <v>1138</v>
      </c>
      <c r="B1139">
        <v>1379</v>
      </c>
      <c r="C1139">
        <v>847</v>
      </c>
      <c r="D1139" s="1">
        <v>45738</v>
      </c>
      <c r="E1139" t="s">
        <v>24</v>
      </c>
      <c r="F1139" t="s">
        <v>321</v>
      </c>
      <c r="G1139" t="str">
        <f>_xlfn.XLOOKUP(TRIM(E1140),MedicineInfo!A:A,MedicineInfo!B:B,"Not Found")</f>
        <v>Multivitamin</v>
      </c>
      <c r="H1139" s="1" t="str" cm="1">
        <f t="array" ref="H1139">_xlfn.IFS(
OR(E1139="Type 2 Diabetes",E1139="Essential Hypertension",E1139="Angina Pectoris",E1139="Bronchial Asthma",E1139="Cardiac Arrhythmia"), D1139+30,
OR(E1139="Gastritis",E1139="Osteoarthritis",E1139="Bronchitis",E1139="Iron Deficiency Anemia"), D1139+14,
OR(E1139="Lumbar Strain",E1139="Migraine Headache"), D1139+7,
OR(E1139="Viral Fever",E1139="General Checkup","Routine Health Check"), "",
TRUE,""
)</f>
        <v/>
      </c>
      <c r="I1139" s="1" t="str">
        <f t="shared" si="34"/>
        <v>No Follow-up Required</v>
      </c>
      <c r="J1139" t="str">
        <f>TEXT(Table8[[#This Row],[visit_Date]],"DDDD")</f>
        <v>Saturday</v>
      </c>
      <c r="K1139" t="str">
        <f>TEXT(Table8[[#This Row],[visit_Date]],"mmmm")</f>
        <v>March</v>
      </c>
      <c r="L1139" t="str">
        <f t="shared" si="35"/>
        <v>Summer</v>
      </c>
    </row>
    <row r="1140" spans="1:12" x14ac:dyDescent="0.25">
      <c r="A1140">
        <v>1139</v>
      </c>
      <c r="B1140">
        <v>1179</v>
      </c>
      <c r="C1140">
        <v>1082</v>
      </c>
      <c r="D1140" s="1">
        <v>45791</v>
      </c>
      <c r="E1140" t="s">
        <v>24</v>
      </c>
      <c r="F1140" t="s">
        <v>321</v>
      </c>
      <c r="G1140" t="str">
        <f>_xlfn.XLOOKUP(TRIM(E1141),MedicineInfo!A:A,MedicineInfo!B:B,"Not Found")</f>
        <v>Multivitamin</v>
      </c>
      <c r="H1140" s="1" t="str" cm="1">
        <f t="array" ref="H1140">_xlfn.IFS(
OR(E1140="Type 2 Diabetes",E1140="Essential Hypertension",E1140="Angina Pectoris",E1140="Bronchial Asthma",E1140="Cardiac Arrhythmia"), D1140+30,
OR(E1140="Gastritis",E1140="Osteoarthritis",E1140="Bronchitis",E1140="Iron Deficiency Anemia"), D1140+14,
OR(E1140="Lumbar Strain",E1140="Migraine Headache"), D1140+7,
OR(E1140="Viral Fever",E1140="General Checkup","Routine Health Check"), "",
TRUE,""
)</f>
        <v/>
      </c>
      <c r="I1140" s="1" t="str">
        <f t="shared" si="34"/>
        <v>No Follow-up Required</v>
      </c>
      <c r="J1140" t="str">
        <f>TEXT(Table8[[#This Row],[visit_Date]],"DDDD")</f>
        <v>Wednesday</v>
      </c>
      <c r="K1140" t="str">
        <f>TEXT(Table8[[#This Row],[visit_Date]],"mmmm")</f>
        <v>May</v>
      </c>
      <c r="L1140" t="str">
        <f t="shared" si="35"/>
        <v>Summer</v>
      </c>
    </row>
    <row r="1141" spans="1:12" x14ac:dyDescent="0.25">
      <c r="A1141">
        <v>1140</v>
      </c>
      <c r="B1141">
        <v>1126</v>
      </c>
      <c r="C1141">
        <v>1023</v>
      </c>
      <c r="D1141" s="1">
        <v>45823</v>
      </c>
      <c r="E1141" t="s">
        <v>24</v>
      </c>
      <c r="F1141" t="s">
        <v>321</v>
      </c>
      <c r="G1141" t="str">
        <f>_xlfn.XLOOKUP(TRIM(E1142),MedicineInfo!A:A,MedicineInfo!B:B,"Not Found")</f>
        <v>Diclofenac</v>
      </c>
      <c r="H1141" s="1" t="str" cm="1">
        <f t="array" ref="H1141">_xlfn.IFS(
OR(E1141="Type 2 Diabetes",E1141="Essential Hypertension",E1141="Angina Pectoris",E1141="Bronchial Asthma",E1141="Cardiac Arrhythmia"), D1141+30,
OR(E1141="Gastritis",E1141="Osteoarthritis",E1141="Bronchitis",E1141="Iron Deficiency Anemia"), D1141+14,
OR(E1141="Lumbar Strain",E1141="Migraine Headache"), D1141+7,
OR(E1141="Viral Fever",E1141="General Checkup","Routine Health Check"), "",
TRUE,""
)</f>
        <v/>
      </c>
      <c r="I1141" s="1" t="str">
        <f t="shared" si="34"/>
        <v>No Follow-up Required</v>
      </c>
      <c r="J1141" t="str">
        <f>TEXT(Table8[[#This Row],[visit_Date]],"DDDD")</f>
        <v>Sunday</v>
      </c>
      <c r="K1141" t="str">
        <f>TEXT(Table8[[#This Row],[visit_Date]],"mmmm")</f>
        <v>June</v>
      </c>
      <c r="L1141" t="str">
        <f t="shared" si="35"/>
        <v>Monsoon</v>
      </c>
    </row>
    <row r="1142" spans="1:12" x14ac:dyDescent="0.25">
      <c r="A1142">
        <v>1141</v>
      </c>
      <c r="B1142">
        <v>1315</v>
      </c>
      <c r="C1142">
        <v>948</v>
      </c>
      <c r="D1142" s="1">
        <v>45758</v>
      </c>
      <c r="E1142" t="s">
        <v>313</v>
      </c>
      <c r="F1142" t="s">
        <v>314</v>
      </c>
      <c r="G1142" t="str">
        <f>_xlfn.XLOOKUP(TRIM(E1143),MedicineInfo!A:A,MedicineInfo!B:B,"Not Found")</f>
        <v>Multivitamin</v>
      </c>
      <c r="H1142" s="1" cm="1">
        <f t="array" ref="H1142">_xlfn.IFS(
OR(E1142="Type 2 Diabetes",E1142="Essential Hypertension",E1142="Angina Pectoris",E1142="Bronchial Asthma",E1142="Cardiac Arrhythmia"), D1142+30,
OR(E1142="Gastritis",E1142="Osteoarthritis",E1142="Bronchitis",E1142="Iron Deficiency Anemia"), D1142+14,
OR(E1142="Lumbar Strain",E1142="Migraine Headache"), D1142+7,
OR(E1142="Viral Fever",E1142="General Checkup","Routine Health Check"), "",
TRUE,""
)</f>
        <v>45765</v>
      </c>
      <c r="I1142" s="1" t="str">
        <f t="shared" si="34"/>
        <v>Follow-up Scheduled</v>
      </c>
      <c r="J1142" t="str">
        <f>TEXT(Table8[[#This Row],[visit_Date]],"DDDD")</f>
        <v>Friday</v>
      </c>
      <c r="K1142" t="str">
        <f>TEXT(Table8[[#This Row],[visit_Date]],"mmmm")</f>
        <v>April</v>
      </c>
      <c r="L1142" t="str">
        <f t="shared" si="35"/>
        <v>Summer</v>
      </c>
    </row>
    <row r="1143" spans="1:12" x14ac:dyDescent="0.25">
      <c r="A1143">
        <v>1142</v>
      </c>
      <c r="B1143">
        <v>1370</v>
      </c>
      <c r="C1143">
        <v>464</v>
      </c>
      <c r="D1143" s="1">
        <v>45792</v>
      </c>
      <c r="E1143" t="s">
        <v>24</v>
      </c>
      <c r="F1143" t="s">
        <v>321</v>
      </c>
      <c r="G1143" t="str">
        <f>_xlfn.XLOOKUP(TRIM(E1144),MedicineInfo!A:A,MedicineInfo!B:B,"Not Found")</f>
        <v>Aceclofenac</v>
      </c>
      <c r="H1143" s="1" t="str" cm="1">
        <f t="array" ref="H1143">_xlfn.IFS(
OR(E1143="Type 2 Diabetes",E1143="Essential Hypertension",E1143="Angina Pectoris",E1143="Bronchial Asthma",E1143="Cardiac Arrhythmia"), D1143+30,
OR(E1143="Gastritis",E1143="Osteoarthritis",E1143="Bronchitis",E1143="Iron Deficiency Anemia"), D1143+14,
OR(E1143="Lumbar Strain",E1143="Migraine Headache"), D1143+7,
OR(E1143="Viral Fever",E1143="General Checkup","Routine Health Check"), "",
TRUE,""
)</f>
        <v/>
      </c>
      <c r="I1143" s="1" t="str">
        <f t="shared" si="34"/>
        <v>No Follow-up Required</v>
      </c>
      <c r="J1143" t="str">
        <f>TEXT(Table8[[#This Row],[visit_Date]],"DDDD")</f>
        <v>Thursday</v>
      </c>
      <c r="K1143" t="str">
        <f>TEXT(Table8[[#This Row],[visit_Date]],"mmmm")</f>
        <v>May</v>
      </c>
      <c r="L1143" t="str">
        <f t="shared" si="35"/>
        <v>Summer</v>
      </c>
    </row>
    <row r="1144" spans="1:12" x14ac:dyDescent="0.25">
      <c r="A1144">
        <v>1143</v>
      </c>
      <c r="B1144">
        <v>1252</v>
      </c>
      <c r="C1144">
        <v>283</v>
      </c>
      <c r="D1144" s="1">
        <v>45661</v>
      </c>
      <c r="E1144" t="s">
        <v>348</v>
      </c>
      <c r="F1144" t="s">
        <v>349</v>
      </c>
      <c r="G1144" t="str">
        <f>_xlfn.XLOOKUP(TRIM(E1145),MedicineInfo!A:A,MedicineInfo!B:B,"Not Found")</f>
        <v>Multivitamin</v>
      </c>
      <c r="H1144" s="1" cm="1">
        <f t="array" ref="H1144">_xlfn.IFS(
OR(E1144="Type 2 Diabetes",E1144="Essential Hypertension",E1144="Angina Pectoris",E1144="Bronchial Asthma",E1144="Cardiac Arrhythmia"), D1144+30,
OR(E1144="Gastritis",E1144="Osteoarthritis",E1144="Bronchitis",E1144="Iron Deficiency Anemia"), D1144+14,
OR(E1144="Lumbar Strain",E1144="Migraine Headache"), D1144+7,
OR(E1144="Viral Fever",E1144="General Checkup","Routine Health Check"), "",
TRUE,""
)</f>
        <v>45675</v>
      </c>
      <c r="I1144" s="1" t="str">
        <f t="shared" si="34"/>
        <v>Follow-up Scheduled</v>
      </c>
      <c r="J1144" t="str">
        <f>TEXT(Table8[[#This Row],[visit_Date]],"DDDD")</f>
        <v>Saturday</v>
      </c>
      <c r="K1144" t="str">
        <f>TEXT(Table8[[#This Row],[visit_Date]],"mmmm")</f>
        <v>January</v>
      </c>
      <c r="L1144" t="str">
        <f t="shared" si="35"/>
        <v>Winter</v>
      </c>
    </row>
    <row r="1145" spans="1:12" x14ac:dyDescent="0.25">
      <c r="A1145">
        <v>1144</v>
      </c>
      <c r="B1145">
        <v>1338</v>
      </c>
      <c r="C1145">
        <v>258</v>
      </c>
      <c r="D1145" s="1">
        <v>45675</v>
      </c>
      <c r="E1145" t="s">
        <v>24</v>
      </c>
      <c r="F1145" t="s">
        <v>321</v>
      </c>
      <c r="G1145" t="str">
        <f>_xlfn.XLOOKUP(TRIM(E1146),MedicineInfo!A:A,MedicineInfo!B:B,"Not Found")</f>
        <v>Multivitamin</v>
      </c>
      <c r="H1145" s="1" t="str" cm="1">
        <f t="array" ref="H1145">_xlfn.IFS(
OR(E1145="Type 2 Diabetes",E1145="Essential Hypertension",E1145="Angina Pectoris",E1145="Bronchial Asthma",E1145="Cardiac Arrhythmia"), D1145+30,
OR(E1145="Gastritis",E1145="Osteoarthritis",E1145="Bronchitis",E1145="Iron Deficiency Anemia"), D1145+14,
OR(E1145="Lumbar Strain",E1145="Migraine Headache"), D1145+7,
OR(E1145="Viral Fever",E1145="General Checkup","Routine Health Check"), "",
TRUE,""
)</f>
        <v/>
      </c>
      <c r="I1145" s="1" t="str">
        <f t="shared" si="34"/>
        <v>No Follow-up Required</v>
      </c>
      <c r="J1145" t="str">
        <f>TEXT(Table8[[#This Row],[visit_Date]],"DDDD")</f>
        <v>Saturday</v>
      </c>
      <c r="K1145" t="str">
        <f>TEXT(Table8[[#This Row],[visit_Date]],"mmmm")</f>
        <v>January</v>
      </c>
      <c r="L1145" t="str">
        <f t="shared" si="35"/>
        <v>Winter</v>
      </c>
    </row>
    <row r="1146" spans="1:12" x14ac:dyDescent="0.25">
      <c r="A1146">
        <v>1145</v>
      </c>
      <c r="B1146">
        <v>1099</v>
      </c>
      <c r="C1146">
        <v>321</v>
      </c>
      <c r="D1146" s="1">
        <v>45758</v>
      </c>
      <c r="E1146" t="s">
        <v>24</v>
      </c>
      <c r="F1146" t="s">
        <v>321</v>
      </c>
      <c r="G1146" t="str">
        <f>_xlfn.XLOOKUP(TRIM(E1147),MedicineInfo!A:A,MedicineInfo!B:B,"Not Found")</f>
        <v>Amiodarone</v>
      </c>
      <c r="H1146" s="1" t="str" cm="1">
        <f t="array" ref="H1146">_xlfn.IFS(
OR(E1146="Type 2 Diabetes",E1146="Essential Hypertension",E1146="Angina Pectoris",E1146="Bronchial Asthma",E1146="Cardiac Arrhythmia"), D1146+30,
OR(E1146="Gastritis",E1146="Osteoarthritis",E1146="Bronchitis",E1146="Iron Deficiency Anemia"), D1146+14,
OR(E1146="Lumbar Strain",E1146="Migraine Headache"), D1146+7,
OR(E1146="Viral Fever",E1146="General Checkup","Routine Health Check"), "",
TRUE,""
)</f>
        <v/>
      </c>
      <c r="I1146" s="1" t="str">
        <f t="shared" si="34"/>
        <v>No Follow-up Required</v>
      </c>
      <c r="J1146" t="str">
        <f>TEXT(Table8[[#This Row],[visit_Date]],"DDDD")</f>
        <v>Friday</v>
      </c>
      <c r="K1146" t="str">
        <f>TEXT(Table8[[#This Row],[visit_Date]],"mmmm")</f>
        <v>April</v>
      </c>
      <c r="L1146" t="str">
        <f t="shared" si="35"/>
        <v>Summer</v>
      </c>
    </row>
    <row r="1147" spans="1:12" x14ac:dyDescent="0.25">
      <c r="A1147">
        <v>1146</v>
      </c>
      <c r="B1147">
        <v>1142</v>
      </c>
      <c r="C1147">
        <v>1282</v>
      </c>
      <c r="D1147" s="1">
        <v>45849</v>
      </c>
      <c r="E1147" t="s">
        <v>330</v>
      </c>
      <c r="F1147" t="s">
        <v>331</v>
      </c>
      <c r="G1147" t="str">
        <f>_xlfn.XLOOKUP(TRIM(E1148),MedicineInfo!A:A,MedicineInfo!B:B,"Not Found")</f>
        <v>Multivitamin</v>
      </c>
      <c r="H1147" s="1" cm="1">
        <f t="array" ref="H1147">_xlfn.IFS(
OR(E1147="Type 2 Diabetes",E1147="Essential Hypertension",E1147="Angina Pectoris",E1147="Bronchial Asthma",E1147="Cardiac Arrhythmia"), D1147+30,
OR(E1147="Gastritis",E1147="Osteoarthritis",E1147="Bronchitis",E1147="Iron Deficiency Anemia"), D1147+14,
OR(E1147="Lumbar Strain",E1147="Migraine Headache"), D1147+7,
OR(E1147="Viral Fever",E1147="General Checkup","Routine Health Check"), "",
TRUE,""
)</f>
        <v>45879</v>
      </c>
      <c r="I1147" s="1" t="str">
        <f t="shared" si="34"/>
        <v>Follow-up Scheduled</v>
      </c>
      <c r="J1147" t="str">
        <f>TEXT(Table8[[#This Row],[visit_Date]],"DDDD")</f>
        <v>Friday</v>
      </c>
      <c r="K1147" t="str">
        <f>TEXT(Table8[[#This Row],[visit_Date]],"mmmm")</f>
        <v>July</v>
      </c>
      <c r="L1147" t="str">
        <f t="shared" si="35"/>
        <v>Monsoon</v>
      </c>
    </row>
    <row r="1148" spans="1:12" x14ac:dyDescent="0.25">
      <c r="A1148">
        <v>1147</v>
      </c>
      <c r="B1148">
        <v>1117</v>
      </c>
      <c r="C1148">
        <v>433</v>
      </c>
      <c r="D1148" s="1">
        <v>45686</v>
      </c>
      <c r="E1148" t="s">
        <v>24</v>
      </c>
      <c r="F1148" t="s">
        <v>321</v>
      </c>
      <c r="G1148" t="str">
        <f>_xlfn.XLOOKUP(TRIM(E1149),MedicineInfo!A:A,MedicineInfo!B:B,"Not Found")</f>
        <v>Multivitamin</v>
      </c>
      <c r="H1148" s="1" t="str" cm="1">
        <f t="array" ref="H1148">_xlfn.IFS(
OR(E1148="Type 2 Diabetes",E1148="Essential Hypertension",E1148="Angina Pectoris",E1148="Bronchial Asthma",E1148="Cardiac Arrhythmia"), D1148+30,
OR(E1148="Gastritis",E1148="Osteoarthritis",E1148="Bronchitis",E1148="Iron Deficiency Anemia"), D1148+14,
OR(E1148="Lumbar Strain",E1148="Migraine Headache"), D1148+7,
OR(E1148="Viral Fever",E1148="General Checkup","Routine Health Check"), "",
TRUE,""
)</f>
        <v/>
      </c>
      <c r="I1148" s="1" t="str">
        <f t="shared" si="34"/>
        <v>No Follow-up Required</v>
      </c>
      <c r="J1148" t="str">
        <f>TEXT(Table8[[#This Row],[visit_Date]],"DDDD")</f>
        <v>Wednesday</v>
      </c>
      <c r="K1148" t="str">
        <f>TEXT(Table8[[#This Row],[visit_Date]],"mmmm")</f>
        <v>January</v>
      </c>
      <c r="L1148" t="str">
        <f t="shared" si="35"/>
        <v>Winter</v>
      </c>
    </row>
    <row r="1149" spans="1:12" x14ac:dyDescent="0.25">
      <c r="A1149">
        <v>1148</v>
      </c>
      <c r="B1149">
        <v>1218</v>
      </c>
      <c r="C1149">
        <v>1160</v>
      </c>
      <c r="D1149" s="1">
        <v>45694</v>
      </c>
      <c r="E1149" t="s">
        <v>24</v>
      </c>
      <c r="F1149" t="s">
        <v>321</v>
      </c>
      <c r="G1149" t="str">
        <f>_xlfn.XLOOKUP(TRIM(E1150),MedicineInfo!A:A,MedicineInfo!B:B,"Not Found")</f>
        <v>Multivitamin</v>
      </c>
      <c r="H1149" s="1" t="str" cm="1">
        <f t="array" ref="H1149">_xlfn.IFS(
OR(E1149="Type 2 Diabetes",E1149="Essential Hypertension",E1149="Angina Pectoris",E1149="Bronchial Asthma",E1149="Cardiac Arrhythmia"), D1149+30,
OR(E1149="Gastritis",E1149="Osteoarthritis",E1149="Bronchitis",E1149="Iron Deficiency Anemia"), D1149+14,
OR(E1149="Lumbar Strain",E1149="Migraine Headache"), D1149+7,
OR(E1149="Viral Fever",E1149="General Checkup","Routine Health Check"), "",
TRUE,""
)</f>
        <v/>
      </c>
      <c r="I1149" s="1" t="str">
        <f t="shared" si="34"/>
        <v>No Follow-up Required</v>
      </c>
      <c r="J1149" t="str">
        <f>TEXT(Table8[[#This Row],[visit_Date]],"DDDD")</f>
        <v>Thursday</v>
      </c>
      <c r="K1149" t="str">
        <f>TEXT(Table8[[#This Row],[visit_Date]],"mmmm")</f>
        <v>February</v>
      </c>
      <c r="L1149" t="str">
        <f t="shared" si="35"/>
        <v>Winter</v>
      </c>
    </row>
    <row r="1150" spans="1:12" x14ac:dyDescent="0.25">
      <c r="A1150">
        <v>1149</v>
      </c>
      <c r="B1150">
        <v>1208</v>
      </c>
      <c r="C1150">
        <v>753</v>
      </c>
      <c r="D1150" s="1">
        <v>45691</v>
      </c>
      <c r="E1150" t="s">
        <v>24</v>
      </c>
      <c r="F1150" t="s">
        <v>321</v>
      </c>
      <c r="G1150" t="str">
        <f>_xlfn.XLOOKUP(TRIM(E1151),MedicineInfo!A:A,MedicineInfo!B:B,"Not Found")</f>
        <v>Multivitamin</v>
      </c>
      <c r="H1150" s="1" t="str" cm="1">
        <f t="array" ref="H1150">_xlfn.IFS(
OR(E1150="Type 2 Diabetes",E1150="Essential Hypertension",E1150="Angina Pectoris",E1150="Bronchial Asthma",E1150="Cardiac Arrhythmia"), D1150+30,
OR(E1150="Gastritis",E1150="Osteoarthritis",E1150="Bronchitis",E1150="Iron Deficiency Anemia"), D1150+14,
OR(E1150="Lumbar Strain",E1150="Migraine Headache"), D1150+7,
OR(E1150="Viral Fever",E1150="General Checkup","Routine Health Check"), "",
TRUE,""
)</f>
        <v/>
      </c>
      <c r="I1150" s="1" t="str">
        <f t="shared" si="34"/>
        <v>No Follow-up Required</v>
      </c>
      <c r="J1150" t="str">
        <f>TEXT(Table8[[#This Row],[visit_Date]],"DDDD")</f>
        <v>Monday</v>
      </c>
      <c r="K1150" t="str">
        <f>TEXT(Table8[[#This Row],[visit_Date]],"mmmm")</f>
        <v>February</v>
      </c>
      <c r="L1150" t="str">
        <f t="shared" si="35"/>
        <v>Winter</v>
      </c>
    </row>
    <row r="1151" spans="1:12" x14ac:dyDescent="0.25">
      <c r="A1151">
        <v>1150</v>
      </c>
      <c r="B1151">
        <v>1171</v>
      </c>
      <c r="C1151">
        <v>766</v>
      </c>
      <c r="D1151" s="1">
        <v>45837</v>
      </c>
      <c r="E1151" t="s">
        <v>24</v>
      </c>
      <c r="F1151" t="s">
        <v>321</v>
      </c>
      <c r="G1151" t="str">
        <f>_xlfn.XLOOKUP(TRIM(E1152),MedicineInfo!A:A,MedicineInfo!B:B,"Not Found")</f>
        <v>Multivitamin</v>
      </c>
      <c r="H1151" s="1" t="str" cm="1">
        <f t="array" ref="H1151">_xlfn.IFS(
OR(E1151="Type 2 Diabetes",E1151="Essential Hypertension",E1151="Angina Pectoris",E1151="Bronchial Asthma",E1151="Cardiac Arrhythmia"), D1151+30,
OR(E1151="Gastritis",E1151="Osteoarthritis",E1151="Bronchitis",E1151="Iron Deficiency Anemia"), D1151+14,
OR(E1151="Lumbar Strain",E1151="Migraine Headache"), D1151+7,
OR(E1151="Viral Fever",E1151="General Checkup","Routine Health Check"), "",
TRUE,""
)</f>
        <v/>
      </c>
      <c r="I1151" s="1" t="str">
        <f t="shared" si="34"/>
        <v>No Follow-up Required</v>
      </c>
      <c r="J1151" t="str">
        <f>TEXT(Table8[[#This Row],[visit_Date]],"DDDD")</f>
        <v>Sunday</v>
      </c>
      <c r="K1151" t="str">
        <f>TEXT(Table8[[#This Row],[visit_Date]],"mmmm")</f>
        <v>June</v>
      </c>
      <c r="L1151" t="str">
        <f t="shared" si="35"/>
        <v>Monsoon</v>
      </c>
    </row>
    <row r="1152" spans="1:12" x14ac:dyDescent="0.25">
      <c r="A1152">
        <v>1151</v>
      </c>
      <c r="B1152">
        <v>1180</v>
      </c>
      <c r="C1152">
        <v>975</v>
      </c>
      <c r="D1152" s="1">
        <v>45792</v>
      </c>
      <c r="E1152" t="s">
        <v>24</v>
      </c>
      <c r="F1152" t="s">
        <v>321</v>
      </c>
      <c r="G1152" t="str">
        <f>_xlfn.XLOOKUP(TRIM(E1153),MedicineInfo!A:A,MedicineInfo!B:B,"Not Found")</f>
        <v>Multivitamin</v>
      </c>
      <c r="H1152" s="1" t="str" cm="1">
        <f t="array" ref="H1152">_xlfn.IFS(
OR(E1152="Type 2 Diabetes",E1152="Essential Hypertension",E1152="Angina Pectoris",E1152="Bronchial Asthma",E1152="Cardiac Arrhythmia"), D1152+30,
OR(E1152="Gastritis",E1152="Osteoarthritis",E1152="Bronchitis",E1152="Iron Deficiency Anemia"), D1152+14,
OR(E1152="Lumbar Strain",E1152="Migraine Headache"), D1152+7,
OR(E1152="Viral Fever",E1152="General Checkup","Routine Health Check"), "",
TRUE,""
)</f>
        <v/>
      </c>
      <c r="I1152" s="1" t="str">
        <f t="shared" si="34"/>
        <v>No Follow-up Required</v>
      </c>
      <c r="J1152" t="str">
        <f>TEXT(Table8[[#This Row],[visit_Date]],"DDDD")</f>
        <v>Thursday</v>
      </c>
      <c r="K1152" t="str">
        <f>TEXT(Table8[[#This Row],[visit_Date]],"mmmm")</f>
        <v>May</v>
      </c>
      <c r="L1152" t="str">
        <f t="shared" si="35"/>
        <v>Summer</v>
      </c>
    </row>
    <row r="1153" spans="1:12" x14ac:dyDescent="0.25">
      <c r="A1153">
        <v>1152</v>
      </c>
      <c r="B1153">
        <v>1315</v>
      </c>
      <c r="C1153">
        <v>440</v>
      </c>
      <c r="D1153" s="1">
        <v>45758</v>
      </c>
      <c r="E1153" t="s">
        <v>24</v>
      </c>
      <c r="F1153" t="s">
        <v>321</v>
      </c>
      <c r="G1153" t="str">
        <f>_xlfn.XLOOKUP(TRIM(E1154),MedicineInfo!A:A,MedicineInfo!B:B,"Not Found")</f>
        <v>Multivitamin</v>
      </c>
      <c r="H1153" s="1" t="str" cm="1">
        <f t="array" ref="H1153">_xlfn.IFS(
OR(E1153="Type 2 Diabetes",E1153="Essential Hypertension",E1153="Angina Pectoris",E1153="Bronchial Asthma",E1153="Cardiac Arrhythmia"), D1153+30,
OR(E1153="Gastritis",E1153="Osteoarthritis",E1153="Bronchitis",E1153="Iron Deficiency Anemia"), D1153+14,
OR(E1153="Lumbar Strain",E1153="Migraine Headache"), D1153+7,
OR(E1153="Viral Fever",E1153="General Checkup","Routine Health Check"), "",
TRUE,""
)</f>
        <v/>
      </c>
      <c r="I1153" s="1" t="str">
        <f t="shared" si="34"/>
        <v>No Follow-up Required</v>
      </c>
      <c r="J1153" t="str">
        <f>TEXT(Table8[[#This Row],[visit_Date]],"DDDD")</f>
        <v>Friday</v>
      </c>
      <c r="K1153" t="str">
        <f>TEXT(Table8[[#This Row],[visit_Date]],"mmmm")</f>
        <v>April</v>
      </c>
      <c r="L1153" t="str">
        <f t="shared" si="35"/>
        <v>Summer</v>
      </c>
    </row>
    <row r="1154" spans="1:12" x14ac:dyDescent="0.25">
      <c r="A1154">
        <v>1153</v>
      </c>
      <c r="B1154">
        <v>1131</v>
      </c>
      <c r="C1154">
        <v>1240</v>
      </c>
      <c r="D1154" s="1">
        <v>45792</v>
      </c>
      <c r="E1154" t="s">
        <v>24</v>
      </c>
      <c r="F1154" t="s">
        <v>321</v>
      </c>
      <c r="G1154" t="str">
        <f>_xlfn.XLOOKUP(TRIM(E1155),MedicineInfo!A:A,MedicineInfo!B:B,"Not Found")</f>
        <v>Pantoprazole</v>
      </c>
      <c r="H1154" s="1" t="str" cm="1">
        <f t="array" ref="H1154">_xlfn.IFS(
OR(E1154="Type 2 Diabetes",E1154="Essential Hypertension",E1154="Angina Pectoris",E1154="Bronchial Asthma",E1154="Cardiac Arrhythmia"), D1154+30,
OR(E1154="Gastritis",E1154="Osteoarthritis",E1154="Bronchitis",E1154="Iron Deficiency Anemia"), D1154+14,
OR(E1154="Lumbar Strain",E1154="Migraine Headache"), D1154+7,
OR(E1154="Viral Fever",E1154="General Checkup","Routine Health Check"), "",
TRUE,""
)</f>
        <v/>
      </c>
      <c r="I1154" s="1" t="str">
        <f t="shared" ref="I1154:I1217" si="36">IF(H1154="","No Follow-up Required","Follow-up Scheduled")</f>
        <v>No Follow-up Required</v>
      </c>
      <c r="J1154" t="str">
        <f>TEXT(Table8[[#This Row],[visit_Date]],"DDDD")</f>
        <v>Thursday</v>
      </c>
      <c r="K1154" t="str">
        <f>TEXT(Table8[[#This Row],[visit_Date]],"mmmm")</f>
        <v>May</v>
      </c>
      <c r="L1154" t="str">
        <f t="shared" ref="L1154:L1217" si="37">IF(OR(MONTH(D1154)=12,MONTH(D1154)&lt;=2),"Winter",
IF(MONTH(D1154)&lt;=5,"Summer","Monsoon"))</f>
        <v>Summer</v>
      </c>
    </row>
    <row r="1155" spans="1:12" x14ac:dyDescent="0.25">
      <c r="A1155">
        <v>1154</v>
      </c>
      <c r="B1155">
        <v>1130</v>
      </c>
      <c r="C1155">
        <v>1293</v>
      </c>
      <c r="D1155" s="1">
        <v>45703</v>
      </c>
      <c r="E1155" t="s">
        <v>344</v>
      </c>
      <c r="F1155" t="s">
        <v>345</v>
      </c>
      <c r="G1155" t="str">
        <f>_xlfn.XLOOKUP(TRIM(E1156),MedicineInfo!A:A,MedicineInfo!B:B,"Not Found")</f>
        <v>Multivitamin</v>
      </c>
      <c r="H1155" s="1" cm="1">
        <f t="array" ref="H1155">_xlfn.IFS(
OR(E1155="Type 2 Diabetes",E1155="Essential Hypertension",E1155="Angina Pectoris",E1155="Bronchial Asthma",E1155="Cardiac Arrhythmia"), D1155+30,
OR(E1155="Gastritis",E1155="Osteoarthritis",E1155="Bronchitis",E1155="Iron Deficiency Anemia"), D1155+14,
OR(E1155="Lumbar Strain",E1155="Migraine Headache"), D1155+7,
OR(E1155="Viral Fever",E1155="General Checkup","Routine Health Check"), "",
TRUE,""
)</f>
        <v>45717</v>
      </c>
      <c r="I1155" s="1" t="str">
        <f t="shared" si="36"/>
        <v>Follow-up Scheduled</v>
      </c>
      <c r="J1155" t="str">
        <f>TEXT(Table8[[#This Row],[visit_Date]],"DDDD")</f>
        <v>Saturday</v>
      </c>
      <c r="K1155" t="str">
        <f>TEXT(Table8[[#This Row],[visit_Date]],"mmmm")</f>
        <v>February</v>
      </c>
      <c r="L1155" t="str">
        <f t="shared" si="37"/>
        <v>Winter</v>
      </c>
    </row>
    <row r="1156" spans="1:12" x14ac:dyDescent="0.25">
      <c r="A1156">
        <v>1155</v>
      </c>
      <c r="B1156">
        <v>1188</v>
      </c>
      <c r="C1156">
        <v>651</v>
      </c>
      <c r="D1156" s="1">
        <v>45720</v>
      </c>
      <c r="E1156" t="s">
        <v>24</v>
      </c>
      <c r="F1156" t="s">
        <v>321</v>
      </c>
      <c r="G1156" t="str">
        <f>_xlfn.XLOOKUP(TRIM(E1157),MedicineInfo!A:A,MedicineInfo!B:B,"Not Found")</f>
        <v>Multivitamin</v>
      </c>
      <c r="H1156" s="1" t="str" cm="1">
        <f t="array" ref="H1156">_xlfn.IFS(
OR(E1156="Type 2 Diabetes",E1156="Essential Hypertension",E1156="Angina Pectoris",E1156="Bronchial Asthma",E1156="Cardiac Arrhythmia"), D1156+30,
OR(E1156="Gastritis",E1156="Osteoarthritis",E1156="Bronchitis",E1156="Iron Deficiency Anemia"), D1156+14,
OR(E1156="Lumbar Strain",E1156="Migraine Headache"), D1156+7,
OR(E1156="Viral Fever",E1156="General Checkup","Routine Health Check"), "",
TRUE,""
)</f>
        <v/>
      </c>
      <c r="I1156" s="1" t="str">
        <f t="shared" si="36"/>
        <v>No Follow-up Required</v>
      </c>
      <c r="J1156" t="str">
        <f>TEXT(Table8[[#This Row],[visit_Date]],"DDDD")</f>
        <v>Tuesday</v>
      </c>
      <c r="K1156" t="str">
        <f>TEXT(Table8[[#This Row],[visit_Date]],"mmmm")</f>
        <v>March</v>
      </c>
      <c r="L1156" t="str">
        <f t="shared" si="37"/>
        <v>Summer</v>
      </c>
    </row>
    <row r="1157" spans="1:12" x14ac:dyDescent="0.25">
      <c r="A1157">
        <v>1156</v>
      </c>
      <c r="B1157">
        <v>1313</v>
      </c>
      <c r="C1157">
        <v>190</v>
      </c>
      <c r="D1157" s="1">
        <v>45781</v>
      </c>
      <c r="E1157" t="s">
        <v>24</v>
      </c>
      <c r="F1157" t="s">
        <v>321</v>
      </c>
      <c r="G1157" t="str">
        <f>_xlfn.XLOOKUP(TRIM(E1158),MedicineInfo!A:A,MedicineInfo!B:B,"Not Found")</f>
        <v>Multivitamin</v>
      </c>
      <c r="H1157" s="1" t="str" cm="1">
        <f t="array" ref="H1157">_xlfn.IFS(
OR(E1157="Type 2 Diabetes",E1157="Essential Hypertension",E1157="Angina Pectoris",E1157="Bronchial Asthma",E1157="Cardiac Arrhythmia"), D1157+30,
OR(E1157="Gastritis",E1157="Osteoarthritis",E1157="Bronchitis",E1157="Iron Deficiency Anemia"), D1157+14,
OR(E1157="Lumbar Strain",E1157="Migraine Headache"), D1157+7,
OR(E1157="Viral Fever",E1157="General Checkup","Routine Health Check"), "",
TRUE,""
)</f>
        <v/>
      </c>
      <c r="I1157" s="1" t="str">
        <f t="shared" si="36"/>
        <v>No Follow-up Required</v>
      </c>
      <c r="J1157" t="str">
        <f>TEXT(Table8[[#This Row],[visit_Date]],"DDDD")</f>
        <v>Sunday</v>
      </c>
      <c r="K1157" t="str">
        <f>TEXT(Table8[[#This Row],[visit_Date]],"mmmm")</f>
        <v>May</v>
      </c>
      <c r="L1157" t="str">
        <f t="shared" si="37"/>
        <v>Summer</v>
      </c>
    </row>
    <row r="1158" spans="1:12" x14ac:dyDescent="0.25">
      <c r="A1158">
        <v>1157</v>
      </c>
      <c r="B1158">
        <v>1269</v>
      </c>
      <c r="C1158">
        <v>221</v>
      </c>
      <c r="D1158" s="1">
        <v>45783</v>
      </c>
      <c r="E1158" t="s">
        <v>24</v>
      </c>
      <c r="F1158" t="s">
        <v>321</v>
      </c>
      <c r="G1158" t="str">
        <f>_xlfn.XLOOKUP(TRIM(E1159),MedicineInfo!A:A,MedicineInfo!B:B,"Not Found")</f>
        <v>Folic Acid</v>
      </c>
      <c r="H1158" s="1" t="str" cm="1">
        <f t="array" ref="H1158">_xlfn.IFS(
OR(E1158="Type 2 Diabetes",E1158="Essential Hypertension",E1158="Angina Pectoris",E1158="Bronchial Asthma",E1158="Cardiac Arrhythmia"), D1158+30,
OR(E1158="Gastritis",E1158="Osteoarthritis",E1158="Bronchitis",E1158="Iron Deficiency Anemia"), D1158+14,
OR(E1158="Lumbar Strain",E1158="Migraine Headache"), D1158+7,
OR(E1158="Viral Fever",E1158="General Checkup","Routine Health Check"), "",
TRUE,""
)</f>
        <v/>
      </c>
      <c r="I1158" s="1" t="str">
        <f t="shared" si="36"/>
        <v>No Follow-up Required</v>
      </c>
      <c r="J1158" t="str">
        <f>TEXT(Table8[[#This Row],[visit_Date]],"DDDD")</f>
        <v>Tuesday</v>
      </c>
      <c r="K1158" t="str">
        <f>TEXT(Table8[[#This Row],[visit_Date]],"mmmm")</f>
        <v>May</v>
      </c>
      <c r="L1158" t="str">
        <f t="shared" si="37"/>
        <v>Summer</v>
      </c>
    </row>
    <row r="1159" spans="1:12" x14ac:dyDescent="0.25">
      <c r="A1159">
        <v>1158</v>
      </c>
      <c r="B1159">
        <v>1249</v>
      </c>
      <c r="C1159">
        <v>615</v>
      </c>
      <c r="D1159" s="1">
        <v>45758</v>
      </c>
      <c r="E1159" t="s">
        <v>356</v>
      </c>
      <c r="F1159" t="s">
        <v>357</v>
      </c>
      <c r="G1159" t="str">
        <f>_xlfn.XLOOKUP(TRIM(E1160),MedicineInfo!A:A,MedicineInfo!B:B,"Not Found")</f>
        <v>Multivitamin</v>
      </c>
      <c r="H1159" s="1" t="str" cm="1">
        <f t="array" ref="H1159">_xlfn.IFS(
OR(E1159="Type 2 Diabetes",E1159="Essential Hypertension",E1159="Angina Pectoris",E1159="Bronchial Asthma",E1159="Cardiac Arrhythmia"), D1159+30,
OR(E1159="Gastritis",E1159="Osteoarthritis",E1159="Bronchitis",E1159="Iron Deficiency Anemia"), D1159+14,
OR(E1159="Lumbar Strain",E1159="Migraine Headache"), D1159+7,
OR(E1159="Viral Fever",E1159="General Checkup","Routine Health Check"), "",
TRUE,""
)</f>
        <v/>
      </c>
      <c r="I1159" s="1" t="str">
        <f t="shared" si="36"/>
        <v>No Follow-up Required</v>
      </c>
      <c r="J1159" t="str">
        <f>TEXT(Table8[[#This Row],[visit_Date]],"DDDD")</f>
        <v>Friday</v>
      </c>
      <c r="K1159" t="str">
        <f>TEXT(Table8[[#This Row],[visit_Date]],"mmmm")</f>
        <v>April</v>
      </c>
      <c r="L1159" t="str">
        <f t="shared" si="37"/>
        <v>Summer</v>
      </c>
    </row>
    <row r="1160" spans="1:12" x14ac:dyDescent="0.25">
      <c r="A1160">
        <v>1159</v>
      </c>
      <c r="B1160">
        <v>1291</v>
      </c>
      <c r="C1160">
        <v>921</v>
      </c>
      <c r="D1160" s="1">
        <v>45791</v>
      </c>
      <c r="E1160" t="s">
        <v>24</v>
      </c>
      <c r="F1160" t="s">
        <v>321</v>
      </c>
      <c r="G1160" t="str">
        <f>_xlfn.XLOOKUP(TRIM(E1161),MedicineInfo!A:A,MedicineInfo!B:B,"Not Found")</f>
        <v>Multivitamin</v>
      </c>
      <c r="H1160" s="1" t="str" cm="1">
        <f t="array" ref="H1160">_xlfn.IFS(
OR(E1160="Type 2 Diabetes",E1160="Essential Hypertension",E1160="Angina Pectoris",E1160="Bronchial Asthma",E1160="Cardiac Arrhythmia"), D1160+30,
OR(E1160="Gastritis",E1160="Osteoarthritis",E1160="Bronchitis",E1160="Iron Deficiency Anemia"), D1160+14,
OR(E1160="Lumbar Strain",E1160="Migraine Headache"), D1160+7,
OR(E1160="Viral Fever",E1160="General Checkup","Routine Health Check"), "",
TRUE,""
)</f>
        <v/>
      </c>
      <c r="I1160" s="1" t="str">
        <f t="shared" si="36"/>
        <v>No Follow-up Required</v>
      </c>
      <c r="J1160" t="str">
        <f>TEXT(Table8[[#This Row],[visit_Date]],"DDDD")</f>
        <v>Wednesday</v>
      </c>
      <c r="K1160" t="str">
        <f>TEXT(Table8[[#This Row],[visit_Date]],"mmmm")</f>
        <v>May</v>
      </c>
      <c r="L1160" t="str">
        <f t="shared" si="37"/>
        <v>Summer</v>
      </c>
    </row>
    <row r="1161" spans="1:12" x14ac:dyDescent="0.25">
      <c r="A1161">
        <v>1160</v>
      </c>
      <c r="B1161">
        <v>1253</v>
      </c>
      <c r="C1161">
        <v>1308</v>
      </c>
      <c r="D1161" s="1">
        <v>45792</v>
      </c>
      <c r="E1161" t="s">
        <v>24</v>
      </c>
      <c r="F1161" t="s">
        <v>321</v>
      </c>
      <c r="G1161" t="str">
        <f>_xlfn.XLOOKUP(TRIM(E1162),MedicineInfo!A:A,MedicineInfo!B:B,"Not Found")</f>
        <v>Multivitamin</v>
      </c>
      <c r="H1161" s="1" t="str" cm="1">
        <f t="array" ref="H1161">_xlfn.IFS(
OR(E1161="Type 2 Diabetes",E1161="Essential Hypertension",E1161="Angina Pectoris",E1161="Bronchial Asthma",E1161="Cardiac Arrhythmia"), D1161+30,
OR(E1161="Gastritis",E1161="Osteoarthritis",E1161="Bronchitis",E1161="Iron Deficiency Anemia"), D1161+14,
OR(E1161="Lumbar Strain",E1161="Migraine Headache"), D1161+7,
OR(E1161="Viral Fever",E1161="General Checkup","Routine Health Check"), "",
TRUE,""
)</f>
        <v/>
      </c>
      <c r="I1161" s="1" t="str">
        <f t="shared" si="36"/>
        <v>No Follow-up Required</v>
      </c>
      <c r="J1161" t="str">
        <f>TEXT(Table8[[#This Row],[visit_Date]],"DDDD")</f>
        <v>Thursday</v>
      </c>
      <c r="K1161" t="str">
        <f>TEXT(Table8[[#This Row],[visit_Date]],"mmmm")</f>
        <v>May</v>
      </c>
      <c r="L1161" t="str">
        <f t="shared" si="37"/>
        <v>Summer</v>
      </c>
    </row>
    <row r="1162" spans="1:12" x14ac:dyDescent="0.25">
      <c r="A1162">
        <v>1161</v>
      </c>
      <c r="B1162">
        <v>1270</v>
      </c>
      <c r="C1162">
        <v>1524</v>
      </c>
      <c r="D1162" s="1">
        <v>45732</v>
      </c>
      <c r="E1162" t="s">
        <v>24</v>
      </c>
      <c r="F1162" t="s">
        <v>321</v>
      </c>
      <c r="G1162" t="str">
        <f>_xlfn.XLOOKUP(TRIM(E1163),MedicineInfo!A:A,MedicineInfo!B:B,"Not Found")</f>
        <v>Nitroglycerin</v>
      </c>
      <c r="H1162" s="1" t="str" cm="1">
        <f t="array" ref="H1162">_xlfn.IFS(
OR(E1162="Type 2 Diabetes",E1162="Essential Hypertension",E1162="Angina Pectoris",E1162="Bronchial Asthma",E1162="Cardiac Arrhythmia"), D1162+30,
OR(E1162="Gastritis",E1162="Osteoarthritis",E1162="Bronchitis",E1162="Iron Deficiency Anemia"), D1162+14,
OR(E1162="Lumbar Strain",E1162="Migraine Headache"), D1162+7,
OR(E1162="Viral Fever",E1162="General Checkup","Routine Health Check"), "",
TRUE,""
)</f>
        <v/>
      </c>
      <c r="I1162" s="1" t="str">
        <f t="shared" si="36"/>
        <v>No Follow-up Required</v>
      </c>
      <c r="J1162" t="str">
        <f>TEXT(Table8[[#This Row],[visit_Date]],"DDDD")</f>
        <v>Sunday</v>
      </c>
      <c r="K1162" t="str">
        <f>TEXT(Table8[[#This Row],[visit_Date]],"mmmm")</f>
        <v>March</v>
      </c>
      <c r="L1162" t="str">
        <f t="shared" si="37"/>
        <v>Summer</v>
      </c>
    </row>
    <row r="1163" spans="1:12" x14ac:dyDescent="0.25">
      <c r="A1163">
        <v>1162</v>
      </c>
      <c r="B1163">
        <v>1373</v>
      </c>
      <c r="C1163">
        <v>518</v>
      </c>
      <c r="D1163" s="1">
        <v>45814</v>
      </c>
      <c r="E1163" t="s">
        <v>322</v>
      </c>
      <c r="F1163" t="s">
        <v>323</v>
      </c>
      <c r="G1163" t="str">
        <f>_xlfn.XLOOKUP(TRIM(E1164),MedicineInfo!A:A,MedicineInfo!B:B,"Not Found")</f>
        <v>Multivitamin</v>
      </c>
      <c r="H1163" s="1" cm="1">
        <f t="array" ref="H1163">_xlfn.IFS(
OR(E1163="Type 2 Diabetes",E1163="Essential Hypertension",E1163="Angina Pectoris",E1163="Bronchial Asthma",E1163="Cardiac Arrhythmia"), D1163+30,
OR(E1163="Gastritis",E1163="Osteoarthritis",E1163="Bronchitis",E1163="Iron Deficiency Anemia"), D1163+14,
OR(E1163="Lumbar Strain",E1163="Migraine Headache"), D1163+7,
OR(E1163="Viral Fever",E1163="General Checkup","Routine Health Check"), "",
TRUE,""
)</f>
        <v>45844</v>
      </c>
      <c r="I1163" s="1" t="str">
        <f t="shared" si="36"/>
        <v>Follow-up Scheduled</v>
      </c>
      <c r="J1163" t="str">
        <f>TEXT(Table8[[#This Row],[visit_Date]],"DDDD")</f>
        <v>Friday</v>
      </c>
      <c r="K1163" t="str">
        <f>TEXT(Table8[[#This Row],[visit_Date]],"mmmm")</f>
        <v>June</v>
      </c>
      <c r="L1163" t="str">
        <f t="shared" si="37"/>
        <v>Monsoon</v>
      </c>
    </row>
    <row r="1164" spans="1:12" x14ac:dyDescent="0.25">
      <c r="A1164">
        <v>1163</v>
      </c>
      <c r="B1164">
        <v>1252</v>
      </c>
      <c r="C1164">
        <v>460</v>
      </c>
      <c r="D1164" s="1">
        <v>45792</v>
      </c>
      <c r="E1164" t="s">
        <v>24</v>
      </c>
      <c r="F1164" t="s">
        <v>321</v>
      </c>
      <c r="G1164" t="str">
        <f>_xlfn.XLOOKUP(TRIM(E1165),MedicineInfo!A:A,MedicineInfo!B:B,"Not Found")</f>
        <v>Nitroglycerin</v>
      </c>
      <c r="H1164" s="1" t="str" cm="1">
        <f t="array" ref="H1164">_xlfn.IFS(
OR(E1164="Type 2 Diabetes",E1164="Essential Hypertension",E1164="Angina Pectoris",E1164="Bronchial Asthma",E1164="Cardiac Arrhythmia"), D1164+30,
OR(E1164="Gastritis",E1164="Osteoarthritis",E1164="Bronchitis",E1164="Iron Deficiency Anemia"), D1164+14,
OR(E1164="Lumbar Strain",E1164="Migraine Headache"), D1164+7,
OR(E1164="Viral Fever",E1164="General Checkup","Routine Health Check"), "",
TRUE,""
)</f>
        <v/>
      </c>
      <c r="I1164" s="1" t="str">
        <f t="shared" si="36"/>
        <v>No Follow-up Required</v>
      </c>
      <c r="J1164" t="str">
        <f>TEXT(Table8[[#This Row],[visit_Date]],"DDDD")</f>
        <v>Thursday</v>
      </c>
      <c r="K1164" t="str">
        <f>TEXT(Table8[[#This Row],[visit_Date]],"mmmm")</f>
        <v>May</v>
      </c>
      <c r="L1164" t="str">
        <f t="shared" si="37"/>
        <v>Summer</v>
      </c>
    </row>
    <row r="1165" spans="1:12" x14ac:dyDescent="0.25">
      <c r="A1165">
        <v>1164</v>
      </c>
      <c r="B1165">
        <v>1239</v>
      </c>
      <c r="C1165">
        <v>1007</v>
      </c>
      <c r="D1165" s="1">
        <v>45792</v>
      </c>
      <c r="E1165" t="s">
        <v>322</v>
      </c>
      <c r="F1165" t="s">
        <v>323</v>
      </c>
      <c r="G1165" t="str">
        <f>_xlfn.XLOOKUP(TRIM(E1166),MedicineInfo!A:A,MedicineInfo!B:B,"Not Found")</f>
        <v>Multivitamin</v>
      </c>
      <c r="H1165" s="1" cm="1">
        <f t="array" ref="H1165">_xlfn.IFS(
OR(E1165="Type 2 Diabetes",E1165="Essential Hypertension",E1165="Angina Pectoris",E1165="Bronchial Asthma",E1165="Cardiac Arrhythmia"), D1165+30,
OR(E1165="Gastritis",E1165="Osteoarthritis",E1165="Bronchitis",E1165="Iron Deficiency Anemia"), D1165+14,
OR(E1165="Lumbar Strain",E1165="Migraine Headache"), D1165+7,
OR(E1165="Viral Fever",E1165="General Checkup","Routine Health Check"), "",
TRUE,""
)</f>
        <v>45822</v>
      </c>
      <c r="I1165" s="1" t="str">
        <f t="shared" si="36"/>
        <v>Follow-up Scheduled</v>
      </c>
      <c r="J1165" t="str">
        <f>TEXT(Table8[[#This Row],[visit_Date]],"DDDD")</f>
        <v>Thursday</v>
      </c>
      <c r="K1165" t="str">
        <f>TEXT(Table8[[#This Row],[visit_Date]],"mmmm")</f>
        <v>May</v>
      </c>
      <c r="L1165" t="str">
        <f t="shared" si="37"/>
        <v>Summer</v>
      </c>
    </row>
    <row r="1166" spans="1:12" x14ac:dyDescent="0.25">
      <c r="A1166">
        <v>1165</v>
      </c>
      <c r="B1166">
        <v>1246</v>
      </c>
      <c r="C1166">
        <v>134</v>
      </c>
      <c r="D1166" s="1">
        <v>45783</v>
      </c>
      <c r="E1166" t="s">
        <v>24</v>
      </c>
      <c r="F1166" t="s">
        <v>321</v>
      </c>
      <c r="G1166" t="str">
        <f>_xlfn.XLOOKUP(TRIM(E1167),MedicineInfo!A:A,MedicineInfo!B:B,"Not Found")</f>
        <v>Multivitamin</v>
      </c>
      <c r="H1166" s="1" t="str" cm="1">
        <f t="array" ref="H1166">_xlfn.IFS(
OR(E1166="Type 2 Diabetes",E1166="Essential Hypertension",E1166="Angina Pectoris",E1166="Bronchial Asthma",E1166="Cardiac Arrhythmia"), D1166+30,
OR(E1166="Gastritis",E1166="Osteoarthritis",E1166="Bronchitis",E1166="Iron Deficiency Anemia"), D1166+14,
OR(E1166="Lumbar Strain",E1166="Migraine Headache"), D1166+7,
OR(E1166="Viral Fever",E1166="General Checkup","Routine Health Check"), "",
TRUE,""
)</f>
        <v/>
      </c>
      <c r="I1166" s="1" t="str">
        <f t="shared" si="36"/>
        <v>No Follow-up Required</v>
      </c>
      <c r="J1166" t="str">
        <f>TEXT(Table8[[#This Row],[visit_Date]],"DDDD")</f>
        <v>Tuesday</v>
      </c>
      <c r="K1166" t="str">
        <f>TEXT(Table8[[#This Row],[visit_Date]],"mmmm")</f>
        <v>May</v>
      </c>
      <c r="L1166" t="str">
        <f t="shared" si="37"/>
        <v>Summer</v>
      </c>
    </row>
    <row r="1167" spans="1:12" x14ac:dyDescent="0.25">
      <c r="A1167">
        <v>1166</v>
      </c>
      <c r="B1167">
        <v>1085</v>
      </c>
      <c r="C1167">
        <v>362</v>
      </c>
      <c r="D1167" s="1">
        <v>45694</v>
      </c>
      <c r="E1167" t="s">
        <v>24</v>
      </c>
      <c r="F1167" t="s">
        <v>321</v>
      </c>
      <c r="G1167" t="str">
        <f>_xlfn.XLOOKUP(TRIM(E1168),MedicineInfo!A:A,MedicineInfo!B:B,"Not Found")</f>
        <v>Escitalopram</v>
      </c>
      <c r="H1167" s="1" t="str" cm="1">
        <f t="array" ref="H1167">_xlfn.IFS(
OR(E1167="Type 2 Diabetes",E1167="Essential Hypertension",E1167="Angina Pectoris",E1167="Bronchial Asthma",E1167="Cardiac Arrhythmia"), D1167+30,
OR(E1167="Gastritis",E1167="Osteoarthritis",E1167="Bronchitis",E1167="Iron Deficiency Anemia"), D1167+14,
OR(E1167="Lumbar Strain",E1167="Migraine Headache"), D1167+7,
OR(E1167="Viral Fever",E1167="General Checkup","Routine Health Check"), "",
TRUE,""
)</f>
        <v/>
      </c>
      <c r="I1167" s="1" t="str">
        <f t="shared" si="36"/>
        <v>No Follow-up Required</v>
      </c>
      <c r="J1167" t="str">
        <f>TEXT(Table8[[#This Row],[visit_Date]],"DDDD")</f>
        <v>Thursday</v>
      </c>
      <c r="K1167" t="str">
        <f>TEXT(Table8[[#This Row],[visit_Date]],"mmmm")</f>
        <v>February</v>
      </c>
      <c r="L1167" t="str">
        <f t="shared" si="37"/>
        <v>Winter</v>
      </c>
    </row>
    <row r="1168" spans="1:12" x14ac:dyDescent="0.25">
      <c r="A1168">
        <v>1167</v>
      </c>
      <c r="B1168">
        <v>1164</v>
      </c>
      <c r="C1168">
        <v>1078</v>
      </c>
      <c r="D1168" s="1">
        <v>45840</v>
      </c>
      <c r="E1168" t="s">
        <v>328</v>
      </c>
      <c r="F1168" t="s">
        <v>329</v>
      </c>
      <c r="G1168" t="str">
        <f>_xlfn.XLOOKUP(TRIM(E1169),MedicineInfo!A:A,MedicineInfo!B:B,"Not Found")</f>
        <v>Hydrocortisone Cream</v>
      </c>
      <c r="H1168" s="1" t="str" cm="1">
        <f t="array" ref="H1168">_xlfn.IFS(
OR(E1168="Type 2 Diabetes",E1168="Essential Hypertension",E1168="Angina Pectoris",E1168="Bronchial Asthma",E1168="Cardiac Arrhythmia"), D1168+30,
OR(E1168="Gastritis",E1168="Osteoarthritis",E1168="Bronchitis",E1168="Iron Deficiency Anemia"), D1168+14,
OR(E1168="Lumbar Strain",E1168="Migraine Headache"), D1168+7,
OR(E1168="Viral Fever",E1168="General Checkup","Routine Health Check"), "",
TRUE,""
)</f>
        <v/>
      </c>
      <c r="I1168" s="1" t="str">
        <f t="shared" si="36"/>
        <v>No Follow-up Required</v>
      </c>
      <c r="J1168" t="str">
        <f>TEXT(Table8[[#This Row],[visit_Date]],"DDDD")</f>
        <v>Wednesday</v>
      </c>
      <c r="K1168" t="str">
        <f>TEXT(Table8[[#This Row],[visit_Date]],"mmmm")</f>
        <v>July</v>
      </c>
      <c r="L1168" t="str">
        <f t="shared" si="37"/>
        <v>Monsoon</v>
      </c>
    </row>
    <row r="1169" spans="1:12" x14ac:dyDescent="0.25">
      <c r="A1169">
        <v>1168</v>
      </c>
      <c r="B1169">
        <v>1272</v>
      </c>
      <c r="C1169">
        <v>464</v>
      </c>
      <c r="D1169" s="1">
        <v>45819</v>
      </c>
      <c r="E1169" t="s">
        <v>338</v>
      </c>
      <c r="F1169" t="s">
        <v>339</v>
      </c>
      <c r="G1169" t="str">
        <f>_xlfn.XLOOKUP(TRIM(E1170),MedicineInfo!A:A,MedicineInfo!B:B,"Not Found")</f>
        <v>Salbutamol Inhaler</v>
      </c>
      <c r="H1169" s="1" t="str" cm="1">
        <f t="array" ref="H1169">_xlfn.IFS(
OR(E1169="Type 2 Diabetes",E1169="Essential Hypertension",E1169="Angina Pectoris",E1169="Bronchial Asthma",E1169="Cardiac Arrhythmia"), D1169+30,
OR(E1169="Gastritis",E1169="Osteoarthritis",E1169="Bronchitis",E1169="Iron Deficiency Anemia"), D1169+14,
OR(E1169="Lumbar Strain",E1169="Migraine Headache"), D1169+7,
OR(E1169="Viral Fever",E1169="General Checkup","Routine Health Check"), "",
TRUE,""
)</f>
        <v/>
      </c>
      <c r="I1169" s="1" t="str">
        <f t="shared" si="36"/>
        <v>No Follow-up Required</v>
      </c>
      <c r="J1169" t="str">
        <f>TEXT(Table8[[#This Row],[visit_Date]],"DDDD")</f>
        <v>Wednesday</v>
      </c>
      <c r="K1169" t="str">
        <f>TEXT(Table8[[#This Row],[visit_Date]],"mmmm")</f>
        <v>June</v>
      </c>
      <c r="L1169" t="str">
        <f t="shared" si="37"/>
        <v>Monsoon</v>
      </c>
    </row>
    <row r="1170" spans="1:12" x14ac:dyDescent="0.25">
      <c r="A1170">
        <v>1169</v>
      </c>
      <c r="B1170">
        <v>1257</v>
      </c>
      <c r="C1170">
        <v>910</v>
      </c>
      <c r="D1170" s="1">
        <v>45723</v>
      </c>
      <c r="E1170" t="s">
        <v>324</v>
      </c>
      <c r="F1170" t="s">
        <v>325</v>
      </c>
      <c r="G1170" t="str">
        <f>_xlfn.XLOOKUP(TRIM(E1171),MedicineInfo!A:A,MedicineInfo!B:B,"Not Found")</f>
        <v>Diclofenac</v>
      </c>
      <c r="H1170" s="1" cm="1">
        <f t="array" ref="H1170">_xlfn.IFS(
OR(E1170="Type 2 Diabetes",E1170="Essential Hypertension",E1170="Angina Pectoris",E1170="Bronchial Asthma",E1170="Cardiac Arrhythmia"), D1170+30,
OR(E1170="Gastritis",E1170="Osteoarthritis",E1170="Bronchitis",E1170="Iron Deficiency Anemia"), D1170+14,
OR(E1170="Lumbar Strain",E1170="Migraine Headache"), D1170+7,
OR(E1170="Viral Fever",E1170="General Checkup","Routine Health Check"), "",
TRUE,""
)</f>
        <v>45753</v>
      </c>
      <c r="I1170" s="1" t="str">
        <f t="shared" si="36"/>
        <v>Follow-up Scheduled</v>
      </c>
      <c r="J1170" t="str">
        <f>TEXT(Table8[[#This Row],[visit_Date]],"DDDD")</f>
        <v>Friday</v>
      </c>
      <c r="K1170" t="str">
        <f>TEXT(Table8[[#This Row],[visit_Date]],"mmmm")</f>
        <v>March</v>
      </c>
      <c r="L1170" t="str">
        <f t="shared" si="37"/>
        <v>Summer</v>
      </c>
    </row>
    <row r="1171" spans="1:12" x14ac:dyDescent="0.25">
      <c r="A1171">
        <v>1170</v>
      </c>
      <c r="B1171">
        <v>1007</v>
      </c>
      <c r="C1171">
        <v>1329</v>
      </c>
      <c r="D1171" s="1">
        <v>45859</v>
      </c>
      <c r="E1171" t="s">
        <v>313</v>
      </c>
      <c r="F1171" t="s">
        <v>314</v>
      </c>
      <c r="G1171" t="str">
        <f>_xlfn.XLOOKUP(TRIM(E1172),MedicineInfo!A:A,MedicineInfo!B:B,"Not Found")</f>
        <v>Donepezil</v>
      </c>
      <c r="H1171" s="1" cm="1">
        <f t="array" ref="H1171">_xlfn.IFS(
OR(E1171="Type 2 Diabetes",E1171="Essential Hypertension",E1171="Angina Pectoris",E1171="Bronchial Asthma",E1171="Cardiac Arrhythmia"), D1171+30,
OR(E1171="Gastritis",E1171="Osteoarthritis",E1171="Bronchitis",E1171="Iron Deficiency Anemia"), D1171+14,
OR(E1171="Lumbar Strain",E1171="Migraine Headache"), D1171+7,
OR(E1171="Viral Fever",E1171="General Checkup","Routine Health Check"), "",
TRUE,""
)</f>
        <v>45866</v>
      </c>
      <c r="I1171" s="1" t="str">
        <f t="shared" si="36"/>
        <v>Follow-up Scheduled</v>
      </c>
      <c r="J1171" t="str">
        <f>TEXT(Table8[[#This Row],[visit_Date]],"DDDD")</f>
        <v>Monday</v>
      </c>
      <c r="K1171" t="str">
        <f>TEXT(Table8[[#This Row],[visit_Date]],"mmmm")</f>
        <v>July</v>
      </c>
      <c r="L1171" t="str">
        <f t="shared" si="37"/>
        <v>Monsoon</v>
      </c>
    </row>
    <row r="1172" spans="1:12" x14ac:dyDescent="0.25">
      <c r="A1172">
        <v>1171</v>
      </c>
      <c r="B1172">
        <v>1006</v>
      </c>
      <c r="C1172">
        <v>247</v>
      </c>
      <c r="D1172" s="1">
        <v>45728</v>
      </c>
      <c r="E1172" t="s">
        <v>350</v>
      </c>
      <c r="F1172" t="s">
        <v>351</v>
      </c>
      <c r="G1172" t="str">
        <f>_xlfn.XLOOKUP(TRIM(E1173),MedicineInfo!A:A,MedicineInfo!B:B,"Not Found")</f>
        <v>Multivitamin</v>
      </c>
      <c r="H1172" s="1" t="str" cm="1">
        <f t="array" ref="H1172">_xlfn.IFS(
OR(E1172="Type 2 Diabetes",E1172="Essential Hypertension",E1172="Angina Pectoris",E1172="Bronchial Asthma",E1172="Cardiac Arrhythmia"), D1172+30,
OR(E1172="Gastritis",E1172="Osteoarthritis",E1172="Bronchitis",E1172="Iron Deficiency Anemia"), D1172+14,
OR(E1172="Lumbar Strain",E1172="Migraine Headache"), D1172+7,
OR(E1172="Viral Fever",E1172="General Checkup","Routine Health Check"), "",
TRUE,""
)</f>
        <v/>
      </c>
      <c r="I1172" s="1" t="str">
        <f t="shared" si="36"/>
        <v>No Follow-up Required</v>
      </c>
      <c r="J1172" t="str">
        <f>TEXT(Table8[[#This Row],[visit_Date]],"DDDD")</f>
        <v>Wednesday</v>
      </c>
      <c r="K1172" t="str">
        <f>TEXT(Table8[[#This Row],[visit_Date]],"mmmm")</f>
        <v>March</v>
      </c>
      <c r="L1172" t="str">
        <f t="shared" si="37"/>
        <v>Summer</v>
      </c>
    </row>
    <row r="1173" spans="1:12" x14ac:dyDescent="0.25">
      <c r="A1173">
        <v>1172</v>
      </c>
      <c r="B1173">
        <v>1236</v>
      </c>
      <c r="C1173">
        <v>298</v>
      </c>
      <c r="D1173" s="1">
        <v>45783</v>
      </c>
      <c r="E1173" t="s">
        <v>24</v>
      </c>
      <c r="F1173" t="s">
        <v>321</v>
      </c>
      <c r="G1173" t="str">
        <f>_xlfn.XLOOKUP(TRIM(E1174),MedicineInfo!A:A,MedicineInfo!B:B,"Not Found")</f>
        <v>Multivitamin</v>
      </c>
      <c r="H1173" s="1" t="str" cm="1">
        <f t="array" ref="H1173">_xlfn.IFS(
OR(E1173="Type 2 Diabetes",E1173="Essential Hypertension",E1173="Angina Pectoris",E1173="Bronchial Asthma",E1173="Cardiac Arrhythmia"), D1173+30,
OR(E1173="Gastritis",E1173="Osteoarthritis",E1173="Bronchitis",E1173="Iron Deficiency Anemia"), D1173+14,
OR(E1173="Lumbar Strain",E1173="Migraine Headache"), D1173+7,
OR(E1173="Viral Fever",E1173="General Checkup","Routine Health Check"), "",
TRUE,""
)</f>
        <v/>
      </c>
      <c r="I1173" s="1" t="str">
        <f t="shared" si="36"/>
        <v>No Follow-up Required</v>
      </c>
      <c r="J1173" t="str">
        <f>TEXT(Table8[[#This Row],[visit_Date]],"DDDD")</f>
        <v>Tuesday</v>
      </c>
      <c r="K1173" t="str">
        <f>TEXT(Table8[[#This Row],[visit_Date]],"mmmm")</f>
        <v>May</v>
      </c>
      <c r="L1173" t="str">
        <f t="shared" si="37"/>
        <v>Summer</v>
      </c>
    </row>
    <row r="1174" spans="1:12" x14ac:dyDescent="0.25">
      <c r="A1174">
        <v>1173</v>
      </c>
      <c r="B1174">
        <v>1200</v>
      </c>
      <c r="C1174">
        <v>524</v>
      </c>
      <c r="D1174" s="1">
        <v>45799</v>
      </c>
      <c r="E1174" t="s">
        <v>24</v>
      </c>
      <c r="F1174" t="s">
        <v>321</v>
      </c>
      <c r="G1174" t="str">
        <f>_xlfn.XLOOKUP(TRIM(E1175),MedicineInfo!A:A,MedicineInfo!B:B,"Not Found")</f>
        <v>Sertraline</v>
      </c>
      <c r="H1174" s="1" t="str" cm="1">
        <f t="array" ref="H1174">_xlfn.IFS(
OR(E1174="Type 2 Diabetes",E1174="Essential Hypertension",E1174="Angina Pectoris",E1174="Bronchial Asthma",E1174="Cardiac Arrhythmia"), D1174+30,
OR(E1174="Gastritis",E1174="Osteoarthritis",E1174="Bronchitis",E1174="Iron Deficiency Anemia"), D1174+14,
OR(E1174="Lumbar Strain",E1174="Migraine Headache"), D1174+7,
OR(E1174="Viral Fever",E1174="General Checkup","Routine Health Check"), "",
TRUE,""
)</f>
        <v/>
      </c>
      <c r="I1174" s="1" t="str">
        <f t="shared" si="36"/>
        <v>No Follow-up Required</v>
      </c>
      <c r="J1174" t="str">
        <f>TEXT(Table8[[#This Row],[visit_Date]],"DDDD")</f>
        <v>Thursday</v>
      </c>
      <c r="K1174" t="str">
        <f>TEXT(Table8[[#This Row],[visit_Date]],"mmmm")</f>
        <v>May</v>
      </c>
      <c r="L1174" t="str">
        <f t="shared" si="37"/>
        <v>Summer</v>
      </c>
    </row>
    <row r="1175" spans="1:12" x14ac:dyDescent="0.25">
      <c r="A1175">
        <v>1174</v>
      </c>
      <c r="B1175">
        <v>1383</v>
      </c>
      <c r="C1175">
        <v>831</v>
      </c>
      <c r="D1175" s="1">
        <v>45669</v>
      </c>
      <c r="E1175" t="s">
        <v>334</v>
      </c>
      <c r="F1175" t="s">
        <v>335</v>
      </c>
      <c r="G1175" t="str">
        <f>_xlfn.XLOOKUP(TRIM(E1176),MedicineInfo!A:A,MedicineInfo!B:B,"Not Found")</f>
        <v>Multivitamin</v>
      </c>
      <c r="H1175" s="1" t="str" cm="1">
        <f t="array" ref="H1175">_xlfn.IFS(
OR(E1175="Type 2 Diabetes",E1175="Essential Hypertension",E1175="Angina Pectoris",E1175="Bronchial Asthma",E1175="Cardiac Arrhythmia"), D1175+30,
OR(E1175="Gastritis",E1175="Osteoarthritis",E1175="Bronchitis",E1175="Iron Deficiency Anemia"), D1175+14,
OR(E1175="Lumbar Strain",E1175="Migraine Headache"), D1175+7,
OR(E1175="Viral Fever",E1175="General Checkup","Routine Health Check"), "",
TRUE,""
)</f>
        <v/>
      </c>
      <c r="I1175" s="1" t="str">
        <f t="shared" si="36"/>
        <v>No Follow-up Required</v>
      </c>
      <c r="J1175" t="str">
        <f>TEXT(Table8[[#This Row],[visit_Date]],"DDDD")</f>
        <v>Sunday</v>
      </c>
      <c r="K1175" t="str">
        <f>TEXT(Table8[[#This Row],[visit_Date]],"mmmm")</f>
        <v>January</v>
      </c>
      <c r="L1175" t="str">
        <f t="shared" si="37"/>
        <v>Winter</v>
      </c>
    </row>
    <row r="1176" spans="1:12" x14ac:dyDescent="0.25">
      <c r="A1176">
        <v>1175</v>
      </c>
      <c r="B1176">
        <v>1326</v>
      </c>
      <c r="C1176">
        <v>980</v>
      </c>
      <c r="D1176" s="1">
        <v>45767</v>
      </c>
      <c r="E1176" t="s">
        <v>24</v>
      </c>
      <c r="F1176" t="s">
        <v>321</v>
      </c>
      <c r="G1176" t="str">
        <f>_xlfn.XLOOKUP(TRIM(E1177),MedicineInfo!A:A,MedicineInfo!B:B,"Not Found")</f>
        <v>Multivitamin</v>
      </c>
      <c r="H1176" s="1" t="str" cm="1">
        <f t="array" ref="H1176">_xlfn.IFS(
OR(E1176="Type 2 Diabetes",E1176="Essential Hypertension",E1176="Angina Pectoris",E1176="Bronchial Asthma",E1176="Cardiac Arrhythmia"), D1176+30,
OR(E1176="Gastritis",E1176="Osteoarthritis",E1176="Bronchitis",E1176="Iron Deficiency Anemia"), D1176+14,
OR(E1176="Lumbar Strain",E1176="Migraine Headache"), D1176+7,
OR(E1176="Viral Fever",E1176="General Checkup","Routine Health Check"), "",
TRUE,""
)</f>
        <v/>
      </c>
      <c r="I1176" s="1" t="str">
        <f t="shared" si="36"/>
        <v>No Follow-up Required</v>
      </c>
      <c r="J1176" t="str">
        <f>TEXT(Table8[[#This Row],[visit_Date]],"DDDD")</f>
        <v>Sunday</v>
      </c>
      <c r="K1176" t="str">
        <f>TEXT(Table8[[#This Row],[visit_Date]],"mmmm")</f>
        <v>April</v>
      </c>
      <c r="L1176" t="str">
        <f t="shared" si="37"/>
        <v>Summer</v>
      </c>
    </row>
    <row r="1177" spans="1:12" x14ac:dyDescent="0.25">
      <c r="A1177">
        <v>1176</v>
      </c>
      <c r="B1177">
        <v>1316</v>
      </c>
      <c r="C1177">
        <v>1581</v>
      </c>
      <c r="D1177" s="1">
        <v>45790</v>
      </c>
      <c r="E1177" t="s">
        <v>24</v>
      </c>
      <c r="F1177" t="s">
        <v>321</v>
      </c>
      <c r="G1177" t="str">
        <f>_xlfn.XLOOKUP(TRIM(E1178),MedicineInfo!A:A,MedicineInfo!B:B,"Not Found")</f>
        <v>Multivitamin</v>
      </c>
      <c r="H1177" s="1" t="str" cm="1">
        <f t="array" ref="H1177">_xlfn.IFS(
OR(E1177="Type 2 Diabetes",E1177="Essential Hypertension",E1177="Angina Pectoris",E1177="Bronchial Asthma",E1177="Cardiac Arrhythmia"), D1177+30,
OR(E1177="Gastritis",E1177="Osteoarthritis",E1177="Bronchitis",E1177="Iron Deficiency Anemia"), D1177+14,
OR(E1177="Lumbar Strain",E1177="Migraine Headache"), D1177+7,
OR(E1177="Viral Fever",E1177="General Checkup","Routine Health Check"), "",
TRUE,""
)</f>
        <v/>
      </c>
      <c r="I1177" s="1" t="str">
        <f t="shared" si="36"/>
        <v>No Follow-up Required</v>
      </c>
      <c r="J1177" t="str">
        <f>TEXT(Table8[[#This Row],[visit_Date]],"DDDD")</f>
        <v>Tuesday</v>
      </c>
      <c r="K1177" t="str">
        <f>TEXT(Table8[[#This Row],[visit_Date]],"mmmm")</f>
        <v>May</v>
      </c>
      <c r="L1177" t="str">
        <f t="shared" si="37"/>
        <v>Summer</v>
      </c>
    </row>
    <row r="1178" spans="1:12" x14ac:dyDescent="0.25">
      <c r="A1178">
        <v>1177</v>
      </c>
      <c r="B1178">
        <v>1100</v>
      </c>
      <c r="C1178">
        <v>270</v>
      </c>
      <c r="D1178" s="1">
        <v>45791</v>
      </c>
      <c r="E1178" t="s">
        <v>24</v>
      </c>
      <c r="F1178" t="s">
        <v>321</v>
      </c>
      <c r="G1178" t="str">
        <f>_xlfn.XLOOKUP(TRIM(E1179),MedicineInfo!A:A,MedicineInfo!B:B,"Not Found")</f>
        <v>Donepezil</v>
      </c>
      <c r="H1178" s="1" t="str" cm="1">
        <f t="array" ref="H1178">_xlfn.IFS(
OR(E1178="Type 2 Diabetes",E1178="Essential Hypertension",E1178="Angina Pectoris",E1178="Bronchial Asthma",E1178="Cardiac Arrhythmia"), D1178+30,
OR(E1178="Gastritis",E1178="Osteoarthritis",E1178="Bronchitis",E1178="Iron Deficiency Anemia"), D1178+14,
OR(E1178="Lumbar Strain",E1178="Migraine Headache"), D1178+7,
OR(E1178="Viral Fever",E1178="General Checkup","Routine Health Check"), "",
TRUE,""
)</f>
        <v/>
      </c>
      <c r="I1178" s="1" t="str">
        <f t="shared" si="36"/>
        <v>No Follow-up Required</v>
      </c>
      <c r="J1178" t="str">
        <f>TEXT(Table8[[#This Row],[visit_Date]],"DDDD")</f>
        <v>Wednesday</v>
      </c>
      <c r="K1178" t="str">
        <f>TEXT(Table8[[#This Row],[visit_Date]],"mmmm")</f>
        <v>May</v>
      </c>
      <c r="L1178" t="str">
        <f t="shared" si="37"/>
        <v>Summer</v>
      </c>
    </row>
    <row r="1179" spans="1:12" x14ac:dyDescent="0.25">
      <c r="A1179">
        <v>1178</v>
      </c>
      <c r="B1179">
        <v>1218</v>
      </c>
      <c r="C1179">
        <v>354</v>
      </c>
      <c r="D1179" s="1">
        <v>45719</v>
      </c>
      <c r="E1179" t="s">
        <v>350</v>
      </c>
      <c r="F1179" t="s">
        <v>351</v>
      </c>
      <c r="G1179" t="str">
        <f>_xlfn.XLOOKUP(TRIM(E1180),MedicineInfo!A:A,MedicineInfo!B:B,"Not Found")</f>
        <v>Calcium Supplement</v>
      </c>
      <c r="H1179" s="1" t="str" cm="1">
        <f t="array" ref="H1179">_xlfn.IFS(
OR(E1179="Type 2 Diabetes",E1179="Essential Hypertension",E1179="Angina Pectoris",E1179="Bronchial Asthma",E1179="Cardiac Arrhythmia"), D1179+30,
OR(E1179="Gastritis",E1179="Osteoarthritis",E1179="Bronchitis",E1179="Iron Deficiency Anemia"), D1179+14,
OR(E1179="Lumbar Strain",E1179="Migraine Headache"), D1179+7,
OR(E1179="Viral Fever",E1179="General Checkup","Routine Health Check"), "",
TRUE,""
)</f>
        <v/>
      </c>
      <c r="I1179" s="1" t="str">
        <f t="shared" si="36"/>
        <v>No Follow-up Required</v>
      </c>
      <c r="J1179" t="str">
        <f>TEXT(Table8[[#This Row],[visit_Date]],"DDDD")</f>
        <v>Monday</v>
      </c>
      <c r="K1179" t="str">
        <f>TEXT(Table8[[#This Row],[visit_Date]],"mmmm")</f>
        <v>March</v>
      </c>
      <c r="L1179" t="str">
        <f t="shared" si="37"/>
        <v>Summer</v>
      </c>
    </row>
    <row r="1180" spans="1:12" x14ac:dyDescent="0.25">
      <c r="A1180">
        <v>1179</v>
      </c>
      <c r="B1180">
        <v>1019</v>
      </c>
      <c r="C1180">
        <v>1372</v>
      </c>
      <c r="D1180" s="1">
        <v>45781</v>
      </c>
      <c r="E1180" t="s">
        <v>336</v>
      </c>
      <c r="F1180" t="s">
        <v>337</v>
      </c>
      <c r="G1180" t="str">
        <f>_xlfn.XLOOKUP(TRIM(E1181),MedicineInfo!A:A,MedicineInfo!B:B,"Not Found")</f>
        <v>Multivitamin</v>
      </c>
      <c r="H1180" s="1" t="str" cm="1">
        <f t="array" ref="H1180">_xlfn.IFS(
OR(E1180="Type 2 Diabetes",E1180="Essential Hypertension",E1180="Angina Pectoris",E1180="Bronchial Asthma",E1180="Cardiac Arrhythmia"), D1180+30,
OR(E1180="Gastritis",E1180="Osteoarthritis",E1180="Bronchitis",E1180="Iron Deficiency Anemia"), D1180+14,
OR(E1180="Lumbar Strain",E1180="Migraine Headache"), D1180+7,
OR(E1180="Viral Fever",E1180="General Checkup","Routine Health Check"), "",
TRUE,""
)</f>
        <v/>
      </c>
      <c r="I1180" s="1" t="str">
        <f t="shared" si="36"/>
        <v>No Follow-up Required</v>
      </c>
      <c r="J1180" t="str">
        <f>TEXT(Table8[[#This Row],[visit_Date]],"DDDD")</f>
        <v>Sunday</v>
      </c>
      <c r="K1180" t="str">
        <f>TEXT(Table8[[#This Row],[visit_Date]],"mmmm")</f>
        <v>May</v>
      </c>
      <c r="L1180" t="str">
        <f t="shared" si="37"/>
        <v>Summer</v>
      </c>
    </row>
    <row r="1181" spans="1:12" x14ac:dyDescent="0.25">
      <c r="A1181">
        <v>1180</v>
      </c>
      <c r="B1181">
        <v>1333</v>
      </c>
      <c r="C1181">
        <v>182</v>
      </c>
      <c r="D1181" s="1">
        <v>45826</v>
      </c>
      <c r="E1181" t="s">
        <v>24</v>
      </c>
      <c r="F1181" t="s">
        <v>321</v>
      </c>
      <c r="G1181" t="str">
        <f>_xlfn.XLOOKUP(TRIM(E1182),MedicineInfo!A:A,MedicineInfo!B:B,"Not Found")</f>
        <v>Multivitamin</v>
      </c>
      <c r="H1181" s="1" t="str" cm="1">
        <f t="array" ref="H1181">_xlfn.IFS(
OR(E1181="Type 2 Diabetes",E1181="Essential Hypertension",E1181="Angina Pectoris",E1181="Bronchial Asthma",E1181="Cardiac Arrhythmia"), D1181+30,
OR(E1181="Gastritis",E1181="Osteoarthritis",E1181="Bronchitis",E1181="Iron Deficiency Anemia"), D1181+14,
OR(E1181="Lumbar Strain",E1181="Migraine Headache"), D1181+7,
OR(E1181="Viral Fever",E1181="General Checkup","Routine Health Check"), "",
TRUE,""
)</f>
        <v/>
      </c>
      <c r="I1181" s="1" t="str">
        <f t="shared" si="36"/>
        <v>No Follow-up Required</v>
      </c>
      <c r="J1181" t="str">
        <f>TEXT(Table8[[#This Row],[visit_Date]],"DDDD")</f>
        <v>Wednesday</v>
      </c>
      <c r="K1181" t="str">
        <f>TEXT(Table8[[#This Row],[visit_Date]],"mmmm")</f>
        <v>June</v>
      </c>
      <c r="L1181" t="str">
        <f t="shared" si="37"/>
        <v>Monsoon</v>
      </c>
    </row>
    <row r="1182" spans="1:12" x14ac:dyDescent="0.25">
      <c r="A1182">
        <v>1181</v>
      </c>
      <c r="B1182">
        <v>1257</v>
      </c>
      <c r="C1182">
        <v>1360</v>
      </c>
      <c r="D1182" s="1">
        <v>45669</v>
      </c>
      <c r="E1182" t="s">
        <v>24</v>
      </c>
      <c r="F1182" t="s">
        <v>321</v>
      </c>
      <c r="G1182" t="str">
        <f>_xlfn.XLOOKUP(TRIM(E1183),MedicineInfo!A:A,MedicineInfo!B:B,"Not Found")</f>
        <v>Sodium Valproate</v>
      </c>
      <c r="H1182" s="1" t="str" cm="1">
        <f t="array" ref="H1182">_xlfn.IFS(
OR(E1182="Type 2 Diabetes",E1182="Essential Hypertension",E1182="Angina Pectoris",E1182="Bronchial Asthma",E1182="Cardiac Arrhythmia"), D1182+30,
OR(E1182="Gastritis",E1182="Osteoarthritis",E1182="Bronchitis",E1182="Iron Deficiency Anemia"), D1182+14,
OR(E1182="Lumbar Strain",E1182="Migraine Headache"), D1182+7,
OR(E1182="Viral Fever",E1182="General Checkup","Routine Health Check"), "",
TRUE,""
)</f>
        <v/>
      </c>
      <c r="I1182" s="1" t="str">
        <f t="shared" si="36"/>
        <v>No Follow-up Required</v>
      </c>
      <c r="J1182" t="str">
        <f>TEXT(Table8[[#This Row],[visit_Date]],"DDDD")</f>
        <v>Sunday</v>
      </c>
      <c r="K1182" t="str">
        <f>TEXT(Table8[[#This Row],[visit_Date]],"mmmm")</f>
        <v>January</v>
      </c>
      <c r="L1182" t="str">
        <f t="shared" si="37"/>
        <v>Winter</v>
      </c>
    </row>
    <row r="1183" spans="1:12" x14ac:dyDescent="0.25">
      <c r="A1183">
        <v>1182</v>
      </c>
      <c r="B1183">
        <v>1344</v>
      </c>
      <c r="C1183">
        <v>793</v>
      </c>
      <c r="D1183" s="1">
        <v>45814</v>
      </c>
      <c r="E1183" t="s">
        <v>352</v>
      </c>
      <c r="F1183" t="s">
        <v>353</v>
      </c>
      <c r="G1183" t="str">
        <f>_xlfn.XLOOKUP(TRIM(E1184),MedicineInfo!A:A,MedicineInfo!B:B,"Not Found")</f>
        <v>Multivitamin</v>
      </c>
      <c r="H1183" s="1" t="str" cm="1">
        <f t="array" ref="H1183">_xlfn.IFS(
OR(E1183="Type 2 Diabetes",E1183="Essential Hypertension",E1183="Angina Pectoris",E1183="Bronchial Asthma",E1183="Cardiac Arrhythmia"), D1183+30,
OR(E1183="Gastritis",E1183="Osteoarthritis",E1183="Bronchitis",E1183="Iron Deficiency Anemia"), D1183+14,
OR(E1183="Lumbar Strain",E1183="Migraine Headache"), D1183+7,
OR(E1183="Viral Fever",E1183="General Checkup","Routine Health Check"), "",
TRUE,""
)</f>
        <v/>
      </c>
      <c r="I1183" s="1" t="str">
        <f t="shared" si="36"/>
        <v>No Follow-up Required</v>
      </c>
      <c r="J1183" t="str">
        <f>TEXT(Table8[[#This Row],[visit_Date]],"DDDD")</f>
        <v>Friday</v>
      </c>
      <c r="K1183" t="str">
        <f>TEXT(Table8[[#This Row],[visit_Date]],"mmmm")</f>
        <v>June</v>
      </c>
      <c r="L1183" t="str">
        <f t="shared" si="37"/>
        <v>Monsoon</v>
      </c>
    </row>
    <row r="1184" spans="1:12" x14ac:dyDescent="0.25">
      <c r="A1184">
        <v>1183</v>
      </c>
      <c r="B1184">
        <v>1114</v>
      </c>
      <c r="C1184">
        <v>575</v>
      </c>
      <c r="D1184" s="1">
        <v>45836</v>
      </c>
      <c r="E1184" t="s">
        <v>24</v>
      </c>
      <c r="F1184" t="s">
        <v>321</v>
      </c>
      <c r="G1184" t="str">
        <f>_xlfn.XLOOKUP(TRIM(E1185),MedicineInfo!A:A,MedicineInfo!B:B,"Not Found")</f>
        <v>Multivitamin</v>
      </c>
      <c r="H1184" s="1" t="str" cm="1">
        <f t="array" ref="H1184">_xlfn.IFS(
OR(E1184="Type 2 Diabetes",E1184="Essential Hypertension",E1184="Angina Pectoris",E1184="Bronchial Asthma",E1184="Cardiac Arrhythmia"), D1184+30,
OR(E1184="Gastritis",E1184="Osteoarthritis",E1184="Bronchitis",E1184="Iron Deficiency Anemia"), D1184+14,
OR(E1184="Lumbar Strain",E1184="Migraine Headache"), D1184+7,
OR(E1184="Viral Fever",E1184="General Checkup","Routine Health Check"), "",
TRUE,""
)</f>
        <v/>
      </c>
      <c r="I1184" s="1" t="str">
        <f t="shared" si="36"/>
        <v>No Follow-up Required</v>
      </c>
      <c r="J1184" t="str">
        <f>TEXT(Table8[[#This Row],[visit_Date]],"DDDD")</f>
        <v>Saturday</v>
      </c>
      <c r="K1184" t="str">
        <f>TEXT(Table8[[#This Row],[visit_Date]],"mmmm")</f>
        <v>June</v>
      </c>
      <c r="L1184" t="str">
        <f t="shared" si="37"/>
        <v>Monsoon</v>
      </c>
    </row>
    <row r="1185" spans="1:12" x14ac:dyDescent="0.25">
      <c r="A1185">
        <v>1184</v>
      </c>
      <c r="B1185">
        <v>1184</v>
      </c>
      <c r="C1185">
        <v>1364</v>
      </c>
      <c r="D1185" s="1">
        <v>45686</v>
      </c>
      <c r="E1185" t="s">
        <v>24</v>
      </c>
      <c r="F1185" t="s">
        <v>321</v>
      </c>
      <c r="G1185" t="str">
        <f>_xlfn.XLOOKUP(TRIM(E1186),MedicineInfo!A:A,MedicineInfo!B:B,"Not Found")</f>
        <v>Multivitamin</v>
      </c>
      <c r="H1185" s="1" t="str" cm="1">
        <f t="array" ref="H1185">_xlfn.IFS(
OR(E1185="Type 2 Diabetes",E1185="Essential Hypertension",E1185="Angina Pectoris",E1185="Bronchial Asthma",E1185="Cardiac Arrhythmia"), D1185+30,
OR(E1185="Gastritis",E1185="Osteoarthritis",E1185="Bronchitis",E1185="Iron Deficiency Anemia"), D1185+14,
OR(E1185="Lumbar Strain",E1185="Migraine Headache"), D1185+7,
OR(E1185="Viral Fever",E1185="General Checkup","Routine Health Check"), "",
TRUE,""
)</f>
        <v/>
      </c>
      <c r="I1185" s="1" t="str">
        <f t="shared" si="36"/>
        <v>No Follow-up Required</v>
      </c>
      <c r="J1185" t="str">
        <f>TEXT(Table8[[#This Row],[visit_Date]],"DDDD")</f>
        <v>Wednesday</v>
      </c>
      <c r="K1185" t="str">
        <f>TEXT(Table8[[#This Row],[visit_Date]],"mmmm")</f>
        <v>January</v>
      </c>
      <c r="L1185" t="str">
        <f t="shared" si="37"/>
        <v>Winter</v>
      </c>
    </row>
    <row r="1186" spans="1:12" x14ac:dyDescent="0.25">
      <c r="A1186">
        <v>1185</v>
      </c>
      <c r="B1186">
        <v>1157</v>
      </c>
      <c r="C1186">
        <v>427</v>
      </c>
      <c r="D1186" s="1">
        <v>45694</v>
      </c>
      <c r="E1186" t="s">
        <v>24</v>
      </c>
      <c r="F1186" t="s">
        <v>321</v>
      </c>
      <c r="G1186" t="str">
        <f>_xlfn.XLOOKUP(TRIM(E1187),MedicineInfo!A:A,MedicineInfo!B:B,"Not Found")</f>
        <v>Multivitamin</v>
      </c>
      <c r="H1186" s="1" t="str" cm="1">
        <f t="array" ref="H1186">_xlfn.IFS(
OR(E1186="Type 2 Diabetes",E1186="Essential Hypertension",E1186="Angina Pectoris",E1186="Bronchial Asthma",E1186="Cardiac Arrhythmia"), D1186+30,
OR(E1186="Gastritis",E1186="Osteoarthritis",E1186="Bronchitis",E1186="Iron Deficiency Anemia"), D1186+14,
OR(E1186="Lumbar Strain",E1186="Migraine Headache"), D1186+7,
OR(E1186="Viral Fever",E1186="General Checkup","Routine Health Check"), "",
TRUE,""
)</f>
        <v/>
      </c>
      <c r="I1186" s="1" t="str">
        <f t="shared" si="36"/>
        <v>No Follow-up Required</v>
      </c>
      <c r="J1186" t="str">
        <f>TEXT(Table8[[#This Row],[visit_Date]],"DDDD")</f>
        <v>Thursday</v>
      </c>
      <c r="K1186" t="str">
        <f>TEXT(Table8[[#This Row],[visit_Date]],"mmmm")</f>
        <v>February</v>
      </c>
      <c r="L1186" t="str">
        <f t="shared" si="37"/>
        <v>Winter</v>
      </c>
    </row>
    <row r="1187" spans="1:12" x14ac:dyDescent="0.25">
      <c r="A1187">
        <v>1186</v>
      </c>
      <c r="B1187">
        <v>1355</v>
      </c>
      <c r="C1187">
        <v>370</v>
      </c>
      <c r="D1187" s="1">
        <v>45686</v>
      </c>
      <c r="E1187" t="s">
        <v>24</v>
      </c>
      <c r="F1187" t="s">
        <v>321</v>
      </c>
      <c r="G1187" t="str">
        <f>_xlfn.XLOOKUP(TRIM(E1188),MedicineInfo!A:A,MedicineInfo!B:B,"Not Found")</f>
        <v>Multivitamin</v>
      </c>
      <c r="H1187" s="1" t="str" cm="1">
        <f t="array" ref="H1187">_xlfn.IFS(
OR(E1187="Type 2 Diabetes",E1187="Essential Hypertension",E1187="Angina Pectoris",E1187="Bronchial Asthma",E1187="Cardiac Arrhythmia"), D1187+30,
OR(E1187="Gastritis",E1187="Osteoarthritis",E1187="Bronchitis",E1187="Iron Deficiency Anemia"), D1187+14,
OR(E1187="Lumbar Strain",E1187="Migraine Headache"), D1187+7,
OR(E1187="Viral Fever",E1187="General Checkup","Routine Health Check"), "",
TRUE,""
)</f>
        <v/>
      </c>
      <c r="I1187" s="1" t="str">
        <f t="shared" si="36"/>
        <v>No Follow-up Required</v>
      </c>
      <c r="J1187" t="str">
        <f>TEXT(Table8[[#This Row],[visit_Date]],"DDDD")</f>
        <v>Wednesday</v>
      </c>
      <c r="K1187" t="str">
        <f>TEXT(Table8[[#This Row],[visit_Date]],"mmmm")</f>
        <v>January</v>
      </c>
      <c r="L1187" t="str">
        <f t="shared" si="37"/>
        <v>Winter</v>
      </c>
    </row>
    <row r="1188" spans="1:12" x14ac:dyDescent="0.25">
      <c r="A1188">
        <v>1187</v>
      </c>
      <c r="B1188">
        <v>1376</v>
      </c>
      <c r="C1188">
        <v>1030</v>
      </c>
      <c r="D1188" s="1">
        <v>45823</v>
      </c>
      <c r="E1188" t="s">
        <v>24</v>
      </c>
      <c r="F1188" t="s">
        <v>321</v>
      </c>
      <c r="G1188" t="str">
        <f>_xlfn.XLOOKUP(TRIM(E1189),MedicineInfo!A:A,MedicineInfo!B:B,"Not Found")</f>
        <v>Multivitamin</v>
      </c>
      <c r="H1188" s="1" t="str" cm="1">
        <f t="array" ref="H1188">_xlfn.IFS(
OR(E1188="Type 2 Diabetes",E1188="Essential Hypertension",E1188="Angina Pectoris",E1188="Bronchial Asthma",E1188="Cardiac Arrhythmia"), D1188+30,
OR(E1188="Gastritis",E1188="Osteoarthritis",E1188="Bronchitis",E1188="Iron Deficiency Anemia"), D1188+14,
OR(E1188="Lumbar Strain",E1188="Migraine Headache"), D1188+7,
OR(E1188="Viral Fever",E1188="General Checkup","Routine Health Check"), "",
TRUE,""
)</f>
        <v/>
      </c>
      <c r="I1188" s="1" t="str">
        <f t="shared" si="36"/>
        <v>No Follow-up Required</v>
      </c>
      <c r="J1188" t="str">
        <f>TEXT(Table8[[#This Row],[visit_Date]],"DDDD")</f>
        <v>Sunday</v>
      </c>
      <c r="K1188" t="str">
        <f>TEXT(Table8[[#This Row],[visit_Date]],"mmmm")</f>
        <v>June</v>
      </c>
      <c r="L1188" t="str">
        <f t="shared" si="37"/>
        <v>Monsoon</v>
      </c>
    </row>
    <row r="1189" spans="1:12" x14ac:dyDescent="0.25">
      <c r="A1189">
        <v>1188</v>
      </c>
      <c r="B1189">
        <v>1044</v>
      </c>
      <c r="C1189">
        <v>1446</v>
      </c>
      <c r="D1189" s="1">
        <v>45758</v>
      </c>
      <c r="E1189" t="s">
        <v>24</v>
      </c>
      <c r="F1189" t="s">
        <v>321</v>
      </c>
      <c r="G1189" t="str">
        <f>_xlfn.XLOOKUP(TRIM(E1190),MedicineInfo!A:A,MedicineInfo!B:B,"Not Found")</f>
        <v>Salbutamol Inhaler</v>
      </c>
      <c r="H1189" s="1" t="str" cm="1">
        <f t="array" ref="H1189">_xlfn.IFS(
OR(E1189="Type 2 Diabetes",E1189="Essential Hypertension",E1189="Angina Pectoris",E1189="Bronchial Asthma",E1189="Cardiac Arrhythmia"), D1189+30,
OR(E1189="Gastritis",E1189="Osteoarthritis",E1189="Bronchitis",E1189="Iron Deficiency Anemia"), D1189+14,
OR(E1189="Lumbar Strain",E1189="Migraine Headache"), D1189+7,
OR(E1189="Viral Fever",E1189="General Checkup","Routine Health Check"), "",
TRUE,""
)</f>
        <v/>
      </c>
      <c r="I1189" s="1" t="str">
        <f t="shared" si="36"/>
        <v>No Follow-up Required</v>
      </c>
      <c r="J1189" t="str">
        <f>TEXT(Table8[[#This Row],[visit_Date]],"DDDD")</f>
        <v>Friday</v>
      </c>
      <c r="K1189" t="str">
        <f>TEXT(Table8[[#This Row],[visit_Date]],"mmmm")</f>
        <v>April</v>
      </c>
      <c r="L1189" t="str">
        <f t="shared" si="37"/>
        <v>Summer</v>
      </c>
    </row>
    <row r="1190" spans="1:12" x14ac:dyDescent="0.25">
      <c r="A1190">
        <v>1189</v>
      </c>
      <c r="B1190">
        <v>1091</v>
      </c>
      <c r="C1190">
        <v>481</v>
      </c>
      <c r="D1190" s="1">
        <v>45674</v>
      </c>
      <c r="E1190" t="s">
        <v>324</v>
      </c>
      <c r="F1190" t="s">
        <v>325</v>
      </c>
      <c r="G1190" t="str">
        <f>_xlfn.XLOOKUP(TRIM(E1191),MedicineInfo!A:A,MedicineInfo!B:B,"Not Found")</f>
        <v>Multivitamin</v>
      </c>
      <c r="H1190" s="1" cm="1">
        <f t="array" ref="H1190">_xlfn.IFS(
OR(E1190="Type 2 Diabetes",E1190="Essential Hypertension",E1190="Angina Pectoris",E1190="Bronchial Asthma",E1190="Cardiac Arrhythmia"), D1190+30,
OR(E1190="Gastritis",E1190="Osteoarthritis",E1190="Bronchitis",E1190="Iron Deficiency Anemia"), D1190+14,
OR(E1190="Lumbar Strain",E1190="Migraine Headache"), D1190+7,
OR(E1190="Viral Fever",E1190="General Checkup","Routine Health Check"), "",
TRUE,""
)</f>
        <v>45704</v>
      </c>
      <c r="I1190" s="1" t="str">
        <f t="shared" si="36"/>
        <v>Follow-up Scheduled</v>
      </c>
      <c r="J1190" t="str">
        <f>TEXT(Table8[[#This Row],[visit_Date]],"DDDD")</f>
        <v>Friday</v>
      </c>
      <c r="K1190" t="str">
        <f>TEXT(Table8[[#This Row],[visit_Date]],"mmmm")</f>
        <v>January</v>
      </c>
      <c r="L1190" t="str">
        <f t="shared" si="37"/>
        <v>Winter</v>
      </c>
    </row>
    <row r="1191" spans="1:12" x14ac:dyDescent="0.25">
      <c r="A1191">
        <v>1190</v>
      </c>
      <c r="B1191">
        <v>1174</v>
      </c>
      <c r="C1191">
        <v>1028</v>
      </c>
      <c r="D1191" s="1">
        <v>45708</v>
      </c>
      <c r="E1191" t="s">
        <v>24</v>
      </c>
      <c r="F1191" t="s">
        <v>321</v>
      </c>
      <c r="G1191" t="str">
        <f>_xlfn.XLOOKUP(TRIM(E1192),MedicineInfo!A:A,MedicineInfo!B:B,"Not Found")</f>
        <v>Amlodipine</v>
      </c>
      <c r="H1191" s="1" t="str" cm="1">
        <f t="array" ref="H1191">_xlfn.IFS(
OR(E1191="Type 2 Diabetes",E1191="Essential Hypertension",E1191="Angina Pectoris",E1191="Bronchial Asthma",E1191="Cardiac Arrhythmia"), D1191+30,
OR(E1191="Gastritis",E1191="Osteoarthritis",E1191="Bronchitis",E1191="Iron Deficiency Anemia"), D1191+14,
OR(E1191="Lumbar Strain",E1191="Migraine Headache"), D1191+7,
OR(E1191="Viral Fever",E1191="General Checkup","Routine Health Check"), "",
TRUE,""
)</f>
        <v/>
      </c>
      <c r="I1191" s="1" t="str">
        <f t="shared" si="36"/>
        <v>No Follow-up Required</v>
      </c>
      <c r="J1191" t="str">
        <f>TEXT(Table8[[#This Row],[visit_Date]],"DDDD")</f>
        <v>Thursday</v>
      </c>
      <c r="K1191" t="str">
        <f>TEXT(Table8[[#This Row],[visit_Date]],"mmmm")</f>
        <v>February</v>
      </c>
      <c r="L1191" t="str">
        <f t="shared" si="37"/>
        <v>Winter</v>
      </c>
    </row>
    <row r="1192" spans="1:12" x14ac:dyDescent="0.25">
      <c r="A1192">
        <v>1191</v>
      </c>
      <c r="B1192">
        <v>1009</v>
      </c>
      <c r="C1192">
        <v>732</v>
      </c>
      <c r="D1192" s="1">
        <v>45792</v>
      </c>
      <c r="E1192" t="s">
        <v>319</v>
      </c>
      <c r="F1192" t="s">
        <v>320</v>
      </c>
      <c r="G1192" t="str">
        <f>_xlfn.XLOOKUP(TRIM(E1193),MedicineInfo!A:A,MedicineInfo!B:B,"Not Found")</f>
        <v>Multivitamin</v>
      </c>
      <c r="H1192" s="1" cm="1">
        <f t="array" ref="H1192">_xlfn.IFS(
OR(E1192="Type 2 Diabetes",E1192="Essential Hypertension",E1192="Angina Pectoris",E1192="Bronchial Asthma",E1192="Cardiac Arrhythmia"), D1192+30,
OR(E1192="Gastritis",E1192="Osteoarthritis",E1192="Bronchitis",E1192="Iron Deficiency Anemia"), D1192+14,
OR(E1192="Lumbar Strain",E1192="Migraine Headache"), D1192+7,
OR(E1192="Viral Fever",E1192="General Checkup","Routine Health Check"), "",
TRUE,""
)</f>
        <v>45822</v>
      </c>
      <c r="I1192" s="1" t="str">
        <f t="shared" si="36"/>
        <v>Follow-up Scheduled</v>
      </c>
      <c r="J1192" t="str">
        <f>TEXT(Table8[[#This Row],[visit_Date]],"DDDD")</f>
        <v>Thursday</v>
      </c>
      <c r="K1192" t="str">
        <f>TEXT(Table8[[#This Row],[visit_Date]],"mmmm")</f>
        <v>May</v>
      </c>
      <c r="L1192" t="str">
        <f t="shared" si="37"/>
        <v>Summer</v>
      </c>
    </row>
    <row r="1193" spans="1:12" x14ac:dyDescent="0.25">
      <c r="A1193">
        <v>1192</v>
      </c>
      <c r="B1193">
        <v>1026</v>
      </c>
      <c r="C1193">
        <v>451</v>
      </c>
      <c r="D1193" s="1">
        <v>45820</v>
      </c>
      <c r="E1193" t="s">
        <v>24</v>
      </c>
      <c r="F1193" t="s">
        <v>321</v>
      </c>
      <c r="G1193" t="str">
        <f>_xlfn.XLOOKUP(TRIM(E1194),MedicineInfo!A:A,MedicineInfo!B:B,"Not Found")</f>
        <v>Multivitamin</v>
      </c>
      <c r="H1193" s="1" t="str" cm="1">
        <f t="array" ref="H1193">_xlfn.IFS(
OR(E1193="Type 2 Diabetes",E1193="Essential Hypertension",E1193="Angina Pectoris",E1193="Bronchial Asthma",E1193="Cardiac Arrhythmia"), D1193+30,
OR(E1193="Gastritis",E1193="Osteoarthritis",E1193="Bronchitis",E1193="Iron Deficiency Anemia"), D1193+14,
OR(E1193="Lumbar Strain",E1193="Migraine Headache"), D1193+7,
OR(E1193="Viral Fever",E1193="General Checkup","Routine Health Check"), "",
TRUE,""
)</f>
        <v/>
      </c>
      <c r="I1193" s="1" t="str">
        <f t="shared" si="36"/>
        <v>No Follow-up Required</v>
      </c>
      <c r="J1193" t="str">
        <f>TEXT(Table8[[#This Row],[visit_Date]],"DDDD")</f>
        <v>Thursday</v>
      </c>
      <c r="K1193" t="str">
        <f>TEXT(Table8[[#This Row],[visit_Date]],"mmmm")</f>
        <v>June</v>
      </c>
      <c r="L1193" t="str">
        <f t="shared" si="37"/>
        <v>Monsoon</v>
      </c>
    </row>
    <row r="1194" spans="1:12" x14ac:dyDescent="0.25">
      <c r="A1194">
        <v>1193</v>
      </c>
      <c r="B1194">
        <v>1111</v>
      </c>
      <c r="C1194">
        <v>530</v>
      </c>
      <c r="D1194" s="1">
        <v>45705</v>
      </c>
      <c r="E1194" t="s">
        <v>24</v>
      </c>
      <c r="F1194" t="s">
        <v>321</v>
      </c>
      <c r="G1194" t="str">
        <f>_xlfn.XLOOKUP(TRIM(E1195),MedicineInfo!A:A,MedicineInfo!B:B,"Not Found")</f>
        <v>Multivitamin</v>
      </c>
      <c r="H1194" s="1" t="str" cm="1">
        <f t="array" ref="H1194">_xlfn.IFS(
OR(E1194="Type 2 Diabetes",E1194="Essential Hypertension",E1194="Angina Pectoris",E1194="Bronchial Asthma",E1194="Cardiac Arrhythmia"), D1194+30,
OR(E1194="Gastritis",E1194="Osteoarthritis",E1194="Bronchitis",E1194="Iron Deficiency Anemia"), D1194+14,
OR(E1194="Lumbar Strain",E1194="Migraine Headache"), D1194+7,
OR(E1194="Viral Fever",E1194="General Checkup","Routine Health Check"), "",
TRUE,""
)</f>
        <v/>
      </c>
      <c r="I1194" s="1" t="str">
        <f t="shared" si="36"/>
        <v>No Follow-up Required</v>
      </c>
      <c r="J1194" t="str">
        <f>TEXT(Table8[[#This Row],[visit_Date]],"DDDD")</f>
        <v>Monday</v>
      </c>
      <c r="K1194" t="str">
        <f>TEXT(Table8[[#This Row],[visit_Date]],"mmmm")</f>
        <v>February</v>
      </c>
      <c r="L1194" t="str">
        <f t="shared" si="37"/>
        <v>Winter</v>
      </c>
    </row>
    <row r="1195" spans="1:12" x14ac:dyDescent="0.25">
      <c r="A1195">
        <v>1194</v>
      </c>
      <c r="B1195">
        <v>1304</v>
      </c>
      <c r="C1195">
        <v>1302</v>
      </c>
      <c r="D1195" s="1">
        <v>45767</v>
      </c>
      <c r="E1195" t="s">
        <v>24</v>
      </c>
      <c r="F1195" t="s">
        <v>321</v>
      </c>
      <c r="G1195" t="str">
        <f>_xlfn.XLOOKUP(TRIM(E1196),MedicineInfo!A:A,MedicineInfo!B:B,"Not Found")</f>
        <v>Multivitamin</v>
      </c>
      <c r="H1195" s="1" t="str" cm="1">
        <f t="array" ref="H1195">_xlfn.IFS(
OR(E1195="Type 2 Diabetes",E1195="Essential Hypertension",E1195="Angina Pectoris",E1195="Bronchial Asthma",E1195="Cardiac Arrhythmia"), D1195+30,
OR(E1195="Gastritis",E1195="Osteoarthritis",E1195="Bronchitis",E1195="Iron Deficiency Anemia"), D1195+14,
OR(E1195="Lumbar Strain",E1195="Migraine Headache"), D1195+7,
OR(E1195="Viral Fever",E1195="General Checkup","Routine Health Check"), "",
TRUE,""
)</f>
        <v/>
      </c>
      <c r="I1195" s="1" t="str">
        <f t="shared" si="36"/>
        <v>No Follow-up Required</v>
      </c>
      <c r="J1195" t="str">
        <f>TEXT(Table8[[#This Row],[visit_Date]],"DDDD")</f>
        <v>Sunday</v>
      </c>
      <c r="K1195" t="str">
        <f>TEXT(Table8[[#This Row],[visit_Date]],"mmmm")</f>
        <v>April</v>
      </c>
      <c r="L1195" t="str">
        <f t="shared" si="37"/>
        <v>Summer</v>
      </c>
    </row>
    <row r="1196" spans="1:12" x14ac:dyDescent="0.25">
      <c r="A1196">
        <v>1195</v>
      </c>
      <c r="B1196">
        <v>1062</v>
      </c>
      <c r="C1196">
        <v>1080</v>
      </c>
      <c r="D1196" s="1">
        <v>45853</v>
      </c>
      <c r="E1196" t="s">
        <v>24</v>
      </c>
      <c r="F1196" t="s">
        <v>321</v>
      </c>
      <c r="G1196" t="str">
        <f>_xlfn.XLOOKUP(TRIM(E1197),MedicineInfo!A:A,MedicineInfo!B:B,"Not Found")</f>
        <v>Amiodarone</v>
      </c>
      <c r="H1196" s="1" t="str" cm="1">
        <f t="array" ref="H1196">_xlfn.IFS(
OR(E1196="Type 2 Diabetes",E1196="Essential Hypertension",E1196="Angina Pectoris",E1196="Bronchial Asthma",E1196="Cardiac Arrhythmia"), D1196+30,
OR(E1196="Gastritis",E1196="Osteoarthritis",E1196="Bronchitis",E1196="Iron Deficiency Anemia"), D1196+14,
OR(E1196="Lumbar Strain",E1196="Migraine Headache"), D1196+7,
OR(E1196="Viral Fever",E1196="General Checkup","Routine Health Check"), "",
TRUE,""
)</f>
        <v/>
      </c>
      <c r="I1196" s="1" t="str">
        <f t="shared" si="36"/>
        <v>No Follow-up Required</v>
      </c>
      <c r="J1196" t="str">
        <f>TEXT(Table8[[#This Row],[visit_Date]],"DDDD")</f>
        <v>Tuesday</v>
      </c>
      <c r="K1196" t="str">
        <f>TEXT(Table8[[#This Row],[visit_Date]],"mmmm")</f>
        <v>July</v>
      </c>
      <c r="L1196" t="str">
        <f t="shared" si="37"/>
        <v>Monsoon</v>
      </c>
    </row>
    <row r="1197" spans="1:12" x14ac:dyDescent="0.25">
      <c r="A1197">
        <v>1196</v>
      </c>
      <c r="B1197">
        <v>1085</v>
      </c>
      <c r="C1197">
        <v>1216</v>
      </c>
      <c r="D1197" s="1">
        <v>45853</v>
      </c>
      <c r="E1197" t="s">
        <v>330</v>
      </c>
      <c r="F1197" t="s">
        <v>331</v>
      </c>
      <c r="G1197" t="str">
        <f>_xlfn.XLOOKUP(TRIM(E1198),MedicineInfo!A:A,MedicineInfo!B:B,"Not Found")</f>
        <v>Multivitamin</v>
      </c>
      <c r="H1197" s="1" cm="1">
        <f t="array" ref="H1197">_xlfn.IFS(
OR(E1197="Type 2 Diabetes",E1197="Essential Hypertension",E1197="Angina Pectoris",E1197="Bronchial Asthma",E1197="Cardiac Arrhythmia"), D1197+30,
OR(E1197="Gastritis",E1197="Osteoarthritis",E1197="Bronchitis",E1197="Iron Deficiency Anemia"), D1197+14,
OR(E1197="Lumbar Strain",E1197="Migraine Headache"), D1197+7,
OR(E1197="Viral Fever",E1197="General Checkup","Routine Health Check"), "",
TRUE,""
)</f>
        <v>45883</v>
      </c>
      <c r="I1197" s="1" t="str">
        <f t="shared" si="36"/>
        <v>Follow-up Scheduled</v>
      </c>
      <c r="J1197" t="str">
        <f>TEXT(Table8[[#This Row],[visit_Date]],"DDDD")</f>
        <v>Tuesday</v>
      </c>
      <c r="K1197" t="str">
        <f>TEXT(Table8[[#This Row],[visit_Date]],"mmmm")</f>
        <v>July</v>
      </c>
      <c r="L1197" t="str">
        <f t="shared" si="37"/>
        <v>Monsoon</v>
      </c>
    </row>
    <row r="1198" spans="1:12" x14ac:dyDescent="0.25">
      <c r="A1198">
        <v>1197</v>
      </c>
      <c r="B1198">
        <v>1185</v>
      </c>
      <c r="C1198">
        <v>260</v>
      </c>
      <c r="D1198" s="1">
        <v>45819</v>
      </c>
      <c r="E1198" t="s">
        <v>24</v>
      </c>
      <c r="F1198" t="s">
        <v>321</v>
      </c>
      <c r="G1198" t="str">
        <f>_xlfn.XLOOKUP(TRIM(E1199),MedicineInfo!A:A,MedicineInfo!B:B,"Not Found")</f>
        <v>Metformin</v>
      </c>
      <c r="H1198" s="1" t="str" cm="1">
        <f t="array" ref="H1198">_xlfn.IFS(
OR(E1198="Type 2 Diabetes",E1198="Essential Hypertension",E1198="Angina Pectoris",E1198="Bronchial Asthma",E1198="Cardiac Arrhythmia"), D1198+30,
OR(E1198="Gastritis",E1198="Osteoarthritis",E1198="Bronchitis",E1198="Iron Deficiency Anemia"), D1198+14,
OR(E1198="Lumbar Strain",E1198="Migraine Headache"), D1198+7,
OR(E1198="Viral Fever",E1198="General Checkup","Routine Health Check"), "",
TRUE,""
)</f>
        <v/>
      </c>
      <c r="I1198" s="1" t="str">
        <f t="shared" si="36"/>
        <v>No Follow-up Required</v>
      </c>
      <c r="J1198" t="str">
        <f>TEXT(Table8[[#This Row],[visit_Date]],"DDDD")</f>
        <v>Wednesday</v>
      </c>
      <c r="K1198" t="str">
        <f>TEXT(Table8[[#This Row],[visit_Date]],"mmmm")</f>
        <v>June</v>
      </c>
      <c r="L1198" t="str">
        <f t="shared" si="37"/>
        <v>Monsoon</v>
      </c>
    </row>
    <row r="1199" spans="1:12" x14ac:dyDescent="0.25">
      <c r="A1199">
        <v>1198</v>
      </c>
      <c r="B1199">
        <v>1257</v>
      </c>
      <c r="C1199">
        <v>1375</v>
      </c>
      <c r="D1199" s="1">
        <v>45659</v>
      </c>
      <c r="E1199" t="s">
        <v>317</v>
      </c>
      <c r="F1199" t="s">
        <v>318</v>
      </c>
      <c r="G1199" t="str">
        <f>_xlfn.XLOOKUP(TRIM(E1200),MedicineInfo!A:A,MedicineInfo!B:B,"Not Found")</f>
        <v>Multivitamin</v>
      </c>
      <c r="H1199" s="1" cm="1">
        <f t="array" ref="H1199">_xlfn.IFS(
OR(E1199="Type 2 Diabetes",E1199="Essential Hypertension",E1199="Angina Pectoris",E1199="Bronchial Asthma",E1199="Cardiac Arrhythmia"), D1199+30,
OR(E1199="Gastritis",E1199="Osteoarthritis",E1199="Bronchitis",E1199="Iron Deficiency Anemia"), D1199+14,
OR(E1199="Lumbar Strain",E1199="Migraine Headache"), D1199+7,
OR(E1199="Viral Fever",E1199="General Checkup","Routine Health Check"), "",
TRUE,""
)</f>
        <v>45689</v>
      </c>
      <c r="I1199" s="1" t="str">
        <f t="shared" si="36"/>
        <v>Follow-up Scheduled</v>
      </c>
      <c r="J1199" t="str">
        <f>TEXT(Table8[[#This Row],[visit_Date]],"DDDD")</f>
        <v>Thursday</v>
      </c>
      <c r="K1199" t="str">
        <f>TEXT(Table8[[#This Row],[visit_Date]],"mmmm")</f>
        <v>January</v>
      </c>
      <c r="L1199" t="str">
        <f t="shared" si="37"/>
        <v>Winter</v>
      </c>
    </row>
    <row r="1200" spans="1:12" x14ac:dyDescent="0.25">
      <c r="A1200">
        <v>1199</v>
      </c>
      <c r="B1200">
        <v>1081</v>
      </c>
      <c r="C1200">
        <v>395</v>
      </c>
      <c r="D1200" s="1">
        <v>45749</v>
      </c>
      <c r="E1200" t="s">
        <v>24</v>
      </c>
      <c r="F1200" t="s">
        <v>321</v>
      </c>
      <c r="G1200" t="str">
        <f>_xlfn.XLOOKUP(TRIM(E1201),MedicineInfo!A:A,MedicineInfo!B:B,"Not Found")</f>
        <v>Multivitamin</v>
      </c>
      <c r="H1200" s="1" t="str" cm="1">
        <f t="array" ref="H1200">_xlfn.IFS(
OR(E1200="Type 2 Diabetes",E1200="Essential Hypertension",E1200="Angina Pectoris",E1200="Bronchial Asthma",E1200="Cardiac Arrhythmia"), D1200+30,
OR(E1200="Gastritis",E1200="Osteoarthritis",E1200="Bronchitis",E1200="Iron Deficiency Anemia"), D1200+14,
OR(E1200="Lumbar Strain",E1200="Migraine Headache"), D1200+7,
OR(E1200="Viral Fever",E1200="General Checkup","Routine Health Check"), "",
TRUE,""
)</f>
        <v/>
      </c>
      <c r="I1200" s="1" t="str">
        <f t="shared" si="36"/>
        <v>No Follow-up Required</v>
      </c>
      <c r="J1200" t="str">
        <f>TEXT(Table8[[#This Row],[visit_Date]],"DDDD")</f>
        <v>Wednesday</v>
      </c>
      <c r="K1200" t="str">
        <f>TEXT(Table8[[#This Row],[visit_Date]],"mmmm")</f>
        <v>April</v>
      </c>
      <c r="L1200" t="str">
        <f t="shared" si="37"/>
        <v>Summer</v>
      </c>
    </row>
    <row r="1201" spans="1:12" x14ac:dyDescent="0.25">
      <c r="A1201">
        <v>1200</v>
      </c>
      <c r="B1201">
        <v>1232</v>
      </c>
      <c r="C1201">
        <v>476</v>
      </c>
      <c r="D1201" s="1">
        <v>45666</v>
      </c>
      <c r="E1201" t="s">
        <v>24</v>
      </c>
      <c r="F1201" t="s">
        <v>321</v>
      </c>
      <c r="G1201" t="str">
        <f>_xlfn.XLOOKUP(TRIM(E1202),MedicineInfo!A:A,MedicineInfo!B:B,"Not Found")</f>
        <v>Multivitamin</v>
      </c>
      <c r="H1201" s="1" t="str" cm="1">
        <f t="array" ref="H1201">_xlfn.IFS(
OR(E1201="Type 2 Diabetes",E1201="Essential Hypertension",E1201="Angina Pectoris",E1201="Bronchial Asthma",E1201="Cardiac Arrhythmia"), D1201+30,
OR(E1201="Gastritis",E1201="Osteoarthritis",E1201="Bronchitis",E1201="Iron Deficiency Anemia"), D1201+14,
OR(E1201="Lumbar Strain",E1201="Migraine Headache"), D1201+7,
OR(E1201="Viral Fever",E1201="General Checkup","Routine Health Check"), "",
TRUE,""
)</f>
        <v/>
      </c>
      <c r="I1201" s="1" t="str">
        <f t="shared" si="36"/>
        <v>No Follow-up Required</v>
      </c>
      <c r="J1201" t="str">
        <f>TEXT(Table8[[#This Row],[visit_Date]],"DDDD")</f>
        <v>Thursday</v>
      </c>
      <c r="K1201" t="str">
        <f>TEXT(Table8[[#This Row],[visit_Date]],"mmmm")</f>
        <v>January</v>
      </c>
      <c r="L1201" t="str">
        <f t="shared" si="37"/>
        <v>Winter</v>
      </c>
    </row>
    <row r="1202" spans="1:12" x14ac:dyDescent="0.25">
      <c r="A1202">
        <v>1201</v>
      </c>
      <c r="B1202">
        <v>1204</v>
      </c>
      <c r="C1202">
        <v>1142</v>
      </c>
      <c r="D1202" s="1">
        <v>45823</v>
      </c>
      <c r="E1202" t="s">
        <v>24</v>
      </c>
      <c r="F1202" t="s">
        <v>321</v>
      </c>
      <c r="G1202" t="str">
        <f>_xlfn.XLOOKUP(TRIM(E1203),MedicineInfo!A:A,MedicineInfo!B:B,"Not Found")</f>
        <v>Multivitamin</v>
      </c>
      <c r="H1202" s="1" t="str" cm="1">
        <f t="array" ref="H1202">_xlfn.IFS(
OR(E1202="Type 2 Diabetes",E1202="Essential Hypertension",E1202="Angina Pectoris",E1202="Bronchial Asthma",E1202="Cardiac Arrhythmia"), D1202+30,
OR(E1202="Gastritis",E1202="Osteoarthritis",E1202="Bronchitis",E1202="Iron Deficiency Anemia"), D1202+14,
OR(E1202="Lumbar Strain",E1202="Migraine Headache"), D1202+7,
OR(E1202="Viral Fever",E1202="General Checkup","Routine Health Check"), "",
TRUE,""
)</f>
        <v/>
      </c>
      <c r="I1202" s="1" t="str">
        <f t="shared" si="36"/>
        <v>No Follow-up Required</v>
      </c>
      <c r="J1202" t="str">
        <f>TEXT(Table8[[#This Row],[visit_Date]],"DDDD")</f>
        <v>Sunday</v>
      </c>
      <c r="K1202" t="str">
        <f>TEXT(Table8[[#This Row],[visit_Date]],"mmmm")</f>
        <v>June</v>
      </c>
      <c r="L1202" t="str">
        <f t="shared" si="37"/>
        <v>Monsoon</v>
      </c>
    </row>
    <row r="1203" spans="1:12" x14ac:dyDescent="0.25">
      <c r="A1203">
        <v>1202</v>
      </c>
      <c r="B1203">
        <v>1070</v>
      </c>
      <c r="C1203">
        <v>867</v>
      </c>
      <c r="D1203" s="1">
        <v>45695</v>
      </c>
      <c r="E1203" t="s">
        <v>24</v>
      </c>
      <c r="F1203" t="s">
        <v>321</v>
      </c>
      <c r="G1203" t="str">
        <f>_xlfn.XLOOKUP(TRIM(E1204),MedicineInfo!A:A,MedicineInfo!B:B,"Not Found")</f>
        <v>Multivitamin</v>
      </c>
      <c r="H1203" s="1" t="str" cm="1">
        <f t="array" ref="H1203">_xlfn.IFS(
OR(E1203="Type 2 Diabetes",E1203="Essential Hypertension",E1203="Angina Pectoris",E1203="Bronchial Asthma",E1203="Cardiac Arrhythmia"), D1203+30,
OR(E1203="Gastritis",E1203="Osteoarthritis",E1203="Bronchitis",E1203="Iron Deficiency Anemia"), D1203+14,
OR(E1203="Lumbar Strain",E1203="Migraine Headache"), D1203+7,
OR(E1203="Viral Fever",E1203="General Checkup","Routine Health Check"), "",
TRUE,""
)</f>
        <v/>
      </c>
      <c r="I1203" s="1" t="str">
        <f t="shared" si="36"/>
        <v>No Follow-up Required</v>
      </c>
      <c r="J1203" t="str">
        <f>TEXT(Table8[[#This Row],[visit_Date]],"DDDD")</f>
        <v>Friday</v>
      </c>
      <c r="K1203" t="str">
        <f>TEXT(Table8[[#This Row],[visit_Date]],"mmmm")</f>
        <v>February</v>
      </c>
      <c r="L1203" t="str">
        <f t="shared" si="37"/>
        <v>Winter</v>
      </c>
    </row>
    <row r="1204" spans="1:12" x14ac:dyDescent="0.25">
      <c r="A1204">
        <v>1203</v>
      </c>
      <c r="B1204">
        <v>1344</v>
      </c>
      <c r="C1204">
        <v>1556</v>
      </c>
      <c r="D1204" s="1">
        <v>45722</v>
      </c>
      <c r="E1204" t="s">
        <v>24</v>
      </c>
      <c r="F1204" t="s">
        <v>321</v>
      </c>
      <c r="G1204" t="str">
        <f>_xlfn.XLOOKUP(TRIM(E1205),MedicineInfo!A:A,MedicineInfo!B:B,"Not Found")</f>
        <v>Multivitamin</v>
      </c>
      <c r="H1204" s="1" t="str" cm="1">
        <f t="array" ref="H1204">_xlfn.IFS(
OR(E1204="Type 2 Diabetes",E1204="Essential Hypertension",E1204="Angina Pectoris",E1204="Bronchial Asthma",E1204="Cardiac Arrhythmia"), D1204+30,
OR(E1204="Gastritis",E1204="Osteoarthritis",E1204="Bronchitis",E1204="Iron Deficiency Anemia"), D1204+14,
OR(E1204="Lumbar Strain",E1204="Migraine Headache"), D1204+7,
OR(E1204="Viral Fever",E1204="General Checkup","Routine Health Check"), "",
TRUE,""
)</f>
        <v/>
      </c>
      <c r="I1204" s="1" t="str">
        <f t="shared" si="36"/>
        <v>No Follow-up Required</v>
      </c>
      <c r="J1204" t="str">
        <f>TEXT(Table8[[#This Row],[visit_Date]],"DDDD")</f>
        <v>Thursday</v>
      </c>
      <c r="K1204" t="str">
        <f>TEXT(Table8[[#This Row],[visit_Date]],"mmmm")</f>
        <v>March</v>
      </c>
      <c r="L1204" t="str">
        <f t="shared" si="37"/>
        <v>Summer</v>
      </c>
    </row>
    <row r="1205" spans="1:12" x14ac:dyDescent="0.25">
      <c r="A1205">
        <v>1204</v>
      </c>
      <c r="B1205">
        <v>1061</v>
      </c>
      <c r="C1205">
        <v>1560</v>
      </c>
      <c r="D1205" s="1">
        <v>45790</v>
      </c>
      <c r="E1205" t="s">
        <v>24</v>
      </c>
      <c r="F1205" t="s">
        <v>321</v>
      </c>
      <c r="G1205" t="str">
        <f>_xlfn.XLOOKUP(TRIM(E1206),MedicineInfo!A:A,MedicineInfo!B:B,"Not Found")</f>
        <v>Multivitamin</v>
      </c>
      <c r="H1205" s="1" t="str" cm="1">
        <f t="array" ref="H1205">_xlfn.IFS(
OR(E1205="Type 2 Diabetes",E1205="Essential Hypertension",E1205="Angina Pectoris",E1205="Bronchial Asthma",E1205="Cardiac Arrhythmia"), D1205+30,
OR(E1205="Gastritis",E1205="Osteoarthritis",E1205="Bronchitis",E1205="Iron Deficiency Anemia"), D1205+14,
OR(E1205="Lumbar Strain",E1205="Migraine Headache"), D1205+7,
OR(E1205="Viral Fever",E1205="General Checkup","Routine Health Check"), "",
TRUE,""
)</f>
        <v/>
      </c>
      <c r="I1205" s="1" t="str">
        <f t="shared" si="36"/>
        <v>No Follow-up Required</v>
      </c>
      <c r="J1205" t="str">
        <f>TEXT(Table8[[#This Row],[visit_Date]],"DDDD")</f>
        <v>Tuesday</v>
      </c>
      <c r="K1205" t="str">
        <f>TEXT(Table8[[#This Row],[visit_Date]],"mmmm")</f>
        <v>May</v>
      </c>
      <c r="L1205" t="str">
        <f t="shared" si="37"/>
        <v>Summer</v>
      </c>
    </row>
    <row r="1206" spans="1:12" x14ac:dyDescent="0.25">
      <c r="A1206">
        <v>1205</v>
      </c>
      <c r="B1206">
        <v>1051</v>
      </c>
      <c r="C1206">
        <v>1020</v>
      </c>
      <c r="D1206" s="1">
        <v>45748</v>
      </c>
      <c r="E1206" t="s">
        <v>24</v>
      </c>
      <c r="F1206" t="s">
        <v>321</v>
      </c>
      <c r="G1206" t="str">
        <f>_xlfn.XLOOKUP(TRIM(E1207),MedicineInfo!A:A,MedicineInfo!B:B,"Not Found")</f>
        <v>Multivitamin</v>
      </c>
      <c r="H1206" s="1" t="str" cm="1">
        <f t="array" ref="H1206">_xlfn.IFS(
OR(E1206="Type 2 Diabetes",E1206="Essential Hypertension",E1206="Angina Pectoris",E1206="Bronchial Asthma",E1206="Cardiac Arrhythmia"), D1206+30,
OR(E1206="Gastritis",E1206="Osteoarthritis",E1206="Bronchitis",E1206="Iron Deficiency Anemia"), D1206+14,
OR(E1206="Lumbar Strain",E1206="Migraine Headache"), D1206+7,
OR(E1206="Viral Fever",E1206="General Checkup","Routine Health Check"), "",
TRUE,""
)</f>
        <v/>
      </c>
      <c r="I1206" s="1" t="str">
        <f t="shared" si="36"/>
        <v>No Follow-up Required</v>
      </c>
      <c r="J1206" t="str">
        <f>TEXT(Table8[[#This Row],[visit_Date]],"DDDD")</f>
        <v>Tuesday</v>
      </c>
      <c r="K1206" t="str">
        <f>TEXT(Table8[[#This Row],[visit_Date]],"mmmm")</f>
        <v>April</v>
      </c>
      <c r="L1206" t="str">
        <f t="shared" si="37"/>
        <v>Summer</v>
      </c>
    </row>
    <row r="1207" spans="1:12" x14ac:dyDescent="0.25">
      <c r="A1207">
        <v>1206</v>
      </c>
      <c r="B1207">
        <v>1011</v>
      </c>
      <c r="C1207">
        <v>778</v>
      </c>
      <c r="D1207" s="1">
        <v>45738</v>
      </c>
      <c r="E1207" t="s">
        <v>24</v>
      </c>
      <c r="F1207" t="s">
        <v>321</v>
      </c>
      <c r="G1207" t="str">
        <f>_xlfn.XLOOKUP(TRIM(E1208),MedicineInfo!A:A,MedicineInfo!B:B,"Not Found")</f>
        <v>Hydrocortisone Cream</v>
      </c>
      <c r="H1207" s="1" t="str" cm="1">
        <f t="array" ref="H1207">_xlfn.IFS(
OR(E1207="Type 2 Diabetes",E1207="Essential Hypertension",E1207="Angina Pectoris",E1207="Bronchial Asthma",E1207="Cardiac Arrhythmia"), D1207+30,
OR(E1207="Gastritis",E1207="Osteoarthritis",E1207="Bronchitis",E1207="Iron Deficiency Anemia"), D1207+14,
OR(E1207="Lumbar Strain",E1207="Migraine Headache"), D1207+7,
OR(E1207="Viral Fever",E1207="General Checkup","Routine Health Check"), "",
TRUE,""
)</f>
        <v/>
      </c>
      <c r="I1207" s="1" t="str">
        <f t="shared" si="36"/>
        <v>No Follow-up Required</v>
      </c>
      <c r="J1207" t="str">
        <f>TEXT(Table8[[#This Row],[visit_Date]],"DDDD")</f>
        <v>Saturday</v>
      </c>
      <c r="K1207" t="str">
        <f>TEXT(Table8[[#This Row],[visit_Date]],"mmmm")</f>
        <v>March</v>
      </c>
      <c r="L1207" t="str">
        <f t="shared" si="37"/>
        <v>Summer</v>
      </c>
    </row>
    <row r="1208" spans="1:12" x14ac:dyDescent="0.25">
      <c r="A1208">
        <v>1207</v>
      </c>
      <c r="B1208">
        <v>1393</v>
      </c>
      <c r="C1208">
        <v>1562</v>
      </c>
      <c r="D1208" s="1">
        <v>45672</v>
      </c>
      <c r="E1208" t="s">
        <v>338</v>
      </c>
      <c r="F1208" t="s">
        <v>339</v>
      </c>
      <c r="G1208" t="str">
        <f>_xlfn.XLOOKUP(TRIM(E1209),MedicineInfo!A:A,MedicineInfo!B:B,"Not Found")</f>
        <v>Ferrous Sulfate</v>
      </c>
      <c r="H1208" s="1" t="str" cm="1">
        <f t="array" ref="H1208">_xlfn.IFS(
OR(E1208="Type 2 Diabetes",E1208="Essential Hypertension",E1208="Angina Pectoris",E1208="Bronchial Asthma",E1208="Cardiac Arrhythmia"), D1208+30,
OR(E1208="Gastritis",E1208="Osteoarthritis",E1208="Bronchitis",E1208="Iron Deficiency Anemia"), D1208+14,
OR(E1208="Lumbar Strain",E1208="Migraine Headache"), D1208+7,
OR(E1208="Viral Fever",E1208="General Checkup","Routine Health Check"), "",
TRUE,""
)</f>
        <v/>
      </c>
      <c r="I1208" s="1" t="str">
        <f t="shared" si="36"/>
        <v>No Follow-up Required</v>
      </c>
      <c r="J1208" t="str">
        <f>TEXT(Table8[[#This Row],[visit_Date]],"DDDD")</f>
        <v>Wednesday</v>
      </c>
      <c r="K1208" t="str">
        <f>TEXT(Table8[[#This Row],[visit_Date]],"mmmm")</f>
        <v>January</v>
      </c>
      <c r="L1208" t="str">
        <f t="shared" si="37"/>
        <v>Winter</v>
      </c>
    </row>
    <row r="1209" spans="1:12" x14ac:dyDescent="0.25">
      <c r="A1209">
        <v>1208</v>
      </c>
      <c r="B1209">
        <v>1346</v>
      </c>
      <c r="C1209">
        <v>323</v>
      </c>
      <c r="D1209" s="1">
        <v>45686</v>
      </c>
      <c r="E1209" t="s">
        <v>358</v>
      </c>
      <c r="F1209" t="s">
        <v>359</v>
      </c>
      <c r="G1209" t="str">
        <f>_xlfn.XLOOKUP(TRIM(E1210),MedicineInfo!A:A,MedicineInfo!B:B,"Not Found")</f>
        <v>Multivitamin</v>
      </c>
      <c r="H1209" s="1" cm="1">
        <f t="array" ref="H1209">_xlfn.IFS(
OR(E1209="Type 2 Diabetes",E1209="Essential Hypertension",E1209="Angina Pectoris",E1209="Bronchial Asthma",E1209="Cardiac Arrhythmia"), D1209+30,
OR(E1209="Gastritis",E1209="Osteoarthritis",E1209="Bronchitis",E1209="Iron Deficiency Anemia"), D1209+14,
OR(E1209="Lumbar Strain",E1209="Migraine Headache"), D1209+7,
OR(E1209="Viral Fever",E1209="General Checkup","Routine Health Check"), "",
TRUE,""
)</f>
        <v>45700</v>
      </c>
      <c r="I1209" s="1" t="str">
        <f t="shared" si="36"/>
        <v>Follow-up Scheduled</v>
      </c>
      <c r="J1209" t="str">
        <f>TEXT(Table8[[#This Row],[visit_Date]],"DDDD")</f>
        <v>Wednesday</v>
      </c>
      <c r="K1209" t="str">
        <f>TEXT(Table8[[#This Row],[visit_Date]],"mmmm")</f>
        <v>January</v>
      </c>
      <c r="L1209" t="str">
        <f t="shared" si="37"/>
        <v>Winter</v>
      </c>
    </row>
    <row r="1210" spans="1:12" x14ac:dyDescent="0.25">
      <c r="A1210">
        <v>1209</v>
      </c>
      <c r="B1210">
        <v>1049</v>
      </c>
      <c r="C1210">
        <v>1197</v>
      </c>
      <c r="D1210" s="1">
        <v>45691</v>
      </c>
      <c r="E1210" t="s">
        <v>24</v>
      </c>
      <c r="F1210" t="s">
        <v>321</v>
      </c>
      <c r="G1210" t="str">
        <f>_xlfn.XLOOKUP(TRIM(E1211),MedicineInfo!A:A,MedicineInfo!B:B,"Not Found")</f>
        <v>Multivitamin</v>
      </c>
      <c r="H1210" s="1" t="str" cm="1">
        <f t="array" ref="H1210">_xlfn.IFS(
OR(E1210="Type 2 Diabetes",E1210="Essential Hypertension",E1210="Angina Pectoris",E1210="Bronchial Asthma",E1210="Cardiac Arrhythmia"), D1210+30,
OR(E1210="Gastritis",E1210="Osteoarthritis",E1210="Bronchitis",E1210="Iron Deficiency Anemia"), D1210+14,
OR(E1210="Lumbar Strain",E1210="Migraine Headache"), D1210+7,
OR(E1210="Viral Fever",E1210="General Checkup","Routine Health Check"), "",
TRUE,""
)</f>
        <v/>
      </c>
      <c r="I1210" s="1" t="str">
        <f t="shared" si="36"/>
        <v>No Follow-up Required</v>
      </c>
      <c r="J1210" t="str">
        <f>TEXT(Table8[[#This Row],[visit_Date]],"DDDD")</f>
        <v>Monday</v>
      </c>
      <c r="K1210" t="str">
        <f>TEXT(Table8[[#This Row],[visit_Date]],"mmmm")</f>
        <v>February</v>
      </c>
      <c r="L1210" t="str">
        <f t="shared" si="37"/>
        <v>Winter</v>
      </c>
    </row>
    <row r="1211" spans="1:12" x14ac:dyDescent="0.25">
      <c r="A1211">
        <v>1210</v>
      </c>
      <c r="B1211">
        <v>1384</v>
      </c>
      <c r="C1211">
        <v>455</v>
      </c>
      <c r="D1211" s="1">
        <v>45669</v>
      </c>
      <c r="E1211" t="s">
        <v>24</v>
      </c>
      <c r="F1211" t="s">
        <v>321</v>
      </c>
      <c r="G1211" t="str">
        <f>_xlfn.XLOOKUP(TRIM(E1212),MedicineInfo!A:A,MedicineInfo!B:B,"Not Found")</f>
        <v>Multivitamin</v>
      </c>
      <c r="H1211" s="1" t="str" cm="1">
        <f t="array" ref="H1211">_xlfn.IFS(
OR(E1211="Type 2 Diabetes",E1211="Essential Hypertension",E1211="Angina Pectoris",E1211="Bronchial Asthma",E1211="Cardiac Arrhythmia"), D1211+30,
OR(E1211="Gastritis",E1211="Osteoarthritis",E1211="Bronchitis",E1211="Iron Deficiency Anemia"), D1211+14,
OR(E1211="Lumbar Strain",E1211="Migraine Headache"), D1211+7,
OR(E1211="Viral Fever",E1211="General Checkup","Routine Health Check"), "",
TRUE,""
)</f>
        <v/>
      </c>
      <c r="I1211" s="1" t="str">
        <f t="shared" si="36"/>
        <v>No Follow-up Required</v>
      </c>
      <c r="J1211" t="str">
        <f>TEXT(Table8[[#This Row],[visit_Date]],"DDDD")</f>
        <v>Sunday</v>
      </c>
      <c r="K1211" t="str">
        <f>TEXT(Table8[[#This Row],[visit_Date]],"mmmm")</f>
        <v>January</v>
      </c>
      <c r="L1211" t="str">
        <f t="shared" si="37"/>
        <v>Winter</v>
      </c>
    </row>
    <row r="1212" spans="1:12" x14ac:dyDescent="0.25">
      <c r="A1212">
        <v>1211</v>
      </c>
      <c r="B1212">
        <v>1202</v>
      </c>
      <c r="C1212">
        <v>868</v>
      </c>
      <c r="D1212" s="1">
        <v>45792</v>
      </c>
      <c r="E1212" t="s">
        <v>24</v>
      </c>
      <c r="F1212" t="s">
        <v>321</v>
      </c>
      <c r="G1212" t="str">
        <f>_xlfn.XLOOKUP(TRIM(E1213),MedicineInfo!A:A,MedicineInfo!B:B,"Not Found")</f>
        <v>Neuro Vitamins</v>
      </c>
      <c r="H1212" s="1" t="str" cm="1">
        <f t="array" ref="H1212">_xlfn.IFS(
OR(E1212="Type 2 Diabetes",E1212="Essential Hypertension",E1212="Angina Pectoris",E1212="Bronchial Asthma",E1212="Cardiac Arrhythmia"), D1212+30,
OR(E1212="Gastritis",E1212="Osteoarthritis",E1212="Bronchitis",E1212="Iron Deficiency Anemia"), D1212+14,
OR(E1212="Lumbar Strain",E1212="Migraine Headache"), D1212+7,
OR(E1212="Viral Fever",E1212="General Checkup","Routine Health Check"), "",
TRUE,""
)</f>
        <v/>
      </c>
      <c r="I1212" s="1" t="str">
        <f t="shared" si="36"/>
        <v>No Follow-up Required</v>
      </c>
      <c r="J1212" t="str">
        <f>TEXT(Table8[[#This Row],[visit_Date]],"DDDD")</f>
        <v>Thursday</v>
      </c>
      <c r="K1212" t="str">
        <f>TEXT(Table8[[#This Row],[visit_Date]],"mmmm")</f>
        <v>May</v>
      </c>
      <c r="L1212" t="str">
        <f t="shared" si="37"/>
        <v>Summer</v>
      </c>
    </row>
    <row r="1213" spans="1:12" x14ac:dyDescent="0.25">
      <c r="A1213">
        <v>1212</v>
      </c>
      <c r="B1213">
        <v>1296</v>
      </c>
      <c r="C1213">
        <v>479</v>
      </c>
      <c r="D1213" s="1">
        <v>45692</v>
      </c>
      <c r="E1213" t="s">
        <v>342</v>
      </c>
      <c r="F1213" t="s">
        <v>343</v>
      </c>
      <c r="G1213" t="str">
        <f>_xlfn.XLOOKUP(TRIM(E1214),MedicineInfo!A:A,MedicineInfo!B:B,"Not Found")</f>
        <v>Pantoprazole</v>
      </c>
      <c r="H1213" s="1" t="str" cm="1">
        <f t="array" ref="H1213">_xlfn.IFS(
OR(E1213="Type 2 Diabetes",E1213="Essential Hypertension",E1213="Angina Pectoris",E1213="Bronchial Asthma",E1213="Cardiac Arrhythmia"), D1213+30,
OR(E1213="Gastritis",E1213="Osteoarthritis",E1213="Bronchitis",E1213="Iron Deficiency Anemia"), D1213+14,
OR(E1213="Lumbar Strain",E1213="Migraine Headache"), D1213+7,
OR(E1213="Viral Fever",E1213="General Checkup","Routine Health Check"), "",
TRUE,""
)</f>
        <v/>
      </c>
      <c r="I1213" s="1" t="str">
        <f t="shared" si="36"/>
        <v>No Follow-up Required</v>
      </c>
      <c r="J1213" t="str">
        <f>TEXT(Table8[[#This Row],[visit_Date]],"DDDD")</f>
        <v>Tuesday</v>
      </c>
      <c r="K1213" t="str">
        <f>TEXT(Table8[[#This Row],[visit_Date]],"mmmm")</f>
        <v>February</v>
      </c>
      <c r="L1213" t="str">
        <f t="shared" si="37"/>
        <v>Winter</v>
      </c>
    </row>
    <row r="1214" spans="1:12" x14ac:dyDescent="0.25">
      <c r="A1214">
        <v>1213</v>
      </c>
      <c r="B1214">
        <v>1121</v>
      </c>
      <c r="C1214">
        <v>557</v>
      </c>
      <c r="D1214" s="1">
        <v>45814</v>
      </c>
      <c r="E1214" t="s">
        <v>344</v>
      </c>
      <c r="F1214" t="s">
        <v>345</v>
      </c>
      <c r="G1214" t="str">
        <f>_xlfn.XLOOKUP(TRIM(E1215),MedicineInfo!A:A,MedicineInfo!B:B,"Not Found")</f>
        <v>Multivitamin</v>
      </c>
      <c r="H1214" s="1" cm="1">
        <f t="array" ref="H1214">_xlfn.IFS(
OR(E1214="Type 2 Diabetes",E1214="Essential Hypertension",E1214="Angina Pectoris",E1214="Bronchial Asthma",E1214="Cardiac Arrhythmia"), D1214+30,
OR(E1214="Gastritis",E1214="Osteoarthritis",E1214="Bronchitis",E1214="Iron Deficiency Anemia"), D1214+14,
OR(E1214="Lumbar Strain",E1214="Migraine Headache"), D1214+7,
OR(E1214="Viral Fever",E1214="General Checkup","Routine Health Check"), "",
TRUE,""
)</f>
        <v>45828</v>
      </c>
      <c r="I1214" s="1" t="str">
        <f t="shared" si="36"/>
        <v>Follow-up Scheduled</v>
      </c>
      <c r="J1214" t="str">
        <f>TEXT(Table8[[#This Row],[visit_Date]],"DDDD")</f>
        <v>Friday</v>
      </c>
      <c r="K1214" t="str">
        <f>TEXT(Table8[[#This Row],[visit_Date]],"mmmm")</f>
        <v>June</v>
      </c>
      <c r="L1214" t="str">
        <f t="shared" si="37"/>
        <v>Monsoon</v>
      </c>
    </row>
    <row r="1215" spans="1:12" x14ac:dyDescent="0.25">
      <c r="A1215">
        <v>1214</v>
      </c>
      <c r="B1215">
        <v>1065</v>
      </c>
      <c r="C1215">
        <v>261</v>
      </c>
      <c r="D1215" s="1">
        <v>45691</v>
      </c>
      <c r="E1215" t="s">
        <v>24</v>
      </c>
      <c r="F1215" t="s">
        <v>321</v>
      </c>
      <c r="G1215" t="str">
        <f>_xlfn.XLOOKUP(TRIM(E1216),MedicineInfo!A:A,MedicineInfo!B:B,"Not Found")</f>
        <v>Multivitamin</v>
      </c>
      <c r="H1215" s="1" t="str" cm="1">
        <f t="array" ref="H1215">_xlfn.IFS(
OR(E1215="Type 2 Diabetes",E1215="Essential Hypertension",E1215="Angina Pectoris",E1215="Bronchial Asthma",E1215="Cardiac Arrhythmia"), D1215+30,
OR(E1215="Gastritis",E1215="Osteoarthritis",E1215="Bronchitis",E1215="Iron Deficiency Anemia"), D1215+14,
OR(E1215="Lumbar Strain",E1215="Migraine Headache"), D1215+7,
OR(E1215="Viral Fever",E1215="General Checkup","Routine Health Check"), "",
TRUE,""
)</f>
        <v/>
      </c>
      <c r="I1215" s="1" t="str">
        <f t="shared" si="36"/>
        <v>No Follow-up Required</v>
      </c>
      <c r="J1215" t="str">
        <f>TEXT(Table8[[#This Row],[visit_Date]],"DDDD")</f>
        <v>Monday</v>
      </c>
      <c r="K1215" t="str">
        <f>TEXT(Table8[[#This Row],[visit_Date]],"mmmm")</f>
        <v>February</v>
      </c>
      <c r="L1215" t="str">
        <f t="shared" si="37"/>
        <v>Winter</v>
      </c>
    </row>
    <row r="1216" spans="1:12" x14ac:dyDescent="0.25">
      <c r="A1216">
        <v>1215</v>
      </c>
      <c r="B1216">
        <v>1165</v>
      </c>
      <c r="C1216">
        <v>374</v>
      </c>
      <c r="D1216" s="1">
        <v>45799</v>
      </c>
      <c r="E1216" t="s">
        <v>24</v>
      </c>
      <c r="F1216" t="s">
        <v>321</v>
      </c>
      <c r="G1216" t="str">
        <f>_xlfn.XLOOKUP(TRIM(E1217),MedicineInfo!A:A,MedicineInfo!B:B,"Not Found")</f>
        <v>Multivitamin</v>
      </c>
      <c r="H1216" s="1" t="str" cm="1">
        <f t="array" ref="H1216">_xlfn.IFS(
OR(E1216="Type 2 Diabetes",E1216="Essential Hypertension",E1216="Angina Pectoris",E1216="Bronchial Asthma",E1216="Cardiac Arrhythmia"), D1216+30,
OR(E1216="Gastritis",E1216="Osteoarthritis",E1216="Bronchitis",E1216="Iron Deficiency Anemia"), D1216+14,
OR(E1216="Lumbar Strain",E1216="Migraine Headache"), D1216+7,
OR(E1216="Viral Fever",E1216="General Checkup","Routine Health Check"), "",
TRUE,""
)</f>
        <v/>
      </c>
      <c r="I1216" s="1" t="str">
        <f t="shared" si="36"/>
        <v>No Follow-up Required</v>
      </c>
      <c r="J1216" t="str">
        <f>TEXT(Table8[[#This Row],[visit_Date]],"DDDD")</f>
        <v>Thursday</v>
      </c>
      <c r="K1216" t="str">
        <f>TEXT(Table8[[#This Row],[visit_Date]],"mmmm")</f>
        <v>May</v>
      </c>
      <c r="L1216" t="str">
        <f t="shared" si="37"/>
        <v>Summer</v>
      </c>
    </row>
    <row r="1217" spans="1:12" x14ac:dyDescent="0.25">
      <c r="A1217">
        <v>1216</v>
      </c>
      <c r="B1217">
        <v>1214</v>
      </c>
      <c r="C1217">
        <v>188</v>
      </c>
      <c r="D1217" s="1">
        <v>45758</v>
      </c>
      <c r="E1217" t="s">
        <v>24</v>
      </c>
      <c r="F1217" t="s">
        <v>321</v>
      </c>
      <c r="G1217" t="str">
        <f>_xlfn.XLOOKUP(TRIM(E1218),MedicineInfo!A:A,MedicineInfo!B:B,"Not Found")</f>
        <v>Multivitamin</v>
      </c>
      <c r="H1217" s="1" t="str" cm="1">
        <f t="array" ref="H1217">_xlfn.IFS(
OR(E1217="Type 2 Diabetes",E1217="Essential Hypertension",E1217="Angina Pectoris",E1217="Bronchial Asthma",E1217="Cardiac Arrhythmia"), D1217+30,
OR(E1217="Gastritis",E1217="Osteoarthritis",E1217="Bronchitis",E1217="Iron Deficiency Anemia"), D1217+14,
OR(E1217="Lumbar Strain",E1217="Migraine Headache"), D1217+7,
OR(E1217="Viral Fever",E1217="General Checkup","Routine Health Check"), "",
TRUE,""
)</f>
        <v/>
      </c>
      <c r="I1217" s="1" t="str">
        <f t="shared" si="36"/>
        <v>No Follow-up Required</v>
      </c>
      <c r="J1217" t="str">
        <f>TEXT(Table8[[#This Row],[visit_Date]],"DDDD")</f>
        <v>Friday</v>
      </c>
      <c r="K1217" t="str">
        <f>TEXT(Table8[[#This Row],[visit_Date]],"mmmm")</f>
        <v>April</v>
      </c>
      <c r="L1217" t="str">
        <f t="shared" si="37"/>
        <v>Summer</v>
      </c>
    </row>
    <row r="1218" spans="1:12" x14ac:dyDescent="0.25">
      <c r="A1218">
        <v>1217</v>
      </c>
      <c r="B1218">
        <v>1162</v>
      </c>
      <c r="C1218">
        <v>1055</v>
      </c>
      <c r="D1218" s="1">
        <v>45783</v>
      </c>
      <c r="E1218" t="s">
        <v>24</v>
      </c>
      <c r="F1218" t="s">
        <v>321</v>
      </c>
      <c r="G1218" t="str">
        <f>_xlfn.XLOOKUP(TRIM(E1219),MedicineInfo!A:A,MedicineInfo!B:B,"Not Found")</f>
        <v>Multivitamin</v>
      </c>
      <c r="H1218" s="1" t="str" cm="1">
        <f t="array" ref="H1218">_xlfn.IFS(
OR(E1218="Type 2 Diabetes",E1218="Essential Hypertension",E1218="Angina Pectoris",E1218="Bronchial Asthma",E1218="Cardiac Arrhythmia"), D1218+30,
OR(E1218="Gastritis",E1218="Osteoarthritis",E1218="Bronchitis",E1218="Iron Deficiency Anemia"), D1218+14,
OR(E1218="Lumbar Strain",E1218="Migraine Headache"), D1218+7,
OR(E1218="Viral Fever",E1218="General Checkup","Routine Health Check"), "",
TRUE,""
)</f>
        <v/>
      </c>
      <c r="I1218" s="1" t="str">
        <f t="shared" ref="I1218:I1281" si="38">IF(H1218="","No Follow-up Required","Follow-up Scheduled")</f>
        <v>No Follow-up Required</v>
      </c>
      <c r="J1218" t="str">
        <f>TEXT(Table8[[#This Row],[visit_Date]],"DDDD")</f>
        <v>Tuesday</v>
      </c>
      <c r="K1218" t="str">
        <f>TEXT(Table8[[#This Row],[visit_Date]],"mmmm")</f>
        <v>May</v>
      </c>
      <c r="L1218" t="str">
        <f t="shared" ref="L1218:L1281" si="39">IF(OR(MONTH(D1218)=12,MONTH(D1218)&lt;=2),"Winter",
IF(MONTH(D1218)&lt;=5,"Summer","Monsoon"))</f>
        <v>Summer</v>
      </c>
    </row>
    <row r="1219" spans="1:12" x14ac:dyDescent="0.25">
      <c r="A1219">
        <v>1218</v>
      </c>
      <c r="B1219">
        <v>1043</v>
      </c>
      <c r="C1219">
        <v>574</v>
      </c>
      <c r="D1219" s="1">
        <v>45792</v>
      </c>
      <c r="E1219" t="s">
        <v>24</v>
      </c>
      <c r="F1219" t="s">
        <v>321</v>
      </c>
      <c r="G1219" t="str">
        <f>_xlfn.XLOOKUP(TRIM(E1220),MedicineInfo!A:A,MedicineInfo!B:B,"Not Found")</f>
        <v>Nitroglycerin</v>
      </c>
      <c r="H1219" s="1" t="str" cm="1">
        <f t="array" ref="H1219">_xlfn.IFS(
OR(E1219="Type 2 Diabetes",E1219="Essential Hypertension",E1219="Angina Pectoris",E1219="Bronchial Asthma",E1219="Cardiac Arrhythmia"), D1219+30,
OR(E1219="Gastritis",E1219="Osteoarthritis",E1219="Bronchitis",E1219="Iron Deficiency Anemia"), D1219+14,
OR(E1219="Lumbar Strain",E1219="Migraine Headache"), D1219+7,
OR(E1219="Viral Fever",E1219="General Checkup","Routine Health Check"), "",
TRUE,""
)</f>
        <v/>
      </c>
      <c r="I1219" s="1" t="str">
        <f t="shared" si="38"/>
        <v>No Follow-up Required</v>
      </c>
      <c r="J1219" t="str">
        <f>TEXT(Table8[[#This Row],[visit_Date]],"DDDD")</f>
        <v>Thursday</v>
      </c>
      <c r="K1219" t="str">
        <f>TEXT(Table8[[#This Row],[visit_Date]],"mmmm")</f>
        <v>May</v>
      </c>
      <c r="L1219" t="str">
        <f t="shared" si="39"/>
        <v>Summer</v>
      </c>
    </row>
    <row r="1220" spans="1:12" x14ac:dyDescent="0.25">
      <c r="A1220">
        <v>1219</v>
      </c>
      <c r="B1220">
        <v>1019</v>
      </c>
      <c r="C1220">
        <v>1323</v>
      </c>
      <c r="D1220" s="1">
        <v>45754</v>
      </c>
      <c r="E1220" t="s">
        <v>322</v>
      </c>
      <c r="F1220" t="s">
        <v>323</v>
      </c>
      <c r="G1220" t="str">
        <f>_xlfn.XLOOKUP(TRIM(E1221),MedicineInfo!A:A,MedicineInfo!B:B,"Not Found")</f>
        <v>Multivitamin</v>
      </c>
      <c r="H1220" s="1" cm="1">
        <f t="array" ref="H1220">_xlfn.IFS(
OR(E1220="Type 2 Diabetes",E1220="Essential Hypertension",E1220="Angina Pectoris",E1220="Bronchial Asthma",E1220="Cardiac Arrhythmia"), D1220+30,
OR(E1220="Gastritis",E1220="Osteoarthritis",E1220="Bronchitis",E1220="Iron Deficiency Anemia"), D1220+14,
OR(E1220="Lumbar Strain",E1220="Migraine Headache"), D1220+7,
OR(E1220="Viral Fever",E1220="General Checkup","Routine Health Check"), "",
TRUE,""
)</f>
        <v>45784</v>
      </c>
      <c r="I1220" s="1" t="str">
        <f t="shared" si="38"/>
        <v>Follow-up Scheduled</v>
      </c>
      <c r="J1220" t="str">
        <f>TEXT(Table8[[#This Row],[visit_Date]],"DDDD")</f>
        <v>Monday</v>
      </c>
      <c r="K1220" t="str">
        <f>TEXT(Table8[[#This Row],[visit_Date]],"mmmm")</f>
        <v>April</v>
      </c>
      <c r="L1220" t="str">
        <f t="shared" si="39"/>
        <v>Summer</v>
      </c>
    </row>
    <row r="1221" spans="1:12" x14ac:dyDescent="0.25">
      <c r="A1221">
        <v>1220</v>
      </c>
      <c r="B1221">
        <v>1287</v>
      </c>
      <c r="C1221">
        <v>604</v>
      </c>
      <c r="D1221" s="1">
        <v>45758</v>
      </c>
      <c r="E1221" t="s">
        <v>24</v>
      </c>
      <c r="F1221" t="s">
        <v>321</v>
      </c>
      <c r="G1221" t="str">
        <f>_xlfn.XLOOKUP(TRIM(E1222),MedicineInfo!A:A,MedicineInfo!B:B,"Not Found")</f>
        <v>Cefixime</v>
      </c>
      <c r="H1221" s="1" t="str" cm="1">
        <f t="array" ref="H1221">_xlfn.IFS(
OR(E1221="Type 2 Diabetes",E1221="Essential Hypertension",E1221="Angina Pectoris",E1221="Bronchial Asthma",E1221="Cardiac Arrhythmia"), D1221+30,
OR(E1221="Gastritis",E1221="Osteoarthritis",E1221="Bronchitis",E1221="Iron Deficiency Anemia"), D1221+14,
OR(E1221="Lumbar Strain",E1221="Migraine Headache"), D1221+7,
OR(E1221="Viral Fever",E1221="General Checkup","Routine Health Check"), "",
TRUE,""
)</f>
        <v/>
      </c>
      <c r="I1221" s="1" t="str">
        <f t="shared" si="38"/>
        <v>No Follow-up Required</v>
      </c>
      <c r="J1221" t="str">
        <f>TEXT(Table8[[#This Row],[visit_Date]],"DDDD")</f>
        <v>Friday</v>
      </c>
      <c r="K1221" t="str">
        <f>TEXT(Table8[[#This Row],[visit_Date]],"mmmm")</f>
        <v>April</v>
      </c>
      <c r="L1221" t="str">
        <f t="shared" si="39"/>
        <v>Summer</v>
      </c>
    </row>
    <row r="1222" spans="1:12" x14ac:dyDescent="0.25">
      <c r="A1222">
        <v>1221</v>
      </c>
      <c r="B1222">
        <v>1234</v>
      </c>
      <c r="C1222">
        <v>140</v>
      </c>
      <c r="D1222" s="1">
        <v>45745</v>
      </c>
      <c r="E1222" t="s">
        <v>354</v>
      </c>
      <c r="F1222" t="s">
        <v>355</v>
      </c>
      <c r="G1222" t="str">
        <f>_xlfn.XLOOKUP(TRIM(E1223),MedicineInfo!A:A,MedicineInfo!B:B,"Not Found")</f>
        <v>Multivitamin</v>
      </c>
      <c r="H1222" s="1" t="str" cm="1">
        <f t="array" ref="H1222">_xlfn.IFS(
OR(E1222="Type 2 Diabetes",E1222="Essential Hypertension",E1222="Angina Pectoris",E1222="Bronchial Asthma",E1222="Cardiac Arrhythmia"), D1222+30,
OR(E1222="Gastritis",E1222="Osteoarthritis",E1222="Bronchitis",E1222="Iron Deficiency Anemia"), D1222+14,
OR(E1222="Lumbar Strain",E1222="Migraine Headache"), D1222+7,
OR(E1222="Viral Fever",E1222="General Checkup","Routine Health Check"), "",
TRUE,""
)</f>
        <v/>
      </c>
      <c r="I1222" s="1" t="str">
        <f t="shared" si="38"/>
        <v>No Follow-up Required</v>
      </c>
      <c r="J1222" t="str">
        <f>TEXT(Table8[[#This Row],[visit_Date]],"DDDD")</f>
        <v>Saturday</v>
      </c>
      <c r="K1222" t="str">
        <f>TEXT(Table8[[#This Row],[visit_Date]],"mmmm")</f>
        <v>March</v>
      </c>
      <c r="L1222" t="str">
        <f t="shared" si="39"/>
        <v>Summer</v>
      </c>
    </row>
    <row r="1223" spans="1:12" x14ac:dyDescent="0.25">
      <c r="A1223">
        <v>1222</v>
      </c>
      <c r="B1223">
        <v>1314</v>
      </c>
      <c r="C1223">
        <v>1417</v>
      </c>
      <c r="D1223" s="1">
        <v>45799</v>
      </c>
      <c r="E1223" t="s">
        <v>24</v>
      </c>
      <c r="F1223" t="s">
        <v>321</v>
      </c>
      <c r="G1223" t="str">
        <f>_xlfn.XLOOKUP(TRIM(E1224),MedicineInfo!A:A,MedicineInfo!B:B,"Not Found")</f>
        <v>Multivitamin</v>
      </c>
      <c r="H1223" s="1" t="str" cm="1">
        <f t="array" ref="H1223">_xlfn.IFS(
OR(E1223="Type 2 Diabetes",E1223="Essential Hypertension",E1223="Angina Pectoris",E1223="Bronchial Asthma",E1223="Cardiac Arrhythmia"), D1223+30,
OR(E1223="Gastritis",E1223="Osteoarthritis",E1223="Bronchitis",E1223="Iron Deficiency Anemia"), D1223+14,
OR(E1223="Lumbar Strain",E1223="Migraine Headache"), D1223+7,
OR(E1223="Viral Fever",E1223="General Checkup","Routine Health Check"), "",
TRUE,""
)</f>
        <v/>
      </c>
      <c r="I1223" s="1" t="str">
        <f t="shared" si="38"/>
        <v>No Follow-up Required</v>
      </c>
      <c r="J1223" t="str">
        <f>TEXT(Table8[[#This Row],[visit_Date]],"DDDD")</f>
        <v>Thursday</v>
      </c>
      <c r="K1223" t="str">
        <f>TEXT(Table8[[#This Row],[visit_Date]],"mmmm")</f>
        <v>May</v>
      </c>
      <c r="L1223" t="str">
        <f t="shared" si="39"/>
        <v>Summer</v>
      </c>
    </row>
    <row r="1224" spans="1:12" x14ac:dyDescent="0.25">
      <c r="A1224">
        <v>1223</v>
      </c>
      <c r="B1224">
        <v>1027</v>
      </c>
      <c r="C1224">
        <v>1115</v>
      </c>
      <c r="D1224" s="1">
        <v>45732</v>
      </c>
      <c r="E1224" t="s">
        <v>24</v>
      </c>
      <c r="F1224" t="s">
        <v>321</v>
      </c>
      <c r="G1224" t="str">
        <f>_xlfn.XLOOKUP(TRIM(E1225),MedicineInfo!A:A,MedicineInfo!B:B,"Not Found")</f>
        <v>Aceclofenac</v>
      </c>
      <c r="H1224" s="1" t="str" cm="1">
        <f t="array" ref="H1224">_xlfn.IFS(
OR(E1224="Type 2 Diabetes",E1224="Essential Hypertension",E1224="Angina Pectoris",E1224="Bronchial Asthma",E1224="Cardiac Arrhythmia"), D1224+30,
OR(E1224="Gastritis",E1224="Osteoarthritis",E1224="Bronchitis",E1224="Iron Deficiency Anemia"), D1224+14,
OR(E1224="Lumbar Strain",E1224="Migraine Headache"), D1224+7,
OR(E1224="Viral Fever",E1224="General Checkup","Routine Health Check"), "",
TRUE,""
)</f>
        <v/>
      </c>
      <c r="I1224" s="1" t="str">
        <f t="shared" si="38"/>
        <v>No Follow-up Required</v>
      </c>
      <c r="J1224" t="str">
        <f>TEXT(Table8[[#This Row],[visit_Date]],"DDDD")</f>
        <v>Sunday</v>
      </c>
      <c r="K1224" t="str">
        <f>TEXT(Table8[[#This Row],[visit_Date]],"mmmm")</f>
        <v>March</v>
      </c>
      <c r="L1224" t="str">
        <f t="shared" si="39"/>
        <v>Summer</v>
      </c>
    </row>
    <row r="1225" spans="1:12" x14ac:dyDescent="0.25">
      <c r="A1225">
        <v>1224</v>
      </c>
      <c r="B1225">
        <v>1034</v>
      </c>
      <c r="C1225">
        <v>994</v>
      </c>
      <c r="D1225" s="1">
        <v>45791</v>
      </c>
      <c r="E1225" t="s">
        <v>348</v>
      </c>
      <c r="F1225" t="s">
        <v>349</v>
      </c>
      <c r="G1225" t="str">
        <f>_xlfn.XLOOKUP(TRIM(E1226),MedicineInfo!A:A,MedicineInfo!B:B,"Not Found")</f>
        <v>Multivitamin</v>
      </c>
      <c r="H1225" s="1" cm="1">
        <f t="array" ref="H1225">_xlfn.IFS(
OR(E1225="Type 2 Diabetes",E1225="Essential Hypertension",E1225="Angina Pectoris",E1225="Bronchial Asthma",E1225="Cardiac Arrhythmia"), D1225+30,
OR(E1225="Gastritis",E1225="Osteoarthritis",E1225="Bronchitis",E1225="Iron Deficiency Anemia"), D1225+14,
OR(E1225="Lumbar Strain",E1225="Migraine Headache"), D1225+7,
OR(E1225="Viral Fever",E1225="General Checkup","Routine Health Check"), "",
TRUE,""
)</f>
        <v>45805</v>
      </c>
      <c r="I1225" s="1" t="str">
        <f t="shared" si="38"/>
        <v>Follow-up Scheduled</v>
      </c>
      <c r="J1225" t="str">
        <f>TEXT(Table8[[#This Row],[visit_Date]],"DDDD")</f>
        <v>Wednesday</v>
      </c>
      <c r="K1225" t="str">
        <f>TEXT(Table8[[#This Row],[visit_Date]],"mmmm")</f>
        <v>May</v>
      </c>
      <c r="L1225" t="str">
        <f t="shared" si="39"/>
        <v>Summer</v>
      </c>
    </row>
    <row r="1226" spans="1:12" x14ac:dyDescent="0.25">
      <c r="A1226">
        <v>1225</v>
      </c>
      <c r="B1226">
        <v>1149</v>
      </c>
      <c r="C1226">
        <v>495</v>
      </c>
      <c r="D1226" s="1">
        <v>45743</v>
      </c>
      <c r="E1226" t="s">
        <v>24</v>
      </c>
      <c r="F1226" t="s">
        <v>321</v>
      </c>
      <c r="G1226" t="str">
        <f>_xlfn.XLOOKUP(TRIM(E1227),MedicineInfo!A:A,MedicineInfo!B:B,"Not Found")</f>
        <v>Multivitamin</v>
      </c>
      <c r="H1226" s="1" t="str" cm="1">
        <f t="array" ref="H1226">_xlfn.IFS(
OR(E1226="Type 2 Diabetes",E1226="Essential Hypertension",E1226="Angina Pectoris",E1226="Bronchial Asthma",E1226="Cardiac Arrhythmia"), D1226+30,
OR(E1226="Gastritis",E1226="Osteoarthritis",E1226="Bronchitis",E1226="Iron Deficiency Anemia"), D1226+14,
OR(E1226="Lumbar Strain",E1226="Migraine Headache"), D1226+7,
OR(E1226="Viral Fever",E1226="General Checkup","Routine Health Check"), "",
TRUE,""
)</f>
        <v/>
      </c>
      <c r="I1226" s="1" t="str">
        <f t="shared" si="38"/>
        <v>No Follow-up Required</v>
      </c>
      <c r="J1226" t="str">
        <f>TEXT(Table8[[#This Row],[visit_Date]],"DDDD")</f>
        <v>Thursday</v>
      </c>
      <c r="K1226" t="str">
        <f>TEXT(Table8[[#This Row],[visit_Date]],"mmmm")</f>
        <v>March</v>
      </c>
      <c r="L1226" t="str">
        <f t="shared" si="39"/>
        <v>Summer</v>
      </c>
    </row>
    <row r="1227" spans="1:12" x14ac:dyDescent="0.25">
      <c r="A1227">
        <v>1226</v>
      </c>
      <c r="B1227">
        <v>1155</v>
      </c>
      <c r="C1227">
        <v>937</v>
      </c>
      <c r="D1227" s="1">
        <v>45724</v>
      </c>
      <c r="E1227" t="s">
        <v>24</v>
      </c>
      <c r="F1227" t="s">
        <v>321</v>
      </c>
      <c r="G1227" t="str">
        <f>_xlfn.XLOOKUP(TRIM(E1228),MedicineInfo!A:A,MedicineInfo!B:B,"Not Found")</f>
        <v>Multivitamin</v>
      </c>
      <c r="H1227" s="1" t="str" cm="1">
        <f t="array" ref="H1227">_xlfn.IFS(
OR(E1227="Type 2 Diabetes",E1227="Essential Hypertension",E1227="Angina Pectoris",E1227="Bronchial Asthma",E1227="Cardiac Arrhythmia"), D1227+30,
OR(E1227="Gastritis",E1227="Osteoarthritis",E1227="Bronchitis",E1227="Iron Deficiency Anemia"), D1227+14,
OR(E1227="Lumbar Strain",E1227="Migraine Headache"), D1227+7,
OR(E1227="Viral Fever",E1227="General Checkup","Routine Health Check"), "",
TRUE,""
)</f>
        <v/>
      </c>
      <c r="I1227" s="1" t="str">
        <f t="shared" si="38"/>
        <v>No Follow-up Required</v>
      </c>
      <c r="J1227" t="str">
        <f>TEXT(Table8[[#This Row],[visit_Date]],"DDDD")</f>
        <v>Saturday</v>
      </c>
      <c r="K1227" t="str">
        <f>TEXT(Table8[[#This Row],[visit_Date]],"mmmm")</f>
        <v>March</v>
      </c>
      <c r="L1227" t="str">
        <f t="shared" si="39"/>
        <v>Summer</v>
      </c>
    </row>
    <row r="1228" spans="1:12" x14ac:dyDescent="0.25">
      <c r="A1228">
        <v>1227</v>
      </c>
      <c r="B1228">
        <v>1206</v>
      </c>
      <c r="C1228">
        <v>1003</v>
      </c>
      <c r="D1228" s="1">
        <v>45853</v>
      </c>
      <c r="E1228" t="s">
        <v>24</v>
      </c>
      <c r="F1228" t="s">
        <v>321</v>
      </c>
      <c r="G1228" t="str">
        <f>_xlfn.XLOOKUP(TRIM(E1229),MedicineInfo!A:A,MedicineInfo!B:B,"Not Found")</f>
        <v>Multivitamin</v>
      </c>
      <c r="H1228" s="1" t="str" cm="1">
        <f t="array" ref="H1228">_xlfn.IFS(
OR(E1228="Type 2 Diabetes",E1228="Essential Hypertension",E1228="Angina Pectoris",E1228="Bronchial Asthma",E1228="Cardiac Arrhythmia"), D1228+30,
OR(E1228="Gastritis",E1228="Osteoarthritis",E1228="Bronchitis",E1228="Iron Deficiency Anemia"), D1228+14,
OR(E1228="Lumbar Strain",E1228="Migraine Headache"), D1228+7,
OR(E1228="Viral Fever",E1228="General Checkup","Routine Health Check"), "",
TRUE,""
)</f>
        <v/>
      </c>
      <c r="I1228" s="1" t="str">
        <f t="shared" si="38"/>
        <v>No Follow-up Required</v>
      </c>
      <c r="J1228" t="str">
        <f>TEXT(Table8[[#This Row],[visit_Date]],"DDDD")</f>
        <v>Tuesday</v>
      </c>
      <c r="K1228" t="str">
        <f>TEXT(Table8[[#This Row],[visit_Date]],"mmmm")</f>
        <v>July</v>
      </c>
      <c r="L1228" t="str">
        <f t="shared" si="39"/>
        <v>Monsoon</v>
      </c>
    </row>
    <row r="1229" spans="1:12" x14ac:dyDescent="0.25">
      <c r="A1229">
        <v>1228</v>
      </c>
      <c r="B1229">
        <v>1353</v>
      </c>
      <c r="C1229">
        <v>701</v>
      </c>
      <c r="D1229" s="1">
        <v>45792</v>
      </c>
      <c r="E1229" t="s">
        <v>24</v>
      </c>
      <c r="F1229" t="s">
        <v>321</v>
      </c>
      <c r="G1229" t="str">
        <f>_xlfn.XLOOKUP(TRIM(E1230),MedicineInfo!A:A,MedicineInfo!B:B,"Not Found")</f>
        <v>Multivitamin</v>
      </c>
      <c r="H1229" s="1" t="str" cm="1">
        <f t="array" ref="H1229">_xlfn.IFS(
OR(E1229="Type 2 Diabetes",E1229="Essential Hypertension",E1229="Angina Pectoris",E1229="Bronchial Asthma",E1229="Cardiac Arrhythmia"), D1229+30,
OR(E1229="Gastritis",E1229="Osteoarthritis",E1229="Bronchitis",E1229="Iron Deficiency Anemia"), D1229+14,
OR(E1229="Lumbar Strain",E1229="Migraine Headache"), D1229+7,
OR(E1229="Viral Fever",E1229="General Checkup","Routine Health Check"), "",
TRUE,""
)</f>
        <v/>
      </c>
      <c r="I1229" s="1" t="str">
        <f t="shared" si="38"/>
        <v>No Follow-up Required</v>
      </c>
      <c r="J1229" t="str">
        <f>TEXT(Table8[[#This Row],[visit_Date]],"DDDD")</f>
        <v>Thursday</v>
      </c>
      <c r="K1229" t="str">
        <f>TEXT(Table8[[#This Row],[visit_Date]],"mmmm")</f>
        <v>May</v>
      </c>
      <c r="L1229" t="str">
        <f t="shared" si="39"/>
        <v>Summer</v>
      </c>
    </row>
    <row r="1230" spans="1:12" x14ac:dyDescent="0.25">
      <c r="A1230">
        <v>1229</v>
      </c>
      <c r="B1230">
        <v>1107</v>
      </c>
      <c r="C1230">
        <v>549</v>
      </c>
      <c r="D1230" s="1">
        <v>45800</v>
      </c>
      <c r="E1230" t="s">
        <v>24</v>
      </c>
      <c r="F1230" t="s">
        <v>321</v>
      </c>
      <c r="G1230" t="str">
        <f>_xlfn.XLOOKUP(TRIM(E1231),MedicineInfo!A:A,MedicineInfo!B:B,"Not Found")</f>
        <v>Multivitamin</v>
      </c>
      <c r="H1230" s="1" t="str" cm="1">
        <f t="array" ref="H1230">_xlfn.IFS(
OR(E1230="Type 2 Diabetes",E1230="Essential Hypertension",E1230="Angina Pectoris",E1230="Bronchial Asthma",E1230="Cardiac Arrhythmia"), D1230+30,
OR(E1230="Gastritis",E1230="Osteoarthritis",E1230="Bronchitis",E1230="Iron Deficiency Anemia"), D1230+14,
OR(E1230="Lumbar Strain",E1230="Migraine Headache"), D1230+7,
OR(E1230="Viral Fever",E1230="General Checkup","Routine Health Check"), "",
TRUE,""
)</f>
        <v/>
      </c>
      <c r="I1230" s="1" t="str">
        <f t="shared" si="38"/>
        <v>No Follow-up Required</v>
      </c>
      <c r="J1230" t="str">
        <f>TEXT(Table8[[#This Row],[visit_Date]],"DDDD")</f>
        <v>Friday</v>
      </c>
      <c r="K1230" t="str">
        <f>TEXT(Table8[[#This Row],[visit_Date]],"mmmm")</f>
        <v>May</v>
      </c>
      <c r="L1230" t="str">
        <f t="shared" si="39"/>
        <v>Summer</v>
      </c>
    </row>
    <row r="1231" spans="1:12" x14ac:dyDescent="0.25">
      <c r="A1231">
        <v>1230</v>
      </c>
      <c r="B1231">
        <v>1011</v>
      </c>
      <c r="C1231">
        <v>791</v>
      </c>
      <c r="D1231" s="1">
        <v>45858</v>
      </c>
      <c r="E1231" t="s">
        <v>24</v>
      </c>
      <c r="F1231" t="s">
        <v>321</v>
      </c>
      <c r="G1231" t="str">
        <f>_xlfn.XLOOKUP(TRIM(E1232),MedicineInfo!A:A,MedicineInfo!B:B,"Not Found")</f>
        <v>Sumatriptan</v>
      </c>
      <c r="H1231" s="1" t="str" cm="1">
        <f t="array" ref="H1231">_xlfn.IFS(
OR(E1231="Type 2 Diabetes",E1231="Essential Hypertension",E1231="Angina Pectoris",E1231="Bronchial Asthma",E1231="Cardiac Arrhythmia"), D1231+30,
OR(E1231="Gastritis",E1231="Osteoarthritis",E1231="Bronchitis",E1231="Iron Deficiency Anemia"), D1231+14,
OR(E1231="Lumbar Strain",E1231="Migraine Headache"), D1231+7,
OR(E1231="Viral Fever",E1231="General Checkup","Routine Health Check"), "",
TRUE,""
)</f>
        <v/>
      </c>
      <c r="I1231" s="1" t="str">
        <f t="shared" si="38"/>
        <v>No Follow-up Required</v>
      </c>
      <c r="J1231" t="str">
        <f>TEXT(Table8[[#This Row],[visit_Date]],"DDDD")</f>
        <v>Sunday</v>
      </c>
      <c r="K1231" t="str">
        <f>TEXT(Table8[[#This Row],[visit_Date]],"mmmm")</f>
        <v>July</v>
      </c>
      <c r="L1231" t="str">
        <f t="shared" si="39"/>
        <v>Monsoon</v>
      </c>
    </row>
    <row r="1232" spans="1:12" x14ac:dyDescent="0.25">
      <c r="A1232">
        <v>1231</v>
      </c>
      <c r="B1232">
        <v>1152</v>
      </c>
      <c r="C1232">
        <v>266</v>
      </c>
      <c r="D1232" s="1">
        <v>45790</v>
      </c>
      <c r="E1232" t="s">
        <v>315</v>
      </c>
      <c r="F1232" t="s">
        <v>316</v>
      </c>
      <c r="G1232" t="str">
        <f>_xlfn.XLOOKUP(TRIM(E1233),MedicineInfo!A:A,MedicineInfo!B:B,"Not Found")</f>
        <v>Multivitamin</v>
      </c>
      <c r="H1232" s="1" cm="1">
        <f t="array" ref="H1232">_xlfn.IFS(
OR(E1232="Type 2 Diabetes",E1232="Essential Hypertension",E1232="Angina Pectoris",E1232="Bronchial Asthma",E1232="Cardiac Arrhythmia"), D1232+30,
OR(E1232="Gastritis",E1232="Osteoarthritis",E1232="Bronchitis",E1232="Iron Deficiency Anemia"), D1232+14,
OR(E1232="Lumbar Strain",E1232="Migraine Headache"), D1232+7,
OR(E1232="Viral Fever",E1232="General Checkup","Routine Health Check"), "",
TRUE,""
)</f>
        <v>45797</v>
      </c>
      <c r="I1232" s="1" t="str">
        <f t="shared" si="38"/>
        <v>Follow-up Scheduled</v>
      </c>
      <c r="J1232" t="str">
        <f>TEXT(Table8[[#This Row],[visit_Date]],"DDDD")</f>
        <v>Tuesday</v>
      </c>
      <c r="K1232" t="str">
        <f>TEXT(Table8[[#This Row],[visit_Date]],"mmmm")</f>
        <v>May</v>
      </c>
      <c r="L1232" t="str">
        <f t="shared" si="39"/>
        <v>Summer</v>
      </c>
    </row>
    <row r="1233" spans="1:12" x14ac:dyDescent="0.25">
      <c r="A1233">
        <v>1232</v>
      </c>
      <c r="B1233">
        <v>1320</v>
      </c>
      <c r="C1233">
        <v>1463</v>
      </c>
      <c r="D1233" s="1">
        <v>45830</v>
      </c>
      <c r="E1233" t="s">
        <v>24</v>
      </c>
      <c r="F1233" t="s">
        <v>321</v>
      </c>
      <c r="G1233" t="str">
        <f>_xlfn.XLOOKUP(TRIM(E1234),MedicineInfo!A:A,MedicineInfo!B:B,"Not Found")</f>
        <v>Multivitamin</v>
      </c>
      <c r="H1233" s="1" t="str" cm="1">
        <f t="array" ref="H1233">_xlfn.IFS(
OR(E1233="Type 2 Diabetes",E1233="Essential Hypertension",E1233="Angina Pectoris",E1233="Bronchial Asthma",E1233="Cardiac Arrhythmia"), D1233+30,
OR(E1233="Gastritis",E1233="Osteoarthritis",E1233="Bronchitis",E1233="Iron Deficiency Anemia"), D1233+14,
OR(E1233="Lumbar Strain",E1233="Migraine Headache"), D1233+7,
OR(E1233="Viral Fever",E1233="General Checkup","Routine Health Check"), "",
TRUE,""
)</f>
        <v/>
      </c>
      <c r="I1233" s="1" t="str">
        <f t="shared" si="38"/>
        <v>No Follow-up Required</v>
      </c>
      <c r="J1233" t="str">
        <f>TEXT(Table8[[#This Row],[visit_Date]],"DDDD")</f>
        <v>Sunday</v>
      </c>
      <c r="K1233" t="str">
        <f>TEXT(Table8[[#This Row],[visit_Date]],"mmmm")</f>
        <v>June</v>
      </c>
      <c r="L1233" t="str">
        <f t="shared" si="39"/>
        <v>Monsoon</v>
      </c>
    </row>
    <row r="1234" spans="1:12" x14ac:dyDescent="0.25">
      <c r="A1234">
        <v>1233</v>
      </c>
      <c r="B1234">
        <v>1395</v>
      </c>
      <c r="C1234">
        <v>1033</v>
      </c>
      <c r="D1234" s="1">
        <v>45831</v>
      </c>
      <c r="E1234" t="s">
        <v>24</v>
      </c>
      <c r="F1234" t="s">
        <v>321</v>
      </c>
      <c r="G1234" t="str">
        <f>_xlfn.XLOOKUP(TRIM(E1235),MedicineInfo!A:A,MedicineInfo!B:B,"Not Found")</f>
        <v>Escitalopram</v>
      </c>
      <c r="H1234" s="1" t="str" cm="1">
        <f t="array" ref="H1234">_xlfn.IFS(
OR(E1234="Type 2 Diabetes",E1234="Essential Hypertension",E1234="Angina Pectoris",E1234="Bronchial Asthma",E1234="Cardiac Arrhythmia"), D1234+30,
OR(E1234="Gastritis",E1234="Osteoarthritis",E1234="Bronchitis",E1234="Iron Deficiency Anemia"), D1234+14,
OR(E1234="Lumbar Strain",E1234="Migraine Headache"), D1234+7,
OR(E1234="Viral Fever",E1234="General Checkup","Routine Health Check"), "",
TRUE,""
)</f>
        <v/>
      </c>
      <c r="I1234" s="1" t="str">
        <f t="shared" si="38"/>
        <v>No Follow-up Required</v>
      </c>
      <c r="J1234" t="str">
        <f>TEXT(Table8[[#This Row],[visit_Date]],"DDDD")</f>
        <v>Monday</v>
      </c>
      <c r="K1234" t="str">
        <f>TEXT(Table8[[#This Row],[visit_Date]],"mmmm")</f>
        <v>June</v>
      </c>
      <c r="L1234" t="str">
        <f t="shared" si="39"/>
        <v>Monsoon</v>
      </c>
    </row>
    <row r="1235" spans="1:12" x14ac:dyDescent="0.25">
      <c r="A1235">
        <v>1234</v>
      </c>
      <c r="B1235">
        <v>1241</v>
      </c>
      <c r="C1235">
        <v>959</v>
      </c>
      <c r="D1235" s="1">
        <v>45853</v>
      </c>
      <c r="E1235" t="s">
        <v>328</v>
      </c>
      <c r="F1235" t="s">
        <v>329</v>
      </c>
      <c r="G1235" t="str">
        <f>_xlfn.XLOOKUP(TRIM(E1236),MedicineInfo!A:A,MedicineInfo!B:B,"Not Found")</f>
        <v>Not Found</v>
      </c>
      <c r="H1235" s="1" t="str" cm="1">
        <f t="array" ref="H1235">_xlfn.IFS(
OR(E1235="Type 2 Diabetes",E1235="Essential Hypertension",E1235="Angina Pectoris",E1235="Bronchial Asthma",E1235="Cardiac Arrhythmia"), D1235+30,
OR(E1235="Gastritis",E1235="Osteoarthritis",E1235="Bronchitis",E1235="Iron Deficiency Anemia"), D1235+14,
OR(E1235="Lumbar Strain",E1235="Migraine Headache"), D1235+7,
OR(E1235="Viral Fever",E1235="General Checkup","Routine Health Check"), "",
TRUE,""
)</f>
        <v/>
      </c>
      <c r="I1235" s="1" t="str">
        <f t="shared" si="38"/>
        <v>No Follow-up Required</v>
      </c>
      <c r="J1235" t="str">
        <f>TEXT(Table8[[#This Row],[visit_Date]],"DDDD")</f>
        <v>Tuesday</v>
      </c>
      <c r="K1235" t="str">
        <f>TEXT(Table8[[#This Row],[visit_Date]],"mmmm")</f>
        <v>July</v>
      </c>
      <c r="L1235" t="str">
        <f t="shared" si="39"/>
        <v>Monsoon</v>
      </c>
    </row>
    <row r="1236" spans="1:12" x14ac:dyDescent="0.25">
      <c r="A1236">
        <v>1235</v>
      </c>
      <c r="B1236">
        <v>1181</v>
      </c>
      <c r="C1236">
        <v>1278</v>
      </c>
      <c r="D1236" s="1">
        <v>45737</v>
      </c>
      <c r="E1236" t="s">
        <v>340</v>
      </c>
      <c r="F1236" t="s">
        <v>341</v>
      </c>
      <c r="G1236" t="str">
        <f>_xlfn.XLOOKUP(TRIM(E1237),MedicineInfo!A:A,MedicineInfo!B:B,"Not Found")</f>
        <v>Pantoprazole</v>
      </c>
      <c r="H1236" s="1" t="str" cm="1">
        <f t="array" ref="H1236">_xlfn.IFS(
OR(E1236="Type 2 Diabetes",E1236="Essential Hypertension",E1236="Angina Pectoris",E1236="Bronchial Asthma",E1236="Cardiac Arrhythmia"), D1236+30,
OR(E1236="Gastritis",E1236="Osteoarthritis",E1236="Bronchitis",E1236="Iron Deficiency Anemia"), D1236+14,
OR(E1236="Lumbar Strain",E1236="Migraine Headache"), D1236+7,
OR(E1236="Viral Fever",E1236="General Checkup","Routine Health Check"), "",
TRUE,""
)</f>
        <v/>
      </c>
      <c r="I1236" s="1" t="str">
        <f t="shared" si="38"/>
        <v>No Follow-up Required</v>
      </c>
      <c r="J1236" t="str">
        <f>TEXT(Table8[[#This Row],[visit_Date]],"DDDD")</f>
        <v>Friday</v>
      </c>
      <c r="K1236" t="str">
        <f>TEXT(Table8[[#This Row],[visit_Date]],"mmmm")</f>
        <v>March</v>
      </c>
      <c r="L1236" t="str">
        <f t="shared" si="39"/>
        <v>Summer</v>
      </c>
    </row>
    <row r="1237" spans="1:12" x14ac:dyDescent="0.25">
      <c r="A1237">
        <v>1236</v>
      </c>
      <c r="B1237">
        <v>1101</v>
      </c>
      <c r="C1237">
        <v>1093</v>
      </c>
      <c r="D1237" s="1">
        <v>45758</v>
      </c>
      <c r="E1237" t="s">
        <v>344</v>
      </c>
      <c r="F1237" t="s">
        <v>345</v>
      </c>
      <c r="G1237" t="str">
        <f>_xlfn.XLOOKUP(TRIM(E1238),MedicineInfo!A:A,MedicineInfo!B:B,"Not Found")</f>
        <v>Multivitamin</v>
      </c>
      <c r="H1237" s="1" cm="1">
        <f t="array" ref="H1237">_xlfn.IFS(
OR(E1237="Type 2 Diabetes",E1237="Essential Hypertension",E1237="Angina Pectoris",E1237="Bronchial Asthma",E1237="Cardiac Arrhythmia"), D1237+30,
OR(E1237="Gastritis",E1237="Osteoarthritis",E1237="Bronchitis",E1237="Iron Deficiency Anemia"), D1237+14,
OR(E1237="Lumbar Strain",E1237="Migraine Headache"), D1237+7,
OR(E1237="Viral Fever",E1237="General Checkup","Routine Health Check"), "",
TRUE,""
)</f>
        <v>45772</v>
      </c>
      <c r="I1237" s="1" t="str">
        <f t="shared" si="38"/>
        <v>Follow-up Scheduled</v>
      </c>
      <c r="J1237" t="str">
        <f>TEXT(Table8[[#This Row],[visit_Date]],"DDDD")</f>
        <v>Friday</v>
      </c>
      <c r="K1237" t="str">
        <f>TEXT(Table8[[#This Row],[visit_Date]],"mmmm")</f>
        <v>April</v>
      </c>
      <c r="L1237" t="str">
        <f t="shared" si="39"/>
        <v>Summer</v>
      </c>
    </row>
    <row r="1238" spans="1:12" x14ac:dyDescent="0.25">
      <c r="A1238">
        <v>1237</v>
      </c>
      <c r="B1238">
        <v>1122</v>
      </c>
      <c r="C1238">
        <v>603</v>
      </c>
      <c r="D1238" s="1">
        <v>45792</v>
      </c>
      <c r="E1238" t="s">
        <v>24</v>
      </c>
      <c r="F1238" t="s">
        <v>321</v>
      </c>
      <c r="G1238" t="str">
        <f>_xlfn.XLOOKUP(TRIM(E1239),MedicineInfo!A:A,MedicineInfo!B:B,"Not Found")</f>
        <v>Multivitamin</v>
      </c>
      <c r="H1238" s="1" t="str" cm="1">
        <f t="array" ref="H1238">_xlfn.IFS(
OR(E1238="Type 2 Diabetes",E1238="Essential Hypertension",E1238="Angina Pectoris",E1238="Bronchial Asthma",E1238="Cardiac Arrhythmia"), D1238+30,
OR(E1238="Gastritis",E1238="Osteoarthritis",E1238="Bronchitis",E1238="Iron Deficiency Anemia"), D1238+14,
OR(E1238="Lumbar Strain",E1238="Migraine Headache"), D1238+7,
OR(E1238="Viral Fever",E1238="General Checkup","Routine Health Check"), "",
TRUE,""
)</f>
        <v/>
      </c>
      <c r="I1238" s="1" t="str">
        <f t="shared" si="38"/>
        <v>No Follow-up Required</v>
      </c>
      <c r="J1238" t="str">
        <f>TEXT(Table8[[#This Row],[visit_Date]],"DDDD")</f>
        <v>Thursday</v>
      </c>
      <c r="K1238" t="str">
        <f>TEXT(Table8[[#This Row],[visit_Date]],"mmmm")</f>
        <v>May</v>
      </c>
      <c r="L1238" t="str">
        <f t="shared" si="39"/>
        <v>Summer</v>
      </c>
    </row>
    <row r="1239" spans="1:12" x14ac:dyDescent="0.25">
      <c r="A1239">
        <v>1238</v>
      </c>
      <c r="B1239">
        <v>1312</v>
      </c>
      <c r="C1239">
        <v>1213</v>
      </c>
      <c r="D1239" s="1">
        <v>45712</v>
      </c>
      <c r="E1239" t="s">
        <v>24</v>
      </c>
      <c r="F1239" t="s">
        <v>321</v>
      </c>
      <c r="G1239" t="str">
        <f>_xlfn.XLOOKUP(TRIM(E1240),MedicineInfo!A:A,MedicineInfo!B:B,"Not Found")</f>
        <v>Multivitamin</v>
      </c>
      <c r="H1239" s="1" t="str" cm="1">
        <f t="array" ref="H1239">_xlfn.IFS(
OR(E1239="Type 2 Diabetes",E1239="Essential Hypertension",E1239="Angina Pectoris",E1239="Bronchial Asthma",E1239="Cardiac Arrhythmia"), D1239+30,
OR(E1239="Gastritis",E1239="Osteoarthritis",E1239="Bronchitis",E1239="Iron Deficiency Anemia"), D1239+14,
OR(E1239="Lumbar Strain",E1239="Migraine Headache"), D1239+7,
OR(E1239="Viral Fever",E1239="General Checkup","Routine Health Check"), "",
TRUE,""
)</f>
        <v/>
      </c>
      <c r="I1239" s="1" t="str">
        <f t="shared" si="38"/>
        <v>No Follow-up Required</v>
      </c>
      <c r="J1239" t="str">
        <f>TEXT(Table8[[#This Row],[visit_Date]],"DDDD")</f>
        <v>Monday</v>
      </c>
      <c r="K1239" t="str">
        <f>TEXT(Table8[[#This Row],[visit_Date]],"mmmm")</f>
        <v>February</v>
      </c>
      <c r="L1239" t="str">
        <f t="shared" si="39"/>
        <v>Winter</v>
      </c>
    </row>
    <row r="1240" spans="1:12" x14ac:dyDescent="0.25">
      <c r="A1240">
        <v>1239</v>
      </c>
      <c r="B1240">
        <v>1004</v>
      </c>
      <c r="C1240">
        <v>1251</v>
      </c>
      <c r="D1240" s="1">
        <v>45814</v>
      </c>
      <c r="E1240" t="s">
        <v>24</v>
      </c>
      <c r="F1240" t="s">
        <v>321</v>
      </c>
      <c r="G1240" t="str">
        <f>_xlfn.XLOOKUP(TRIM(E1241),MedicineInfo!A:A,MedicineInfo!B:B,"Not Found")</f>
        <v>Multivitamin</v>
      </c>
      <c r="H1240" s="1" t="str" cm="1">
        <f t="array" ref="H1240">_xlfn.IFS(
OR(E1240="Type 2 Diabetes",E1240="Essential Hypertension",E1240="Angina Pectoris",E1240="Bronchial Asthma",E1240="Cardiac Arrhythmia"), D1240+30,
OR(E1240="Gastritis",E1240="Osteoarthritis",E1240="Bronchitis",E1240="Iron Deficiency Anemia"), D1240+14,
OR(E1240="Lumbar Strain",E1240="Migraine Headache"), D1240+7,
OR(E1240="Viral Fever",E1240="General Checkup","Routine Health Check"), "",
TRUE,""
)</f>
        <v/>
      </c>
      <c r="I1240" s="1" t="str">
        <f t="shared" si="38"/>
        <v>No Follow-up Required</v>
      </c>
      <c r="J1240" t="str">
        <f>TEXT(Table8[[#This Row],[visit_Date]],"DDDD")</f>
        <v>Friday</v>
      </c>
      <c r="K1240" t="str">
        <f>TEXT(Table8[[#This Row],[visit_Date]],"mmmm")</f>
        <v>June</v>
      </c>
      <c r="L1240" t="str">
        <f t="shared" si="39"/>
        <v>Monsoon</v>
      </c>
    </row>
    <row r="1241" spans="1:12" x14ac:dyDescent="0.25">
      <c r="A1241">
        <v>1240</v>
      </c>
      <c r="B1241">
        <v>1238</v>
      </c>
      <c r="C1241">
        <v>887</v>
      </c>
      <c r="D1241" s="1">
        <v>45686</v>
      </c>
      <c r="E1241" t="s">
        <v>24</v>
      </c>
      <c r="F1241" t="s">
        <v>321</v>
      </c>
      <c r="G1241" t="str">
        <f>_xlfn.XLOOKUP(TRIM(E1242),MedicineInfo!A:A,MedicineInfo!B:B,"Not Found")</f>
        <v>Salbutamol Inhaler</v>
      </c>
      <c r="H1241" s="1" t="str" cm="1">
        <f t="array" ref="H1241">_xlfn.IFS(
OR(E1241="Type 2 Diabetes",E1241="Essential Hypertension",E1241="Angina Pectoris",E1241="Bronchial Asthma",E1241="Cardiac Arrhythmia"), D1241+30,
OR(E1241="Gastritis",E1241="Osteoarthritis",E1241="Bronchitis",E1241="Iron Deficiency Anemia"), D1241+14,
OR(E1241="Lumbar Strain",E1241="Migraine Headache"), D1241+7,
OR(E1241="Viral Fever",E1241="General Checkup","Routine Health Check"), "",
TRUE,""
)</f>
        <v/>
      </c>
      <c r="I1241" s="1" t="str">
        <f t="shared" si="38"/>
        <v>No Follow-up Required</v>
      </c>
      <c r="J1241" t="str">
        <f>TEXT(Table8[[#This Row],[visit_Date]],"DDDD")</f>
        <v>Wednesday</v>
      </c>
      <c r="K1241" t="str">
        <f>TEXT(Table8[[#This Row],[visit_Date]],"mmmm")</f>
        <v>January</v>
      </c>
      <c r="L1241" t="str">
        <f t="shared" si="39"/>
        <v>Winter</v>
      </c>
    </row>
    <row r="1242" spans="1:12" x14ac:dyDescent="0.25">
      <c r="A1242">
        <v>1241</v>
      </c>
      <c r="B1242">
        <v>1087</v>
      </c>
      <c r="C1242">
        <v>805</v>
      </c>
      <c r="D1242" s="1">
        <v>45720</v>
      </c>
      <c r="E1242" t="s">
        <v>324</v>
      </c>
      <c r="F1242" t="s">
        <v>325</v>
      </c>
      <c r="G1242" t="str">
        <f>_xlfn.XLOOKUP(TRIM(E1243),MedicineInfo!A:A,MedicineInfo!B:B,"Not Found")</f>
        <v>Multivitamin</v>
      </c>
      <c r="H1242" s="1" cm="1">
        <f t="array" ref="H1242">_xlfn.IFS(
OR(E1242="Type 2 Diabetes",E1242="Essential Hypertension",E1242="Angina Pectoris",E1242="Bronchial Asthma",E1242="Cardiac Arrhythmia"), D1242+30,
OR(E1242="Gastritis",E1242="Osteoarthritis",E1242="Bronchitis",E1242="Iron Deficiency Anemia"), D1242+14,
OR(E1242="Lumbar Strain",E1242="Migraine Headache"), D1242+7,
OR(E1242="Viral Fever",E1242="General Checkup","Routine Health Check"), "",
TRUE,""
)</f>
        <v>45750</v>
      </c>
      <c r="I1242" s="1" t="str">
        <f t="shared" si="38"/>
        <v>Follow-up Scheduled</v>
      </c>
      <c r="J1242" t="str">
        <f>TEXT(Table8[[#This Row],[visit_Date]],"DDDD")</f>
        <v>Tuesday</v>
      </c>
      <c r="K1242" t="str">
        <f>TEXT(Table8[[#This Row],[visit_Date]],"mmmm")</f>
        <v>March</v>
      </c>
      <c r="L1242" t="str">
        <f t="shared" si="39"/>
        <v>Summer</v>
      </c>
    </row>
    <row r="1243" spans="1:12" x14ac:dyDescent="0.25">
      <c r="A1243">
        <v>1242</v>
      </c>
      <c r="B1243">
        <v>1009</v>
      </c>
      <c r="C1243">
        <v>1398</v>
      </c>
      <c r="D1243" s="1">
        <v>45814</v>
      </c>
      <c r="E1243" t="s">
        <v>24</v>
      </c>
      <c r="F1243" t="s">
        <v>321</v>
      </c>
      <c r="G1243" t="str">
        <f>_xlfn.XLOOKUP(TRIM(E1244),MedicineInfo!A:A,MedicineInfo!B:B,"Not Found")</f>
        <v>Multivitamin</v>
      </c>
      <c r="H1243" s="1" t="str" cm="1">
        <f t="array" ref="H1243">_xlfn.IFS(
OR(E1243="Type 2 Diabetes",E1243="Essential Hypertension",E1243="Angina Pectoris",E1243="Bronchial Asthma",E1243="Cardiac Arrhythmia"), D1243+30,
OR(E1243="Gastritis",E1243="Osteoarthritis",E1243="Bronchitis",E1243="Iron Deficiency Anemia"), D1243+14,
OR(E1243="Lumbar Strain",E1243="Migraine Headache"), D1243+7,
OR(E1243="Viral Fever",E1243="General Checkup","Routine Health Check"), "",
TRUE,""
)</f>
        <v/>
      </c>
      <c r="I1243" s="1" t="str">
        <f t="shared" si="38"/>
        <v>No Follow-up Required</v>
      </c>
      <c r="J1243" t="str">
        <f>TEXT(Table8[[#This Row],[visit_Date]],"DDDD")</f>
        <v>Friday</v>
      </c>
      <c r="K1243" t="str">
        <f>TEXT(Table8[[#This Row],[visit_Date]],"mmmm")</f>
        <v>June</v>
      </c>
      <c r="L1243" t="str">
        <f t="shared" si="39"/>
        <v>Monsoon</v>
      </c>
    </row>
    <row r="1244" spans="1:12" x14ac:dyDescent="0.25">
      <c r="A1244">
        <v>1243</v>
      </c>
      <c r="B1244">
        <v>1078</v>
      </c>
      <c r="C1244">
        <v>1459</v>
      </c>
      <c r="D1244" s="1">
        <v>45685</v>
      </c>
      <c r="E1244" t="s">
        <v>24</v>
      </c>
      <c r="F1244" t="s">
        <v>321</v>
      </c>
      <c r="G1244" t="str">
        <f>_xlfn.XLOOKUP(TRIM(E1245),MedicineInfo!A:A,MedicineInfo!B:B,"Not Found")</f>
        <v>Multivitamin</v>
      </c>
      <c r="H1244" s="1" t="str" cm="1">
        <f t="array" ref="H1244">_xlfn.IFS(
OR(E1244="Type 2 Diabetes",E1244="Essential Hypertension",E1244="Angina Pectoris",E1244="Bronchial Asthma",E1244="Cardiac Arrhythmia"), D1244+30,
OR(E1244="Gastritis",E1244="Osteoarthritis",E1244="Bronchitis",E1244="Iron Deficiency Anemia"), D1244+14,
OR(E1244="Lumbar Strain",E1244="Migraine Headache"), D1244+7,
OR(E1244="Viral Fever",E1244="General Checkup","Routine Health Check"), "",
TRUE,""
)</f>
        <v/>
      </c>
      <c r="I1244" s="1" t="str">
        <f t="shared" si="38"/>
        <v>No Follow-up Required</v>
      </c>
      <c r="J1244" t="str">
        <f>TEXT(Table8[[#This Row],[visit_Date]],"DDDD")</f>
        <v>Tuesday</v>
      </c>
      <c r="K1244" t="str">
        <f>TEXT(Table8[[#This Row],[visit_Date]],"mmmm")</f>
        <v>January</v>
      </c>
      <c r="L1244" t="str">
        <f t="shared" si="39"/>
        <v>Winter</v>
      </c>
    </row>
    <row r="1245" spans="1:12" x14ac:dyDescent="0.25">
      <c r="A1245">
        <v>1244</v>
      </c>
      <c r="B1245">
        <v>1115</v>
      </c>
      <c r="C1245">
        <v>786</v>
      </c>
      <c r="D1245" s="1">
        <v>45687</v>
      </c>
      <c r="E1245" t="s">
        <v>24</v>
      </c>
      <c r="F1245" t="s">
        <v>321</v>
      </c>
      <c r="G1245" t="str">
        <f>_xlfn.XLOOKUP(TRIM(E1246),MedicineInfo!A:A,MedicineInfo!B:B,"Not Found")</f>
        <v>Vitamin D3</v>
      </c>
      <c r="H1245" s="1" t="str" cm="1">
        <f t="array" ref="H1245">_xlfn.IFS(
OR(E1245="Type 2 Diabetes",E1245="Essential Hypertension",E1245="Angina Pectoris",E1245="Bronchial Asthma",E1245="Cardiac Arrhythmia"), D1245+30,
OR(E1245="Gastritis",E1245="Osteoarthritis",E1245="Bronchitis",E1245="Iron Deficiency Anemia"), D1245+14,
OR(E1245="Lumbar Strain",E1245="Migraine Headache"), D1245+7,
OR(E1245="Viral Fever",E1245="General Checkup","Routine Health Check"), "",
TRUE,""
)</f>
        <v/>
      </c>
      <c r="I1245" s="1" t="str">
        <f t="shared" si="38"/>
        <v>No Follow-up Required</v>
      </c>
      <c r="J1245" t="str">
        <f>TEXT(Table8[[#This Row],[visit_Date]],"DDDD")</f>
        <v>Thursday</v>
      </c>
      <c r="K1245" t="str">
        <f>TEXT(Table8[[#This Row],[visit_Date]],"mmmm")</f>
        <v>January</v>
      </c>
      <c r="L1245" t="str">
        <f t="shared" si="39"/>
        <v>Winter</v>
      </c>
    </row>
    <row r="1246" spans="1:12" x14ac:dyDescent="0.25">
      <c r="A1246">
        <v>1245</v>
      </c>
      <c r="B1246">
        <v>1344</v>
      </c>
      <c r="C1246">
        <v>147</v>
      </c>
      <c r="D1246" s="1">
        <v>45686</v>
      </c>
      <c r="E1246" t="s">
        <v>332</v>
      </c>
      <c r="F1246" t="s">
        <v>333</v>
      </c>
      <c r="G1246" t="str">
        <f>_xlfn.XLOOKUP(TRIM(E1247),MedicineInfo!A:A,MedicineInfo!B:B,"Not Found")</f>
        <v>Multivitamin</v>
      </c>
      <c r="H1246" s="1" t="str" cm="1">
        <f t="array" ref="H1246">_xlfn.IFS(
OR(E1246="Type 2 Diabetes",E1246="Essential Hypertension",E1246="Angina Pectoris",E1246="Bronchial Asthma",E1246="Cardiac Arrhythmia"), D1246+30,
OR(E1246="Gastritis",E1246="Osteoarthritis",E1246="Bronchitis",E1246="Iron Deficiency Anemia"), D1246+14,
OR(E1246="Lumbar Strain",E1246="Migraine Headache"), D1246+7,
OR(E1246="Viral Fever",E1246="General Checkup","Routine Health Check"), "",
TRUE,""
)</f>
        <v/>
      </c>
      <c r="I1246" s="1" t="str">
        <f t="shared" si="38"/>
        <v>No Follow-up Required</v>
      </c>
      <c r="J1246" t="str">
        <f>TEXT(Table8[[#This Row],[visit_Date]],"DDDD")</f>
        <v>Wednesday</v>
      </c>
      <c r="K1246" t="str">
        <f>TEXT(Table8[[#This Row],[visit_Date]],"mmmm")</f>
        <v>January</v>
      </c>
      <c r="L1246" t="str">
        <f t="shared" si="39"/>
        <v>Winter</v>
      </c>
    </row>
    <row r="1247" spans="1:12" x14ac:dyDescent="0.25">
      <c r="A1247">
        <v>1246</v>
      </c>
      <c r="B1247">
        <v>1366</v>
      </c>
      <c r="C1247">
        <v>1201</v>
      </c>
      <c r="D1247" s="1">
        <v>45853</v>
      </c>
      <c r="E1247" t="s">
        <v>24</v>
      </c>
      <c r="F1247" t="s">
        <v>321</v>
      </c>
      <c r="G1247" t="str">
        <f>_xlfn.XLOOKUP(TRIM(E1248),MedicineInfo!A:A,MedicineInfo!B:B,"Not Found")</f>
        <v>Multivitamin</v>
      </c>
      <c r="H1247" s="1" t="str" cm="1">
        <f t="array" ref="H1247">_xlfn.IFS(
OR(E1247="Type 2 Diabetes",E1247="Essential Hypertension",E1247="Angina Pectoris",E1247="Bronchial Asthma",E1247="Cardiac Arrhythmia"), D1247+30,
OR(E1247="Gastritis",E1247="Osteoarthritis",E1247="Bronchitis",E1247="Iron Deficiency Anemia"), D1247+14,
OR(E1247="Lumbar Strain",E1247="Migraine Headache"), D1247+7,
OR(E1247="Viral Fever",E1247="General Checkup","Routine Health Check"), "",
TRUE,""
)</f>
        <v/>
      </c>
      <c r="I1247" s="1" t="str">
        <f t="shared" si="38"/>
        <v>No Follow-up Required</v>
      </c>
      <c r="J1247" t="str">
        <f>TEXT(Table8[[#This Row],[visit_Date]],"DDDD")</f>
        <v>Tuesday</v>
      </c>
      <c r="K1247" t="str">
        <f>TEXT(Table8[[#This Row],[visit_Date]],"mmmm")</f>
        <v>July</v>
      </c>
      <c r="L1247" t="str">
        <f t="shared" si="39"/>
        <v>Monsoon</v>
      </c>
    </row>
    <row r="1248" spans="1:12" x14ac:dyDescent="0.25">
      <c r="A1248">
        <v>1247</v>
      </c>
      <c r="B1248">
        <v>1143</v>
      </c>
      <c r="C1248">
        <v>1266</v>
      </c>
      <c r="D1248" s="1">
        <v>45814</v>
      </c>
      <c r="E1248" t="s">
        <v>24</v>
      </c>
      <c r="F1248" t="s">
        <v>321</v>
      </c>
      <c r="G1248" t="str">
        <f>_xlfn.XLOOKUP(TRIM(E1249),MedicineInfo!A:A,MedicineInfo!B:B,"Not Found")</f>
        <v>Folic Acid</v>
      </c>
      <c r="H1248" s="1" t="str" cm="1">
        <f t="array" ref="H1248">_xlfn.IFS(
OR(E1248="Type 2 Diabetes",E1248="Essential Hypertension",E1248="Angina Pectoris",E1248="Bronchial Asthma",E1248="Cardiac Arrhythmia"), D1248+30,
OR(E1248="Gastritis",E1248="Osteoarthritis",E1248="Bronchitis",E1248="Iron Deficiency Anemia"), D1248+14,
OR(E1248="Lumbar Strain",E1248="Migraine Headache"), D1248+7,
OR(E1248="Viral Fever",E1248="General Checkup","Routine Health Check"), "",
TRUE,""
)</f>
        <v/>
      </c>
      <c r="I1248" s="1" t="str">
        <f t="shared" si="38"/>
        <v>No Follow-up Required</v>
      </c>
      <c r="J1248" t="str">
        <f>TEXT(Table8[[#This Row],[visit_Date]],"DDDD")</f>
        <v>Friday</v>
      </c>
      <c r="K1248" t="str">
        <f>TEXT(Table8[[#This Row],[visit_Date]],"mmmm")</f>
        <v>June</v>
      </c>
      <c r="L1248" t="str">
        <f t="shared" si="39"/>
        <v>Monsoon</v>
      </c>
    </row>
    <row r="1249" spans="1:12" x14ac:dyDescent="0.25">
      <c r="A1249">
        <v>1248</v>
      </c>
      <c r="B1249">
        <v>1185</v>
      </c>
      <c r="C1249">
        <v>638</v>
      </c>
      <c r="D1249" s="1">
        <v>45792</v>
      </c>
      <c r="E1249" t="s">
        <v>356</v>
      </c>
      <c r="F1249" t="s">
        <v>357</v>
      </c>
      <c r="G1249" t="str">
        <f>_xlfn.XLOOKUP(TRIM(E1250),MedicineInfo!A:A,MedicineInfo!B:B,"Not Found")</f>
        <v>Nitroglycerin</v>
      </c>
      <c r="H1249" s="1" t="str" cm="1">
        <f t="array" ref="H1249">_xlfn.IFS(
OR(E1249="Type 2 Diabetes",E1249="Essential Hypertension",E1249="Angina Pectoris",E1249="Bronchial Asthma",E1249="Cardiac Arrhythmia"), D1249+30,
OR(E1249="Gastritis",E1249="Osteoarthritis",E1249="Bronchitis",E1249="Iron Deficiency Anemia"), D1249+14,
OR(E1249="Lumbar Strain",E1249="Migraine Headache"), D1249+7,
OR(E1249="Viral Fever",E1249="General Checkup","Routine Health Check"), "",
TRUE,""
)</f>
        <v/>
      </c>
      <c r="I1249" s="1" t="str">
        <f t="shared" si="38"/>
        <v>No Follow-up Required</v>
      </c>
      <c r="J1249" t="str">
        <f>TEXT(Table8[[#This Row],[visit_Date]],"DDDD")</f>
        <v>Thursday</v>
      </c>
      <c r="K1249" t="str">
        <f>TEXT(Table8[[#This Row],[visit_Date]],"mmmm")</f>
        <v>May</v>
      </c>
      <c r="L1249" t="str">
        <f t="shared" si="39"/>
        <v>Summer</v>
      </c>
    </row>
    <row r="1250" spans="1:12" x14ac:dyDescent="0.25">
      <c r="A1250">
        <v>1249</v>
      </c>
      <c r="B1250">
        <v>1369</v>
      </c>
      <c r="C1250">
        <v>341</v>
      </c>
      <c r="D1250" s="1">
        <v>45819</v>
      </c>
      <c r="E1250" t="s">
        <v>322</v>
      </c>
      <c r="F1250" t="s">
        <v>323</v>
      </c>
      <c r="G1250" t="str">
        <f>_xlfn.XLOOKUP(TRIM(E1251),MedicineInfo!A:A,MedicineInfo!B:B,"Not Found")</f>
        <v>Folic Acid</v>
      </c>
      <c r="H1250" s="1" cm="1">
        <f t="array" ref="H1250">_xlfn.IFS(
OR(E1250="Type 2 Diabetes",E1250="Essential Hypertension",E1250="Angina Pectoris",E1250="Bronchial Asthma",E1250="Cardiac Arrhythmia"), D1250+30,
OR(E1250="Gastritis",E1250="Osteoarthritis",E1250="Bronchitis",E1250="Iron Deficiency Anemia"), D1250+14,
OR(E1250="Lumbar Strain",E1250="Migraine Headache"), D1250+7,
OR(E1250="Viral Fever",E1250="General Checkup","Routine Health Check"), "",
TRUE,""
)</f>
        <v>45849</v>
      </c>
      <c r="I1250" s="1" t="str">
        <f t="shared" si="38"/>
        <v>Follow-up Scheduled</v>
      </c>
      <c r="J1250" t="str">
        <f>TEXT(Table8[[#This Row],[visit_Date]],"DDDD")</f>
        <v>Wednesday</v>
      </c>
      <c r="K1250" t="str">
        <f>TEXT(Table8[[#This Row],[visit_Date]],"mmmm")</f>
        <v>June</v>
      </c>
      <c r="L1250" t="str">
        <f t="shared" si="39"/>
        <v>Monsoon</v>
      </c>
    </row>
    <row r="1251" spans="1:12" x14ac:dyDescent="0.25">
      <c r="A1251">
        <v>1250</v>
      </c>
      <c r="B1251">
        <v>1139</v>
      </c>
      <c r="C1251">
        <v>1256</v>
      </c>
      <c r="D1251" s="1">
        <v>45791</v>
      </c>
      <c r="E1251" t="s">
        <v>356</v>
      </c>
      <c r="F1251" t="s">
        <v>357</v>
      </c>
      <c r="G1251" t="str">
        <f>_xlfn.XLOOKUP(TRIM(E1252),MedicineInfo!A:A,MedicineInfo!B:B,"Not Found")</f>
        <v>Multivitamin</v>
      </c>
      <c r="H1251" s="1" t="str" cm="1">
        <f t="array" ref="H1251">_xlfn.IFS(
OR(E1251="Type 2 Diabetes",E1251="Essential Hypertension",E1251="Angina Pectoris",E1251="Bronchial Asthma",E1251="Cardiac Arrhythmia"), D1251+30,
OR(E1251="Gastritis",E1251="Osteoarthritis",E1251="Bronchitis",E1251="Iron Deficiency Anemia"), D1251+14,
OR(E1251="Lumbar Strain",E1251="Migraine Headache"), D1251+7,
OR(E1251="Viral Fever",E1251="General Checkup","Routine Health Check"), "",
TRUE,""
)</f>
        <v/>
      </c>
      <c r="I1251" s="1" t="str">
        <f t="shared" si="38"/>
        <v>No Follow-up Required</v>
      </c>
      <c r="J1251" t="str">
        <f>TEXT(Table8[[#This Row],[visit_Date]],"DDDD")</f>
        <v>Wednesday</v>
      </c>
      <c r="K1251" t="str">
        <f>TEXT(Table8[[#This Row],[visit_Date]],"mmmm")</f>
        <v>May</v>
      </c>
      <c r="L1251" t="str">
        <f t="shared" si="39"/>
        <v>Summer</v>
      </c>
    </row>
    <row r="1252" spans="1:12" x14ac:dyDescent="0.25">
      <c r="A1252">
        <v>1251</v>
      </c>
      <c r="B1252">
        <v>1254</v>
      </c>
      <c r="C1252">
        <v>1460</v>
      </c>
      <c r="D1252" s="1">
        <v>45798</v>
      </c>
      <c r="E1252" t="s">
        <v>24</v>
      </c>
      <c r="F1252" t="s">
        <v>321</v>
      </c>
      <c r="G1252" t="str">
        <f>_xlfn.XLOOKUP(TRIM(E1253),MedicineInfo!A:A,MedicineInfo!B:B,"Not Found")</f>
        <v>Multivitamin</v>
      </c>
      <c r="H1252" s="1" t="str" cm="1">
        <f t="array" ref="H1252">_xlfn.IFS(
OR(E1252="Type 2 Diabetes",E1252="Essential Hypertension",E1252="Angina Pectoris",E1252="Bronchial Asthma",E1252="Cardiac Arrhythmia"), D1252+30,
OR(E1252="Gastritis",E1252="Osteoarthritis",E1252="Bronchitis",E1252="Iron Deficiency Anemia"), D1252+14,
OR(E1252="Lumbar Strain",E1252="Migraine Headache"), D1252+7,
OR(E1252="Viral Fever",E1252="General Checkup","Routine Health Check"), "",
TRUE,""
)</f>
        <v/>
      </c>
      <c r="I1252" s="1" t="str">
        <f t="shared" si="38"/>
        <v>No Follow-up Required</v>
      </c>
      <c r="J1252" t="str">
        <f>TEXT(Table8[[#This Row],[visit_Date]],"DDDD")</f>
        <v>Wednesday</v>
      </c>
      <c r="K1252" t="str">
        <f>TEXT(Table8[[#This Row],[visit_Date]],"mmmm")</f>
        <v>May</v>
      </c>
      <c r="L1252" t="str">
        <f t="shared" si="39"/>
        <v>Summer</v>
      </c>
    </row>
    <row r="1253" spans="1:12" x14ac:dyDescent="0.25">
      <c r="A1253">
        <v>1252</v>
      </c>
      <c r="B1253">
        <v>1381</v>
      </c>
      <c r="C1253">
        <v>1132</v>
      </c>
      <c r="D1253" s="1">
        <v>45777</v>
      </c>
      <c r="E1253" t="s">
        <v>24</v>
      </c>
      <c r="F1253" t="s">
        <v>321</v>
      </c>
      <c r="G1253" t="str">
        <f>_xlfn.XLOOKUP(TRIM(E1254),MedicineInfo!A:A,MedicineInfo!B:B,"Not Found")</f>
        <v>Multivitamin</v>
      </c>
      <c r="H1253" s="1" t="str" cm="1">
        <f t="array" ref="H1253">_xlfn.IFS(
OR(E1253="Type 2 Diabetes",E1253="Essential Hypertension",E1253="Angina Pectoris",E1253="Bronchial Asthma",E1253="Cardiac Arrhythmia"), D1253+30,
OR(E1253="Gastritis",E1253="Osteoarthritis",E1253="Bronchitis",E1253="Iron Deficiency Anemia"), D1253+14,
OR(E1253="Lumbar Strain",E1253="Migraine Headache"), D1253+7,
OR(E1253="Viral Fever",E1253="General Checkup","Routine Health Check"), "",
TRUE,""
)</f>
        <v/>
      </c>
      <c r="I1253" s="1" t="str">
        <f t="shared" si="38"/>
        <v>No Follow-up Required</v>
      </c>
      <c r="J1253" t="str">
        <f>TEXT(Table8[[#This Row],[visit_Date]],"DDDD")</f>
        <v>Wednesday</v>
      </c>
      <c r="K1253" t="str">
        <f>TEXT(Table8[[#This Row],[visit_Date]],"mmmm")</f>
        <v>April</v>
      </c>
      <c r="L1253" t="str">
        <f t="shared" si="39"/>
        <v>Summer</v>
      </c>
    </row>
    <row r="1254" spans="1:12" x14ac:dyDescent="0.25">
      <c r="A1254">
        <v>1253</v>
      </c>
      <c r="B1254">
        <v>1282</v>
      </c>
      <c r="C1254">
        <v>1237</v>
      </c>
      <c r="D1254" s="1">
        <v>45694</v>
      </c>
      <c r="E1254" t="s">
        <v>24</v>
      </c>
      <c r="F1254" t="s">
        <v>321</v>
      </c>
      <c r="G1254" t="str">
        <f>_xlfn.XLOOKUP(TRIM(E1255),MedicineInfo!A:A,MedicineInfo!B:B,"Not Found")</f>
        <v>Multivitamin</v>
      </c>
      <c r="H1254" s="1" t="str" cm="1">
        <f t="array" ref="H1254">_xlfn.IFS(
OR(E1254="Type 2 Diabetes",E1254="Essential Hypertension",E1254="Angina Pectoris",E1254="Bronchial Asthma",E1254="Cardiac Arrhythmia"), D1254+30,
OR(E1254="Gastritis",E1254="Osteoarthritis",E1254="Bronchitis",E1254="Iron Deficiency Anemia"), D1254+14,
OR(E1254="Lumbar Strain",E1254="Migraine Headache"), D1254+7,
OR(E1254="Viral Fever",E1254="General Checkup","Routine Health Check"), "",
TRUE,""
)</f>
        <v/>
      </c>
      <c r="I1254" s="1" t="str">
        <f t="shared" si="38"/>
        <v>No Follow-up Required</v>
      </c>
      <c r="J1254" t="str">
        <f>TEXT(Table8[[#This Row],[visit_Date]],"DDDD")</f>
        <v>Thursday</v>
      </c>
      <c r="K1254" t="str">
        <f>TEXT(Table8[[#This Row],[visit_Date]],"mmmm")</f>
        <v>February</v>
      </c>
      <c r="L1254" t="str">
        <f t="shared" si="39"/>
        <v>Winter</v>
      </c>
    </row>
    <row r="1255" spans="1:12" x14ac:dyDescent="0.25">
      <c r="A1255">
        <v>1254</v>
      </c>
      <c r="B1255">
        <v>1286</v>
      </c>
      <c r="C1255">
        <v>1010</v>
      </c>
      <c r="D1255" s="1">
        <v>45798</v>
      </c>
      <c r="E1255" t="s">
        <v>24</v>
      </c>
      <c r="F1255" t="s">
        <v>321</v>
      </c>
      <c r="G1255" t="str">
        <f>_xlfn.XLOOKUP(TRIM(E1256),MedicineInfo!A:A,MedicineInfo!B:B,"Not Found")</f>
        <v>Multivitamin</v>
      </c>
      <c r="H1255" s="1" t="str" cm="1">
        <f t="array" ref="H1255">_xlfn.IFS(
OR(E1255="Type 2 Diabetes",E1255="Essential Hypertension",E1255="Angina Pectoris",E1255="Bronchial Asthma",E1255="Cardiac Arrhythmia"), D1255+30,
OR(E1255="Gastritis",E1255="Osteoarthritis",E1255="Bronchitis",E1255="Iron Deficiency Anemia"), D1255+14,
OR(E1255="Lumbar Strain",E1255="Migraine Headache"), D1255+7,
OR(E1255="Viral Fever",E1255="General Checkup","Routine Health Check"), "",
TRUE,""
)</f>
        <v/>
      </c>
      <c r="I1255" s="1" t="str">
        <f t="shared" si="38"/>
        <v>No Follow-up Required</v>
      </c>
      <c r="J1255" t="str">
        <f>TEXT(Table8[[#This Row],[visit_Date]],"DDDD")</f>
        <v>Wednesday</v>
      </c>
      <c r="K1255" t="str">
        <f>TEXT(Table8[[#This Row],[visit_Date]],"mmmm")</f>
        <v>May</v>
      </c>
      <c r="L1255" t="str">
        <f t="shared" si="39"/>
        <v>Summer</v>
      </c>
    </row>
    <row r="1256" spans="1:12" x14ac:dyDescent="0.25">
      <c r="A1256">
        <v>1255</v>
      </c>
      <c r="B1256">
        <v>1304</v>
      </c>
      <c r="C1256">
        <v>1548</v>
      </c>
      <c r="D1256" s="1">
        <v>45792</v>
      </c>
      <c r="E1256" t="s">
        <v>24</v>
      </c>
      <c r="F1256" t="s">
        <v>321</v>
      </c>
      <c r="G1256" t="str">
        <f>_xlfn.XLOOKUP(TRIM(E1257),MedicineInfo!A:A,MedicineInfo!B:B,"Not Found")</f>
        <v>Multivitamin</v>
      </c>
      <c r="H1256" s="1" t="str" cm="1">
        <f t="array" ref="H1256">_xlfn.IFS(
OR(E1256="Type 2 Diabetes",E1256="Essential Hypertension",E1256="Angina Pectoris",E1256="Bronchial Asthma",E1256="Cardiac Arrhythmia"), D1256+30,
OR(E1256="Gastritis",E1256="Osteoarthritis",E1256="Bronchitis",E1256="Iron Deficiency Anemia"), D1256+14,
OR(E1256="Lumbar Strain",E1256="Migraine Headache"), D1256+7,
OR(E1256="Viral Fever",E1256="General Checkup","Routine Health Check"), "",
TRUE,""
)</f>
        <v/>
      </c>
      <c r="I1256" s="1" t="str">
        <f t="shared" si="38"/>
        <v>No Follow-up Required</v>
      </c>
      <c r="J1256" t="str">
        <f>TEXT(Table8[[#This Row],[visit_Date]],"DDDD")</f>
        <v>Thursday</v>
      </c>
      <c r="K1256" t="str">
        <f>TEXT(Table8[[#This Row],[visit_Date]],"mmmm")</f>
        <v>May</v>
      </c>
      <c r="L1256" t="str">
        <f t="shared" si="39"/>
        <v>Summer</v>
      </c>
    </row>
    <row r="1257" spans="1:12" x14ac:dyDescent="0.25">
      <c r="A1257">
        <v>1256</v>
      </c>
      <c r="B1257">
        <v>1056</v>
      </c>
      <c r="C1257">
        <v>1510</v>
      </c>
      <c r="D1257" s="1">
        <v>45783</v>
      </c>
      <c r="E1257" t="s">
        <v>24</v>
      </c>
      <c r="F1257" t="s">
        <v>321</v>
      </c>
      <c r="G1257" t="str">
        <f>_xlfn.XLOOKUP(TRIM(E1258),MedicineInfo!A:A,MedicineInfo!B:B,"Not Found")</f>
        <v>Salbutamol Inhaler</v>
      </c>
      <c r="H1257" s="1" t="str" cm="1">
        <f t="array" ref="H1257">_xlfn.IFS(
OR(E1257="Type 2 Diabetes",E1257="Essential Hypertension",E1257="Angina Pectoris",E1257="Bronchial Asthma",E1257="Cardiac Arrhythmia"), D1257+30,
OR(E1257="Gastritis",E1257="Osteoarthritis",E1257="Bronchitis",E1257="Iron Deficiency Anemia"), D1257+14,
OR(E1257="Lumbar Strain",E1257="Migraine Headache"), D1257+7,
OR(E1257="Viral Fever",E1257="General Checkup","Routine Health Check"), "",
TRUE,""
)</f>
        <v/>
      </c>
      <c r="I1257" s="1" t="str">
        <f t="shared" si="38"/>
        <v>No Follow-up Required</v>
      </c>
      <c r="J1257" t="str">
        <f>TEXT(Table8[[#This Row],[visit_Date]],"DDDD")</f>
        <v>Tuesday</v>
      </c>
      <c r="K1257" t="str">
        <f>TEXT(Table8[[#This Row],[visit_Date]],"mmmm")</f>
        <v>May</v>
      </c>
      <c r="L1257" t="str">
        <f t="shared" si="39"/>
        <v>Summer</v>
      </c>
    </row>
    <row r="1258" spans="1:12" x14ac:dyDescent="0.25">
      <c r="A1258">
        <v>1257</v>
      </c>
      <c r="B1258">
        <v>1172</v>
      </c>
      <c r="C1258">
        <v>691</v>
      </c>
      <c r="D1258" s="1">
        <v>45758</v>
      </c>
      <c r="E1258" t="s">
        <v>324</v>
      </c>
      <c r="F1258" t="s">
        <v>325</v>
      </c>
      <c r="G1258" t="str">
        <f>_xlfn.XLOOKUP(TRIM(E1259),MedicineInfo!A:A,MedicineInfo!B:B,"Not Found")</f>
        <v>Multivitamin</v>
      </c>
      <c r="H1258" s="1" cm="1">
        <f t="array" ref="H1258">_xlfn.IFS(
OR(E1258="Type 2 Diabetes",E1258="Essential Hypertension",E1258="Angina Pectoris",E1258="Bronchial Asthma",E1258="Cardiac Arrhythmia"), D1258+30,
OR(E1258="Gastritis",E1258="Osteoarthritis",E1258="Bronchitis",E1258="Iron Deficiency Anemia"), D1258+14,
OR(E1258="Lumbar Strain",E1258="Migraine Headache"), D1258+7,
OR(E1258="Viral Fever",E1258="General Checkup","Routine Health Check"), "",
TRUE,""
)</f>
        <v>45788</v>
      </c>
      <c r="I1258" s="1" t="str">
        <f t="shared" si="38"/>
        <v>Follow-up Scheduled</v>
      </c>
      <c r="J1258" t="str">
        <f>TEXT(Table8[[#This Row],[visit_Date]],"DDDD")</f>
        <v>Friday</v>
      </c>
      <c r="K1258" t="str">
        <f>TEXT(Table8[[#This Row],[visit_Date]],"mmmm")</f>
        <v>April</v>
      </c>
      <c r="L1258" t="str">
        <f t="shared" si="39"/>
        <v>Summer</v>
      </c>
    </row>
    <row r="1259" spans="1:12" x14ac:dyDescent="0.25">
      <c r="A1259">
        <v>1258</v>
      </c>
      <c r="B1259">
        <v>1118</v>
      </c>
      <c r="C1259">
        <v>523</v>
      </c>
      <c r="D1259" s="1">
        <v>45814</v>
      </c>
      <c r="E1259" t="s">
        <v>24</v>
      </c>
      <c r="F1259" t="s">
        <v>321</v>
      </c>
      <c r="G1259" t="str">
        <f>_xlfn.XLOOKUP(TRIM(E1260),MedicineInfo!A:A,MedicineInfo!B:B,"Not Found")</f>
        <v>Multivitamin</v>
      </c>
      <c r="H1259" s="1" t="str" cm="1">
        <f t="array" ref="H1259">_xlfn.IFS(
OR(E1259="Type 2 Diabetes",E1259="Essential Hypertension",E1259="Angina Pectoris",E1259="Bronchial Asthma",E1259="Cardiac Arrhythmia"), D1259+30,
OR(E1259="Gastritis",E1259="Osteoarthritis",E1259="Bronchitis",E1259="Iron Deficiency Anemia"), D1259+14,
OR(E1259="Lumbar Strain",E1259="Migraine Headache"), D1259+7,
OR(E1259="Viral Fever",E1259="General Checkup","Routine Health Check"), "",
TRUE,""
)</f>
        <v/>
      </c>
      <c r="I1259" s="1" t="str">
        <f t="shared" si="38"/>
        <v>No Follow-up Required</v>
      </c>
      <c r="J1259" t="str">
        <f>TEXT(Table8[[#This Row],[visit_Date]],"DDDD")</f>
        <v>Friday</v>
      </c>
      <c r="K1259" t="str">
        <f>TEXT(Table8[[#This Row],[visit_Date]],"mmmm")</f>
        <v>June</v>
      </c>
      <c r="L1259" t="str">
        <f t="shared" si="39"/>
        <v>Monsoon</v>
      </c>
    </row>
    <row r="1260" spans="1:12" x14ac:dyDescent="0.25">
      <c r="A1260">
        <v>1259</v>
      </c>
      <c r="B1260">
        <v>1265</v>
      </c>
      <c r="C1260">
        <v>311</v>
      </c>
      <c r="D1260" s="1">
        <v>45686</v>
      </c>
      <c r="E1260" t="s">
        <v>24</v>
      </c>
      <c r="F1260" t="s">
        <v>321</v>
      </c>
      <c r="G1260" t="str">
        <f>_xlfn.XLOOKUP(TRIM(E1261),MedicineInfo!A:A,MedicineInfo!B:B,"Not Found")</f>
        <v>Multivitamin</v>
      </c>
      <c r="H1260" s="1" t="str" cm="1">
        <f t="array" ref="H1260">_xlfn.IFS(
OR(E1260="Type 2 Diabetes",E1260="Essential Hypertension",E1260="Angina Pectoris",E1260="Bronchial Asthma",E1260="Cardiac Arrhythmia"), D1260+30,
OR(E1260="Gastritis",E1260="Osteoarthritis",E1260="Bronchitis",E1260="Iron Deficiency Anemia"), D1260+14,
OR(E1260="Lumbar Strain",E1260="Migraine Headache"), D1260+7,
OR(E1260="Viral Fever",E1260="General Checkup","Routine Health Check"), "",
TRUE,""
)</f>
        <v/>
      </c>
      <c r="I1260" s="1" t="str">
        <f t="shared" si="38"/>
        <v>No Follow-up Required</v>
      </c>
      <c r="J1260" t="str">
        <f>TEXT(Table8[[#This Row],[visit_Date]],"DDDD")</f>
        <v>Wednesday</v>
      </c>
      <c r="K1260" t="str">
        <f>TEXT(Table8[[#This Row],[visit_Date]],"mmmm")</f>
        <v>January</v>
      </c>
      <c r="L1260" t="str">
        <f t="shared" si="39"/>
        <v>Winter</v>
      </c>
    </row>
    <row r="1261" spans="1:12" x14ac:dyDescent="0.25">
      <c r="A1261">
        <v>1260</v>
      </c>
      <c r="B1261">
        <v>1114</v>
      </c>
      <c r="C1261">
        <v>1220</v>
      </c>
      <c r="D1261" s="1">
        <v>45668</v>
      </c>
      <c r="E1261" t="s">
        <v>24</v>
      </c>
      <c r="F1261" t="s">
        <v>321</v>
      </c>
      <c r="G1261" t="str">
        <f>_xlfn.XLOOKUP(TRIM(E1262),MedicineInfo!A:A,MedicineInfo!B:B,"Not Found")</f>
        <v>Amoxicillin</v>
      </c>
      <c r="H1261" s="1" t="str" cm="1">
        <f t="array" ref="H1261">_xlfn.IFS(
OR(E1261="Type 2 Diabetes",E1261="Essential Hypertension",E1261="Angina Pectoris",E1261="Bronchial Asthma",E1261="Cardiac Arrhythmia"), D1261+30,
OR(E1261="Gastritis",E1261="Osteoarthritis",E1261="Bronchitis",E1261="Iron Deficiency Anemia"), D1261+14,
OR(E1261="Lumbar Strain",E1261="Migraine Headache"), D1261+7,
OR(E1261="Viral Fever",E1261="General Checkup","Routine Health Check"), "",
TRUE,""
)</f>
        <v/>
      </c>
      <c r="I1261" s="1" t="str">
        <f t="shared" si="38"/>
        <v>No Follow-up Required</v>
      </c>
      <c r="J1261" t="str">
        <f>TEXT(Table8[[#This Row],[visit_Date]],"DDDD")</f>
        <v>Saturday</v>
      </c>
      <c r="K1261" t="str">
        <f>TEXT(Table8[[#This Row],[visit_Date]],"mmmm")</f>
        <v>January</v>
      </c>
      <c r="L1261" t="str">
        <f t="shared" si="39"/>
        <v>Winter</v>
      </c>
    </row>
    <row r="1262" spans="1:12" x14ac:dyDescent="0.25">
      <c r="A1262">
        <v>1261</v>
      </c>
      <c r="B1262">
        <v>1101</v>
      </c>
      <c r="C1262">
        <v>239</v>
      </c>
      <c r="D1262" s="1">
        <v>45823</v>
      </c>
      <c r="E1262" t="s">
        <v>346</v>
      </c>
      <c r="F1262" t="s">
        <v>347</v>
      </c>
      <c r="G1262" t="str">
        <f>_xlfn.XLOOKUP(TRIM(E1263),MedicineInfo!A:A,MedicineInfo!B:B,"Not Found")</f>
        <v>Multivitamin</v>
      </c>
      <c r="H1262" s="1" cm="1">
        <f t="array" ref="H1262">_xlfn.IFS(
OR(E1262="Type 2 Diabetes",E1262="Essential Hypertension",E1262="Angina Pectoris",E1262="Bronchial Asthma",E1262="Cardiac Arrhythmia"), D1262+30,
OR(E1262="Gastritis",E1262="Osteoarthritis",E1262="Bronchitis",E1262="Iron Deficiency Anemia"), D1262+14,
OR(E1262="Lumbar Strain",E1262="Migraine Headache"), D1262+7,
OR(E1262="Viral Fever",E1262="General Checkup","Routine Health Check"), "",
TRUE,""
)</f>
        <v>45837</v>
      </c>
      <c r="I1262" s="1" t="str">
        <f t="shared" si="38"/>
        <v>Follow-up Scheduled</v>
      </c>
      <c r="J1262" t="str">
        <f>TEXT(Table8[[#This Row],[visit_Date]],"DDDD")</f>
        <v>Sunday</v>
      </c>
      <c r="K1262" t="str">
        <f>TEXT(Table8[[#This Row],[visit_Date]],"mmmm")</f>
        <v>June</v>
      </c>
      <c r="L1262" t="str">
        <f t="shared" si="39"/>
        <v>Monsoon</v>
      </c>
    </row>
    <row r="1263" spans="1:12" x14ac:dyDescent="0.25">
      <c r="A1263">
        <v>1262</v>
      </c>
      <c r="B1263">
        <v>1341</v>
      </c>
      <c r="C1263">
        <v>434</v>
      </c>
      <c r="D1263" s="1">
        <v>45776</v>
      </c>
      <c r="E1263" t="s">
        <v>24</v>
      </c>
      <c r="F1263" t="s">
        <v>321</v>
      </c>
      <c r="G1263" t="str">
        <f>_xlfn.XLOOKUP(TRIM(E1264),MedicineInfo!A:A,MedicineInfo!B:B,"Not Found")</f>
        <v>Sumatriptan</v>
      </c>
      <c r="H1263" s="1" t="str" cm="1">
        <f t="array" ref="H1263">_xlfn.IFS(
OR(E1263="Type 2 Diabetes",E1263="Essential Hypertension",E1263="Angina Pectoris",E1263="Bronchial Asthma",E1263="Cardiac Arrhythmia"), D1263+30,
OR(E1263="Gastritis",E1263="Osteoarthritis",E1263="Bronchitis",E1263="Iron Deficiency Anemia"), D1263+14,
OR(E1263="Lumbar Strain",E1263="Migraine Headache"), D1263+7,
OR(E1263="Viral Fever",E1263="General Checkup","Routine Health Check"), "",
TRUE,""
)</f>
        <v/>
      </c>
      <c r="I1263" s="1" t="str">
        <f t="shared" si="38"/>
        <v>No Follow-up Required</v>
      </c>
      <c r="J1263" t="str">
        <f>TEXT(Table8[[#This Row],[visit_Date]],"DDDD")</f>
        <v>Tuesday</v>
      </c>
      <c r="K1263" t="str">
        <f>TEXT(Table8[[#This Row],[visit_Date]],"mmmm")</f>
        <v>April</v>
      </c>
      <c r="L1263" t="str">
        <f t="shared" si="39"/>
        <v>Summer</v>
      </c>
    </row>
    <row r="1264" spans="1:12" x14ac:dyDescent="0.25">
      <c r="A1264">
        <v>1263</v>
      </c>
      <c r="B1264">
        <v>1103</v>
      </c>
      <c r="C1264">
        <v>1545</v>
      </c>
      <c r="D1264" s="1">
        <v>45814</v>
      </c>
      <c r="E1264" t="s">
        <v>315</v>
      </c>
      <c r="F1264" t="s">
        <v>316</v>
      </c>
      <c r="G1264" t="str">
        <f>_xlfn.XLOOKUP(TRIM(E1265),MedicineInfo!A:A,MedicineInfo!B:B,"Not Found")</f>
        <v>Multivitamin</v>
      </c>
      <c r="H1264" s="1" cm="1">
        <f t="array" ref="H1264">_xlfn.IFS(
OR(E1264="Type 2 Diabetes",E1264="Essential Hypertension",E1264="Angina Pectoris",E1264="Bronchial Asthma",E1264="Cardiac Arrhythmia"), D1264+30,
OR(E1264="Gastritis",E1264="Osteoarthritis",E1264="Bronchitis",E1264="Iron Deficiency Anemia"), D1264+14,
OR(E1264="Lumbar Strain",E1264="Migraine Headache"), D1264+7,
OR(E1264="Viral Fever",E1264="General Checkup","Routine Health Check"), "",
TRUE,""
)</f>
        <v>45821</v>
      </c>
      <c r="I1264" s="1" t="str">
        <f t="shared" si="38"/>
        <v>Follow-up Scheduled</v>
      </c>
      <c r="J1264" t="str">
        <f>TEXT(Table8[[#This Row],[visit_Date]],"DDDD")</f>
        <v>Friday</v>
      </c>
      <c r="K1264" t="str">
        <f>TEXT(Table8[[#This Row],[visit_Date]],"mmmm")</f>
        <v>June</v>
      </c>
      <c r="L1264" t="str">
        <f t="shared" si="39"/>
        <v>Monsoon</v>
      </c>
    </row>
    <row r="1265" spans="1:12" x14ac:dyDescent="0.25">
      <c r="A1265">
        <v>1264</v>
      </c>
      <c r="B1265">
        <v>1236</v>
      </c>
      <c r="C1265">
        <v>188</v>
      </c>
      <c r="D1265" s="1">
        <v>45777</v>
      </c>
      <c r="E1265" t="s">
        <v>24</v>
      </c>
      <c r="F1265" t="s">
        <v>321</v>
      </c>
      <c r="G1265" t="str">
        <f>_xlfn.XLOOKUP(TRIM(E1266),MedicineInfo!A:A,MedicineInfo!B:B,"Not Found")</f>
        <v>Multivitamin</v>
      </c>
      <c r="H1265" s="1" t="str" cm="1">
        <f t="array" ref="H1265">_xlfn.IFS(
OR(E1265="Type 2 Diabetes",E1265="Essential Hypertension",E1265="Angina Pectoris",E1265="Bronchial Asthma",E1265="Cardiac Arrhythmia"), D1265+30,
OR(E1265="Gastritis",E1265="Osteoarthritis",E1265="Bronchitis",E1265="Iron Deficiency Anemia"), D1265+14,
OR(E1265="Lumbar Strain",E1265="Migraine Headache"), D1265+7,
OR(E1265="Viral Fever",E1265="General Checkup","Routine Health Check"), "",
TRUE,""
)</f>
        <v/>
      </c>
      <c r="I1265" s="1" t="str">
        <f t="shared" si="38"/>
        <v>No Follow-up Required</v>
      </c>
      <c r="J1265" t="str">
        <f>TEXT(Table8[[#This Row],[visit_Date]],"DDDD")</f>
        <v>Wednesday</v>
      </c>
      <c r="K1265" t="str">
        <f>TEXT(Table8[[#This Row],[visit_Date]],"mmmm")</f>
        <v>April</v>
      </c>
      <c r="L1265" t="str">
        <f t="shared" si="39"/>
        <v>Summer</v>
      </c>
    </row>
    <row r="1266" spans="1:12" x14ac:dyDescent="0.25">
      <c r="A1266">
        <v>1265</v>
      </c>
      <c r="B1266">
        <v>1281</v>
      </c>
      <c r="C1266">
        <v>1375</v>
      </c>
      <c r="D1266" s="1">
        <v>45823</v>
      </c>
      <c r="E1266" t="s">
        <v>24</v>
      </c>
      <c r="F1266" t="s">
        <v>321</v>
      </c>
      <c r="G1266" t="str">
        <f>_xlfn.XLOOKUP(TRIM(E1267),MedicineInfo!A:A,MedicineInfo!B:B,"Not Found")</f>
        <v>Multivitamin</v>
      </c>
      <c r="H1266" s="1" t="str" cm="1">
        <f t="array" ref="H1266">_xlfn.IFS(
OR(E1266="Type 2 Diabetes",E1266="Essential Hypertension",E1266="Angina Pectoris",E1266="Bronchial Asthma",E1266="Cardiac Arrhythmia"), D1266+30,
OR(E1266="Gastritis",E1266="Osteoarthritis",E1266="Bronchitis",E1266="Iron Deficiency Anemia"), D1266+14,
OR(E1266="Lumbar Strain",E1266="Migraine Headache"), D1266+7,
OR(E1266="Viral Fever",E1266="General Checkup","Routine Health Check"), "",
TRUE,""
)</f>
        <v/>
      </c>
      <c r="I1266" s="1" t="str">
        <f t="shared" si="38"/>
        <v>No Follow-up Required</v>
      </c>
      <c r="J1266" t="str">
        <f>TEXT(Table8[[#This Row],[visit_Date]],"DDDD")</f>
        <v>Sunday</v>
      </c>
      <c r="K1266" t="str">
        <f>TEXT(Table8[[#This Row],[visit_Date]],"mmmm")</f>
        <v>June</v>
      </c>
      <c r="L1266" t="str">
        <f t="shared" si="39"/>
        <v>Monsoon</v>
      </c>
    </row>
    <row r="1267" spans="1:12" x14ac:dyDescent="0.25">
      <c r="A1267">
        <v>1266</v>
      </c>
      <c r="B1267">
        <v>1026</v>
      </c>
      <c r="C1267">
        <v>313</v>
      </c>
      <c r="D1267" s="1">
        <v>45713</v>
      </c>
      <c r="E1267" t="s">
        <v>24</v>
      </c>
      <c r="F1267" t="s">
        <v>321</v>
      </c>
      <c r="G1267" t="str">
        <f>_xlfn.XLOOKUP(TRIM(E1268),MedicineInfo!A:A,MedicineInfo!B:B,"Not Found")</f>
        <v>Cefixime</v>
      </c>
      <c r="H1267" s="1" t="str" cm="1">
        <f t="array" ref="H1267">_xlfn.IFS(
OR(E1267="Type 2 Diabetes",E1267="Essential Hypertension",E1267="Angina Pectoris",E1267="Bronchial Asthma",E1267="Cardiac Arrhythmia"), D1267+30,
OR(E1267="Gastritis",E1267="Osteoarthritis",E1267="Bronchitis",E1267="Iron Deficiency Anemia"), D1267+14,
OR(E1267="Lumbar Strain",E1267="Migraine Headache"), D1267+7,
OR(E1267="Viral Fever",E1267="General Checkup","Routine Health Check"), "",
TRUE,""
)</f>
        <v/>
      </c>
      <c r="I1267" s="1" t="str">
        <f t="shared" si="38"/>
        <v>No Follow-up Required</v>
      </c>
      <c r="J1267" t="str">
        <f>TEXT(Table8[[#This Row],[visit_Date]],"DDDD")</f>
        <v>Tuesday</v>
      </c>
      <c r="K1267" t="str">
        <f>TEXT(Table8[[#This Row],[visit_Date]],"mmmm")</f>
        <v>February</v>
      </c>
      <c r="L1267" t="str">
        <f t="shared" si="39"/>
        <v>Winter</v>
      </c>
    </row>
    <row r="1268" spans="1:12" x14ac:dyDescent="0.25">
      <c r="A1268">
        <v>1267</v>
      </c>
      <c r="B1268">
        <v>1261</v>
      </c>
      <c r="C1268">
        <v>1588</v>
      </c>
      <c r="D1268" s="1">
        <v>45747</v>
      </c>
      <c r="E1268" t="s">
        <v>354</v>
      </c>
      <c r="F1268" t="s">
        <v>355</v>
      </c>
      <c r="G1268" t="str">
        <f>_xlfn.XLOOKUP(TRIM(E1269),MedicineInfo!A:A,MedicineInfo!B:B,"Not Found")</f>
        <v>Multivitamin</v>
      </c>
      <c r="H1268" s="1" t="str" cm="1">
        <f t="array" ref="H1268">_xlfn.IFS(
OR(E1268="Type 2 Diabetes",E1268="Essential Hypertension",E1268="Angina Pectoris",E1268="Bronchial Asthma",E1268="Cardiac Arrhythmia"), D1268+30,
OR(E1268="Gastritis",E1268="Osteoarthritis",E1268="Bronchitis",E1268="Iron Deficiency Anemia"), D1268+14,
OR(E1268="Lumbar Strain",E1268="Migraine Headache"), D1268+7,
OR(E1268="Viral Fever",E1268="General Checkup","Routine Health Check"), "",
TRUE,""
)</f>
        <v/>
      </c>
      <c r="I1268" s="1" t="str">
        <f t="shared" si="38"/>
        <v>No Follow-up Required</v>
      </c>
      <c r="J1268" t="str">
        <f>TEXT(Table8[[#This Row],[visit_Date]],"DDDD")</f>
        <v>Monday</v>
      </c>
      <c r="K1268" t="str">
        <f>TEXT(Table8[[#This Row],[visit_Date]],"mmmm")</f>
        <v>March</v>
      </c>
      <c r="L1268" t="str">
        <f t="shared" si="39"/>
        <v>Summer</v>
      </c>
    </row>
    <row r="1269" spans="1:12" x14ac:dyDescent="0.25">
      <c r="A1269">
        <v>1268</v>
      </c>
      <c r="B1269">
        <v>1130</v>
      </c>
      <c r="C1269">
        <v>807</v>
      </c>
      <c r="D1269" s="1">
        <v>45777</v>
      </c>
      <c r="E1269" t="s">
        <v>24</v>
      </c>
      <c r="F1269" t="s">
        <v>321</v>
      </c>
      <c r="G1269" t="str">
        <f>_xlfn.XLOOKUP(TRIM(E1270),MedicineInfo!A:A,MedicineInfo!B:B,"Not Found")</f>
        <v>Donepezil</v>
      </c>
      <c r="H1269" s="1" t="str" cm="1">
        <f t="array" ref="H1269">_xlfn.IFS(
OR(E1269="Type 2 Diabetes",E1269="Essential Hypertension",E1269="Angina Pectoris",E1269="Bronchial Asthma",E1269="Cardiac Arrhythmia"), D1269+30,
OR(E1269="Gastritis",E1269="Osteoarthritis",E1269="Bronchitis",E1269="Iron Deficiency Anemia"), D1269+14,
OR(E1269="Lumbar Strain",E1269="Migraine Headache"), D1269+7,
OR(E1269="Viral Fever",E1269="General Checkup","Routine Health Check"), "",
TRUE,""
)</f>
        <v/>
      </c>
      <c r="I1269" s="1" t="str">
        <f t="shared" si="38"/>
        <v>No Follow-up Required</v>
      </c>
      <c r="J1269" t="str">
        <f>TEXT(Table8[[#This Row],[visit_Date]],"DDDD")</f>
        <v>Wednesday</v>
      </c>
      <c r="K1269" t="str">
        <f>TEXT(Table8[[#This Row],[visit_Date]],"mmmm")</f>
        <v>April</v>
      </c>
      <c r="L1269" t="str">
        <f t="shared" si="39"/>
        <v>Summer</v>
      </c>
    </row>
    <row r="1270" spans="1:12" x14ac:dyDescent="0.25">
      <c r="A1270">
        <v>1269</v>
      </c>
      <c r="B1270">
        <v>1043</v>
      </c>
      <c r="C1270">
        <v>1555</v>
      </c>
      <c r="D1270" s="1">
        <v>45672</v>
      </c>
      <c r="E1270" t="s">
        <v>350</v>
      </c>
      <c r="F1270" t="s">
        <v>351</v>
      </c>
      <c r="G1270" t="str">
        <f>_xlfn.XLOOKUP(TRIM(E1271),MedicineInfo!A:A,MedicineInfo!B:B,"Not Found")</f>
        <v>Ferrous Sulfate</v>
      </c>
      <c r="H1270" s="1" t="str" cm="1">
        <f t="array" ref="H1270">_xlfn.IFS(
OR(E1270="Type 2 Diabetes",E1270="Essential Hypertension",E1270="Angina Pectoris",E1270="Bronchial Asthma",E1270="Cardiac Arrhythmia"), D1270+30,
OR(E1270="Gastritis",E1270="Osteoarthritis",E1270="Bronchitis",E1270="Iron Deficiency Anemia"), D1270+14,
OR(E1270="Lumbar Strain",E1270="Migraine Headache"), D1270+7,
OR(E1270="Viral Fever",E1270="General Checkup","Routine Health Check"), "",
TRUE,""
)</f>
        <v/>
      </c>
      <c r="I1270" s="1" t="str">
        <f t="shared" si="38"/>
        <v>No Follow-up Required</v>
      </c>
      <c r="J1270" t="str">
        <f>TEXT(Table8[[#This Row],[visit_Date]],"DDDD")</f>
        <v>Wednesday</v>
      </c>
      <c r="K1270" t="str">
        <f>TEXT(Table8[[#This Row],[visit_Date]],"mmmm")</f>
        <v>January</v>
      </c>
      <c r="L1270" t="str">
        <f t="shared" si="39"/>
        <v>Winter</v>
      </c>
    </row>
    <row r="1271" spans="1:12" x14ac:dyDescent="0.25">
      <c r="A1271">
        <v>1270</v>
      </c>
      <c r="B1271">
        <v>1238</v>
      </c>
      <c r="C1271">
        <v>1384</v>
      </c>
      <c r="D1271" s="1">
        <v>45730</v>
      </c>
      <c r="E1271" t="s">
        <v>358</v>
      </c>
      <c r="F1271" t="s">
        <v>359</v>
      </c>
      <c r="G1271" t="str">
        <f>_xlfn.XLOOKUP(TRIM(E1272),MedicineInfo!A:A,MedicineInfo!B:B,"Not Found")</f>
        <v>Aceclofenac</v>
      </c>
      <c r="H1271" s="1" cm="1">
        <f t="array" ref="H1271">_xlfn.IFS(
OR(E1271="Type 2 Diabetes",E1271="Essential Hypertension",E1271="Angina Pectoris",E1271="Bronchial Asthma",E1271="Cardiac Arrhythmia"), D1271+30,
OR(E1271="Gastritis",E1271="Osteoarthritis",E1271="Bronchitis",E1271="Iron Deficiency Anemia"), D1271+14,
OR(E1271="Lumbar Strain",E1271="Migraine Headache"), D1271+7,
OR(E1271="Viral Fever",E1271="General Checkup","Routine Health Check"), "",
TRUE,""
)</f>
        <v>45744</v>
      </c>
      <c r="I1271" s="1" t="str">
        <f t="shared" si="38"/>
        <v>Follow-up Scheduled</v>
      </c>
      <c r="J1271" t="str">
        <f>TEXT(Table8[[#This Row],[visit_Date]],"DDDD")</f>
        <v>Friday</v>
      </c>
      <c r="K1271" t="str">
        <f>TEXT(Table8[[#This Row],[visit_Date]],"mmmm")</f>
        <v>March</v>
      </c>
      <c r="L1271" t="str">
        <f t="shared" si="39"/>
        <v>Summer</v>
      </c>
    </row>
    <row r="1272" spans="1:12" x14ac:dyDescent="0.25">
      <c r="A1272">
        <v>1271</v>
      </c>
      <c r="B1272">
        <v>1088</v>
      </c>
      <c r="C1272">
        <v>1290</v>
      </c>
      <c r="D1272" s="1">
        <v>45747</v>
      </c>
      <c r="E1272" t="s">
        <v>348</v>
      </c>
      <c r="F1272" t="s">
        <v>349</v>
      </c>
      <c r="G1272" t="str">
        <f>_xlfn.XLOOKUP(TRIM(E1273),MedicineInfo!A:A,MedicineInfo!B:B,"Not Found")</f>
        <v>Multivitamin</v>
      </c>
      <c r="H1272" s="1" cm="1">
        <f t="array" ref="H1272">_xlfn.IFS(
OR(E1272="Type 2 Diabetes",E1272="Essential Hypertension",E1272="Angina Pectoris",E1272="Bronchial Asthma",E1272="Cardiac Arrhythmia"), D1272+30,
OR(E1272="Gastritis",E1272="Osteoarthritis",E1272="Bronchitis",E1272="Iron Deficiency Anemia"), D1272+14,
OR(E1272="Lumbar Strain",E1272="Migraine Headache"), D1272+7,
OR(E1272="Viral Fever",E1272="General Checkup","Routine Health Check"), "",
TRUE,""
)</f>
        <v>45761</v>
      </c>
      <c r="I1272" s="1" t="str">
        <f t="shared" si="38"/>
        <v>Follow-up Scheduled</v>
      </c>
      <c r="J1272" t="str">
        <f>TEXT(Table8[[#This Row],[visit_Date]],"DDDD")</f>
        <v>Monday</v>
      </c>
      <c r="K1272" t="str">
        <f>TEXT(Table8[[#This Row],[visit_Date]],"mmmm")</f>
        <v>March</v>
      </c>
      <c r="L1272" t="str">
        <f t="shared" si="39"/>
        <v>Summer</v>
      </c>
    </row>
    <row r="1273" spans="1:12" x14ac:dyDescent="0.25">
      <c r="A1273">
        <v>1272</v>
      </c>
      <c r="B1273">
        <v>1228</v>
      </c>
      <c r="C1273">
        <v>990</v>
      </c>
      <c r="D1273" s="1">
        <v>45804</v>
      </c>
      <c r="E1273" t="s">
        <v>24</v>
      </c>
      <c r="F1273" t="s">
        <v>321</v>
      </c>
      <c r="G1273" t="str">
        <f>_xlfn.XLOOKUP(TRIM(E1274),MedicineInfo!A:A,MedicineInfo!B:B,"Not Found")</f>
        <v>Multivitamin</v>
      </c>
      <c r="H1273" s="1" t="str" cm="1">
        <f t="array" ref="H1273">_xlfn.IFS(
OR(E1273="Type 2 Diabetes",E1273="Essential Hypertension",E1273="Angina Pectoris",E1273="Bronchial Asthma",E1273="Cardiac Arrhythmia"), D1273+30,
OR(E1273="Gastritis",E1273="Osteoarthritis",E1273="Bronchitis",E1273="Iron Deficiency Anemia"), D1273+14,
OR(E1273="Lumbar Strain",E1273="Migraine Headache"), D1273+7,
OR(E1273="Viral Fever",E1273="General Checkup","Routine Health Check"), "",
TRUE,""
)</f>
        <v/>
      </c>
      <c r="I1273" s="1" t="str">
        <f t="shared" si="38"/>
        <v>No Follow-up Required</v>
      </c>
      <c r="J1273" t="str">
        <f>TEXT(Table8[[#This Row],[visit_Date]],"DDDD")</f>
        <v>Tuesday</v>
      </c>
      <c r="K1273" t="str">
        <f>TEXT(Table8[[#This Row],[visit_Date]],"mmmm")</f>
        <v>May</v>
      </c>
      <c r="L1273" t="str">
        <f t="shared" si="39"/>
        <v>Summer</v>
      </c>
    </row>
    <row r="1274" spans="1:12" x14ac:dyDescent="0.25">
      <c r="A1274">
        <v>1273</v>
      </c>
      <c r="B1274">
        <v>1360</v>
      </c>
      <c r="C1274">
        <v>252</v>
      </c>
      <c r="D1274" s="1">
        <v>45691</v>
      </c>
      <c r="E1274" t="s">
        <v>24</v>
      </c>
      <c r="F1274" t="s">
        <v>321</v>
      </c>
      <c r="G1274" t="str">
        <f>_xlfn.XLOOKUP(TRIM(E1275),MedicineInfo!A:A,MedicineInfo!B:B,"Not Found")</f>
        <v>Sumatriptan</v>
      </c>
      <c r="H1274" s="1" t="str" cm="1">
        <f t="array" ref="H1274">_xlfn.IFS(
OR(E1274="Type 2 Diabetes",E1274="Essential Hypertension",E1274="Angina Pectoris",E1274="Bronchial Asthma",E1274="Cardiac Arrhythmia"), D1274+30,
OR(E1274="Gastritis",E1274="Osteoarthritis",E1274="Bronchitis",E1274="Iron Deficiency Anemia"), D1274+14,
OR(E1274="Lumbar Strain",E1274="Migraine Headache"), D1274+7,
OR(E1274="Viral Fever",E1274="General Checkup","Routine Health Check"), "",
TRUE,""
)</f>
        <v/>
      </c>
      <c r="I1274" s="1" t="str">
        <f t="shared" si="38"/>
        <v>No Follow-up Required</v>
      </c>
      <c r="J1274" t="str">
        <f>TEXT(Table8[[#This Row],[visit_Date]],"DDDD")</f>
        <v>Monday</v>
      </c>
      <c r="K1274" t="str">
        <f>TEXT(Table8[[#This Row],[visit_Date]],"mmmm")</f>
        <v>February</v>
      </c>
      <c r="L1274" t="str">
        <f t="shared" si="39"/>
        <v>Winter</v>
      </c>
    </row>
    <row r="1275" spans="1:12" x14ac:dyDescent="0.25">
      <c r="A1275">
        <v>1274</v>
      </c>
      <c r="B1275">
        <v>1057</v>
      </c>
      <c r="C1275">
        <v>995</v>
      </c>
      <c r="D1275" s="1">
        <v>45790</v>
      </c>
      <c r="E1275" t="s">
        <v>315</v>
      </c>
      <c r="F1275" t="s">
        <v>316</v>
      </c>
      <c r="G1275" t="str">
        <f>_xlfn.XLOOKUP(TRIM(E1276),MedicineInfo!A:A,MedicineInfo!B:B,"Not Found")</f>
        <v>Sumatriptan</v>
      </c>
      <c r="H1275" s="1" cm="1">
        <f t="array" ref="H1275">_xlfn.IFS(
OR(E1275="Type 2 Diabetes",E1275="Essential Hypertension",E1275="Angina Pectoris",E1275="Bronchial Asthma",E1275="Cardiac Arrhythmia"), D1275+30,
OR(E1275="Gastritis",E1275="Osteoarthritis",E1275="Bronchitis",E1275="Iron Deficiency Anemia"), D1275+14,
OR(E1275="Lumbar Strain",E1275="Migraine Headache"), D1275+7,
OR(E1275="Viral Fever",E1275="General Checkup","Routine Health Check"), "",
TRUE,""
)</f>
        <v>45797</v>
      </c>
      <c r="I1275" s="1" t="str">
        <f t="shared" si="38"/>
        <v>Follow-up Scheduled</v>
      </c>
      <c r="J1275" t="str">
        <f>TEXT(Table8[[#This Row],[visit_Date]],"DDDD")</f>
        <v>Tuesday</v>
      </c>
      <c r="K1275" t="str">
        <f>TEXT(Table8[[#This Row],[visit_Date]],"mmmm")</f>
        <v>May</v>
      </c>
      <c r="L1275" t="str">
        <f t="shared" si="39"/>
        <v>Summer</v>
      </c>
    </row>
    <row r="1276" spans="1:12" x14ac:dyDescent="0.25">
      <c r="A1276">
        <v>1275</v>
      </c>
      <c r="B1276">
        <v>1037</v>
      </c>
      <c r="C1276">
        <v>1177</v>
      </c>
      <c r="D1276" s="1">
        <v>45790</v>
      </c>
      <c r="E1276" t="s">
        <v>315</v>
      </c>
      <c r="F1276" t="s">
        <v>316</v>
      </c>
      <c r="G1276" t="str">
        <f>_xlfn.XLOOKUP(TRIM(E1277),MedicineInfo!A:A,MedicineInfo!B:B,"Not Found")</f>
        <v>Multivitamin</v>
      </c>
      <c r="H1276" s="1" cm="1">
        <f t="array" ref="H1276">_xlfn.IFS(
OR(E1276="Type 2 Diabetes",E1276="Essential Hypertension",E1276="Angina Pectoris",E1276="Bronchial Asthma",E1276="Cardiac Arrhythmia"), D1276+30,
OR(E1276="Gastritis",E1276="Osteoarthritis",E1276="Bronchitis",E1276="Iron Deficiency Anemia"), D1276+14,
OR(E1276="Lumbar Strain",E1276="Migraine Headache"), D1276+7,
OR(E1276="Viral Fever",E1276="General Checkup","Routine Health Check"), "",
TRUE,""
)</f>
        <v>45797</v>
      </c>
      <c r="I1276" s="1" t="str">
        <f t="shared" si="38"/>
        <v>Follow-up Scheduled</v>
      </c>
      <c r="J1276" t="str">
        <f>TEXT(Table8[[#This Row],[visit_Date]],"DDDD")</f>
        <v>Tuesday</v>
      </c>
      <c r="K1276" t="str">
        <f>TEXT(Table8[[#This Row],[visit_Date]],"mmmm")</f>
        <v>May</v>
      </c>
      <c r="L1276" t="str">
        <f t="shared" si="39"/>
        <v>Summer</v>
      </c>
    </row>
    <row r="1277" spans="1:12" x14ac:dyDescent="0.25">
      <c r="A1277">
        <v>1276</v>
      </c>
      <c r="B1277">
        <v>1180</v>
      </c>
      <c r="C1277">
        <v>1283</v>
      </c>
      <c r="D1277" s="1">
        <v>45691</v>
      </c>
      <c r="E1277" t="s">
        <v>24</v>
      </c>
      <c r="F1277" t="s">
        <v>321</v>
      </c>
      <c r="G1277" t="str">
        <f>_xlfn.XLOOKUP(TRIM(E1278),MedicineInfo!A:A,MedicineInfo!B:B,"Not Found")</f>
        <v>Multivitamin</v>
      </c>
      <c r="H1277" s="1" t="str" cm="1">
        <f t="array" ref="H1277">_xlfn.IFS(
OR(E1277="Type 2 Diabetes",E1277="Essential Hypertension",E1277="Angina Pectoris",E1277="Bronchial Asthma",E1277="Cardiac Arrhythmia"), D1277+30,
OR(E1277="Gastritis",E1277="Osteoarthritis",E1277="Bronchitis",E1277="Iron Deficiency Anemia"), D1277+14,
OR(E1277="Lumbar Strain",E1277="Migraine Headache"), D1277+7,
OR(E1277="Viral Fever",E1277="General Checkup","Routine Health Check"), "",
TRUE,""
)</f>
        <v/>
      </c>
      <c r="I1277" s="1" t="str">
        <f t="shared" si="38"/>
        <v>No Follow-up Required</v>
      </c>
      <c r="J1277" t="str">
        <f>TEXT(Table8[[#This Row],[visit_Date]],"DDDD")</f>
        <v>Monday</v>
      </c>
      <c r="K1277" t="str">
        <f>TEXT(Table8[[#This Row],[visit_Date]],"mmmm")</f>
        <v>February</v>
      </c>
      <c r="L1277" t="str">
        <f t="shared" si="39"/>
        <v>Winter</v>
      </c>
    </row>
    <row r="1278" spans="1:12" x14ac:dyDescent="0.25">
      <c r="A1278">
        <v>1277</v>
      </c>
      <c r="B1278">
        <v>1077</v>
      </c>
      <c r="C1278">
        <v>1376</v>
      </c>
      <c r="D1278" s="1">
        <v>45777</v>
      </c>
      <c r="E1278" t="s">
        <v>24</v>
      </c>
      <c r="F1278" t="s">
        <v>321</v>
      </c>
      <c r="G1278" t="str">
        <f>_xlfn.XLOOKUP(TRIM(E1279),MedicineInfo!A:A,MedicineInfo!B:B,"Not Found")</f>
        <v>Multivitamin</v>
      </c>
      <c r="H1278" s="1" t="str" cm="1">
        <f t="array" ref="H1278">_xlfn.IFS(
OR(E1278="Type 2 Diabetes",E1278="Essential Hypertension",E1278="Angina Pectoris",E1278="Bronchial Asthma",E1278="Cardiac Arrhythmia"), D1278+30,
OR(E1278="Gastritis",E1278="Osteoarthritis",E1278="Bronchitis",E1278="Iron Deficiency Anemia"), D1278+14,
OR(E1278="Lumbar Strain",E1278="Migraine Headache"), D1278+7,
OR(E1278="Viral Fever",E1278="General Checkup","Routine Health Check"), "",
TRUE,""
)</f>
        <v/>
      </c>
      <c r="I1278" s="1" t="str">
        <f t="shared" si="38"/>
        <v>No Follow-up Required</v>
      </c>
      <c r="J1278" t="str">
        <f>TEXT(Table8[[#This Row],[visit_Date]],"DDDD")</f>
        <v>Wednesday</v>
      </c>
      <c r="K1278" t="str">
        <f>TEXT(Table8[[#This Row],[visit_Date]],"mmmm")</f>
        <v>April</v>
      </c>
      <c r="L1278" t="str">
        <f t="shared" si="39"/>
        <v>Summer</v>
      </c>
    </row>
    <row r="1279" spans="1:12" x14ac:dyDescent="0.25">
      <c r="A1279">
        <v>1278</v>
      </c>
      <c r="B1279">
        <v>1071</v>
      </c>
      <c r="C1279">
        <v>772</v>
      </c>
      <c r="D1279" s="1">
        <v>45778</v>
      </c>
      <c r="E1279" t="s">
        <v>24</v>
      </c>
      <c r="F1279" t="s">
        <v>321</v>
      </c>
      <c r="G1279" t="str">
        <f>_xlfn.XLOOKUP(TRIM(E1280),MedicineInfo!A:A,MedicineInfo!B:B,"Not Found")</f>
        <v>Multivitamin</v>
      </c>
      <c r="H1279" s="1" t="str" cm="1">
        <f t="array" ref="H1279">_xlfn.IFS(
OR(E1279="Type 2 Diabetes",E1279="Essential Hypertension",E1279="Angina Pectoris",E1279="Bronchial Asthma",E1279="Cardiac Arrhythmia"), D1279+30,
OR(E1279="Gastritis",E1279="Osteoarthritis",E1279="Bronchitis",E1279="Iron Deficiency Anemia"), D1279+14,
OR(E1279="Lumbar Strain",E1279="Migraine Headache"), D1279+7,
OR(E1279="Viral Fever",E1279="General Checkup","Routine Health Check"), "",
TRUE,""
)</f>
        <v/>
      </c>
      <c r="I1279" s="1" t="str">
        <f t="shared" si="38"/>
        <v>No Follow-up Required</v>
      </c>
      <c r="J1279" t="str">
        <f>TEXT(Table8[[#This Row],[visit_Date]],"DDDD")</f>
        <v>Thursday</v>
      </c>
      <c r="K1279" t="str">
        <f>TEXT(Table8[[#This Row],[visit_Date]],"mmmm")</f>
        <v>May</v>
      </c>
      <c r="L1279" t="str">
        <f t="shared" si="39"/>
        <v>Summer</v>
      </c>
    </row>
    <row r="1280" spans="1:12" x14ac:dyDescent="0.25">
      <c r="A1280">
        <v>1279</v>
      </c>
      <c r="B1280">
        <v>1149</v>
      </c>
      <c r="C1280">
        <v>883</v>
      </c>
      <c r="D1280" s="1">
        <v>45694</v>
      </c>
      <c r="E1280" t="s">
        <v>24</v>
      </c>
      <c r="F1280" t="s">
        <v>321</v>
      </c>
      <c r="G1280" t="str">
        <f>_xlfn.XLOOKUP(TRIM(E1281),MedicineInfo!A:A,MedicineInfo!B:B,"Not Found")</f>
        <v>Multivitamin</v>
      </c>
      <c r="H1280" s="1" t="str" cm="1">
        <f t="array" ref="H1280">_xlfn.IFS(
OR(E1280="Type 2 Diabetes",E1280="Essential Hypertension",E1280="Angina Pectoris",E1280="Bronchial Asthma",E1280="Cardiac Arrhythmia"), D1280+30,
OR(E1280="Gastritis",E1280="Osteoarthritis",E1280="Bronchitis",E1280="Iron Deficiency Anemia"), D1280+14,
OR(E1280="Lumbar Strain",E1280="Migraine Headache"), D1280+7,
OR(E1280="Viral Fever",E1280="General Checkup","Routine Health Check"), "",
TRUE,""
)</f>
        <v/>
      </c>
      <c r="I1280" s="1" t="str">
        <f t="shared" si="38"/>
        <v>No Follow-up Required</v>
      </c>
      <c r="J1280" t="str">
        <f>TEXT(Table8[[#This Row],[visit_Date]],"DDDD")</f>
        <v>Thursday</v>
      </c>
      <c r="K1280" t="str">
        <f>TEXT(Table8[[#This Row],[visit_Date]],"mmmm")</f>
        <v>February</v>
      </c>
      <c r="L1280" t="str">
        <f t="shared" si="39"/>
        <v>Winter</v>
      </c>
    </row>
    <row r="1281" spans="1:12" x14ac:dyDescent="0.25">
      <c r="A1281">
        <v>1280</v>
      </c>
      <c r="B1281">
        <v>1142</v>
      </c>
      <c r="C1281">
        <v>407</v>
      </c>
      <c r="D1281" s="1">
        <v>45747</v>
      </c>
      <c r="E1281" t="s">
        <v>24</v>
      </c>
      <c r="F1281" t="s">
        <v>321</v>
      </c>
      <c r="G1281" t="str">
        <f>_xlfn.XLOOKUP(TRIM(E1282),MedicineInfo!A:A,MedicineInfo!B:B,"Not Found")</f>
        <v>Multivitamin</v>
      </c>
      <c r="H1281" s="1" t="str" cm="1">
        <f t="array" ref="H1281">_xlfn.IFS(
OR(E1281="Type 2 Diabetes",E1281="Essential Hypertension",E1281="Angina Pectoris",E1281="Bronchial Asthma",E1281="Cardiac Arrhythmia"), D1281+30,
OR(E1281="Gastritis",E1281="Osteoarthritis",E1281="Bronchitis",E1281="Iron Deficiency Anemia"), D1281+14,
OR(E1281="Lumbar Strain",E1281="Migraine Headache"), D1281+7,
OR(E1281="Viral Fever",E1281="General Checkup","Routine Health Check"), "",
TRUE,""
)</f>
        <v/>
      </c>
      <c r="I1281" s="1" t="str">
        <f t="shared" si="38"/>
        <v>No Follow-up Required</v>
      </c>
      <c r="J1281" t="str">
        <f>TEXT(Table8[[#This Row],[visit_Date]],"DDDD")</f>
        <v>Monday</v>
      </c>
      <c r="K1281" t="str">
        <f>TEXT(Table8[[#This Row],[visit_Date]],"mmmm")</f>
        <v>March</v>
      </c>
      <c r="L1281" t="str">
        <f t="shared" si="39"/>
        <v>Summer</v>
      </c>
    </row>
    <row r="1282" spans="1:12" x14ac:dyDescent="0.25">
      <c r="A1282">
        <v>1281</v>
      </c>
      <c r="B1282">
        <v>1127</v>
      </c>
      <c r="C1282">
        <v>371</v>
      </c>
      <c r="D1282" s="1">
        <v>45747</v>
      </c>
      <c r="E1282" t="s">
        <v>24</v>
      </c>
      <c r="F1282" t="s">
        <v>321</v>
      </c>
      <c r="G1282" t="str">
        <f>_xlfn.XLOOKUP(TRIM(E1283),MedicineInfo!A:A,MedicineInfo!B:B,"Not Found")</f>
        <v>Multivitamin</v>
      </c>
      <c r="H1282" s="1" t="str" cm="1">
        <f t="array" ref="H1282">_xlfn.IFS(
OR(E1282="Type 2 Diabetes",E1282="Essential Hypertension",E1282="Angina Pectoris",E1282="Bronchial Asthma",E1282="Cardiac Arrhythmia"), D1282+30,
OR(E1282="Gastritis",E1282="Osteoarthritis",E1282="Bronchitis",E1282="Iron Deficiency Anemia"), D1282+14,
OR(E1282="Lumbar Strain",E1282="Migraine Headache"), D1282+7,
OR(E1282="Viral Fever",E1282="General Checkup","Routine Health Check"), "",
TRUE,""
)</f>
        <v/>
      </c>
      <c r="I1282" s="1" t="str">
        <f t="shared" ref="I1282:I1345" si="40">IF(H1282="","No Follow-up Required","Follow-up Scheduled")</f>
        <v>No Follow-up Required</v>
      </c>
      <c r="J1282" t="str">
        <f>TEXT(Table8[[#This Row],[visit_Date]],"DDDD")</f>
        <v>Monday</v>
      </c>
      <c r="K1282" t="str">
        <f>TEXT(Table8[[#This Row],[visit_Date]],"mmmm")</f>
        <v>March</v>
      </c>
      <c r="L1282" t="str">
        <f t="shared" ref="L1282:L1345" si="41">IF(OR(MONTH(D1282)=12,MONTH(D1282)&lt;=2),"Winter",
IF(MONTH(D1282)&lt;=5,"Summer","Monsoon"))</f>
        <v>Summer</v>
      </c>
    </row>
    <row r="1283" spans="1:12" x14ac:dyDescent="0.25">
      <c r="A1283">
        <v>1282</v>
      </c>
      <c r="B1283">
        <v>1220</v>
      </c>
      <c r="C1283">
        <v>223</v>
      </c>
      <c r="D1283" s="1">
        <v>45691</v>
      </c>
      <c r="E1283" t="s">
        <v>24</v>
      </c>
      <c r="F1283" t="s">
        <v>321</v>
      </c>
      <c r="G1283" t="str">
        <f>_xlfn.XLOOKUP(TRIM(E1284),MedicineInfo!A:A,MedicineInfo!B:B,"Not Found")</f>
        <v>Multivitamin</v>
      </c>
      <c r="H1283" s="1" t="str" cm="1">
        <f t="array" ref="H1283">_xlfn.IFS(
OR(E1283="Type 2 Diabetes",E1283="Essential Hypertension",E1283="Angina Pectoris",E1283="Bronchial Asthma",E1283="Cardiac Arrhythmia"), D1283+30,
OR(E1283="Gastritis",E1283="Osteoarthritis",E1283="Bronchitis",E1283="Iron Deficiency Anemia"), D1283+14,
OR(E1283="Lumbar Strain",E1283="Migraine Headache"), D1283+7,
OR(E1283="Viral Fever",E1283="General Checkup","Routine Health Check"), "",
TRUE,""
)</f>
        <v/>
      </c>
      <c r="I1283" s="1" t="str">
        <f t="shared" si="40"/>
        <v>No Follow-up Required</v>
      </c>
      <c r="J1283" t="str">
        <f>TEXT(Table8[[#This Row],[visit_Date]],"DDDD")</f>
        <v>Monday</v>
      </c>
      <c r="K1283" t="str">
        <f>TEXT(Table8[[#This Row],[visit_Date]],"mmmm")</f>
        <v>February</v>
      </c>
      <c r="L1283" t="str">
        <f t="shared" si="41"/>
        <v>Winter</v>
      </c>
    </row>
    <row r="1284" spans="1:12" x14ac:dyDescent="0.25">
      <c r="A1284">
        <v>1283</v>
      </c>
      <c r="B1284">
        <v>1354</v>
      </c>
      <c r="C1284">
        <v>868</v>
      </c>
      <c r="D1284" s="1">
        <v>45743</v>
      </c>
      <c r="E1284" t="s">
        <v>24</v>
      </c>
      <c r="F1284" t="s">
        <v>321</v>
      </c>
      <c r="G1284" t="str">
        <f>_xlfn.XLOOKUP(TRIM(E1285),MedicineInfo!A:A,MedicineInfo!B:B,"Not Found")</f>
        <v>Multivitamin</v>
      </c>
      <c r="H1284" s="1" t="str" cm="1">
        <f t="array" ref="H1284">_xlfn.IFS(
OR(E1284="Type 2 Diabetes",E1284="Essential Hypertension",E1284="Angina Pectoris",E1284="Bronchial Asthma",E1284="Cardiac Arrhythmia"), D1284+30,
OR(E1284="Gastritis",E1284="Osteoarthritis",E1284="Bronchitis",E1284="Iron Deficiency Anemia"), D1284+14,
OR(E1284="Lumbar Strain",E1284="Migraine Headache"), D1284+7,
OR(E1284="Viral Fever",E1284="General Checkup","Routine Health Check"), "",
TRUE,""
)</f>
        <v/>
      </c>
      <c r="I1284" s="1" t="str">
        <f t="shared" si="40"/>
        <v>No Follow-up Required</v>
      </c>
      <c r="J1284" t="str">
        <f>TEXT(Table8[[#This Row],[visit_Date]],"DDDD")</f>
        <v>Thursday</v>
      </c>
      <c r="K1284" t="str">
        <f>TEXT(Table8[[#This Row],[visit_Date]],"mmmm")</f>
        <v>March</v>
      </c>
      <c r="L1284" t="str">
        <f t="shared" si="41"/>
        <v>Summer</v>
      </c>
    </row>
    <row r="1285" spans="1:12" x14ac:dyDescent="0.25">
      <c r="A1285">
        <v>1284</v>
      </c>
      <c r="B1285">
        <v>1168</v>
      </c>
      <c r="C1285">
        <v>1386</v>
      </c>
      <c r="D1285" s="1">
        <v>45732</v>
      </c>
      <c r="E1285" t="s">
        <v>24</v>
      </c>
      <c r="F1285" t="s">
        <v>321</v>
      </c>
      <c r="G1285" t="str">
        <f>_xlfn.XLOOKUP(TRIM(E1286),MedicineInfo!A:A,MedicineInfo!B:B,"Not Found")</f>
        <v>Multivitamin</v>
      </c>
      <c r="H1285" s="1" t="str" cm="1">
        <f t="array" ref="H1285">_xlfn.IFS(
OR(E1285="Type 2 Diabetes",E1285="Essential Hypertension",E1285="Angina Pectoris",E1285="Bronchial Asthma",E1285="Cardiac Arrhythmia"), D1285+30,
OR(E1285="Gastritis",E1285="Osteoarthritis",E1285="Bronchitis",E1285="Iron Deficiency Anemia"), D1285+14,
OR(E1285="Lumbar Strain",E1285="Migraine Headache"), D1285+7,
OR(E1285="Viral Fever",E1285="General Checkup","Routine Health Check"), "",
TRUE,""
)</f>
        <v/>
      </c>
      <c r="I1285" s="1" t="str">
        <f t="shared" si="40"/>
        <v>No Follow-up Required</v>
      </c>
      <c r="J1285" t="str">
        <f>TEXT(Table8[[#This Row],[visit_Date]],"DDDD")</f>
        <v>Sunday</v>
      </c>
      <c r="K1285" t="str">
        <f>TEXT(Table8[[#This Row],[visit_Date]],"mmmm")</f>
        <v>March</v>
      </c>
      <c r="L1285" t="str">
        <f t="shared" si="41"/>
        <v>Summer</v>
      </c>
    </row>
    <row r="1286" spans="1:12" x14ac:dyDescent="0.25">
      <c r="A1286">
        <v>1285</v>
      </c>
      <c r="B1286">
        <v>1196</v>
      </c>
      <c r="C1286">
        <v>489</v>
      </c>
      <c r="D1286" s="1">
        <v>45744</v>
      </c>
      <c r="E1286" t="s">
        <v>24</v>
      </c>
      <c r="F1286" t="s">
        <v>321</v>
      </c>
      <c r="G1286" t="str">
        <f>_xlfn.XLOOKUP(TRIM(E1287),MedicineInfo!A:A,MedicineInfo!B:B,"Not Found")</f>
        <v>Multivitamin</v>
      </c>
      <c r="H1286" s="1" t="str" cm="1">
        <f t="array" ref="H1286">_xlfn.IFS(
OR(E1286="Type 2 Diabetes",E1286="Essential Hypertension",E1286="Angina Pectoris",E1286="Bronchial Asthma",E1286="Cardiac Arrhythmia"), D1286+30,
OR(E1286="Gastritis",E1286="Osteoarthritis",E1286="Bronchitis",E1286="Iron Deficiency Anemia"), D1286+14,
OR(E1286="Lumbar Strain",E1286="Migraine Headache"), D1286+7,
OR(E1286="Viral Fever",E1286="General Checkup","Routine Health Check"), "",
TRUE,""
)</f>
        <v/>
      </c>
      <c r="I1286" s="1" t="str">
        <f t="shared" si="40"/>
        <v>No Follow-up Required</v>
      </c>
      <c r="J1286" t="str">
        <f>TEXT(Table8[[#This Row],[visit_Date]],"DDDD")</f>
        <v>Friday</v>
      </c>
      <c r="K1286" t="str">
        <f>TEXT(Table8[[#This Row],[visit_Date]],"mmmm")</f>
        <v>March</v>
      </c>
      <c r="L1286" t="str">
        <f t="shared" si="41"/>
        <v>Summer</v>
      </c>
    </row>
    <row r="1287" spans="1:12" x14ac:dyDescent="0.25">
      <c r="A1287">
        <v>1286</v>
      </c>
      <c r="B1287">
        <v>1362</v>
      </c>
      <c r="C1287">
        <v>1318</v>
      </c>
      <c r="D1287" s="1">
        <v>45837</v>
      </c>
      <c r="E1287" t="s">
        <v>24</v>
      </c>
      <c r="F1287" t="s">
        <v>321</v>
      </c>
      <c r="G1287" t="str">
        <f>_xlfn.XLOOKUP(TRIM(E1288),MedicineInfo!A:A,MedicineInfo!B:B,"Not Found")</f>
        <v>Escitalopram</v>
      </c>
      <c r="H1287" s="1" t="str" cm="1">
        <f t="array" ref="H1287">_xlfn.IFS(
OR(E1287="Type 2 Diabetes",E1287="Essential Hypertension",E1287="Angina Pectoris",E1287="Bronchial Asthma",E1287="Cardiac Arrhythmia"), D1287+30,
OR(E1287="Gastritis",E1287="Osteoarthritis",E1287="Bronchitis",E1287="Iron Deficiency Anemia"), D1287+14,
OR(E1287="Lumbar Strain",E1287="Migraine Headache"), D1287+7,
OR(E1287="Viral Fever",E1287="General Checkup","Routine Health Check"), "",
TRUE,""
)</f>
        <v/>
      </c>
      <c r="I1287" s="1" t="str">
        <f t="shared" si="40"/>
        <v>No Follow-up Required</v>
      </c>
      <c r="J1287" t="str">
        <f>TEXT(Table8[[#This Row],[visit_Date]],"DDDD")</f>
        <v>Sunday</v>
      </c>
      <c r="K1287" t="str">
        <f>TEXT(Table8[[#This Row],[visit_Date]],"mmmm")</f>
        <v>June</v>
      </c>
      <c r="L1287" t="str">
        <f t="shared" si="41"/>
        <v>Monsoon</v>
      </c>
    </row>
    <row r="1288" spans="1:12" x14ac:dyDescent="0.25">
      <c r="A1288">
        <v>1287</v>
      </c>
      <c r="B1288">
        <v>1109</v>
      </c>
      <c r="C1288">
        <v>455</v>
      </c>
      <c r="D1288" s="1">
        <v>45758</v>
      </c>
      <c r="E1288" t="s">
        <v>328</v>
      </c>
      <c r="F1288" t="s">
        <v>329</v>
      </c>
      <c r="G1288" t="str">
        <f>_xlfn.XLOOKUP(TRIM(E1289),MedicineInfo!A:A,MedicineInfo!B:B,"Not Found")</f>
        <v>Multivitamin</v>
      </c>
      <c r="H1288" s="1" t="str" cm="1">
        <f t="array" ref="H1288">_xlfn.IFS(
OR(E1288="Type 2 Diabetes",E1288="Essential Hypertension",E1288="Angina Pectoris",E1288="Bronchial Asthma",E1288="Cardiac Arrhythmia"), D1288+30,
OR(E1288="Gastritis",E1288="Osteoarthritis",E1288="Bronchitis",E1288="Iron Deficiency Anemia"), D1288+14,
OR(E1288="Lumbar Strain",E1288="Migraine Headache"), D1288+7,
OR(E1288="Viral Fever",E1288="General Checkup","Routine Health Check"), "",
TRUE,""
)</f>
        <v/>
      </c>
      <c r="I1288" s="1" t="str">
        <f t="shared" si="40"/>
        <v>No Follow-up Required</v>
      </c>
      <c r="J1288" t="str">
        <f>TEXT(Table8[[#This Row],[visit_Date]],"DDDD")</f>
        <v>Friday</v>
      </c>
      <c r="K1288" t="str">
        <f>TEXT(Table8[[#This Row],[visit_Date]],"mmmm")</f>
        <v>April</v>
      </c>
      <c r="L1288" t="str">
        <f t="shared" si="41"/>
        <v>Summer</v>
      </c>
    </row>
    <row r="1289" spans="1:12" x14ac:dyDescent="0.25">
      <c r="A1289">
        <v>1288</v>
      </c>
      <c r="B1289">
        <v>1049</v>
      </c>
      <c r="C1289">
        <v>357</v>
      </c>
      <c r="D1289" s="1">
        <v>45730</v>
      </c>
      <c r="E1289" t="s">
        <v>24</v>
      </c>
      <c r="F1289" t="s">
        <v>321</v>
      </c>
      <c r="G1289" t="str">
        <f>_xlfn.XLOOKUP(TRIM(E1290),MedicineInfo!A:A,MedicineInfo!B:B,"Not Found")</f>
        <v>Aceclofenac</v>
      </c>
      <c r="H1289" s="1" t="str" cm="1">
        <f t="array" ref="H1289">_xlfn.IFS(
OR(E1289="Type 2 Diabetes",E1289="Essential Hypertension",E1289="Angina Pectoris",E1289="Bronchial Asthma",E1289="Cardiac Arrhythmia"), D1289+30,
OR(E1289="Gastritis",E1289="Osteoarthritis",E1289="Bronchitis",E1289="Iron Deficiency Anemia"), D1289+14,
OR(E1289="Lumbar Strain",E1289="Migraine Headache"), D1289+7,
OR(E1289="Viral Fever",E1289="General Checkup","Routine Health Check"), "",
TRUE,""
)</f>
        <v/>
      </c>
      <c r="I1289" s="1" t="str">
        <f t="shared" si="40"/>
        <v>No Follow-up Required</v>
      </c>
      <c r="J1289" t="str">
        <f>TEXT(Table8[[#This Row],[visit_Date]],"DDDD")</f>
        <v>Friday</v>
      </c>
      <c r="K1289" t="str">
        <f>TEXT(Table8[[#This Row],[visit_Date]],"mmmm")</f>
        <v>March</v>
      </c>
      <c r="L1289" t="str">
        <f t="shared" si="41"/>
        <v>Summer</v>
      </c>
    </row>
    <row r="1290" spans="1:12" x14ac:dyDescent="0.25">
      <c r="A1290">
        <v>1289</v>
      </c>
      <c r="B1290">
        <v>1301</v>
      </c>
      <c r="C1290">
        <v>106</v>
      </c>
      <c r="D1290" s="1">
        <v>45691</v>
      </c>
      <c r="E1290" t="s">
        <v>348</v>
      </c>
      <c r="F1290" t="s">
        <v>349</v>
      </c>
      <c r="G1290" t="str">
        <f>_xlfn.XLOOKUP(TRIM(E1291),MedicineInfo!A:A,MedicineInfo!B:B,"Not Found")</f>
        <v>Cefixime</v>
      </c>
      <c r="H1290" s="1" cm="1">
        <f t="array" ref="H1290">_xlfn.IFS(
OR(E1290="Type 2 Diabetes",E1290="Essential Hypertension",E1290="Angina Pectoris",E1290="Bronchial Asthma",E1290="Cardiac Arrhythmia"), D1290+30,
OR(E1290="Gastritis",E1290="Osteoarthritis",E1290="Bronchitis",E1290="Iron Deficiency Anemia"), D1290+14,
OR(E1290="Lumbar Strain",E1290="Migraine Headache"), D1290+7,
OR(E1290="Viral Fever",E1290="General Checkup","Routine Health Check"), "",
TRUE,""
)</f>
        <v>45705</v>
      </c>
      <c r="I1290" s="1" t="str">
        <f t="shared" si="40"/>
        <v>Follow-up Scheduled</v>
      </c>
      <c r="J1290" t="str">
        <f>TEXT(Table8[[#This Row],[visit_Date]],"DDDD")</f>
        <v>Monday</v>
      </c>
      <c r="K1290" t="str">
        <f>TEXT(Table8[[#This Row],[visit_Date]],"mmmm")</f>
        <v>February</v>
      </c>
      <c r="L1290" t="str">
        <f t="shared" si="41"/>
        <v>Winter</v>
      </c>
    </row>
    <row r="1291" spans="1:12" x14ac:dyDescent="0.25">
      <c r="A1291">
        <v>1290</v>
      </c>
      <c r="B1291">
        <v>1223</v>
      </c>
      <c r="C1291">
        <v>1063</v>
      </c>
      <c r="D1291" s="1">
        <v>45826</v>
      </c>
      <c r="E1291" t="s">
        <v>354</v>
      </c>
      <c r="F1291" t="s">
        <v>355</v>
      </c>
      <c r="G1291" t="str">
        <f>_xlfn.XLOOKUP(TRIM(E1292),MedicineInfo!A:A,MedicineInfo!B:B,"Not Found")</f>
        <v>Multivitamin</v>
      </c>
      <c r="H1291" s="1" t="str" cm="1">
        <f t="array" ref="H1291">_xlfn.IFS(
OR(E1291="Type 2 Diabetes",E1291="Essential Hypertension",E1291="Angina Pectoris",E1291="Bronchial Asthma",E1291="Cardiac Arrhythmia"), D1291+30,
OR(E1291="Gastritis",E1291="Osteoarthritis",E1291="Bronchitis",E1291="Iron Deficiency Anemia"), D1291+14,
OR(E1291="Lumbar Strain",E1291="Migraine Headache"), D1291+7,
OR(E1291="Viral Fever",E1291="General Checkup","Routine Health Check"), "",
TRUE,""
)</f>
        <v/>
      </c>
      <c r="I1291" s="1" t="str">
        <f t="shared" si="40"/>
        <v>No Follow-up Required</v>
      </c>
      <c r="J1291" t="str">
        <f>TEXT(Table8[[#This Row],[visit_Date]],"DDDD")</f>
        <v>Wednesday</v>
      </c>
      <c r="K1291" t="str">
        <f>TEXT(Table8[[#This Row],[visit_Date]],"mmmm")</f>
        <v>June</v>
      </c>
      <c r="L1291" t="str">
        <f t="shared" si="41"/>
        <v>Monsoon</v>
      </c>
    </row>
    <row r="1292" spans="1:12" x14ac:dyDescent="0.25">
      <c r="A1292">
        <v>1291</v>
      </c>
      <c r="B1292">
        <v>1166</v>
      </c>
      <c r="C1292">
        <v>609</v>
      </c>
      <c r="D1292" s="1">
        <v>45791</v>
      </c>
      <c r="E1292" t="s">
        <v>24</v>
      </c>
      <c r="F1292" t="s">
        <v>321</v>
      </c>
      <c r="G1292" t="str">
        <f>_xlfn.XLOOKUP(TRIM(E1293),MedicineInfo!A:A,MedicineInfo!B:B,"Not Found")</f>
        <v>Multivitamin</v>
      </c>
      <c r="H1292" s="1" t="str" cm="1">
        <f t="array" ref="H1292">_xlfn.IFS(
OR(E1292="Type 2 Diabetes",E1292="Essential Hypertension",E1292="Angina Pectoris",E1292="Bronchial Asthma",E1292="Cardiac Arrhythmia"), D1292+30,
OR(E1292="Gastritis",E1292="Osteoarthritis",E1292="Bronchitis",E1292="Iron Deficiency Anemia"), D1292+14,
OR(E1292="Lumbar Strain",E1292="Migraine Headache"), D1292+7,
OR(E1292="Viral Fever",E1292="General Checkup","Routine Health Check"), "",
TRUE,""
)</f>
        <v/>
      </c>
      <c r="I1292" s="1" t="str">
        <f t="shared" si="40"/>
        <v>No Follow-up Required</v>
      </c>
      <c r="J1292" t="str">
        <f>TEXT(Table8[[#This Row],[visit_Date]],"DDDD")</f>
        <v>Wednesday</v>
      </c>
      <c r="K1292" t="str">
        <f>TEXT(Table8[[#This Row],[visit_Date]],"mmmm")</f>
        <v>May</v>
      </c>
      <c r="L1292" t="str">
        <f t="shared" si="41"/>
        <v>Summer</v>
      </c>
    </row>
    <row r="1293" spans="1:12" x14ac:dyDescent="0.25">
      <c r="A1293">
        <v>1292</v>
      </c>
      <c r="B1293">
        <v>1383</v>
      </c>
      <c r="C1293">
        <v>119</v>
      </c>
      <c r="D1293" s="1">
        <v>45700</v>
      </c>
      <c r="E1293" t="s">
        <v>24</v>
      </c>
      <c r="F1293" t="s">
        <v>321</v>
      </c>
      <c r="G1293" t="str">
        <f>_xlfn.XLOOKUP(TRIM(E1294),MedicineInfo!A:A,MedicineInfo!B:B,"Not Found")</f>
        <v>Multivitamin</v>
      </c>
      <c r="H1293" s="1" t="str" cm="1">
        <f t="array" ref="H1293">_xlfn.IFS(
OR(E1293="Type 2 Diabetes",E1293="Essential Hypertension",E1293="Angina Pectoris",E1293="Bronchial Asthma",E1293="Cardiac Arrhythmia"), D1293+30,
OR(E1293="Gastritis",E1293="Osteoarthritis",E1293="Bronchitis",E1293="Iron Deficiency Anemia"), D1293+14,
OR(E1293="Lumbar Strain",E1293="Migraine Headache"), D1293+7,
OR(E1293="Viral Fever",E1293="General Checkup","Routine Health Check"), "",
TRUE,""
)</f>
        <v/>
      </c>
      <c r="I1293" s="1" t="str">
        <f t="shared" si="40"/>
        <v>No Follow-up Required</v>
      </c>
      <c r="J1293" t="str">
        <f>TEXT(Table8[[#This Row],[visit_Date]],"DDDD")</f>
        <v>Wednesday</v>
      </c>
      <c r="K1293" t="str">
        <f>TEXT(Table8[[#This Row],[visit_Date]],"mmmm")</f>
        <v>February</v>
      </c>
      <c r="L1293" t="str">
        <f t="shared" si="41"/>
        <v>Winter</v>
      </c>
    </row>
    <row r="1294" spans="1:12" x14ac:dyDescent="0.25">
      <c r="A1294">
        <v>1293</v>
      </c>
      <c r="B1294">
        <v>1382</v>
      </c>
      <c r="C1294">
        <v>863</v>
      </c>
      <c r="D1294" s="1">
        <v>45819</v>
      </c>
      <c r="E1294" t="s">
        <v>24</v>
      </c>
      <c r="F1294" t="s">
        <v>321</v>
      </c>
      <c r="G1294" t="str">
        <f>_xlfn.XLOOKUP(TRIM(E1295),MedicineInfo!A:A,MedicineInfo!B:B,"Not Found")</f>
        <v>Hydrocortisone Cream</v>
      </c>
      <c r="H1294" s="1" t="str" cm="1">
        <f t="array" ref="H1294">_xlfn.IFS(
OR(E1294="Type 2 Diabetes",E1294="Essential Hypertension",E1294="Angina Pectoris",E1294="Bronchial Asthma",E1294="Cardiac Arrhythmia"), D1294+30,
OR(E1294="Gastritis",E1294="Osteoarthritis",E1294="Bronchitis",E1294="Iron Deficiency Anemia"), D1294+14,
OR(E1294="Lumbar Strain",E1294="Migraine Headache"), D1294+7,
OR(E1294="Viral Fever",E1294="General Checkup","Routine Health Check"), "",
TRUE,""
)</f>
        <v/>
      </c>
      <c r="I1294" s="1" t="str">
        <f t="shared" si="40"/>
        <v>No Follow-up Required</v>
      </c>
      <c r="J1294" t="str">
        <f>TEXT(Table8[[#This Row],[visit_Date]],"DDDD")</f>
        <v>Wednesday</v>
      </c>
      <c r="K1294" t="str">
        <f>TEXT(Table8[[#This Row],[visit_Date]],"mmmm")</f>
        <v>June</v>
      </c>
      <c r="L1294" t="str">
        <f t="shared" si="41"/>
        <v>Monsoon</v>
      </c>
    </row>
    <row r="1295" spans="1:12" x14ac:dyDescent="0.25">
      <c r="A1295">
        <v>1294</v>
      </c>
      <c r="B1295">
        <v>1144</v>
      </c>
      <c r="C1295">
        <v>1343</v>
      </c>
      <c r="D1295" s="1">
        <v>45686</v>
      </c>
      <c r="E1295" t="s">
        <v>338</v>
      </c>
      <c r="F1295" t="s">
        <v>339</v>
      </c>
      <c r="G1295" t="str">
        <f>_xlfn.XLOOKUP(TRIM(E1296),MedicineInfo!A:A,MedicineInfo!B:B,"Not Found")</f>
        <v>Multivitamin</v>
      </c>
      <c r="H1295" s="1" t="str" cm="1">
        <f t="array" ref="H1295">_xlfn.IFS(
OR(E1295="Type 2 Diabetes",E1295="Essential Hypertension",E1295="Angina Pectoris",E1295="Bronchial Asthma",E1295="Cardiac Arrhythmia"), D1295+30,
OR(E1295="Gastritis",E1295="Osteoarthritis",E1295="Bronchitis",E1295="Iron Deficiency Anemia"), D1295+14,
OR(E1295="Lumbar Strain",E1295="Migraine Headache"), D1295+7,
OR(E1295="Viral Fever",E1295="General Checkup","Routine Health Check"), "",
TRUE,""
)</f>
        <v/>
      </c>
      <c r="I1295" s="1" t="str">
        <f t="shared" si="40"/>
        <v>No Follow-up Required</v>
      </c>
      <c r="J1295" t="str">
        <f>TEXT(Table8[[#This Row],[visit_Date]],"DDDD")</f>
        <v>Wednesday</v>
      </c>
      <c r="K1295" t="str">
        <f>TEXT(Table8[[#This Row],[visit_Date]],"mmmm")</f>
        <v>January</v>
      </c>
      <c r="L1295" t="str">
        <f t="shared" si="41"/>
        <v>Winter</v>
      </c>
    </row>
    <row r="1296" spans="1:12" x14ac:dyDescent="0.25">
      <c r="A1296">
        <v>1295</v>
      </c>
      <c r="B1296">
        <v>1010</v>
      </c>
      <c r="C1296">
        <v>288</v>
      </c>
      <c r="D1296" s="1">
        <v>45790</v>
      </c>
      <c r="E1296" t="s">
        <v>24</v>
      </c>
      <c r="F1296" t="s">
        <v>321</v>
      </c>
      <c r="G1296" t="str">
        <f>_xlfn.XLOOKUP(TRIM(E1297),MedicineInfo!A:A,MedicineInfo!B:B,"Not Found")</f>
        <v>Multivitamin</v>
      </c>
      <c r="H1296" s="1" t="str" cm="1">
        <f t="array" ref="H1296">_xlfn.IFS(
OR(E1296="Type 2 Diabetes",E1296="Essential Hypertension",E1296="Angina Pectoris",E1296="Bronchial Asthma",E1296="Cardiac Arrhythmia"), D1296+30,
OR(E1296="Gastritis",E1296="Osteoarthritis",E1296="Bronchitis",E1296="Iron Deficiency Anemia"), D1296+14,
OR(E1296="Lumbar Strain",E1296="Migraine Headache"), D1296+7,
OR(E1296="Viral Fever",E1296="General Checkup","Routine Health Check"), "",
TRUE,""
)</f>
        <v/>
      </c>
      <c r="I1296" s="1" t="str">
        <f t="shared" si="40"/>
        <v>No Follow-up Required</v>
      </c>
      <c r="J1296" t="str">
        <f>TEXT(Table8[[#This Row],[visit_Date]],"DDDD")</f>
        <v>Tuesday</v>
      </c>
      <c r="K1296" t="str">
        <f>TEXT(Table8[[#This Row],[visit_Date]],"mmmm")</f>
        <v>May</v>
      </c>
      <c r="L1296" t="str">
        <f t="shared" si="41"/>
        <v>Summer</v>
      </c>
    </row>
    <row r="1297" spans="1:12" x14ac:dyDescent="0.25">
      <c r="A1297">
        <v>1296</v>
      </c>
      <c r="B1297">
        <v>1136</v>
      </c>
      <c r="C1297">
        <v>419</v>
      </c>
      <c r="D1297" s="1">
        <v>45823</v>
      </c>
      <c r="E1297" t="s">
        <v>24</v>
      </c>
      <c r="F1297" t="s">
        <v>321</v>
      </c>
      <c r="G1297" t="str">
        <f>_xlfn.XLOOKUP(TRIM(E1298),MedicineInfo!A:A,MedicineInfo!B:B,"Not Found")</f>
        <v>Multivitamin</v>
      </c>
      <c r="H1297" s="1" t="str" cm="1">
        <f t="array" ref="H1297">_xlfn.IFS(
OR(E1297="Type 2 Diabetes",E1297="Essential Hypertension",E1297="Angina Pectoris",E1297="Bronchial Asthma",E1297="Cardiac Arrhythmia"), D1297+30,
OR(E1297="Gastritis",E1297="Osteoarthritis",E1297="Bronchitis",E1297="Iron Deficiency Anemia"), D1297+14,
OR(E1297="Lumbar Strain",E1297="Migraine Headache"), D1297+7,
OR(E1297="Viral Fever",E1297="General Checkup","Routine Health Check"), "",
TRUE,""
)</f>
        <v/>
      </c>
      <c r="I1297" s="1" t="str">
        <f t="shared" si="40"/>
        <v>No Follow-up Required</v>
      </c>
      <c r="J1297" t="str">
        <f>TEXT(Table8[[#This Row],[visit_Date]],"DDDD")</f>
        <v>Sunday</v>
      </c>
      <c r="K1297" t="str">
        <f>TEXT(Table8[[#This Row],[visit_Date]],"mmmm")</f>
        <v>June</v>
      </c>
      <c r="L1297" t="str">
        <f t="shared" si="41"/>
        <v>Monsoon</v>
      </c>
    </row>
    <row r="1298" spans="1:12" x14ac:dyDescent="0.25">
      <c r="A1298">
        <v>1297</v>
      </c>
      <c r="B1298">
        <v>1382</v>
      </c>
      <c r="C1298">
        <v>514</v>
      </c>
      <c r="D1298" s="1">
        <v>45841</v>
      </c>
      <c r="E1298" t="s">
        <v>24</v>
      </c>
      <c r="F1298" t="s">
        <v>321</v>
      </c>
      <c r="G1298" t="str">
        <f>_xlfn.XLOOKUP(TRIM(E1299),MedicineInfo!A:A,MedicineInfo!B:B,"Not Found")</f>
        <v>Multivitamin</v>
      </c>
      <c r="H1298" s="1" t="str" cm="1">
        <f t="array" ref="H1298">_xlfn.IFS(
OR(E1298="Type 2 Diabetes",E1298="Essential Hypertension",E1298="Angina Pectoris",E1298="Bronchial Asthma",E1298="Cardiac Arrhythmia"), D1298+30,
OR(E1298="Gastritis",E1298="Osteoarthritis",E1298="Bronchitis",E1298="Iron Deficiency Anemia"), D1298+14,
OR(E1298="Lumbar Strain",E1298="Migraine Headache"), D1298+7,
OR(E1298="Viral Fever",E1298="General Checkup","Routine Health Check"), "",
TRUE,""
)</f>
        <v/>
      </c>
      <c r="I1298" s="1" t="str">
        <f t="shared" si="40"/>
        <v>No Follow-up Required</v>
      </c>
      <c r="J1298" t="str">
        <f>TEXT(Table8[[#This Row],[visit_Date]],"DDDD")</f>
        <v>Thursday</v>
      </c>
      <c r="K1298" t="str">
        <f>TEXT(Table8[[#This Row],[visit_Date]],"mmmm")</f>
        <v>July</v>
      </c>
      <c r="L1298" t="str">
        <f t="shared" si="41"/>
        <v>Monsoon</v>
      </c>
    </row>
    <row r="1299" spans="1:12" x14ac:dyDescent="0.25">
      <c r="A1299">
        <v>1298</v>
      </c>
      <c r="B1299">
        <v>1096</v>
      </c>
      <c r="C1299">
        <v>1184</v>
      </c>
      <c r="D1299" s="1">
        <v>45686</v>
      </c>
      <c r="E1299" t="s">
        <v>24</v>
      </c>
      <c r="F1299" t="s">
        <v>321</v>
      </c>
      <c r="G1299" t="str">
        <f>_xlfn.XLOOKUP(TRIM(E1300),MedicineInfo!A:A,MedicineInfo!B:B,"Not Found")</f>
        <v>Multivitamin</v>
      </c>
      <c r="H1299" s="1" t="str" cm="1">
        <f t="array" ref="H1299">_xlfn.IFS(
OR(E1299="Type 2 Diabetes",E1299="Essential Hypertension",E1299="Angina Pectoris",E1299="Bronchial Asthma",E1299="Cardiac Arrhythmia"), D1299+30,
OR(E1299="Gastritis",E1299="Osteoarthritis",E1299="Bronchitis",E1299="Iron Deficiency Anemia"), D1299+14,
OR(E1299="Lumbar Strain",E1299="Migraine Headache"), D1299+7,
OR(E1299="Viral Fever",E1299="General Checkup","Routine Health Check"), "",
TRUE,""
)</f>
        <v/>
      </c>
      <c r="I1299" s="1" t="str">
        <f t="shared" si="40"/>
        <v>No Follow-up Required</v>
      </c>
      <c r="J1299" t="str">
        <f>TEXT(Table8[[#This Row],[visit_Date]],"DDDD")</f>
        <v>Wednesday</v>
      </c>
      <c r="K1299" t="str">
        <f>TEXT(Table8[[#This Row],[visit_Date]],"mmmm")</f>
        <v>January</v>
      </c>
      <c r="L1299" t="str">
        <f t="shared" si="41"/>
        <v>Winter</v>
      </c>
    </row>
    <row r="1300" spans="1:12" x14ac:dyDescent="0.25">
      <c r="A1300">
        <v>1299</v>
      </c>
      <c r="B1300">
        <v>1067</v>
      </c>
      <c r="C1300">
        <v>887</v>
      </c>
      <c r="D1300" s="1">
        <v>45814</v>
      </c>
      <c r="E1300" t="s">
        <v>24</v>
      </c>
      <c r="F1300" t="s">
        <v>321</v>
      </c>
      <c r="G1300" t="str">
        <f>_xlfn.XLOOKUP(TRIM(E1301),MedicineInfo!A:A,MedicineInfo!B:B,"Not Found")</f>
        <v>Not Found</v>
      </c>
      <c r="H1300" s="1" t="str" cm="1">
        <f t="array" ref="H1300">_xlfn.IFS(
OR(E1300="Type 2 Diabetes",E1300="Essential Hypertension",E1300="Angina Pectoris",E1300="Bronchial Asthma",E1300="Cardiac Arrhythmia"), D1300+30,
OR(E1300="Gastritis",E1300="Osteoarthritis",E1300="Bronchitis",E1300="Iron Deficiency Anemia"), D1300+14,
OR(E1300="Lumbar Strain",E1300="Migraine Headache"), D1300+7,
OR(E1300="Viral Fever",E1300="General Checkup","Routine Health Check"), "",
TRUE,""
)</f>
        <v/>
      </c>
      <c r="I1300" s="1" t="str">
        <f t="shared" si="40"/>
        <v>No Follow-up Required</v>
      </c>
      <c r="J1300" t="str">
        <f>TEXT(Table8[[#This Row],[visit_Date]],"DDDD")</f>
        <v>Friday</v>
      </c>
      <c r="K1300" t="str">
        <f>TEXT(Table8[[#This Row],[visit_Date]],"mmmm")</f>
        <v>June</v>
      </c>
      <c r="L1300" t="str">
        <f t="shared" si="41"/>
        <v>Monsoon</v>
      </c>
    </row>
    <row r="1301" spans="1:12" x14ac:dyDescent="0.25">
      <c r="A1301">
        <v>1300</v>
      </c>
      <c r="B1301">
        <v>1027</v>
      </c>
      <c r="C1301">
        <v>1380</v>
      </c>
      <c r="D1301" s="1">
        <v>45676</v>
      </c>
      <c r="E1301" t="s">
        <v>340</v>
      </c>
      <c r="F1301" t="s">
        <v>341</v>
      </c>
      <c r="G1301" t="str">
        <f>_xlfn.XLOOKUP(TRIM(E1302),MedicineInfo!A:A,MedicineInfo!B:B,"Not Found")</f>
        <v>Multivitamin</v>
      </c>
      <c r="H1301" s="1" t="str" cm="1">
        <f t="array" ref="H1301">_xlfn.IFS(
OR(E1301="Type 2 Diabetes",E1301="Essential Hypertension",E1301="Angina Pectoris",E1301="Bronchial Asthma",E1301="Cardiac Arrhythmia"), D1301+30,
OR(E1301="Gastritis",E1301="Osteoarthritis",E1301="Bronchitis",E1301="Iron Deficiency Anemia"), D1301+14,
OR(E1301="Lumbar Strain",E1301="Migraine Headache"), D1301+7,
OR(E1301="Viral Fever",E1301="General Checkup","Routine Health Check"), "",
TRUE,""
)</f>
        <v/>
      </c>
      <c r="I1301" s="1" t="str">
        <f t="shared" si="40"/>
        <v>No Follow-up Required</v>
      </c>
      <c r="J1301" t="str">
        <f>TEXT(Table8[[#This Row],[visit_Date]],"DDDD")</f>
        <v>Sunday</v>
      </c>
      <c r="K1301" t="str">
        <f>TEXT(Table8[[#This Row],[visit_Date]],"mmmm")</f>
        <v>January</v>
      </c>
      <c r="L1301" t="str">
        <f t="shared" si="41"/>
        <v>Winter</v>
      </c>
    </row>
    <row r="1302" spans="1:12" x14ac:dyDescent="0.25">
      <c r="A1302">
        <v>1301</v>
      </c>
      <c r="B1302">
        <v>1234</v>
      </c>
      <c r="C1302">
        <v>422</v>
      </c>
      <c r="D1302" s="1">
        <v>45664</v>
      </c>
      <c r="E1302" t="s">
        <v>24</v>
      </c>
      <c r="F1302" t="s">
        <v>321</v>
      </c>
      <c r="G1302" t="str">
        <f>_xlfn.XLOOKUP(TRIM(E1303),MedicineInfo!A:A,MedicineInfo!B:B,"Not Found")</f>
        <v>Multivitamin</v>
      </c>
      <c r="H1302" s="1" t="str" cm="1">
        <f t="array" ref="H1302">_xlfn.IFS(
OR(E1302="Type 2 Diabetes",E1302="Essential Hypertension",E1302="Angina Pectoris",E1302="Bronchial Asthma",E1302="Cardiac Arrhythmia"), D1302+30,
OR(E1302="Gastritis",E1302="Osteoarthritis",E1302="Bronchitis",E1302="Iron Deficiency Anemia"), D1302+14,
OR(E1302="Lumbar Strain",E1302="Migraine Headache"), D1302+7,
OR(E1302="Viral Fever",E1302="General Checkup","Routine Health Check"), "",
TRUE,""
)</f>
        <v/>
      </c>
      <c r="I1302" s="1" t="str">
        <f t="shared" si="40"/>
        <v>No Follow-up Required</v>
      </c>
      <c r="J1302" t="str">
        <f>TEXT(Table8[[#This Row],[visit_Date]],"DDDD")</f>
        <v>Tuesday</v>
      </c>
      <c r="K1302" t="str">
        <f>TEXT(Table8[[#This Row],[visit_Date]],"mmmm")</f>
        <v>January</v>
      </c>
      <c r="L1302" t="str">
        <f t="shared" si="41"/>
        <v>Winter</v>
      </c>
    </row>
    <row r="1303" spans="1:12" x14ac:dyDescent="0.25">
      <c r="A1303">
        <v>1302</v>
      </c>
      <c r="B1303">
        <v>1354</v>
      </c>
      <c r="C1303">
        <v>639</v>
      </c>
      <c r="D1303" s="1">
        <v>45792</v>
      </c>
      <c r="E1303" t="s">
        <v>24</v>
      </c>
      <c r="F1303" t="s">
        <v>321</v>
      </c>
      <c r="G1303" t="str">
        <f>_xlfn.XLOOKUP(TRIM(E1304),MedicineInfo!A:A,MedicineInfo!B:B,"Not Found")</f>
        <v>Sertraline</v>
      </c>
      <c r="H1303" s="1" t="str" cm="1">
        <f t="array" ref="H1303">_xlfn.IFS(
OR(E1303="Type 2 Diabetes",E1303="Essential Hypertension",E1303="Angina Pectoris",E1303="Bronchial Asthma",E1303="Cardiac Arrhythmia"), D1303+30,
OR(E1303="Gastritis",E1303="Osteoarthritis",E1303="Bronchitis",E1303="Iron Deficiency Anemia"), D1303+14,
OR(E1303="Lumbar Strain",E1303="Migraine Headache"), D1303+7,
OR(E1303="Viral Fever",E1303="General Checkup","Routine Health Check"), "",
TRUE,""
)</f>
        <v/>
      </c>
      <c r="I1303" s="1" t="str">
        <f t="shared" si="40"/>
        <v>No Follow-up Required</v>
      </c>
      <c r="J1303" t="str">
        <f>TEXT(Table8[[#This Row],[visit_Date]],"DDDD")</f>
        <v>Thursday</v>
      </c>
      <c r="K1303" t="str">
        <f>TEXT(Table8[[#This Row],[visit_Date]],"mmmm")</f>
        <v>May</v>
      </c>
      <c r="L1303" t="str">
        <f t="shared" si="41"/>
        <v>Summer</v>
      </c>
    </row>
    <row r="1304" spans="1:12" x14ac:dyDescent="0.25">
      <c r="A1304">
        <v>1303</v>
      </c>
      <c r="B1304">
        <v>1301</v>
      </c>
      <c r="C1304">
        <v>1569</v>
      </c>
      <c r="D1304" s="1">
        <v>45856</v>
      </c>
      <c r="E1304" t="s">
        <v>334</v>
      </c>
      <c r="F1304" t="s">
        <v>335</v>
      </c>
      <c r="G1304" t="str">
        <f>_xlfn.XLOOKUP(TRIM(E1305),MedicineInfo!A:A,MedicineInfo!B:B,"Not Found")</f>
        <v>Calcium Supplement</v>
      </c>
      <c r="H1304" s="1" t="str" cm="1">
        <f t="array" ref="H1304">_xlfn.IFS(
OR(E1304="Type 2 Diabetes",E1304="Essential Hypertension",E1304="Angina Pectoris",E1304="Bronchial Asthma",E1304="Cardiac Arrhythmia"), D1304+30,
OR(E1304="Gastritis",E1304="Osteoarthritis",E1304="Bronchitis",E1304="Iron Deficiency Anemia"), D1304+14,
OR(E1304="Lumbar Strain",E1304="Migraine Headache"), D1304+7,
OR(E1304="Viral Fever",E1304="General Checkup","Routine Health Check"), "",
TRUE,""
)</f>
        <v/>
      </c>
      <c r="I1304" s="1" t="str">
        <f t="shared" si="40"/>
        <v>No Follow-up Required</v>
      </c>
      <c r="J1304" t="str">
        <f>TEXT(Table8[[#This Row],[visit_Date]],"DDDD")</f>
        <v>Friday</v>
      </c>
      <c r="K1304" t="str">
        <f>TEXT(Table8[[#This Row],[visit_Date]],"mmmm")</f>
        <v>July</v>
      </c>
      <c r="L1304" t="str">
        <f t="shared" si="41"/>
        <v>Monsoon</v>
      </c>
    </row>
    <row r="1305" spans="1:12" x14ac:dyDescent="0.25">
      <c r="A1305">
        <v>1304</v>
      </c>
      <c r="B1305">
        <v>1294</v>
      </c>
      <c r="C1305">
        <v>127</v>
      </c>
      <c r="D1305" s="1">
        <v>45674</v>
      </c>
      <c r="E1305" t="s">
        <v>336</v>
      </c>
      <c r="F1305" t="s">
        <v>337</v>
      </c>
      <c r="G1305" t="str">
        <f>_xlfn.XLOOKUP(TRIM(E1306),MedicineInfo!A:A,MedicineInfo!B:B,"Not Found")</f>
        <v>Multivitamin</v>
      </c>
      <c r="H1305" s="1" t="str" cm="1">
        <f t="array" ref="H1305">_xlfn.IFS(
OR(E1305="Type 2 Diabetes",E1305="Essential Hypertension",E1305="Angina Pectoris",E1305="Bronchial Asthma",E1305="Cardiac Arrhythmia"), D1305+30,
OR(E1305="Gastritis",E1305="Osteoarthritis",E1305="Bronchitis",E1305="Iron Deficiency Anemia"), D1305+14,
OR(E1305="Lumbar Strain",E1305="Migraine Headache"), D1305+7,
OR(E1305="Viral Fever",E1305="General Checkup","Routine Health Check"), "",
TRUE,""
)</f>
        <v/>
      </c>
      <c r="I1305" s="1" t="str">
        <f t="shared" si="40"/>
        <v>No Follow-up Required</v>
      </c>
      <c r="J1305" t="str">
        <f>TEXT(Table8[[#This Row],[visit_Date]],"DDDD")</f>
        <v>Friday</v>
      </c>
      <c r="K1305" t="str">
        <f>TEXT(Table8[[#This Row],[visit_Date]],"mmmm")</f>
        <v>January</v>
      </c>
      <c r="L1305" t="str">
        <f t="shared" si="41"/>
        <v>Winter</v>
      </c>
    </row>
    <row r="1306" spans="1:12" x14ac:dyDescent="0.25">
      <c r="A1306">
        <v>1305</v>
      </c>
      <c r="B1306">
        <v>1143</v>
      </c>
      <c r="C1306">
        <v>1181</v>
      </c>
      <c r="D1306" s="1">
        <v>45669</v>
      </c>
      <c r="E1306" t="s">
        <v>24</v>
      </c>
      <c r="F1306" t="s">
        <v>321</v>
      </c>
      <c r="G1306" t="str">
        <f>_xlfn.XLOOKUP(TRIM(E1307),MedicineInfo!A:A,MedicineInfo!B:B,"Not Found")</f>
        <v>Multivitamin</v>
      </c>
      <c r="H1306" s="1" t="str" cm="1">
        <f t="array" ref="H1306">_xlfn.IFS(
OR(E1306="Type 2 Diabetes",E1306="Essential Hypertension",E1306="Angina Pectoris",E1306="Bronchial Asthma",E1306="Cardiac Arrhythmia"), D1306+30,
OR(E1306="Gastritis",E1306="Osteoarthritis",E1306="Bronchitis",E1306="Iron Deficiency Anemia"), D1306+14,
OR(E1306="Lumbar Strain",E1306="Migraine Headache"), D1306+7,
OR(E1306="Viral Fever",E1306="General Checkup","Routine Health Check"), "",
TRUE,""
)</f>
        <v/>
      </c>
      <c r="I1306" s="1" t="str">
        <f t="shared" si="40"/>
        <v>No Follow-up Required</v>
      </c>
      <c r="J1306" t="str">
        <f>TEXT(Table8[[#This Row],[visit_Date]],"DDDD")</f>
        <v>Sunday</v>
      </c>
      <c r="K1306" t="str">
        <f>TEXT(Table8[[#This Row],[visit_Date]],"mmmm")</f>
        <v>January</v>
      </c>
      <c r="L1306" t="str">
        <f t="shared" si="41"/>
        <v>Winter</v>
      </c>
    </row>
    <row r="1307" spans="1:12" x14ac:dyDescent="0.25">
      <c r="A1307">
        <v>1306</v>
      </c>
      <c r="B1307">
        <v>1320</v>
      </c>
      <c r="C1307">
        <v>453</v>
      </c>
      <c r="D1307" s="1">
        <v>45694</v>
      </c>
      <c r="E1307" t="s">
        <v>24</v>
      </c>
      <c r="F1307" t="s">
        <v>321</v>
      </c>
      <c r="G1307" t="str">
        <f>_xlfn.XLOOKUP(TRIM(E1308),MedicineInfo!A:A,MedicineInfo!B:B,"Not Found")</f>
        <v>Multivitamin</v>
      </c>
      <c r="H1307" s="1" t="str" cm="1">
        <f t="array" ref="H1307">_xlfn.IFS(
OR(E1307="Type 2 Diabetes",E1307="Essential Hypertension",E1307="Angina Pectoris",E1307="Bronchial Asthma",E1307="Cardiac Arrhythmia"), D1307+30,
OR(E1307="Gastritis",E1307="Osteoarthritis",E1307="Bronchitis",E1307="Iron Deficiency Anemia"), D1307+14,
OR(E1307="Lumbar Strain",E1307="Migraine Headache"), D1307+7,
OR(E1307="Viral Fever",E1307="General Checkup","Routine Health Check"), "",
TRUE,""
)</f>
        <v/>
      </c>
      <c r="I1307" s="1" t="str">
        <f t="shared" si="40"/>
        <v>No Follow-up Required</v>
      </c>
      <c r="J1307" t="str">
        <f>TEXT(Table8[[#This Row],[visit_Date]],"DDDD")</f>
        <v>Thursday</v>
      </c>
      <c r="K1307" t="str">
        <f>TEXT(Table8[[#This Row],[visit_Date]],"mmmm")</f>
        <v>February</v>
      </c>
      <c r="L1307" t="str">
        <f t="shared" si="41"/>
        <v>Winter</v>
      </c>
    </row>
    <row r="1308" spans="1:12" x14ac:dyDescent="0.25">
      <c r="A1308">
        <v>1307</v>
      </c>
      <c r="B1308">
        <v>1178</v>
      </c>
      <c r="C1308">
        <v>876</v>
      </c>
      <c r="D1308" s="1">
        <v>45696</v>
      </c>
      <c r="E1308" t="s">
        <v>24</v>
      </c>
      <c r="F1308" t="s">
        <v>321</v>
      </c>
      <c r="G1308" t="str">
        <f>_xlfn.XLOOKUP(TRIM(E1309),MedicineInfo!A:A,MedicineInfo!B:B,"Not Found")</f>
        <v>Multivitamin</v>
      </c>
      <c r="H1308" s="1" t="str" cm="1">
        <f t="array" ref="H1308">_xlfn.IFS(
OR(E1308="Type 2 Diabetes",E1308="Essential Hypertension",E1308="Angina Pectoris",E1308="Bronchial Asthma",E1308="Cardiac Arrhythmia"), D1308+30,
OR(E1308="Gastritis",E1308="Osteoarthritis",E1308="Bronchitis",E1308="Iron Deficiency Anemia"), D1308+14,
OR(E1308="Lumbar Strain",E1308="Migraine Headache"), D1308+7,
OR(E1308="Viral Fever",E1308="General Checkup","Routine Health Check"), "",
TRUE,""
)</f>
        <v/>
      </c>
      <c r="I1308" s="1" t="str">
        <f t="shared" si="40"/>
        <v>No Follow-up Required</v>
      </c>
      <c r="J1308" t="str">
        <f>TEXT(Table8[[#This Row],[visit_Date]],"DDDD")</f>
        <v>Saturday</v>
      </c>
      <c r="K1308" t="str">
        <f>TEXT(Table8[[#This Row],[visit_Date]],"mmmm")</f>
        <v>February</v>
      </c>
      <c r="L1308" t="str">
        <f t="shared" si="41"/>
        <v>Winter</v>
      </c>
    </row>
    <row r="1309" spans="1:12" x14ac:dyDescent="0.25">
      <c r="A1309">
        <v>1308</v>
      </c>
      <c r="B1309">
        <v>1038</v>
      </c>
      <c r="C1309">
        <v>270</v>
      </c>
      <c r="D1309" s="1">
        <v>45823</v>
      </c>
      <c r="E1309" t="s">
        <v>24</v>
      </c>
      <c r="F1309" t="s">
        <v>321</v>
      </c>
      <c r="G1309" t="str">
        <f>_xlfn.XLOOKUP(TRIM(E1310),MedicineInfo!A:A,MedicineInfo!B:B,"Not Found")</f>
        <v>Multivitamin</v>
      </c>
      <c r="H1309" s="1" t="str" cm="1">
        <f t="array" ref="H1309">_xlfn.IFS(
OR(E1309="Type 2 Diabetes",E1309="Essential Hypertension",E1309="Angina Pectoris",E1309="Bronchial Asthma",E1309="Cardiac Arrhythmia"), D1309+30,
OR(E1309="Gastritis",E1309="Osteoarthritis",E1309="Bronchitis",E1309="Iron Deficiency Anemia"), D1309+14,
OR(E1309="Lumbar Strain",E1309="Migraine Headache"), D1309+7,
OR(E1309="Viral Fever",E1309="General Checkup","Routine Health Check"), "",
TRUE,""
)</f>
        <v/>
      </c>
      <c r="I1309" s="1" t="str">
        <f t="shared" si="40"/>
        <v>No Follow-up Required</v>
      </c>
      <c r="J1309" t="str">
        <f>TEXT(Table8[[#This Row],[visit_Date]],"DDDD")</f>
        <v>Sunday</v>
      </c>
      <c r="K1309" t="str">
        <f>TEXT(Table8[[#This Row],[visit_Date]],"mmmm")</f>
        <v>June</v>
      </c>
      <c r="L1309" t="str">
        <f t="shared" si="41"/>
        <v>Monsoon</v>
      </c>
    </row>
    <row r="1310" spans="1:12" x14ac:dyDescent="0.25">
      <c r="A1310">
        <v>1309</v>
      </c>
      <c r="B1310">
        <v>1236</v>
      </c>
      <c r="C1310">
        <v>1289</v>
      </c>
      <c r="D1310" s="1">
        <v>45695</v>
      </c>
      <c r="E1310" t="s">
        <v>24</v>
      </c>
      <c r="F1310" t="s">
        <v>321</v>
      </c>
      <c r="G1310" t="str">
        <f>_xlfn.XLOOKUP(TRIM(E1311),MedicineInfo!A:A,MedicineInfo!B:B,"Not Found")</f>
        <v>Sertraline</v>
      </c>
      <c r="H1310" s="1" t="str" cm="1">
        <f t="array" ref="H1310">_xlfn.IFS(
OR(E1310="Type 2 Diabetes",E1310="Essential Hypertension",E1310="Angina Pectoris",E1310="Bronchial Asthma",E1310="Cardiac Arrhythmia"), D1310+30,
OR(E1310="Gastritis",E1310="Osteoarthritis",E1310="Bronchitis",E1310="Iron Deficiency Anemia"), D1310+14,
OR(E1310="Lumbar Strain",E1310="Migraine Headache"), D1310+7,
OR(E1310="Viral Fever",E1310="General Checkup","Routine Health Check"), "",
TRUE,""
)</f>
        <v/>
      </c>
      <c r="I1310" s="1" t="str">
        <f t="shared" si="40"/>
        <v>No Follow-up Required</v>
      </c>
      <c r="J1310" t="str">
        <f>TEXT(Table8[[#This Row],[visit_Date]],"DDDD")</f>
        <v>Friday</v>
      </c>
      <c r="K1310" t="str">
        <f>TEXT(Table8[[#This Row],[visit_Date]],"mmmm")</f>
        <v>February</v>
      </c>
      <c r="L1310" t="str">
        <f t="shared" si="41"/>
        <v>Winter</v>
      </c>
    </row>
    <row r="1311" spans="1:12" x14ac:dyDescent="0.25">
      <c r="A1311">
        <v>1310</v>
      </c>
      <c r="B1311">
        <v>1372</v>
      </c>
      <c r="C1311">
        <v>1441</v>
      </c>
      <c r="D1311" s="1">
        <v>45736</v>
      </c>
      <c r="E1311" t="s">
        <v>334</v>
      </c>
      <c r="F1311" t="s">
        <v>335</v>
      </c>
      <c r="G1311" t="str">
        <f>_xlfn.XLOOKUP(TRIM(E1312),MedicineInfo!A:A,MedicineInfo!B:B,"Not Found")</f>
        <v>Multivitamin</v>
      </c>
      <c r="H1311" s="1" t="str" cm="1">
        <f t="array" ref="H1311">_xlfn.IFS(
OR(E1311="Type 2 Diabetes",E1311="Essential Hypertension",E1311="Angina Pectoris",E1311="Bronchial Asthma",E1311="Cardiac Arrhythmia"), D1311+30,
OR(E1311="Gastritis",E1311="Osteoarthritis",E1311="Bronchitis",E1311="Iron Deficiency Anemia"), D1311+14,
OR(E1311="Lumbar Strain",E1311="Migraine Headache"), D1311+7,
OR(E1311="Viral Fever",E1311="General Checkup","Routine Health Check"), "",
TRUE,""
)</f>
        <v/>
      </c>
      <c r="I1311" s="1" t="str">
        <f t="shared" si="40"/>
        <v>No Follow-up Required</v>
      </c>
      <c r="J1311" t="str">
        <f>TEXT(Table8[[#This Row],[visit_Date]],"DDDD")</f>
        <v>Thursday</v>
      </c>
      <c r="K1311" t="str">
        <f>TEXT(Table8[[#This Row],[visit_Date]],"mmmm")</f>
        <v>March</v>
      </c>
      <c r="L1311" t="str">
        <f t="shared" si="41"/>
        <v>Summer</v>
      </c>
    </row>
    <row r="1312" spans="1:12" x14ac:dyDescent="0.25">
      <c r="A1312">
        <v>1311</v>
      </c>
      <c r="B1312">
        <v>1192</v>
      </c>
      <c r="C1312">
        <v>926</v>
      </c>
      <c r="D1312" s="1">
        <v>45686</v>
      </c>
      <c r="E1312" t="s">
        <v>24</v>
      </c>
      <c r="F1312" t="s">
        <v>321</v>
      </c>
      <c r="G1312" t="str">
        <f>_xlfn.XLOOKUP(TRIM(E1313),MedicineInfo!A:A,MedicineInfo!B:B,"Not Found")</f>
        <v>Multivitamin</v>
      </c>
      <c r="H1312" s="1" t="str" cm="1">
        <f t="array" ref="H1312">_xlfn.IFS(
OR(E1312="Type 2 Diabetes",E1312="Essential Hypertension",E1312="Angina Pectoris",E1312="Bronchial Asthma",E1312="Cardiac Arrhythmia"), D1312+30,
OR(E1312="Gastritis",E1312="Osteoarthritis",E1312="Bronchitis",E1312="Iron Deficiency Anemia"), D1312+14,
OR(E1312="Lumbar Strain",E1312="Migraine Headache"), D1312+7,
OR(E1312="Viral Fever",E1312="General Checkup","Routine Health Check"), "",
TRUE,""
)</f>
        <v/>
      </c>
      <c r="I1312" s="1" t="str">
        <f t="shared" si="40"/>
        <v>No Follow-up Required</v>
      </c>
      <c r="J1312" t="str">
        <f>TEXT(Table8[[#This Row],[visit_Date]],"DDDD")</f>
        <v>Wednesday</v>
      </c>
      <c r="K1312" t="str">
        <f>TEXT(Table8[[#This Row],[visit_Date]],"mmmm")</f>
        <v>January</v>
      </c>
      <c r="L1312" t="str">
        <f t="shared" si="41"/>
        <v>Winter</v>
      </c>
    </row>
    <row r="1313" spans="1:12" x14ac:dyDescent="0.25">
      <c r="A1313">
        <v>1312</v>
      </c>
      <c r="B1313">
        <v>1243</v>
      </c>
      <c r="C1313">
        <v>1120</v>
      </c>
      <c r="D1313" s="1">
        <v>45694</v>
      </c>
      <c r="E1313" t="s">
        <v>24</v>
      </c>
      <c r="F1313" t="s">
        <v>321</v>
      </c>
      <c r="G1313" t="str">
        <f>_xlfn.XLOOKUP(TRIM(E1314),MedicineInfo!A:A,MedicineInfo!B:B,"Not Found")</f>
        <v>Sumatriptan</v>
      </c>
      <c r="H1313" s="1" t="str" cm="1">
        <f t="array" ref="H1313">_xlfn.IFS(
OR(E1313="Type 2 Diabetes",E1313="Essential Hypertension",E1313="Angina Pectoris",E1313="Bronchial Asthma",E1313="Cardiac Arrhythmia"), D1313+30,
OR(E1313="Gastritis",E1313="Osteoarthritis",E1313="Bronchitis",E1313="Iron Deficiency Anemia"), D1313+14,
OR(E1313="Lumbar Strain",E1313="Migraine Headache"), D1313+7,
OR(E1313="Viral Fever",E1313="General Checkup","Routine Health Check"), "",
TRUE,""
)</f>
        <v/>
      </c>
      <c r="I1313" s="1" t="str">
        <f t="shared" si="40"/>
        <v>No Follow-up Required</v>
      </c>
      <c r="J1313" t="str">
        <f>TEXT(Table8[[#This Row],[visit_Date]],"DDDD")</f>
        <v>Thursday</v>
      </c>
      <c r="K1313" t="str">
        <f>TEXT(Table8[[#This Row],[visit_Date]],"mmmm")</f>
        <v>February</v>
      </c>
      <c r="L1313" t="str">
        <f t="shared" si="41"/>
        <v>Winter</v>
      </c>
    </row>
    <row r="1314" spans="1:12" x14ac:dyDescent="0.25">
      <c r="A1314">
        <v>1313</v>
      </c>
      <c r="B1314">
        <v>1051</v>
      </c>
      <c r="C1314">
        <v>1207</v>
      </c>
      <c r="D1314" s="1">
        <v>45823</v>
      </c>
      <c r="E1314" t="s">
        <v>315</v>
      </c>
      <c r="F1314" t="s">
        <v>316</v>
      </c>
      <c r="G1314" t="str">
        <f>_xlfn.XLOOKUP(TRIM(E1315),MedicineInfo!A:A,MedicineInfo!B:B,"Not Found")</f>
        <v>Multivitamin</v>
      </c>
      <c r="H1314" s="1" cm="1">
        <f t="array" ref="H1314">_xlfn.IFS(
OR(E1314="Type 2 Diabetes",E1314="Essential Hypertension",E1314="Angina Pectoris",E1314="Bronchial Asthma",E1314="Cardiac Arrhythmia"), D1314+30,
OR(E1314="Gastritis",E1314="Osteoarthritis",E1314="Bronchitis",E1314="Iron Deficiency Anemia"), D1314+14,
OR(E1314="Lumbar Strain",E1314="Migraine Headache"), D1314+7,
OR(E1314="Viral Fever",E1314="General Checkup","Routine Health Check"), "",
TRUE,""
)</f>
        <v>45830</v>
      </c>
      <c r="I1314" s="1" t="str">
        <f t="shared" si="40"/>
        <v>Follow-up Scheduled</v>
      </c>
      <c r="J1314" t="str">
        <f>TEXT(Table8[[#This Row],[visit_Date]],"DDDD")</f>
        <v>Sunday</v>
      </c>
      <c r="K1314" t="str">
        <f>TEXT(Table8[[#This Row],[visit_Date]],"mmmm")</f>
        <v>June</v>
      </c>
      <c r="L1314" t="str">
        <f t="shared" si="41"/>
        <v>Monsoon</v>
      </c>
    </row>
    <row r="1315" spans="1:12" x14ac:dyDescent="0.25">
      <c r="A1315">
        <v>1314</v>
      </c>
      <c r="B1315">
        <v>1020</v>
      </c>
      <c r="C1315">
        <v>263</v>
      </c>
      <c r="D1315" s="1">
        <v>45747</v>
      </c>
      <c r="E1315" t="s">
        <v>24</v>
      </c>
      <c r="F1315" t="s">
        <v>321</v>
      </c>
      <c r="G1315" t="str">
        <f>_xlfn.XLOOKUP(TRIM(E1316),MedicineInfo!A:A,MedicineInfo!B:B,"Not Found")</f>
        <v>Multivitamin</v>
      </c>
      <c r="H1315" s="1" t="str" cm="1">
        <f t="array" ref="H1315">_xlfn.IFS(
OR(E1315="Type 2 Diabetes",E1315="Essential Hypertension",E1315="Angina Pectoris",E1315="Bronchial Asthma",E1315="Cardiac Arrhythmia"), D1315+30,
OR(E1315="Gastritis",E1315="Osteoarthritis",E1315="Bronchitis",E1315="Iron Deficiency Anemia"), D1315+14,
OR(E1315="Lumbar Strain",E1315="Migraine Headache"), D1315+7,
OR(E1315="Viral Fever",E1315="General Checkup","Routine Health Check"), "",
TRUE,""
)</f>
        <v/>
      </c>
      <c r="I1315" s="1" t="str">
        <f t="shared" si="40"/>
        <v>No Follow-up Required</v>
      </c>
      <c r="J1315" t="str">
        <f>TEXT(Table8[[#This Row],[visit_Date]],"DDDD")</f>
        <v>Monday</v>
      </c>
      <c r="K1315" t="str">
        <f>TEXT(Table8[[#This Row],[visit_Date]],"mmmm")</f>
        <v>March</v>
      </c>
      <c r="L1315" t="str">
        <f t="shared" si="41"/>
        <v>Summer</v>
      </c>
    </row>
    <row r="1316" spans="1:12" x14ac:dyDescent="0.25">
      <c r="A1316">
        <v>1315</v>
      </c>
      <c r="B1316">
        <v>1321</v>
      </c>
      <c r="C1316">
        <v>1238</v>
      </c>
      <c r="D1316" s="1">
        <v>45814</v>
      </c>
      <c r="E1316" t="s">
        <v>24</v>
      </c>
      <c r="F1316" t="s">
        <v>321</v>
      </c>
      <c r="G1316" t="str">
        <f>_xlfn.XLOOKUP(TRIM(E1317),MedicineInfo!A:A,MedicineInfo!B:B,"Not Found")</f>
        <v>Multivitamin</v>
      </c>
      <c r="H1316" s="1" t="str" cm="1">
        <f t="array" ref="H1316">_xlfn.IFS(
OR(E1316="Type 2 Diabetes",E1316="Essential Hypertension",E1316="Angina Pectoris",E1316="Bronchial Asthma",E1316="Cardiac Arrhythmia"), D1316+30,
OR(E1316="Gastritis",E1316="Osteoarthritis",E1316="Bronchitis",E1316="Iron Deficiency Anemia"), D1316+14,
OR(E1316="Lumbar Strain",E1316="Migraine Headache"), D1316+7,
OR(E1316="Viral Fever",E1316="General Checkup","Routine Health Check"), "",
TRUE,""
)</f>
        <v/>
      </c>
      <c r="I1316" s="1" t="str">
        <f t="shared" si="40"/>
        <v>No Follow-up Required</v>
      </c>
      <c r="J1316" t="str">
        <f>TEXT(Table8[[#This Row],[visit_Date]],"DDDD")</f>
        <v>Friday</v>
      </c>
      <c r="K1316" t="str">
        <f>TEXT(Table8[[#This Row],[visit_Date]],"mmmm")</f>
        <v>June</v>
      </c>
      <c r="L1316" t="str">
        <f t="shared" si="41"/>
        <v>Monsoon</v>
      </c>
    </row>
    <row r="1317" spans="1:12" x14ac:dyDescent="0.25">
      <c r="A1317">
        <v>1316</v>
      </c>
      <c r="B1317">
        <v>1010</v>
      </c>
      <c r="C1317">
        <v>803</v>
      </c>
      <c r="D1317" s="1">
        <v>45788</v>
      </c>
      <c r="E1317" t="s">
        <v>24</v>
      </c>
      <c r="F1317" t="s">
        <v>321</v>
      </c>
      <c r="G1317" t="str">
        <f>_xlfn.XLOOKUP(TRIM(E1318),MedicineInfo!A:A,MedicineInfo!B:B,"Not Found")</f>
        <v>Amiodarone</v>
      </c>
      <c r="H1317" s="1" t="str" cm="1">
        <f t="array" ref="H1317">_xlfn.IFS(
OR(E1317="Type 2 Diabetes",E1317="Essential Hypertension",E1317="Angina Pectoris",E1317="Bronchial Asthma",E1317="Cardiac Arrhythmia"), D1317+30,
OR(E1317="Gastritis",E1317="Osteoarthritis",E1317="Bronchitis",E1317="Iron Deficiency Anemia"), D1317+14,
OR(E1317="Lumbar Strain",E1317="Migraine Headache"), D1317+7,
OR(E1317="Viral Fever",E1317="General Checkup","Routine Health Check"), "",
TRUE,""
)</f>
        <v/>
      </c>
      <c r="I1317" s="1" t="str">
        <f t="shared" si="40"/>
        <v>No Follow-up Required</v>
      </c>
      <c r="J1317" t="str">
        <f>TEXT(Table8[[#This Row],[visit_Date]],"DDDD")</f>
        <v>Sunday</v>
      </c>
      <c r="K1317" t="str">
        <f>TEXT(Table8[[#This Row],[visit_Date]],"mmmm")</f>
        <v>May</v>
      </c>
      <c r="L1317" t="str">
        <f t="shared" si="41"/>
        <v>Summer</v>
      </c>
    </row>
    <row r="1318" spans="1:12" x14ac:dyDescent="0.25">
      <c r="A1318">
        <v>1317</v>
      </c>
      <c r="B1318">
        <v>1130</v>
      </c>
      <c r="C1318">
        <v>243</v>
      </c>
      <c r="D1318" s="1">
        <v>45669</v>
      </c>
      <c r="E1318" t="s">
        <v>330</v>
      </c>
      <c r="F1318" t="s">
        <v>331</v>
      </c>
      <c r="G1318" t="str">
        <f>_xlfn.XLOOKUP(TRIM(E1319),MedicineInfo!A:A,MedicineInfo!B:B,"Not Found")</f>
        <v>Multivitamin</v>
      </c>
      <c r="H1318" s="1" cm="1">
        <f t="array" ref="H1318">_xlfn.IFS(
OR(E1318="Type 2 Diabetes",E1318="Essential Hypertension",E1318="Angina Pectoris",E1318="Bronchial Asthma",E1318="Cardiac Arrhythmia"), D1318+30,
OR(E1318="Gastritis",E1318="Osteoarthritis",E1318="Bronchitis",E1318="Iron Deficiency Anemia"), D1318+14,
OR(E1318="Lumbar Strain",E1318="Migraine Headache"), D1318+7,
OR(E1318="Viral Fever",E1318="General Checkup","Routine Health Check"), "",
TRUE,""
)</f>
        <v>45699</v>
      </c>
      <c r="I1318" s="1" t="str">
        <f t="shared" si="40"/>
        <v>Follow-up Scheduled</v>
      </c>
      <c r="J1318" t="str">
        <f>TEXT(Table8[[#This Row],[visit_Date]],"DDDD")</f>
        <v>Sunday</v>
      </c>
      <c r="K1318" t="str">
        <f>TEXT(Table8[[#This Row],[visit_Date]],"mmmm")</f>
        <v>January</v>
      </c>
      <c r="L1318" t="str">
        <f t="shared" si="41"/>
        <v>Winter</v>
      </c>
    </row>
    <row r="1319" spans="1:12" x14ac:dyDescent="0.25">
      <c r="A1319">
        <v>1318</v>
      </c>
      <c r="B1319">
        <v>1384</v>
      </c>
      <c r="C1319">
        <v>526</v>
      </c>
      <c r="D1319" s="1">
        <v>45819</v>
      </c>
      <c r="E1319" t="s">
        <v>24</v>
      </c>
      <c r="F1319" t="s">
        <v>321</v>
      </c>
      <c r="G1319" t="str">
        <f>_xlfn.XLOOKUP(TRIM(E1320),MedicineInfo!A:A,MedicineInfo!B:B,"Not Found")</f>
        <v>Multivitamin</v>
      </c>
      <c r="H1319" s="1" t="str" cm="1">
        <f t="array" ref="H1319">_xlfn.IFS(
OR(E1319="Type 2 Diabetes",E1319="Essential Hypertension",E1319="Angina Pectoris",E1319="Bronchial Asthma",E1319="Cardiac Arrhythmia"), D1319+30,
OR(E1319="Gastritis",E1319="Osteoarthritis",E1319="Bronchitis",E1319="Iron Deficiency Anemia"), D1319+14,
OR(E1319="Lumbar Strain",E1319="Migraine Headache"), D1319+7,
OR(E1319="Viral Fever",E1319="General Checkup","Routine Health Check"), "",
TRUE,""
)</f>
        <v/>
      </c>
      <c r="I1319" s="1" t="str">
        <f t="shared" si="40"/>
        <v>No Follow-up Required</v>
      </c>
      <c r="J1319" t="str">
        <f>TEXT(Table8[[#This Row],[visit_Date]],"DDDD")</f>
        <v>Wednesday</v>
      </c>
      <c r="K1319" t="str">
        <f>TEXT(Table8[[#This Row],[visit_Date]],"mmmm")</f>
        <v>June</v>
      </c>
      <c r="L1319" t="str">
        <f t="shared" si="41"/>
        <v>Monsoon</v>
      </c>
    </row>
    <row r="1320" spans="1:12" x14ac:dyDescent="0.25">
      <c r="A1320">
        <v>1319</v>
      </c>
      <c r="B1320">
        <v>1033</v>
      </c>
      <c r="C1320">
        <v>249</v>
      </c>
      <c r="D1320" s="1">
        <v>45792</v>
      </c>
      <c r="E1320" t="s">
        <v>24</v>
      </c>
      <c r="F1320" t="s">
        <v>321</v>
      </c>
      <c r="G1320" t="str">
        <f>_xlfn.XLOOKUP(TRIM(E1321),MedicineInfo!A:A,MedicineInfo!B:B,"Not Found")</f>
        <v>Pantoprazole</v>
      </c>
      <c r="H1320" s="1" t="str" cm="1">
        <f t="array" ref="H1320">_xlfn.IFS(
OR(E1320="Type 2 Diabetes",E1320="Essential Hypertension",E1320="Angina Pectoris",E1320="Bronchial Asthma",E1320="Cardiac Arrhythmia"), D1320+30,
OR(E1320="Gastritis",E1320="Osteoarthritis",E1320="Bronchitis",E1320="Iron Deficiency Anemia"), D1320+14,
OR(E1320="Lumbar Strain",E1320="Migraine Headache"), D1320+7,
OR(E1320="Viral Fever",E1320="General Checkup","Routine Health Check"), "",
TRUE,""
)</f>
        <v/>
      </c>
      <c r="I1320" s="1" t="str">
        <f t="shared" si="40"/>
        <v>No Follow-up Required</v>
      </c>
      <c r="J1320" t="str">
        <f>TEXT(Table8[[#This Row],[visit_Date]],"DDDD")</f>
        <v>Thursday</v>
      </c>
      <c r="K1320" t="str">
        <f>TEXT(Table8[[#This Row],[visit_Date]],"mmmm")</f>
        <v>May</v>
      </c>
      <c r="L1320" t="str">
        <f t="shared" si="41"/>
        <v>Summer</v>
      </c>
    </row>
    <row r="1321" spans="1:12" x14ac:dyDescent="0.25">
      <c r="A1321">
        <v>1320</v>
      </c>
      <c r="B1321">
        <v>1387</v>
      </c>
      <c r="C1321">
        <v>1493</v>
      </c>
      <c r="D1321" s="1">
        <v>45734</v>
      </c>
      <c r="E1321" t="s">
        <v>344</v>
      </c>
      <c r="F1321" t="s">
        <v>345</v>
      </c>
      <c r="G1321" t="str">
        <f>_xlfn.XLOOKUP(TRIM(E1322),MedicineInfo!A:A,MedicineInfo!B:B,"Not Found")</f>
        <v>Multivitamin</v>
      </c>
      <c r="H1321" s="1" cm="1">
        <f t="array" ref="H1321">_xlfn.IFS(
OR(E1321="Type 2 Diabetes",E1321="Essential Hypertension",E1321="Angina Pectoris",E1321="Bronchial Asthma",E1321="Cardiac Arrhythmia"), D1321+30,
OR(E1321="Gastritis",E1321="Osteoarthritis",E1321="Bronchitis",E1321="Iron Deficiency Anemia"), D1321+14,
OR(E1321="Lumbar Strain",E1321="Migraine Headache"), D1321+7,
OR(E1321="Viral Fever",E1321="General Checkup","Routine Health Check"), "",
TRUE,""
)</f>
        <v>45748</v>
      </c>
      <c r="I1321" s="1" t="str">
        <f t="shared" si="40"/>
        <v>Follow-up Scheduled</v>
      </c>
      <c r="J1321" t="str">
        <f>TEXT(Table8[[#This Row],[visit_Date]],"DDDD")</f>
        <v>Tuesday</v>
      </c>
      <c r="K1321" t="str">
        <f>TEXT(Table8[[#This Row],[visit_Date]],"mmmm")</f>
        <v>March</v>
      </c>
      <c r="L1321" t="str">
        <f t="shared" si="41"/>
        <v>Summer</v>
      </c>
    </row>
    <row r="1322" spans="1:12" x14ac:dyDescent="0.25">
      <c r="A1322">
        <v>1321</v>
      </c>
      <c r="B1322">
        <v>1254</v>
      </c>
      <c r="C1322">
        <v>955</v>
      </c>
      <c r="D1322" s="1">
        <v>45667</v>
      </c>
      <c r="E1322" t="s">
        <v>24</v>
      </c>
      <c r="F1322" t="s">
        <v>321</v>
      </c>
      <c r="G1322" t="str">
        <f>_xlfn.XLOOKUP(TRIM(E1323),MedicineInfo!A:A,MedicineInfo!B:B,"Not Found")</f>
        <v>Multivitamin</v>
      </c>
      <c r="H1322" s="1" t="str" cm="1">
        <f t="array" ref="H1322">_xlfn.IFS(
OR(E1322="Type 2 Diabetes",E1322="Essential Hypertension",E1322="Angina Pectoris",E1322="Bronchial Asthma",E1322="Cardiac Arrhythmia"), D1322+30,
OR(E1322="Gastritis",E1322="Osteoarthritis",E1322="Bronchitis",E1322="Iron Deficiency Anemia"), D1322+14,
OR(E1322="Lumbar Strain",E1322="Migraine Headache"), D1322+7,
OR(E1322="Viral Fever",E1322="General Checkup","Routine Health Check"), "",
TRUE,""
)</f>
        <v/>
      </c>
      <c r="I1322" s="1" t="str">
        <f t="shared" si="40"/>
        <v>No Follow-up Required</v>
      </c>
      <c r="J1322" t="str">
        <f>TEXT(Table8[[#This Row],[visit_Date]],"DDDD")</f>
        <v>Friday</v>
      </c>
      <c r="K1322" t="str">
        <f>TEXT(Table8[[#This Row],[visit_Date]],"mmmm")</f>
        <v>January</v>
      </c>
      <c r="L1322" t="str">
        <f t="shared" si="41"/>
        <v>Winter</v>
      </c>
    </row>
    <row r="1323" spans="1:12" x14ac:dyDescent="0.25">
      <c r="A1323">
        <v>1322</v>
      </c>
      <c r="B1323">
        <v>1265</v>
      </c>
      <c r="C1323">
        <v>966</v>
      </c>
      <c r="D1323" s="1">
        <v>45714</v>
      </c>
      <c r="E1323" t="s">
        <v>24</v>
      </c>
      <c r="F1323" t="s">
        <v>321</v>
      </c>
      <c r="G1323" t="str">
        <f>_xlfn.XLOOKUP(TRIM(E1324),MedicineInfo!A:A,MedicineInfo!B:B,"Not Found")</f>
        <v>Multivitamin</v>
      </c>
      <c r="H1323" s="1" t="str" cm="1">
        <f t="array" ref="H1323">_xlfn.IFS(
OR(E1323="Type 2 Diabetes",E1323="Essential Hypertension",E1323="Angina Pectoris",E1323="Bronchial Asthma",E1323="Cardiac Arrhythmia"), D1323+30,
OR(E1323="Gastritis",E1323="Osteoarthritis",E1323="Bronchitis",E1323="Iron Deficiency Anemia"), D1323+14,
OR(E1323="Lumbar Strain",E1323="Migraine Headache"), D1323+7,
OR(E1323="Viral Fever",E1323="General Checkup","Routine Health Check"), "",
TRUE,""
)</f>
        <v/>
      </c>
      <c r="I1323" s="1" t="str">
        <f t="shared" si="40"/>
        <v>No Follow-up Required</v>
      </c>
      <c r="J1323" t="str">
        <f>TEXT(Table8[[#This Row],[visit_Date]],"DDDD")</f>
        <v>Wednesday</v>
      </c>
      <c r="K1323" t="str">
        <f>TEXT(Table8[[#This Row],[visit_Date]],"mmmm")</f>
        <v>February</v>
      </c>
      <c r="L1323" t="str">
        <f t="shared" si="41"/>
        <v>Winter</v>
      </c>
    </row>
    <row r="1324" spans="1:12" x14ac:dyDescent="0.25">
      <c r="A1324">
        <v>1323</v>
      </c>
      <c r="B1324">
        <v>1020</v>
      </c>
      <c r="C1324">
        <v>1471</v>
      </c>
      <c r="D1324" s="1">
        <v>45747</v>
      </c>
      <c r="E1324" t="s">
        <v>24</v>
      </c>
      <c r="F1324" t="s">
        <v>321</v>
      </c>
      <c r="G1324" t="str">
        <f>_xlfn.XLOOKUP(TRIM(E1325),MedicineInfo!A:A,MedicineInfo!B:B,"Not Found")</f>
        <v>Multivitamin</v>
      </c>
      <c r="H1324" s="1" t="str" cm="1">
        <f t="array" ref="H1324">_xlfn.IFS(
OR(E1324="Type 2 Diabetes",E1324="Essential Hypertension",E1324="Angina Pectoris",E1324="Bronchial Asthma",E1324="Cardiac Arrhythmia"), D1324+30,
OR(E1324="Gastritis",E1324="Osteoarthritis",E1324="Bronchitis",E1324="Iron Deficiency Anemia"), D1324+14,
OR(E1324="Lumbar Strain",E1324="Migraine Headache"), D1324+7,
OR(E1324="Viral Fever",E1324="General Checkup","Routine Health Check"), "",
TRUE,""
)</f>
        <v/>
      </c>
      <c r="I1324" s="1" t="str">
        <f t="shared" si="40"/>
        <v>No Follow-up Required</v>
      </c>
      <c r="J1324" t="str">
        <f>TEXT(Table8[[#This Row],[visit_Date]],"DDDD")</f>
        <v>Monday</v>
      </c>
      <c r="K1324" t="str">
        <f>TEXT(Table8[[#This Row],[visit_Date]],"mmmm")</f>
        <v>March</v>
      </c>
      <c r="L1324" t="str">
        <f t="shared" si="41"/>
        <v>Summer</v>
      </c>
    </row>
    <row r="1325" spans="1:12" x14ac:dyDescent="0.25">
      <c r="A1325">
        <v>1324</v>
      </c>
      <c r="B1325">
        <v>1053</v>
      </c>
      <c r="C1325">
        <v>1285</v>
      </c>
      <c r="D1325" s="1">
        <v>45836</v>
      </c>
      <c r="E1325" t="s">
        <v>24</v>
      </c>
      <c r="F1325" t="s">
        <v>321</v>
      </c>
      <c r="G1325" t="str">
        <f>_xlfn.XLOOKUP(TRIM(E1326),MedicineInfo!A:A,MedicineInfo!B:B,"Not Found")</f>
        <v>Multivitamin</v>
      </c>
      <c r="H1325" s="1" t="str" cm="1">
        <f t="array" ref="H1325">_xlfn.IFS(
OR(E1325="Type 2 Diabetes",E1325="Essential Hypertension",E1325="Angina Pectoris",E1325="Bronchial Asthma",E1325="Cardiac Arrhythmia"), D1325+30,
OR(E1325="Gastritis",E1325="Osteoarthritis",E1325="Bronchitis",E1325="Iron Deficiency Anemia"), D1325+14,
OR(E1325="Lumbar Strain",E1325="Migraine Headache"), D1325+7,
OR(E1325="Viral Fever",E1325="General Checkup","Routine Health Check"), "",
TRUE,""
)</f>
        <v/>
      </c>
      <c r="I1325" s="1" t="str">
        <f t="shared" si="40"/>
        <v>No Follow-up Required</v>
      </c>
      <c r="J1325" t="str">
        <f>TEXT(Table8[[#This Row],[visit_Date]],"DDDD")</f>
        <v>Saturday</v>
      </c>
      <c r="K1325" t="str">
        <f>TEXT(Table8[[#This Row],[visit_Date]],"mmmm")</f>
        <v>June</v>
      </c>
      <c r="L1325" t="str">
        <f t="shared" si="41"/>
        <v>Monsoon</v>
      </c>
    </row>
    <row r="1326" spans="1:12" x14ac:dyDescent="0.25">
      <c r="A1326">
        <v>1325</v>
      </c>
      <c r="B1326">
        <v>1303</v>
      </c>
      <c r="C1326">
        <v>889</v>
      </c>
      <c r="D1326" s="1">
        <v>45791</v>
      </c>
      <c r="E1326" t="s">
        <v>24</v>
      </c>
      <c r="F1326" t="s">
        <v>321</v>
      </c>
      <c r="G1326" t="str">
        <f>_xlfn.XLOOKUP(TRIM(E1327),MedicineInfo!A:A,MedicineInfo!B:B,"Not Found")</f>
        <v>Multivitamin</v>
      </c>
      <c r="H1326" s="1" t="str" cm="1">
        <f t="array" ref="H1326">_xlfn.IFS(
OR(E1326="Type 2 Diabetes",E1326="Essential Hypertension",E1326="Angina Pectoris",E1326="Bronchial Asthma",E1326="Cardiac Arrhythmia"), D1326+30,
OR(E1326="Gastritis",E1326="Osteoarthritis",E1326="Bronchitis",E1326="Iron Deficiency Anemia"), D1326+14,
OR(E1326="Lumbar Strain",E1326="Migraine Headache"), D1326+7,
OR(E1326="Viral Fever",E1326="General Checkup","Routine Health Check"), "",
TRUE,""
)</f>
        <v/>
      </c>
      <c r="I1326" s="1" t="str">
        <f t="shared" si="40"/>
        <v>No Follow-up Required</v>
      </c>
      <c r="J1326" t="str">
        <f>TEXT(Table8[[#This Row],[visit_Date]],"DDDD")</f>
        <v>Wednesday</v>
      </c>
      <c r="K1326" t="str">
        <f>TEXT(Table8[[#This Row],[visit_Date]],"mmmm")</f>
        <v>May</v>
      </c>
      <c r="L1326" t="str">
        <f t="shared" si="41"/>
        <v>Summer</v>
      </c>
    </row>
    <row r="1327" spans="1:12" x14ac:dyDescent="0.25">
      <c r="A1327">
        <v>1326</v>
      </c>
      <c r="B1327">
        <v>1282</v>
      </c>
      <c r="C1327">
        <v>885</v>
      </c>
      <c r="D1327" s="1">
        <v>45747</v>
      </c>
      <c r="E1327" t="s">
        <v>24</v>
      </c>
      <c r="F1327" t="s">
        <v>321</v>
      </c>
      <c r="G1327" t="str">
        <f>_xlfn.XLOOKUP(TRIM(E1328),MedicineInfo!A:A,MedicineInfo!B:B,"Not Found")</f>
        <v>Multivitamin</v>
      </c>
      <c r="H1327" s="1" t="str" cm="1">
        <f t="array" ref="H1327">_xlfn.IFS(
OR(E1327="Type 2 Diabetes",E1327="Essential Hypertension",E1327="Angina Pectoris",E1327="Bronchial Asthma",E1327="Cardiac Arrhythmia"), D1327+30,
OR(E1327="Gastritis",E1327="Osteoarthritis",E1327="Bronchitis",E1327="Iron Deficiency Anemia"), D1327+14,
OR(E1327="Lumbar Strain",E1327="Migraine Headache"), D1327+7,
OR(E1327="Viral Fever",E1327="General Checkup","Routine Health Check"), "",
TRUE,""
)</f>
        <v/>
      </c>
      <c r="I1327" s="1" t="str">
        <f t="shared" si="40"/>
        <v>No Follow-up Required</v>
      </c>
      <c r="J1327" t="str">
        <f>TEXT(Table8[[#This Row],[visit_Date]],"DDDD")</f>
        <v>Monday</v>
      </c>
      <c r="K1327" t="str">
        <f>TEXT(Table8[[#This Row],[visit_Date]],"mmmm")</f>
        <v>March</v>
      </c>
      <c r="L1327" t="str">
        <f t="shared" si="41"/>
        <v>Summer</v>
      </c>
    </row>
    <row r="1328" spans="1:12" x14ac:dyDescent="0.25">
      <c r="A1328">
        <v>1327</v>
      </c>
      <c r="B1328">
        <v>1004</v>
      </c>
      <c r="C1328">
        <v>651</v>
      </c>
      <c r="D1328" s="1">
        <v>45685</v>
      </c>
      <c r="E1328" t="s">
        <v>24</v>
      </c>
      <c r="F1328" t="s">
        <v>321</v>
      </c>
      <c r="G1328" t="str">
        <f>_xlfn.XLOOKUP(TRIM(E1329),MedicineInfo!A:A,MedicineInfo!B:B,"Not Found")</f>
        <v>Multivitamin</v>
      </c>
      <c r="H1328" s="1" t="str" cm="1">
        <f t="array" ref="H1328">_xlfn.IFS(
OR(E1328="Type 2 Diabetes",E1328="Essential Hypertension",E1328="Angina Pectoris",E1328="Bronchial Asthma",E1328="Cardiac Arrhythmia"), D1328+30,
OR(E1328="Gastritis",E1328="Osteoarthritis",E1328="Bronchitis",E1328="Iron Deficiency Anemia"), D1328+14,
OR(E1328="Lumbar Strain",E1328="Migraine Headache"), D1328+7,
OR(E1328="Viral Fever",E1328="General Checkup","Routine Health Check"), "",
TRUE,""
)</f>
        <v/>
      </c>
      <c r="I1328" s="1" t="str">
        <f t="shared" si="40"/>
        <v>No Follow-up Required</v>
      </c>
      <c r="J1328" t="str">
        <f>TEXT(Table8[[#This Row],[visit_Date]],"DDDD")</f>
        <v>Tuesday</v>
      </c>
      <c r="K1328" t="str">
        <f>TEXT(Table8[[#This Row],[visit_Date]],"mmmm")</f>
        <v>January</v>
      </c>
      <c r="L1328" t="str">
        <f t="shared" si="41"/>
        <v>Winter</v>
      </c>
    </row>
    <row r="1329" spans="1:12" x14ac:dyDescent="0.25">
      <c r="A1329">
        <v>1328</v>
      </c>
      <c r="B1329">
        <v>1019</v>
      </c>
      <c r="C1329">
        <v>866</v>
      </c>
      <c r="D1329" s="1">
        <v>45739</v>
      </c>
      <c r="E1329" t="s">
        <v>24</v>
      </c>
      <c r="F1329" t="s">
        <v>321</v>
      </c>
      <c r="G1329" t="str">
        <f>_xlfn.XLOOKUP(TRIM(E1330),MedicineInfo!A:A,MedicineInfo!B:B,"Not Found")</f>
        <v>Sodium Valproate</v>
      </c>
      <c r="H1329" s="1" t="str" cm="1">
        <f t="array" ref="H1329">_xlfn.IFS(
OR(E1329="Type 2 Diabetes",E1329="Essential Hypertension",E1329="Angina Pectoris",E1329="Bronchial Asthma",E1329="Cardiac Arrhythmia"), D1329+30,
OR(E1329="Gastritis",E1329="Osteoarthritis",E1329="Bronchitis",E1329="Iron Deficiency Anemia"), D1329+14,
OR(E1329="Lumbar Strain",E1329="Migraine Headache"), D1329+7,
OR(E1329="Viral Fever",E1329="General Checkup","Routine Health Check"), "",
TRUE,""
)</f>
        <v/>
      </c>
      <c r="I1329" s="1" t="str">
        <f t="shared" si="40"/>
        <v>No Follow-up Required</v>
      </c>
      <c r="J1329" t="str">
        <f>TEXT(Table8[[#This Row],[visit_Date]],"DDDD")</f>
        <v>Sunday</v>
      </c>
      <c r="K1329" t="str">
        <f>TEXT(Table8[[#This Row],[visit_Date]],"mmmm")</f>
        <v>March</v>
      </c>
      <c r="L1329" t="str">
        <f t="shared" si="41"/>
        <v>Summer</v>
      </c>
    </row>
    <row r="1330" spans="1:12" x14ac:dyDescent="0.25">
      <c r="A1330">
        <v>1329</v>
      </c>
      <c r="B1330">
        <v>1306</v>
      </c>
      <c r="C1330">
        <v>740</v>
      </c>
      <c r="D1330" s="1">
        <v>45722</v>
      </c>
      <c r="E1330" t="s">
        <v>352</v>
      </c>
      <c r="F1330" t="s">
        <v>353</v>
      </c>
      <c r="G1330" t="str">
        <f>_xlfn.XLOOKUP(TRIM(E1331),MedicineInfo!A:A,MedicineInfo!B:B,"Not Found")</f>
        <v>Neuro Vitamins</v>
      </c>
      <c r="H1330" s="1" t="str" cm="1">
        <f t="array" ref="H1330">_xlfn.IFS(
OR(E1330="Type 2 Diabetes",E1330="Essential Hypertension",E1330="Angina Pectoris",E1330="Bronchial Asthma",E1330="Cardiac Arrhythmia"), D1330+30,
OR(E1330="Gastritis",E1330="Osteoarthritis",E1330="Bronchitis",E1330="Iron Deficiency Anemia"), D1330+14,
OR(E1330="Lumbar Strain",E1330="Migraine Headache"), D1330+7,
OR(E1330="Viral Fever",E1330="General Checkup","Routine Health Check"), "",
TRUE,""
)</f>
        <v/>
      </c>
      <c r="I1330" s="1" t="str">
        <f t="shared" si="40"/>
        <v>No Follow-up Required</v>
      </c>
      <c r="J1330" t="str">
        <f>TEXT(Table8[[#This Row],[visit_Date]],"DDDD")</f>
        <v>Thursday</v>
      </c>
      <c r="K1330" t="str">
        <f>TEXT(Table8[[#This Row],[visit_Date]],"mmmm")</f>
        <v>March</v>
      </c>
      <c r="L1330" t="str">
        <f t="shared" si="41"/>
        <v>Summer</v>
      </c>
    </row>
    <row r="1331" spans="1:12" x14ac:dyDescent="0.25">
      <c r="A1331">
        <v>1330</v>
      </c>
      <c r="B1331">
        <v>1072</v>
      </c>
      <c r="C1331">
        <v>1379</v>
      </c>
      <c r="D1331" s="1">
        <v>45769</v>
      </c>
      <c r="E1331" t="s">
        <v>342</v>
      </c>
      <c r="F1331" t="s">
        <v>343</v>
      </c>
      <c r="G1331" t="str">
        <f>_xlfn.XLOOKUP(TRIM(E1332),MedicineInfo!A:A,MedicineInfo!B:B,"Not Found")</f>
        <v>Multivitamin</v>
      </c>
      <c r="H1331" s="1" t="str" cm="1">
        <f t="array" ref="H1331">_xlfn.IFS(
OR(E1331="Type 2 Diabetes",E1331="Essential Hypertension",E1331="Angina Pectoris",E1331="Bronchial Asthma",E1331="Cardiac Arrhythmia"), D1331+30,
OR(E1331="Gastritis",E1331="Osteoarthritis",E1331="Bronchitis",E1331="Iron Deficiency Anemia"), D1331+14,
OR(E1331="Lumbar Strain",E1331="Migraine Headache"), D1331+7,
OR(E1331="Viral Fever",E1331="General Checkup","Routine Health Check"), "",
TRUE,""
)</f>
        <v/>
      </c>
      <c r="I1331" s="1" t="str">
        <f t="shared" si="40"/>
        <v>No Follow-up Required</v>
      </c>
      <c r="J1331" t="str">
        <f>TEXT(Table8[[#This Row],[visit_Date]],"DDDD")</f>
        <v>Tuesday</v>
      </c>
      <c r="K1331" t="str">
        <f>TEXT(Table8[[#This Row],[visit_Date]],"mmmm")</f>
        <v>April</v>
      </c>
      <c r="L1331" t="str">
        <f t="shared" si="41"/>
        <v>Summer</v>
      </c>
    </row>
    <row r="1332" spans="1:12" x14ac:dyDescent="0.25">
      <c r="A1332">
        <v>1331</v>
      </c>
      <c r="B1332">
        <v>1162</v>
      </c>
      <c r="C1332">
        <v>264</v>
      </c>
      <c r="D1332" s="1">
        <v>45747</v>
      </c>
      <c r="E1332" t="s">
        <v>24</v>
      </c>
      <c r="F1332" t="s">
        <v>321</v>
      </c>
      <c r="G1332" t="str">
        <f>_xlfn.XLOOKUP(TRIM(E1333),MedicineInfo!A:A,MedicineInfo!B:B,"Not Found")</f>
        <v>Multivitamin</v>
      </c>
      <c r="H1332" s="1" t="str" cm="1">
        <f t="array" ref="H1332">_xlfn.IFS(
OR(E1332="Type 2 Diabetes",E1332="Essential Hypertension",E1332="Angina Pectoris",E1332="Bronchial Asthma",E1332="Cardiac Arrhythmia"), D1332+30,
OR(E1332="Gastritis",E1332="Osteoarthritis",E1332="Bronchitis",E1332="Iron Deficiency Anemia"), D1332+14,
OR(E1332="Lumbar Strain",E1332="Migraine Headache"), D1332+7,
OR(E1332="Viral Fever",E1332="General Checkup","Routine Health Check"), "",
TRUE,""
)</f>
        <v/>
      </c>
      <c r="I1332" s="1" t="str">
        <f t="shared" si="40"/>
        <v>No Follow-up Required</v>
      </c>
      <c r="J1332" t="str">
        <f>TEXT(Table8[[#This Row],[visit_Date]],"DDDD")</f>
        <v>Monday</v>
      </c>
      <c r="K1332" t="str">
        <f>TEXT(Table8[[#This Row],[visit_Date]],"mmmm")</f>
        <v>March</v>
      </c>
      <c r="L1332" t="str">
        <f t="shared" si="41"/>
        <v>Summer</v>
      </c>
    </row>
    <row r="1333" spans="1:12" x14ac:dyDescent="0.25">
      <c r="A1333">
        <v>1332</v>
      </c>
      <c r="B1333">
        <v>1075</v>
      </c>
      <c r="C1333">
        <v>566</v>
      </c>
      <c r="D1333" s="1">
        <v>45790</v>
      </c>
      <c r="E1333" t="s">
        <v>24</v>
      </c>
      <c r="F1333" t="s">
        <v>321</v>
      </c>
      <c r="G1333" t="str">
        <f>_xlfn.XLOOKUP(TRIM(E1334),MedicineInfo!A:A,MedicineInfo!B:B,"Not Found")</f>
        <v>Nitroglycerin</v>
      </c>
      <c r="H1333" s="1" t="str" cm="1">
        <f t="array" ref="H1333">_xlfn.IFS(
OR(E1333="Type 2 Diabetes",E1333="Essential Hypertension",E1333="Angina Pectoris",E1333="Bronchial Asthma",E1333="Cardiac Arrhythmia"), D1333+30,
OR(E1333="Gastritis",E1333="Osteoarthritis",E1333="Bronchitis",E1333="Iron Deficiency Anemia"), D1333+14,
OR(E1333="Lumbar Strain",E1333="Migraine Headache"), D1333+7,
OR(E1333="Viral Fever",E1333="General Checkup","Routine Health Check"), "",
TRUE,""
)</f>
        <v/>
      </c>
      <c r="I1333" s="1" t="str">
        <f t="shared" si="40"/>
        <v>No Follow-up Required</v>
      </c>
      <c r="J1333" t="str">
        <f>TEXT(Table8[[#This Row],[visit_Date]],"DDDD")</f>
        <v>Tuesday</v>
      </c>
      <c r="K1333" t="str">
        <f>TEXT(Table8[[#This Row],[visit_Date]],"mmmm")</f>
        <v>May</v>
      </c>
      <c r="L1333" t="str">
        <f t="shared" si="41"/>
        <v>Summer</v>
      </c>
    </row>
    <row r="1334" spans="1:12" x14ac:dyDescent="0.25">
      <c r="A1334">
        <v>1333</v>
      </c>
      <c r="B1334">
        <v>1273</v>
      </c>
      <c r="C1334">
        <v>579</v>
      </c>
      <c r="D1334" s="1">
        <v>45746</v>
      </c>
      <c r="E1334" t="s">
        <v>322</v>
      </c>
      <c r="F1334" t="s">
        <v>323</v>
      </c>
      <c r="G1334" t="str">
        <f>_xlfn.XLOOKUP(TRIM(E1335),MedicineInfo!A:A,MedicineInfo!B:B,"Not Found")</f>
        <v>Levothyroxine</v>
      </c>
      <c r="H1334" s="1" cm="1">
        <f t="array" ref="H1334">_xlfn.IFS(
OR(E1334="Type 2 Diabetes",E1334="Essential Hypertension",E1334="Angina Pectoris",E1334="Bronchial Asthma",E1334="Cardiac Arrhythmia"), D1334+30,
OR(E1334="Gastritis",E1334="Osteoarthritis",E1334="Bronchitis",E1334="Iron Deficiency Anemia"), D1334+14,
OR(E1334="Lumbar Strain",E1334="Migraine Headache"), D1334+7,
OR(E1334="Viral Fever",E1334="General Checkup","Routine Health Check"), "",
TRUE,""
)</f>
        <v>45776</v>
      </c>
      <c r="I1334" s="1" t="str">
        <f t="shared" si="40"/>
        <v>Follow-up Scheduled</v>
      </c>
      <c r="J1334" t="str">
        <f>TEXT(Table8[[#This Row],[visit_Date]],"DDDD")</f>
        <v>Sunday</v>
      </c>
      <c r="K1334" t="str">
        <f>TEXT(Table8[[#This Row],[visit_Date]],"mmmm")</f>
        <v>March</v>
      </c>
      <c r="L1334" t="str">
        <f t="shared" si="41"/>
        <v>Summer</v>
      </c>
    </row>
    <row r="1335" spans="1:12" x14ac:dyDescent="0.25">
      <c r="A1335">
        <v>1334</v>
      </c>
      <c r="B1335">
        <v>1044</v>
      </c>
      <c r="C1335">
        <v>290</v>
      </c>
      <c r="D1335" s="1">
        <v>45686</v>
      </c>
      <c r="E1335" t="s">
        <v>360</v>
      </c>
      <c r="F1335" t="s">
        <v>361</v>
      </c>
      <c r="G1335" t="str">
        <f>_xlfn.XLOOKUP(TRIM(E1336),MedicineInfo!A:A,MedicineInfo!B:B,"Not Found")</f>
        <v>Multivitamin</v>
      </c>
      <c r="H1335" s="1" t="str" cm="1">
        <f t="array" ref="H1335">_xlfn.IFS(
OR(E1335="Type 2 Diabetes",E1335="Essential Hypertension",E1335="Angina Pectoris",E1335="Bronchial Asthma",E1335="Cardiac Arrhythmia"), D1335+30,
OR(E1335="Gastritis",E1335="Osteoarthritis",E1335="Bronchitis",E1335="Iron Deficiency Anemia"), D1335+14,
OR(E1335="Lumbar Strain",E1335="Migraine Headache"), D1335+7,
OR(E1335="Viral Fever",E1335="General Checkup","Routine Health Check"), "",
TRUE,""
)</f>
        <v/>
      </c>
      <c r="I1335" s="1" t="str">
        <f t="shared" si="40"/>
        <v>No Follow-up Required</v>
      </c>
      <c r="J1335" t="str">
        <f>TEXT(Table8[[#This Row],[visit_Date]],"DDDD")</f>
        <v>Wednesday</v>
      </c>
      <c r="K1335" t="str">
        <f>TEXT(Table8[[#This Row],[visit_Date]],"mmmm")</f>
        <v>January</v>
      </c>
      <c r="L1335" t="str">
        <f t="shared" si="41"/>
        <v>Winter</v>
      </c>
    </row>
    <row r="1336" spans="1:12" x14ac:dyDescent="0.25">
      <c r="A1336">
        <v>1335</v>
      </c>
      <c r="B1336">
        <v>1279</v>
      </c>
      <c r="C1336">
        <v>611</v>
      </c>
      <c r="D1336" s="1">
        <v>45691</v>
      </c>
      <c r="E1336" t="s">
        <v>24</v>
      </c>
      <c r="F1336" t="s">
        <v>321</v>
      </c>
      <c r="G1336" t="str">
        <f>_xlfn.XLOOKUP(TRIM(E1337),MedicineInfo!A:A,MedicineInfo!B:B,"Not Found")</f>
        <v>Multivitamin</v>
      </c>
      <c r="H1336" s="1" t="str" cm="1">
        <f t="array" ref="H1336">_xlfn.IFS(
OR(E1336="Type 2 Diabetes",E1336="Essential Hypertension",E1336="Angina Pectoris",E1336="Bronchial Asthma",E1336="Cardiac Arrhythmia"), D1336+30,
OR(E1336="Gastritis",E1336="Osteoarthritis",E1336="Bronchitis",E1336="Iron Deficiency Anemia"), D1336+14,
OR(E1336="Lumbar Strain",E1336="Migraine Headache"), D1336+7,
OR(E1336="Viral Fever",E1336="General Checkup","Routine Health Check"), "",
TRUE,""
)</f>
        <v/>
      </c>
      <c r="I1336" s="1" t="str">
        <f t="shared" si="40"/>
        <v>No Follow-up Required</v>
      </c>
      <c r="J1336" t="str">
        <f>TEXT(Table8[[#This Row],[visit_Date]],"DDDD")</f>
        <v>Monday</v>
      </c>
      <c r="K1336" t="str">
        <f>TEXT(Table8[[#This Row],[visit_Date]],"mmmm")</f>
        <v>February</v>
      </c>
      <c r="L1336" t="str">
        <f t="shared" si="41"/>
        <v>Winter</v>
      </c>
    </row>
    <row r="1337" spans="1:12" x14ac:dyDescent="0.25">
      <c r="A1337">
        <v>1336</v>
      </c>
      <c r="B1337">
        <v>1098</v>
      </c>
      <c r="C1337">
        <v>1250</v>
      </c>
      <c r="D1337" s="1">
        <v>45691</v>
      </c>
      <c r="E1337" t="s">
        <v>24</v>
      </c>
      <c r="F1337" t="s">
        <v>321</v>
      </c>
      <c r="G1337" t="str">
        <f>_xlfn.XLOOKUP(TRIM(E1338),MedicineInfo!A:A,MedicineInfo!B:B,"Not Found")</f>
        <v>Multivitamin</v>
      </c>
      <c r="H1337" s="1" t="str" cm="1">
        <f t="array" ref="H1337">_xlfn.IFS(
OR(E1337="Type 2 Diabetes",E1337="Essential Hypertension",E1337="Angina Pectoris",E1337="Bronchial Asthma",E1337="Cardiac Arrhythmia"), D1337+30,
OR(E1337="Gastritis",E1337="Osteoarthritis",E1337="Bronchitis",E1337="Iron Deficiency Anemia"), D1337+14,
OR(E1337="Lumbar Strain",E1337="Migraine Headache"), D1337+7,
OR(E1337="Viral Fever",E1337="General Checkup","Routine Health Check"), "",
TRUE,""
)</f>
        <v/>
      </c>
      <c r="I1337" s="1" t="str">
        <f t="shared" si="40"/>
        <v>No Follow-up Required</v>
      </c>
      <c r="J1337" t="str">
        <f>TEXT(Table8[[#This Row],[visit_Date]],"DDDD")</f>
        <v>Monday</v>
      </c>
      <c r="K1337" t="str">
        <f>TEXT(Table8[[#This Row],[visit_Date]],"mmmm")</f>
        <v>February</v>
      </c>
      <c r="L1337" t="str">
        <f t="shared" si="41"/>
        <v>Winter</v>
      </c>
    </row>
    <row r="1338" spans="1:12" x14ac:dyDescent="0.25">
      <c r="A1338">
        <v>1337</v>
      </c>
      <c r="B1338">
        <v>1201</v>
      </c>
      <c r="C1338">
        <v>602</v>
      </c>
      <c r="D1338" s="1">
        <v>45691</v>
      </c>
      <c r="E1338" t="s">
        <v>24</v>
      </c>
      <c r="F1338" t="s">
        <v>321</v>
      </c>
      <c r="G1338" t="str">
        <f>_xlfn.XLOOKUP(TRIM(E1339),MedicineInfo!A:A,MedicineInfo!B:B,"Not Found")</f>
        <v>Multivitamin</v>
      </c>
      <c r="H1338" s="1" t="str" cm="1">
        <f t="array" ref="H1338">_xlfn.IFS(
OR(E1338="Type 2 Diabetes",E1338="Essential Hypertension",E1338="Angina Pectoris",E1338="Bronchial Asthma",E1338="Cardiac Arrhythmia"), D1338+30,
OR(E1338="Gastritis",E1338="Osteoarthritis",E1338="Bronchitis",E1338="Iron Deficiency Anemia"), D1338+14,
OR(E1338="Lumbar Strain",E1338="Migraine Headache"), D1338+7,
OR(E1338="Viral Fever",E1338="General Checkup","Routine Health Check"), "",
TRUE,""
)</f>
        <v/>
      </c>
      <c r="I1338" s="1" t="str">
        <f t="shared" si="40"/>
        <v>No Follow-up Required</v>
      </c>
      <c r="J1338" t="str">
        <f>TEXT(Table8[[#This Row],[visit_Date]],"DDDD")</f>
        <v>Monday</v>
      </c>
      <c r="K1338" t="str">
        <f>TEXT(Table8[[#This Row],[visit_Date]],"mmmm")</f>
        <v>February</v>
      </c>
      <c r="L1338" t="str">
        <f t="shared" si="41"/>
        <v>Winter</v>
      </c>
    </row>
    <row r="1339" spans="1:12" x14ac:dyDescent="0.25">
      <c r="A1339">
        <v>1338</v>
      </c>
      <c r="B1339">
        <v>1011</v>
      </c>
      <c r="C1339">
        <v>775</v>
      </c>
      <c r="D1339" s="1">
        <v>45742</v>
      </c>
      <c r="E1339" t="s">
        <v>24</v>
      </c>
      <c r="F1339" t="s">
        <v>321</v>
      </c>
      <c r="G1339" t="str">
        <f>_xlfn.XLOOKUP(TRIM(E1340),MedicineInfo!A:A,MedicineInfo!B:B,"Not Found")</f>
        <v>Metformin</v>
      </c>
      <c r="H1339" s="1" t="str" cm="1">
        <f t="array" ref="H1339">_xlfn.IFS(
OR(E1339="Type 2 Diabetes",E1339="Essential Hypertension",E1339="Angina Pectoris",E1339="Bronchial Asthma",E1339="Cardiac Arrhythmia"), D1339+30,
OR(E1339="Gastritis",E1339="Osteoarthritis",E1339="Bronchitis",E1339="Iron Deficiency Anemia"), D1339+14,
OR(E1339="Lumbar Strain",E1339="Migraine Headache"), D1339+7,
OR(E1339="Viral Fever",E1339="General Checkup","Routine Health Check"), "",
TRUE,""
)</f>
        <v/>
      </c>
      <c r="I1339" s="1" t="str">
        <f t="shared" si="40"/>
        <v>No Follow-up Required</v>
      </c>
      <c r="J1339" t="str">
        <f>TEXT(Table8[[#This Row],[visit_Date]],"DDDD")</f>
        <v>Wednesday</v>
      </c>
      <c r="K1339" t="str">
        <f>TEXT(Table8[[#This Row],[visit_Date]],"mmmm")</f>
        <v>March</v>
      </c>
      <c r="L1339" t="str">
        <f t="shared" si="41"/>
        <v>Summer</v>
      </c>
    </row>
    <row r="1340" spans="1:12" x14ac:dyDescent="0.25">
      <c r="A1340">
        <v>1339</v>
      </c>
      <c r="B1340">
        <v>1254</v>
      </c>
      <c r="C1340">
        <v>1074</v>
      </c>
      <c r="D1340" s="1">
        <v>45767</v>
      </c>
      <c r="E1340" t="s">
        <v>317</v>
      </c>
      <c r="F1340" t="s">
        <v>318</v>
      </c>
      <c r="G1340" t="str">
        <f>_xlfn.XLOOKUP(TRIM(E1341),MedicineInfo!A:A,MedicineInfo!B:B,"Not Found")</f>
        <v>Multivitamin</v>
      </c>
      <c r="H1340" s="1" cm="1">
        <f t="array" ref="H1340">_xlfn.IFS(
OR(E1340="Type 2 Diabetes",E1340="Essential Hypertension",E1340="Angina Pectoris",E1340="Bronchial Asthma",E1340="Cardiac Arrhythmia"), D1340+30,
OR(E1340="Gastritis",E1340="Osteoarthritis",E1340="Bronchitis",E1340="Iron Deficiency Anemia"), D1340+14,
OR(E1340="Lumbar Strain",E1340="Migraine Headache"), D1340+7,
OR(E1340="Viral Fever",E1340="General Checkup","Routine Health Check"), "",
TRUE,""
)</f>
        <v>45797</v>
      </c>
      <c r="I1340" s="1" t="str">
        <f t="shared" si="40"/>
        <v>Follow-up Scheduled</v>
      </c>
      <c r="J1340" t="str">
        <f>TEXT(Table8[[#This Row],[visit_Date]],"DDDD")</f>
        <v>Sunday</v>
      </c>
      <c r="K1340" t="str">
        <f>TEXT(Table8[[#This Row],[visit_Date]],"mmmm")</f>
        <v>April</v>
      </c>
      <c r="L1340" t="str">
        <f t="shared" si="41"/>
        <v>Summer</v>
      </c>
    </row>
    <row r="1341" spans="1:12" x14ac:dyDescent="0.25">
      <c r="A1341">
        <v>1340</v>
      </c>
      <c r="B1341">
        <v>1055</v>
      </c>
      <c r="C1341">
        <v>1349</v>
      </c>
      <c r="D1341" s="1">
        <v>45797</v>
      </c>
      <c r="E1341" t="s">
        <v>24</v>
      </c>
      <c r="F1341" t="s">
        <v>321</v>
      </c>
      <c r="G1341" t="str">
        <f>_xlfn.XLOOKUP(TRIM(E1342),MedicineInfo!A:A,MedicineInfo!B:B,"Not Found")</f>
        <v>Multivitamin</v>
      </c>
      <c r="H1341" s="1" t="str" cm="1">
        <f t="array" ref="H1341">_xlfn.IFS(
OR(E1341="Type 2 Diabetes",E1341="Essential Hypertension",E1341="Angina Pectoris",E1341="Bronchial Asthma",E1341="Cardiac Arrhythmia"), D1341+30,
OR(E1341="Gastritis",E1341="Osteoarthritis",E1341="Bronchitis",E1341="Iron Deficiency Anemia"), D1341+14,
OR(E1341="Lumbar Strain",E1341="Migraine Headache"), D1341+7,
OR(E1341="Viral Fever",E1341="General Checkup","Routine Health Check"), "",
TRUE,""
)</f>
        <v/>
      </c>
      <c r="I1341" s="1" t="str">
        <f t="shared" si="40"/>
        <v>No Follow-up Required</v>
      </c>
      <c r="J1341" t="str">
        <f>TEXT(Table8[[#This Row],[visit_Date]],"DDDD")</f>
        <v>Tuesday</v>
      </c>
      <c r="K1341" t="str">
        <f>TEXT(Table8[[#This Row],[visit_Date]],"mmmm")</f>
        <v>May</v>
      </c>
      <c r="L1341" t="str">
        <f t="shared" si="41"/>
        <v>Summer</v>
      </c>
    </row>
    <row r="1342" spans="1:12" x14ac:dyDescent="0.25">
      <c r="A1342">
        <v>1341</v>
      </c>
      <c r="B1342">
        <v>1355</v>
      </c>
      <c r="C1342">
        <v>475</v>
      </c>
      <c r="D1342" s="1">
        <v>45853</v>
      </c>
      <c r="E1342" t="s">
        <v>24</v>
      </c>
      <c r="F1342" t="s">
        <v>321</v>
      </c>
      <c r="G1342" t="str">
        <f>_xlfn.XLOOKUP(TRIM(E1343),MedicineInfo!A:A,MedicineInfo!B:B,"Not Found")</f>
        <v>Levothyroxine</v>
      </c>
      <c r="H1342" s="1" t="str" cm="1">
        <f t="array" ref="H1342">_xlfn.IFS(
OR(E1342="Type 2 Diabetes",E1342="Essential Hypertension",E1342="Angina Pectoris",E1342="Bronchial Asthma",E1342="Cardiac Arrhythmia"), D1342+30,
OR(E1342="Gastritis",E1342="Osteoarthritis",E1342="Bronchitis",E1342="Iron Deficiency Anemia"), D1342+14,
OR(E1342="Lumbar Strain",E1342="Migraine Headache"), D1342+7,
OR(E1342="Viral Fever",E1342="General Checkup","Routine Health Check"), "",
TRUE,""
)</f>
        <v/>
      </c>
      <c r="I1342" s="1" t="str">
        <f t="shared" si="40"/>
        <v>No Follow-up Required</v>
      </c>
      <c r="J1342" t="str">
        <f>TEXT(Table8[[#This Row],[visit_Date]],"DDDD")</f>
        <v>Tuesday</v>
      </c>
      <c r="K1342" t="str">
        <f>TEXT(Table8[[#This Row],[visit_Date]],"mmmm")</f>
        <v>July</v>
      </c>
      <c r="L1342" t="str">
        <f t="shared" si="41"/>
        <v>Monsoon</v>
      </c>
    </row>
    <row r="1343" spans="1:12" x14ac:dyDescent="0.25">
      <c r="A1343">
        <v>1342</v>
      </c>
      <c r="B1343">
        <v>1076</v>
      </c>
      <c r="C1343">
        <v>810</v>
      </c>
      <c r="D1343" s="1">
        <v>45783</v>
      </c>
      <c r="E1343" t="s">
        <v>360</v>
      </c>
      <c r="F1343" t="s">
        <v>361</v>
      </c>
      <c r="G1343" t="str">
        <f>_xlfn.XLOOKUP(TRIM(E1344),MedicineInfo!A:A,MedicineInfo!B:B,"Not Found")</f>
        <v>Not Found</v>
      </c>
      <c r="H1343" s="1" t="str" cm="1">
        <f t="array" ref="H1343">_xlfn.IFS(
OR(E1343="Type 2 Diabetes",E1343="Essential Hypertension",E1343="Angina Pectoris",E1343="Bronchial Asthma",E1343="Cardiac Arrhythmia"), D1343+30,
OR(E1343="Gastritis",E1343="Osteoarthritis",E1343="Bronchitis",E1343="Iron Deficiency Anemia"), D1343+14,
OR(E1343="Lumbar Strain",E1343="Migraine Headache"), D1343+7,
OR(E1343="Viral Fever",E1343="General Checkup","Routine Health Check"), "",
TRUE,""
)</f>
        <v/>
      </c>
      <c r="I1343" s="1" t="str">
        <f t="shared" si="40"/>
        <v>No Follow-up Required</v>
      </c>
      <c r="J1343" t="str">
        <f>TEXT(Table8[[#This Row],[visit_Date]],"DDDD")</f>
        <v>Tuesday</v>
      </c>
      <c r="K1343" t="str">
        <f>TEXT(Table8[[#This Row],[visit_Date]],"mmmm")</f>
        <v>May</v>
      </c>
      <c r="L1343" t="str">
        <f t="shared" si="41"/>
        <v>Summer</v>
      </c>
    </row>
    <row r="1344" spans="1:12" x14ac:dyDescent="0.25">
      <c r="A1344">
        <v>1343</v>
      </c>
      <c r="B1344">
        <v>1239</v>
      </c>
      <c r="C1344">
        <v>1467</v>
      </c>
      <c r="D1344" s="1">
        <v>45777</v>
      </c>
      <c r="E1344" t="s">
        <v>340</v>
      </c>
      <c r="F1344" t="s">
        <v>341</v>
      </c>
      <c r="G1344" t="str">
        <f>_xlfn.XLOOKUP(TRIM(E1345),MedicineInfo!A:A,MedicineInfo!B:B,"Not Found")</f>
        <v>Multivitamin</v>
      </c>
      <c r="H1344" s="1" t="str" cm="1">
        <f t="array" ref="H1344">_xlfn.IFS(
OR(E1344="Type 2 Diabetes",E1344="Essential Hypertension",E1344="Angina Pectoris",E1344="Bronchial Asthma",E1344="Cardiac Arrhythmia"), D1344+30,
OR(E1344="Gastritis",E1344="Osteoarthritis",E1344="Bronchitis",E1344="Iron Deficiency Anemia"), D1344+14,
OR(E1344="Lumbar Strain",E1344="Migraine Headache"), D1344+7,
OR(E1344="Viral Fever",E1344="General Checkup","Routine Health Check"), "",
TRUE,""
)</f>
        <v/>
      </c>
      <c r="I1344" s="1" t="str">
        <f t="shared" si="40"/>
        <v>No Follow-up Required</v>
      </c>
      <c r="J1344" t="str">
        <f>TEXT(Table8[[#This Row],[visit_Date]],"DDDD")</f>
        <v>Wednesday</v>
      </c>
      <c r="K1344" t="str">
        <f>TEXT(Table8[[#This Row],[visit_Date]],"mmmm")</f>
        <v>April</v>
      </c>
      <c r="L1344" t="str">
        <f t="shared" si="41"/>
        <v>Summer</v>
      </c>
    </row>
    <row r="1345" spans="1:12" x14ac:dyDescent="0.25">
      <c r="A1345">
        <v>1344</v>
      </c>
      <c r="B1345">
        <v>1105</v>
      </c>
      <c r="C1345">
        <v>1318</v>
      </c>
      <c r="D1345" s="1">
        <v>45672</v>
      </c>
      <c r="E1345" t="s">
        <v>24</v>
      </c>
      <c r="F1345" t="s">
        <v>321</v>
      </c>
      <c r="G1345" t="str">
        <f>_xlfn.XLOOKUP(TRIM(E1346),MedicineInfo!A:A,MedicineInfo!B:B,"Not Found")</f>
        <v>Multivitamin</v>
      </c>
      <c r="H1345" s="1" t="str" cm="1">
        <f t="array" ref="H1345">_xlfn.IFS(
OR(E1345="Type 2 Diabetes",E1345="Essential Hypertension",E1345="Angina Pectoris",E1345="Bronchial Asthma",E1345="Cardiac Arrhythmia"), D1345+30,
OR(E1345="Gastritis",E1345="Osteoarthritis",E1345="Bronchitis",E1345="Iron Deficiency Anemia"), D1345+14,
OR(E1345="Lumbar Strain",E1345="Migraine Headache"), D1345+7,
OR(E1345="Viral Fever",E1345="General Checkup","Routine Health Check"), "",
TRUE,""
)</f>
        <v/>
      </c>
      <c r="I1345" s="1" t="str">
        <f t="shared" si="40"/>
        <v>No Follow-up Required</v>
      </c>
      <c r="J1345" t="str">
        <f>TEXT(Table8[[#This Row],[visit_Date]],"DDDD")</f>
        <v>Wednesday</v>
      </c>
      <c r="K1345" t="str">
        <f>TEXT(Table8[[#This Row],[visit_Date]],"mmmm")</f>
        <v>January</v>
      </c>
      <c r="L1345" t="str">
        <f t="shared" si="41"/>
        <v>Winter</v>
      </c>
    </row>
    <row r="1346" spans="1:12" x14ac:dyDescent="0.25">
      <c r="A1346">
        <v>1345</v>
      </c>
      <c r="B1346">
        <v>1075</v>
      </c>
      <c r="C1346">
        <v>162</v>
      </c>
      <c r="D1346" s="1">
        <v>45722</v>
      </c>
      <c r="E1346" t="s">
        <v>24</v>
      </c>
      <c r="F1346" t="s">
        <v>321</v>
      </c>
      <c r="G1346" t="str">
        <f>_xlfn.XLOOKUP(TRIM(E1347),MedicineInfo!A:A,MedicineInfo!B:B,"Not Found")</f>
        <v>Multivitamin</v>
      </c>
      <c r="H1346" s="1" t="str" cm="1">
        <f t="array" ref="H1346">_xlfn.IFS(
OR(E1346="Type 2 Diabetes",E1346="Essential Hypertension",E1346="Angina Pectoris",E1346="Bronchial Asthma",E1346="Cardiac Arrhythmia"), D1346+30,
OR(E1346="Gastritis",E1346="Osteoarthritis",E1346="Bronchitis",E1346="Iron Deficiency Anemia"), D1346+14,
OR(E1346="Lumbar Strain",E1346="Migraine Headache"), D1346+7,
OR(E1346="Viral Fever",E1346="General Checkup","Routine Health Check"), "",
TRUE,""
)</f>
        <v/>
      </c>
      <c r="I1346" s="1" t="str">
        <f t="shared" ref="I1346:I1409" si="42">IF(H1346="","No Follow-up Required","Follow-up Scheduled")</f>
        <v>No Follow-up Required</v>
      </c>
      <c r="J1346" t="str">
        <f>TEXT(Table8[[#This Row],[visit_Date]],"DDDD")</f>
        <v>Thursday</v>
      </c>
      <c r="K1346" t="str">
        <f>TEXT(Table8[[#This Row],[visit_Date]],"mmmm")</f>
        <v>March</v>
      </c>
      <c r="L1346" t="str">
        <f t="shared" ref="L1346:L1409" si="43">IF(OR(MONTH(D1346)=12,MONTH(D1346)&lt;=2),"Winter",
IF(MONTH(D1346)&lt;=5,"Summer","Monsoon"))</f>
        <v>Summer</v>
      </c>
    </row>
    <row r="1347" spans="1:12" x14ac:dyDescent="0.25">
      <c r="A1347">
        <v>1346</v>
      </c>
      <c r="B1347">
        <v>1146</v>
      </c>
      <c r="C1347">
        <v>1318</v>
      </c>
      <c r="D1347" s="1">
        <v>45669</v>
      </c>
      <c r="E1347" t="s">
        <v>24</v>
      </c>
      <c r="F1347" t="s">
        <v>321</v>
      </c>
      <c r="G1347" t="str">
        <f>_xlfn.XLOOKUP(TRIM(E1348),MedicineInfo!A:A,MedicineInfo!B:B,"Not Found")</f>
        <v>Multivitamin</v>
      </c>
      <c r="H1347" s="1" t="str" cm="1">
        <f t="array" ref="H1347">_xlfn.IFS(
OR(E1347="Type 2 Diabetes",E1347="Essential Hypertension",E1347="Angina Pectoris",E1347="Bronchial Asthma",E1347="Cardiac Arrhythmia"), D1347+30,
OR(E1347="Gastritis",E1347="Osteoarthritis",E1347="Bronchitis",E1347="Iron Deficiency Anemia"), D1347+14,
OR(E1347="Lumbar Strain",E1347="Migraine Headache"), D1347+7,
OR(E1347="Viral Fever",E1347="General Checkup","Routine Health Check"), "",
TRUE,""
)</f>
        <v/>
      </c>
      <c r="I1347" s="1" t="str">
        <f t="shared" si="42"/>
        <v>No Follow-up Required</v>
      </c>
      <c r="J1347" t="str">
        <f>TEXT(Table8[[#This Row],[visit_Date]],"DDDD")</f>
        <v>Sunday</v>
      </c>
      <c r="K1347" t="str">
        <f>TEXT(Table8[[#This Row],[visit_Date]],"mmmm")</f>
        <v>January</v>
      </c>
      <c r="L1347" t="str">
        <f t="shared" si="43"/>
        <v>Winter</v>
      </c>
    </row>
    <row r="1348" spans="1:12" x14ac:dyDescent="0.25">
      <c r="A1348">
        <v>1347</v>
      </c>
      <c r="B1348">
        <v>1154</v>
      </c>
      <c r="C1348">
        <v>842</v>
      </c>
      <c r="D1348" s="1">
        <v>45846</v>
      </c>
      <c r="E1348" t="s">
        <v>24</v>
      </c>
      <c r="F1348" t="s">
        <v>321</v>
      </c>
      <c r="G1348" t="str">
        <f>_xlfn.XLOOKUP(TRIM(E1349),MedicineInfo!A:A,MedicineInfo!B:B,"Not Found")</f>
        <v>Multivitamin</v>
      </c>
      <c r="H1348" s="1" t="str" cm="1">
        <f t="array" ref="H1348">_xlfn.IFS(
OR(E1348="Type 2 Diabetes",E1348="Essential Hypertension",E1348="Angina Pectoris",E1348="Bronchial Asthma",E1348="Cardiac Arrhythmia"), D1348+30,
OR(E1348="Gastritis",E1348="Osteoarthritis",E1348="Bronchitis",E1348="Iron Deficiency Anemia"), D1348+14,
OR(E1348="Lumbar Strain",E1348="Migraine Headache"), D1348+7,
OR(E1348="Viral Fever",E1348="General Checkup","Routine Health Check"), "",
TRUE,""
)</f>
        <v/>
      </c>
      <c r="I1348" s="1" t="str">
        <f t="shared" si="42"/>
        <v>No Follow-up Required</v>
      </c>
      <c r="J1348" t="str">
        <f>TEXT(Table8[[#This Row],[visit_Date]],"DDDD")</f>
        <v>Tuesday</v>
      </c>
      <c r="K1348" t="str">
        <f>TEXT(Table8[[#This Row],[visit_Date]],"mmmm")</f>
        <v>July</v>
      </c>
      <c r="L1348" t="str">
        <f t="shared" si="43"/>
        <v>Monsoon</v>
      </c>
    </row>
    <row r="1349" spans="1:12" x14ac:dyDescent="0.25">
      <c r="A1349">
        <v>1348</v>
      </c>
      <c r="B1349">
        <v>1188</v>
      </c>
      <c r="C1349">
        <v>180</v>
      </c>
      <c r="D1349" s="1">
        <v>45686</v>
      </c>
      <c r="E1349" t="s">
        <v>24</v>
      </c>
      <c r="F1349" t="s">
        <v>321</v>
      </c>
      <c r="G1349" t="str">
        <f>_xlfn.XLOOKUP(TRIM(E1350),MedicineInfo!A:A,MedicineInfo!B:B,"Not Found")</f>
        <v>Amiodarone</v>
      </c>
      <c r="H1349" s="1" t="str" cm="1">
        <f t="array" ref="H1349">_xlfn.IFS(
OR(E1349="Type 2 Diabetes",E1349="Essential Hypertension",E1349="Angina Pectoris",E1349="Bronchial Asthma",E1349="Cardiac Arrhythmia"), D1349+30,
OR(E1349="Gastritis",E1349="Osteoarthritis",E1349="Bronchitis",E1349="Iron Deficiency Anemia"), D1349+14,
OR(E1349="Lumbar Strain",E1349="Migraine Headache"), D1349+7,
OR(E1349="Viral Fever",E1349="General Checkup","Routine Health Check"), "",
TRUE,""
)</f>
        <v/>
      </c>
      <c r="I1349" s="1" t="str">
        <f t="shared" si="42"/>
        <v>No Follow-up Required</v>
      </c>
      <c r="J1349" t="str">
        <f>TEXT(Table8[[#This Row],[visit_Date]],"DDDD")</f>
        <v>Wednesday</v>
      </c>
      <c r="K1349" t="str">
        <f>TEXT(Table8[[#This Row],[visit_Date]],"mmmm")</f>
        <v>January</v>
      </c>
      <c r="L1349" t="str">
        <f t="shared" si="43"/>
        <v>Winter</v>
      </c>
    </row>
    <row r="1350" spans="1:12" x14ac:dyDescent="0.25">
      <c r="A1350">
        <v>1349</v>
      </c>
      <c r="B1350">
        <v>1080</v>
      </c>
      <c r="C1350">
        <v>1376</v>
      </c>
      <c r="D1350" s="1">
        <v>45792</v>
      </c>
      <c r="E1350" t="s">
        <v>330</v>
      </c>
      <c r="F1350" t="s">
        <v>331</v>
      </c>
      <c r="G1350" t="str">
        <f>_xlfn.XLOOKUP(TRIM(E1351),MedicineInfo!A:A,MedicineInfo!B:B,"Not Found")</f>
        <v>Multivitamin</v>
      </c>
      <c r="H1350" s="1" cm="1">
        <f t="array" ref="H1350">_xlfn.IFS(
OR(E1350="Type 2 Diabetes",E1350="Essential Hypertension",E1350="Angina Pectoris",E1350="Bronchial Asthma",E1350="Cardiac Arrhythmia"), D1350+30,
OR(E1350="Gastritis",E1350="Osteoarthritis",E1350="Bronchitis",E1350="Iron Deficiency Anemia"), D1350+14,
OR(E1350="Lumbar Strain",E1350="Migraine Headache"), D1350+7,
OR(E1350="Viral Fever",E1350="General Checkup","Routine Health Check"), "",
TRUE,""
)</f>
        <v>45822</v>
      </c>
      <c r="I1350" s="1" t="str">
        <f t="shared" si="42"/>
        <v>Follow-up Scheduled</v>
      </c>
      <c r="J1350" t="str">
        <f>TEXT(Table8[[#This Row],[visit_Date]],"DDDD")</f>
        <v>Thursday</v>
      </c>
      <c r="K1350" t="str">
        <f>TEXT(Table8[[#This Row],[visit_Date]],"mmmm")</f>
        <v>May</v>
      </c>
      <c r="L1350" t="str">
        <f t="shared" si="43"/>
        <v>Summer</v>
      </c>
    </row>
    <row r="1351" spans="1:12" x14ac:dyDescent="0.25">
      <c r="A1351">
        <v>1350</v>
      </c>
      <c r="B1351">
        <v>1011</v>
      </c>
      <c r="C1351">
        <v>1429</v>
      </c>
      <c r="D1351" s="1">
        <v>45686</v>
      </c>
      <c r="E1351" t="s">
        <v>24</v>
      </c>
      <c r="F1351" t="s">
        <v>321</v>
      </c>
      <c r="G1351" t="str">
        <f>_xlfn.XLOOKUP(TRIM(E1352),MedicineInfo!A:A,MedicineInfo!B:B,"Not Found")</f>
        <v>Multivitamin</v>
      </c>
      <c r="H1351" s="1" t="str" cm="1">
        <f t="array" ref="H1351">_xlfn.IFS(
OR(E1351="Type 2 Diabetes",E1351="Essential Hypertension",E1351="Angina Pectoris",E1351="Bronchial Asthma",E1351="Cardiac Arrhythmia"), D1351+30,
OR(E1351="Gastritis",E1351="Osteoarthritis",E1351="Bronchitis",E1351="Iron Deficiency Anemia"), D1351+14,
OR(E1351="Lumbar Strain",E1351="Migraine Headache"), D1351+7,
OR(E1351="Viral Fever",E1351="General Checkup","Routine Health Check"), "",
TRUE,""
)</f>
        <v/>
      </c>
      <c r="I1351" s="1" t="str">
        <f t="shared" si="42"/>
        <v>No Follow-up Required</v>
      </c>
      <c r="J1351" t="str">
        <f>TEXT(Table8[[#This Row],[visit_Date]],"DDDD")</f>
        <v>Wednesday</v>
      </c>
      <c r="K1351" t="str">
        <f>TEXT(Table8[[#This Row],[visit_Date]],"mmmm")</f>
        <v>January</v>
      </c>
      <c r="L1351" t="str">
        <f t="shared" si="43"/>
        <v>Winter</v>
      </c>
    </row>
    <row r="1352" spans="1:12" x14ac:dyDescent="0.25">
      <c r="A1352">
        <v>1351</v>
      </c>
      <c r="B1352">
        <v>1224</v>
      </c>
      <c r="C1352">
        <v>1576</v>
      </c>
      <c r="D1352" s="1">
        <v>45738</v>
      </c>
      <c r="E1352" t="s">
        <v>24</v>
      </c>
      <c r="F1352" t="s">
        <v>321</v>
      </c>
      <c r="G1352" t="str">
        <f>_xlfn.XLOOKUP(TRIM(E1353),MedicineInfo!A:A,MedicineInfo!B:B,"Not Found")</f>
        <v>Multivitamin</v>
      </c>
      <c r="H1352" s="1" t="str" cm="1">
        <f t="array" ref="H1352">_xlfn.IFS(
OR(E1352="Type 2 Diabetes",E1352="Essential Hypertension",E1352="Angina Pectoris",E1352="Bronchial Asthma",E1352="Cardiac Arrhythmia"), D1352+30,
OR(E1352="Gastritis",E1352="Osteoarthritis",E1352="Bronchitis",E1352="Iron Deficiency Anemia"), D1352+14,
OR(E1352="Lumbar Strain",E1352="Migraine Headache"), D1352+7,
OR(E1352="Viral Fever",E1352="General Checkup","Routine Health Check"), "",
TRUE,""
)</f>
        <v/>
      </c>
      <c r="I1352" s="1" t="str">
        <f t="shared" si="42"/>
        <v>No Follow-up Required</v>
      </c>
      <c r="J1352" t="str">
        <f>TEXT(Table8[[#This Row],[visit_Date]],"DDDD")</f>
        <v>Saturday</v>
      </c>
      <c r="K1352" t="str">
        <f>TEXT(Table8[[#This Row],[visit_Date]],"mmmm")</f>
        <v>March</v>
      </c>
      <c r="L1352" t="str">
        <f t="shared" si="43"/>
        <v>Summer</v>
      </c>
    </row>
    <row r="1353" spans="1:12" x14ac:dyDescent="0.25">
      <c r="A1353">
        <v>1352</v>
      </c>
      <c r="B1353">
        <v>1235</v>
      </c>
      <c r="C1353">
        <v>1180</v>
      </c>
      <c r="D1353" s="1">
        <v>45706</v>
      </c>
      <c r="E1353" t="s">
        <v>24</v>
      </c>
      <c r="F1353" t="s">
        <v>321</v>
      </c>
      <c r="G1353" t="str">
        <f>_xlfn.XLOOKUP(TRIM(E1354),MedicineInfo!A:A,MedicineInfo!B:B,"Not Found")</f>
        <v>Multivitamin</v>
      </c>
      <c r="H1353" s="1" t="str" cm="1">
        <f t="array" ref="H1353">_xlfn.IFS(
OR(E1353="Type 2 Diabetes",E1353="Essential Hypertension",E1353="Angina Pectoris",E1353="Bronchial Asthma",E1353="Cardiac Arrhythmia"), D1353+30,
OR(E1353="Gastritis",E1353="Osteoarthritis",E1353="Bronchitis",E1353="Iron Deficiency Anemia"), D1353+14,
OR(E1353="Lumbar Strain",E1353="Migraine Headache"), D1353+7,
OR(E1353="Viral Fever",E1353="General Checkup","Routine Health Check"), "",
TRUE,""
)</f>
        <v/>
      </c>
      <c r="I1353" s="1" t="str">
        <f t="shared" si="42"/>
        <v>No Follow-up Required</v>
      </c>
      <c r="J1353" t="str">
        <f>TEXT(Table8[[#This Row],[visit_Date]],"DDDD")</f>
        <v>Tuesday</v>
      </c>
      <c r="K1353" t="str">
        <f>TEXT(Table8[[#This Row],[visit_Date]],"mmmm")</f>
        <v>February</v>
      </c>
      <c r="L1353" t="str">
        <f t="shared" si="43"/>
        <v>Winter</v>
      </c>
    </row>
    <row r="1354" spans="1:12" x14ac:dyDescent="0.25">
      <c r="A1354">
        <v>1353</v>
      </c>
      <c r="B1354">
        <v>1113</v>
      </c>
      <c r="C1354">
        <v>390</v>
      </c>
      <c r="D1354" s="1">
        <v>45799</v>
      </c>
      <c r="E1354" t="s">
        <v>24</v>
      </c>
      <c r="F1354" t="s">
        <v>321</v>
      </c>
      <c r="G1354" t="str">
        <f>_xlfn.XLOOKUP(TRIM(E1355),MedicineInfo!A:A,MedicineInfo!B:B,"Not Found")</f>
        <v>Not Found</v>
      </c>
      <c r="H1354" s="1" t="str" cm="1">
        <f t="array" ref="H1354">_xlfn.IFS(
OR(E1354="Type 2 Diabetes",E1354="Essential Hypertension",E1354="Angina Pectoris",E1354="Bronchial Asthma",E1354="Cardiac Arrhythmia"), D1354+30,
OR(E1354="Gastritis",E1354="Osteoarthritis",E1354="Bronchitis",E1354="Iron Deficiency Anemia"), D1354+14,
OR(E1354="Lumbar Strain",E1354="Migraine Headache"), D1354+7,
OR(E1354="Viral Fever",E1354="General Checkup","Routine Health Check"), "",
TRUE,""
)</f>
        <v/>
      </c>
      <c r="I1354" s="1" t="str">
        <f t="shared" si="42"/>
        <v>No Follow-up Required</v>
      </c>
      <c r="J1354" t="str">
        <f>TEXT(Table8[[#This Row],[visit_Date]],"DDDD")</f>
        <v>Thursday</v>
      </c>
      <c r="K1354" t="str">
        <f>TEXT(Table8[[#This Row],[visit_Date]],"mmmm")</f>
        <v>May</v>
      </c>
      <c r="L1354" t="str">
        <f t="shared" si="43"/>
        <v>Summer</v>
      </c>
    </row>
    <row r="1355" spans="1:12" x14ac:dyDescent="0.25">
      <c r="A1355">
        <v>1354</v>
      </c>
      <c r="B1355">
        <v>1162</v>
      </c>
      <c r="C1355">
        <v>376</v>
      </c>
      <c r="D1355" s="1">
        <v>45691</v>
      </c>
      <c r="E1355" t="s">
        <v>340</v>
      </c>
      <c r="F1355" t="s">
        <v>341</v>
      </c>
      <c r="G1355" t="str">
        <f>_xlfn.XLOOKUP(TRIM(E1356),MedicineInfo!A:A,MedicineInfo!B:B,"Not Found")</f>
        <v>Folic Acid</v>
      </c>
      <c r="H1355" s="1" t="str" cm="1">
        <f t="array" ref="H1355">_xlfn.IFS(
OR(E1355="Type 2 Diabetes",E1355="Essential Hypertension",E1355="Angina Pectoris",E1355="Bronchial Asthma",E1355="Cardiac Arrhythmia"), D1355+30,
OR(E1355="Gastritis",E1355="Osteoarthritis",E1355="Bronchitis",E1355="Iron Deficiency Anemia"), D1355+14,
OR(E1355="Lumbar Strain",E1355="Migraine Headache"), D1355+7,
OR(E1355="Viral Fever",E1355="General Checkup","Routine Health Check"), "",
TRUE,""
)</f>
        <v/>
      </c>
      <c r="I1355" s="1" t="str">
        <f t="shared" si="42"/>
        <v>No Follow-up Required</v>
      </c>
      <c r="J1355" t="str">
        <f>TEXT(Table8[[#This Row],[visit_Date]],"DDDD")</f>
        <v>Monday</v>
      </c>
      <c r="K1355" t="str">
        <f>TEXT(Table8[[#This Row],[visit_Date]],"mmmm")</f>
        <v>February</v>
      </c>
      <c r="L1355" t="str">
        <f t="shared" si="43"/>
        <v>Winter</v>
      </c>
    </row>
    <row r="1356" spans="1:12" x14ac:dyDescent="0.25">
      <c r="A1356">
        <v>1355</v>
      </c>
      <c r="B1356">
        <v>1124</v>
      </c>
      <c r="C1356">
        <v>599</v>
      </c>
      <c r="D1356" s="1">
        <v>45834</v>
      </c>
      <c r="E1356" t="s">
        <v>356</v>
      </c>
      <c r="F1356" t="s">
        <v>357</v>
      </c>
      <c r="G1356" t="str">
        <f>_xlfn.XLOOKUP(TRIM(E1357),MedicineInfo!A:A,MedicineInfo!B:B,"Not Found")</f>
        <v>Multivitamin</v>
      </c>
      <c r="H1356" s="1" t="str" cm="1">
        <f t="array" ref="H1356">_xlfn.IFS(
OR(E1356="Type 2 Diabetes",E1356="Essential Hypertension",E1356="Angina Pectoris",E1356="Bronchial Asthma",E1356="Cardiac Arrhythmia"), D1356+30,
OR(E1356="Gastritis",E1356="Osteoarthritis",E1356="Bronchitis",E1356="Iron Deficiency Anemia"), D1356+14,
OR(E1356="Lumbar Strain",E1356="Migraine Headache"), D1356+7,
OR(E1356="Viral Fever",E1356="General Checkup","Routine Health Check"), "",
TRUE,""
)</f>
        <v/>
      </c>
      <c r="I1356" s="1" t="str">
        <f t="shared" si="42"/>
        <v>No Follow-up Required</v>
      </c>
      <c r="J1356" t="str">
        <f>TEXT(Table8[[#This Row],[visit_Date]],"DDDD")</f>
        <v>Thursday</v>
      </c>
      <c r="K1356" t="str">
        <f>TEXT(Table8[[#This Row],[visit_Date]],"mmmm")</f>
        <v>June</v>
      </c>
      <c r="L1356" t="str">
        <f t="shared" si="43"/>
        <v>Monsoon</v>
      </c>
    </row>
    <row r="1357" spans="1:12" x14ac:dyDescent="0.25">
      <c r="A1357">
        <v>1356</v>
      </c>
      <c r="B1357">
        <v>1316</v>
      </c>
      <c r="C1357">
        <v>345</v>
      </c>
      <c r="D1357" s="1">
        <v>45814</v>
      </c>
      <c r="E1357" t="s">
        <v>24</v>
      </c>
      <c r="F1357" t="s">
        <v>321</v>
      </c>
      <c r="G1357" t="str">
        <f>_xlfn.XLOOKUP(TRIM(E1358),MedicineInfo!A:A,MedicineInfo!B:B,"Not Found")</f>
        <v>Paracetamol</v>
      </c>
      <c r="H1357" s="1" t="str" cm="1">
        <f t="array" ref="H1357">_xlfn.IFS(
OR(E1357="Type 2 Diabetes",E1357="Essential Hypertension",E1357="Angina Pectoris",E1357="Bronchial Asthma",E1357="Cardiac Arrhythmia"), D1357+30,
OR(E1357="Gastritis",E1357="Osteoarthritis",E1357="Bronchitis",E1357="Iron Deficiency Anemia"), D1357+14,
OR(E1357="Lumbar Strain",E1357="Migraine Headache"), D1357+7,
OR(E1357="Viral Fever",E1357="General Checkup","Routine Health Check"), "",
TRUE,""
)</f>
        <v/>
      </c>
      <c r="I1357" s="1" t="str">
        <f t="shared" si="42"/>
        <v>No Follow-up Required</v>
      </c>
      <c r="J1357" t="str">
        <f>TEXT(Table8[[#This Row],[visit_Date]],"DDDD")</f>
        <v>Friday</v>
      </c>
      <c r="K1357" t="str">
        <f>TEXT(Table8[[#This Row],[visit_Date]],"mmmm")</f>
        <v>June</v>
      </c>
      <c r="L1357" t="str">
        <f t="shared" si="43"/>
        <v>Monsoon</v>
      </c>
    </row>
    <row r="1358" spans="1:12" x14ac:dyDescent="0.25">
      <c r="A1358">
        <v>1357</v>
      </c>
      <c r="B1358">
        <v>1178</v>
      </c>
      <c r="C1358">
        <v>326</v>
      </c>
      <c r="D1358" s="1">
        <v>45819</v>
      </c>
      <c r="E1358" t="s">
        <v>326</v>
      </c>
      <c r="F1358" t="s">
        <v>327</v>
      </c>
      <c r="G1358" t="str">
        <f>_xlfn.XLOOKUP(TRIM(E1359),MedicineInfo!A:A,MedicineInfo!B:B,"Not Found")</f>
        <v>Multivitamin</v>
      </c>
      <c r="H1358" s="1" t="str" cm="1">
        <f t="array" ref="H1358">_xlfn.IFS(
OR(E1358="Type 2 Diabetes",E1358="Essential Hypertension",E1358="Angina Pectoris",E1358="Bronchial Asthma",E1358="Cardiac Arrhythmia"), D1358+30,
OR(E1358="Gastritis",E1358="Osteoarthritis",E1358="Bronchitis",E1358="Iron Deficiency Anemia"), D1358+14,
OR(E1358="Lumbar Strain",E1358="Migraine Headache"), D1358+7,
OR(E1358="Viral Fever",E1358="General Checkup","Routine Health Check"), "",
TRUE,""
)</f>
        <v/>
      </c>
      <c r="I1358" s="1" t="str">
        <f t="shared" si="42"/>
        <v>No Follow-up Required</v>
      </c>
      <c r="J1358" t="str">
        <f>TEXT(Table8[[#This Row],[visit_Date]],"DDDD")</f>
        <v>Wednesday</v>
      </c>
      <c r="K1358" t="str">
        <f>TEXT(Table8[[#This Row],[visit_Date]],"mmmm")</f>
        <v>June</v>
      </c>
      <c r="L1358" t="str">
        <f t="shared" si="43"/>
        <v>Monsoon</v>
      </c>
    </row>
    <row r="1359" spans="1:12" x14ac:dyDescent="0.25">
      <c r="A1359">
        <v>1358</v>
      </c>
      <c r="B1359">
        <v>1311</v>
      </c>
      <c r="C1359">
        <v>149</v>
      </c>
      <c r="D1359" s="1">
        <v>45792</v>
      </c>
      <c r="E1359" t="s">
        <v>24</v>
      </c>
      <c r="F1359" t="s">
        <v>321</v>
      </c>
      <c r="G1359" t="str">
        <f>_xlfn.XLOOKUP(TRIM(E1360),MedicineInfo!A:A,MedicineInfo!B:B,"Not Found")</f>
        <v>Multivitamin</v>
      </c>
      <c r="H1359" s="1" t="str" cm="1">
        <f t="array" ref="H1359">_xlfn.IFS(
OR(E1359="Type 2 Diabetes",E1359="Essential Hypertension",E1359="Angina Pectoris",E1359="Bronchial Asthma",E1359="Cardiac Arrhythmia"), D1359+30,
OR(E1359="Gastritis",E1359="Osteoarthritis",E1359="Bronchitis",E1359="Iron Deficiency Anemia"), D1359+14,
OR(E1359="Lumbar Strain",E1359="Migraine Headache"), D1359+7,
OR(E1359="Viral Fever",E1359="General Checkup","Routine Health Check"), "",
TRUE,""
)</f>
        <v/>
      </c>
      <c r="I1359" s="1" t="str">
        <f t="shared" si="42"/>
        <v>No Follow-up Required</v>
      </c>
      <c r="J1359" t="str">
        <f>TEXT(Table8[[#This Row],[visit_Date]],"DDDD")</f>
        <v>Thursday</v>
      </c>
      <c r="K1359" t="str">
        <f>TEXT(Table8[[#This Row],[visit_Date]],"mmmm")</f>
        <v>May</v>
      </c>
      <c r="L1359" t="str">
        <f t="shared" si="43"/>
        <v>Summer</v>
      </c>
    </row>
    <row r="1360" spans="1:12" x14ac:dyDescent="0.25">
      <c r="A1360">
        <v>1359</v>
      </c>
      <c r="B1360">
        <v>1217</v>
      </c>
      <c r="C1360">
        <v>1426</v>
      </c>
      <c r="D1360" s="1">
        <v>45732</v>
      </c>
      <c r="E1360" t="s">
        <v>24</v>
      </c>
      <c r="F1360" t="s">
        <v>321</v>
      </c>
      <c r="G1360" t="str">
        <f>_xlfn.XLOOKUP(TRIM(E1361),MedicineInfo!A:A,MedicineInfo!B:B,"Not Found")</f>
        <v>Multivitamin</v>
      </c>
      <c r="H1360" s="1" t="str" cm="1">
        <f t="array" ref="H1360">_xlfn.IFS(
OR(E1360="Type 2 Diabetes",E1360="Essential Hypertension",E1360="Angina Pectoris",E1360="Bronchial Asthma",E1360="Cardiac Arrhythmia"), D1360+30,
OR(E1360="Gastritis",E1360="Osteoarthritis",E1360="Bronchitis",E1360="Iron Deficiency Anemia"), D1360+14,
OR(E1360="Lumbar Strain",E1360="Migraine Headache"), D1360+7,
OR(E1360="Viral Fever",E1360="General Checkup","Routine Health Check"), "",
TRUE,""
)</f>
        <v/>
      </c>
      <c r="I1360" s="1" t="str">
        <f t="shared" si="42"/>
        <v>No Follow-up Required</v>
      </c>
      <c r="J1360" t="str">
        <f>TEXT(Table8[[#This Row],[visit_Date]],"DDDD")</f>
        <v>Sunday</v>
      </c>
      <c r="K1360" t="str">
        <f>TEXT(Table8[[#This Row],[visit_Date]],"mmmm")</f>
        <v>March</v>
      </c>
      <c r="L1360" t="str">
        <f t="shared" si="43"/>
        <v>Summer</v>
      </c>
    </row>
    <row r="1361" spans="1:12" x14ac:dyDescent="0.25">
      <c r="A1361">
        <v>1360</v>
      </c>
      <c r="B1361">
        <v>1048</v>
      </c>
      <c r="C1361">
        <v>969</v>
      </c>
      <c r="D1361" s="1">
        <v>45784</v>
      </c>
      <c r="E1361" t="s">
        <v>24</v>
      </c>
      <c r="F1361" t="s">
        <v>321</v>
      </c>
      <c r="G1361" t="str">
        <f>_xlfn.XLOOKUP(TRIM(E1362),MedicineInfo!A:A,MedicineInfo!B:B,"Not Found")</f>
        <v>Multivitamin</v>
      </c>
      <c r="H1361" s="1" t="str" cm="1">
        <f t="array" ref="H1361">_xlfn.IFS(
OR(E1361="Type 2 Diabetes",E1361="Essential Hypertension",E1361="Angina Pectoris",E1361="Bronchial Asthma",E1361="Cardiac Arrhythmia"), D1361+30,
OR(E1361="Gastritis",E1361="Osteoarthritis",E1361="Bronchitis",E1361="Iron Deficiency Anemia"), D1361+14,
OR(E1361="Lumbar Strain",E1361="Migraine Headache"), D1361+7,
OR(E1361="Viral Fever",E1361="General Checkup","Routine Health Check"), "",
TRUE,""
)</f>
        <v/>
      </c>
      <c r="I1361" s="1" t="str">
        <f t="shared" si="42"/>
        <v>No Follow-up Required</v>
      </c>
      <c r="J1361" t="str">
        <f>TEXT(Table8[[#This Row],[visit_Date]],"DDDD")</f>
        <v>Wednesday</v>
      </c>
      <c r="K1361" t="str">
        <f>TEXT(Table8[[#This Row],[visit_Date]],"mmmm")</f>
        <v>May</v>
      </c>
      <c r="L1361" t="str">
        <f t="shared" si="43"/>
        <v>Summer</v>
      </c>
    </row>
    <row r="1362" spans="1:12" x14ac:dyDescent="0.25">
      <c r="A1362">
        <v>1361</v>
      </c>
      <c r="B1362">
        <v>1220</v>
      </c>
      <c r="C1362">
        <v>1371</v>
      </c>
      <c r="D1362" s="1">
        <v>45767</v>
      </c>
      <c r="E1362" t="s">
        <v>24</v>
      </c>
      <c r="F1362" t="s">
        <v>321</v>
      </c>
      <c r="G1362" t="str">
        <f>_xlfn.XLOOKUP(TRIM(E1363),MedicineInfo!A:A,MedicineInfo!B:B,"Not Found")</f>
        <v>Multivitamin</v>
      </c>
      <c r="H1362" s="1" t="str" cm="1">
        <f t="array" ref="H1362">_xlfn.IFS(
OR(E1362="Type 2 Diabetes",E1362="Essential Hypertension",E1362="Angina Pectoris",E1362="Bronchial Asthma",E1362="Cardiac Arrhythmia"), D1362+30,
OR(E1362="Gastritis",E1362="Osteoarthritis",E1362="Bronchitis",E1362="Iron Deficiency Anemia"), D1362+14,
OR(E1362="Lumbar Strain",E1362="Migraine Headache"), D1362+7,
OR(E1362="Viral Fever",E1362="General Checkup","Routine Health Check"), "",
TRUE,""
)</f>
        <v/>
      </c>
      <c r="I1362" s="1" t="str">
        <f t="shared" si="42"/>
        <v>No Follow-up Required</v>
      </c>
      <c r="J1362" t="str">
        <f>TEXT(Table8[[#This Row],[visit_Date]],"DDDD")</f>
        <v>Sunday</v>
      </c>
      <c r="K1362" t="str">
        <f>TEXT(Table8[[#This Row],[visit_Date]],"mmmm")</f>
        <v>April</v>
      </c>
      <c r="L1362" t="str">
        <f t="shared" si="43"/>
        <v>Summer</v>
      </c>
    </row>
    <row r="1363" spans="1:12" x14ac:dyDescent="0.25">
      <c r="A1363">
        <v>1362</v>
      </c>
      <c r="B1363">
        <v>1115</v>
      </c>
      <c r="C1363">
        <v>1281</v>
      </c>
      <c r="D1363" s="1">
        <v>45751</v>
      </c>
      <c r="E1363" t="s">
        <v>24</v>
      </c>
      <c r="F1363" t="s">
        <v>321</v>
      </c>
      <c r="G1363" t="str">
        <f>_xlfn.XLOOKUP(TRIM(E1364),MedicineInfo!A:A,MedicineInfo!B:B,"Not Found")</f>
        <v>Multivitamin</v>
      </c>
      <c r="H1363" s="1" t="str" cm="1">
        <f t="array" ref="H1363">_xlfn.IFS(
OR(E1363="Type 2 Diabetes",E1363="Essential Hypertension",E1363="Angina Pectoris",E1363="Bronchial Asthma",E1363="Cardiac Arrhythmia"), D1363+30,
OR(E1363="Gastritis",E1363="Osteoarthritis",E1363="Bronchitis",E1363="Iron Deficiency Anemia"), D1363+14,
OR(E1363="Lumbar Strain",E1363="Migraine Headache"), D1363+7,
OR(E1363="Viral Fever",E1363="General Checkup","Routine Health Check"), "",
TRUE,""
)</f>
        <v/>
      </c>
      <c r="I1363" s="1" t="str">
        <f t="shared" si="42"/>
        <v>No Follow-up Required</v>
      </c>
      <c r="J1363" t="str">
        <f>TEXT(Table8[[#This Row],[visit_Date]],"DDDD")</f>
        <v>Friday</v>
      </c>
      <c r="K1363" t="str">
        <f>TEXT(Table8[[#This Row],[visit_Date]],"mmmm")</f>
        <v>April</v>
      </c>
      <c r="L1363" t="str">
        <f t="shared" si="43"/>
        <v>Summer</v>
      </c>
    </row>
    <row r="1364" spans="1:12" x14ac:dyDescent="0.25">
      <c r="A1364">
        <v>1363</v>
      </c>
      <c r="B1364">
        <v>1229</v>
      </c>
      <c r="C1364">
        <v>1492</v>
      </c>
      <c r="D1364" s="1">
        <v>45741</v>
      </c>
      <c r="E1364" t="s">
        <v>24</v>
      </c>
      <c r="F1364" t="s">
        <v>321</v>
      </c>
      <c r="G1364" t="str">
        <f>_xlfn.XLOOKUP(TRIM(E1365),MedicineInfo!A:A,MedicineInfo!B:B,"Not Found")</f>
        <v>Multivitamin</v>
      </c>
      <c r="H1364" s="1" t="str" cm="1">
        <f t="array" ref="H1364">_xlfn.IFS(
OR(E1364="Type 2 Diabetes",E1364="Essential Hypertension",E1364="Angina Pectoris",E1364="Bronchial Asthma",E1364="Cardiac Arrhythmia"), D1364+30,
OR(E1364="Gastritis",E1364="Osteoarthritis",E1364="Bronchitis",E1364="Iron Deficiency Anemia"), D1364+14,
OR(E1364="Lumbar Strain",E1364="Migraine Headache"), D1364+7,
OR(E1364="Viral Fever",E1364="General Checkup","Routine Health Check"), "",
TRUE,""
)</f>
        <v/>
      </c>
      <c r="I1364" s="1" t="str">
        <f t="shared" si="42"/>
        <v>No Follow-up Required</v>
      </c>
      <c r="J1364" t="str">
        <f>TEXT(Table8[[#This Row],[visit_Date]],"DDDD")</f>
        <v>Tuesday</v>
      </c>
      <c r="K1364" t="str">
        <f>TEXT(Table8[[#This Row],[visit_Date]],"mmmm")</f>
        <v>March</v>
      </c>
      <c r="L1364" t="str">
        <f t="shared" si="43"/>
        <v>Summer</v>
      </c>
    </row>
    <row r="1365" spans="1:12" x14ac:dyDescent="0.25">
      <c r="A1365">
        <v>1364</v>
      </c>
      <c r="B1365">
        <v>1112</v>
      </c>
      <c r="C1365">
        <v>282</v>
      </c>
      <c r="D1365" s="1">
        <v>45853</v>
      </c>
      <c r="E1365" t="s">
        <v>24</v>
      </c>
      <c r="F1365" t="s">
        <v>321</v>
      </c>
      <c r="G1365" t="str">
        <f>_xlfn.XLOOKUP(TRIM(E1366),MedicineInfo!A:A,MedicineInfo!B:B,"Not Found")</f>
        <v>Multivitamin</v>
      </c>
      <c r="H1365" s="1" t="str" cm="1">
        <f t="array" ref="H1365">_xlfn.IFS(
OR(E1365="Type 2 Diabetes",E1365="Essential Hypertension",E1365="Angina Pectoris",E1365="Bronchial Asthma",E1365="Cardiac Arrhythmia"), D1365+30,
OR(E1365="Gastritis",E1365="Osteoarthritis",E1365="Bronchitis",E1365="Iron Deficiency Anemia"), D1365+14,
OR(E1365="Lumbar Strain",E1365="Migraine Headache"), D1365+7,
OR(E1365="Viral Fever",E1365="General Checkup","Routine Health Check"), "",
TRUE,""
)</f>
        <v/>
      </c>
      <c r="I1365" s="1" t="str">
        <f t="shared" si="42"/>
        <v>No Follow-up Required</v>
      </c>
      <c r="J1365" t="str">
        <f>TEXT(Table8[[#This Row],[visit_Date]],"DDDD")</f>
        <v>Tuesday</v>
      </c>
      <c r="K1365" t="str">
        <f>TEXT(Table8[[#This Row],[visit_Date]],"mmmm")</f>
        <v>July</v>
      </c>
      <c r="L1365" t="str">
        <f t="shared" si="43"/>
        <v>Monsoon</v>
      </c>
    </row>
    <row r="1366" spans="1:12" x14ac:dyDescent="0.25">
      <c r="A1366">
        <v>1365</v>
      </c>
      <c r="B1366">
        <v>1390</v>
      </c>
      <c r="C1366">
        <v>1449</v>
      </c>
      <c r="D1366" s="1">
        <v>45820</v>
      </c>
      <c r="E1366" t="s">
        <v>24</v>
      </c>
      <c r="F1366" t="s">
        <v>321</v>
      </c>
      <c r="G1366" t="str">
        <f>_xlfn.XLOOKUP(TRIM(E1367),MedicineInfo!A:A,MedicineInfo!B:B,"Not Found")</f>
        <v>Not Found</v>
      </c>
      <c r="H1366" s="1" t="str" cm="1">
        <f t="array" ref="H1366">_xlfn.IFS(
OR(E1366="Type 2 Diabetes",E1366="Essential Hypertension",E1366="Angina Pectoris",E1366="Bronchial Asthma",E1366="Cardiac Arrhythmia"), D1366+30,
OR(E1366="Gastritis",E1366="Osteoarthritis",E1366="Bronchitis",E1366="Iron Deficiency Anemia"), D1366+14,
OR(E1366="Lumbar Strain",E1366="Migraine Headache"), D1366+7,
OR(E1366="Viral Fever",E1366="General Checkup","Routine Health Check"), "",
TRUE,""
)</f>
        <v/>
      </c>
      <c r="I1366" s="1" t="str">
        <f t="shared" si="42"/>
        <v>No Follow-up Required</v>
      </c>
      <c r="J1366" t="str">
        <f>TEXT(Table8[[#This Row],[visit_Date]],"DDDD")</f>
        <v>Thursday</v>
      </c>
      <c r="K1366" t="str">
        <f>TEXT(Table8[[#This Row],[visit_Date]],"mmmm")</f>
        <v>June</v>
      </c>
      <c r="L1366" t="str">
        <f t="shared" si="43"/>
        <v>Monsoon</v>
      </c>
    </row>
    <row r="1367" spans="1:12" x14ac:dyDescent="0.25">
      <c r="A1367">
        <v>1366</v>
      </c>
      <c r="B1367">
        <v>1171</v>
      </c>
      <c r="C1367">
        <v>493</v>
      </c>
      <c r="D1367" s="1">
        <v>45672</v>
      </c>
      <c r="E1367" t="s">
        <v>340</v>
      </c>
      <c r="F1367" t="s">
        <v>341</v>
      </c>
      <c r="G1367" t="str">
        <f>_xlfn.XLOOKUP(TRIM(E1368),MedicineInfo!A:A,MedicineInfo!B:B,"Not Found")</f>
        <v>Multivitamin</v>
      </c>
      <c r="H1367" s="1" t="str" cm="1">
        <f t="array" ref="H1367">_xlfn.IFS(
OR(E1367="Type 2 Diabetes",E1367="Essential Hypertension",E1367="Angina Pectoris",E1367="Bronchial Asthma",E1367="Cardiac Arrhythmia"), D1367+30,
OR(E1367="Gastritis",E1367="Osteoarthritis",E1367="Bronchitis",E1367="Iron Deficiency Anemia"), D1367+14,
OR(E1367="Lumbar Strain",E1367="Migraine Headache"), D1367+7,
OR(E1367="Viral Fever",E1367="General Checkup","Routine Health Check"), "",
TRUE,""
)</f>
        <v/>
      </c>
      <c r="I1367" s="1" t="str">
        <f t="shared" si="42"/>
        <v>No Follow-up Required</v>
      </c>
      <c r="J1367" t="str">
        <f>TEXT(Table8[[#This Row],[visit_Date]],"DDDD")</f>
        <v>Wednesday</v>
      </c>
      <c r="K1367" t="str">
        <f>TEXT(Table8[[#This Row],[visit_Date]],"mmmm")</f>
        <v>January</v>
      </c>
      <c r="L1367" t="str">
        <f t="shared" si="43"/>
        <v>Winter</v>
      </c>
    </row>
    <row r="1368" spans="1:12" x14ac:dyDescent="0.25">
      <c r="A1368">
        <v>1367</v>
      </c>
      <c r="B1368">
        <v>1011</v>
      </c>
      <c r="C1368">
        <v>674</v>
      </c>
      <c r="D1368" s="1">
        <v>45686</v>
      </c>
      <c r="E1368" t="s">
        <v>24</v>
      </c>
      <c r="F1368" t="s">
        <v>321</v>
      </c>
      <c r="G1368" t="str">
        <f>_xlfn.XLOOKUP(TRIM(E1369),MedicineInfo!A:A,MedicineInfo!B:B,"Not Found")</f>
        <v>Multivitamin</v>
      </c>
      <c r="H1368" s="1" t="str" cm="1">
        <f t="array" ref="H1368">_xlfn.IFS(
OR(E1368="Type 2 Diabetes",E1368="Essential Hypertension",E1368="Angina Pectoris",E1368="Bronchial Asthma",E1368="Cardiac Arrhythmia"), D1368+30,
OR(E1368="Gastritis",E1368="Osteoarthritis",E1368="Bronchitis",E1368="Iron Deficiency Anemia"), D1368+14,
OR(E1368="Lumbar Strain",E1368="Migraine Headache"), D1368+7,
OR(E1368="Viral Fever",E1368="General Checkup","Routine Health Check"), "",
TRUE,""
)</f>
        <v/>
      </c>
      <c r="I1368" s="1" t="str">
        <f t="shared" si="42"/>
        <v>No Follow-up Required</v>
      </c>
      <c r="J1368" t="str">
        <f>TEXT(Table8[[#This Row],[visit_Date]],"DDDD")</f>
        <v>Wednesday</v>
      </c>
      <c r="K1368" t="str">
        <f>TEXT(Table8[[#This Row],[visit_Date]],"mmmm")</f>
        <v>January</v>
      </c>
      <c r="L1368" t="str">
        <f t="shared" si="43"/>
        <v>Winter</v>
      </c>
    </row>
    <row r="1369" spans="1:12" x14ac:dyDescent="0.25">
      <c r="A1369">
        <v>1368</v>
      </c>
      <c r="B1369">
        <v>1233</v>
      </c>
      <c r="C1369">
        <v>499</v>
      </c>
      <c r="D1369" s="1">
        <v>45758</v>
      </c>
      <c r="E1369" t="s">
        <v>24</v>
      </c>
      <c r="F1369" t="s">
        <v>321</v>
      </c>
      <c r="G1369" t="str">
        <f>_xlfn.XLOOKUP(TRIM(E1370),MedicineInfo!A:A,MedicineInfo!B:B,"Not Found")</f>
        <v>Multivitamin</v>
      </c>
      <c r="H1369" s="1" t="str" cm="1">
        <f t="array" ref="H1369">_xlfn.IFS(
OR(E1369="Type 2 Diabetes",E1369="Essential Hypertension",E1369="Angina Pectoris",E1369="Bronchial Asthma",E1369="Cardiac Arrhythmia"), D1369+30,
OR(E1369="Gastritis",E1369="Osteoarthritis",E1369="Bronchitis",E1369="Iron Deficiency Anemia"), D1369+14,
OR(E1369="Lumbar Strain",E1369="Migraine Headache"), D1369+7,
OR(E1369="Viral Fever",E1369="General Checkup","Routine Health Check"), "",
TRUE,""
)</f>
        <v/>
      </c>
      <c r="I1369" s="1" t="str">
        <f t="shared" si="42"/>
        <v>No Follow-up Required</v>
      </c>
      <c r="J1369" t="str">
        <f>TEXT(Table8[[#This Row],[visit_Date]],"DDDD")</f>
        <v>Friday</v>
      </c>
      <c r="K1369" t="str">
        <f>TEXT(Table8[[#This Row],[visit_Date]],"mmmm")</f>
        <v>April</v>
      </c>
      <c r="L1369" t="str">
        <f t="shared" si="43"/>
        <v>Summer</v>
      </c>
    </row>
    <row r="1370" spans="1:12" x14ac:dyDescent="0.25">
      <c r="A1370">
        <v>1369</v>
      </c>
      <c r="B1370">
        <v>1294</v>
      </c>
      <c r="C1370">
        <v>230</v>
      </c>
      <c r="D1370" s="1">
        <v>45823</v>
      </c>
      <c r="E1370" t="s">
        <v>24</v>
      </c>
      <c r="F1370" t="s">
        <v>321</v>
      </c>
      <c r="G1370" t="str">
        <f>_xlfn.XLOOKUP(TRIM(E1371),MedicineInfo!A:A,MedicineInfo!B:B,"Not Found")</f>
        <v>Multivitamin</v>
      </c>
      <c r="H1370" s="1" t="str" cm="1">
        <f t="array" ref="H1370">_xlfn.IFS(
OR(E1370="Type 2 Diabetes",E1370="Essential Hypertension",E1370="Angina Pectoris",E1370="Bronchial Asthma",E1370="Cardiac Arrhythmia"), D1370+30,
OR(E1370="Gastritis",E1370="Osteoarthritis",E1370="Bronchitis",E1370="Iron Deficiency Anemia"), D1370+14,
OR(E1370="Lumbar Strain",E1370="Migraine Headache"), D1370+7,
OR(E1370="Viral Fever",E1370="General Checkup","Routine Health Check"), "",
TRUE,""
)</f>
        <v/>
      </c>
      <c r="I1370" s="1" t="str">
        <f t="shared" si="42"/>
        <v>No Follow-up Required</v>
      </c>
      <c r="J1370" t="str">
        <f>TEXT(Table8[[#This Row],[visit_Date]],"DDDD")</f>
        <v>Sunday</v>
      </c>
      <c r="K1370" t="str">
        <f>TEXT(Table8[[#This Row],[visit_Date]],"mmmm")</f>
        <v>June</v>
      </c>
      <c r="L1370" t="str">
        <f t="shared" si="43"/>
        <v>Monsoon</v>
      </c>
    </row>
    <row r="1371" spans="1:12" x14ac:dyDescent="0.25">
      <c r="A1371">
        <v>1370</v>
      </c>
      <c r="B1371">
        <v>1051</v>
      </c>
      <c r="C1371">
        <v>551</v>
      </c>
      <c r="D1371" s="1">
        <v>45676</v>
      </c>
      <c r="E1371" t="s">
        <v>24</v>
      </c>
      <c r="F1371" t="s">
        <v>321</v>
      </c>
      <c r="G1371" t="str">
        <f>_xlfn.XLOOKUP(TRIM(E1372),MedicineInfo!A:A,MedicineInfo!B:B,"Not Found")</f>
        <v>Multivitamin</v>
      </c>
      <c r="H1371" s="1" t="str" cm="1">
        <f t="array" ref="H1371">_xlfn.IFS(
OR(E1371="Type 2 Diabetes",E1371="Essential Hypertension",E1371="Angina Pectoris",E1371="Bronchial Asthma",E1371="Cardiac Arrhythmia"), D1371+30,
OR(E1371="Gastritis",E1371="Osteoarthritis",E1371="Bronchitis",E1371="Iron Deficiency Anemia"), D1371+14,
OR(E1371="Lumbar Strain",E1371="Migraine Headache"), D1371+7,
OR(E1371="Viral Fever",E1371="General Checkup","Routine Health Check"), "",
TRUE,""
)</f>
        <v/>
      </c>
      <c r="I1371" s="1" t="str">
        <f t="shared" si="42"/>
        <v>No Follow-up Required</v>
      </c>
      <c r="J1371" t="str">
        <f>TEXT(Table8[[#This Row],[visit_Date]],"DDDD")</f>
        <v>Sunday</v>
      </c>
      <c r="K1371" t="str">
        <f>TEXT(Table8[[#This Row],[visit_Date]],"mmmm")</f>
        <v>January</v>
      </c>
      <c r="L1371" t="str">
        <f t="shared" si="43"/>
        <v>Winter</v>
      </c>
    </row>
    <row r="1372" spans="1:12" x14ac:dyDescent="0.25">
      <c r="A1372">
        <v>1371</v>
      </c>
      <c r="B1372">
        <v>1214</v>
      </c>
      <c r="C1372">
        <v>1204</v>
      </c>
      <c r="D1372" s="1">
        <v>45694</v>
      </c>
      <c r="E1372" t="s">
        <v>24</v>
      </c>
      <c r="F1372" t="s">
        <v>321</v>
      </c>
      <c r="G1372" t="str">
        <f>_xlfn.XLOOKUP(TRIM(E1373),MedicineInfo!A:A,MedicineInfo!B:B,"Not Found")</f>
        <v>Multivitamin</v>
      </c>
      <c r="H1372" s="1" t="str" cm="1">
        <f t="array" ref="H1372">_xlfn.IFS(
OR(E1372="Type 2 Diabetes",E1372="Essential Hypertension",E1372="Angina Pectoris",E1372="Bronchial Asthma",E1372="Cardiac Arrhythmia"), D1372+30,
OR(E1372="Gastritis",E1372="Osteoarthritis",E1372="Bronchitis",E1372="Iron Deficiency Anemia"), D1372+14,
OR(E1372="Lumbar Strain",E1372="Migraine Headache"), D1372+7,
OR(E1372="Viral Fever",E1372="General Checkup","Routine Health Check"), "",
TRUE,""
)</f>
        <v/>
      </c>
      <c r="I1372" s="1" t="str">
        <f t="shared" si="42"/>
        <v>No Follow-up Required</v>
      </c>
      <c r="J1372" t="str">
        <f>TEXT(Table8[[#This Row],[visit_Date]],"DDDD")</f>
        <v>Thursday</v>
      </c>
      <c r="K1372" t="str">
        <f>TEXT(Table8[[#This Row],[visit_Date]],"mmmm")</f>
        <v>February</v>
      </c>
      <c r="L1372" t="str">
        <f t="shared" si="43"/>
        <v>Winter</v>
      </c>
    </row>
    <row r="1373" spans="1:12" x14ac:dyDescent="0.25">
      <c r="A1373">
        <v>1372</v>
      </c>
      <c r="B1373">
        <v>1042</v>
      </c>
      <c r="C1373">
        <v>759</v>
      </c>
      <c r="D1373" s="1">
        <v>45814</v>
      </c>
      <c r="E1373" t="s">
        <v>24</v>
      </c>
      <c r="F1373" t="s">
        <v>321</v>
      </c>
      <c r="G1373" t="str">
        <f>_xlfn.XLOOKUP(TRIM(E1374),MedicineInfo!A:A,MedicineInfo!B:B,"Not Found")</f>
        <v>Multivitamin</v>
      </c>
      <c r="H1373" s="1" t="str" cm="1">
        <f t="array" ref="H1373">_xlfn.IFS(
OR(E1373="Type 2 Diabetes",E1373="Essential Hypertension",E1373="Angina Pectoris",E1373="Bronchial Asthma",E1373="Cardiac Arrhythmia"), D1373+30,
OR(E1373="Gastritis",E1373="Osteoarthritis",E1373="Bronchitis",E1373="Iron Deficiency Anemia"), D1373+14,
OR(E1373="Lumbar Strain",E1373="Migraine Headache"), D1373+7,
OR(E1373="Viral Fever",E1373="General Checkup","Routine Health Check"), "",
TRUE,""
)</f>
        <v/>
      </c>
      <c r="I1373" s="1" t="str">
        <f t="shared" si="42"/>
        <v>No Follow-up Required</v>
      </c>
      <c r="J1373" t="str">
        <f>TEXT(Table8[[#This Row],[visit_Date]],"DDDD")</f>
        <v>Friday</v>
      </c>
      <c r="K1373" t="str">
        <f>TEXT(Table8[[#This Row],[visit_Date]],"mmmm")</f>
        <v>June</v>
      </c>
      <c r="L1373" t="str">
        <f t="shared" si="43"/>
        <v>Monsoon</v>
      </c>
    </row>
    <row r="1374" spans="1:12" x14ac:dyDescent="0.25">
      <c r="A1374">
        <v>1373</v>
      </c>
      <c r="B1374">
        <v>1258</v>
      </c>
      <c r="C1374">
        <v>1383</v>
      </c>
      <c r="D1374" s="1">
        <v>45743</v>
      </c>
      <c r="E1374" t="s">
        <v>24</v>
      </c>
      <c r="F1374" t="s">
        <v>321</v>
      </c>
      <c r="G1374" t="str">
        <f>_xlfn.XLOOKUP(TRIM(E1375),MedicineInfo!A:A,MedicineInfo!B:B,"Not Found")</f>
        <v>Levothyroxine</v>
      </c>
      <c r="H1374" s="1" t="str" cm="1">
        <f t="array" ref="H1374">_xlfn.IFS(
OR(E1374="Type 2 Diabetes",E1374="Essential Hypertension",E1374="Angina Pectoris",E1374="Bronchial Asthma",E1374="Cardiac Arrhythmia"), D1374+30,
OR(E1374="Gastritis",E1374="Osteoarthritis",E1374="Bronchitis",E1374="Iron Deficiency Anemia"), D1374+14,
OR(E1374="Lumbar Strain",E1374="Migraine Headache"), D1374+7,
OR(E1374="Viral Fever",E1374="General Checkup","Routine Health Check"), "",
TRUE,""
)</f>
        <v/>
      </c>
      <c r="I1374" s="1" t="str">
        <f t="shared" si="42"/>
        <v>No Follow-up Required</v>
      </c>
      <c r="J1374" t="str">
        <f>TEXT(Table8[[#This Row],[visit_Date]],"DDDD")</f>
        <v>Thursday</v>
      </c>
      <c r="K1374" t="str">
        <f>TEXT(Table8[[#This Row],[visit_Date]],"mmmm")</f>
        <v>March</v>
      </c>
      <c r="L1374" t="str">
        <f t="shared" si="43"/>
        <v>Summer</v>
      </c>
    </row>
    <row r="1375" spans="1:12" x14ac:dyDescent="0.25">
      <c r="A1375">
        <v>1374</v>
      </c>
      <c r="B1375">
        <v>1180</v>
      </c>
      <c r="C1375">
        <v>155</v>
      </c>
      <c r="D1375" s="1">
        <v>45777</v>
      </c>
      <c r="E1375" t="s">
        <v>360</v>
      </c>
      <c r="F1375" t="s">
        <v>361</v>
      </c>
      <c r="G1375" t="str">
        <f>_xlfn.XLOOKUP(TRIM(E1376),MedicineInfo!A:A,MedicineInfo!B:B,"Not Found")</f>
        <v>Amlodipine</v>
      </c>
      <c r="H1375" s="1" t="str" cm="1">
        <f t="array" ref="H1375">_xlfn.IFS(
OR(E1375="Type 2 Diabetes",E1375="Essential Hypertension",E1375="Angina Pectoris",E1375="Bronchial Asthma",E1375="Cardiac Arrhythmia"), D1375+30,
OR(E1375="Gastritis",E1375="Osteoarthritis",E1375="Bronchitis",E1375="Iron Deficiency Anemia"), D1375+14,
OR(E1375="Lumbar Strain",E1375="Migraine Headache"), D1375+7,
OR(E1375="Viral Fever",E1375="General Checkup","Routine Health Check"), "",
TRUE,""
)</f>
        <v/>
      </c>
      <c r="I1375" s="1" t="str">
        <f t="shared" si="42"/>
        <v>No Follow-up Required</v>
      </c>
      <c r="J1375" t="str">
        <f>TEXT(Table8[[#This Row],[visit_Date]],"DDDD")</f>
        <v>Wednesday</v>
      </c>
      <c r="K1375" t="str">
        <f>TEXT(Table8[[#This Row],[visit_Date]],"mmmm")</f>
        <v>April</v>
      </c>
      <c r="L1375" t="str">
        <f t="shared" si="43"/>
        <v>Summer</v>
      </c>
    </row>
    <row r="1376" spans="1:12" x14ac:dyDescent="0.25">
      <c r="A1376">
        <v>1375</v>
      </c>
      <c r="B1376">
        <v>1143</v>
      </c>
      <c r="C1376">
        <v>851</v>
      </c>
      <c r="D1376" s="1">
        <v>45819</v>
      </c>
      <c r="E1376" t="s">
        <v>319</v>
      </c>
      <c r="F1376" t="s">
        <v>320</v>
      </c>
      <c r="G1376" t="str">
        <f>_xlfn.XLOOKUP(TRIM(E1377),MedicineInfo!A:A,MedicineInfo!B:B,"Not Found")</f>
        <v>Multivitamin</v>
      </c>
      <c r="H1376" s="1" cm="1">
        <f t="array" ref="H1376">_xlfn.IFS(
OR(E1376="Type 2 Diabetes",E1376="Essential Hypertension",E1376="Angina Pectoris",E1376="Bronchial Asthma",E1376="Cardiac Arrhythmia"), D1376+30,
OR(E1376="Gastritis",E1376="Osteoarthritis",E1376="Bronchitis",E1376="Iron Deficiency Anemia"), D1376+14,
OR(E1376="Lumbar Strain",E1376="Migraine Headache"), D1376+7,
OR(E1376="Viral Fever",E1376="General Checkup","Routine Health Check"), "",
TRUE,""
)</f>
        <v>45849</v>
      </c>
      <c r="I1376" s="1" t="str">
        <f t="shared" si="42"/>
        <v>Follow-up Scheduled</v>
      </c>
      <c r="J1376" t="str">
        <f>TEXT(Table8[[#This Row],[visit_Date]],"DDDD")</f>
        <v>Wednesday</v>
      </c>
      <c r="K1376" t="str">
        <f>TEXT(Table8[[#This Row],[visit_Date]],"mmmm")</f>
        <v>June</v>
      </c>
      <c r="L1376" t="str">
        <f t="shared" si="43"/>
        <v>Monsoon</v>
      </c>
    </row>
    <row r="1377" spans="1:12" x14ac:dyDescent="0.25">
      <c r="A1377">
        <v>1376</v>
      </c>
      <c r="B1377">
        <v>1021</v>
      </c>
      <c r="C1377">
        <v>1199</v>
      </c>
      <c r="D1377" s="1">
        <v>45725</v>
      </c>
      <c r="E1377" t="s">
        <v>24</v>
      </c>
      <c r="F1377" t="s">
        <v>321</v>
      </c>
      <c r="G1377" t="str">
        <f>_xlfn.XLOOKUP(TRIM(E1378),MedicineInfo!A:A,MedicineInfo!B:B,"Not Found")</f>
        <v>Amiodarone</v>
      </c>
      <c r="H1377" s="1" t="str" cm="1">
        <f t="array" ref="H1377">_xlfn.IFS(
OR(E1377="Type 2 Diabetes",E1377="Essential Hypertension",E1377="Angina Pectoris",E1377="Bronchial Asthma",E1377="Cardiac Arrhythmia"), D1377+30,
OR(E1377="Gastritis",E1377="Osteoarthritis",E1377="Bronchitis",E1377="Iron Deficiency Anemia"), D1377+14,
OR(E1377="Lumbar Strain",E1377="Migraine Headache"), D1377+7,
OR(E1377="Viral Fever",E1377="General Checkup","Routine Health Check"), "",
TRUE,""
)</f>
        <v/>
      </c>
      <c r="I1377" s="1" t="str">
        <f t="shared" si="42"/>
        <v>No Follow-up Required</v>
      </c>
      <c r="J1377" t="str">
        <f>TEXT(Table8[[#This Row],[visit_Date]],"DDDD")</f>
        <v>Sunday</v>
      </c>
      <c r="K1377" t="str">
        <f>TEXT(Table8[[#This Row],[visit_Date]],"mmmm")</f>
        <v>March</v>
      </c>
      <c r="L1377" t="str">
        <f t="shared" si="43"/>
        <v>Summer</v>
      </c>
    </row>
    <row r="1378" spans="1:12" x14ac:dyDescent="0.25">
      <c r="A1378">
        <v>1377</v>
      </c>
      <c r="B1378">
        <v>1197</v>
      </c>
      <c r="C1378">
        <v>670</v>
      </c>
      <c r="D1378" s="1">
        <v>45828</v>
      </c>
      <c r="E1378" t="s">
        <v>330</v>
      </c>
      <c r="F1378" t="s">
        <v>331</v>
      </c>
      <c r="G1378" t="str">
        <f>_xlfn.XLOOKUP(TRIM(E1379),MedicineInfo!A:A,MedicineInfo!B:B,"Not Found")</f>
        <v>Multivitamin</v>
      </c>
      <c r="H1378" s="1" cm="1">
        <f t="array" ref="H1378">_xlfn.IFS(
OR(E1378="Type 2 Diabetes",E1378="Essential Hypertension",E1378="Angina Pectoris",E1378="Bronchial Asthma",E1378="Cardiac Arrhythmia"), D1378+30,
OR(E1378="Gastritis",E1378="Osteoarthritis",E1378="Bronchitis",E1378="Iron Deficiency Anemia"), D1378+14,
OR(E1378="Lumbar Strain",E1378="Migraine Headache"), D1378+7,
OR(E1378="Viral Fever",E1378="General Checkup","Routine Health Check"), "",
TRUE,""
)</f>
        <v>45858</v>
      </c>
      <c r="I1378" s="1" t="str">
        <f t="shared" si="42"/>
        <v>Follow-up Scheduled</v>
      </c>
      <c r="J1378" t="str">
        <f>TEXT(Table8[[#This Row],[visit_Date]],"DDDD")</f>
        <v>Friday</v>
      </c>
      <c r="K1378" t="str">
        <f>TEXT(Table8[[#This Row],[visit_Date]],"mmmm")</f>
        <v>June</v>
      </c>
      <c r="L1378" t="str">
        <f t="shared" si="43"/>
        <v>Monsoon</v>
      </c>
    </row>
    <row r="1379" spans="1:12" x14ac:dyDescent="0.25">
      <c r="A1379">
        <v>1378</v>
      </c>
      <c r="B1379">
        <v>1213</v>
      </c>
      <c r="C1379">
        <v>887</v>
      </c>
      <c r="D1379" s="1">
        <v>45823</v>
      </c>
      <c r="E1379" t="s">
        <v>24</v>
      </c>
      <c r="F1379" t="s">
        <v>321</v>
      </c>
      <c r="G1379" t="str">
        <f>_xlfn.XLOOKUP(TRIM(E1380),MedicineInfo!A:A,MedicineInfo!B:B,"Not Found")</f>
        <v>Multivitamin</v>
      </c>
      <c r="H1379" s="1" t="str" cm="1">
        <f t="array" ref="H1379">_xlfn.IFS(
OR(E1379="Type 2 Diabetes",E1379="Essential Hypertension",E1379="Angina Pectoris",E1379="Bronchial Asthma",E1379="Cardiac Arrhythmia"), D1379+30,
OR(E1379="Gastritis",E1379="Osteoarthritis",E1379="Bronchitis",E1379="Iron Deficiency Anemia"), D1379+14,
OR(E1379="Lumbar Strain",E1379="Migraine Headache"), D1379+7,
OR(E1379="Viral Fever",E1379="General Checkup","Routine Health Check"), "",
TRUE,""
)</f>
        <v/>
      </c>
      <c r="I1379" s="1" t="str">
        <f t="shared" si="42"/>
        <v>No Follow-up Required</v>
      </c>
      <c r="J1379" t="str">
        <f>TEXT(Table8[[#This Row],[visit_Date]],"DDDD")</f>
        <v>Sunday</v>
      </c>
      <c r="K1379" t="str">
        <f>TEXT(Table8[[#This Row],[visit_Date]],"mmmm")</f>
        <v>June</v>
      </c>
      <c r="L1379" t="str">
        <f t="shared" si="43"/>
        <v>Monsoon</v>
      </c>
    </row>
    <row r="1380" spans="1:12" x14ac:dyDescent="0.25">
      <c r="A1380">
        <v>1379</v>
      </c>
      <c r="B1380">
        <v>1019</v>
      </c>
      <c r="C1380">
        <v>744</v>
      </c>
      <c r="D1380" s="1">
        <v>45791</v>
      </c>
      <c r="E1380" t="s">
        <v>24</v>
      </c>
      <c r="F1380" t="s">
        <v>321</v>
      </c>
      <c r="G1380" t="str">
        <f>_xlfn.XLOOKUP(TRIM(E1381),MedicineInfo!A:A,MedicineInfo!B:B,"Not Found")</f>
        <v>Multivitamin</v>
      </c>
      <c r="H1380" s="1" t="str" cm="1">
        <f t="array" ref="H1380">_xlfn.IFS(
OR(E1380="Type 2 Diabetes",E1380="Essential Hypertension",E1380="Angina Pectoris",E1380="Bronchial Asthma",E1380="Cardiac Arrhythmia"), D1380+30,
OR(E1380="Gastritis",E1380="Osteoarthritis",E1380="Bronchitis",E1380="Iron Deficiency Anemia"), D1380+14,
OR(E1380="Lumbar Strain",E1380="Migraine Headache"), D1380+7,
OR(E1380="Viral Fever",E1380="General Checkup","Routine Health Check"), "",
TRUE,""
)</f>
        <v/>
      </c>
      <c r="I1380" s="1" t="str">
        <f t="shared" si="42"/>
        <v>No Follow-up Required</v>
      </c>
      <c r="J1380" t="str">
        <f>TEXT(Table8[[#This Row],[visit_Date]],"DDDD")</f>
        <v>Wednesday</v>
      </c>
      <c r="K1380" t="str">
        <f>TEXT(Table8[[#This Row],[visit_Date]],"mmmm")</f>
        <v>May</v>
      </c>
      <c r="L1380" t="str">
        <f t="shared" si="43"/>
        <v>Summer</v>
      </c>
    </row>
    <row r="1381" spans="1:12" x14ac:dyDescent="0.25">
      <c r="A1381">
        <v>1380</v>
      </c>
      <c r="B1381">
        <v>1008</v>
      </c>
      <c r="C1381">
        <v>664</v>
      </c>
      <c r="D1381" s="1">
        <v>45853</v>
      </c>
      <c r="E1381" t="s">
        <v>24</v>
      </c>
      <c r="F1381" t="s">
        <v>321</v>
      </c>
      <c r="G1381" t="str">
        <f>_xlfn.XLOOKUP(TRIM(E1382),MedicineInfo!A:A,MedicineInfo!B:B,"Not Found")</f>
        <v>Sertraline</v>
      </c>
      <c r="H1381" s="1" t="str" cm="1">
        <f t="array" ref="H1381">_xlfn.IFS(
OR(E1381="Type 2 Diabetes",E1381="Essential Hypertension",E1381="Angina Pectoris",E1381="Bronchial Asthma",E1381="Cardiac Arrhythmia"), D1381+30,
OR(E1381="Gastritis",E1381="Osteoarthritis",E1381="Bronchitis",E1381="Iron Deficiency Anemia"), D1381+14,
OR(E1381="Lumbar Strain",E1381="Migraine Headache"), D1381+7,
OR(E1381="Viral Fever",E1381="General Checkup","Routine Health Check"), "",
TRUE,""
)</f>
        <v/>
      </c>
      <c r="I1381" s="1" t="str">
        <f t="shared" si="42"/>
        <v>No Follow-up Required</v>
      </c>
      <c r="J1381" t="str">
        <f>TEXT(Table8[[#This Row],[visit_Date]],"DDDD")</f>
        <v>Tuesday</v>
      </c>
      <c r="K1381" t="str">
        <f>TEXT(Table8[[#This Row],[visit_Date]],"mmmm")</f>
        <v>July</v>
      </c>
      <c r="L1381" t="str">
        <f t="shared" si="43"/>
        <v>Monsoon</v>
      </c>
    </row>
    <row r="1382" spans="1:12" x14ac:dyDescent="0.25">
      <c r="A1382">
        <v>1381</v>
      </c>
      <c r="B1382">
        <v>1165</v>
      </c>
      <c r="C1382">
        <v>518</v>
      </c>
      <c r="D1382" s="1">
        <v>45790</v>
      </c>
      <c r="E1382" t="s">
        <v>334</v>
      </c>
      <c r="F1382" t="s">
        <v>335</v>
      </c>
      <c r="G1382" t="str">
        <f>_xlfn.XLOOKUP(TRIM(E1383),MedicineInfo!A:A,MedicineInfo!B:B,"Not Found")</f>
        <v>Multivitamin</v>
      </c>
      <c r="H1382" s="1" t="str" cm="1">
        <f t="array" ref="H1382">_xlfn.IFS(
OR(E1382="Type 2 Diabetes",E1382="Essential Hypertension",E1382="Angina Pectoris",E1382="Bronchial Asthma",E1382="Cardiac Arrhythmia"), D1382+30,
OR(E1382="Gastritis",E1382="Osteoarthritis",E1382="Bronchitis",E1382="Iron Deficiency Anemia"), D1382+14,
OR(E1382="Lumbar Strain",E1382="Migraine Headache"), D1382+7,
OR(E1382="Viral Fever",E1382="General Checkup","Routine Health Check"), "",
TRUE,""
)</f>
        <v/>
      </c>
      <c r="I1382" s="1" t="str">
        <f t="shared" si="42"/>
        <v>No Follow-up Required</v>
      </c>
      <c r="J1382" t="str">
        <f>TEXT(Table8[[#This Row],[visit_Date]],"DDDD")</f>
        <v>Tuesday</v>
      </c>
      <c r="K1382" t="str">
        <f>TEXT(Table8[[#This Row],[visit_Date]],"mmmm")</f>
        <v>May</v>
      </c>
      <c r="L1382" t="str">
        <f t="shared" si="43"/>
        <v>Summer</v>
      </c>
    </row>
    <row r="1383" spans="1:12" x14ac:dyDescent="0.25">
      <c r="A1383">
        <v>1382</v>
      </c>
      <c r="B1383">
        <v>1400</v>
      </c>
      <c r="C1383">
        <v>1143</v>
      </c>
      <c r="D1383" s="1">
        <v>45777</v>
      </c>
      <c r="E1383" t="s">
        <v>24</v>
      </c>
      <c r="F1383" t="s">
        <v>321</v>
      </c>
      <c r="G1383" t="str">
        <f>_xlfn.XLOOKUP(TRIM(E1384),MedicineInfo!A:A,MedicineInfo!B:B,"Not Found")</f>
        <v>Multivitamin</v>
      </c>
      <c r="H1383" s="1" t="str" cm="1">
        <f t="array" ref="H1383">_xlfn.IFS(
OR(E1383="Type 2 Diabetes",E1383="Essential Hypertension",E1383="Angina Pectoris",E1383="Bronchial Asthma",E1383="Cardiac Arrhythmia"), D1383+30,
OR(E1383="Gastritis",E1383="Osteoarthritis",E1383="Bronchitis",E1383="Iron Deficiency Anemia"), D1383+14,
OR(E1383="Lumbar Strain",E1383="Migraine Headache"), D1383+7,
OR(E1383="Viral Fever",E1383="General Checkup","Routine Health Check"), "",
TRUE,""
)</f>
        <v/>
      </c>
      <c r="I1383" s="1" t="str">
        <f t="shared" si="42"/>
        <v>No Follow-up Required</v>
      </c>
      <c r="J1383" t="str">
        <f>TEXT(Table8[[#This Row],[visit_Date]],"DDDD")</f>
        <v>Wednesday</v>
      </c>
      <c r="K1383" t="str">
        <f>TEXT(Table8[[#This Row],[visit_Date]],"mmmm")</f>
        <v>April</v>
      </c>
      <c r="L1383" t="str">
        <f t="shared" si="43"/>
        <v>Summer</v>
      </c>
    </row>
    <row r="1384" spans="1:12" x14ac:dyDescent="0.25">
      <c r="A1384">
        <v>1383</v>
      </c>
      <c r="B1384">
        <v>1335</v>
      </c>
      <c r="C1384">
        <v>842</v>
      </c>
      <c r="D1384" s="1">
        <v>45747</v>
      </c>
      <c r="E1384" t="s">
        <v>24</v>
      </c>
      <c r="F1384" t="s">
        <v>321</v>
      </c>
      <c r="G1384" t="str">
        <f>_xlfn.XLOOKUP(TRIM(E1385),MedicineInfo!A:A,MedicineInfo!B:B,"Not Found")</f>
        <v>Multivitamin</v>
      </c>
      <c r="H1384" s="1" t="str" cm="1">
        <f t="array" ref="H1384">_xlfn.IFS(
OR(E1384="Type 2 Diabetes",E1384="Essential Hypertension",E1384="Angina Pectoris",E1384="Bronchial Asthma",E1384="Cardiac Arrhythmia"), D1384+30,
OR(E1384="Gastritis",E1384="Osteoarthritis",E1384="Bronchitis",E1384="Iron Deficiency Anemia"), D1384+14,
OR(E1384="Lumbar Strain",E1384="Migraine Headache"), D1384+7,
OR(E1384="Viral Fever",E1384="General Checkup","Routine Health Check"), "",
TRUE,""
)</f>
        <v/>
      </c>
      <c r="I1384" s="1" t="str">
        <f t="shared" si="42"/>
        <v>No Follow-up Required</v>
      </c>
      <c r="J1384" t="str">
        <f>TEXT(Table8[[#This Row],[visit_Date]],"DDDD")</f>
        <v>Monday</v>
      </c>
      <c r="K1384" t="str">
        <f>TEXT(Table8[[#This Row],[visit_Date]],"mmmm")</f>
        <v>March</v>
      </c>
      <c r="L1384" t="str">
        <f t="shared" si="43"/>
        <v>Summer</v>
      </c>
    </row>
    <row r="1385" spans="1:12" x14ac:dyDescent="0.25">
      <c r="A1385">
        <v>1384</v>
      </c>
      <c r="B1385">
        <v>1178</v>
      </c>
      <c r="C1385">
        <v>884</v>
      </c>
      <c r="D1385" s="1">
        <v>45823</v>
      </c>
      <c r="E1385" t="s">
        <v>24</v>
      </c>
      <c r="F1385" t="s">
        <v>321</v>
      </c>
      <c r="G1385" t="str">
        <f>_xlfn.XLOOKUP(TRIM(E1386),MedicineInfo!A:A,MedicineInfo!B:B,"Not Found")</f>
        <v>Multivitamin</v>
      </c>
      <c r="H1385" s="1" t="str" cm="1">
        <f t="array" ref="H1385">_xlfn.IFS(
OR(E1385="Type 2 Diabetes",E1385="Essential Hypertension",E1385="Angina Pectoris",E1385="Bronchial Asthma",E1385="Cardiac Arrhythmia"), D1385+30,
OR(E1385="Gastritis",E1385="Osteoarthritis",E1385="Bronchitis",E1385="Iron Deficiency Anemia"), D1385+14,
OR(E1385="Lumbar Strain",E1385="Migraine Headache"), D1385+7,
OR(E1385="Viral Fever",E1385="General Checkup","Routine Health Check"), "",
TRUE,""
)</f>
        <v/>
      </c>
      <c r="I1385" s="1" t="str">
        <f t="shared" si="42"/>
        <v>No Follow-up Required</v>
      </c>
      <c r="J1385" t="str">
        <f>TEXT(Table8[[#This Row],[visit_Date]],"DDDD")</f>
        <v>Sunday</v>
      </c>
      <c r="K1385" t="str">
        <f>TEXT(Table8[[#This Row],[visit_Date]],"mmmm")</f>
        <v>June</v>
      </c>
      <c r="L1385" t="str">
        <f t="shared" si="43"/>
        <v>Monsoon</v>
      </c>
    </row>
    <row r="1386" spans="1:12" x14ac:dyDescent="0.25">
      <c r="A1386">
        <v>1385</v>
      </c>
      <c r="B1386">
        <v>1376</v>
      </c>
      <c r="C1386">
        <v>1053</v>
      </c>
      <c r="D1386" s="1">
        <v>45792</v>
      </c>
      <c r="E1386" t="s">
        <v>24</v>
      </c>
      <c r="F1386" t="s">
        <v>321</v>
      </c>
      <c r="G1386" t="str">
        <f>_xlfn.XLOOKUP(TRIM(E1387),MedicineInfo!A:A,MedicineInfo!B:B,"Not Found")</f>
        <v>Multivitamin</v>
      </c>
      <c r="H1386" s="1" t="str" cm="1">
        <f t="array" ref="H1386">_xlfn.IFS(
OR(E1386="Type 2 Diabetes",E1386="Essential Hypertension",E1386="Angina Pectoris",E1386="Bronchial Asthma",E1386="Cardiac Arrhythmia"), D1386+30,
OR(E1386="Gastritis",E1386="Osteoarthritis",E1386="Bronchitis",E1386="Iron Deficiency Anemia"), D1386+14,
OR(E1386="Lumbar Strain",E1386="Migraine Headache"), D1386+7,
OR(E1386="Viral Fever",E1386="General Checkup","Routine Health Check"), "",
TRUE,""
)</f>
        <v/>
      </c>
      <c r="I1386" s="1" t="str">
        <f t="shared" si="42"/>
        <v>No Follow-up Required</v>
      </c>
      <c r="J1386" t="str">
        <f>TEXT(Table8[[#This Row],[visit_Date]],"DDDD")</f>
        <v>Thursday</v>
      </c>
      <c r="K1386" t="str">
        <f>TEXT(Table8[[#This Row],[visit_Date]],"mmmm")</f>
        <v>May</v>
      </c>
      <c r="L1386" t="str">
        <f t="shared" si="43"/>
        <v>Summer</v>
      </c>
    </row>
    <row r="1387" spans="1:12" x14ac:dyDescent="0.25">
      <c r="A1387">
        <v>1386</v>
      </c>
      <c r="B1387">
        <v>1238</v>
      </c>
      <c r="C1387">
        <v>748</v>
      </c>
      <c r="D1387" s="1">
        <v>45799</v>
      </c>
      <c r="E1387" t="s">
        <v>24</v>
      </c>
      <c r="F1387" t="s">
        <v>321</v>
      </c>
      <c r="G1387" t="str">
        <f>_xlfn.XLOOKUP(TRIM(E1388),MedicineInfo!A:A,MedicineInfo!B:B,"Not Found")</f>
        <v>Multivitamin</v>
      </c>
      <c r="H1387" s="1" t="str" cm="1">
        <f t="array" ref="H1387">_xlfn.IFS(
OR(E1387="Type 2 Diabetes",E1387="Essential Hypertension",E1387="Angina Pectoris",E1387="Bronchial Asthma",E1387="Cardiac Arrhythmia"), D1387+30,
OR(E1387="Gastritis",E1387="Osteoarthritis",E1387="Bronchitis",E1387="Iron Deficiency Anemia"), D1387+14,
OR(E1387="Lumbar Strain",E1387="Migraine Headache"), D1387+7,
OR(E1387="Viral Fever",E1387="General Checkup","Routine Health Check"), "",
TRUE,""
)</f>
        <v/>
      </c>
      <c r="I1387" s="1" t="str">
        <f t="shared" si="42"/>
        <v>No Follow-up Required</v>
      </c>
      <c r="J1387" t="str">
        <f>TEXT(Table8[[#This Row],[visit_Date]],"DDDD")</f>
        <v>Thursday</v>
      </c>
      <c r="K1387" t="str">
        <f>TEXT(Table8[[#This Row],[visit_Date]],"mmmm")</f>
        <v>May</v>
      </c>
      <c r="L1387" t="str">
        <f t="shared" si="43"/>
        <v>Summer</v>
      </c>
    </row>
    <row r="1388" spans="1:12" x14ac:dyDescent="0.25">
      <c r="A1388">
        <v>1387</v>
      </c>
      <c r="B1388">
        <v>1392</v>
      </c>
      <c r="C1388">
        <v>987</v>
      </c>
      <c r="D1388" s="1">
        <v>45747</v>
      </c>
      <c r="E1388" t="s">
        <v>24</v>
      </c>
      <c r="F1388" t="s">
        <v>321</v>
      </c>
      <c r="G1388" t="str">
        <f>_xlfn.XLOOKUP(TRIM(E1389),MedicineInfo!A:A,MedicineInfo!B:B,"Not Found")</f>
        <v>Escitalopram</v>
      </c>
      <c r="H1388" s="1" t="str" cm="1">
        <f t="array" ref="H1388">_xlfn.IFS(
OR(E1388="Type 2 Diabetes",E1388="Essential Hypertension",E1388="Angina Pectoris",E1388="Bronchial Asthma",E1388="Cardiac Arrhythmia"), D1388+30,
OR(E1388="Gastritis",E1388="Osteoarthritis",E1388="Bronchitis",E1388="Iron Deficiency Anemia"), D1388+14,
OR(E1388="Lumbar Strain",E1388="Migraine Headache"), D1388+7,
OR(E1388="Viral Fever",E1388="General Checkup","Routine Health Check"), "",
TRUE,""
)</f>
        <v/>
      </c>
      <c r="I1388" s="1" t="str">
        <f t="shared" si="42"/>
        <v>No Follow-up Required</v>
      </c>
      <c r="J1388" t="str">
        <f>TEXT(Table8[[#This Row],[visit_Date]],"DDDD")</f>
        <v>Monday</v>
      </c>
      <c r="K1388" t="str">
        <f>TEXT(Table8[[#This Row],[visit_Date]],"mmmm")</f>
        <v>March</v>
      </c>
      <c r="L1388" t="str">
        <f t="shared" si="43"/>
        <v>Summer</v>
      </c>
    </row>
    <row r="1389" spans="1:12" x14ac:dyDescent="0.25">
      <c r="A1389">
        <v>1388</v>
      </c>
      <c r="B1389">
        <v>1252</v>
      </c>
      <c r="C1389">
        <v>908</v>
      </c>
      <c r="D1389" s="1">
        <v>45758</v>
      </c>
      <c r="E1389" t="s">
        <v>328</v>
      </c>
      <c r="F1389" t="s">
        <v>329</v>
      </c>
      <c r="G1389" t="str">
        <f>_xlfn.XLOOKUP(TRIM(E1390),MedicineInfo!A:A,MedicineInfo!B:B,"Not Found")</f>
        <v>Multivitamin</v>
      </c>
      <c r="H1389" s="1" t="str" cm="1">
        <f t="array" ref="H1389">_xlfn.IFS(
OR(E1389="Type 2 Diabetes",E1389="Essential Hypertension",E1389="Angina Pectoris",E1389="Bronchial Asthma",E1389="Cardiac Arrhythmia"), D1389+30,
OR(E1389="Gastritis",E1389="Osteoarthritis",E1389="Bronchitis",E1389="Iron Deficiency Anemia"), D1389+14,
OR(E1389="Lumbar Strain",E1389="Migraine Headache"), D1389+7,
OR(E1389="Viral Fever",E1389="General Checkup","Routine Health Check"), "",
TRUE,""
)</f>
        <v/>
      </c>
      <c r="I1389" s="1" t="str">
        <f t="shared" si="42"/>
        <v>No Follow-up Required</v>
      </c>
      <c r="J1389" t="str">
        <f>TEXT(Table8[[#This Row],[visit_Date]],"DDDD")</f>
        <v>Friday</v>
      </c>
      <c r="K1389" t="str">
        <f>TEXT(Table8[[#This Row],[visit_Date]],"mmmm")</f>
        <v>April</v>
      </c>
      <c r="L1389" t="str">
        <f t="shared" si="43"/>
        <v>Summer</v>
      </c>
    </row>
    <row r="1390" spans="1:12" x14ac:dyDescent="0.25">
      <c r="A1390">
        <v>1389</v>
      </c>
      <c r="B1390">
        <v>1138</v>
      </c>
      <c r="C1390">
        <v>481</v>
      </c>
      <c r="D1390" s="1">
        <v>45783</v>
      </c>
      <c r="E1390" t="s">
        <v>24</v>
      </c>
      <c r="F1390" t="s">
        <v>321</v>
      </c>
      <c r="G1390" t="str">
        <f>_xlfn.XLOOKUP(TRIM(E1391),MedicineInfo!A:A,MedicineInfo!B:B,"Not Found")</f>
        <v>Multivitamin</v>
      </c>
      <c r="H1390" s="1" t="str" cm="1">
        <f t="array" ref="H1390">_xlfn.IFS(
OR(E1390="Type 2 Diabetes",E1390="Essential Hypertension",E1390="Angina Pectoris",E1390="Bronchial Asthma",E1390="Cardiac Arrhythmia"), D1390+30,
OR(E1390="Gastritis",E1390="Osteoarthritis",E1390="Bronchitis",E1390="Iron Deficiency Anemia"), D1390+14,
OR(E1390="Lumbar Strain",E1390="Migraine Headache"), D1390+7,
OR(E1390="Viral Fever",E1390="General Checkup","Routine Health Check"), "",
TRUE,""
)</f>
        <v/>
      </c>
      <c r="I1390" s="1" t="str">
        <f t="shared" si="42"/>
        <v>No Follow-up Required</v>
      </c>
      <c r="J1390" t="str">
        <f>TEXT(Table8[[#This Row],[visit_Date]],"DDDD")</f>
        <v>Tuesday</v>
      </c>
      <c r="K1390" t="str">
        <f>TEXT(Table8[[#This Row],[visit_Date]],"mmmm")</f>
        <v>May</v>
      </c>
      <c r="L1390" t="str">
        <f t="shared" si="43"/>
        <v>Summer</v>
      </c>
    </row>
    <row r="1391" spans="1:12" x14ac:dyDescent="0.25">
      <c r="A1391">
        <v>1390</v>
      </c>
      <c r="B1391">
        <v>1381</v>
      </c>
      <c r="C1391">
        <v>1207</v>
      </c>
      <c r="D1391" s="1">
        <v>45758</v>
      </c>
      <c r="E1391" t="s">
        <v>24</v>
      </c>
      <c r="F1391" t="s">
        <v>321</v>
      </c>
      <c r="G1391" t="str">
        <f>_xlfn.XLOOKUP(TRIM(E1392),MedicineInfo!A:A,MedicineInfo!B:B,"Not Found")</f>
        <v>Multivitamin</v>
      </c>
      <c r="H1391" s="1" t="str" cm="1">
        <f t="array" ref="H1391">_xlfn.IFS(
OR(E1391="Type 2 Diabetes",E1391="Essential Hypertension",E1391="Angina Pectoris",E1391="Bronchial Asthma",E1391="Cardiac Arrhythmia"), D1391+30,
OR(E1391="Gastritis",E1391="Osteoarthritis",E1391="Bronchitis",E1391="Iron Deficiency Anemia"), D1391+14,
OR(E1391="Lumbar Strain",E1391="Migraine Headache"), D1391+7,
OR(E1391="Viral Fever",E1391="General Checkup","Routine Health Check"), "",
TRUE,""
)</f>
        <v/>
      </c>
      <c r="I1391" s="1" t="str">
        <f t="shared" si="42"/>
        <v>No Follow-up Required</v>
      </c>
      <c r="J1391" t="str">
        <f>TEXT(Table8[[#This Row],[visit_Date]],"DDDD")</f>
        <v>Friday</v>
      </c>
      <c r="K1391" t="str">
        <f>TEXT(Table8[[#This Row],[visit_Date]],"mmmm")</f>
        <v>April</v>
      </c>
      <c r="L1391" t="str">
        <f t="shared" si="43"/>
        <v>Summer</v>
      </c>
    </row>
    <row r="1392" spans="1:12" x14ac:dyDescent="0.25">
      <c r="A1392">
        <v>1391</v>
      </c>
      <c r="B1392">
        <v>1227</v>
      </c>
      <c r="C1392">
        <v>173</v>
      </c>
      <c r="D1392" s="1">
        <v>45783</v>
      </c>
      <c r="E1392" t="s">
        <v>24</v>
      </c>
      <c r="F1392" t="s">
        <v>321</v>
      </c>
      <c r="G1392" t="str">
        <f>_xlfn.XLOOKUP(TRIM(E1393),MedicineInfo!A:A,MedicineInfo!B:B,"Not Found")</f>
        <v>Multivitamin</v>
      </c>
      <c r="H1392" s="1" t="str" cm="1">
        <f t="array" ref="H1392">_xlfn.IFS(
OR(E1392="Type 2 Diabetes",E1392="Essential Hypertension",E1392="Angina Pectoris",E1392="Bronchial Asthma",E1392="Cardiac Arrhythmia"), D1392+30,
OR(E1392="Gastritis",E1392="Osteoarthritis",E1392="Bronchitis",E1392="Iron Deficiency Anemia"), D1392+14,
OR(E1392="Lumbar Strain",E1392="Migraine Headache"), D1392+7,
OR(E1392="Viral Fever",E1392="General Checkup","Routine Health Check"), "",
TRUE,""
)</f>
        <v/>
      </c>
      <c r="I1392" s="1" t="str">
        <f t="shared" si="42"/>
        <v>No Follow-up Required</v>
      </c>
      <c r="J1392" t="str">
        <f>TEXT(Table8[[#This Row],[visit_Date]],"DDDD")</f>
        <v>Tuesday</v>
      </c>
      <c r="K1392" t="str">
        <f>TEXT(Table8[[#This Row],[visit_Date]],"mmmm")</f>
        <v>May</v>
      </c>
      <c r="L1392" t="str">
        <f t="shared" si="43"/>
        <v>Summer</v>
      </c>
    </row>
    <row r="1393" spans="1:12" x14ac:dyDescent="0.25">
      <c r="A1393">
        <v>1392</v>
      </c>
      <c r="B1393">
        <v>1067</v>
      </c>
      <c r="C1393">
        <v>1261</v>
      </c>
      <c r="D1393" s="1">
        <v>45813</v>
      </c>
      <c r="E1393" t="s">
        <v>24</v>
      </c>
      <c r="F1393" t="s">
        <v>321</v>
      </c>
      <c r="G1393" t="str">
        <f>_xlfn.XLOOKUP(TRIM(E1394),MedicineInfo!A:A,MedicineInfo!B:B,"Not Found")</f>
        <v>Levothyroxine</v>
      </c>
      <c r="H1393" s="1" t="str" cm="1">
        <f t="array" ref="H1393">_xlfn.IFS(
OR(E1393="Type 2 Diabetes",E1393="Essential Hypertension",E1393="Angina Pectoris",E1393="Bronchial Asthma",E1393="Cardiac Arrhythmia"), D1393+30,
OR(E1393="Gastritis",E1393="Osteoarthritis",E1393="Bronchitis",E1393="Iron Deficiency Anemia"), D1393+14,
OR(E1393="Lumbar Strain",E1393="Migraine Headache"), D1393+7,
OR(E1393="Viral Fever",E1393="General Checkup","Routine Health Check"), "",
TRUE,""
)</f>
        <v/>
      </c>
      <c r="I1393" s="1" t="str">
        <f t="shared" si="42"/>
        <v>No Follow-up Required</v>
      </c>
      <c r="J1393" t="str">
        <f>TEXT(Table8[[#This Row],[visit_Date]],"DDDD")</f>
        <v>Thursday</v>
      </c>
      <c r="K1393" t="str">
        <f>TEXT(Table8[[#This Row],[visit_Date]],"mmmm")</f>
        <v>June</v>
      </c>
      <c r="L1393" t="str">
        <f t="shared" si="43"/>
        <v>Monsoon</v>
      </c>
    </row>
    <row r="1394" spans="1:12" x14ac:dyDescent="0.25">
      <c r="A1394">
        <v>1393</v>
      </c>
      <c r="B1394">
        <v>1395</v>
      </c>
      <c r="C1394">
        <v>1246</v>
      </c>
      <c r="D1394" s="1">
        <v>45859</v>
      </c>
      <c r="E1394" t="s">
        <v>360</v>
      </c>
      <c r="F1394" t="s">
        <v>361</v>
      </c>
      <c r="G1394" t="str">
        <f>_xlfn.XLOOKUP(TRIM(E1395),MedicineInfo!A:A,MedicineInfo!B:B,"Not Found")</f>
        <v>Multivitamin</v>
      </c>
      <c r="H1394" s="1" t="str" cm="1">
        <f t="array" ref="H1394">_xlfn.IFS(
OR(E1394="Type 2 Diabetes",E1394="Essential Hypertension",E1394="Angina Pectoris",E1394="Bronchial Asthma",E1394="Cardiac Arrhythmia"), D1394+30,
OR(E1394="Gastritis",E1394="Osteoarthritis",E1394="Bronchitis",E1394="Iron Deficiency Anemia"), D1394+14,
OR(E1394="Lumbar Strain",E1394="Migraine Headache"), D1394+7,
OR(E1394="Viral Fever",E1394="General Checkup","Routine Health Check"), "",
TRUE,""
)</f>
        <v/>
      </c>
      <c r="I1394" s="1" t="str">
        <f t="shared" si="42"/>
        <v>No Follow-up Required</v>
      </c>
      <c r="J1394" t="str">
        <f>TEXT(Table8[[#This Row],[visit_Date]],"DDDD")</f>
        <v>Monday</v>
      </c>
      <c r="K1394" t="str">
        <f>TEXT(Table8[[#This Row],[visit_Date]],"mmmm")</f>
        <v>July</v>
      </c>
      <c r="L1394" t="str">
        <f t="shared" si="43"/>
        <v>Monsoon</v>
      </c>
    </row>
    <row r="1395" spans="1:12" x14ac:dyDescent="0.25">
      <c r="A1395">
        <v>1394</v>
      </c>
      <c r="B1395">
        <v>1200</v>
      </c>
      <c r="C1395">
        <v>1581</v>
      </c>
      <c r="D1395" s="1">
        <v>45799</v>
      </c>
      <c r="E1395" t="s">
        <v>24</v>
      </c>
      <c r="F1395" t="s">
        <v>321</v>
      </c>
      <c r="G1395" t="str">
        <f>_xlfn.XLOOKUP(TRIM(E1396),MedicineInfo!A:A,MedicineInfo!B:B,"Not Found")</f>
        <v>Ferrous Sulfate</v>
      </c>
      <c r="H1395" s="1" t="str" cm="1">
        <f t="array" ref="H1395">_xlfn.IFS(
OR(E1395="Type 2 Diabetes",E1395="Essential Hypertension",E1395="Angina Pectoris",E1395="Bronchial Asthma",E1395="Cardiac Arrhythmia"), D1395+30,
OR(E1395="Gastritis",E1395="Osteoarthritis",E1395="Bronchitis",E1395="Iron Deficiency Anemia"), D1395+14,
OR(E1395="Lumbar Strain",E1395="Migraine Headache"), D1395+7,
OR(E1395="Viral Fever",E1395="General Checkup","Routine Health Check"), "",
TRUE,""
)</f>
        <v/>
      </c>
      <c r="I1395" s="1" t="str">
        <f t="shared" si="42"/>
        <v>No Follow-up Required</v>
      </c>
      <c r="J1395" t="str">
        <f>TEXT(Table8[[#This Row],[visit_Date]],"DDDD")</f>
        <v>Thursday</v>
      </c>
      <c r="K1395" t="str">
        <f>TEXT(Table8[[#This Row],[visit_Date]],"mmmm")</f>
        <v>May</v>
      </c>
      <c r="L1395" t="str">
        <f t="shared" si="43"/>
        <v>Summer</v>
      </c>
    </row>
    <row r="1396" spans="1:12" x14ac:dyDescent="0.25">
      <c r="A1396">
        <v>1395</v>
      </c>
      <c r="B1396">
        <v>1234</v>
      </c>
      <c r="C1396">
        <v>681</v>
      </c>
      <c r="D1396" s="1">
        <v>45767</v>
      </c>
      <c r="E1396" t="s">
        <v>358</v>
      </c>
      <c r="F1396" t="s">
        <v>359</v>
      </c>
      <c r="G1396" t="str">
        <f>_xlfn.XLOOKUP(TRIM(E1397),MedicineInfo!A:A,MedicineInfo!B:B,"Not Found")</f>
        <v>Multivitamin</v>
      </c>
      <c r="H1396" s="1" cm="1">
        <f t="array" ref="H1396">_xlfn.IFS(
OR(E1396="Type 2 Diabetes",E1396="Essential Hypertension",E1396="Angina Pectoris",E1396="Bronchial Asthma",E1396="Cardiac Arrhythmia"), D1396+30,
OR(E1396="Gastritis",E1396="Osteoarthritis",E1396="Bronchitis",E1396="Iron Deficiency Anemia"), D1396+14,
OR(E1396="Lumbar Strain",E1396="Migraine Headache"), D1396+7,
OR(E1396="Viral Fever",E1396="General Checkup","Routine Health Check"), "",
TRUE,""
)</f>
        <v>45781</v>
      </c>
      <c r="I1396" s="1" t="str">
        <f t="shared" si="42"/>
        <v>Follow-up Scheduled</v>
      </c>
      <c r="J1396" t="str">
        <f>TEXT(Table8[[#This Row],[visit_Date]],"DDDD")</f>
        <v>Sunday</v>
      </c>
      <c r="K1396" t="str">
        <f>TEXT(Table8[[#This Row],[visit_Date]],"mmmm")</f>
        <v>April</v>
      </c>
      <c r="L1396" t="str">
        <f t="shared" si="43"/>
        <v>Summer</v>
      </c>
    </row>
    <row r="1397" spans="1:12" x14ac:dyDescent="0.25">
      <c r="A1397">
        <v>1396</v>
      </c>
      <c r="B1397">
        <v>1090</v>
      </c>
      <c r="C1397">
        <v>243</v>
      </c>
      <c r="D1397" s="1">
        <v>45758</v>
      </c>
      <c r="E1397" t="s">
        <v>24</v>
      </c>
      <c r="F1397" t="s">
        <v>321</v>
      </c>
      <c r="G1397" t="str">
        <f>_xlfn.XLOOKUP(TRIM(E1398),MedicineInfo!A:A,MedicineInfo!B:B,"Not Found")</f>
        <v>Multivitamin</v>
      </c>
      <c r="H1397" s="1" t="str" cm="1">
        <f t="array" ref="H1397">_xlfn.IFS(
OR(E1397="Type 2 Diabetes",E1397="Essential Hypertension",E1397="Angina Pectoris",E1397="Bronchial Asthma",E1397="Cardiac Arrhythmia"), D1397+30,
OR(E1397="Gastritis",E1397="Osteoarthritis",E1397="Bronchitis",E1397="Iron Deficiency Anemia"), D1397+14,
OR(E1397="Lumbar Strain",E1397="Migraine Headache"), D1397+7,
OR(E1397="Viral Fever",E1397="General Checkup","Routine Health Check"), "",
TRUE,""
)</f>
        <v/>
      </c>
      <c r="I1397" s="1" t="str">
        <f t="shared" si="42"/>
        <v>No Follow-up Required</v>
      </c>
      <c r="J1397" t="str">
        <f>TEXT(Table8[[#This Row],[visit_Date]],"DDDD")</f>
        <v>Friday</v>
      </c>
      <c r="K1397" t="str">
        <f>TEXT(Table8[[#This Row],[visit_Date]],"mmmm")</f>
        <v>April</v>
      </c>
      <c r="L1397" t="str">
        <f t="shared" si="43"/>
        <v>Summer</v>
      </c>
    </row>
    <row r="1398" spans="1:12" x14ac:dyDescent="0.25">
      <c r="A1398">
        <v>1397</v>
      </c>
      <c r="B1398">
        <v>1254</v>
      </c>
      <c r="C1398">
        <v>1422</v>
      </c>
      <c r="D1398" s="1">
        <v>45825</v>
      </c>
      <c r="E1398" t="s">
        <v>24</v>
      </c>
      <c r="F1398" t="s">
        <v>321</v>
      </c>
      <c r="G1398" t="str">
        <f>_xlfn.XLOOKUP(TRIM(E1399),MedicineInfo!A:A,MedicineInfo!B:B,"Not Found")</f>
        <v>Multivitamin</v>
      </c>
      <c r="H1398" s="1" t="str" cm="1">
        <f t="array" ref="H1398">_xlfn.IFS(
OR(E1398="Type 2 Diabetes",E1398="Essential Hypertension",E1398="Angina Pectoris",E1398="Bronchial Asthma",E1398="Cardiac Arrhythmia"), D1398+30,
OR(E1398="Gastritis",E1398="Osteoarthritis",E1398="Bronchitis",E1398="Iron Deficiency Anemia"), D1398+14,
OR(E1398="Lumbar Strain",E1398="Migraine Headache"), D1398+7,
OR(E1398="Viral Fever",E1398="General Checkup","Routine Health Check"), "",
TRUE,""
)</f>
        <v/>
      </c>
      <c r="I1398" s="1" t="str">
        <f t="shared" si="42"/>
        <v>No Follow-up Required</v>
      </c>
      <c r="J1398" t="str">
        <f>TEXT(Table8[[#This Row],[visit_Date]],"DDDD")</f>
        <v>Tuesday</v>
      </c>
      <c r="K1398" t="str">
        <f>TEXT(Table8[[#This Row],[visit_Date]],"mmmm")</f>
        <v>June</v>
      </c>
      <c r="L1398" t="str">
        <f t="shared" si="43"/>
        <v>Monsoon</v>
      </c>
    </row>
    <row r="1399" spans="1:12" x14ac:dyDescent="0.25">
      <c r="A1399">
        <v>1398</v>
      </c>
      <c r="B1399">
        <v>1214</v>
      </c>
      <c r="C1399">
        <v>1518</v>
      </c>
      <c r="D1399" s="1">
        <v>45783</v>
      </c>
      <c r="E1399" t="s">
        <v>24</v>
      </c>
      <c r="F1399" t="s">
        <v>321</v>
      </c>
      <c r="G1399" t="str">
        <f>_xlfn.XLOOKUP(TRIM(E1400),MedicineInfo!A:A,MedicineInfo!B:B,"Not Found")</f>
        <v>Multivitamin</v>
      </c>
      <c r="H1399" s="1" t="str" cm="1">
        <f t="array" ref="H1399">_xlfn.IFS(
OR(E1399="Type 2 Diabetes",E1399="Essential Hypertension",E1399="Angina Pectoris",E1399="Bronchial Asthma",E1399="Cardiac Arrhythmia"), D1399+30,
OR(E1399="Gastritis",E1399="Osteoarthritis",E1399="Bronchitis",E1399="Iron Deficiency Anemia"), D1399+14,
OR(E1399="Lumbar Strain",E1399="Migraine Headache"), D1399+7,
OR(E1399="Viral Fever",E1399="General Checkup","Routine Health Check"), "",
TRUE,""
)</f>
        <v/>
      </c>
      <c r="I1399" s="1" t="str">
        <f t="shared" si="42"/>
        <v>No Follow-up Required</v>
      </c>
      <c r="J1399" t="str">
        <f>TEXT(Table8[[#This Row],[visit_Date]],"DDDD")</f>
        <v>Tuesday</v>
      </c>
      <c r="K1399" t="str">
        <f>TEXT(Table8[[#This Row],[visit_Date]],"mmmm")</f>
        <v>May</v>
      </c>
      <c r="L1399" t="str">
        <f t="shared" si="43"/>
        <v>Summer</v>
      </c>
    </row>
    <row r="1400" spans="1:12" x14ac:dyDescent="0.25">
      <c r="A1400">
        <v>1399</v>
      </c>
      <c r="B1400">
        <v>1379</v>
      </c>
      <c r="C1400">
        <v>402</v>
      </c>
      <c r="D1400" s="1">
        <v>45804</v>
      </c>
      <c r="E1400" t="s">
        <v>24</v>
      </c>
      <c r="F1400" t="s">
        <v>321</v>
      </c>
      <c r="G1400" t="str">
        <f>_xlfn.XLOOKUP(TRIM(E1401),MedicineInfo!A:A,MedicineInfo!B:B,"Not Found")</f>
        <v>Multivitamin</v>
      </c>
      <c r="H1400" s="1" t="str" cm="1">
        <f t="array" ref="H1400">_xlfn.IFS(
OR(E1400="Type 2 Diabetes",E1400="Essential Hypertension",E1400="Angina Pectoris",E1400="Bronchial Asthma",E1400="Cardiac Arrhythmia"), D1400+30,
OR(E1400="Gastritis",E1400="Osteoarthritis",E1400="Bronchitis",E1400="Iron Deficiency Anemia"), D1400+14,
OR(E1400="Lumbar Strain",E1400="Migraine Headache"), D1400+7,
OR(E1400="Viral Fever",E1400="General Checkup","Routine Health Check"), "",
TRUE,""
)</f>
        <v/>
      </c>
      <c r="I1400" s="1" t="str">
        <f t="shared" si="42"/>
        <v>No Follow-up Required</v>
      </c>
      <c r="J1400" t="str">
        <f>TEXT(Table8[[#This Row],[visit_Date]],"DDDD")</f>
        <v>Tuesday</v>
      </c>
      <c r="K1400" t="str">
        <f>TEXT(Table8[[#This Row],[visit_Date]],"mmmm")</f>
        <v>May</v>
      </c>
      <c r="L1400" t="str">
        <f t="shared" si="43"/>
        <v>Summer</v>
      </c>
    </row>
    <row r="1401" spans="1:12" x14ac:dyDescent="0.25">
      <c r="A1401">
        <v>1400</v>
      </c>
      <c r="B1401">
        <v>1391</v>
      </c>
      <c r="C1401">
        <v>1562</v>
      </c>
      <c r="D1401" s="1">
        <v>45809</v>
      </c>
      <c r="E1401" t="s">
        <v>24</v>
      </c>
      <c r="F1401" t="s">
        <v>321</v>
      </c>
      <c r="G1401" t="str">
        <f>_xlfn.XLOOKUP(TRIM(E1402),MedicineInfo!A:A,MedicineInfo!B:B,"Not Found")</f>
        <v>Multivitamin</v>
      </c>
      <c r="H1401" s="1" t="str" cm="1">
        <f t="array" ref="H1401">_xlfn.IFS(
OR(E1401="Type 2 Diabetes",E1401="Essential Hypertension",E1401="Angina Pectoris",E1401="Bronchial Asthma",E1401="Cardiac Arrhythmia"), D1401+30,
OR(E1401="Gastritis",E1401="Osteoarthritis",E1401="Bronchitis",E1401="Iron Deficiency Anemia"), D1401+14,
OR(E1401="Lumbar Strain",E1401="Migraine Headache"), D1401+7,
OR(E1401="Viral Fever",E1401="General Checkup","Routine Health Check"), "",
TRUE,""
)</f>
        <v/>
      </c>
      <c r="I1401" s="1" t="str">
        <f t="shared" si="42"/>
        <v>No Follow-up Required</v>
      </c>
      <c r="J1401" t="str">
        <f>TEXT(Table8[[#This Row],[visit_Date]],"DDDD")</f>
        <v>Sunday</v>
      </c>
      <c r="K1401" t="str">
        <f>TEXT(Table8[[#This Row],[visit_Date]],"mmmm")</f>
        <v>June</v>
      </c>
      <c r="L1401" t="str">
        <f t="shared" si="43"/>
        <v>Monsoon</v>
      </c>
    </row>
    <row r="1402" spans="1:12" x14ac:dyDescent="0.25">
      <c r="A1402">
        <v>1401</v>
      </c>
      <c r="B1402">
        <v>1196</v>
      </c>
      <c r="C1402">
        <v>1495</v>
      </c>
      <c r="D1402" s="1">
        <v>45692</v>
      </c>
      <c r="E1402" t="s">
        <v>24</v>
      </c>
      <c r="F1402" t="s">
        <v>321</v>
      </c>
      <c r="G1402" t="str">
        <f>_xlfn.XLOOKUP(TRIM(E1403),MedicineInfo!A:A,MedicineInfo!B:B,"Not Found")</f>
        <v>Multivitamin</v>
      </c>
      <c r="H1402" s="1" t="str" cm="1">
        <f t="array" ref="H1402">_xlfn.IFS(
OR(E1402="Type 2 Diabetes",E1402="Essential Hypertension",E1402="Angina Pectoris",E1402="Bronchial Asthma",E1402="Cardiac Arrhythmia"), D1402+30,
OR(E1402="Gastritis",E1402="Osteoarthritis",E1402="Bronchitis",E1402="Iron Deficiency Anemia"), D1402+14,
OR(E1402="Lumbar Strain",E1402="Migraine Headache"), D1402+7,
OR(E1402="Viral Fever",E1402="General Checkup","Routine Health Check"), "",
TRUE,""
)</f>
        <v/>
      </c>
      <c r="I1402" s="1" t="str">
        <f t="shared" si="42"/>
        <v>No Follow-up Required</v>
      </c>
      <c r="J1402" t="str">
        <f>TEXT(Table8[[#This Row],[visit_Date]],"DDDD")</f>
        <v>Tuesday</v>
      </c>
      <c r="K1402" t="str">
        <f>TEXT(Table8[[#This Row],[visit_Date]],"mmmm")</f>
        <v>February</v>
      </c>
      <c r="L1402" t="str">
        <f t="shared" si="43"/>
        <v>Winter</v>
      </c>
    </row>
    <row r="1403" spans="1:12" x14ac:dyDescent="0.25">
      <c r="A1403">
        <v>1402</v>
      </c>
      <c r="B1403">
        <v>1177</v>
      </c>
      <c r="C1403">
        <v>429</v>
      </c>
      <c r="D1403" s="1">
        <v>45695</v>
      </c>
      <c r="E1403" t="s">
        <v>24</v>
      </c>
      <c r="F1403" t="s">
        <v>321</v>
      </c>
      <c r="G1403" t="str">
        <f>_xlfn.XLOOKUP(TRIM(E1404),MedicineInfo!A:A,MedicineInfo!B:B,"Not Found")</f>
        <v>Multivitamin</v>
      </c>
      <c r="H1403" s="1" t="str" cm="1">
        <f t="array" ref="H1403">_xlfn.IFS(
OR(E1403="Type 2 Diabetes",E1403="Essential Hypertension",E1403="Angina Pectoris",E1403="Bronchial Asthma",E1403="Cardiac Arrhythmia"), D1403+30,
OR(E1403="Gastritis",E1403="Osteoarthritis",E1403="Bronchitis",E1403="Iron Deficiency Anemia"), D1403+14,
OR(E1403="Lumbar Strain",E1403="Migraine Headache"), D1403+7,
OR(E1403="Viral Fever",E1403="General Checkup","Routine Health Check"), "",
TRUE,""
)</f>
        <v/>
      </c>
      <c r="I1403" s="1" t="str">
        <f t="shared" si="42"/>
        <v>No Follow-up Required</v>
      </c>
      <c r="J1403" t="str">
        <f>TEXT(Table8[[#This Row],[visit_Date]],"DDDD")</f>
        <v>Friday</v>
      </c>
      <c r="K1403" t="str">
        <f>TEXT(Table8[[#This Row],[visit_Date]],"mmmm")</f>
        <v>February</v>
      </c>
      <c r="L1403" t="str">
        <f t="shared" si="43"/>
        <v>Winter</v>
      </c>
    </row>
    <row r="1404" spans="1:12" x14ac:dyDescent="0.25">
      <c r="A1404">
        <v>1403</v>
      </c>
      <c r="B1404">
        <v>1028</v>
      </c>
      <c r="C1404">
        <v>468</v>
      </c>
      <c r="D1404" s="1">
        <v>45787</v>
      </c>
      <c r="E1404" t="s">
        <v>24</v>
      </c>
      <c r="F1404" t="s">
        <v>321</v>
      </c>
      <c r="G1404" t="str">
        <f>_xlfn.XLOOKUP(TRIM(E1405),MedicineInfo!A:A,MedicineInfo!B:B,"Not Found")</f>
        <v>Multivitamin</v>
      </c>
      <c r="H1404" s="1" t="str" cm="1">
        <f t="array" ref="H1404">_xlfn.IFS(
OR(E1404="Type 2 Diabetes",E1404="Essential Hypertension",E1404="Angina Pectoris",E1404="Bronchial Asthma",E1404="Cardiac Arrhythmia"), D1404+30,
OR(E1404="Gastritis",E1404="Osteoarthritis",E1404="Bronchitis",E1404="Iron Deficiency Anemia"), D1404+14,
OR(E1404="Lumbar Strain",E1404="Migraine Headache"), D1404+7,
OR(E1404="Viral Fever",E1404="General Checkup","Routine Health Check"), "",
TRUE,""
)</f>
        <v/>
      </c>
      <c r="I1404" s="1" t="str">
        <f t="shared" si="42"/>
        <v>No Follow-up Required</v>
      </c>
      <c r="J1404" t="str">
        <f>TEXT(Table8[[#This Row],[visit_Date]],"DDDD")</f>
        <v>Saturday</v>
      </c>
      <c r="K1404" t="str">
        <f>TEXT(Table8[[#This Row],[visit_Date]],"mmmm")</f>
        <v>May</v>
      </c>
      <c r="L1404" t="str">
        <f t="shared" si="43"/>
        <v>Summer</v>
      </c>
    </row>
    <row r="1405" spans="1:12" x14ac:dyDescent="0.25">
      <c r="A1405">
        <v>1404</v>
      </c>
      <c r="B1405">
        <v>1123</v>
      </c>
      <c r="C1405">
        <v>1391</v>
      </c>
      <c r="D1405" s="1">
        <v>45791</v>
      </c>
      <c r="E1405" t="s">
        <v>24</v>
      </c>
      <c r="F1405" t="s">
        <v>321</v>
      </c>
      <c r="G1405" t="str">
        <f>_xlfn.XLOOKUP(TRIM(E1406),MedicineInfo!A:A,MedicineInfo!B:B,"Not Found")</f>
        <v>Multivitamin</v>
      </c>
      <c r="H1405" s="1" t="str" cm="1">
        <f t="array" ref="H1405">_xlfn.IFS(
OR(E1405="Type 2 Diabetes",E1405="Essential Hypertension",E1405="Angina Pectoris",E1405="Bronchial Asthma",E1405="Cardiac Arrhythmia"), D1405+30,
OR(E1405="Gastritis",E1405="Osteoarthritis",E1405="Bronchitis",E1405="Iron Deficiency Anemia"), D1405+14,
OR(E1405="Lumbar Strain",E1405="Migraine Headache"), D1405+7,
OR(E1405="Viral Fever",E1405="General Checkup","Routine Health Check"), "",
TRUE,""
)</f>
        <v/>
      </c>
      <c r="I1405" s="1" t="str">
        <f t="shared" si="42"/>
        <v>No Follow-up Required</v>
      </c>
      <c r="J1405" t="str">
        <f>TEXT(Table8[[#This Row],[visit_Date]],"DDDD")</f>
        <v>Wednesday</v>
      </c>
      <c r="K1405" t="str">
        <f>TEXT(Table8[[#This Row],[visit_Date]],"mmmm")</f>
        <v>May</v>
      </c>
      <c r="L1405" t="str">
        <f t="shared" si="43"/>
        <v>Summer</v>
      </c>
    </row>
    <row r="1406" spans="1:12" x14ac:dyDescent="0.25">
      <c r="A1406">
        <v>1405</v>
      </c>
      <c r="B1406">
        <v>1012</v>
      </c>
      <c r="C1406">
        <v>889</v>
      </c>
      <c r="D1406" s="1">
        <v>45869</v>
      </c>
      <c r="E1406" t="s">
        <v>24</v>
      </c>
      <c r="F1406" t="s">
        <v>321</v>
      </c>
      <c r="G1406" t="str">
        <f>_xlfn.XLOOKUP(TRIM(E1407),MedicineInfo!A:A,MedicineInfo!B:B,"Not Found")</f>
        <v>Multivitamin</v>
      </c>
      <c r="H1406" s="1" t="str" cm="1">
        <f t="array" ref="H1406">_xlfn.IFS(
OR(E1406="Type 2 Diabetes",E1406="Essential Hypertension",E1406="Angina Pectoris",E1406="Bronchial Asthma",E1406="Cardiac Arrhythmia"), D1406+30,
OR(E1406="Gastritis",E1406="Osteoarthritis",E1406="Bronchitis",E1406="Iron Deficiency Anemia"), D1406+14,
OR(E1406="Lumbar Strain",E1406="Migraine Headache"), D1406+7,
OR(E1406="Viral Fever",E1406="General Checkup","Routine Health Check"), "",
TRUE,""
)</f>
        <v/>
      </c>
      <c r="I1406" s="1" t="str">
        <f t="shared" si="42"/>
        <v>No Follow-up Required</v>
      </c>
      <c r="J1406" t="str">
        <f>TEXT(Table8[[#This Row],[visit_Date]],"DDDD")</f>
        <v>Thursday</v>
      </c>
      <c r="K1406" t="str">
        <f>TEXT(Table8[[#This Row],[visit_Date]],"mmmm")</f>
        <v>July</v>
      </c>
      <c r="L1406" t="str">
        <f t="shared" si="43"/>
        <v>Monsoon</v>
      </c>
    </row>
    <row r="1407" spans="1:12" x14ac:dyDescent="0.25">
      <c r="A1407">
        <v>1406</v>
      </c>
      <c r="B1407">
        <v>1315</v>
      </c>
      <c r="C1407">
        <v>166</v>
      </c>
      <c r="D1407" s="1">
        <v>45814</v>
      </c>
      <c r="E1407" t="s">
        <v>24</v>
      </c>
      <c r="F1407" t="s">
        <v>321</v>
      </c>
      <c r="G1407" t="str">
        <f>_xlfn.XLOOKUP(TRIM(E1408),MedicineInfo!A:A,MedicineInfo!B:B,"Not Found")</f>
        <v>Multivitamin</v>
      </c>
      <c r="H1407" s="1" t="str" cm="1">
        <f t="array" ref="H1407">_xlfn.IFS(
OR(E1407="Type 2 Diabetes",E1407="Essential Hypertension",E1407="Angina Pectoris",E1407="Bronchial Asthma",E1407="Cardiac Arrhythmia"), D1407+30,
OR(E1407="Gastritis",E1407="Osteoarthritis",E1407="Bronchitis",E1407="Iron Deficiency Anemia"), D1407+14,
OR(E1407="Lumbar Strain",E1407="Migraine Headache"), D1407+7,
OR(E1407="Viral Fever",E1407="General Checkup","Routine Health Check"), "",
TRUE,""
)</f>
        <v/>
      </c>
      <c r="I1407" s="1" t="str">
        <f t="shared" si="42"/>
        <v>No Follow-up Required</v>
      </c>
      <c r="J1407" t="str">
        <f>TEXT(Table8[[#This Row],[visit_Date]],"DDDD")</f>
        <v>Friday</v>
      </c>
      <c r="K1407" t="str">
        <f>TEXT(Table8[[#This Row],[visit_Date]],"mmmm")</f>
        <v>June</v>
      </c>
      <c r="L1407" t="str">
        <f t="shared" si="43"/>
        <v>Monsoon</v>
      </c>
    </row>
    <row r="1408" spans="1:12" x14ac:dyDescent="0.25">
      <c r="A1408">
        <v>1407</v>
      </c>
      <c r="B1408">
        <v>1017</v>
      </c>
      <c r="C1408">
        <v>1086</v>
      </c>
      <c r="D1408" s="1">
        <v>45853</v>
      </c>
      <c r="E1408" t="s">
        <v>24</v>
      </c>
      <c r="F1408" t="s">
        <v>321</v>
      </c>
      <c r="G1408" t="str">
        <f>_xlfn.XLOOKUP(TRIM(E1409),MedicineInfo!A:A,MedicineInfo!B:B,"Not Found")</f>
        <v>Multivitamin</v>
      </c>
      <c r="H1408" s="1" t="str" cm="1">
        <f t="array" ref="H1408">_xlfn.IFS(
OR(E1408="Type 2 Diabetes",E1408="Essential Hypertension",E1408="Angina Pectoris",E1408="Bronchial Asthma",E1408="Cardiac Arrhythmia"), D1408+30,
OR(E1408="Gastritis",E1408="Osteoarthritis",E1408="Bronchitis",E1408="Iron Deficiency Anemia"), D1408+14,
OR(E1408="Lumbar Strain",E1408="Migraine Headache"), D1408+7,
OR(E1408="Viral Fever",E1408="General Checkup","Routine Health Check"), "",
TRUE,""
)</f>
        <v/>
      </c>
      <c r="I1408" s="1" t="str">
        <f t="shared" si="42"/>
        <v>No Follow-up Required</v>
      </c>
      <c r="J1408" t="str">
        <f>TEXT(Table8[[#This Row],[visit_Date]],"DDDD")</f>
        <v>Tuesday</v>
      </c>
      <c r="K1408" t="str">
        <f>TEXT(Table8[[#This Row],[visit_Date]],"mmmm")</f>
        <v>July</v>
      </c>
      <c r="L1408" t="str">
        <f t="shared" si="43"/>
        <v>Monsoon</v>
      </c>
    </row>
    <row r="1409" spans="1:12" x14ac:dyDescent="0.25">
      <c r="A1409">
        <v>1408</v>
      </c>
      <c r="B1409">
        <v>1153</v>
      </c>
      <c r="C1409">
        <v>1094</v>
      </c>
      <c r="D1409" s="1">
        <v>45696</v>
      </c>
      <c r="E1409" t="s">
        <v>24</v>
      </c>
      <c r="F1409" t="s">
        <v>321</v>
      </c>
      <c r="G1409" t="str">
        <f>_xlfn.XLOOKUP(TRIM(E1410),MedicineInfo!A:A,MedicineInfo!B:B,"Not Found")</f>
        <v>Multivitamin</v>
      </c>
      <c r="H1409" s="1" t="str" cm="1">
        <f t="array" ref="H1409">_xlfn.IFS(
OR(E1409="Type 2 Diabetes",E1409="Essential Hypertension",E1409="Angina Pectoris",E1409="Bronchial Asthma",E1409="Cardiac Arrhythmia"), D1409+30,
OR(E1409="Gastritis",E1409="Osteoarthritis",E1409="Bronchitis",E1409="Iron Deficiency Anemia"), D1409+14,
OR(E1409="Lumbar Strain",E1409="Migraine Headache"), D1409+7,
OR(E1409="Viral Fever",E1409="General Checkup","Routine Health Check"), "",
TRUE,""
)</f>
        <v/>
      </c>
      <c r="I1409" s="1" t="str">
        <f t="shared" si="42"/>
        <v>No Follow-up Required</v>
      </c>
      <c r="J1409" t="str">
        <f>TEXT(Table8[[#This Row],[visit_Date]],"DDDD")</f>
        <v>Saturday</v>
      </c>
      <c r="K1409" t="str">
        <f>TEXT(Table8[[#This Row],[visit_Date]],"mmmm")</f>
        <v>February</v>
      </c>
      <c r="L1409" t="str">
        <f t="shared" si="43"/>
        <v>Winter</v>
      </c>
    </row>
    <row r="1410" spans="1:12" x14ac:dyDescent="0.25">
      <c r="A1410">
        <v>1409</v>
      </c>
      <c r="B1410">
        <v>1288</v>
      </c>
      <c r="C1410">
        <v>1276</v>
      </c>
      <c r="D1410" s="1">
        <v>45786</v>
      </c>
      <c r="E1410" t="s">
        <v>24</v>
      </c>
      <c r="F1410" t="s">
        <v>321</v>
      </c>
      <c r="G1410" t="str">
        <f>_xlfn.XLOOKUP(TRIM(E1411),MedicineInfo!A:A,MedicineInfo!B:B,"Not Found")</f>
        <v>Nitroglycerin</v>
      </c>
      <c r="H1410" s="1" t="str" cm="1">
        <f t="array" ref="H1410">_xlfn.IFS(
OR(E1410="Type 2 Diabetes",E1410="Essential Hypertension",E1410="Angina Pectoris",E1410="Bronchial Asthma",E1410="Cardiac Arrhythmia"), D1410+30,
OR(E1410="Gastritis",E1410="Osteoarthritis",E1410="Bronchitis",E1410="Iron Deficiency Anemia"), D1410+14,
OR(E1410="Lumbar Strain",E1410="Migraine Headache"), D1410+7,
OR(E1410="Viral Fever",E1410="General Checkup","Routine Health Check"), "",
TRUE,""
)</f>
        <v/>
      </c>
      <c r="I1410" s="1" t="str">
        <f t="shared" ref="I1410:I1473" si="44">IF(H1410="","No Follow-up Required","Follow-up Scheduled")</f>
        <v>No Follow-up Required</v>
      </c>
      <c r="J1410" t="str">
        <f>TEXT(Table8[[#This Row],[visit_Date]],"DDDD")</f>
        <v>Friday</v>
      </c>
      <c r="K1410" t="str">
        <f>TEXT(Table8[[#This Row],[visit_Date]],"mmmm")</f>
        <v>May</v>
      </c>
      <c r="L1410" t="str">
        <f t="shared" ref="L1410:L1473" si="45">IF(OR(MONTH(D1410)=12,MONTH(D1410)&lt;=2),"Winter",
IF(MONTH(D1410)&lt;=5,"Summer","Monsoon"))</f>
        <v>Summer</v>
      </c>
    </row>
    <row r="1411" spans="1:12" x14ac:dyDescent="0.25">
      <c r="A1411">
        <v>1410</v>
      </c>
      <c r="B1411">
        <v>1070</v>
      </c>
      <c r="C1411">
        <v>1544</v>
      </c>
      <c r="D1411" s="1">
        <v>45799</v>
      </c>
      <c r="E1411" t="s">
        <v>322</v>
      </c>
      <c r="F1411" t="s">
        <v>323</v>
      </c>
      <c r="G1411" t="str">
        <f>_xlfn.XLOOKUP(TRIM(E1412),MedicineInfo!A:A,MedicineInfo!B:B,"Not Found")</f>
        <v>Multivitamin</v>
      </c>
      <c r="H1411" s="1" cm="1">
        <f t="array" ref="H1411">_xlfn.IFS(
OR(E1411="Type 2 Diabetes",E1411="Essential Hypertension",E1411="Angina Pectoris",E1411="Bronchial Asthma",E1411="Cardiac Arrhythmia"), D1411+30,
OR(E1411="Gastritis",E1411="Osteoarthritis",E1411="Bronchitis",E1411="Iron Deficiency Anemia"), D1411+14,
OR(E1411="Lumbar Strain",E1411="Migraine Headache"), D1411+7,
OR(E1411="Viral Fever",E1411="General Checkup","Routine Health Check"), "",
TRUE,""
)</f>
        <v>45829</v>
      </c>
      <c r="I1411" s="1" t="str">
        <f t="shared" si="44"/>
        <v>Follow-up Scheduled</v>
      </c>
      <c r="J1411" t="str">
        <f>TEXT(Table8[[#This Row],[visit_Date]],"DDDD")</f>
        <v>Thursday</v>
      </c>
      <c r="K1411" t="str">
        <f>TEXT(Table8[[#This Row],[visit_Date]],"mmmm")</f>
        <v>May</v>
      </c>
      <c r="L1411" t="str">
        <f t="shared" si="45"/>
        <v>Summer</v>
      </c>
    </row>
    <row r="1412" spans="1:12" x14ac:dyDescent="0.25">
      <c r="A1412">
        <v>1411</v>
      </c>
      <c r="B1412">
        <v>1205</v>
      </c>
      <c r="C1412">
        <v>1570</v>
      </c>
      <c r="D1412" s="1">
        <v>45758</v>
      </c>
      <c r="E1412" t="s">
        <v>24</v>
      </c>
      <c r="F1412" t="s">
        <v>321</v>
      </c>
      <c r="G1412" t="str">
        <f>_xlfn.XLOOKUP(TRIM(E1413),MedicineInfo!A:A,MedicineInfo!B:B,"Not Found")</f>
        <v>Multivitamin</v>
      </c>
      <c r="H1412" s="1" t="str" cm="1">
        <f t="array" ref="H1412">_xlfn.IFS(
OR(E1412="Type 2 Diabetes",E1412="Essential Hypertension",E1412="Angina Pectoris",E1412="Bronchial Asthma",E1412="Cardiac Arrhythmia"), D1412+30,
OR(E1412="Gastritis",E1412="Osteoarthritis",E1412="Bronchitis",E1412="Iron Deficiency Anemia"), D1412+14,
OR(E1412="Lumbar Strain",E1412="Migraine Headache"), D1412+7,
OR(E1412="Viral Fever",E1412="General Checkup","Routine Health Check"), "",
TRUE,""
)</f>
        <v/>
      </c>
      <c r="I1412" s="1" t="str">
        <f t="shared" si="44"/>
        <v>No Follow-up Required</v>
      </c>
      <c r="J1412" t="str">
        <f>TEXT(Table8[[#This Row],[visit_Date]],"DDDD")</f>
        <v>Friday</v>
      </c>
      <c r="K1412" t="str">
        <f>TEXT(Table8[[#This Row],[visit_Date]],"mmmm")</f>
        <v>April</v>
      </c>
      <c r="L1412" t="str">
        <f t="shared" si="45"/>
        <v>Summer</v>
      </c>
    </row>
    <row r="1413" spans="1:12" x14ac:dyDescent="0.25">
      <c r="A1413">
        <v>1412</v>
      </c>
      <c r="B1413">
        <v>1029</v>
      </c>
      <c r="C1413">
        <v>225</v>
      </c>
      <c r="D1413" s="1">
        <v>45782</v>
      </c>
      <c r="E1413" t="s">
        <v>24</v>
      </c>
      <c r="F1413" t="s">
        <v>321</v>
      </c>
      <c r="G1413" t="str">
        <f>_xlfn.XLOOKUP(TRIM(E1414),MedicineInfo!A:A,MedicineInfo!B:B,"Not Found")</f>
        <v>Paracetamol</v>
      </c>
      <c r="H1413" s="1" t="str" cm="1">
        <f t="array" ref="H1413">_xlfn.IFS(
OR(E1413="Type 2 Diabetes",E1413="Essential Hypertension",E1413="Angina Pectoris",E1413="Bronchial Asthma",E1413="Cardiac Arrhythmia"), D1413+30,
OR(E1413="Gastritis",E1413="Osteoarthritis",E1413="Bronchitis",E1413="Iron Deficiency Anemia"), D1413+14,
OR(E1413="Lumbar Strain",E1413="Migraine Headache"), D1413+7,
OR(E1413="Viral Fever",E1413="General Checkup","Routine Health Check"), "",
TRUE,""
)</f>
        <v/>
      </c>
      <c r="I1413" s="1" t="str">
        <f t="shared" si="44"/>
        <v>No Follow-up Required</v>
      </c>
      <c r="J1413" t="str">
        <f>TEXT(Table8[[#This Row],[visit_Date]],"DDDD")</f>
        <v>Monday</v>
      </c>
      <c r="K1413" t="str">
        <f>TEXT(Table8[[#This Row],[visit_Date]],"mmmm")</f>
        <v>May</v>
      </c>
      <c r="L1413" t="str">
        <f t="shared" si="45"/>
        <v>Summer</v>
      </c>
    </row>
    <row r="1414" spans="1:12" x14ac:dyDescent="0.25">
      <c r="A1414">
        <v>1413</v>
      </c>
      <c r="B1414">
        <v>1387</v>
      </c>
      <c r="C1414">
        <v>195</v>
      </c>
      <c r="D1414" s="1">
        <v>45705</v>
      </c>
      <c r="E1414" t="s">
        <v>326</v>
      </c>
      <c r="F1414" t="s">
        <v>327</v>
      </c>
      <c r="G1414" t="str">
        <f>_xlfn.XLOOKUP(TRIM(E1415),MedicineInfo!A:A,MedicineInfo!B:B,"Not Found")</f>
        <v>Multivitamin</v>
      </c>
      <c r="H1414" s="1" t="str" cm="1">
        <f t="array" ref="H1414">_xlfn.IFS(
OR(E1414="Type 2 Diabetes",E1414="Essential Hypertension",E1414="Angina Pectoris",E1414="Bronchial Asthma",E1414="Cardiac Arrhythmia"), D1414+30,
OR(E1414="Gastritis",E1414="Osteoarthritis",E1414="Bronchitis",E1414="Iron Deficiency Anemia"), D1414+14,
OR(E1414="Lumbar Strain",E1414="Migraine Headache"), D1414+7,
OR(E1414="Viral Fever",E1414="General Checkup","Routine Health Check"), "",
TRUE,""
)</f>
        <v/>
      </c>
      <c r="I1414" s="1" t="str">
        <f t="shared" si="44"/>
        <v>No Follow-up Required</v>
      </c>
      <c r="J1414" t="str">
        <f>TEXT(Table8[[#This Row],[visit_Date]],"DDDD")</f>
        <v>Monday</v>
      </c>
      <c r="K1414" t="str">
        <f>TEXT(Table8[[#This Row],[visit_Date]],"mmmm")</f>
        <v>February</v>
      </c>
      <c r="L1414" t="str">
        <f t="shared" si="45"/>
        <v>Winter</v>
      </c>
    </row>
    <row r="1415" spans="1:12" x14ac:dyDescent="0.25">
      <c r="A1415">
        <v>1414</v>
      </c>
      <c r="B1415">
        <v>1023</v>
      </c>
      <c r="C1415">
        <v>1204</v>
      </c>
      <c r="D1415" s="1">
        <v>45686</v>
      </c>
      <c r="E1415" t="s">
        <v>24</v>
      </c>
      <c r="F1415" t="s">
        <v>321</v>
      </c>
      <c r="G1415" t="str">
        <f>_xlfn.XLOOKUP(TRIM(E1416),MedicineInfo!A:A,MedicineInfo!B:B,"Not Found")</f>
        <v>Aceclofenac</v>
      </c>
      <c r="H1415" s="1" t="str" cm="1">
        <f t="array" ref="H1415">_xlfn.IFS(
OR(E1415="Type 2 Diabetes",E1415="Essential Hypertension",E1415="Angina Pectoris",E1415="Bronchial Asthma",E1415="Cardiac Arrhythmia"), D1415+30,
OR(E1415="Gastritis",E1415="Osteoarthritis",E1415="Bronchitis",E1415="Iron Deficiency Anemia"), D1415+14,
OR(E1415="Lumbar Strain",E1415="Migraine Headache"), D1415+7,
OR(E1415="Viral Fever",E1415="General Checkup","Routine Health Check"), "",
TRUE,""
)</f>
        <v/>
      </c>
      <c r="I1415" s="1" t="str">
        <f t="shared" si="44"/>
        <v>No Follow-up Required</v>
      </c>
      <c r="J1415" t="str">
        <f>TEXT(Table8[[#This Row],[visit_Date]],"DDDD")</f>
        <v>Wednesday</v>
      </c>
      <c r="K1415" t="str">
        <f>TEXT(Table8[[#This Row],[visit_Date]],"mmmm")</f>
        <v>January</v>
      </c>
      <c r="L1415" t="str">
        <f t="shared" si="45"/>
        <v>Winter</v>
      </c>
    </row>
    <row r="1416" spans="1:12" x14ac:dyDescent="0.25">
      <c r="A1416">
        <v>1415</v>
      </c>
      <c r="B1416">
        <v>1263</v>
      </c>
      <c r="C1416">
        <v>711</v>
      </c>
      <c r="D1416" s="1">
        <v>45814</v>
      </c>
      <c r="E1416" t="s">
        <v>348</v>
      </c>
      <c r="F1416" t="s">
        <v>349</v>
      </c>
      <c r="G1416" t="str">
        <f>_xlfn.XLOOKUP(TRIM(E1417),MedicineInfo!A:A,MedicineInfo!B:B,"Not Found")</f>
        <v>Sodium Valproate</v>
      </c>
      <c r="H1416" s="1" cm="1">
        <f t="array" ref="H1416">_xlfn.IFS(
OR(E1416="Type 2 Diabetes",E1416="Essential Hypertension",E1416="Angina Pectoris",E1416="Bronchial Asthma",E1416="Cardiac Arrhythmia"), D1416+30,
OR(E1416="Gastritis",E1416="Osteoarthritis",E1416="Bronchitis",E1416="Iron Deficiency Anemia"), D1416+14,
OR(E1416="Lumbar Strain",E1416="Migraine Headache"), D1416+7,
OR(E1416="Viral Fever",E1416="General Checkup","Routine Health Check"), "",
TRUE,""
)</f>
        <v>45828</v>
      </c>
      <c r="I1416" s="1" t="str">
        <f t="shared" si="44"/>
        <v>Follow-up Scheduled</v>
      </c>
      <c r="J1416" t="str">
        <f>TEXT(Table8[[#This Row],[visit_Date]],"DDDD")</f>
        <v>Friday</v>
      </c>
      <c r="K1416" t="str">
        <f>TEXT(Table8[[#This Row],[visit_Date]],"mmmm")</f>
        <v>June</v>
      </c>
      <c r="L1416" t="str">
        <f t="shared" si="45"/>
        <v>Monsoon</v>
      </c>
    </row>
    <row r="1417" spans="1:12" x14ac:dyDescent="0.25">
      <c r="A1417">
        <v>1416</v>
      </c>
      <c r="B1417">
        <v>1313</v>
      </c>
      <c r="C1417">
        <v>1123</v>
      </c>
      <c r="D1417" s="1">
        <v>45814</v>
      </c>
      <c r="E1417" t="s">
        <v>352</v>
      </c>
      <c r="F1417" t="s">
        <v>353</v>
      </c>
      <c r="G1417" t="str">
        <f>_xlfn.XLOOKUP(TRIM(E1418),MedicineInfo!A:A,MedicineInfo!B:B,"Not Found")</f>
        <v>Multivitamin</v>
      </c>
      <c r="H1417" s="1" t="str" cm="1">
        <f t="array" ref="H1417">_xlfn.IFS(
OR(E1417="Type 2 Diabetes",E1417="Essential Hypertension",E1417="Angina Pectoris",E1417="Bronchial Asthma",E1417="Cardiac Arrhythmia"), D1417+30,
OR(E1417="Gastritis",E1417="Osteoarthritis",E1417="Bronchitis",E1417="Iron Deficiency Anemia"), D1417+14,
OR(E1417="Lumbar Strain",E1417="Migraine Headache"), D1417+7,
OR(E1417="Viral Fever",E1417="General Checkup","Routine Health Check"), "",
TRUE,""
)</f>
        <v/>
      </c>
      <c r="I1417" s="1" t="str">
        <f t="shared" si="44"/>
        <v>No Follow-up Required</v>
      </c>
      <c r="J1417" t="str">
        <f>TEXT(Table8[[#This Row],[visit_Date]],"DDDD")</f>
        <v>Friday</v>
      </c>
      <c r="K1417" t="str">
        <f>TEXT(Table8[[#This Row],[visit_Date]],"mmmm")</f>
        <v>June</v>
      </c>
      <c r="L1417" t="str">
        <f t="shared" si="45"/>
        <v>Monsoon</v>
      </c>
    </row>
    <row r="1418" spans="1:12" x14ac:dyDescent="0.25">
      <c r="A1418">
        <v>1417</v>
      </c>
      <c r="B1418">
        <v>1386</v>
      </c>
      <c r="C1418">
        <v>865</v>
      </c>
      <c r="D1418" s="1">
        <v>45675</v>
      </c>
      <c r="E1418" t="s">
        <v>24</v>
      </c>
      <c r="F1418" t="s">
        <v>321</v>
      </c>
      <c r="G1418" t="str">
        <f>_xlfn.XLOOKUP(TRIM(E1419),MedicineInfo!A:A,MedicineInfo!B:B,"Not Found")</f>
        <v>Multivitamin</v>
      </c>
      <c r="H1418" s="1" t="str" cm="1">
        <f t="array" ref="H1418">_xlfn.IFS(
OR(E1418="Type 2 Diabetes",E1418="Essential Hypertension",E1418="Angina Pectoris",E1418="Bronchial Asthma",E1418="Cardiac Arrhythmia"), D1418+30,
OR(E1418="Gastritis",E1418="Osteoarthritis",E1418="Bronchitis",E1418="Iron Deficiency Anemia"), D1418+14,
OR(E1418="Lumbar Strain",E1418="Migraine Headache"), D1418+7,
OR(E1418="Viral Fever",E1418="General Checkup","Routine Health Check"), "",
TRUE,""
)</f>
        <v/>
      </c>
      <c r="I1418" s="1" t="str">
        <f t="shared" si="44"/>
        <v>No Follow-up Required</v>
      </c>
      <c r="J1418" t="str">
        <f>TEXT(Table8[[#This Row],[visit_Date]],"DDDD")</f>
        <v>Saturday</v>
      </c>
      <c r="K1418" t="str">
        <f>TEXT(Table8[[#This Row],[visit_Date]],"mmmm")</f>
        <v>January</v>
      </c>
      <c r="L1418" t="str">
        <f t="shared" si="45"/>
        <v>Winter</v>
      </c>
    </row>
    <row r="1419" spans="1:12" x14ac:dyDescent="0.25">
      <c r="A1419">
        <v>1418</v>
      </c>
      <c r="B1419">
        <v>1228</v>
      </c>
      <c r="C1419">
        <v>247</v>
      </c>
      <c r="D1419" s="1">
        <v>45791</v>
      </c>
      <c r="E1419" t="s">
        <v>24</v>
      </c>
      <c r="F1419" t="s">
        <v>321</v>
      </c>
      <c r="G1419" t="str">
        <f>_xlfn.XLOOKUP(TRIM(E1420),MedicineInfo!A:A,MedicineInfo!B:B,"Not Found")</f>
        <v>Amlodipine</v>
      </c>
      <c r="H1419" s="1" t="str" cm="1">
        <f t="array" ref="H1419">_xlfn.IFS(
OR(E1419="Type 2 Diabetes",E1419="Essential Hypertension",E1419="Angina Pectoris",E1419="Bronchial Asthma",E1419="Cardiac Arrhythmia"), D1419+30,
OR(E1419="Gastritis",E1419="Osteoarthritis",E1419="Bronchitis",E1419="Iron Deficiency Anemia"), D1419+14,
OR(E1419="Lumbar Strain",E1419="Migraine Headache"), D1419+7,
OR(E1419="Viral Fever",E1419="General Checkup","Routine Health Check"), "",
TRUE,""
)</f>
        <v/>
      </c>
      <c r="I1419" s="1" t="str">
        <f t="shared" si="44"/>
        <v>No Follow-up Required</v>
      </c>
      <c r="J1419" t="str">
        <f>TEXT(Table8[[#This Row],[visit_Date]],"DDDD")</f>
        <v>Wednesday</v>
      </c>
      <c r="K1419" t="str">
        <f>TEXT(Table8[[#This Row],[visit_Date]],"mmmm")</f>
        <v>May</v>
      </c>
      <c r="L1419" t="str">
        <f t="shared" si="45"/>
        <v>Summer</v>
      </c>
    </row>
    <row r="1420" spans="1:12" x14ac:dyDescent="0.25">
      <c r="A1420">
        <v>1419</v>
      </c>
      <c r="B1420">
        <v>1343</v>
      </c>
      <c r="C1420">
        <v>529</v>
      </c>
      <c r="D1420" s="1">
        <v>45718</v>
      </c>
      <c r="E1420" t="s">
        <v>319</v>
      </c>
      <c r="F1420" t="s">
        <v>320</v>
      </c>
      <c r="G1420" t="str">
        <f>_xlfn.XLOOKUP(TRIM(E1421),MedicineInfo!A:A,MedicineInfo!B:B,"Not Found")</f>
        <v>Multivitamin</v>
      </c>
      <c r="H1420" s="1" cm="1">
        <f t="array" ref="H1420">_xlfn.IFS(
OR(E1420="Type 2 Diabetes",E1420="Essential Hypertension",E1420="Angina Pectoris",E1420="Bronchial Asthma",E1420="Cardiac Arrhythmia"), D1420+30,
OR(E1420="Gastritis",E1420="Osteoarthritis",E1420="Bronchitis",E1420="Iron Deficiency Anemia"), D1420+14,
OR(E1420="Lumbar Strain",E1420="Migraine Headache"), D1420+7,
OR(E1420="Viral Fever",E1420="General Checkup","Routine Health Check"), "",
TRUE,""
)</f>
        <v>45748</v>
      </c>
      <c r="I1420" s="1" t="str">
        <f t="shared" si="44"/>
        <v>Follow-up Scheduled</v>
      </c>
      <c r="J1420" t="str">
        <f>TEXT(Table8[[#This Row],[visit_Date]],"DDDD")</f>
        <v>Sunday</v>
      </c>
      <c r="K1420" t="str">
        <f>TEXT(Table8[[#This Row],[visit_Date]],"mmmm")</f>
        <v>March</v>
      </c>
      <c r="L1420" t="str">
        <f t="shared" si="45"/>
        <v>Summer</v>
      </c>
    </row>
    <row r="1421" spans="1:12" x14ac:dyDescent="0.25">
      <c r="A1421">
        <v>1420</v>
      </c>
      <c r="B1421">
        <v>1200</v>
      </c>
      <c r="C1421">
        <v>1133</v>
      </c>
      <c r="D1421" s="1">
        <v>45758</v>
      </c>
      <c r="E1421" t="s">
        <v>24</v>
      </c>
      <c r="F1421" t="s">
        <v>321</v>
      </c>
      <c r="G1421" t="str">
        <f>_xlfn.XLOOKUP(TRIM(E1422),MedicineInfo!A:A,MedicineInfo!B:B,"Not Found")</f>
        <v>Multivitamin</v>
      </c>
      <c r="H1421" s="1" t="str" cm="1">
        <f t="array" ref="H1421">_xlfn.IFS(
OR(E1421="Type 2 Diabetes",E1421="Essential Hypertension",E1421="Angina Pectoris",E1421="Bronchial Asthma",E1421="Cardiac Arrhythmia"), D1421+30,
OR(E1421="Gastritis",E1421="Osteoarthritis",E1421="Bronchitis",E1421="Iron Deficiency Anemia"), D1421+14,
OR(E1421="Lumbar Strain",E1421="Migraine Headache"), D1421+7,
OR(E1421="Viral Fever",E1421="General Checkup","Routine Health Check"), "",
TRUE,""
)</f>
        <v/>
      </c>
      <c r="I1421" s="1" t="str">
        <f t="shared" si="44"/>
        <v>No Follow-up Required</v>
      </c>
      <c r="J1421" t="str">
        <f>TEXT(Table8[[#This Row],[visit_Date]],"DDDD")</f>
        <v>Friday</v>
      </c>
      <c r="K1421" t="str">
        <f>TEXT(Table8[[#This Row],[visit_Date]],"mmmm")</f>
        <v>April</v>
      </c>
      <c r="L1421" t="str">
        <f t="shared" si="45"/>
        <v>Summer</v>
      </c>
    </row>
    <row r="1422" spans="1:12" x14ac:dyDescent="0.25">
      <c r="A1422">
        <v>1421</v>
      </c>
      <c r="B1422">
        <v>1196</v>
      </c>
      <c r="C1422">
        <v>419</v>
      </c>
      <c r="D1422" s="1">
        <v>45758</v>
      </c>
      <c r="E1422" t="s">
        <v>24</v>
      </c>
      <c r="F1422" t="s">
        <v>321</v>
      </c>
      <c r="G1422" t="str">
        <f>_xlfn.XLOOKUP(TRIM(E1423),MedicineInfo!A:A,MedicineInfo!B:B,"Not Found")</f>
        <v>Nitroglycerin</v>
      </c>
      <c r="H1422" s="1" t="str" cm="1">
        <f t="array" ref="H1422">_xlfn.IFS(
OR(E1422="Type 2 Diabetes",E1422="Essential Hypertension",E1422="Angina Pectoris",E1422="Bronchial Asthma",E1422="Cardiac Arrhythmia"), D1422+30,
OR(E1422="Gastritis",E1422="Osteoarthritis",E1422="Bronchitis",E1422="Iron Deficiency Anemia"), D1422+14,
OR(E1422="Lumbar Strain",E1422="Migraine Headache"), D1422+7,
OR(E1422="Viral Fever",E1422="General Checkup","Routine Health Check"), "",
TRUE,""
)</f>
        <v/>
      </c>
      <c r="I1422" s="1" t="str">
        <f t="shared" si="44"/>
        <v>No Follow-up Required</v>
      </c>
      <c r="J1422" t="str">
        <f>TEXT(Table8[[#This Row],[visit_Date]],"DDDD")</f>
        <v>Friday</v>
      </c>
      <c r="K1422" t="str">
        <f>TEXT(Table8[[#This Row],[visit_Date]],"mmmm")</f>
        <v>April</v>
      </c>
      <c r="L1422" t="str">
        <f t="shared" si="45"/>
        <v>Summer</v>
      </c>
    </row>
    <row r="1423" spans="1:12" x14ac:dyDescent="0.25">
      <c r="A1423">
        <v>1422</v>
      </c>
      <c r="B1423">
        <v>1206</v>
      </c>
      <c r="C1423">
        <v>1384</v>
      </c>
      <c r="D1423" s="1">
        <v>45792</v>
      </c>
      <c r="E1423" t="s">
        <v>322</v>
      </c>
      <c r="F1423" t="s">
        <v>323</v>
      </c>
      <c r="G1423" t="str">
        <f>_xlfn.XLOOKUP(TRIM(E1424),MedicineInfo!A:A,MedicineInfo!B:B,"Not Found")</f>
        <v>Metformin</v>
      </c>
      <c r="H1423" s="1" cm="1">
        <f t="array" ref="H1423">_xlfn.IFS(
OR(E1423="Type 2 Diabetes",E1423="Essential Hypertension",E1423="Angina Pectoris",E1423="Bronchial Asthma",E1423="Cardiac Arrhythmia"), D1423+30,
OR(E1423="Gastritis",E1423="Osteoarthritis",E1423="Bronchitis",E1423="Iron Deficiency Anemia"), D1423+14,
OR(E1423="Lumbar Strain",E1423="Migraine Headache"), D1423+7,
OR(E1423="Viral Fever",E1423="General Checkup","Routine Health Check"), "",
TRUE,""
)</f>
        <v>45822</v>
      </c>
      <c r="I1423" s="1" t="str">
        <f t="shared" si="44"/>
        <v>Follow-up Scheduled</v>
      </c>
      <c r="J1423" t="str">
        <f>TEXT(Table8[[#This Row],[visit_Date]],"DDDD")</f>
        <v>Thursday</v>
      </c>
      <c r="K1423" t="str">
        <f>TEXT(Table8[[#This Row],[visit_Date]],"mmmm")</f>
        <v>May</v>
      </c>
      <c r="L1423" t="str">
        <f t="shared" si="45"/>
        <v>Summer</v>
      </c>
    </row>
    <row r="1424" spans="1:12" x14ac:dyDescent="0.25">
      <c r="A1424">
        <v>1423</v>
      </c>
      <c r="B1424">
        <v>1296</v>
      </c>
      <c r="C1424">
        <v>733</v>
      </c>
      <c r="D1424" s="1">
        <v>45691</v>
      </c>
      <c r="E1424" t="s">
        <v>317</v>
      </c>
      <c r="F1424" t="s">
        <v>318</v>
      </c>
      <c r="G1424" t="str">
        <f>_xlfn.XLOOKUP(TRIM(E1425),MedicineInfo!A:A,MedicineInfo!B:B,"Not Found")</f>
        <v>Multivitamin</v>
      </c>
      <c r="H1424" s="1" cm="1">
        <f t="array" ref="H1424">_xlfn.IFS(
OR(E1424="Type 2 Diabetes",E1424="Essential Hypertension",E1424="Angina Pectoris",E1424="Bronchial Asthma",E1424="Cardiac Arrhythmia"), D1424+30,
OR(E1424="Gastritis",E1424="Osteoarthritis",E1424="Bronchitis",E1424="Iron Deficiency Anemia"), D1424+14,
OR(E1424="Lumbar Strain",E1424="Migraine Headache"), D1424+7,
OR(E1424="Viral Fever",E1424="General Checkup","Routine Health Check"), "",
TRUE,""
)</f>
        <v>45721</v>
      </c>
      <c r="I1424" s="1" t="str">
        <f t="shared" si="44"/>
        <v>Follow-up Scheduled</v>
      </c>
      <c r="J1424" t="str">
        <f>TEXT(Table8[[#This Row],[visit_Date]],"DDDD")</f>
        <v>Monday</v>
      </c>
      <c r="K1424" t="str">
        <f>TEXT(Table8[[#This Row],[visit_Date]],"mmmm")</f>
        <v>February</v>
      </c>
      <c r="L1424" t="str">
        <f t="shared" si="45"/>
        <v>Winter</v>
      </c>
    </row>
    <row r="1425" spans="1:12" x14ac:dyDescent="0.25">
      <c r="A1425">
        <v>1424</v>
      </c>
      <c r="B1425">
        <v>1328</v>
      </c>
      <c r="C1425">
        <v>277</v>
      </c>
      <c r="D1425" s="1">
        <v>45660</v>
      </c>
      <c r="E1425" t="s">
        <v>24</v>
      </c>
      <c r="F1425" t="s">
        <v>321</v>
      </c>
      <c r="G1425" t="str">
        <f>_xlfn.XLOOKUP(TRIM(E1426),MedicineInfo!A:A,MedicineInfo!B:B,"Not Found")</f>
        <v>Multivitamin</v>
      </c>
      <c r="H1425" s="1" t="str" cm="1">
        <f t="array" ref="H1425">_xlfn.IFS(
OR(E1425="Type 2 Diabetes",E1425="Essential Hypertension",E1425="Angina Pectoris",E1425="Bronchial Asthma",E1425="Cardiac Arrhythmia"), D1425+30,
OR(E1425="Gastritis",E1425="Osteoarthritis",E1425="Bronchitis",E1425="Iron Deficiency Anemia"), D1425+14,
OR(E1425="Lumbar Strain",E1425="Migraine Headache"), D1425+7,
OR(E1425="Viral Fever",E1425="General Checkup","Routine Health Check"), "",
TRUE,""
)</f>
        <v/>
      </c>
      <c r="I1425" s="1" t="str">
        <f t="shared" si="44"/>
        <v>No Follow-up Required</v>
      </c>
      <c r="J1425" t="str">
        <f>TEXT(Table8[[#This Row],[visit_Date]],"DDDD")</f>
        <v>Friday</v>
      </c>
      <c r="K1425" t="str">
        <f>TEXT(Table8[[#This Row],[visit_Date]],"mmmm")</f>
        <v>January</v>
      </c>
      <c r="L1425" t="str">
        <f t="shared" si="45"/>
        <v>Winter</v>
      </c>
    </row>
    <row r="1426" spans="1:12" x14ac:dyDescent="0.25">
      <c r="A1426">
        <v>1425</v>
      </c>
      <c r="B1426">
        <v>1055</v>
      </c>
      <c r="C1426">
        <v>372</v>
      </c>
      <c r="D1426" s="1">
        <v>45779</v>
      </c>
      <c r="E1426" t="s">
        <v>24</v>
      </c>
      <c r="F1426" t="s">
        <v>321</v>
      </c>
      <c r="G1426" t="str">
        <f>_xlfn.XLOOKUP(TRIM(E1427),MedicineInfo!A:A,MedicineInfo!B:B,"Not Found")</f>
        <v>Sertraline</v>
      </c>
      <c r="H1426" s="1" t="str" cm="1">
        <f t="array" ref="H1426">_xlfn.IFS(
OR(E1426="Type 2 Diabetes",E1426="Essential Hypertension",E1426="Angina Pectoris",E1426="Bronchial Asthma",E1426="Cardiac Arrhythmia"), D1426+30,
OR(E1426="Gastritis",E1426="Osteoarthritis",E1426="Bronchitis",E1426="Iron Deficiency Anemia"), D1426+14,
OR(E1426="Lumbar Strain",E1426="Migraine Headache"), D1426+7,
OR(E1426="Viral Fever",E1426="General Checkup","Routine Health Check"), "",
TRUE,""
)</f>
        <v/>
      </c>
      <c r="I1426" s="1" t="str">
        <f t="shared" si="44"/>
        <v>No Follow-up Required</v>
      </c>
      <c r="J1426" t="str">
        <f>TEXT(Table8[[#This Row],[visit_Date]],"DDDD")</f>
        <v>Friday</v>
      </c>
      <c r="K1426" t="str">
        <f>TEXT(Table8[[#This Row],[visit_Date]],"mmmm")</f>
        <v>May</v>
      </c>
      <c r="L1426" t="str">
        <f t="shared" si="45"/>
        <v>Summer</v>
      </c>
    </row>
    <row r="1427" spans="1:12" x14ac:dyDescent="0.25">
      <c r="A1427">
        <v>1426</v>
      </c>
      <c r="B1427">
        <v>1178</v>
      </c>
      <c r="C1427">
        <v>288</v>
      </c>
      <c r="D1427" s="1">
        <v>45767</v>
      </c>
      <c r="E1427" t="s">
        <v>334</v>
      </c>
      <c r="F1427" t="s">
        <v>335</v>
      </c>
      <c r="G1427" t="str">
        <f>_xlfn.XLOOKUP(TRIM(E1428),MedicineInfo!A:A,MedicineInfo!B:B,"Not Found")</f>
        <v>Multivitamin</v>
      </c>
      <c r="H1427" s="1" t="str" cm="1">
        <f t="array" ref="H1427">_xlfn.IFS(
OR(E1427="Type 2 Diabetes",E1427="Essential Hypertension",E1427="Angina Pectoris",E1427="Bronchial Asthma",E1427="Cardiac Arrhythmia"), D1427+30,
OR(E1427="Gastritis",E1427="Osteoarthritis",E1427="Bronchitis",E1427="Iron Deficiency Anemia"), D1427+14,
OR(E1427="Lumbar Strain",E1427="Migraine Headache"), D1427+7,
OR(E1427="Viral Fever",E1427="General Checkup","Routine Health Check"), "",
TRUE,""
)</f>
        <v/>
      </c>
      <c r="I1427" s="1" t="str">
        <f t="shared" si="44"/>
        <v>No Follow-up Required</v>
      </c>
      <c r="J1427" t="str">
        <f>TEXT(Table8[[#This Row],[visit_Date]],"DDDD")</f>
        <v>Sunday</v>
      </c>
      <c r="K1427" t="str">
        <f>TEXT(Table8[[#This Row],[visit_Date]],"mmmm")</f>
        <v>April</v>
      </c>
      <c r="L1427" t="str">
        <f t="shared" si="45"/>
        <v>Summer</v>
      </c>
    </row>
    <row r="1428" spans="1:12" x14ac:dyDescent="0.25">
      <c r="A1428">
        <v>1427</v>
      </c>
      <c r="B1428">
        <v>1215</v>
      </c>
      <c r="C1428">
        <v>1105</v>
      </c>
      <c r="D1428" s="1">
        <v>45815</v>
      </c>
      <c r="E1428" t="s">
        <v>24</v>
      </c>
      <c r="F1428" t="s">
        <v>321</v>
      </c>
      <c r="G1428" t="str">
        <f>_xlfn.XLOOKUP(TRIM(E1429),MedicineInfo!A:A,MedicineInfo!B:B,"Not Found")</f>
        <v>Levothyroxine</v>
      </c>
      <c r="H1428" s="1" t="str" cm="1">
        <f t="array" ref="H1428">_xlfn.IFS(
OR(E1428="Type 2 Diabetes",E1428="Essential Hypertension",E1428="Angina Pectoris",E1428="Bronchial Asthma",E1428="Cardiac Arrhythmia"), D1428+30,
OR(E1428="Gastritis",E1428="Osteoarthritis",E1428="Bronchitis",E1428="Iron Deficiency Anemia"), D1428+14,
OR(E1428="Lumbar Strain",E1428="Migraine Headache"), D1428+7,
OR(E1428="Viral Fever",E1428="General Checkup","Routine Health Check"), "",
TRUE,""
)</f>
        <v/>
      </c>
      <c r="I1428" s="1" t="str">
        <f t="shared" si="44"/>
        <v>No Follow-up Required</v>
      </c>
      <c r="J1428" t="str">
        <f>TEXT(Table8[[#This Row],[visit_Date]],"DDDD")</f>
        <v>Saturday</v>
      </c>
      <c r="K1428" t="str">
        <f>TEXT(Table8[[#This Row],[visit_Date]],"mmmm")</f>
        <v>June</v>
      </c>
      <c r="L1428" t="str">
        <f t="shared" si="45"/>
        <v>Monsoon</v>
      </c>
    </row>
    <row r="1429" spans="1:12" x14ac:dyDescent="0.25">
      <c r="A1429">
        <v>1428</v>
      </c>
      <c r="B1429">
        <v>1005</v>
      </c>
      <c r="C1429">
        <v>1520</v>
      </c>
      <c r="D1429" s="1">
        <v>45747</v>
      </c>
      <c r="E1429" t="s">
        <v>360</v>
      </c>
      <c r="F1429" t="s">
        <v>361</v>
      </c>
      <c r="G1429" t="str">
        <f>_xlfn.XLOOKUP(TRIM(E1430),MedicineInfo!A:A,MedicineInfo!B:B,"Not Found")</f>
        <v>Diclofenac</v>
      </c>
      <c r="H1429" s="1" t="str" cm="1">
        <f t="array" ref="H1429">_xlfn.IFS(
OR(E1429="Type 2 Diabetes",E1429="Essential Hypertension",E1429="Angina Pectoris",E1429="Bronchial Asthma",E1429="Cardiac Arrhythmia"), D1429+30,
OR(E1429="Gastritis",E1429="Osteoarthritis",E1429="Bronchitis",E1429="Iron Deficiency Anemia"), D1429+14,
OR(E1429="Lumbar Strain",E1429="Migraine Headache"), D1429+7,
OR(E1429="Viral Fever",E1429="General Checkup","Routine Health Check"), "",
TRUE,""
)</f>
        <v/>
      </c>
      <c r="I1429" s="1" t="str">
        <f t="shared" si="44"/>
        <v>No Follow-up Required</v>
      </c>
      <c r="J1429" t="str">
        <f>TEXT(Table8[[#This Row],[visit_Date]],"DDDD")</f>
        <v>Monday</v>
      </c>
      <c r="K1429" t="str">
        <f>TEXT(Table8[[#This Row],[visit_Date]],"mmmm")</f>
        <v>March</v>
      </c>
      <c r="L1429" t="str">
        <f t="shared" si="45"/>
        <v>Summer</v>
      </c>
    </row>
    <row r="1430" spans="1:12" x14ac:dyDescent="0.25">
      <c r="A1430">
        <v>1429</v>
      </c>
      <c r="B1430">
        <v>1155</v>
      </c>
      <c r="C1430">
        <v>782</v>
      </c>
      <c r="D1430" s="1">
        <v>45819</v>
      </c>
      <c r="E1430" t="s">
        <v>313</v>
      </c>
      <c r="F1430" t="s">
        <v>314</v>
      </c>
      <c r="G1430" t="str">
        <f>_xlfn.XLOOKUP(TRIM(E1431),MedicineInfo!A:A,MedicineInfo!B:B,"Not Found")</f>
        <v>Hydrocortisone Cream</v>
      </c>
      <c r="H1430" s="1" cm="1">
        <f t="array" ref="H1430">_xlfn.IFS(
OR(E1430="Type 2 Diabetes",E1430="Essential Hypertension",E1430="Angina Pectoris",E1430="Bronchial Asthma",E1430="Cardiac Arrhythmia"), D1430+30,
OR(E1430="Gastritis",E1430="Osteoarthritis",E1430="Bronchitis",E1430="Iron Deficiency Anemia"), D1430+14,
OR(E1430="Lumbar Strain",E1430="Migraine Headache"), D1430+7,
OR(E1430="Viral Fever",E1430="General Checkup","Routine Health Check"), "",
TRUE,""
)</f>
        <v>45826</v>
      </c>
      <c r="I1430" s="1" t="str">
        <f t="shared" si="44"/>
        <v>Follow-up Scheduled</v>
      </c>
      <c r="J1430" t="str">
        <f>TEXT(Table8[[#This Row],[visit_Date]],"DDDD")</f>
        <v>Wednesday</v>
      </c>
      <c r="K1430" t="str">
        <f>TEXT(Table8[[#This Row],[visit_Date]],"mmmm")</f>
        <v>June</v>
      </c>
      <c r="L1430" t="str">
        <f t="shared" si="45"/>
        <v>Monsoon</v>
      </c>
    </row>
    <row r="1431" spans="1:12" x14ac:dyDescent="0.25">
      <c r="A1431">
        <v>1430</v>
      </c>
      <c r="B1431">
        <v>1341</v>
      </c>
      <c r="C1431">
        <v>758</v>
      </c>
      <c r="D1431" s="1">
        <v>45691</v>
      </c>
      <c r="E1431" t="s">
        <v>338</v>
      </c>
      <c r="F1431" t="s">
        <v>339</v>
      </c>
      <c r="G1431" t="str">
        <f>_xlfn.XLOOKUP(TRIM(E1432),MedicineInfo!A:A,MedicineInfo!B:B,"Not Found")</f>
        <v>Multivitamin</v>
      </c>
      <c r="H1431" s="1" t="str" cm="1">
        <f t="array" ref="H1431">_xlfn.IFS(
OR(E1431="Type 2 Diabetes",E1431="Essential Hypertension",E1431="Angina Pectoris",E1431="Bronchial Asthma",E1431="Cardiac Arrhythmia"), D1431+30,
OR(E1431="Gastritis",E1431="Osteoarthritis",E1431="Bronchitis",E1431="Iron Deficiency Anemia"), D1431+14,
OR(E1431="Lumbar Strain",E1431="Migraine Headache"), D1431+7,
OR(E1431="Viral Fever",E1431="General Checkup","Routine Health Check"), "",
TRUE,""
)</f>
        <v/>
      </c>
      <c r="I1431" s="1" t="str">
        <f t="shared" si="44"/>
        <v>No Follow-up Required</v>
      </c>
      <c r="J1431" t="str">
        <f>TEXT(Table8[[#This Row],[visit_Date]],"DDDD")</f>
        <v>Monday</v>
      </c>
      <c r="K1431" t="str">
        <f>TEXT(Table8[[#This Row],[visit_Date]],"mmmm")</f>
        <v>February</v>
      </c>
      <c r="L1431" t="str">
        <f t="shared" si="45"/>
        <v>Winter</v>
      </c>
    </row>
    <row r="1432" spans="1:12" x14ac:dyDescent="0.25">
      <c r="A1432">
        <v>1431</v>
      </c>
      <c r="B1432">
        <v>1356</v>
      </c>
      <c r="C1432">
        <v>394</v>
      </c>
      <c r="D1432" s="1">
        <v>45677</v>
      </c>
      <c r="E1432" t="s">
        <v>24</v>
      </c>
      <c r="F1432" t="s">
        <v>321</v>
      </c>
      <c r="G1432" t="str">
        <f>_xlfn.XLOOKUP(TRIM(E1433),MedicineInfo!A:A,MedicineInfo!B:B,"Not Found")</f>
        <v>Multivitamin</v>
      </c>
      <c r="H1432" s="1" t="str" cm="1">
        <f t="array" ref="H1432">_xlfn.IFS(
OR(E1432="Type 2 Diabetes",E1432="Essential Hypertension",E1432="Angina Pectoris",E1432="Bronchial Asthma",E1432="Cardiac Arrhythmia"), D1432+30,
OR(E1432="Gastritis",E1432="Osteoarthritis",E1432="Bronchitis",E1432="Iron Deficiency Anemia"), D1432+14,
OR(E1432="Lumbar Strain",E1432="Migraine Headache"), D1432+7,
OR(E1432="Viral Fever",E1432="General Checkup","Routine Health Check"), "",
TRUE,""
)</f>
        <v/>
      </c>
      <c r="I1432" s="1" t="str">
        <f t="shared" si="44"/>
        <v>No Follow-up Required</v>
      </c>
      <c r="J1432" t="str">
        <f>TEXT(Table8[[#This Row],[visit_Date]],"DDDD")</f>
        <v>Monday</v>
      </c>
      <c r="K1432" t="str">
        <f>TEXT(Table8[[#This Row],[visit_Date]],"mmmm")</f>
        <v>January</v>
      </c>
      <c r="L1432" t="str">
        <f t="shared" si="45"/>
        <v>Winter</v>
      </c>
    </row>
    <row r="1433" spans="1:12" x14ac:dyDescent="0.25">
      <c r="A1433">
        <v>1432</v>
      </c>
      <c r="B1433">
        <v>1160</v>
      </c>
      <c r="C1433">
        <v>942</v>
      </c>
      <c r="D1433" s="1">
        <v>45854</v>
      </c>
      <c r="E1433" t="s">
        <v>24</v>
      </c>
      <c r="F1433" t="s">
        <v>321</v>
      </c>
      <c r="G1433" t="str">
        <f>_xlfn.XLOOKUP(TRIM(E1434),MedicineInfo!A:A,MedicineInfo!B:B,"Not Found")</f>
        <v>Multivitamin</v>
      </c>
      <c r="H1433" s="1" t="str" cm="1">
        <f t="array" ref="H1433">_xlfn.IFS(
OR(E1433="Type 2 Diabetes",E1433="Essential Hypertension",E1433="Angina Pectoris",E1433="Bronchial Asthma",E1433="Cardiac Arrhythmia"), D1433+30,
OR(E1433="Gastritis",E1433="Osteoarthritis",E1433="Bronchitis",E1433="Iron Deficiency Anemia"), D1433+14,
OR(E1433="Lumbar Strain",E1433="Migraine Headache"), D1433+7,
OR(E1433="Viral Fever",E1433="General Checkup","Routine Health Check"), "",
TRUE,""
)</f>
        <v/>
      </c>
      <c r="I1433" s="1" t="str">
        <f t="shared" si="44"/>
        <v>No Follow-up Required</v>
      </c>
      <c r="J1433" t="str">
        <f>TEXT(Table8[[#This Row],[visit_Date]],"DDDD")</f>
        <v>Wednesday</v>
      </c>
      <c r="K1433" t="str">
        <f>TEXT(Table8[[#This Row],[visit_Date]],"mmmm")</f>
        <v>July</v>
      </c>
      <c r="L1433" t="str">
        <f t="shared" si="45"/>
        <v>Monsoon</v>
      </c>
    </row>
    <row r="1434" spans="1:12" x14ac:dyDescent="0.25">
      <c r="A1434">
        <v>1433</v>
      </c>
      <c r="B1434">
        <v>1146</v>
      </c>
      <c r="C1434">
        <v>1244</v>
      </c>
      <c r="D1434" s="1">
        <v>45683</v>
      </c>
      <c r="E1434" t="s">
        <v>24</v>
      </c>
      <c r="F1434" t="s">
        <v>321</v>
      </c>
      <c r="G1434" t="str">
        <f>_xlfn.XLOOKUP(TRIM(E1435),MedicineInfo!A:A,MedicineInfo!B:B,"Not Found")</f>
        <v>Multivitamin</v>
      </c>
      <c r="H1434" s="1" t="str" cm="1">
        <f t="array" ref="H1434">_xlfn.IFS(
OR(E1434="Type 2 Diabetes",E1434="Essential Hypertension",E1434="Angina Pectoris",E1434="Bronchial Asthma",E1434="Cardiac Arrhythmia"), D1434+30,
OR(E1434="Gastritis",E1434="Osteoarthritis",E1434="Bronchitis",E1434="Iron Deficiency Anemia"), D1434+14,
OR(E1434="Lumbar Strain",E1434="Migraine Headache"), D1434+7,
OR(E1434="Viral Fever",E1434="General Checkup","Routine Health Check"), "",
TRUE,""
)</f>
        <v/>
      </c>
      <c r="I1434" s="1" t="str">
        <f t="shared" si="44"/>
        <v>No Follow-up Required</v>
      </c>
      <c r="J1434" t="str">
        <f>TEXT(Table8[[#This Row],[visit_Date]],"DDDD")</f>
        <v>Sunday</v>
      </c>
      <c r="K1434" t="str">
        <f>TEXT(Table8[[#This Row],[visit_Date]],"mmmm")</f>
        <v>January</v>
      </c>
      <c r="L1434" t="str">
        <f t="shared" si="45"/>
        <v>Winter</v>
      </c>
    </row>
    <row r="1435" spans="1:12" x14ac:dyDescent="0.25">
      <c r="A1435">
        <v>1434</v>
      </c>
      <c r="B1435">
        <v>1353</v>
      </c>
      <c r="C1435">
        <v>1520</v>
      </c>
      <c r="D1435" s="1">
        <v>45853</v>
      </c>
      <c r="E1435" t="s">
        <v>24</v>
      </c>
      <c r="F1435" t="s">
        <v>321</v>
      </c>
      <c r="G1435" t="str">
        <f>_xlfn.XLOOKUP(TRIM(E1436),MedicineInfo!A:A,MedicineInfo!B:B,"Not Found")</f>
        <v>Hydrocortisone Cream</v>
      </c>
      <c r="H1435" s="1" t="str" cm="1">
        <f t="array" ref="H1435">_xlfn.IFS(
OR(E1435="Type 2 Diabetes",E1435="Essential Hypertension",E1435="Angina Pectoris",E1435="Bronchial Asthma",E1435="Cardiac Arrhythmia"), D1435+30,
OR(E1435="Gastritis",E1435="Osteoarthritis",E1435="Bronchitis",E1435="Iron Deficiency Anemia"), D1435+14,
OR(E1435="Lumbar Strain",E1435="Migraine Headache"), D1435+7,
OR(E1435="Viral Fever",E1435="General Checkup","Routine Health Check"), "",
TRUE,""
)</f>
        <v/>
      </c>
      <c r="I1435" s="1" t="str">
        <f t="shared" si="44"/>
        <v>No Follow-up Required</v>
      </c>
      <c r="J1435" t="str">
        <f>TEXT(Table8[[#This Row],[visit_Date]],"DDDD")</f>
        <v>Tuesday</v>
      </c>
      <c r="K1435" t="str">
        <f>TEXT(Table8[[#This Row],[visit_Date]],"mmmm")</f>
        <v>July</v>
      </c>
      <c r="L1435" t="str">
        <f t="shared" si="45"/>
        <v>Monsoon</v>
      </c>
    </row>
    <row r="1436" spans="1:12" x14ac:dyDescent="0.25">
      <c r="A1436">
        <v>1435</v>
      </c>
      <c r="B1436">
        <v>1335</v>
      </c>
      <c r="C1436">
        <v>410</v>
      </c>
      <c r="D1436" s="1">
        <v>45826</v>
      </c>
      <c r="E1436" t="s">
        <v>338</v>
      </c>
      <c r="F1436" t="s">
        <v>339</v>
      </c>
      <c r="G1436" t="str">
        <f>_xlfn.XLOOKUP(TRIM(E1437),MedicineInfo!A:A,MedicineInfo!B:B,"Not Found")</f>
        <v>Multivitamin</v>
      </c>
      <c r="H1436" s="1" t="str" cm="1">
        <f t="array" ref="H1436">_xlfn.IFS(
OR(E1436="Type 2 Diabetes",E1436="Essential Hypertension",E1436="Angina Pectoris",E1436="Bronchial Asthma",E1436="Cardiac Arrhythmia"), D1436+30,
OR(E1436="Gastritis",E1436="Osteoarthritis",E1436="Bronchitis",E1436="Iron Deficiency Anemia"), D1436+14,
OR(E1436="Lumbar Strain",E1436="Migraine Headache"), D1436+7,
OR(E1436="Viral Fever",E1436="General Checkup","Routine Health Check"), "",
TRUE,""
)</f>
        <v/>
      </c>
      <c r="I1436" s="1" t="str">
        <f t="shared" si="44"/>
        <v>No Follow-up Required</v>
      </c>
      <c r="J1436" t="str">
        <f>TEXT(Table8[[#This Row],[visit_Date]],"DDDD")</f>
        <v>Wednesday</v>
      </c>
      <c r="K1436" t="str">
        <f>TEXT(Table8[[#This Row],[visit_Date]],"mmmm")</f>
        <v>June</v>
      </c>
      <c r="L1436" t="str">
        <f t="shared" si="45"/>
        <v>Monsoon</v>
      </c>
    </row>
    <row r="1437" spans="1:12" x14ac:dyDescent="0.25">
      <c r="A1437">
        <v>1436</v>
      </c>
      <c r="B1437">
        <v>1381</v>
      </c>
      <c r="C1437">
        <v>389</v>
      </c>
      <c r="D1437" s="1">
        <v>45791</v>
      </c>
      <c r="E1437" t="s">
        <v>24</v>
      </c>
      <c r="F1437" t="s">
        <v>321</v>
      </c>
      <c r="G1437" t="str">
        <f>_xlfn.XLOOKUP(TRIM(E1438),MedicineInfo!A:A,MedicineInfo!B:B,"Not Found")</f>
        <v>Multivitamin</v>
      </c>
      <c r="H1437" s="1" t="str" cm="1">
        <f t="array" ref="H1437">_xlfn.IFS(
OR(E1437="Type 2 Diabetes",E1437="Essential Hypertension",E1437="Angina Pectoris",E1437="Bronchial Asthma",E1437="Cardiac Arrhythmia"), D1437+30,
OR(E1437="Gastritis",E1437="Osteoarthritis",E1437="Bronchitis",E1437="Iron Deficiency Anemia"), D1437+14,
OR(E1437="Lumbar Strain",E1437="Migraine Headache"), D1437+7,
OR(E1437="Viral Fever",E1437="General Checkup","Routine Health Check"), "",
TRUE,""
)</f>
        <v/>
      </c>
      <c r="I1437" s="1" t="str">
        <f t="shared" si="44"/>
        <v>No Follow-up Required</v>
      </c>
      <c r="J1437" t="str">
        <f>TEXT(Table8[[#This Row],[visit_Date]],"DDDD")</f>
        <v>Wednesday</v>
      </c>
      <c r="K1437" t="str">
        <f>TEXT(Table8[[#This Row],[visit_Date]],"mmmm")</f>
        <v>May</v>
      </c>
      <c r="L1437" t="str">
        <f t="shared" si="45"/>
        <v>Summer</v>
      </c>
    </row>
    <row r="1438" spans="1:12" x14ac:dyDescent="0.25">
      <c r="A1438">
        <v>1437</v>
      </c>
      <c r="B1438">
        <v>1235</v>
      </c>
      <c r="C1438">
        <v>1121</v>
      </c>
      <c r="D1438" s="1">
        <v>45790</v>
      </c>
      <c r="E1438" t="s">
        <v>24</v>
      </c>
      <c r="F1438" t="s">
        <v>321</v>
      </c>
      <c r="G1438" t="str">
        <f>_xlfn.XLOOKUP(TRIM(E1439),MedicineInfo!A:A,MedicineInfo!B:B,"Not Found")</f>
        <v>Multivitamin</v>
      </c>
      <c r="H1438" s="1" t="str" cm="1">
        <f t="array" ref="H1438">_xlfn.IFS(
OR(E1438="Type 2 Diabetes",E1438="Essential Hypertension",E1438="Angina Pectoris",E1438="Bronchial Asthma",E1438="Cardiac Arrhythmia"), D1438+30,
OR(E1438="Gastritis",E1438="Osteoarthritis",E1438="Bronchitis",E1438="Iron Deficiency Anemia"), D1438+14,
OR(E1438="Lumbar Strain",E1438="Migraine Headache"), D1438+7,
OR(E1438="Viral Fever",E1438="General Checkup","Routine Health Check"), "",
TRUE,""
)</f>
        <v/>
      </c>
      <c r="I1438" s="1" t="str">
        <f t="shared" si="44"/>
        <v>No Follow-up Required</v>
      </c>
      <c r="J1438" t="str">
        <f>TEXT(Table8[[#This Row],[visit_Date]],"DDDD")</f>
        <v>Tuesday</v>
      </c>
      <c r="K1438" t="str">
        <f>TEXT(Table8[[#This Row],[visit_Date]],"mmmm")</f>
        <v>May</v>
      </c>
      <c r="L1438" t="str">
        <f t="shared" si="45"/>
        <v>Summer</v>
      </c>
    </row>
    <row r="1439" spans="1:12" x14ac:dyDescent="0.25">
      <c r="A1439">
        <v>1438</v>
      </c>
      <c r="B1439">
        <v>1051</v>
      </c>
      <c r="C1439">
        <v>710</v>
      </c>
      <c r="D1439" s="1">
        <v>45799</v>
      </c>
      <c r="E1439" t="s">
        <v>24</v>
      </c>
      <c r="F1439" t="s">
        <v>321</v>
      </c>
      <c r="G1439" t="str">
        <f>_xlfn.XLOOKUP(TRIM(E1440),MedicineInfo!A:A,MedicineInfo!B:B,"Not Found")</f>
        <v>Multivitamin</v>
      </c>
      <c r="H1439" s="1" t="str" cm="1">
        <f t="array" ref="H1439">_xlfn.IFS(
OR(E1439="Type 2 Diabetes",E1439="Essential Hypertension",E1439="Angina Pectoris",E1439="Bronchial Asthma",E1439="Cardiac Arrhythmia"), D1439+30,
OR(E1439="Gastritis",E1439="Osteoarthritis",E1439="Bronchitis",E1439="Iron Deficiency Anemia"), D1439+14,
OR(E1439="Lumbar Strain",E1439="Migraine Headache"), D1439+7,
OR(E1439="Viral Fever",E1439="General Checkup","Routine Health Check"), "",
TRUE,""
)</f>
        <v/>
      </c>
      <c r="I1439" s="1" t="str">
        <f t="shared" si="44"/>
        <v>No Follow-up Required</v>
      </c>
      <c r="J1439" t="str">
        <f>TEXT(Table8[[#This Row],[visit_Date]],"DDDD")</f>
        <v>Thursday</v>
      </c>
      <c r="K1439" t="str">
        <f>TEXT(Table8[[#This Row],[visit_Date]],"mmmm")</f>
        <v>May</v>
      </c>
      <c r="L1439" t="str">
        <f t="shared" si="45"/>
        <v>Summer</v>
      </c>
    </row>
    <row r="1440" spans="1:12" x14ac:dyDescent="0.25">
      <c r="A1440">
        <v>1439</v>
      </c>
      <c r="B1440">
        <v>1153</v>
      </c>
      <c r="C1440">
        <v>765</v>
      </c>
      <c r="D1440" s="1">
        <v>45762</v>
      </c>
      <c r="E1440" t="s">
        <v>24</v>
      </c>
      <c r="F1440" t="s">
        <v>321</v>
      </c>
      <c r="G1440" t="str">
        <f>_xlfn.XLOOKUP(TRIM(E1441),MedicineInfo!A:A,MedicineInfo!B:B,"Not Found")</f>
        <v>Multivitamin</v>
      </c>
      <c r="H1440" s="1" t="str" cm="1">
        <f t="array" ref="H1440">_xlfn.IFS(
OR(E1440="Type 2 Diabetes",E1440="Essential Hypertension",E1440="Angina Pectoris",E1440="Bronchial Asthma",E1440="Cardiac Arrhythmia"), D1440+30,
OR(E1440="Gastritis",E1440="Osteoarthritis",E1440="Bronchitis",E1440="Iron Deficiency Anemia"), D1440+14,
OR(E1440="Lumbar Strain",E1440="Migraine Headache"), D1440+7,
OR(E1440="Viral Fever",E1440="General Checkup","Routine Health Check"), "",
TRUE,""
)</f>
        <v/>
      </c>
      <c r="I1440" s="1" t="str">
        <f t="shared" si="44"/>
        <v>No Follow-up Required</v>
      </c>
      <c r="J1440" t="str">
        <f>TEXT(Table8[[#This Row],[visit_Date]],"DDDD")</f>
        <v>Tuesday</v>
      </c>
      <c r="K1440" t="str">
        <f>TEXT(Table8[[#This Row],[visit_Date]],"mmmm")</f>
        <v>April</v>
      </c>
      <c r="L1440" t="str">
        <f t="shared" si="45"/>
        <v>Summer</v>
      </c>
    </row>
    <row r="1441" spans="1:12" x14ac:dyDescent="0.25">
      <c r="A1441">
        <v>1440</v>
      </c>
      <c r="B1441">
        <v>1019</v>
      </c>
      <c r="C1441">
        <v>1388</v>
      </c>
      <c r="D1441" s="1">
        <v>45688</v>
      </c>
      <c r="E1441" t="s">
        <v>24</v>
      </c>
      <c r="F1441" t="s">
        <v>321</v>
      </c>
      <c r="G1441" t="str">
        <f>_xlfn.XLOOKUP(TRIM(E1442),MedicineInfo!A:A,MedicineInfo!B:B,"Not Found")</f>
        <v>Amiodarone</v>
      </c>
      <c r="H1441" s="1" t="str" cm="1">
        <f t="array" ref="H1441">_xlfn.IFS(
OR(E1441="Type 2 Diabetes",E1441="Essential Hypertension",E1441="Angina Pectoris",E1441="Bronchial Asthma",E1441="Cardiac Arrhythmia"), D1441+30,
OR(E1441="Gastritis",E1441="Osteoarthritis",E1441="Bronchitis",E1441="Iron Deficiency Anemia"), D1441+14,
OR(E1441="Lumbar Strain",E1441="Migraine Headache"), D1441+7,
OR(E1441="Viral Fever",E1441="General Checkup","Routine Health Check"), "",
TRUE,""
)</f>
        <v/>
      </c>
      <c r="I1441" s="1" t="str">
        <f t="shared" si="44"/>
        <v>No Follow-up Required</v>
      </c>
      <c r="J1441" t="str">
        <f>TEXT(Table8[[#This Row],[visit_Date]],"DDDD")</f>
        <v>Friday</v>
      </c>
      <c r="K1441" t="str">
        <f>TEXT(Table8[[#This Row],[visit_Date]],"mmmm")</f>
        <v>January</v>
      </c>
      <c r="L1441" t="str">
        <f t="shared" si="45"/>
        <v>Winter</v>
      </c>
    </row>
    <row r="1442" spans="1:12" x14ac:dyDescent="0.25">
      <c r="A1442">
        <v>1441</v>
      </c>
      <c r="B1442">
        <v>1109</v>
      </c>
      <c r="C1442">
        <v>285</v>
      </c>
      <c r="D1442" s="1">
        <v>45672</v>
      </c>
      <c r="E1442" t="s">
        <v>330</v>
      </c>
      <c r="F1442" t="s">
        <v>331</v>
      </c>
      <c r="G1442" t="str">
        <f>_xlfn.XLOOKUP(TRIM(E1443),MedicineInfo!A:A,MedicineInfo!B:B,"Not Found")</f>
        <v>Multivitamin</v>
      </c>
      <c r="H1442" s="1" cm="1">
        <f t="array" ref="H1442">_xlfn.IFS(
OR(E1442="Type 2 Diabetes",E1442="Essential Hypertension",E1442="Angina Pectoris",E1442="Bronchial Asthma",E1442="Cardiac Arrhythmia"), D1442+30,
OR(E1442="Gastritis",E1442="Osteoarthritis",E1442="Bronchitis",E1442="Iron Deficiency Anemia"), D1442+14,
OR(E1442="Lumbar Strain",E1442="Migraine Headache"), D1442+7,
OR(E1442="Viral Fever",E1442="General Checkup","Routine Health Check"), "",
TRUE,""
)</f>
        <v>45702</v>
      </c>
      <c r="I1442" s="1" t="str">
        <f t="shared" si="44"/>
        <v>Follow-up Scheduled</v>
      </c>
      <c r="J1442" t="str">
        <f>TEXT(Table8[[#This Row],[visit_Date]],"DDDD")</f>
        <v>Wednesday</v>
      </c>
      <c r="K1442" t="str">
        <f>TEXT(Table8[[#This Row],[visit_Date]],"mmmm")</f>
        <v>January</v>
      </c>
      <c r="L1442" t="str">
        <f t="shared" si="45"/>
        <v>Winter</v>
      </c>
    </row>
    <row r="1443" spans="1:12" x14ac:dyDescent="0.25">
      <c r="A1443">
        <v>1442</v>
      </c>
      <c r="B1443">
        <v>1112</v>
      </c>
      <c r="C1443">
        <v>1479</v>
      </c>
      <c r="D1443" s="1">
        <v>45814</v>
      </c>
      <c r="E1443" t="s">
        <v>24</v>
      </c>
      <c r="F1443" t="s">
        <v>321</v>
      </c>
      <c r="G1443" t="str">
        <f>_xlfn.XLOOKUP(TRIM(E1444),MedicineInfo!A:A,MedicineInfo!B:B,"Not Found")</f>
        <v>Multivitamin</v>
      </c>
      <c r="H1443" s="1" t="str" cm="1">
        <f t="array" ref="H1443">_xlfn.IFS(
OR(E1443="Type 2 Diabetes",E1443="Essential Hypertension",E1443="Angina Pectoris",E1443="Bronchial Asthma",E1443="Cardiac Arrhythmia"), D1443+30,
OR(E1443="Gastritis",E1443="Osteoarthritis",E1443="Bronchitis",E1443="Iron Deficiency Anemia"), D1443+14,
OR(E1443="Lumbar Strain",E1443="Migraine Headache"), D1443+7,
OR(E1443="Viral Fever",E1443="General Checkup","Routine Health Check"), "",
TRUE,""
)</f>
        <v/>
      </c>
      <c r="I1443" s="1" t="str">
        <f t="shared" si="44"/>
        <v>No Follow-up Required</v>
      </c>
      <c r="J1443" t="str">
        <f>TEXT(Table8[[#This Row],[visit_Date]],"DDDD")</f>
        <v>Friday</v>
      </c>
      <c r="K1443" t="str">
        <f>TEXT(Table8[[#This Row],[visit_Date]],"mmmm")</f>
        <v>June</v>
      </c>
      <c r="L1443" t="str">
        <f t="shared" si="45"/>
        <v>Monsoon</v>
      </c>
    </row>
    <row r="1444" spans="1:12" x14ac:dyDescent="0.25">
      <c r="A1444">
        <v>1443</v>
      </c>
      <c r="B1444">
        <v>1041</v>
      </c>
      <c r="C1444">
        <v>784</v>
      </c>
      <c r="D1444" s="1">
        <v>45814</v>
      </c>
      <c r="E1444" t="s">
        <v>24</v>
      </c>
      <c r="F1444" t="s">
        <v>321</v>
      </c>
      <c r="G1444" t="str">
        <f>_xlfn.XLOOKUP(TRIM(E1445),MedicineInfo!A:A,MedicineInfo!B:B,"Not Found")</f>
        <v>Multivitamin</v>
      </c>
      <c r="H1444" s="1" t="str" cm="1">
        <f t="array" ref="H1444">_xlfn.IFS(
OR(E1444="Type 2 Diabetes",E1444="Essential Hypertension",E1444="Angina Pectoris",E1444="Bronchial Asthma",E1444="Cardiac Arrhythmia"), D1444+30,
OR(E1444="Gastritis",E1444="Osteoarthritis",E1444="Bronchitis",E1444="Iron Deficiency Anemia"), D1444+14,
OR(E1444="Lumbar Strain",E1444="Migraine Headache"), D1444+7,
OR(E1444="Viral Fever",E1444="General Checkup","Routine Health Check"), "",
TRUE,""
)</f>
        <v/>
      </c>
      <c r="I1444" s="1" t="str">
        <f t="shared" si="44"/>
        <v>No Follow-up Required</v>
      </c>
      <c r="J1444" t="str">
        <f>TEXT(Table8[[#This Row],[visit_Date]],"DDDD")</f>
        <v>Friday</v>
      </c>
      <c r="K1444" t="str">
        <f>TEXT(Table8[[#This Row],[visit_Date]],"mmmm")</f>
        <v>June</v>
      </c>
      <c r="L1444" t="str">
        <f t="shared" si="45"/>
        <v>Monsoon</v>
      </c>
    </row>
    <row r="1445" spans="1:12" x14ac:dyDescent="0.25">
      <c r="A1445">
        <v>1444</v>
      </c>
      <c r="B1445">
        <v>1054</v>
      </c>
      <c r="C1445">
        <v>766</v>
      </c>
      <c r="D1445" s="1">
        <v>45866</v>
      </c>
      <c r="E1445" t="s">
        <v>24</v>
      </c>
      <c r="F1445" t="s">
        <v>321</v>
      </c>
      <c r="G1445" t="str">
        <f>_xlfn.XLOOKUP(TRIM(E1446),MedicineInfo!A:A,MedicineInfo!B:B,"Not Found")</f>
        <v>Vitamin D3</v>
      </c>
      <c r="H1445" s="1" t="str" cm="1">
        <f t="array" ref="H1445">_xlfn.IFS(
OR(E1445="Type 2 Diabetes",E1445="Essential Hypertension",E1445="Angina Pectoris",E1445="Bronchial Asthma",E1445="Cardiac Arrhythmia"), D1445+30,
OR(E1445="Gastritis",E1445="Osteoarthritis",E1445="Bronchitis",E1445="Iron Deficiency Anemia"), D1445+14,
OR(E1445="Lumbar Strain",E1445="Migraine Headache"), D1445+7,
OR(E1445="Viral Fever",E1445="General Checkup","Routine Health Check"), "",
TRUE,""
)</f>
        <v/>
      </c>
      <c r="I1445" s="1" t="str">
        <f t="shared" si="44"/>
        <v>No Follow-up Required</v>
      </c>
      <c r="J1445" t="str">
        <f>TEXT(Table8[[#This Row],[visit_Date]],"DDDD")</f>
        <v>Monday</v>
      </c>
      <c r="K1445" t="str">
        <f>TEXT(Table8[[#This Row],[visit_Date]],"mmmm")</f>
        <v>July</v>
      </c>
      <c r="L1445" t="str">
        <f t="shared" si="45"/>
        <v>Monsoon</v>
      </c>
    </row>
    <row r="1446" spans="1:12" x14ac:dyDescent="0.25">
      <c r="A1446">
        <v>1445</v>
      </c>
      <c r="B1446">
        <v>1123</v>
      </c>
      <c r="C1446">
        <v>951</v>
      </c>
      <c r="D1446" s="1">
        <v>45766</v>
      </c>
      <c r="E1446" t="s">
        <v>332</v>
      </c>
      <c r="F1446" t="s">
        <v>333</v>
      </c>
      <c r="G1446" t="str">
        <f>_xlfn.XLOOKUP(TRIM(E1447),MedicineInfo!A:A,MedicineInfo!B:B,"Not Found")</f>
        <v>Multivitamin</v>
      </c>
      <c r="H1446" s="1" t="str" cm="1">
        <f t="array" ref="H1446">_xlfn.IFS(
OR(E1446="Type 2 Diabetes",E1446="Essential Hypertension",E1446="Angina Pectoris",E1446="Bronchial Asthma",E1446="Cardiac Arrhythmia"), D1446+30,
OR(E1446="Gastritis",E1446="Osteoarthritis",E1446="Bronchitis",E1446="Iron Deficiency Anemia"), D1446+14,
OR(E1446="Lumbar Strain",E1446="Migraine Headache"), D1446+7,
OR(E1446="Viral Fever",E1446="General Checkup","Routine Health Check"), "",
TRUE,""
)</f>
        <v/>
      </c>
      <c r="I1446" s="1" t="str">
        <f t="shared" si="44"/>
        <v>No Follow-up Required</v>
      </c>
      <c r="J1446" t="str">
        <f>TEXT(Table8[[#This Row],[visit_Date]],"DDDD")</f>
        <v>Saturday</v>
      </c>
      <c r="K1446" t="str">
        <f>TEXT(Table8[[#This Row],[visit_Date]],"mmmm")</f>
        <v>April</v>
      </c>
      <c r="L1446" t="str">
        <f t="shared" si="45"/>
        <v>Summer</v>
      </c>
    </row>
    <row r="1447" spans="1:12" x14ac:dyDescent="0.25">
      <c r="A1447">
        <v>1446</v>
      </c>
      <c r="B1447">
        <v>1065</v>
      </c>
      <c r="C1447">
        <v>569</v>
      </c>
      <c r="D1447" s="1">
        <v>45792</v>
      </c>
      <c r="E1447" t="s">
        <v>24</v>
      </c>
      <c r="F1447" t="s">
        <v>321</v>
      </c>
      <c r="G1447" t="str">
        <f>_xlfn.XLOOKUP(TRIM(E1448),MedicineInfo!A:A,MedicineInfo!B:B,"Not Found")</f>
        <v>Multivitamin</v>
      </c>
      <c r="H1447" s="1" t="str" cm="1">
        <f t="array" ref="H1447">_xlfn.IFS(
OR(E1447="Type 2 Diabetes",E1447="Essential Hypertension",E1447="Angina Pectoris",E1447="Bronchial Asthma",E1447="Cardiac Arrhythmia"), D1447+30,
OR(E1447="Gastritis",E1447="Osteoarthritis",E1447="Bronchitis",E1447="Iron Deficiency Anemia"), D1447+14,
OR(E1447="Lumbar Strain",E1447="Migraine Headache"), D1447+7,
OR(E1447="Viral Fever",E1447="General Checkup","Routine Health Check"), "",
TRUE,""
)</f>
        <v/>
      </c>
      <c r="I1447" s="1" t="str">
        <f t="shared" si="44"/>
        <v>No Follow-up Required</v>
      </c>
      <c r="J1447" t="str">
        <f>TEXT(Table8[[#This Row],[visit_Date]],"DDDD")</f>
        <v>Thursday</v>
      </c>
      <c r="K1447" t="str">
        <f>TEXT(Table8[[#This Row],[visit_Date]],"mmmm")</f>
        <v>May</v>
      </c>
      <c r="L1447" t="str">
        <f t="shared" si="45"/>
        <v>Summer</v>
      </c>
    </row>
    <row r="1448" spans="1:12" x14ac:dyDescent="0.25">
      <c r="A1448">
        <v>1447</v>
      </c>
      <c r="B1448">
        <v>1301</v>
      </c>
      <c r="C1448">
        <v>304</v>
      </c>
      <c r="D1448" s="1">
        <v>45716</v>
      </c>
      <c r="E1448" t="s">
        <v>24</v>
      </c>
      <c r="F1448" t="s">
        <v>321</v>
      </c>
      <c r="G1448" t="str">
        <f>_xlfn.XLOOKUP(TRIM(E1449),MedicineInfo!A:A,MedicineInfo!B:B,"Not Found")</f>
        <v>Sertraline</v>
      </c>
      <c r="H1448" s="1" t="str" cm="1">
        <f t="array" ref="H1448">_xlfn.IFS(
OR(E1448="Type 2 Diabetes",E1448="Essential Hypertension",E1448="Angina Pectoris",E1448="Bronchial Asthma",E1448="Cardiac Arrhythmia"), D1448+30,
OR(E1448="Gastritis",E1448="Osteoarthritis",E1448="Bronchitis",E1448="Iron Deficiency Anemia"), D1448+14,
OR(E1448="Lumbar Strain",E1448="Migraine Headache"), D1448+7,
OR(E1448="Viral Fever",E1448="General Checkup","Routine Health Check"), "",
TRUE,""
)</f>
        <v/>
      </c>
      <c r="I1448" s="1" t="str">
        <f t="shared" si="44"/>
        <v>No Follow-up Required</v>
      </c>
      <c r="J1448" t="str">
        <f>TEXT(Table8[[#This Row],[visit_Date]],"DDDD")</f>
        <v>Friday</v>
      </c>
      <c r="K1448" t="str">
        <f>TEXT(Table8[[#This Row],[visit_Date]],"mmmm")</f>
        <v>February</v>
      </c>
      <c r="L1448" t="str">
        <f t="shared" si="45"/>
        <v>Winter</v>
      </c>
    </row>
    <row r="1449" spans="1:12" x14ac:dyDescent="0.25">
      <c r="A1449">
        <v>1448</v>
      </c>
      <c r="B1449">
        <v>1223</v>
      </c>
      <c r="C1449">
        <v>1083</v>
      </c>
      <c r="D1449" s="1">
        <v>45767</v>
      </c>
      <c r="E1449" t="s">
        <v>334</v>
      </c>
      <c r="F1449" t="s">
        <v>335</v>
      </c>
      <c r="G1449" t="str">
        <f>_xlfn.XLOOKUP(TRIM(E1450),MedicineInfo!A:A,MedicineInfo!B:B,"Not Found")</f>
        <v>Multivitamin</v>
      </c>
      <c r="H1449" s="1" t="str" cm="1">
        <f t="array" ref="H1449">_xlfn.IFS(
OR(E1449="Type 2 Diabetes",E1449="Essential Hypertension",E1449="Angina Pectoris",E1449="Bronchial Asthma",E1449="Cardiac Arrhythmia"), D1449+30,
OR(E1449="Gastritis",E1449="Osteoarthritis",E1449="Bronchitis",E1449="Iron Deficiency Anemia"), D1449+14,
OR(E1449="Lumbar Strain",E1449="Migraine Headache"), D1449+7,
OR(E1449="Viral Fever",E1449="General Checkup","Routine Health Check"), "",
TRUE,""
)</f>
        <v/>
      </c>
      <c r="I1449" s="1" t="str">
        <f t="shared" si="44"/>
        <v>No Follow-up Required</v>
      </c>
      <c r="J1449" t="str">
        <f>TEXT(Table8[[#This Row],[visit_Date]],"DDDD")</f>
        <v>Sunday</v>
      </c>
      <c r="K1449" t="str">
        <f>TEXT(Table8[[#This Row],[visit_Date]],"mmmm")</f>
        <v>April</v>
      </c>
      <c r="L1449" t="str">
        <f t="shared" si="45"/>
        <v>Summer</v>
      </c>
    </row>
    <row r="1450" spans="1:12" x14ac:dyDescent="0.25">
      <c r="A1450">
        <v>1449</v>
      </c>
      <c r="B1450">
        <v>1389</v>
      </c>
      <c r="C1450">
        <v>1475</v>
      </c>
      <c r="D1450" s="1">
        <v>45814</v>
      </c>
      <c r="E1450" t="s">
        <v>24</v>
      </c>
      <c r="F1450" t="s">
        <v>321</v>
      </c>
      <c r="G1450" t="str">
        <f>_xlfn.XLOOKUP(TRIM(E1451),MedicineInfo!A:A,MedicineInfo!B:B,"Not Found")</f>
        <v>Multivitamin</v>
      </c>
      <c r="H1450" s="1" t="str" cm="1">
        <f t="array" ref="H1450">_xlfn.IFS(
OR(E1450="Type 2 Diabetes",E1450="Essential Hypertension",E1450="Angina Pectoris",E1450="Bronchial Asthma",E1450="Cardiac Arrhythmia"), D1450+30,
OR(E1450="Gastritis",E1450="Osteoarthritis",E1450="Bronchitis",E1450="Iron Deficiency Anemia"), D1450+14,
OR(E1450="Lumbar Strain",E1450="Migraine Headache"), D1450+7,
OR(E1450="Viral Fever",E1450="General Checkup","Routine Health Check"), "",
TRUE,""
)</f>
        <v/>
      </c>
      <c r="I1450" s="1" t="str">
        <f t="shared" si="44"/>
        <v>No Follow-up Required</v>
      </c>
      <c r="J1450" t="str">
        <f>TEXT(Table8[[#This Row],[visit_Date]],"DDDD")</f>
        <v>Friday</v>
      </c>
      <c r="K1450" t="str">
        <f>TEXT(Table8[[#This Row],[visit_Date]],"mmmm")</f>
        <v>June</v>
      </c>
      <c r="L1450" t="str">
        <f t="shared" si="45"/>
        <v>Monsoon</v>
      </c>
    </row>
    <row r="1451" spans="1:12" x14ac:dyDescent="0.25">
      <c r="A1451">
        <v>1450</v>
      </c>
      <c r="B1451">
        <v>1390</v>
      </c>
      <c r="C1451">
        <v>111</v>
      </c>
      <c r="D1451" s="1">
        <v>45692</v>
      </c>
      <c r="E1451" t="s">
        <v>24</v>
      </c>
      <c r="F1451" t="s">
        <v>321</v>
      </c>
      <c r="G1451" t="str">
        <f>_xlfn.XLOOKUP(TRIM(E1452),MedicineInfo!A:A,MedicineInfo!B:B,"Not Found")</f>
        <v>Amiodarone</v>
      </c>
      <c r="H1451" s="1" t="str" cm="1">
        <f t="array" ref="H1451">_xlfn.IFS(
OR(E1451="Type 2 Diabetes",E1451="Essential Hypertension",E1451="Angina Pectoris",E1451="Bronchial Asthma",E1451="Cardiac Arrhythmia"), D1451+30,
OR(E1451="Gastritis",E1451="Osteoarthritis",E1451="Bronchitis",E1451="Iron Deficiency Anemia"), D1451+14,
OR(E1451="Lumbar Strain",E1451="Migraine Headache"), D1451+7,
OR(E1451="Viral Fever",E1451="General Checkup","Routine Health Check"), "",
TRUE,""
)</f>
        <v/>
      </c>
      <c r="I1451" s="1" t="str">
        <f t="shared" si="44"/>
        <v>No Follow-up Required</v>
      </c>
      <c r="J1451" t="str">
        <f>TEXT(Table8[[#This Row],[visit_Date]],"DDDD")</f>
        <v>Tuesday</v>
      </c>
      <c r="K1451" t="str">
        <f>TEXT(Table8[[#This Row],[visit_Date]],"mmmm")</f>
        <v>February</v>
      </c>
      <c r="L1451" t="str">
        <f t="shared" si="45"/>
        <v>Winter</v>
      </c>
    </row>
    <row r="1452" spans="1:12" x14ac:dyDescent="0.25">
      <c r="A1452">
        <v>1451</v>
      </c>
      <c r="B1452">
        <v>1229</v>
      </c>
      <c r="C1452">
        <v>365</v>
      </c>
      <c r="D1452" s="1">
        <v>45823</v>
      </c>
      <c r="E1452" t="s">
        <v>330</v>
      </c>
      <c r="F1452" t="s">
        <v>331</v>
      </c>
      <c r="G1452" t="str">
        <f>_xlfn.XLOOKUP(TRIM(E1453),MedicineInfo!A:A,MedicineInfo!B:B,"Not Found")</f>
        <v>Sumatriptan</v>
      </c>
      <c r="H1452" s="1" cm="1">
        <f t="array" ref="H1452">_xlfn.IFS(
OR(E1452="Type 2 Diabetes",E1452="Essential Hypertension",E1452="Angina Pectoris",E1452="Bronchial Asthma",E1452="Cardiac Arrhythmia"), D1452+30,
OR(E1452="Gastritis",E1452="Osteoarthritis",E1452="Bronchitis",E1452="Iron Deficiency Anemia"), D1452+14,
OR(E1452="Lumbar Strain",E1452="Migraine Headache"), D1452+7,
OR(E1452="Viral Fever",E1452="General Checkup","Routine Health Check"), "",
TRUE,""
)</f>
        <v>45853</v>
      </c>
      <c r="I1452" s="1" t="str">
        <f t="shared" si="44"/>
        <v>Follow-up Scheduled</v>
      </c>
      <c r="J1452" t="str">
        <f>TEXT(Table8[[#This Row],[visit_Date]],"DDDD")</f>
        <v>Sunday</v>
      </c>
      <c r="K1452" t="str">
        <f>TEXT(Table8[[#This Row],[visit_Date]],"mmmm")</f>
        <v>June</v>
      </c>
      <c r="L1452" t="str">
        <f t="shared" si="45"/>
        <v>Monsoon</v>
      </c>
    </row>
    <row r="1453" spans="1:12" x14ac:dyDescent="0.25">
      <c r="A1453">
        <v>1452</v>
      </c>
      <c r="B1453">
        <v>1279</v>
      </c>
      <c r="C1453">
        <v>1362</v>
      </c>
      <c r="D1453" s="1">
        <v>45694</v>
      </c>
      <c r="E1453" t="s">
        <v>315</v>
      </c>
      <c r="F1453" t="s">
        <v>316</v>
      </c>
      <c r="G1453" t="str">
        <f>_xlfn.XLOOKUP(TRIM(E1454),MedicineInfo!A:A,MedicineInfo!B:B,"Not Found")</f>
        <v>Multivitamin</v>
      </c>
      <c r="H1453" s="1" cm="1">
        <f t="array" ref="H1453">_xlfn.IFS(
OR(E1453="Type 2 Diabetes",E1453="Essential Hypertension",E1453="Angina Pectoris",E1453="Bronchial Asthma",E1453="Cardiac Arrhythmia"), D1453+30,
OR(E1453="Gastritis",E1453="Osteoarthritis",E1453="Bronchitis",E1453="Iron Deficiency Anemia"), D1453+14,
OR(E1453="Lumbar Strain",E1453="Migraine Headache"), D1453+7,
OR(E1453="Viral Fever",E1453="General Checkup","Routine Health Check"), "",
TRUE,""
)</f>
        <v>45701</v>
      </c>
      <c r="I1453" s="1" t="str">
        <f t="shared" si="44"/>
        <v>Follow-up Scheduled</v>
      </c>
      <c r="J1453" t="str">
        <f>TEXT(Table8[[#This Row],[visit_Date]],"DDDD")</f>
        <v>Thursday</v>
      </c>
      <c r="K1453" t="str">
        <f>TEXT(Table8[[#This Row],[visit_Date]],"mmmm")</f>
        <v>February</v>
      </c>
      <c r="L1453" t="str">
        <f t="shared" si="45"/>
        <v>Winter</v>
      </c>
    </row>
    <row r="1454" spans="1:12" x14ac:dyDescent="0.25">
      <c r="A1454">
        <v>1453</v>
      </c>
      <c r="B1454">
        <v>1022</v>
      </c>
      <c r="C1454">
        <v>1166</v>
      </c>
      <c r="D1454" s="1">
        <v>45814</v>
      </c>
      <c r="E1454" t="s">
        <v>24</v>
      </c>
      <c r="F1454" t="s">
        <v>321</v>
      </c>
      <c r="G1454" t="str">
        <f>_xlfn.XLOOKUP(TRIM(E1455),MedicineInfo!A:A,MedicineInfo!B:B,"Not Found")</f>
        <v>Multivitamin</v>
      </c>
      <c r="H1454" s="1" t="str" cm="1">
        <f t="array" ref="H1454">_xlfn.IFS(
OR(E1454="Type 2 Diabetes",E1454="Essential Hypertension",E1454="Angina Pectoris",E1454="Bronchial Asthma",E1454="Cardiac Arrhythmia"), D1454+30,
OR(E1454="Gastritis",E1454="Osteoarthritis",E1454="Bronchitis",E1454="Iron Deficiency Anemia"), D1454+14,
OR(E1454="Lumbar Strain",E1454="Migraine Headache"), D1454+7,
OR(E1454="Viral Fever",E1454="General Checkup","Routine Health Check"), "",
TRUE,""
)</f>
        <v/>
      </c>
      <c r="I1454" s="1" t="str">
        <f t="shared" si="44"/>
        <v>No Follow-up Required</v>
      </c>
      <c r="J1454" t="str">
        <f>TEXT(Table8[[#This Row],[visit_Date]],"DDDD")</f>
        <v>Friday</v>
      </c>
      <c r="K1454" t="str">
        <f>TEXT(Table8[[#This Row],[visit_Date]],"mmmm")</f>
        <v>June</v>
      </c>
      <c r="L1454" t="str">
        <f t="shared" si="45"/>
        <v>Monsoon</v>
      </c>
    </row>
    <row r="1455" spans="1:12" x14ac:dyDescent="0.25">
      <c r="A1455">
        <v>1454</v>
      </c>
      <c r="B1455">
        <v>1005</v>
      </c>
      <c r="C1455">
        <v>108</v>
      </c>
      <c r="D1455" s="1">
        <v>45823</v>
      </c>
      <c r="E1455" t="s">
        <v>24</v>
      </c>
      <c r="F1455" t="s">
        <v>321</v>
      </c>
      <c r="G1455" t="str">
        <f>_xlfn.XLOOKUP(TRIM(E1456),MedicineInfo!A:A,MedicineInfo!B:B,"Not Found")</f>
        <v>Hydrocortisone Cream</v>
      </c>
      <c r="H1455" s="1" t="str" cm="1">
        <f t="array" ref="H1455">_xlfn.IFS(
OR(E1455="Type 2 Diabetes",E1455="Essential Hypertension",E1455="Angina Pectoris",E1455="Bronchial Asthma",E1455="Cardiac Arrhythmia"), D1455+30,
OR(E1455="Gastritis",E1455="Osteoarthritis",E1455="Bronchitis",E1455="Iron Deficiency Anemia"), D1455+14,
OR(E1455="Lumbar Strain",E1455="Migraine Headache"), D1455+7,
OR(E1455="Viral Fever",E1455="General Checkup","Routine Health Check"), "",
TRUE,""
)</f>
        <v/>
      </c>
      <c r="I1455" s="1" t="str">
        <f t="shared" si="44"/>
        <v>No Follow-up Required</v>
      </c>
      <c r="J1455" t="str">
        <f>TEXT(Table8[[#This Row],[visit_Date]],"DDDD")</f>
        <v>Sunday</v>
      </c>
      <c r="K1455" t="str">
        <f>TEXT(Table8[[#This Row],[visit_Date]],"mmmm")</f>
        <v>June</v>
      </c>
      <c r="L1455" t="str">
        <f t="shared" si="45"/>
        <v>Monsoon</v>
      </c>
    </row>
    <row r="1456" spans="1:12" x14ac:dyDescent="0.25">
      <c r="A1456">
        <v>1455</v>
      </c>
      <c r="B1456">
        <v>1073</v>
      </c>
      <c r="C1456">
        <v>1155</v>
      </c>
      <c r="D1456" s="1">
        <v>45823</v>
      </c>
      <c r="E1456" t="s">
        <v>338</v>
      </c>
      <c r="F1456" t="s">
        <v>339</v>
      </c>
      <c r="G1456" t="str">
        <f>_xlfn.XLOOKUP(TRIM(E1457),MedicineInfo!A:A,MedicineInfo!B:B,"Not Found")</f>
        <v>Metformin</v>
      </c>
      <c r="H1456" s="1" t="str" cm="1">
        <f t="array" ref="H1456">_xlfn.IFS(
OR(E1456="Type 2 Diabetes",E1456="Essential Hypertension",E1456="Angina Pectoris",E1456="Bronchial Asthma",E1456="Cardiac Arrhythmia"), D1456+30,
OR(E1456="Gastritis",E1456="Osteoarthritis",E1456="Bronchitis",E1456="Iron Deficiency Anemia"), D1456+14,
OR(E1456="Lumbar Strain",E1456="Migraine Headache"), D1456+7,
OR(E1456="Viral Fever",E1456="General Checkup","Routine Health Check"), "",
TRUE,""
)</f>
        <v/>
      </c>
      <c r="I1456" s="1" t="str">
        <f t="shared" si="44"/>
        <v>No Follow-up Required</v>
      </c>
      <c r="J1456" t="str">
        <f>TEXT(Table8[[#This Row],[visit_Date]],"DDDD")</f>
        <v>Sunday</v>
      </c>
      <c r="K1456" t="str">
        <f>TEXT(Table8[[#This Row],[visit_Date]],"mmmm")</f>
        <v>June</v>
      </c>
      <c r="L1456" t="str">
        <f t="shared" si="45"/>
        <v>Monsoon</v>
      </c>
    </row>
    <row r="1457" spans="1:12" x14ac:dyDescent="0.25">
      <c r="A1457">
        <v>1456</v>
      </c>
      <c r="B1457">
        <v>1320</v>
      </c>
      <c r="C1457">
        <v>964</v>
      </c>
      <c r="D1457" s="1">
        <v>45783</v>
      </c>
      <c r="E1457" t="s">
        <v>317</v>
      </c>
      <c r="F1457" t="s">
        <v>318</v>
      </c>
      <c r="G1457" t="str">
        <f>_xlfn.XLOOKUP(TRIM(E1458),MedicineInfo!A:A,MedicineInfo!B:B,"Not Found")</f>
        <v>Multivitamin</v>
      </c>
      <c r="H1457" s="1" cm="1">
        <f t="array" ref="H1457">_xlfn.IFS(
OR(E1457="Type 2 Diabetes",E1457="Essential Hypertension",E1457="Angina Pectoris",E1457="Bronchial Asthma",E1457="Cardiac Arrhythmia"), D1457+30,
OR(E1457="Gastritis",E1457="Osteoarthritis",E1457="Bronchitis",E1457="Iron Deficiency Anemia"), D1457+14,
OR(E1457="Lumbar Strain",E1457="Migraine Headache"), D1457+7,
OR(E1457="Viral Fever",E1457="General Checkup","Routine Health Check"), "",
TRUE,""
)</f>
        <v>45813</v>
      </c>
      <c r="I1457" s="1" t="str">
        <f t="shared" si="44"/>
        <v>Follow-up Scheduled</v>
      </c>
      <c r="J1457" t="str">
        <f>TEXT(Table8[[#This Row],[visit_Date]],"DDDD")</f>
        <v>Tuesday</v>
      </c>
      <c r="K1457" t="str">
        <f>TEXT(Table8[[#This Row],[visit_Date]],"mmmm")</f>
        <v>May</v>
      </c>
      <c r="L1457" t="str">
        <f t="shared" si="45"/>
        <v>Summer</v>
      </c>
    </row>
    <row r="1458" spans="1:12" x14ac:dyDescent="0.25">
      <c r="A1458">
        <v>1457</v>
      </c>
      <c r="B1458">
        <v>1387</v>
      </c>
      <c r="C1458">
        <v>1289</v>
      </c>
      <c r="D1458" s="1">
        <v>45792</v>
      </c>
      <c r="E1458" t="s">
        <v>24</v>
      </c>
      <c r="F1458" t="s">
        <v>321</v>
      </c>
      <c r="G1458" t="str">
        <f>_xlfn.XLOOKUP(TRIM(E1459),MedicineInfo!A:A,MedicineInfo!B:B,"Not Found")</f>
        <v>Multivitamin</v>
      </c>
      <c r="H1458" s="1" t="str" cm="1">
        <f t="array" ref="H1458">_xlfn.IFS(
OR(E1458="Type 2 Diabetes",E1458="Essential Hypertension",E1458="Angina Pectoris",E1458="Bronchial Asthma",E1458="Cardiac Arrhythmia"), D1458+30,
OR(E1458="Gastritis",E1458="Osteoarthritis",E1458="Bronchitis",E1458="Iron Deficiency Anemia"), D1458+14,
OR(E1458="Lumbar Strain",E1458="Migraine Headache"), D1458+7,
OR(E1458="Viral Fever",E1458="General Checkup","Routine Health Check"), "",
TRUE,""
)</f>
        <v/>
      </c>
      <c r="I1458" s="1" t="str">
        <f t="shared" si="44"/>
        <v>No Follow-up Required</v>
      </c>
      <c r="J1458" t="str">
        <f>TEXT(Table8[[#This Row],[visit_Date]],"DDDD")</f>
        <v>Thursday</v>
      </c>
      <c r="K1458" t="str">
        <f>TEXT(Table8[[#This Row],[visit_Date]],"mmmm")</f>
        <v>May</v>
      </c>
      <c r="L1458" t="str">
        <f t="shared" si="45"/>
        <v>Summer</v>
      </c>
    </row>
    <row r="1459" spans="1:12" x14ac:dyDescent="0.25">
      <c r="A1459">
        <v>1458</v>
      </c>
      <c r="B1459">
        <v>1174</v>
      </c>
      <c r="C1459">
        <v>1076</v>
      </c>
      <c r="D1459" s="1">
        <v>45790</v>
      </c>
      <c r="E1459" t="s">
        <v>24</v>
      </c>
      <c r="F1459" t="s">
        <v>321</v>
      </c>
      <c r="G1459" t="str">
        <f>_xlfn.XLOOKUP(TRIM(E1460),MedicineInfo!A:A,MedicineInfo!B:B,"Not Found")</f>
        <v>Multivitamin</v>
      </c>
      <c r="H1459" s="1" t="str" cm="1">
        <f t="array" ref="H1459">_xlfn.IFS(
OR(E1459="Type 2 Diabetes",E1459="Essential Hypertension",E1459="Angina Pectoris",E1459="Bronchial Asthma",E1459="Cardiac Arrhythmia"), D1459+30,
OR(E1459="Gastritis",E1459="Osteoarthritis",E1459="Bronchitis",E1459="Iron Deficiency Anemia"), D1459+14,
OR(E1459="Lumbar Strain",E1459="Migraine Headache"), D1459+7,
OR(E1459="Viral Fever",E1459="General Checkup","Routine Health Check"), "",
TRUE,""
)</f>
        <v/>
      </c>
      <c r="I1459" s="1" t="str">
        <f t="shared" si="44"/>
        <v>No Follow-up Required</v>
      </c>
      <c r="J1459" t="str">
        <f>TEXT(Table8[[#This Row],[visit_Date]],"DDDD")</f>
        <v>Tuesday</v>
      </c>
      <c r="K1459" t="str">
        <f>TEXT(Table8[[#This Row],[visit_Date]],"mmmm")</f>
        <v>May</v>
      </c>
      <c r="L1459" t="str">
        <f t="shared" si="45"/>
        <v>Summer</v>
      </c>
    </row>
    <row r="1460" spans="1:12" x14ac:dyDescent="0.25">
      <c r="A1460">
        <v>1459</v>
      </c>
      <c r="B1460">
        <v>1027</v>
      </c>
      <c r="C1460">
        <v>887</v>
      </c>
      <c r="D1460" s="1">
        <v>45661</v>
      </c>
      <c r="E1460" t="s">
        <v>24</v>
      </c>
      <c r="F1460" t="s">
        <v>321</v>
      </c>
      <c r="G1460" t="str">
        <f>_xlfn.XLOOKUP(TRIM(E1461),MedicineInfo!A:A,MedicineInfo!B:B,"Not Found")</f>
        <v>Multivitamin</v>
      </c>
      <c r="H1460" s="1" t="str" cm="1">
        <f t="array" ref="H1460">_xlfn.IFS(
OR(E1460="Type 2 Diabetes",E1460="Essential Hypertension",E1460="Angina Pectoris",E1460="Bronchial Asthma",E1460="Cardiac Arrhythmia"), D1460+30,
OR(E1460="Gastritis",E1460="Osteoarthritis",E1460="Bronchitis",E1460="Iron Deficiency Anemia"), D1460+14,
OR(E1460="Lumbar Strain",E1460="Migraine Headache"), D1460+7,
OR(E1460="Viral Fever",E1460="General Checkup","Routine Health Check"), "",
TRUE,""
)</f>
        <v/>
      </c>
      <c r="I1460" s="1" t="str">
        <f t="shared" si="44"/>
        <v>No Follow-up Required</v>
      </c>
      <c r="J1460" t="str">
        <f>TEXT(Table8[[#This Row],[visit_Date]],"DDDD")</f>
        <v>Saturday</v>
      </c>
      <c r="K1460" t="str">
        <f>TEXT(Table8[[#This Row],[visit_Date]],"mmmm")</f>
        <v>January</v>
      </c>
      <c r="L1460" t="str">
        <f t="shared" si="45"/>
        <v>Winter</v>
      </c>
    </row>
    <row r="1461" spans="1:12" x14ac:dyDescent="0.25">
      <c r="A1461">
        <v>1460</v>
      </c>
      <c r="B1461">
        <v>1211</v>
      </c>
      <c r="C1461">
        <v>1192</v>
      </c>
      <c r="D1461" s="1">
        <v>45823</v>
      </c>
      <c r="E1461" t="s">
        <v>24</v>
      </c>
      <c r="F1461" t="s">
        <v>321</v>
      </c>
      <c r="G1461" t="str">
        <f>_xlfn.XLOOKUP(TRIM(E1462),MedicineInfo!A:A,MedicineInfo!B:B,"Not Found")</f>
        <v>Multivitamin</v>
      </c>
      <c r="H1461" s="1" t="str" cm="1">
        <f t="array" ref="H1461">_xlfn.IFS(
OR(E1461="Type 2 Diabetes",E1461="Essential Hypertension",E1461="Angina Pectoris",E1461="Bronchial Asthma",E1461="Cardiac Arrhythmia"), D1461+30,
OR(E1461="Gastritis",E1461="Osteoarthritis",E1461="Bronchitis",E1461="Iron Deficiency Anemia"), D1461+14,
OR(E1461="Lumbar Strain",E1461="Migraine Headache"), D1461+7,
OR(E1461="Viral Fever",E1461="General Checkup","Routine Health Check"), "",
TRUE,""
)</f>
        <v/>
      </c>
      <c r="I1461" s="1" t="str">
        <f t="shared" si="44"/>
        <v>No Follow-up Required</v>
      </c>
      <c r="J1461" t="str">
        <f>TEXT(Table8[[#This Row],[visit_Date]],"DDDD")</f>
        <v>Sunday</v>
      </c>
      <c r="K1461" t="str">
        <f>TEXT(Table8[[#This Row],[visit_Date]],"mmmm")</f>
        <v>June</v>
      </c>
      <c r="L1461" t="str">
        <f t="shared" si="45"/>
        <v>Monsoon</v>
      </c>
    </row>
    <row r="1462" spans="1:12" x14ac:dyDescent="0.25">
      <c r="A1462">
        <v>1461</v>
      </c>
      <c r="B1462">
        <v>1342</v>
      </c>
      <c r="C1462">
        <v>768</v>
      </c>
      <c r="D1462" s="1">
        <v>45853</v>
      </c>
      <c r="E1462" t="s">
        <v>24</v>
      </c>
      <c r="F1462" t="s">
        <v>321</v>
      </c>
      <c r="G1462" t="str">
        <f>_xlfn.XLOOKUP(TRIM(E1463),MedicineInfo!A:A,MedicineInfo!B:B,"Not Found")</f>
        <v>Multivitamin</v>
      </c>
      <c r="H1462" s="1" t="str" cm="1">
        <f t="array" ref="H1462">_xlfn.IFS(
OR(E1462="Type 2 Diabetes",E1462="Essential Hypertension",E1462="Angina Pectoris",E1462="Bronchial Asthma",E1462="Cardiac Arrhythmia"), D1462+30,
OR(E1462="Gastritis",E1462="Osteoarthritis",E1462="Bronchitis",E1462="Iron Deficiency Anemia"), D1462+14,
OR(E1462="Lumbar Strain",E1462="Migraine Headache"), D1462+7,
OR(E1462="Viral Fever",E1462="General Checkup","Routine Health Check"), "",
TRUE,""
)</f>
        <v/>
      </c>
      <c r="I1462" s="1" t="str">
        <f t="shared" si="44"/>
        <v>No Follow-up Required</v>
      </c>
      <c r="J1462" t="str">
        <f>TEXT(Table8[[#This Row],[visit_Date]],"DDDD")</f>
        <v>Tuesday</v>
      </c>
      <c r="K1462" t="str">
        <f>TEXT(Table8[[#This Row],[visit_Date]],"mmmm")</f>
        <v>July</v>
      </c>
      <c r="L1462" t="str">
        <f t="shared" si="45"/>
        <v>Monsoon</v>
      </c>
    </row>
    <row r="1463" spans="1:12" x14ac:dyDescent="0.25">
      <c r="A1463">
        <v>1462</v>
      </c>
      <c r="B1463">
        <v>1066</v>
      </c>
      <c r="C1463">
        <v>215</v>
      </c>
      <c r="D1463" s="1">
        <v>45783</v>
      </c>
      <c r="E1463" t="s">
        <v>24</v>
      </c>
      <c r="F1463" t="s">
        <v>321</v>
      </c>
      <c r="G1463" t="str">
        <f>_xlfn.XLOOKUP(TRIM(E1464),MedicineInfo!A:A,MedicineInfo!B:B,"Not Found")</f>
        <v>Multivitamin</v>
      </c>
      <c r="H1463" s="1" t="str" cm="1">
        <f t="array" ref="H1463">_xlfn.IFS(
OR(E1463="Type 2 Diabetes",E1463="Essential Hypertension",E1463="Angina Pectoris",E1463="Bronchial Asthma",E1463="Cardiac Arrhythmia"), D1463+30,
OR(E1463="Gastritis",E1463="Osteoarthritis",E1463="Bronchitis",E1463="Iron Deficiency Anemia"), D1463+14,
OR(E1463="Lumbar Strain",E1463="Migraine Headache"), D1463+7,
OR(E1463="Viral Fever",E1463="General Checkup","Routine Health Check"), "",
TRUE,""
)</f>
        <v/>
      </c>
      <c r="I1463" s="1" t="str">
        <f t="shared" si="44"/>
        <v>No Follow-up Required</v>
      </c>
      <c r="J1463" t="str">
        <f>TEXT(Table8[[#This Row],[visit_Date]],"DDDD")</f>
        <v>Tuesday</v>
      </c>
      <c r="K1463" t="str">
        <f>TEXT(Table8[[#This Row],[visit_Date]],"mmmm")</f>
        <v>May</v>
      </c>
      <c r="L1463" t="str">
        <f t="shared" si="45"/>
        <v>Summer</v>
      </c>
    </row>
    <row r="1464" spans="1:12" x14ac:dyDescent="0.25">
      <c r="A1464">
        <v>1463</v>
      </c>
      <c r="B1464">
        <v>1153</v>
      </c>
      <c r="C1464">
        <v>843</v>
      </c>
      <c r="D1464" s="1">
        <v>45743</v>
      </c>
      <c r="E1464" t="s">
        <v>24</v>
      </c>
      <c r="F1464" t="s">
        <v>321</v>
      </c>
      <c r="G1464" t="str">
        <f>_xlfn.XLOOKUP(TRIM(E1465),MedicineInfo!A:A,MedicineInfo!B:B,"Not Found")</f>
        <v>Multivitamin</v>
      </c>
      <c r="H1464" s="1" t="str" cm="1">
        <f t="array" ref="H1464">_xlfn.IFS(
OR(E1464="Type 2 Diabetes",E1464="Essential Hypertension",E1464="Angina Pectoris",E1464="Bronchial Asthma",E1464="Cardiac Arrhythmia"), D1464+30,
OR(E1464="Gastritis",E1464="Osteoarthritis",E1464="Bronchitis",E1464="Iron Deficiency Anemia"), D1464+14,
OR(E1464="Lumbar Strain",E1464="Migraine Headache"), D1464+7,
OR(E1464="Viral Fever",E1464="General Checkup","Routine Health Check"), "",
TRUE,""
)</f>
        <v/>
      </c>
      <c r="I1464" s="1" t="str">
        <f t="shared" si="44"/>
        <v>No Follow-up Required</v>
      </c>
      <c r="J1464" t="str">
        <f>TEXT(Table8[[#This Row],[visit_Date]],"DDDD")</f>
        <v>Thursday</v>
      </c>
      <c r="K1464" t="str">
        <f>TEXT(Table8[[#This Row],[visit_Date]],"mmmm")</f>
        <v>March</v>
      </c>
      <c r="L1464" t="str">
        <f t="shared" si="45"/>
        <v>Summer</v>
      </c>
    </row>
    <row r="1465" spans="1:12" x14ac:dyDescent="0.25">
      <c r="A1465">
        <v>1464</v>
      </c>
      <c r="B1465">
        <v>1391</v>
      </c>
      <c r="C1465">
        <v>1570</v>
      </c>
      <c r="D1465" s="1">
        <v>45756</v>
      </c>
      <c r="E1465" t="s">
        <v>24</v>
      </c>
      <c r="F1465" t="s">
        <v>321</v>
      </c>
      <c r="G1465" t="str">
        <f>_xlfn.XLOOKUP(TRIM(E1466),MedicineInfo!A:A,MedicineInfo!B:B,"Not Found")</f>
        <v>Multivitamin</v>
      </c>
      <c r="H1465" s="1" t="str" cm="1">
        <f t="array" ref="H1465">_xlfn.IFS(
OR(E1465="Type 2 Diabetes",E1465="Essential Hypertension",E1465="Angina Pectoris",E1465="Bronchial Asthma",E1465="Cardiac Arrhythmia"), D1465+30,
OR(E1465="Gastritis",E1465="Osteoarthritis",E1465="Bronchitis",E1465="Iron Deficiency Anemia"), D1465+14,
OR(E1465="Lumbar Strain",E1465="Migraine Headache"), D1465+7,
OR(E1465="Viral Fever",E1465="General Checkup","Routine Health Check"), "",
TRUE,""
)</f>
        <v/>
      </c>
      <c r="I1465" s="1" t="str">
        <f t="shared" si="44"/>
        <v>No Follow-up Required</v>
      </c>
      <c r="J1465" t="str">
        <f>TEXT(Table8[[#This Row],[visit_Date]],"DDDD")</f>
        <v>Wednesday</v>
      </c>
      <c r="K1465" t="str">
        <f>TEXT(Table8[[#This Row],[visit_Date]],"mmmm")</f>
        <v>April</v>
      </c>
      <c r="L1465" t="str">
        <f t="shared" si="45"/>
        <v>Summer</v>
      </c>
    </row>
    <row r="1466" spans="1:12" x14ac:dyDescent="0.25">
      <c r="A1466">
        <v>1465</v>
      </c>
      <c r="B1466">
        <v>1258</v>
      </c>
      <c r="C1466">
        <v>937</v>
      </c>
      <c r="D1466" s="1">
        <v>45790</v>
      </c>
      <c r="E1466" t="s">
        <v>24</v>
      </c>
      <c r="F1466" t="s">
        <v>321</v>
      </c>
      <c r="G1466" t="str">
        <f>_xlfn.XLOOKUP(TRIM(E1467),MedicineInfo!A:A,MedicineInfo!B:B,"Not Found")</f>
        <v>Multivitamin</v>
      </c>
      <c r="H1466" s="1" t="str" cm="1">
        <f t="array" ref="H1466">_xlfn.IFS(
OR(E1466="Type 2 Diabetes",E1466="Essential Hypertension",E1466="Angina Pectoris",E1466="Bronchial Asthma",E1466="Cardiac Arrhythmia"), D1466+30,
OR(E1466="Gastritis",E1466="Osteoarthritis",E1466="Bronchitis",E1466="Iron Deficiency Anemia"), D1466+14,
OR(E1466="Lumbar Strain",E1466="Migraine Headache"), D1466+7,
OR(E1466="Viral Fever",E1466="General Checkup","Routine Health Check"), "",
TRUE,""
)</f>
        <v/>
      </c>
      <c r="I1466" s="1" t="str">
        <f t="shared" si="44"/>
        <v>No Follow-up Required</v>
      </c>
      <c r="J1466" t="str">
        <f>TEXT(Table8[[#This Row],[visit_Date]],"DDDD")</f>
        <v>Tuesday</v>
      </c>
      <c r="K1466" t="str">
        <f>TEXT(Table8[[#This Row],[visit_Date]],"mmmm")</f>
        <v>May</v>
      </c>
      <c r="L1466" t="str">
        <f t="shared" si="45"/>
        <v>Summer</v>
      </c>
    </row>
    <row r="1467" spans="1:12" x14ac:dyDescent="0.25">
      <c r="A1467">
        <v>1466</v>
      </c>
      <c r="B1467">
        <v>1075</v>
      </c>
      <c r="C1467">
        <v>197</v>
      </c>
      <c r="D1467" s="1">
        <v>45783</v>
      </c>
      <c r="E1467" t="s">
        <v>24</v>
      </c>
      <c r="F1467" t="s">
        <v>321</v>
      </c>
      <c r="G1467" t="str">
        <f>_xlfn.XLOOKUP(TRIM(E1468),MedicineInfo!A:A,MedicineInfo!B:B,"Not Found")</f>
        <v>Multivitamin</v>
      </c>
      <c r="H1467" s="1" t="str" cm="1">
        <f t="array" ref="H1467">_xlfn.IFS(
OR(E1467="Type 2 Diabetes",E1467="Essential Hypertension",E1467="Angina Pectoris",E1467="Bronchial Asthma",E1467="Cardiac Arrhythmia"), D1467+30,
OR(E1467="Gastritis",E1467="Osteoarthritis",E1467="Bronchitis",E1467="Iron Deficiency Anemia"), D1467+14,
OR(E1467="Lumbar Strain",E1467="Migraine Headache"), D1467+7,
OR(E1467="Viral Fever",E1467="General Checkup","Routine Health Check"), "",
TRUE,""
)</f>
        <v/>
      </c>
      <c r="I1467" s="1" t="str">
        <f t="shared" si="44"/>
        <v>No Follow-up Required</v>
      </c>
      <c r="J1467" t="str">
        <f>TEXT(Table8[[#This Row],[visit_Date]],"DDDD")</f>
        <v>Tuesday</v>
      </c>
      <c r="K1467" t="str">
        <f>TEXT(Table8[[#This Row],[visit_Date]],"mmmm")</f>
        <v>May</v>
      </c>
      <c r="L1467" t="str">
        <f t="shared" si="45"/>
        <v>Summer</v>
      </c>
    </row>
    <row r="1468" spans="1:12" x14ac:dyDescent="0.25">
      <c r="A1468">
        <v>1467</v>
      </c>
      <c r="B1468">
        <v>1355</v>
      </c>
      <c r="C1468">
        <v>452</v>
      </c>
      <c r="D1468" s="1">
        <v>45783</v>
      </c>
      <c r="E1468" t="s">
        <v>24</v>
      </c>
      <c r="F1468" t="s">
        <v>321</v>
      </c>
      <c r="G1468" t="str">
        <f>_xlfn.XLOOKUP(TRIM(E1469),MedicineInfo!A:A,MedicineInfo!B:B,"Not Found")</f>
        <v>Multivitamin</v>
      </c>
      <c r="H1468" s="1" t="str" cm="1">
        <f t="array" ref="H1468">_xlfn.IFS(
OR(E1468="Type 2 Diabetes",E1468="Essential Hypertension",E1468="Angina Pectoris",E1468="Bronchial Asthma",E1468="Cardiac Arrhythmia"), D1468+30,
OR(E1468="Gastritis",E1468="Osteoarthritis",E1468="Bronchitis",E1468="Iron Deficiency Anemia"), D1468+14,
OR(E1468="Lumbar Strain",E1468="Migraine Headache"), D1468+7,
OR(E1468="Viral Fever",E1468="General Checkup","Routine Health Check"), "",
TRUE,""
)</f>
        <v/>
      </c>
      <c r="I1468" s="1" t="str">
        <f t="shared" si="44"/>
        <v>No Follow-up Required</v>
      </c>
      <c r="J1468" t="str">
        <f>TEXT(Table8[[#This Row],[visit_Date]],"DDDD")</f>
        <v>Tuesday</v>
      </c>
      <c r="K1468" t="str">
        <f>TEXT(Table8[[#This Row],[visit_Date]],"mmmm")</f>
        <v>May</v>
      </c>
      <c r="L1468" t="str">
        <f t="shared" si="45"/>
        <v>Summer</v>
      </c>
    </row>
    <row r="1469" spans="1:12" x14ac:dyDescent="0.25">
      <c r="A1469">
        <v>1468</v>
      </c>
      <c r="B1469">
        <v>1313</v>
      </c>
      <c r="C1469">
        <v>694</v>
      </c>
      <c r="D1469" s="1">
        <v>45694</v>
      </c>
      <c r="E1469" t="s">
        <v>24</v>
      </c>
      <c r="F1469" t="s">
        <v>321</v>
      </c>
      <c r="G1469" t="str">
        <f>_xlfn.XLOOKUP(TRIM(E1470),MedicineInfo!A:A,MedicineInfo!B:B,"Not Found")</f>
        <v>Multivitamin</v>
      </c>
      <c r="H1469" s="1" t="str" cm="1">
        <f t="array" ref="H1469">_xlfn.IFS(
OR(E1469="Type 2 Diabetes",E1469="Essential Hypertension",E1469="Angina Pectoris",E1469="Bronchial Asthma",E1469="Cardiac Arrhythmia"), D1469+30,
OR(E1469="Gastritis",E1469="Osteoarthritis",E1469="Bronchitis",E1469="Iron Deficiency Anemia"), D1469+14,
OR(E1469="Lumbar Strain",E1469="Migraine Headache"), D1469+7,
OR(E1469="Viral Fever",E1469="General Checkup","Routine Health Check"), "",
TRUE,""
)</f>
        <v/>
      </c>
      <c r="I1469" s="1" t="str">
        <f t="shared" si="44"/>
        <v>No Follow-up Required</v>
      </c>
      <c r="J1469" t="str">
        <f>TEXT(Table8[[#This Row],[visit_Date]],"DDDD")</f>
        <v>Thursday</v>
      </c>
      <c r="K1469" t="str">
        <f>TEXT(Table8[[#This Row],[visit_Date]],"mmmm")</f>
        <v>February</v>
      </c>
      <c r="L1469" t="str">
        <f t="shared" si="45"/>
        <v>Winter</v>
      </c>
    </row>
    <row r="1470" spans="1:12" x14ac:dyDescent="0.25">
      <c r="A1470">
        <v>1469</v>
      </c>
      <c r="B1470">
        <v>1105</v>
      </c>
      <c r="C1470">
        <v>432</v>
      </c>
      <c r="D1470" s="1">
        <v>45758</v>
      </c>
      <c r="E1470" t="s">
        <v>24</v>
      </c>
      <c r="F1470" t="s">
        <v>321</v>
      </c>
      <c r="G1470" t="str">
        <f>_xlfn.XLOOKUP(TRIM(E1471),MedicineInfo!A:A,MedicineInfo!B:B,"Not Found")</f>
        <v>Multivitamin</v>
      </c>
      <c r="H1470" s="1" t="str" cm="1">
        <f t="array" ref="H1470">_xlfn.IFS(
OR(E1470="Type 2 Diabetes",E1470="Essential Hypertension",E1470="Angina Pectoris",E1470="Bronchial Asthma",E1470="Cardiac Arrhythmia"), D1470+30,
OR(E1470="Gastritis",E1470="Osteoarthritis",E1470="Bronchitis",E1470="Iron Deficiency Anemia"), D1470+14,
OR(E1470="Lumbar Strain",E1470="Migraine Headache"), D1470+7,
OR(E1470="Viral Fever",E1470="General Checkup","Routine Health Check"), "",
TRUE,""
)</f>
        <v/>
      </c>
      <c r="I1470" s="1" t="str">
        <f t="shared" si="44"/>
        <v>No Follow-up Required</v>
      </c>
      <c r="J1470" t="str">
        <f>TEXT(Table8[[#This Row],[visit_Date]],"DDDD")</f>
        <v>Friday</v>
      </c>
      <c r="K1470" t="str">
        <f>TEXT(Table8[[#This Row],[visit_Date]],"mmmm")</f>
        <v>April</v>
      </c>
      <c r="L1470" t="str">
        <f t="shared" si="45"/>
        <v>Summer</v>
      </c>
    </row>
    <row r="1471" spans="1:12" x14ac:dyDescent="0.25">
      <c r="A1471">
        <v>1470</v>
      </c>
      <c r="B1471">
        <v>1080</v>
      </c>
      <c r="C1471">
        <v>1364</v>
      </c>
      <c r="D1471" s="1">
        <v>45702</v>
      </c>
      <c r="E1471" t="s">
        <v>24</v>
      </c>
      <c r="F1471" t="s">
        <v>321</v>
      </c>
      <c r="G1471" t="str">
        <f>_xlfn.XLOOKUP(TRIM(E1472),MedicineInfo!A:A,MedicineInfo!B:B,"Not Found")</f>
        <v>Levothyroxine</v>
      </c>
      <c r="H1471" s="1" t="str" cm="1">
        <f t="array" ref="H1471">_xlfn.IFS(
OR(E1471="Type 2 Diabetes",E1471="Essential Hypertension",E1471="Angina Pectoris",E1471="Bronchial Asthma",E1471="Cardiac Arrhythmia"), D1471+30,
OR(E1471="Gastritis",E1471="Osteoarthritis",E1471="Bronchitis",E1471="Iron Deficiency Anemia"), D1471+14,
OR(E1471="Lumbar Strain",E1471="Migraine Headache"), D1471+7,
OR(E1471="Viral Fever",E1471="General Checkup","Routine Health Check"), "",
TRUE,""
)</f>
        <v/>
      </c>
      <c r="I1471" s="1" t="str">
        <f t="shared" si="44"/>
        <v>No Follow-up Required</v>
      </c>
      <c r="J1471" t="str">
        <f>TEXT(Table8[[#This Row],[visit_Date]],"DDDD")</f>
        <v>Friday</v>
      </c>
      <c r="K1471" t="str">
        <f>TEXT(Table8[[#This Row],[visit_Date]],"mmmm")</f>
        <v>February</v>
      </c>
      <c r="L1471" t="str">
        <f t="shared" si="45"/>
        <v>Winter</v>
      </c>
    </row>
    <row r="1472" spans="1:12" x14ac:dyDescent="0.25">
      <c r="A1472">
        <v>1471</v>
      </c>
      <c r="B1472">
        <v>1065</v>
      </c>
      <c r="C1472">
        <v>820</v>
      </c>
      <c r="D1472" s="1">
        <v>45691</v>
      </c>
      <c r="E1472" t="s">
        <v>360</v>
      </c>
      <c r="F1472" t="s">
        <v>361</v>
      </c>
      <c r="G1472" t="str">
        <f>_xlfn.XLOOKUP(TRIM(E1473),MedicineInfo!A:A,MedicineInfo!B:B,"Not Found")</f>
        <v>Multivitamin</v>
      </c>
      <c r="H1472" s="1" t="str" cm="1">
        <f t="array" ref="H1472">_xlfn.IFS(
OR(E1472="Type 2 Diabetes",E1472="Essential Hypertension",E1472="Angina Pectoris",E1472="Bronchial Asthma",E1472="Cardiac Arrhythmia"), D1472+30,
OR(E1472="Gastritis",E1472="Osteoarthritis",E1472="Bronchitis",E1472="Iron Deficiency Anemia"), D1472+14,
OR(E1472="Lumbar Strain",E1472="Migraine Headache"), D1472+7,
OR(E1472="Viral Fever",E1472="General Checkup","Routine Health Check"), "",
TRUE,""
)</f>
        <v/>
      </c>
      <c r="I1472" s="1" t="str">
        <f t="shared" si="44"/>
        <v>No Follow-up Required</v>
      </c>
      <c r="J1472" t="str">
        <f>TEXT(Table8[[#This Row],[visit_Date]],"DDDD")</f>
        <v>Monday</v>
      </c>
      <c r="K1472" t="str">
        <f>TEXT(Table8[[#This Row],[visit_Date]],"mmmm")</f>
        <v>February</v>
      </c>
      <c r="L1472" t="str">
        <f t="shared" si="45"/>
        <v>Winter</v>
      </c>
    </row>
    <row r="1473" spans="1:12" x14ac:dyDescent="0.25">
      <c r="A1473">
        <v>1472</v>
      </c>
      <c r="B1473">
        <v>1188</v>
      </c>
      <c r="C1473">
        <v>1253</v>
      </c>
      <c r="D1473" s="1">
        <v>45694</v>
      </c>
      <c r="E1473" t="s">
        <v>24</v>
      </c>
      <c r="F1473" t="s">
        <v>321</v>
      </c>
      <c r="G1473" t="str">
        <f>_xlfn.XLOOKUP(TRIM(E1474),MedicineInfo!A:A,MedicineInfo!B:B,"Not Found")</f>
        <v>Multivitamin</v>
      </c>
      <c r="H1473" s="1" t="str" cm="1">
        <f t="array" ref="H1473">_xlfn.IFS(
OR(E1473="Type 2 Diabetes",E1473="Essential Hypertension",E1473="Angina Pectoris",E1473="Bronchial Asthma",E1473="Cardiac Arrhythmia"), D1473+30,
OR(E1473="Gastritis",E1473="Osteoarthritis",E1473="Bronchitis",E1473="Iron Deficiency Anemia"), D1473+14,
OR(E1473="Lumbar Strain",E1473="Migraine Headache"), D1473+7,
OR(E1473="Viral Fever",E1473="General Checkup","Routine Health Check"), "",
TRUE,""
)</f>
        <v/>
      </c>
      <c r="I1473" s="1" t="str">
        <f t="shared" si="44"/>
        <v>No Follow-up Required</v>
      </c>
      <c r="J1473" t="str">
        <f>TEXT(Table8[[#This Row],[visit_Date]],"DDDD")</f>
        <v>Thursday</v>
      </c>
      <c r="K1473" t="str">
        <f>TEXT(Table8[[#This Row],[visit_Date]],"mmmm")</f>
        <v>February</v>
      </c>
      <c r="L1473" t="str">
        <f t="shared" si="45"/>
        <v>Winter</v>
      </c>
    </row>
    <row r="1474" spans="1:12" x14ac:dyDescent="0.25">
      <c r="A1474">
        <v>1473</v>
      </c>
      <c r="B1474">
        <v>1151</v>
      </c>
      <c r="C1474">
        <v>867</v>
      </c>
      <c r="D1474" s="1">
        <v>45709</v>
      </c>
      <c r="E1474" t="s">
        <v>24</v>
      </c>
      <c r="F1474" t="s">
        <v>321</v>
      </c>
      <c r="G1474" t="str">
        <f>_xlfn.XLOOKUP(TRIM(E1475),MedicineInfo!A:A,MedicineInfo!B:B,"Not Found")</f>
        <v>Multivitamin</v>
      </c>
      <c r="H1474" s="1" t="str" cm="1">
        <f t="array" ref="H1474">_xlfn.IFS(
OR(E1474="Type 2 Diabetes",E1474="Essential Hypertension",E1474="Angina Pectoris",E1474="Bronchial Asthma",E1474="Cardiac Arrhythmia"), D1474+30,
OR(E1474="Gastritis",E1474="Osteoarthritis",E1474="Bronchitis",E1474="Iron Deficiency Anemia"), D1474+14,
OR(E1474="Lumbar Strain",E1474="Migraine Headache"), D1474+7,
OR(E1474="Viral Fever",E1474="General Checkup","Routine Health Check"), "",
TRUE,""
)</f>
        <v/>
      </c>
      <c r="I1474" s="1" t="str">
        <f t="shared" ref="I1474:I1537" si="46">IF(H1474="","No Follow-up Required","Follow-up Scheduled")</f>
        <v>No Follow-up Required</v>
      </c>
      <c r="J1474" t="str">
        <f>TEXT(Table8[[#This Row],[visit_Date]],"DDDD")</f>
        <v>Friday</v>
      </c>
      <c r="K1474" t="str">
        <f>TEXT(Table8[[#This Row],[visit_Date]],"mmmm")</f>
        <v>February</v>
      </c>
      <c r="L1474" t="str">
        <f t="shared" ref="L1474:L1537" si="47">IF(OR(MONTH(D1474)=12,MONTH(D1474)&lt;=2),"Winter",
IF(MONTH(D1474)&lt;=5,"Summer","Monsoon"))</f>
        <v>Winter</v>
      </c>
    </row>
    <row r="1475" spans="1:12" x14ac:dyDescent="0.25">
      <c r="A1475">
        <v>1474</v>
      </c>
      <c r="B1475">
        <v>1086</v>
      </c>
      <c r="C1475">
        <v>865</v>
      </c>
      <c r="D1475" s="1">
        <v>45819</v>
      </c>
      <c r="E1475" t="s">
        <v>24</v>
      </c>
      <c r="F1475" t="s">
        <v>321</v>
      </c>
      <c r="G1475" t="str">
        <f>_xlfn.XLOOKUP(TRIM(E1476),MedicineInfo!A:A,MedicineInfo!B:B,"Not Found")</f>
        <v>Multivitamin</v>
      </c>
      <c r="H1475" s="1" t="str" cm="1">
        <f t="array" ref="H1475">_xlfn.IFS(
OR(E1475="Type 2 Diabetes",E1475="Essential Hypertension",E1475="Angina Pectoris",E1475="Bronchial Asthma",E1475="Cardiac Arrhythmia"), D1475+30,
OR(E1475="Gastritis",E1475="Osteoarthritis",E1475="Bronchitis",E1475="Iron Deficiency Anemia"), D1475+14,
OR(E1475="Lumbar Strain",E1475="Migraine Headache"), D1475+7,
OR(E1475="Viral Fever",E1475="General Checkup","Routine Health Check"), "",
TRUE,""
)</f>
        <v/>
      </c>
      <c r="I1475" s="1" t="str">
        <f t="shared" si="46"/>
        <v>No Follow-up Required</v>
      </c>
      <c r="J1475" t="str">
        <f>TEXT(Table8[[#This Row],[visit_Date]],"DDDD")</f>
        <v>Wednesday</v>
      </c>
      <c r="K1475" t="str">
        <f>TEXT(Table8[[#This Row],[visit_Date]],"mmmm")</f>
        <v>June</v>
      </c>
      <c r="L1475" t="str">
        <f t="shared" si="47"/>
        <v>Monsoon</v>
      </c>
    </row>
    <row r="1476" spans="1:12" x14ac:dyDescent="0.25">
      <c r="A1476">
        <v>1475</v>
      </c>
      <c r="B1476">
        <v>1342</v>
      </c>
      <c r="C1476">
        <v>1465</v>
      </c>
      <c r="D1476" s="1">
        <v>45819</v>
      </c>
      <c r="E1476" t="s">
        <v>24</v>
      </c>
      <c r="F1476" t="s">
        <v>321</v>
      </c>
      <c r="G1476" t="str">
        <f>_xlfn.XLOOKUP(TRIM(E1477),MedicineInfo!A:A,MedicineInfo!B:B,"Not Found")</f>
        <v>Multivitamin</v>
      </c>
      <c r="H1476" s="1" t="str" cm="1">
        <f t="array" ref="H1476">_xlfn.IFS(
OR(E1476="Type 2 Diabetes",E1476="Essential Hypertension",E1476="Angina Pectoris",E1476="Bronchial Asthma",E1476="Cardiac Arrhythmia"), D1476+30,
OR(E1476="Gastritis",E1476="Osteoarthritis",E1476="Bronchitis",E1476="Iron Deficiency Anemia"), D1476+14,
OR(E1476="Lumbar Strain",E1476="Migraine Headache"), D1476+7,
OR(E1476="Viral Fever",E1476="General Checkup","Routine Health Check"), "",
TRUE,""
)</f>
        <v/>
      </c>
      <c r="I1476" s="1" t="str">
        <f t="shared" si="46"/>
        <v>No Follow-up Required</v>
      </c>
      <c r="J1476" t="str">
        <f>TEXT(Table8[[#This Row],[visit_Date]],"DDDD")</f>
        <v>Wednesday</v>
      </c>
      <c r="K1476" t="str">
        <f>TEXT(Table8[[#This Row],[visit_Date]],"mmmm")</f>
        <v>June</v>
      </c>
      <c r="L1476" t="str">
        <f t="shared" si="47"/>
        <v>Monsoon</v>
      </c>
    </row>
    <row r="1477" spans="1:12" x14ac:dyDescent="0.25">
      <c r="A1477">
        <v>1476</v>
      </c>
      <c r="B1477">
        <v>1017</v>
      </c>
      <c r="C1477">
        <v>549</v>
      </c>
      <c r="D1477" s="1">
        <v>45790</v>
      </c>
      <c r="E1477" t="s">
        <v>24</v>
      </c>
      <c r="F1477" t="s">
        <v>321</v>
      </c>
      <c r="G1477" t="str">
        <f>_xlfn.XLOOKUP(TRIM(E1478),MedicineInfo!A:A,MedicineInfo!B:B,"Not Found")</f>
        <v>Levothyroxine</v>
      </c>
      <c r="H1477" s="1" t="str" cm="1">
        <f t="array" ref="H1477">_xlfn.IFS(
OR(E1477="Type 2 Diabetes",E1477="Essential Hypertension",E1477="Angina Pectoris",E1477="Bronchial Asthma",E1477="Cardiac Arrhythmia"), D1477+30,
OR(E1477="Gastritis",E1477="Osteoarthritis",E1477="Bronchitis",E1477="Iron Deficiency Anemia"), D1477+14,
OR(E1477="Lumbar Strain",E1477="Migraine Headache"), D1477+7,
OR(E1477="Viral Fever",E1477="General Checkup","Routine Health Check"), "",
TRUE,""
)</f>
        <v/>
      </c>
      <c r="I1477" s="1" t="str">
        <f t="shared" si="46"/>
        <v>No Follow-up Required</v>
      </c>
      <c r="J1477" t="str">
        <f>TEXT(Table8[[#This Row],[visit_Date]],"DDDD")</f>
        <v>Tuesday</v>
      </c>
      <c r="K1477" t="str">
        <f>TEXT(Table8[[#This Row],[visit_Date]],"mmmm")</f>
        <v>May</v>
      </c>
      <c r="L1477" t="str">
        <f t="shared" si="47"/>
        <v>Summer</v>
      </c>
    </row>
    <row r="1478" spans="1:12" x14ac:dyDescent="0.25">
      <c r="A1478">
        <v>1477</v>
      </c>
      <c r="B1478">
        <v>1269</v>
      </c>
      <c r="C1478">
        <v>867</v>
      </c>
      <c r="D1478" s="1">
        <v>45694</v>
      </c>
      <c r="E1478" t="s">
        <v>360</v>
      </c>
      <c r="F1478" t="s">
        <v>361</v>
      </c>
      <c r="G1478" t="str">
        <f>_xlfn.XLOOKUP(TRIM(E1479),MedicineInfo!A:A,MedicineInfo!B:B,"Not Found")</f>
        <v>Multivitamin</v>
      </c>
      <c r="H1478" s="1" t="str" cm="1">
        <f t="array" ref="H1478">_xlfn.IFS(
OR(E1478="Type 2 Diabetes",E1478="Essential Hypertension",E1478="Angina Pectoris",E1478="Bronchial Asthma",E1478="Cardiac Arrhythmia"), D1478+30,
OR(E1478="Gastritis",E1478="Osteoarthritis",E1478="Bronchitis",E1478="Iron Deficiency Anemia"), D1478+14,
OR(E1478="Lumbar Strain",E1478="Migraine Headache"), D1478+7,
OR(E1478="Viral Fever",E1478="General Checkup","Routine Health Check"), "",
TRUE,""
)</f>
        <v/>
      </c>
      <c r="I1478" s="1" t="str">
        <f t="shared" si="46"/>
        <v>No Follow-up Required</v>
      </c>
      <c r="J1478" t="str">
        <f>TEXT(Table8[[#This Row],[visit_Date]],"DDDD")</f>
        <v>Thursday</v>
      </c>
      <c r="K1478" t="str">
        <f>TEXT(Table8[[#This Row],[visit_Date]],"mmmm")</f>
        <v>February</v>
      </c>
      <c r="L1478" t="str">
        <f t="shared" si="47"/>
        <v>Winter</v>
      </c>
    </row>
    <row r="1479" spans="1:12" x14ac:dyDescent="0.25">
      <c r="A1479">
        <v>1478</v>
      </c>
      <c r="B1479">
        <v>1280</v>
      </c>
      <c r="C1479">
        <v>353</v>
      </c>
      <c r="D1479" s="1">
        <v>45694</v>
      </c>
      <c r="E1479" t="s">
        <v>24</v>
      </c>
      <c r="F1479" t="s">
        <v>321</v>
      </c>
      <c r="G1479" t="str">
        <f>_xlfn.XLOOKUP(TRIM(E1480),MedicineInfo!A:A,MedicineInfo!B:B,"Not Found")</f>
        <v>Multivitamin</v>
      </c>
      <c r="H1479" s="1" t="str" cm="1">
        <f t="array" ref="H1479">_xlfn.IFS(
OR(E1479="Type 2 Diabetes",E1479="Essential Hypertension",E1479="Angina Pectoris",E1479="Bronchial Asthma",E1479="Cardiac Arrhythmia"), D1479+30,
OR(E1479="Gastritis",E1479="Osteoarthritis",E1479="Bronchitis",E1479="Iron Deficiency Anemia"), D1479+14,
OR(E1479="Lumbar Strain",E1479="Migraine Headache"), D1479+7,
OR(E1479="Viral Fever",E1479="General Checkup","Routine Health Check"), "",
TRUE,""
)</f>
        <v/>
      </c>
      <c r="I1479" s="1" t="str">
        <f t="shared" si="46"/>
        <v>No Follow-up Required</v>
      </c>
      <c r="J1479" t="str">
        <f>TEXT(Table8[[#This Row],[visit_Date]],"DDDD")</f>
        <v>Thursday</v>
      </c>
      <c r="K1479" t="str">
        <f>TEXT(Table8[[#This Row],[visit_Date]],"mmmm")</f>
        <v>February</v>
      </c>
      <c r="L1479" t="str">
        <f t="shared" si="47"/>
        <v>Winter</v>
      </c>
    </row>
    <row r="1480" spans="1:12" x14ac:dyDescent="0.25">
      <c r="A1480">
        <v>1479</v>
      </c>
      <c r="B1480">
        <v>1270</v>
      </c>
      <c r="C1480">
        <v>1093</v>
      </c>
      <c r="D1480" s="1">
        <v>45827</v>
      </c>
      <c r="E1480" t="s">
        <v>24</v>
      </c>
      <c r="F1480" t="s">
        <v>321</v>
      </c>
      <c r="G1480" t="str">
        <f>_xlfn.XLOOKUP(TRIM(E1481),MedicineInfo!A:A,MedicineInfo!B:B,"Not Found")</f>
        <v>Neuro Vitamins</v>
      </c>
      <c r="H1480" s="1" t="str" cm="1">
        <f t="array" ref="H1480">_xlfn.IFS(
OR(E1480="Type 2 Diabetes",E1480="Essential Hypertension",E1480="Angina Pectoris",E1480="Bronchial Asthma",E1480="Cardiac Arrhythmia"), D1480+30,
OR(E1480="Gastritis",E1480="Osteoarthritis",E1480="Bronchitis",E1480="Iron Deficiency Anemia"), D1480+14,
OR(E1480="Lumbar Strain",E1480="Migraine Headache"), D1480+7,
OR(E1480="Viral Fever",E1480="General Checkup","Routine Health Check"), "",
TRUE,""
)</f>
        <v/>
      </c>
      <c r="I1480" s="1" t="str">
        <f t="shared" si="46"/>
        <v>No Follow-up Required</v>
      </c>
      <c r="J1480" t="str">
        <f>TEXT(Table8[[#This Row],[visit_Date]],"DDDD")</f>
        <v>Thursday</v>
      </c>
      <c r="K1480" t="str">
        <f>TEXT(Table8[[#This Row],[visit_Date]],"mmmm")</f>
        <v>June</v>
      </c>
      <c r="L1480" t="str">
        <f t="shared" si="47"/>
        <v>Monsoon</v>
      </c>
    </row>
    <row r="1481" spans="1:12" x14ac:dyDescent="0.25">
      <c r="A1481">
        <v>1480</v>
      </c>
      <c r="B1481">
        <v>1066</v>
      </c>
      <c r="C1481">
        <v>638</v>
      </c>
      <c r="D1481" s="1">
        <v>45814</v>
      </c>
      <c r="E1481" t="s">
        <v>342</v>
      </c>
      <c r="F1481" t="s">
        <v>343</v>
      </c>
      <c r="G1481" t="str">
        <f>_xlfn.XLOOKUP(TRIM(E1482),MedicineInfo!A:A,MedicineInfo!B:B,"Not Found")</f>
        <v>Multivitamin</v>
      </c>
      <c r="H1481" s="1" t="str" cm="1">
        <f t="array" ref="H1481">_xlfn.IFS(
OR(E1481="Type 2 Diabetes",E1481="Essential Hypertension",E1481="Angina Pectoris",E1481="Bronchial Asthma",E1481="Cardiac Arrhythmia"), D1481+30,
OR(E1481="Gastritis",E1481="Osteoarthritis",E1481="Bronchitis",E1481="Iron Deficiency Anemia"), D1481+14,
OR(E1481="Lumbar Strain",E1481="Migraine Headache"), D1481+7,
OR(E1481="Viral Fever",E1481="General Checkup","Routine Health Check"), "",
TRUE,""
)</f>
        <v/>
      </c>
      <c r="I1481" s="1" t="str">
        <f t="shared" si="46"/>
        <v>No Follow-up Required</v>
      </c>
      <c r="J1481" t="str">
        <f>TEXT(Table8[[#This Row],[visit_Date]],"DDDD")</f>
        <v>Friday</v>
      </c>
      <c r="K1481" t="str">
        <f>TEXT(Table8[[#This Row],[visit_Date]],"mmmm")</f>
        <v>June</v>
      </c>
      <c r="L1481" t="str">
        <f t="shared" si="47"/>
        <v>Monsoon</v>
      </c>
    </row>
    <row r="1482" spans="1:12" x14ac:dyDescent="0.25">
      <c r="A1482">
        <v>1481</v>
      </c>
      <c r="B1482">
        <v>1041</v>
      </c>
      <c r="C1482">
        <v>312</v>
      </c>
      <c r="D1482" s="1">
        <v>45758</v>
      </c>
      <c r="E1482" t="s">
        <v>24</v>
      </c>
      <c r="F1482" t="s">
        <v>321</v>
      </c>
      <c r="G1482" t="str">
        <f>_xlfn.XLOOKUP(TRIM(E1483),MedicineInfo!A:A,MedicineInfo!B:B,"Not Found")</f>
        <v>Multivitamin</v>
      </c>
      <c r="H1482" s="1" t="str" cm="1">
        <f t="array" ref="H1482">_xlfn.IFS(
OR(E1482="Type 2 Diabetes",E1482="Essential Hypertension",E1482="Angina Pectoris",E1482="Bronchial Asthma",E1482="Cardiac Arrhythmia"), D1482+30,
OR(E1482="Gastritis",E1482="Osteoarthritis",E1482="Bronchitis",E1482="Iron Deficiency Anemia"), D1482+14,
OR(E1482="Lumbar Strain",E1482="Migraine Headache"), D1482+7,
OR(E1482="Viral Fever",E1482="General Checkup","Routine Health Check"), "",
TRUE,""
)</f>
        <v/>
      </c>
      <c r="I1482" s="1" t="str">
        <f t="shared" si="46"/>
        <v>No Follow-up Required</v>
      </c>
      <c r="J1482" t="str">
        <f>TEXT(Table8[[#This Row],[visit_Date]],"DDDD")</f>
        <v>Friday</v>
      </c>
      <c r="K1482" t="str">
        <f>TEXT(Table8[[#This Row],[visit_Date]],"mmmm")</f>
        <v>April</v>
      </c>
      <c r="L1482" t="str">
        <f t="shared" si="47"/>
        <v>Summer</v>
      </c>
    </row>
    <row r="1483" spans="1:12" x14ac:dyDescent="0.25">
      <c r="A1483">
        <v>1482</v>
      </c>
      <c r="B1483">
        <v>1355</v>
      </c>
      <c r="C1483">
        <v>178</v>
      </c>
      <c r="D1483" s="1">
        <v>45822</v>
      </c>
      <c r="E1483" t="s">
        <v>24</v>
      </c>
      <c r="F1483" t="s">
        <v>321</v>
      </c>
      <c r="G1483" t="str">
        <f>_xlfn.XLOOKUP(TRIM(E1484),MedicineInfo!A:A,MedicineInfo!B:B,"Not Found")</f>
        <v>Neuro Vitamins</v>
      </c>
      <c r="H1483" s="1" t="str" cm="1">
        <f t="array" ref="H1483">_xlfn.IFS(
OR(E1483="Type 2 Diabetes",E1483="Essential Hypertension",E1483="Angina Pectoris",E1483="Bronchial Asthma",E1483="Cardiac Arrhythmia"), D1483+30,
OR(E1483="Gastritis",E1483="Osteoarthritis",E1483="Bronchitis",E1483="Iron Deficiency Anemia"), D1483+14,
OR(E1483="Lumbar Strain",E1483="Migraine Headache"), D1483+7,
OR(E1483="Viral Fever",E1483="General Checkup","Routine Health Check"), "",
TRUE,""
)</f>
        <v/>
      </c>
      <c r="I1483" s="1" t="str">
        <f t="shared" si="46"/>
        <v>No Follow-up Required</v>
      </c>
      <c r="J1483" t="str">
        <f>TEXT(Table8[[#This Row],[visit_Date]],"DDDD")</f>
        <v>Saturday</v>
      </c>
      <c r="K1483" t="str">
        <f>TEXT(Table8[[#This Row],[visit_Date]],"mmmm")</f>
        <v>June</v>
      </c>
      <c r="L1483" t="str">
        <f t="shared" si="47"/>
        <v>Monsoon</v>
      </c>
    </row>
    <row r="1484" spans="1:12" x14ac:dyDescent="0.25">
      <c r="A1484">
        <v>1483</v>
      </c>
      <c r="B1484">
        <v>1355</v>
      </c>
      <c r="C1484">
        <v>316</v>
      </c>
      <c r="D1484" s="1">
        <v>45783</v>
      </c>
      <c r="E1484" t="s">
        <v>342</v>
      </c>
      <c r="F1484" t="s">
        <v>343</v>
      </c>
      <c r="G1484" t="str">
        <f>_xlfn.XLOOKUP(TRIM(E1485),MedicineInfo!A:A,MedicineInfo!B:B,"Not Found")</f>
        <v>Multivitamin</v>
      </c>
      <c r="H1484" s="1" t="str" cm="1">
        <f t="array" ref="H1484">_xlfn.IFS(
OR(E1484="Type 2 Diabetes",E1484="Essential Hypertension",E1484="Angina Pectoris",E1484="Bronchial Asthma",E1484="Cardiac Arrhythmia"), D1484+30,
OR(E1484="Gastritis",E1484="Osteoarthritis",E1484="Bronchitis",E1484="Iron Deficiency Anemia"), D1484+14,
OR(E1484="Lumbar Strain",E1484="Migraine Headache"), D1484+7,
OR(E1484="Viral Fever",E1484="General Checkup","Routine Health Check"), "",
TRUE,""
)</f>
        <v/>
      </c>
      <c r="I1484" s="1" t="str">
        <f t="shared" si="46"/>
        <v>No Follow-up Required</v>
      </c>
      <c r="J1484" t="str">
        <f>TEXT(Table8[[#This Row],[visit_Date]],"DDDD")</f>
        <v>Tuesday</v>
      </c>
      <c r="K1484" t="str">
        <f>TEXT(Table8[[#This Row],[visit_Date]],"mmmm")</f>
        <v>May</v>
      </c>
      <c r="L1484" t="str">
        <f t="shared" si="47"/>
        <v>Summer</v>
      </c>
    </row>
    <row r="1485" spans="1:12" x14ac:dyDescent="0.25">
      <c r="A1485">
        <v>1484</v>
      </c>
      <c r="B1485">
        <v>1219</v>
      </c>
      <c r="C1485">
        <v>1190</v>
      </c>
      <c r="D1485" s="1">
        <v>45792</v>
      </c>
      <c r="E1485" t="s">
        <v>24</v>
      </c>
      <c r="F1485" t="s">
        <v>321</v>
      </c>
      <c r="G1485" t="str">
        <f>_xlfn.XLOOKUP(TRIM(E1486),MedicineInfo!A:A,MedicineInfo!B:B,"Not Found")</f>
        <v>Multivitamin</v>
      </c>
      <c r="H1485" s="1" t="str" cm="1">
        <f t="array" ref="H1485">_xlfn.IFS(
OR(E1485="Type 2 Diabetes",E1485="Essential Hypertension",E1485="Angina Pectoris",E1485="Bronchial Asthma",E1485="Cardiac Arrhythmia"), D1485+30,
OR(E1485="Gastritis",E1485="Osteoarthritis",E1485="Bronchitis",E1485="Iron Deficiency Anemia"), D1485+14,
OR(E1485="Lumbar Strain",E1485="Migraine Headache"), D1485+7,
OR(E1485="Viral Fever",E1485="General Checkup","Routine Health Check"), "",
TRUE,""
)</f>
        <v/>
      </c>
      <c r="I1485" s="1" t="str">
        <f t="shared" si="46"/>
        <v>No Follow-up Required</v>
      </c>
      <c r="J1485" t="str">
        <f>TEXT(Table8[[#This Row],[visit_Date]],"DDDD")</f>
        <v>Thursday</v>
      </c>
      <c r="K1485" t="str">
        <f>TEXT(Table8[[#This Row],[visit_Date]],"mmmm")</f>
        <v>May</v>
      </c>
      <c r="L1485" t="str">
        <f t="shared" si="47"/>
        <v>Summer</v>
      </c>
    </row>
    <row r="1486" spans="1:12" x14ac:dyDescent="0.25">
      <c r="A1486">
        <v>1485</v>
      </c>
      <c r="B1486">
        <v>1274</v>
      </c>
      <c r="C1486">
        <v>1595</v>
      </c>
      <c r="D1486" s="1">
        <v>45747</v>
      </c>
      <c r="E1486" t="s">
        <v>24</v>
      </c>
      <c r="F1486" t="s">
        <v>321</v>
      </c>
      <c r="G1486" t="str">
        <f>_xlfn.XLOOKUP(TRIM(E1487),MedicineInfo!A:A,MedicineInfo!B:B,"Not Found")</f>
        <v>Multivitamin</v>
      </c>
      <c r="H1486" s="1" t="str" cm="1">
        <f t="array" ref="H1486">_xlfn.IFS(
OR(E1486="Type 2 Diabetes",E1486="Essential Hypertension",E1486="Angina Pectoris",E1486="Bronchial Asthma",E1486="Cardiac Arrhythmia"), D1486+30,
OR(E1486="Gastritis",E1486="Osteoarthritis",E1486="Bronchitis",E1486="Iron Deficiency Anemia"), D1486+14,
OR(E1486="Lumbar Strain",E1486="Migraine Headache"), D1486+7,
OR(E1486="Viral Fever",E1486="General Checkup","Routine Health Check"), "",
TRUE,""
)</f>
        <v/>
      </c>
      <c r="I1486" s="1" t="str">
        <f t="shared" si="46"/>
        <v>No Follow-up Required</v>
      </c>
      <c r="J1486" t="str">
        <f>TEXT(Table8[[#This Row],[visit_Date]],"DDDD")</f>
        <v>Monday</v>
      </c>
      <c r="K1486" t="str">
        <f>TEXT(Table8[[#This Row],[visit_Date]],"mmmm")</f>
        <v>March</v>
      </c>
      <c r="L1486" t="str">
        <f t="shared" si="47"/>
        <v>Summer</v>
      </c>
    </row>
    <row r="1487" spans="1:12" x14ac:dyDescent="0.25">
      <c r="A1487">
        <v>1486</v>
      </c>
      <c r="B1487">
        <v>1336</v>
      </c>
      <c r="C1487">
        <v>420</v>
      </c>
      <c r="D1487" s="1">
        <v>45792</v>
      </c>
      <c r="E1487" t="s">
        <v>24</v>
      </c>
      <c r="F1487" t="s">
        <v>321</v>
      </c>
      <c r="G1487" t="str">
        <f>_xlfn.XLOOKUP(TRIM(E1488),MedicineInfo!A:A,MedicineInfo!B:B,"Not Found")</f>
        <v>Multivitamin</v>
      </c>
      <c r="H1487" s="1" t="str" cm="1">
        <f t="array" ref="H1487">_xlfn.IFS(
OR(E1487="Type 2 Diabetes",E1487="Essential Hypertension",E1487="Angina Pectoris",E1487="Bronchial Asthma",E1487="Cardiac Arrhythmia"), D1487+30,
OR(E1487="Gastritis",E1487="Osteoarthritis",E1487="Bronchitis",E1487="Iron Deficiency Anemia"), D1487+14,
OR(E1487="Lumbar Strain",E1487="Migraine Headache"), D1487+7,
OR(E1487="Viral Fever",E1487="General Checkup","Routine Health Check"), "",
TRUE,""
)</f>
        <v/>
      </c>
      <c r="I1487" s="1" t="str">
        <f t="shared" si="46"/>
        <v>No Follow-up Required</v>
      </c>
      <c r="J1487" t="str">
        <f>TEXT(Table8[[#This Row],[visit_Date]],"DDDD")</f>
        <v>Thursday</v>
      </c>
      <c r="K1487" t="str">
        <f>TEXT(Table8[[#This Row],[visit_Date]],"mmmm")</f>
        <v>May</v>
      </c>
      <c r="L1487" t="str">
        <f t="shared" si="47"/>
        <v>Summer</v>
      </c>
    </row>
    <row r="1488" spans="1:12" x14ac:dyDescent="0.25">
      <c r="A1488">
        <v>1487</v>
      </c>
      <c r="B1488">
        <v>1135</v>
      </c>
      <c r="C1488">
        <v>969</v>
      </c>
      <c r="D1488" s="1">
        <v>45845</v>
      </c>
      <c r="E1488" t="s">
        <v>24</v>
      </c>
      <c r="F1488" t="s">
        <v>321</v>
      </c>
      <c r="G1488" t="str">
        <f>_xlfn.XLOOKUP(TRIM(E1489),MedicineInfo!A:A,MedicineInfo!B:B,"Not Found")</f>
        <v>Multivitamin</v>
      </c>
      <c r="H1488" s="1" t="str" cm="1">
        <f t="array" ref="H1488">_xlfn.IFS(
OR(E1488="Type 2 Diabetes",E1488="Essential Hypertension",E1488="Angina Pectoris",E1488="Bronchial Asthma",E1488="Cardiac Arrhythmia"), D1488+30,
OR(E1488="Gastritis",E1488="Osteoarthritis",E1488="Bronchitis",E1488="Iron Deficiency Anemia"), D1488+14,
OR(E1488="Lumbar Strain",E1488="Migraine Headache"), D1488+7,
OR(E1488="Viral Fever",E1488="General Checkup","Routine Health Check"), "",
TRUE,""
)</f>
        <v/>
      </c>
      <c r="I1488" s="1" t="str">
        <f t="shared" si="46"/>
        <v>No Follow-up Required</v>
      </c>
      <c r="J1488" t="str">
        <f>TEXT(Table8[[#This Row],[visit_Date]],"DDDD")</f>
        <v>Monday</v>
      </c>
      <c r="K1488" t="str">
        <f>TEXT(Table8[[#This Row],[visit_Date]],"mmmm")</f>
        <v>July</v>
      </c>
      <c r="L1488" t="str">
        <f t="shared" si="47"/>
        <v>Monsoon</v>
      </c>
    </row>
    <row r="1489" spans="1:12" x14ac:dyDescent="0.25">
      <c r="A1489">
        <v>1488</v>
      </c>
      <c r="B1489">
        <v>1027</v>
      </c>
      <c r="C1489">
        <v>1442</v>
      </c>
      <c r="D1489" s="1">
        <v>45767</v>
      </c>
      <c r="E1489" t="s">
        <v>24</v>
      </c>
      <c r="F1489" t="s">
        <v>321</v>
      </c>
      <c r="G1489" t="str">
        <f>_xlfn.XLOOKUP(TRIM(E1490),MedicineInfo!A:A,MedicineInfo!B:B,"Not Found")</f>
        <v>Levothyroxine</v>
      </c>
      <c r="H1489" s="1" t="str" cm="1">
        <f t="array" ref="H1489">_xlfn.IFS(
OR(E1489="Type 2 Diabetes",E1489="Essential Hypertension",E1489="Angina Pectoris",E1489="Bronchial Asthma",E1489="Cardiac Arrhythmia"), D1489+30,
OR(E1489="Gastritis",E1489="Osteoarthritis",E1489="Bronchitis",E1489="Iron Deficiency Anemia"), D1489+14,
OR(E1489="Lumbar Strain",E1489="Migraine Headache"), D1489+7,
OR(E1489="Viral Fever",E1489="General Checkup","Routine Health Check"), "",
TRUE,""
)</f>
        <v/>
      </c>
      <c r="I1489" s="1" t="str">
        <f t="shared" si="46"/>
        <v>No Follow-up Required</v>
      </c>
      <c r="J1489" t="str">
        <f>TEXT(Table8[[#This Row],[visit_Date]],"DDDD")</f>
        <v>Sunday</v>
      </c>
      <c r="K1489" t="str">
        <f>TEXT(Table8[[#This Row],[visit_Date]],"mmmm")</f>
        <v>April</v>
      </c>
      <c r="L1489" t="str">
        <f t="shared" si="47"/>
        <v>Summer</v>
      </c>
    </row>
    <row r="1490" spans="1:12" x14ac:dyDescent="0.25">
      <c r="A1490">
        <v>1489</v>
      </c>
      <c r="B1490">
        <v>1333</v>
      </c>
      <c r="C1490">
        <v>1222</v>
      </c>
      <c r="D1490" s="1">
        <v>45758</v>
      </c>
      <c r="E1490" t="s">
        <v>360</v>
      </c>
      <c r="F1490" t="s">
        <v>361</v>
      </c>
      <c r="G1490" t="str">
        <f>_xlfn.XLOOKUP(TRIM(E1491),MedicineInfo!A:A,MedicineInfo!B:B,"Not Found")</f>
        <v>Hydrocortisone Cream</v>
      </c>
      <c r="H1490" s="1" t="str" cm="1">
        <f t="array" ref="H1490">_xlfn.IFS(
OR(E1490="Type 2 Diabetes",E1490="Essential Hypertension",E1490="Angina Pectoris",E1490="Bronchial Asthma",E1490="Cardiac Arrhythmia"), D1490+30,
OR(E1490="Gastritis",E1490="Osteoarthritis",E1490="Bronchitis",E1490="Iron Deficiency Anemia"), D1490+14,
OR(E1490="Lumbar Strain",E1490="Migraine Headache"), D1490+7,
OR(E1490="Viral Fever",E1490="General Checkup","Routine Health Check"), "",
TRUE,""
)</f>
        <v/>
      </c>
      <c r="I1490" s="1" t="str">
        <f t="shared" si="46"/>
        <v>No Follow-up Required</v>
      </c>
      <c r="J1490" t="str">
        <f>TEXT(Table8[[#This Row],[visit_Date]],"DDDD")</f>
        <v>Friday</v>
      </c>
      <c r="K1490" t="str">
        <f>TEXT(Table8[[#This Row],[visit_Date]],"mmmm")</f>
        <v>April</v>
      </c>
      <c r="L1490" t="str">
        <f t="shared" si="47"/>
        <v>Summer</v>
      </c>
    </row>
    <row r="1491" spans="1:12" x14ac:dyDescent="0.25">
      <c r="A1491">
        <v>1490</v>
      </c>
      <c r="B1491">
        <v>1206</v>
      </c>
      <c r="C1491">
        <v>235</v>
      </c>
      <c r="D1491" s="1">
        <v>45782</v>
      </c>
      <c r="E1491" t="s">
        <v>338</v>
      </c>
      <c r="F1491" t="s">
        <v>339</v>
      </c>
      <c r="G1491" t="str">
        <f>_xlfn.XLOOKUP(TRIM(E1492),MedicineInfo!A:A,MedicineInfo!B:B,"Not Found")</f>
        <v>Multivitamin</v>
      </c>
      <c r="H1491" s="1" t="str" cm="1">
        <f t="array" ref="H1491">_xlfn.IFS(
OR(E1491="Type 2 Diabetes",E1491="Essential Hypertension",E1491="Angina Pectoris",E1491="Bronchial Asthma",E1491="Cardiac Arrhythmia"), D1491+30,
OR(E1491="Gastritis",E1491="Osteoarthritis",E1491="Bronchitis",E1491="Iron Deficiency Anemia"), D1491+14,
OR(E1491="Lumbar Strain",E1491="Migraine Headache"), D1491+7,
OR(E1491="Viral Fever",E1491="General Checkup","Routine Health Check"), "",
TRUE,""
)</f>
        <v/>
      </c>
      <c r="I1491" s="1" t="str">
        <f t="shared" si="46"/>
        <v>No Follow-up Required</v>
      </c>
      <c r="J1491" t="str">
        <f>TEXT(Table8[[#This Row],[visit_Date]],"DDDD")</f>
        <v>Monday</v>
      </c>
      <c r="K1491" t="str">
        <f>TEXT(Table8[[#This Row],[visit_Date]],"mmmm")</f>
        <v>May</v>
      </c>
      <c r="L1491" t="str">
        <f t="shared" si="47"/>
        <v>Summer</v>
      </c>
    </row>
    <row r="1492" spans="1:12" x14ac:dyDescent="0.25">
      <c r="A1492">
        <v>1491</v>
      </c>
      <c r="B1492">
        <v>1249</v>
      </c>
      <c r="C1492">
        <v>365</v>
      </c>
      <c r="D1492" s="1">
        <v>45799</v>
      </c>
      <c r="E1492" t="s">
        <v>24</v>
      </c>
      <c r="F1492" t="s">
        <v>321</v>
      </c>
      <c r="G1492" t="str">
        <f>_xlfn.XLOOKUP(TRIM(E1493),MedicineInfo!A:A,MedicineInfo!B:B,"Not Found")</f>
        <v>Multivitamin</v>
      </c>
      <c r="H1492" s="1" t="str" cm="1">
        <f t="array" ref="H1492">_xlfn.IFS(
OR(E1492="Type 2 Diabetes",E1492="Essential Hypertension",E1492="Angina Pectoris",E1492="Bronchial Asthma",E1492="Cardiac Arrhythmia"), D1492+30,
OR(E1492="Gastritis",E1492="Osteoarthritis",E1492="Bronchitis",E1492="Iron Deficiency Anemia"), D1492+14,
OR(E1492="Lumbar Strain",E1492="Migraine Headache"), D1492+7,
OR(E1492="Viral Fever",E1492="General Checkup","Routine Health Check"), "",
TRUE,""
)</f>
        <v/>
      </c>
      <c r="I1492" s="1" t="str">
        <f t="shared" si="46"/>
        <v>No Follow-up Required</v>
      </c>
      <c r="J1492" t="str">
        <f>TEXT(Table8[[#This Row],[visit_Date]],"DDDD")</f>
        <v>Thursday</v>
      </c>
      <c r="K1492" t="str">
        <f>TEXT(Table8[[#This Row],[visit_Date]],"mmmm")</f>
        <v>May</v>
      </c>
      <c r="L1492" t="str">
        <f t="shared" si="47"/>
        <v>Summer</v>
      </c>
    </row>
    <row r="1493" spans="1:12" x14ac:dyDescent="0.25">
      <c r="A1493">
        <v>1492</v>
      </c>
      <c r="B1493">
        <v>1365</v>
      </c>
      <c r="C1493">
        <v>175</v>
      </c>
      <c r="D1493" s="1">
        <v>45851</v>
      </c>
      <c r="E1493" t="s">
        <v>24</v>
      </c>
      <c r="F1493" t="s">
        <v>321</v>
      </c>
      <c r="G1493" t="str">
        <f>_xlfn.XLOOKUP(TRIM(E1494),MedicineInfo!A:A,MedicineInfo!B:B,"Not Found")</f>
        <v>Amlodipine</v>
      </c>
      <c r="H1493" s="1" t="str" cm="1">
        <f t="array" ref="H1493">_xlfn.IFS(
OR(E1493="Type 2 Diabetes",E1493="Essential Hypertension",E1493="Angina Pectoris",E1493="Bronchial Asthma",E1493="Cardiac Arrhythmia"), D1493+30,
OR(E1493="Gastritis",E1493="Osteoarthritis",E1493="Bronchitis",E1493="Iron Deficiency Anemia"), D1493+14,
OR(E1493="Lumbar Strain",E1493="Migraine Headache"), D1493+7,
OR(E1493="Viral Fever",E1493="General Checkup","Routine Health Check"), "",
TRUE,""
)</f>
        <v/>
      </c>
      <c r="I1493" s="1" t="str">
        <f t="shared" si="46"/>
        <v>No Follow-up Required</v>
      </c>
      <c r="J1493" t="str">
        <f>TEXT(Table8[[#This Row],[visit_Date]],"DDDD")</f>
        <v>Sunday</v>
      </c>
      <c r="K1493" t="str">
        <f>TEXT(Table8[[#This Row],[visit_Date]],"mmmm")</f>
        <v>July</v>
      </c>
      <c r="L1493" t="str">
        <f t="shared" si="47"/>
        <v>Monsoon</v>
      </c>
    </row>
    <row r="1494" spans="1:12" x14ac:dyDescent="0.25">
      <c r="A1494">
        <v>1493</v>
      </c>
      <c r="B1494">
        <v>1087</v>
      </c>
      <c r="C1494">
        <v>741</v>
      </c>
      <c r="D1494" s="1">
        <v>45850</v>
      </c>
      <c r="E1494" t="s">
        <v>319</v>
      </c>
      <c r="F1494" t="s">
        <v>320</v>
      </c>
      <c r="G1494" t="str">
        <f>_xlfn.XLOOKUP(TRIM(E1495),MedicineInfo!A:A,MedicineInfo!B:B,"Not Found")</f>
        <v>Multivitamin</v>
      </c>
      <c r="H1494" s="1" cm="1">
        <f t="array" ref="H1494">_xlfn.IFS(
OR(E1494="Type 2 Diabetes",E1494="Essential Hypertension",E1494="Angina Pectoris",E1494="Bronchial Asthma",E1494="Cardiac Arrhythmia"), D1494+30,
OR(E1494="Gastritis",E1494="Osteoarthritis",E1494="Bronchitis",E1494="Iron Deficiency Anemia"), D1494+14,
OR(E1494="Lumbar Strain",E1494="Migraine Headache"), D1494+7,
OR(E1494="Viral Fever",E1494="General Checkup","Routine Health Check"), "",
TRUE,""
)</f>
        <v>45880</v>
      </c>
      <c r="I1494" s="1" t="str">
        <f t="shared" si="46"/>
        <v>Follow-up Scheduled</v>
      </c>
      <c r="J1494" t="str">
        <f>TEXT(Table8[[#This Row],[visit_Date]],"DDDD")</f>
        <v>Saturday</v>
      </c>
      <c r="K1494" t="str">
        <f>TEXT(Table8[[#This Row],[visit_Date]],"mmmm")</f>
        <v>July</v>
      </c>
      <c r="L1494" t="str">
        <f t="shared" si="47"/>
        <v>Monsoon</v>
      </c>
    </row>
    <row r="1495" spans="1:12" x14ac:dyDescent="0.25">
      <c r="A1495">
        <v>1494</v>
      </c>
      <c r="B1495">
        <v>1147</v>
      </c>
      <c r="C1495">
        <v>995</v>
      </c>
      <c r="D1495" s="1">
        <v>45686</v>
      </c>
      <c r="E1495" t="s">
        <v>24</v>
      </c>
      <c r="F1495" t="s">
        <v>321</v>
      </c>
      <c r="G1495" t="str">
        <f>_xlfn.XLOOKUP(TRIM(E1496),MedicineInfo!A:A,MedicineInfo!B:B,"Not Found")</f>
        <v>Multivitamin</v>
      </c>
      <c r="H1495" s="1" t="str" cm="1">
        <f t="array" ref="H1495">_xlfn.IFS(
OR(E1495="Type 2 Diabetes",E1495="Essential Hypertension",E1495="Angina Pectoris",E1495="Bronchial Asthma",E1495="Cardiac Arrhythmia"), D1495+30,
OR(E1495="Gastritis",E1495="Osteoarthritis",E1495="Bronchitis",E1495="Iron Deficiency Anemia"), D1495+14,
OR(E1495="Lumbar Strain",E1495="Migraine Headache"), D1495+7,
OR(E1495="Viral Fever",E1495="General Checkup","Routine Health Check"), "",
TRUE,""
)</f>
        <v/>
      </c>
      <c r="I1495" s="1" t="str">
        <f t="shared" si="46"/>
        <v>No Follow-up Required</v>
      </c>
      <c r="J1495" t="str">
        <f>TEXT(Table8[[#This Row],[visit_Date]],"DDDD")</f>
        <v>Wednesday</v>
      </c>
      <c r="K1495" t="str">
        <f>TEXT(Table8[[#This Row],[visit_Date]],"mmmm")</f>
        <v>January</v>
      </c>
      <c r="L1495" t="str">
        <f t="shared" si="47"/>
        <v>Winter</v>
      </c>
    </row>
    <row r="1496" spans="1:12" x14ac:dyDescent="0.25">
      <c r="A1496">
        <v>1495</v>
      </c>
      <c r="B1496">
        <v>1104</v>
      </c>
      <c r="C1496">
        <v>357</v>
      </c>
      <c r="D1496" s="1">
        <v>45814</v>
      </c>
      <c r="E1496" t="s">
        <v>24</v>
      </c>
      <c r="F1496" t="s">
        <v>321</v>
      </c>
      <c r="G1496" t="str">
        <f>_xlfn.XLOOKUP(TRIM(E1497),MedicineInfo!A:A,MedicineInfo!B:B,"Not Found")</f>
        <v>Multivitamin</v>
      </c>
      <c r="H1496" s="1" t="str" cm="1">
        <f t="array" ref="H1496">_xlfn.IFS(
OR(E1496="Type 2 Diabetes",E1496="Essential Hypertension",E1496="Angina Pectoris",E1496="Bronchial Asthma",E1496="Cardiac Arrhythmia"), D1496+30,
OR(E1496="Gastritis",E1496="Osteoarthritis",E1496="Bronchitis",E1496="Iron Deficiency Anemia"), D1496+14,
OR(E1496="Lumbar Strain",E1496="Migraine Headache"), D1496+7,
OR(E1496="Viral Fever",E1496="General Checkup","Routine Health Check"), "",
TRUE,""
)</f>
        <v/>
      </c>
      <c r="I1496" s="1" t="str">
        <f t="shared" si="46"/>
        <v>No Follow-up Required</v>
      </c>
      <c r="J1496" t="str">
        <f>TEXT(Table8[[#This Row],[visit_Date]],"DDDD")</f>
        <v>Friday</v>
      </c>
      <c r="K1496" t="str">
        <f>TEXT(Table8[[#This Row],[visit_Date]],"mmmm")</f>
        <v>June</v>
      </c>
      <c r="L1496" t="str">
        <f t="shared" si="47"/>
        <v>Monsoon</v>
      </c>
    </row>
    <row r="1497" spans="1:12" x14ac:dyDescent="0.25">
      <c r="A1497">
        <v>1496</v>
      </c>
      <c r="B1497">
        <v>1323</v>
      </c>
      <c r="C1497">
        <v>1555</v>
      </c>
      <c r="D1497" s="1">
        <v>45739</v>
      </c>
      <c r="E1497" t="s">
        <v>24</v>
      </c>
      <c r="F1497" t="s">
        <v>321</v>
      </c>
      <c r="G1497" t="str">
        <f>_xlfn.XLOOKUP(TRIM(E1498),MedicineInfo!A:A,MedicineInfo!B:B,"Not Found")</f>
        <v>Multivitamin</v>
      </c>
      <c r="H1497" s="1" t="str" cm="1">
        <f t="array" ref="H1497">_xlfn.IFS(
OR(E1497="Type 2 Diabetes",E1497="Essential Hypertension",E1497="Angina Pectoris",E1497="Bronchial Asthma",E1497="Cardiac Arrhythmia"), D1497+30,
OR(E1497="Gastritis",E1497="Osteoarthritis",E1497="Bronchitis",E1497="Iron Deficiency Anemia"), D1497+14,
OR(E1497="Lumbar Strain",E1497="Migraine Headache"), D1497+7,
OR(E1497="Viral Fever",E1497="General Checkup","Routine Health Check"), "",
TRUE,""
)</f>
        <v/>
      </c>
      <c r="I1497" s="1" t="str">
        <f t="shared" si="46"/>
        <v>No Follow-up Required</v>
      </c>
      <c r="J1497" t="str">
        <f>TEXT(Table8[[#This Row],[visit_Date]],"DDDD")</f>
        <v>Sunday</v>
      </c>
      <c r="K1497" t="str">
        <f>TEXT(Table8[[#This Row],[visit_Date]],"mmmm")</f>
        <v>March</v>
      </c>
      <c r="L1497" t="str">
        <f t="shared" si="47"/>
        <v>Summer</v>
      </c>
    </row>
    <row r="1498" spans="1:12" x14ac:dyDescent="0.25">
      <c r="A1498">
        <v>1497</v>
      </c>
      <c r="B1498">
        <v>1237</v>
      </c>
      <c r="C1498">
        <v>1074</v>
      </c>
      <c r="D1498" s="1">
        <v>45819</v>
      </c>
      <c r="E1498" t="s">
        <v>24</v>
      </c>
      <c r="F1498" t="s">
        <v>321</v>
      </c>
      <c r="G1498" t="str">
        <f>_xlfn.XLOOKUP(TRIM(E1499),MedicineInfo!A:A,MedicineInfo!B:B,"Not Found")</f>
        <v>Vitamin D3</v>
      </c>
      <c r="H1498" s="1" t="str" cm="1">
        <f t="array" ref="H1498">_xlfn.IFS(
OR(E1498="Type 2 Diabetes",E1498="Essential Hypertension",E1498="Angina Pectoris",E1498="Bronchial Asthma",E1498="Cardiac Arrhythmia"), D1498+30,
OR(E1498="Gastritis",E1498="Osteoarthritis",E1498="Bronchitis",E1498="Iron Deficiency Anemia"), D1498+14,
OR(E1498="Lumbar Strain",E1498="Migraine Headache"), D1498+7,
OR(E1498="Viral Fever",E1498="General Checkup","Routine Health Check"), "",
TRUE,""
)</f>
        <v/>
      </c>
      <c r="I1498" s="1" t="str">
        <f t="shared" si="46"/>
        <v>No Follow-up Required</v>
      </c>
      <c r="J1498" t="str">
        <f>TEXT(Table8[[#This Row],[visit_Date]],"DDDD")</f>
        <v>Wednesday</v>
      </c>
      <c r="K1498" t="str">
        <f>TEXT(Table8[[#This Row],[visit_Date]],"mmmm")</f>
        <v>June</v>
      </c>
      <c r="L1498" t="str">
        <f t="shared" si="47"/>
        <v>Monsoon</v>
      </c>
    </row>
    <row r="1499" spans="1:12" x14ac:dyDescent="0.25">
      <c r="A1499">
        <v>1498</v>
      </c>
      <c r="B1499">
        <v>1328</v>
      </c>
      <c r="C1499">
        <v>136</v>
      </c>
      <c r="D1499" s="1">
        <v>45686</v>
      </c>
      <c r="E1499" t="s">
        <v>332</v>
      </c>
      <c r="F1499" t="s">
        <v>333</v>
      </c>
      <c r="G1499" t="str">
        <f>_xlfn.XLOOKUP(TRIM(E1500),MedicineInfo!A:A,MedicineInfo!B:B,"Not Found")</f>
        <v>Multivitamin</v>
      </c>
      <c r="H1499" s="1" t="str" cm="1">
        <f t="array" ref="H1499">_xlfn.IFS(
OR(E1499="Type 2 Diabetes",E1499="Essential Hypertension",E1499="Angina Pectoris",E1499="Bronchial Asthma",E1499="Cardiac Arrhythmia"), D1499+30,
OR(E1499="Gastritis",E1499="Osteoarthritis",E1499="Bronchitis",E1499="Iron Deficiency Anemia"), D1499+14,
OR(E1499="Lumbar Strain",E1499="Migraine Headache"), D1499+7,
OR(E1499="Viral Fever",E1499="General Checkup","Routine Health Check"), "",
TRUE,""
)</f>
        <v/>
      </c>
      <c r="I1499" s="1" t="str">
        <f t="shared" si="46"/>
        <v>No Follow-up Required</v>
      </c>
      <c r="J1499" t="str">
        <f>TEXT(Table8[[#This Row],[visit_Date]],"DDDD")</f>
        <v>Wednesday</v>
      </c>
      <c r="K1499" t="str">
        <f>TEXT(Table8[[#This Row],[visit_Date]],"mmmm")</f>
        <v>January</v>
      </c>
      <c r="L1499" t="str">
        <f t="shared" si="47"/>
        <v>Winter</v>
      </c>
    </row>
    <row r="1500" spans="1:12" x14ac:dyDescent="0.25">
      <c r="A1500">
        <v>1499</v>
      </c>
      <c r="B1500">
        <v>1293</v>
      </c>
      <c r="C1500">
        <v>926</v>
      </c>
      <c r="D1500" s="1">
        <v>45777</v>
      </c>
      <c r="E1500" t="s">
        <v>24</v>
      </c>
      <c r="F1500" t="s">
        <v>321</v>
      </c>
      <c r="G1500" t="str">
        <f>_xlfn.XLOOKUP(TRIM(E1501),MedicineInfo!A:A,MedicineInfo!B:B,"Not Found")</f>
        <v>Multivitamin</v>
      </c>
      <c r="H1500" s="1" t="str" cm="1">
        <f t="array" ref="H1500">_xlfn.IFS(
OR(E1500="Type 2 Diabetes",E1500="Essential Hypertension",E1500="Angina Pectoris",E1500="Bronchial Asthma",E1500="Cardiac Arrhythmia"), D1500+30,
OR(E1500="Gastritis",E1500="Osteoarthritis",E1500="Bronchitis",E1500="Iron Deficiency Anemia"), D1500+14,
OR(E1500="Lumbar Strain",E1500="Migraine Headache"), D1500+7,
OR(E1500="Viral Fever",E1500="General Checkup","Routine Health Check"), "",
TRUE,""
)</f>
        <v/>
      </c>
      <c r="I1500" s="1" t="str">
        <f t="shared" si="46"/>
        <v>No Follow-up Required</v>
      </c>
      <c r="J1500" t="str">
        <f>TEXT(Table8[[#This Row],[visit_Date]],"DDDD")</f>
        <v>Wednesday</v>
      </c>
      <c r="K1500" t="str">
        <f>TEXT(Table8[[#This Row],[visit_Date]],"mmmm")</f>
        <v>April</v>
      </c>
      <c r="L1500" t="str">
        <f t="shared" si="47"/>
        <v>Summer</v>
      </c>
    </row>
    <row r="1501" spans="1:12" x14ac:dyDescent="0.25">
      <c r="A1501">
        <v>1500</v>
      </c>
      <c r="B1501">
        <v>1112</v>
      </c>
      <c r="C1501">
        <v>183</v>
      </c>
      <c r="D1501" s="1">
        <v>45713</v>
      </c>
      <c r="E1501" t="s">
        <v>24</v>
      </c>
      <c r="F1501" t="s">
        <v>321</v>
      </c>
      <c r="G1501" t="str">
        <f>_xlfn.XLOOKUP(TRIM(E1502),MedicineInfo!A:A,MedicineInfo!B:B,"Not Found")</f>
        <v>Aceclofenac</v>
      </c>
      <c r="H1501" s="1" t="str" cm="1">
        <f t="array" ref="H1501">_xlfn.IFS(
OR(E1501="Type 2 Diabetes",E1501="Essential Hypertension",E1501="Angina Pectoris",E1501="Bronchial Asthma",E1501="Cardiac Arrhythmia"), D1501+30,
OR(E1501="Gastritis",E1501="Osteoarthritis",E1501="Bronchitis",E1501="Iron Deficiency Anemia"), D1501+14,
OR(E1501="Lumbar Strain",E1501="Migraine Headache"), D1501+7,
OR(E1501="Viral Fever",E1501="General Checkup","Routine Health Check"), "",
TRUE,""
)</f>
        <v/>
      </c>
      <c r="I1501" s="1" t="str">
        <f t="shared" si="46"/>
        <v>No Follow-up Required</v>
      </c>
      <c r="J1501" t="str">
        <f>TEXT(Table8[[#This Row],[visit_Date]],"DDDD")</f>
        <v>Tuesday</v>
      </c>
      <c r="K1501" t="str">
        <f>TEXT(Table8[[#This Row],[visit_Date]],"mmmm")</f>
        <v>February</v>
      </c>
      <c r="L1501" t="str">
        <f t="shared" si="47"/>
        <v>Winter</v>
      </c>
    </row>
    <row r="1502" spans="1:12" x14ac:dyDescent="0.25">
      <c r="A1502">
        <v>1501</v>
      </c>
      <c r="B1502">
        <v>1303</v>
      </c>
      <c r="C1502">
        <v>1366</v>
      </c>
      <c r="D1502" s="1">
        <v>45729</v>
      </c>
      <c r="E1502" t="s">
        <v>348</v>
      </c>
      <c r="F1502" t="s">
        <v>349</v>
      </c>
      <c r="G1502" t="str">
        <f>_xlfn.XLOOKUP(TRIM(E1503),MedicineInfo!A:A,MedicineInfo!B:B,"Not Found")</f>
        <v>Multivitamin</v>
      </c>
      <c r="H1502" s="1" cm="1">
        <f t="array" ref="H1502">_xlfn.IFS(
OR(E1502="Type 2 Diabetes",E1502="Essential Hypertension",E1502="Angina Pectoris",E1502="Bronchial Asthma",E1502="Cardiac Arrhythmia"), D1502+30,
OR(E1502="Gastritis",E1502="Osteoarthritis",E1502="Bronchitis",E1502="Iron Deficiency Anemia"), D1502+14,
OR(E1502="Lumbar Strain",E1502="Migraine Headache"), D1502+7,
OR(E1502="Viral Fever",E1502="General Checkup","Routine Health Check"), "",
TRUE,""
)</f>
        <v>45743</v>
      </c>
      <c r="I1502" s="1" t="str">
        <f t="shared" si="46"/>
        <v>Follow-up Scheduled</v>
      </c>
      <c r="J1502" t="str">
        <f>TEXT(Table8[[#This Row],[visit_Date]],"DDDD")</f>
        <v>Thursday</v>
      </c>
      <c r="K1502" t="str">
        <f>TEXT(Table8[[#This Row],[visit_Date]],"mmmm")</f>
        <v>March</v>
      </c>
      <c r="L1502" t="str">
        <f t="shared" si="47"/>
        <v>Summer</v>
      </c>
    </row>
    <row r="1503" spans="1:12" x14ac:dyDescent="0.25">
      <c r="A1503">
        <v>1502</v>
      </c>
      <c r="B1503">
        <v>1001</v>
      </c>
      <c r="C1503">
        <v>1436</v>
      </c>
      <c r="D1503" s="1">
        <v>45868</v>
      </c>
      <c r="E1503" t="s">
        <v>24</v>
      </c>
      <c r="F1503" t="s">
        <v>321</v>
      </c>
      <c r="G1503" t="str">
        <f>_xlfn.XLOOKUP(TRIM(E1504),MedicineInfo!A:A,MedicineInfo!B:B,"Not Found")</f>
        <v>Multivitamin</v>
      </c>
      <c r="H1503" s="1" t="str" cm="1">
        <f t="array" ref="H1503">_xlfn.IFS(
OR(E1503="Type 2 Diabetes",E1503="Essential Hypertension",E1503="Angina Pectoris",E1503="Bronchial Asthma",E1503="Cardiac Arrhythmia"), D1503+30,
OR(E1503="Gastritis",E1503="Osteoarthritis",E1503="Bronchitis",E1503="Iron Deficiency Anemia"), D1503+14,
OR(E1503="Lumbar Strain",E1503="Migraine Headache"), D1503+7,
OR(E1503="Viral Fever",E1503="General Checkup","Routine Health Check"), "",
TRUE,""
)</f>
        <v/>
      </c>
      <c r="I1503" s="1" t="str">
        <f t="shared" si="46"/>
        <v>No Follow-up Required</v>
      </c>
      <c r="J1503" t="str">
        <f>TEXT(Table8[[#This Row],[visit_Date]],"DDDD")</f>
        <v>Wednesday</v>
      </c>
      <c r="K1503" t="str">
        <f>TEXT(Table8[[#This Row],[visit_Date]],"mmmm")</f>
        <v>July</v>
      </c>
      <c r="L1503" t="str">
        <f t="shared" si="47"/>
        <v>Monsoon</v>
      </c>
    </row>
    <row r="1504" spans="1:12" x14ac:dyDescent="0.25">
      <c r="A1504">
        <v>1503</v>
      </c>
      <c r="B1504">
        <v>1108</v>
      </c>
      <c r="C1504">
        <v>855</v>
      </c>
      <c r="D1504" s="1">
        <v>45764</v>
      </c>
      <c r="E1504" t="s">
        <v>24</v>
      </c>
      <c r="F1504" t="s">
        <v>321</v>
      </c>
      <c r="G1504" t="str">
        <f>_xlfn.XLOOKUP(TRIM(E1505),MedicineInfo!A:A,MedicineInfo!B:B,"Not Found")</f>
        <v>Hydrocortisone Cream</v>
      </c>
      <c r="H1504" s="1" t="str" cm="1">
        <f t="array" ref="H1504">_xlfn.IFS(
OR(E1504="Type 2 Diabetes",E1504="Essential Hypertension",E1504="Angina Pectoris",E1504="Bronchial Asthma",E1504="Cardiac Arrhythmia"), D1504+30,
OR(E1504="Gastritis",E1504="Osteoarthritis",E1504="Bronchitis",E1504="Iron Deficiency Anemia"), D1504+14,
OR(E1504="Lumbar Strain",E1504="Migraine Headache"), D1504+7,
OR(E1504="Viral Fever",E1504="General Checkup","Routine Health Check"), "",
TRUE,""
)</f>
        <v/>
      </c>
      <c r="I1504" s="1" t="str">
        <f t="shared" si="46"/>
        <v>No Follow-up Required</v>
      </c>
      <c r="J1504" t="str">
        <f>TEXT(Table8[[#This Row],[visit_Date]],"DDDD")</f>
        <v>Thursday</v>
      </c>
      <c r="K1504" t="str">
        <f>TEXT(Table8[[#This Row],[visit_Date]],"mmmm")</f>
        <v>April</v>
      </c>
      <c r="L1504" t="str">
        <f t="shared" si="47"/>
        <v>Summer</v>
      </c>
    </row>
    <row r="1505" spans="1:12" x14ac:dyDescent="0.25">
      <c r="A1505">
        <v>1504</v>
      </c>
      <c r="B1505">
        <v>1160</v>
      </c>
      <c r="C1505">
        <v>1468</v>
      </c>
      <c r="D1505" s="1">
        <v>45800</v>
      </c>
      <c r="E1505" t="s">
        <v>338</v>
      </c>
      <c r="F1505" t="s">
        <v>339</v>
      </c>
      <c r="G1505" t="str">
        <f>_xlfn.XLOOKUP(TRIM(E1506),MedicineInfo!A:A,MedicineInfo!B:B,"Not Found")</f>
        <v>Multivitamin</v>
      </c>
      <c r="H1505" s="1" t="str" cm="1">
        <f t="array" ref="H1505">_xlfn.IFS(
OR(E1505="Type 2 Diabetes",E1505="Essential Hypertension",E1505="Angina Pectoris",E1505="Bronchial Asthma",E1505="Cardiac Arrhythmia"), D1505+30,
OR(E1505="Gastritis",E1505="Osteoarthritis",E1505="Bronchitis",E1505="Iron Deficiency Anemia"), D1505+14,
OR(E1505="Lumbar Strain",E1505="Migraine Headache"), D1505+7,
OR(E1505="Viral Fever",E1505="General Checkup","Routine Health Check"), "",
TRUE,""
)</f>
        <v/>
      </c>
      <c r="I1505" s="1" t="str">
        <f t="shared" si="46"/>
        <v>No Follow-up Required</v>
      </c>
      <c r="J1505" t="str">
        <f>TEXT(Table8[[#This Row],[visit_Date]],"DDDD")</f>
        <v>Friday</v>
      </c>
      <c r="K1505" t="str">
        <f>TEXT(Table8[[#This Row],[visit_Date]],"mmmm")</f>
        <v>May</v>
      </c>
      <c r="L1505" t="str">
        <f t="shared" si="47"/>
        <v>Summer</v>
      </c>
    </row>
    <row r="1506" spans="1:12" x14ac:dyDescent="0.25">
      <c r="A1506">
        <v>1505</v>
      </c>
      <c r="B1506">
        <v>1345</v>
      </c>
      <c r="C1506">
        <v>1128</v>
      </c>
      <c r="D1506" s="1">
        <v>45713</v>
      </c>
      <c r="E1506" t="s">
        <v>24</v>
      </c>
      <c r="F1506" t="s">
        <v>321</v>
      </c>
      <c r="G1506" t="str">
        <f>_xlfn.XLOOKUP(TRIM(E1507),MedicineInfo!A:A,MedicineInfo!B:B,"Not Found")</f>
        <v>Multivitamin</v>
      </c>
      <c r="H1506" s="1" t="str" cm="1">
        <f t="array" ref="H1506">_xlfn.IFS(
OR(E1506="Type 2 Diabetes",E1506="Essential Hypertension",E1506="Angina Pectoris",E1506="Bronchial Asthma",E1506="Cardiac Arrhythmia"), D1506+30,
OR(E1506="Gastritis",E1506="Osteoarthritis",E1506="Bronchitis",E1506="Iron Deficiency Anemia"), D1506+14,
OR(E1506="Lumbar Strain",E1506="Migraine Headache"), D1506+7,
OR(E1506="Viral Fever",E1506="General Checkup","Routine Health Check"), "",
TRUE,""
)</f>
        <v/>
      </c>
      <c r="I1506" s="1" t="str">
        <f t="shared" si="46"/>
        <v>No Follow-up Required</v>
      </c>
      <c r="J1506" t="str">
        <f>TEXT(Table8[[#This Row],[visit_Date]],"DDDD")</f>
        <v>Tuesday</v>
      </c>
      <c r="K1506" t="str">
        <f>TEXT(Table8[[#This Row],[visit_Date]],"mmmm")</f>
        <v>February</v>
      </c>
      <c r="L1506" t="str">
        <f t="shared" si="47"/>
        <v>Winter</v>
      </c>
    </row>
    <row r="1507" spans="1:12" x14ac:dyDescent="0.25">
      <c r="A1507">
        <v>1506</v>
      </c>
      <c r="B1507">
        <v>1250</v>
      </c>
      <c r="C1507">
        <v>571</v>
      </c>
      <c r="D1507" s="1">
        <v>45787</v>
      </c>
      <c r="E1507" t="s">
        <v>24</v>
      </c>
      <c r="F1507" t="s">
        <v>321</v>
      </c>
      <c r="G1507" t="str">
        <f>_xlfn.XLOOKUP(TRIM(E1508),MedicineInfo!A:A,MedicineInfo!B:B,"Not Found")</f>
        <v>Multivitamin</v>
      </c>
      <c r="H1507" s="1" t="str" cm="1">
        <f t="array" ref="H1507">_xlfn.IFS(
OR(E1507="Type 2 Diabetes",E1507="Essential Hypertension",E1507="Angina Pectoris",E1507="Bronchial Asthma",E1507="Cardiac Arrhythmia"), D1507+30,
OR(E1507="Gastritis",E1507="Osteoarthritis",E1507="Bronchitis",E1507="Iron Deficiency Anemia"), D1507+14,
OR(E1507="Lumbar Strain",E1507="Migraine Headache"), D1507+7,
OR(E1507="Viral Fever",E1507="General Checkup","Routine Health Check"), "",
TRUE,""
)</f>
        <v/>
      </c>
      <c r="I1507" s="1" t="str">
        <f t="shared" si="46"/>
        <v>No Follow-up Required</v>
      </c>
      <c r="J1507" t="str">
        <f>TEXT(Table8[[#This Row],[visit_Date]],"DDDD")</f>
        <v>Saturday</v>
      </c>
      <c r="K1507" t="str">
        <f>TEXT(Table8[[#This Row],[visit_Date]],"mmmm")</f>
        <v>May</v>
      </c>
      <c r="L1507" t="str">
        <f t="shared" si="47"/>
        <v>Summer</v>
      </c>
    </row>
    <row r="1508" spans="1:12" x14ac:dyDescent="0.25">
      <c r="A1508">
        <v>1507</v>
      </c>
      <c r="B1508">
        <v>1109</v>
      </c>
      <c r="C1508">
        <v>131</v>
      </c>
      <c r="D1508" s="1">
        <v>45672</v>
      </c>
      <c r="E1508" t="s">
        <v>24</v>
      </c>
      <c r="F1508" t="s">
        <v>321</v>
      </c>
      <c r="G1508" t="str">
        <f>_xlfn.XLOOKUP(TRIM(E1509),MedicineInfo!A:A,MedicineInfo!B:B,"Not Found")</f>
        <v>Multivitamin</v>
      </c>
      <c r="H1508" s="1" t="str" cm="1">
        <f t="array" ref="H1508">_xlfn.IFS(
OR(E1508="Type 2 Diabetes",E1508="Essential Hypertension",E1508="Angina Pectoris",E1508="Bronchial Asthma",E1508="Cardiac Arrhythmia"), D1508+30,
OR(E1508="Gastritis",E1508="Osteoarthritis",E1508="Bronchitis",E1508="Iron Deficiency Anemia"), D1508+14,
OR(E1508="Lumbar Strain",E1508="Migraine Headache"), D1508+7,
OR(E1508="Viral Fever",E1508="General Checkup","Routine Health Check"), "",
TRUE,""
)</f>
        <v/>
      </c>
      <c r="I1508" s="1" t="str">
        <f t="shared" si="46"/>
        <v>No Follow-up Required</v>
      </c>
      <c r="J1508" t="str">
        <f>TEXT(Table8[[#This Row],[visit_Date]],"DDDD")</f>
        <v>Wednesday</v>
      </c>
      <c r="K1508" t="str">
        <f>TEXT(Table8[[#This Row],[visit_Date]],"mmmm")</f>
        <v>January</v>
      </c>
      <c r="L1508" t="str">
        <f t="shared" si="47"/>
        <v>Winter</v>
      </c>
    </row>
    <row r="1509" spans="1:12" x14ac:dyDescent="0.25">
      <c r="A1509">
        <v>1508</v>
      </c>
      <c r="B1509">
        <v>1117</v>
      </c>
      <c r="C1509">
        <v>864</v>
      </c>
      <c r="D1509" s="1">
        <v>45682</v>
      </c>
      <c r="E1509" t="s">
        <v>24</v>
      </c>
      <c r="F1509" t="s">
        <v>321</v>
      </c>
      <c r="G1509" t="str">
        <f>_xlfn.XLOOKUP(TRIM(E1510),MedicineInfo!A:A,MedicineInfo!B:B,"Not Found")</f>
        <v>Paracetamol</v>
      </c>
      <c r="H1509" s="1" t="str" cm="1">
        <f t="array" ref="H1509">_xlfn.IFS(
OR(E1509="Type 2 Diabetes",E1509="Essential Hypertension",E1509="Angina Pectoris",E1509="Bronchial Asthma",E1509="Cardiac Arrhythmia"), D1509+30,
OR(E1509="Gastritis",E1509="Osteoarthritis",E1509="Bronchitis",E1509="Iron Deficiency Anemia"), D1509+14,
OR(E1509="Lumbar Strain",E1509="Migraine Headache"), D1509+7,
OR(E1509="Viral Fever",E1509="General Checkup","Routine Health Check"), "",
TRUE,""
)</f>
        <v/>
      </c>
      <c r="I1509" s="1" t="str">
        <f t="shared" si="46"/>
        <v>No Follow-up Required</v>
      </c>
      <c r="J1509" t="str">
        <f>TEXT(Table8[[#This Row],[visit_Date]],"DDDD")</f>
        <v>Saturday</v>
      </c>
      <c r="K1509" t="str">
        <f>TEXT(Table8[[#This Row],[visit_Date]],"mmmm")</f>
        <v>January</v>
      </c>
      <c r="L1509" t="str">
        <f t="shared" si="47"/>
        <v>Winter</v>
      </c>
    </row>
    <row r="1510" spans="1:12" x14ac:dyDescent="0.25">
      <c r="A1510">
        <v>1509</v>
      </c>
      <c r="B1510">
        <v>1074</v>
      </c>
      <c r="C1510">
        <v>1042</v>
      </c>
      <c r="D1510" s="1">
        <v>45724</v>
      </c>
      <c r="E1510" t="s">
        <v>326</v>
      </c>
      <c r="F1510" t="s">
        <v>327</v>
      </c>
      <c r="G1510" t="str">
        <f>_xlfn.XLOOKUP(TRIM(E1511),MedicineInfo!A:A,MedicineInfo!B:B,"Not Found")</f>
        <v>Sumatriptan</v>
      </c>
      <c r="H1510" s="1" t="str" cm="1">
        <f t="array" ref="H1510">_xlfn.IFS(
OR(E1510="Type 2 Diabetes",E1510="Essential Hypertension",E1510="Angina Pectoris",E1510="Bronchial Asthma",E1510="Cardiac Arrhythmia"), D1510+30,
OR(E1510="Gastritis",E1510="Osteoarthritis",E1510="Bronchitis",E1510="Iron Deficiency Anemia"), D1510+14,
OR(E1510="Lumbar Strain",E1510="Migraine Headache"), D1510+7,
OR(E1510="Viral Fever",E1510="General Checkup","Routine Health Check"), "",
TRUE,""
)</f>
        <v/>
      </c>
      <c r="I1510" s="1" t="str">
        <f t="shared" si="46"/>
        <v>No Follow-up Required</v>
      </c>
      <c r="J1510" t="str">
        <f>TEXT(Table8[[#This Row],[visit_Date]],"DDDD")</f>
        <v>Saturday</v>
      </c>
      <c r="K1510" t="str">
        <f>TEXT(Table8[[#This Row],[visit_Date]],"mmmm")</f>
        <v>March</v>
      </c>
      <c r="L1510" t="str">
        <f t="shared" si="47"/>
        <v>Summer</v>
      </c>
    </row>
    <row r="1511" spans="1:12" x14ac:dyDescent="0.25">
      <c r="A1511">
        <v>1510</v>
      </c>
      <c r="B1511">
        <v>1036</v>
      </c>
      <c r="C1511">
        <v>172</v>
      </c>
      <c r="D1511" s="1">
        <v>45767</v>
      </c>
      <c r="E1511" t="s">
        <v>315</v>
      </c>
      <c r="F1511" t="s">
        <v>316</v>
      </c>
      <c r="G1511" t="str">
        <f>_xlfn.XLOOKUP(TRIM(E1512),MedicineInfo!A:A,MedicineInfo!B:B,"Not Found")</f>
        <v>Multivitamin</v>
      </c>
      <c r="H1511" s="1" cm="1">
        <f t="array" ref="H1511">_xlfn.IFS(
OR(E1511="Type 2 Diabetes",E1511="Essential Hypertension",E1511="Angina Pectoris",E1511="Bronchial Asthma",E1511="Cardiac Arrhythmia"), D1511+30,
OR(E1511="Gastritis",E1511="Osteoarthritis",E1511="Bronchitis",E1511="Iron Deficiency Anemia"), D1511+14,
OR(E1511="Lumbar Strain",E1511="Migraine Headache"), D1511+7,
OR(E1511="Viral Fever",E1511="General Checkup","Routine Health Check"), "",
TRUE,""
)</f>
        <v>45774</v>
      </c>
      <c r="I1511" s="1" t="str">
        <f t="shared" si="46"/>
        <v>Follow-up Scheduled</v>
      </c>
      <c r="J1511" t="str">
        <f>TEXT(Table8[[#This Row],[visit_Date]],"DDDD")</f>
        <v>Sunday</v>
      </c>
      <c r="K1511" t="str">
        <f>TEXT(Table8[[#This Row],[visit_Date]],"mmmm")</f>
        <v>April</v>
      </c>
      <c r="L1511" t="str">
        <f t="shared" si="47"/>
        <v>Summer</v>
      </c>
    </row>
    <row r="1512" spans="1:12" x14ac:dyDescent="0.25">
      <c r="A1512">
        <v>1511</v>
      </c>
      <c r="B1512">
        <v>1033</v>
      </c>
      <c r="C1512">
        <v>322</v>
      </c>
      <c r="D1512" s="1">
        <v>45844</v>
      </c>
      <c r="E1512" t="s">
        <v>24</v>
      </c>
      <c r="F1512" t="s">
        <v>321</v>
      </c>
      <c r="G1512" t="str">
        <f>_xlfn.XLOOKUP(TRIM(E1513),MedicineInfo!A:A,MedicineInfo!B:B,"Not Found")</f>
        <v>Multivitamin</v>
      </c>
      <c r="H1512" s="1" t="str" cm="1">
        <f t="array" ref="H1512">_xlfn.IFS(
OR(E1512="Type 2 Diabetes",E1512="Essential Hypertension",E1512="Angina Pectoris",E1512="Bronchial Asthma",E1512="Cardiac Arrhythmia"), D1512+30,
OR(E1512="Gastritis",E1512="Osteoarthritis",E1512="Bronchitis",E1512="Iron Deficiency Anemia"), D1512+14,
OR(E1512="Lumbar Strain",E1512="Migraine Headache"), D1512+7,
OR(E1512="Viral Fever",E1512="General Checkup","Routine Health Check"), "",
TRUE,""
)</f>
        <v/>
      </c>
      <c r="I1512" s="1" t="str">
        <f t="shared" si="46"/>
        <v>No Follow-up Required</v>
      </c>
      <c r="J1512" t="str">
        <f>TEXT(Table8[[#This Row],[visit_Date]],"DDDD")</f>
        <v>Sunday</v>
      </c>
      <c r="K1512" t="str">
        <f>TEXT(Table8[[#This Row],[visit_Date]],"mmmm")</f>
        <v>July</v>
      </c>
      <c r="L1512" t="str">
        <f t="shared" si="47"/>
        <v>Monsoon</v>
      </c>
    </row>
    <row r="1513" spans="1:12" x14ac:dyDescent="0.25">
      <c r="A1513">
        <v>1512</v>
      </c>
      <c r="B1513">
        <v>1348</v>
      </c>
      <c r="C1513">
        <v>1155</v>
      </c>
      <c r="D1513" s="1">
        <v>45792</v>
      </c>
      <c r="E1513" t="s">
        <v>24</v>
      </c>
      <c r="F1513" t="s">
        <v>321</v>
      </c>
      <c r="G1513" t="str">
        <f>_xlfn.XLOOKUP(TRIM(E1514),MedicineInfo!A:A,MedicineInfo!B:B,"Not Found")</f>
        <v>Multivitamin</v>
      </c>
      <c r="H1513" s="1" t="str" cm="1">
        <f t="array" ref="H1513">_xlfn.IFS(
OR(E1513="Type 2 Diabetes",E1513="Essential Hypertension",E1513="Angina Pectoris",E1513="Bronchial Asthma",E1513="Cardiac Arrhythmia"), D1513+30,
OR(E1513="Gastritis",E1513="Osteoarthritis",E1513="Bronchitis",E1513="Iron Deficiency Anemia"), D1513+14,
OR(E1513="Lumbar Strain",E1513="Migraine Headache"), D1513+7,
OR(E1513="Viral Fever",E1513="General Checkup","Routine Health Check"), "",
TRUE,""
)</f>
        <v/>
      </c>
      <c r="I1513" s="1" t="str">
        <f t="shared" si="46"/>
        <v>No Follow-up Required</v>
      </c>
      <c r="J1513" t="str">
        <f>TEXT(Table8[[#This Row],[visit_Date]],"DDDD")</f>
        <v>Thursday</v>
      </c>
      <c r="K1513" t="str">
        <f>TEXT(Table8[[#This Row],[visit_Date]],"mmmm")</f>
        <v>May</v>
      </c>
      <c r="L1513" t="str">
        <f t="shared" si="47"/>
        <v>Summer</v>
      </c>
    </row>
    <row r="1514" spans="1:12" x14ac:dyDescent="0.25">
      <c r="A1514">
        <v>1513</v>
      </c>
      <c r="B1514">
        <v>1364</v>
      </c>
      <c r="C1514">
        <v>368</v>
      </c>
      <c r="D1514" s="1">
        <v>45776</v>
      </c>
      <c r="E1514" t="s">
        <v>24</v>
      </c>
      <c r="F1514" t="s">
        <v>321</v>
      </c>
      <c r="G1514" t="str">
        <f>_xlfn.XLOOKUP(TRIM(E1515),MedicineInfo!A:A,MedicineInfo!B:B,"Not Found")</f>
        <v>Multivitamin</v>
      </c>
      <c r="H1514" s="1" t="str" cm="1">
        <f t="array" ref="H1514">_xlfn.IFS(
OR(E1514="Type 2 Diabetes",E1514="Essential Hypertension",E1514="Angina Pectoris",E1514="Bronchial Asthma",E1514="Cardiac Arrhythmia"), D1514+30,
OR(E1514="Gastritis",E1514="Osteoarthritis",E1514="Bronchitis",E1514="Iron Deficiency Anemia"), D1514+14,
OR(E1514="Lumbar Strain",E1514="Migraine Headache"), D1514+7,
OR(E1514="Viral Fever",E1514="General Checkup","Routine Health Check"), "",
TRUE,""
)</f>
        <v/>
      </c>
      <c r="I1514" s="1" t="str">
        <f t="shared" si="46"/>
        <v>No Follow-up Required</v>
      </c>
      <c r="J1514" t="str">
        <f>TEXT(Table8[[#This Row],[visit_Date]],"DDDD")</f>
        <v>Tuesday</v>
      </c>
      <c r="K1514" t="str">
        <f>TEXT(Table8[[#This Row],[visit_Date]],"mmmm")</f>
        <v>April</v>
      </c>
      <c r="L1514" t="str">
        <f t="shared" si="47"/>
        <v>Summer</v>
      </c>
    </row>
    <row r="1515" spans="1:12" x14ac:dyDescent="0.25">
      <c r="A1515">
        <v>1514</v>
      </c>
      <c r="B1515">
        <v>1068</v>
      </c>
      <c r="C1515">
        <v>1336</v>
      </c>
      <c r="D1515" s="1">
        <v>45694</v>
      </c>
      <c r="E1515" t="s">
        <v>24</v>
      </c>
      <c r="F1515" t="s">
        <v>321</v>
      </c>
      <c r="G1515" t="str">
        <f>_xlfn.XLOOKUP(TRIM(E1516),MedicineInfo!A:A,MedicineInfo!B:B,"Not Found")</f>
        <v>Multivitamin</v>
      </c>
      <c r="H1515" s="1" t="str" cm="1">
        <f t="array" ref="H1515">_xlfn.IFS(
OR(E1515="Type 2 Diabetes",E1515="Essential Hypertension",E1515="Angina Pectoris",E1515="Bronchial Asthma",E1515="Cardiac Arrhythmia"), D1515+30,
OR(E1515="Gastritis",E1515="Osteoarthritis",E1515="Bronchitis",E1515="Iron Deficiency Anemia"), D1515+14,
OR(E1515="Lumbar Strain",E1515="Migraine Headache"), D1515+7,
OR(E1515="Viral Fever",E1515="General Checkup","Routine Health Check"), "",
TRUE,""
)</f>
        <v/>
      </c>
      <c r="I1515" s="1" t="str">
        <f t="shared" si="46"/>
        <v>No Follow-up Required</v>
      </c>
      <c r="J1515" t="str">
        <f>TEXT(Table8[[#This Row],[visit_Date]],"DDDD")</f>
        <v>Thursday</v>
      </c>
      <c r="K1515" t="str">
        <f>TEXT(Table8[[#This Row],[visit_Date]],"mmmm")</f>
        <v>February</v>
      </c>
      <c r="L1515" t="str">
        <f t="shared" si="47"/>
        <v>Winter</v>
      </c>
    </row>
    <row r="1516" spans="1:12" x14ac:dyDescent="0.25">
      <c r="A1516">
        <v>1515</v>
      </c>
      <c r="B1516">
        <v>1276</v>
      </c>
      <c r="C1516">
        <v>829</v>
      </c>
      <c r="D1516" s="1">
        <v>45686</v>
      </c>
      <c r="E1516" t="s">
        <v>24</v>
      </c>
      <c r="F1516" t="s">
        <v>321</v>
      </c>
      <c r="G1516" t="str">
        <f>_xlfn.XLOOKUP(TRIM(E1517),MedicineInfo!A:A,MedicineInfo!B:B,"Not Found")</f>
        <v>Multivitamin</v>
      </c>
      <c r="H1516" s="1" t="str" cm="1">
        <f t="array" ref="H1516">_xlfn.IFS(
OR(E1516="Type 2 Diabetes",E1516="Essential Hypertension",E1516="Angina Pectoris",E1516="Bronchial Asthma",E1516="Cardiac Arrhythmia"), D1516+30,
OR(E1516="Gastritis",E1516="Osteoarthritis",E1516="Bronchitis",E1516="Iron Deficiency Anemia"), D1516+14,
OR(E1516="Lumbar Strain",E1516="Migraine Headache"), D1516+7,
OR(E1516="Viral Fever",E1516="General Checkup","Routine Health Check"), "",
TRUE,""
)</f>
        <v/>
      </c>
      <c r="I1516" s="1" t="str">
        <f t="shared" si="46"/>
        <v>No Follow-up Required</v>
      </c>
      <c r="J1516" t="str">
        <f>TEXT(Table8[[#This Row],[visit_Date]],"DDDD")</f>
        <v>Wednesday</v>
      </c>
      <c r="K1516" t="str">
        <f>TEXT(Table8[[#This Row],[visit_Date]],"mmmm")</f>
        <v>January</v>
      </c>
      <c r="L1516" t="str">
        <f t="shared" si="47"/>
        <v>Winter</v>
      </c>
    </row>
    <row r="1517" spans="1:12" x14ac:dyDescent="0.25">
      <c r="A1517">
        <v>1516</v>
      </c>
      <c r="B1517">
        <v>1198</v>
      </c>
      <c r="C1517">
        <v>1437</v>
      </c>
      <c r="D1517" s="1">
        <v>45709</v>
      </c>
      <c r="E1517" t="s">
        <v>24</v>
      </c>
      <c r="F1517" t="s">
        <v>321</v>
      </c>
      <c r="G1517" t="str">
        <f>_xlfn.XLOOKUP(TRIM(E1518),MedicineInfo!A:A,MedicineInfo!B:B,"Not Found")</f>
        <v>Multivitamin</v>
      </c>
      <c r="H1517" s="1" t="str" cm="1">
        <f t="array" ref="H1517">_xlfn.IFS(
OR(E1517="Type 2 Diabetes",E1517="Essential Hypertension",E1517="Angina Pectoris",E1517="Bronchial Asthma",E1517="Cardiac Arrhythmia"), D1517+30,
OR(E1517="Gastritis",E1517="Osteoarthritis",E1517="Bronchitis",E1517="Iron Deficiency Anemia"), D1517+14,
OR(E1517="Lumbar Strain",E1517="Migraine Headache"), D1517+7,
OR(E1517="Viral Fever",E1517="General Checkup","Routine Health Check"), "",
TRUE,""
)</f>
        <v/>
      </c>
      <c r="I1517" s="1" t="str">
        <f t="shared" si="46"/>
        <v>No Follow-up Required</v>
      </c>
      <c r="J1517" t="str">
        <f>TEXT(Table8[[#This Row],[visit_Date]],"DDDD")</f>
        <v>Friday</v>
      </c>
      <c r="K1517" t="str">
        <f>TEXT(Table8[[#This Row],[visit_Date]],"mmmm")</f>
        <v>February</v>
      </c>
      <c r="L1517" t="str">
        <f t="shared" si="47"/>
        <v>Winter</v>
      </c>
    </row>
    <row r="1518" spans="1:12" x14ac:dyDescent="0.25">
      <c r="A1518">
        <v>1517</v>
      </c>
      <c r="B1518">
        <v>1084</v>
      </c>
      <c r="C1518">
        <v>1226</v>
      </c>
      <c r="D1518" s="1">
        <v>45669</v>
      </c>
      <c r="E1518" t="s">
        <v>24</v>
      </c>
      <c r="F1518" t="s">
        <v>321</v>
      </c>
      <c r="G1518" t="str">
        <f>_xlfn.XLOOKUP(TRIM(E1519),MedicineInfo!A:A,MedicineInfo!B:B,"Not Found")</f>
        <v>Pantoprazole</v>
      </c>
      <c r="H1518" s="1" t="str" cm="1">
        <f t="array" ref="H1518">_xlfn.IFS(
OR(E1518="Type 2 Diabetes",E1518="Essential Hypertension",E1518="Angina Pectoris",E1518="Bronchial Asthma",E1518="Cardiac Arrhythmia"), D1518+30,
OR(E1518="Gastritis",E1518="Osteoarthritis",E1518="Bronchitis",E1518="Iron Deficiency Anemia"), D1518+14,
OR(E1518="Lumbar Strain",E1518="Migraine Headache"), D1518+7,
OR(E1518="Viral Fever",E1518="General Checkup","Routine Health Check"), "",
TRUE,""
)</f>
        <v/>
      </c>
      <c r="I1518" s="1" t="str">
        <f t="shared" si="46"/>
        <v>No Follow-up Required</v>
      </c>
      <c r="J1518" t="str">
        <f>TEXT(Table8[[#This Row],[visit_Date]],"DDDD")</f>
        <v>Sunday</v>
      </c>
      <c r="K1518" t="str">
        <f>TEXT(Table8[[#This Row],[visit_Date]],"mmmm")</f>
        <v>January</v>
      </c>
      <c r="L1518" t="str">
        <f t="shared" si="47"/>
        <v>Winter</v>
      </c>
    </row>
    <row r="1519" spans="1:12" x14ac:dyDescent="0.25">
      <c r="A1519">
        <v>1518</v>
      </c>
      <c r="B1519">
        <v>1010</v>
      </c>
      <c r="C1519">
        <v>1270</v>
      </c>
      <c r="D1519" s="1">
        <v>45694</v>
      </c>
      <c r="E1519" t="s">
        <v>344</v>
      </c>
      <c r="F1519" t="s">
        <v>345</v>
      </c>
      <c r="G1519" t="str">
        <f>_xlfn.XLOOKUP(TRIM(E1520),MedicineInfo!A:A,MedicineInfo!B:B,"Not Found")</f>
        <v>Not Found</v>
      </c>
      <c r="H1519" s="1" cm="1">
        <f t="array" ref="H1519">_xlfn.IFS(
OR(E1519="Type 2 Diabetes",E1519="Essential Hypertension",E1519="Angina Pectoris",E1519="Bronchial Asthma",E1519="Cardiac Arrhythmia"), D1519+30,
OR(E1519="Gastritis",E1519="Osteoarthritis",E1519="Bronchitis",E1519="Iron Deficiency Anemia"), D1519+14,
OR(E1519="Lumbar Strain",E1519="Migraine Headache"), D1519+7,
OR(E1519="Viral Fever",E1519="General Checkup","Routine Health Check"), "",
TRUE,""
)</f>
        <v>45708</v>
      </c>
      <c r="I1519" s="1" t="str">
        <f t="shared" si="46"/>
        <v>Follow-up Scheduled</v>
      </c>
      <c r="J1519" t="str">
        <f>TEXT(Table8[[#This Row],[visit_Date]],"DDDD")</f>
        <v>Thursday</v>
      </c>
      <c r="K1519" t="str">
        <f>TEXT(Table8[[#This Row],[visit_Date]],"mmmm")</f>
        <v>February</v>
      </c>
      <c r="L1519" t="str">
        <f t="shared" si="47"/>
        <v>Winter</v>
      </c>
    </row>
    <row r="1520" spans="1:12" x14ac:dyDescent="0.25">
      <c r="A1520">
        <v>1519</v>
      </c>
      <c r="B1520">
        <v>1158</v>
      </c>
      <c r="C1520">
        <v>1594</v>
      </c>
      <c r="D1520" s="1">
        <v>45687</v>
      </c>
      <c r="E1520" t="s">
        <v>340</v>
      </c>
      <c r="F1520" t="s">
        <v>341</v>
      </c>
      <c r="G1520" t="str">
        <f>_xlfn.XLOOKUP(TRIM(E1521),MedicineInfo!A:A,MedicineInfo!B:B,"Not Found")</f>
        <v>Multivitamin</v>
      </c>
      <c r="H1520" s="1" t="str" cm="1">
        <f t="array" ref="H1520">_xlfn.IFS(
OR(E1520="Type 2 Diabetes",E1520="Essential Hypertension",E1520="Angina Pectoris",E1520="Bronchial Asthma",E1520="Cardiac Arrhythmia"), D1520+30,
OR(E1520="Gastritis",E1520="Osteoarthritis",E1520="Bronchitis",E1520="Iron Deficiency Anemia"), D1520+14,
OR(E1520="Lumbar Strain",E1520="Migraine Headache"), D1520+7,
OR(E1520="Viral Fever",E1520="General Checkup","Routine Health Check"), "",
TRUE,""
)</f>
        <v/>
      </c>
      <c r="I1520" s="1" t="str">
        <f t="shared" si="46"/>
        <v>No Follow-up Required</v>
      </c>
      <c r="J1520" t="str">
        <f>TEXT(Table8[[#This Row],[visit_Date]],"DDDD")</f>
        <v>Thursday</v>
      </c>
      <c r="K1520" t="str">
        <f>TEXT(Table8[[#This Row],[visit_Date]],"mmmm")</f>
        <v>January</v>
      </c>
      <c r="L1520" t="str">
        <f t="shared" si="47"/>
        <v>Winter</v>
      </c>
    </row>
    <row r="1521" spans="1:12" x14ac:dyDescent="0.25">
      <c r="A1521">
        <v>1520</v>
      </c>
      <c r="B1521">
        <v>1376</v>
      </c>
      <c r="C1521">
        <v>625</v>
      </c>
      <c r="D1521" s="1">
        <v>45719</v>
      </c>
      <c r="E1521" t="s">
        <v>24</v>
      </c>
      <c r="F1521" t="s">
        <v>321</v>
      </c>
      <c r="G1521" t="str">
        <f>_xlfn.XLOOKUP(TRIM(E1522),MedicineInfo!A:A,MedicineInfo!B:B,"Not Found")</f>
        <v>Multivitamin</v>
      </c>
      <c r="H1521" s="1" t="str" cm="1">
        <f t="array" ref="H1521">_xlfn.IFS(
OR(E1521="Type 2 Diabetes",E1521="Essential Hypertension",E1521="Angina Pectoris",E1521="Bronchial Asthma",E1521="Cardiac Arrhythmia"), D1521+30,
OR(E1521="Gastritis",E1521="Osteoarthritis",E1521="Bronchitis",E1521="Iron Deficiency Anemia"), D1521+14,
OR(E1521="Lumbar Strain",E1521="Migraine Headache"), D1521+7,
OR(E1521="Viral Fever",E1521="General Checkup","Routine Health Check"), "",
TRUE,""
)</f>
        <v/>
      </c>
      <c r="I1521" s="1" t="str">
        <f t="shared" si="46"/>
        <v>No Follow-up Required</v>
      </c>
      <c r="J1521" t="str">
        <f>TEXT(Table8[[#This Row],[visit_Date]],"DDDD")</f>
        <v>Monday</v>
      </c>
      <c r="K1521" t="str">
        <f>TEXT(Table8[[#This Row],[visit_Date]],"mmmm")</f>
        <v>March</v>
      </c>
      <c r="L1521" t="str">
        <f t="shared" si="47"/>
        <v>Summer</v>
      </c>
    </row>
    <row r="1522" spans="1:12" x14ac:dyDescent="0.25">
      <c r="A1522">
        <v>1521</v>
      </c>
      <c r="B1522">
        <v>1173</v>
      </c>
      <c r="C1522">
        <v>562</v>
      </c>
      <c r="D1522" s="1">
        <v>45736</v>
      </c>
      <c r="E1522" t="s">
        <v>24</v>
      </c>
      <c r="F1522" t="s">
        <v>321</v>
      </c>
      <c r="G1522" t="str">
        <f>_xlfn.XLOOKUP(TRIM(E1523),MedicineInfo!A:A,MedicineInfo!B:B,"Not Found")</f>
        <v>Calcium Supplement</v>
      </c>
      <c r="H1522" s="1" t="str" cm="1">
        <f t="array" ref="H1522">_xlfn.IFS(
OR(E1522="Type 2 Diabetes",E1522="Essential Hypertension",E1522="Angina Pectoris",E1522="Bronchial Asthma",E1522="Cardiac Arrhythmia"), D1522+30,
OR(E1522="Gastritis",E1522="Osteoarthritis",E1522="Bronchitis",E1522="Iron Deficiency Anemia"), D1522+14,
OR(E1522="Lumbar Strain",E1522="Migraine Headache"), D1522+7,
OR(E1522="Viral Fever",E1522="General Checkup","Routine Health Check"), "",
TRUE,""
)</f>
        <v/>
      </c>
      <c r="I1522" s="1" t="str">
        <f t="shared" si="46"/>
        <v>No Follow-up Required</v>
      </c>
      <c r="J1522" t="str">
        <f>TEXT(Table8[[#This Row],[visit_Date]],"DDDD")</f>
        <v>Thursday</v>
      </c>
      <c r="K1522" t="str">
        <f>TEXT(Table8[[#This Row],[visit_Date]],"mmmm")</f>
        <v>March</v>
      </c>
      <c r="L1522" t="str">
        <f t="shared" si="47"/>
        <v>Summer</v>
      </c>
    </row>
    <row r="1523" spans="1:12" x14ac:dyDescent="0.25">
      <c r="A1523">
        <v>1522</v>
      </c>
      <c r="B1523">
        <v>1183</v>
      </c>
      <c r="C1523">
        <v>175</v>
      </c>
      <c r="D1523" s="1">
        <v>45747</v>
      </c>
      <c r="E1523" t="s">
        <v>336</v>
      </c>
      <c r="F1523" t="s">
        <v>337</v>
      </c>
      <c r="G1523" t="str">
        <f>_xlfn.XLOOKUP(TRIM(E1524),MedicineInfo!A:A,MedicineInfo!B:B,"Not Found")</f>
        <v>Donepezil</v>
      </c>
      <c r="H1523" s="1" t="str" cm="1">
        <f t="array" ref="H1523">_xlfn.IFS(
OR(E1523="Type 2 Diabetes",E1523="Essential Hypertension",E1523="Angina Pectoris",E1523="Bronchial Asthma",E1523="Cardiac Arrhythmia"), D1523+30,
OR(E1523="Gastritis",E1523="Osteoarthritis",E1523="Bronchitis",E1523="Iron Deficiency Anemia"), D1523+14,
OR(E1523="Lumbar Strain",E1523="Migraine Headache"), D1523+7,
OR(E1523="Viral Fever",E1523="General Checkup","Routine Health Check"), "",
TRUE,""
)</f>
        <v/>
      </c>
      <c r="I1523" s="1" t="str">
        <f t="shared" si="46"/>
        <v>No Follow-up Required</v>
      </c>
      <c r="J1523" t="str">
        <f>TEXT(Table8[[#This Row],[visit_Date]],"DDDD")</f>
        <v>Monday</v>
      </c>
      <c r="K1523" t="str">
        <f>TEXT(Table8[[#This Row],[visit_Date]],"mmmm")</f>
        <v>March</v>
      </c>
      <c r="L1523" t="str">
        <f t="shared" si="47"/>
        <v>Summer</v>
      </c>
    </row>
    <row r="1524" spans="1:12" x14ac:dyDescent="0.25">
      <c r="A1524">
        <v>1523</v>
      </c>
      <c r="B1524">
        <v>1224</v>
      </c>
      <c r="C1524">
        <v>768</v>
      </c>
      <c r="D1524" s="1">
        <v>45814</v>
      </c>
      <c r="E1524" t="s">
        <v>350</v>
      </c>
      <c r="F1524" t="s">
        <v>351</v>
      </c>
      <c r="G1524" t="str">
        <f>_xlfn.XLOOKUP(TRIM(E1525),MedicineInfo!A:A,MedicineInfo!B:B,"Not Found")</f>
        <v>Multivitamin</v>
      </c>
      <c r="H1524" s="1" t="str" cm="1">
        <f t="array" ref="H1524">_xlfn.IFS(
OR(E1524="Type 2 Diabetes",E1524="Essential Hypertension",E1524="Angina Pectoris",E1524="Bronchial Asthma",E1524="Cardiac Arrhythmia"), D1524+30,
OR(E1524="Gastritis",E1524="Osteoarthritis",E1524="Bronchitis",E1524="Iron Deficiency Anemia"), D1524+14,
OR(E1524="Lumbar Strain",E1524="Migraine Headache"), D1524+7,
OR(E1524="Viral Fever",E1524="General Checkup","Routine Health Check"), "",
TRUE,""
)</f>
        <v/>
      </c>
      <c r="I1524" s="1" t="str">
        <f t="shared" si="46"/>
        <v>No Follow-up Required</v>
      </c>
      <c r="J1524" t="str">
        <f>TEXT(Table8[[#This Row],[visit_Date]],"DDDD")</f>
        <v>Friday</v>
      </c>
      <c r="K1524" t="str">
        <f>TEXT(Table8[[#This Row],[visit_Date]],"mmmm")</f>
        <v>June</v>
      </c>
      <c r="L1524" t="str">
        <f t="shared" si="47"/>
        <v>Monsoon</v>
      </c>
    </row>
    <row r="1525" spans="1:12" x14ac:dyDescent="0.25">
      <c r="A1525">
        <v>1524</v>
      </c>
      <c r="B1525">
        <v>1201</v>
      </c>
      <c r="C1525">
        <v>473</v>
      </c>
      <c r="D1525" s="1">
        <v>45791</v>
      </c>
      <c r="E1525" t="s">
        <v>24</v>
      </c>
      <c r="F1525" t="s">
        <v>321</v>
      </c>
      <c r="G1525" t="str">
        <f>_xlfn.XLOOKUP(TRIM(E1526),MedicineInfo!A:A,MedicineInfo!B:B,"Not Found")</f>
        <v>Multivitamin</v>
      </c>
      <c r="H1525" s="1" t="str" cm="1">
        <f t="array" ref="H1525">_xlfn.IFS(
OR(E1525="Type 2 Diabetes",E1525="Essential Hypertension",E1525="Angina Pectoris",E1525="Bronchial Asthma",E1525="Cardiac Arrhythmia"), D1525+30,
OR(E1525="Gastritis",E1525="Osteoarthritis",E1525="Bronchitis",E1525="Iron Deficiency Anemia"), D1525+14,
OR(E1525="Lumbar Strain",E1525="Migraine Headache"), D1525+7,
OR(E1525="Viral Fever",E1525="General Checkup","Routine Health Check"), "",
TRUE,""
)</f>
        <v/>
      </c>
      <c r="I1525" s="1" t="str">
        <f t="shared" si="46"/>
        <v>No Follow-up Required</v>
      </c>
      <c r="J1525" t="str">
        <f>TEXT(Table8[[#This Row],[visit_Date]],"DDDD")</f>
        <v>Wednesday</v>
      </c>
      <c r="K1525" t="str">
        <f>TEXT(Table8[[#This Row],[visit_Date]],"mmmm")</f>
        <v>May</v>
      </c>
      <c r="L1525" t="str">
        <f t="shared" si="47"/>
        <v>Summer</v>
      </c>
    </row>
    <row r="1526" spans="1:12" x14ac:dyDescent="0.25">
      <c r="A1526">
        <v>1525</v>
      </c>
      <c r="B1526">
        <v>1132</v>
      </c>
      <c r="C1526">
        <v>1175</v>
      </c>
      <c r="D1526" s="1">
        <v>45791</v>
      </c>
      <c r="E1526" t="s">
        <v>24</v>
      </c>
      <c r="F1526" t="s">
        <v>321</v>
      </c>
      <c r="G1526" t="str">
        <f>_xlfn.XLOOKUP(TRIM(E1527),MedicineInfo!A:A,MedicineInfo!B:B,"Not Found")</f>
        <v>Multivitamin</v>
      </c>
      <c r="H1526" s="1" t="str" cm="1">
        <f t="array" ref="H1526">_xlfn.IFS(
OR(E1526="Type 2 Diabetes",E1526="Essential Hypertension",E1526="Angina Pectoris",E1526="Bronchial Asthma",E1526="Cardiac Arrhythmia"), D1526+30,
OR(E1526="Gastritis",E1526="Osteoarthritis",E1526="Bronchitis",E1526="Iron Deficiency Anemia"), D1526+14,
OR(E1526="Lumbar Strain",E1526="Migraine Headache"), D1526+7,
OR(E1526="Viral Fever",E1526="General Checkup","Routine Health Check"), "",
TRUE,""
)</f>
        <v/>
      </c>
      <c r="I1526" s="1" t="str">
        <f t="shared" si="46"/>
        <v>No Follow-up Required</v>
      </c>
      <c r="J1526" t="str">
        <f>TEXT(Table8[[#This Row],[visit_Date]],"DDDD")</f>
        <v>Wednesday</v>
      </c>
      <c r="K1526" t="str">
        <f>TEXT(Table8[[#This Row],[visit_Date]],"mmmm")</f>
        <v>May</v>
      </c>
      <c r="L1526" t="str">
        <f t="shared" si="47"/>
        <v>Summer</v>
      </c>
    </row>
    <row r="1527" spans="1:12" x14ac:dyDescent="0.25">
      <c r="A1527">
        <v>1526</v>
      </c>
      <c r="B1527">
        <v>1007</v>
      </c>
      <c r="C1527">
        <v>482</v>
      </c>
      <c r="D1527" s="1">
        <v>45777</v>
      </c>
      <c r="E1527" t="s">
        <v>24</v>
      </c>
      <c r="F1527" t="s">
        <v>321</v>
      </c>
      <c r="G1527" t="str">
        <f>_xlfn.XLOOKUP(TRIM(E1528),MedicineInfo!A:A,MedicineInfo!B:B,"Not Found")</f>
        <v>Multivitamin</v>
      </c>
      <c r="H1527" s="1" t="str" cm="1">
        <f t="array" ref="H1527">_xlfn.IFS(
OR(E1527="Type 2 Diabetes",E1527="Essential Hypertension",E1527="Angina Pectoris",E1527="Bronchial Asthma",E1527="Cardiac Arrhythmia"), D1527+30,
OR(E1527="Gastritis",E1527="Osteoarthritis",E1527="Bronchitis",E1527="Iron Deficiency Anemia"), D1527+14,
OR(E1527="Lumbar Strain",E1527="Migraine Headache"), D1527+7,
OR(E1527="Viral Fever",E1527="General Checkup","Routine Health Check"), "",
TRUE,""
)</f>
        <v/>
      </c>
      <c r="I1527" s="1" t="str">
        <f t="shared" si="46"/>
        <v>No Follow-up Required</v>
      </c>
      <c r="J1527" t="str">
        <f>TEXT(Table8[[#This Row],[visit_Date]],"DDDD")</f>
        <v>Wednesday</v>
      </c>
      <c r="K1527" t="str">
        <f>TEXT(Table8[[#This Row],[visit_Date]],"mmmm")</f>
        <v>April</v>
      </c>
      <c r="L1527" t="str">
        <f t="shared" si="47"/>
        <v>Summer</v>
      </c>
    </row>
    <row r="1528" spans="1:12" x14ac:dyDescent="0.25">
      <c r="A1528">
        <v>1527</v>
      </c>
      <c r="B1528">
        <v>1052</v>
      </c>
      <c r="C1528">
        <v>875</v>
      </c>
      <c r="D1528" s="1">
        <v>45827</v>
      </c>
      <c r="E1528" t="s">
        <v>24</v>
      </c>
      <c r="F1528" t="s">
        <v>321</v>
      </c>
      <c r="G1528" t="str">
        <f>_xlfn.XLOOKUP(TRIM(E1529),MedicineInfo!A:A,MedicineInfo!B:B,"Not Found")</f>
        <v>Multivitamin</v>
      </c>
      <c r="H1528" s="1" t="str" cm="1">
        <f t="array" ref="H1528">_xlfn.IFS(
OR(E1528="Type 2 Diabetes",E1528="Essential Hypertension",E1528="Angina Pectoris",E1528="Bronchial Asthma",E1528="Cardiac Arrhythmia"), D1528+30,
OR(E1528="Gastritis",E1528="Osteoarthritis",E1528="Bronchitis",E1528="Iron Deficiency Anemia"), D1528+14,
OR(E1528="Lumbar Strain",E1528="Migraine Headache"), D1528+7,
OR(E1528="Viral Fever",E1528="General Checkup","Routine Health Check"), "",
TRUE,""
)</f>
        <v/>
      </c>
      <c r="I1528" s="1" t="str">
        <f t="shared" si="46"/>
        <v>No Follow-up Required</v>
      </c>
      <c r="J1528" t="str">
        <f>TEXT(Table8[[#This Row],[visit_Date]],"DDDD")</f>
        <v>Thursday</v>
      </c>
      <c r="K1528" t="str">
        <f>TEXT(Table8[[#This Row],[visit_Date]],"mmmm")</f>
        <v>June</v>
      </c>
      <c r="L1528" t="str">
        <f t="shared" si="47"/>
        <v>Monsoon</v>
      </c>
    </row>
    <row r="1529" spans="1:12" x14ac:dyDescent="0.25">
      <c r="A1529">
        <v>1528</v>
      </c>
      <c r="B1529">
        <v>1003</v>
      </c>
      <c r="C1529">
        <v>1021</v>
      </c>
      <c r="D1529" s="1">
        <v>45669</v>
      </c>
      <c r="E1529" t="s">
        <v>24</v>
      </c>
      <c r="F1529" t="s">
        <v>321</v>
      </c>
      <c r="G1529" t="str">
        <f>_xlfn.XLOOKUP(TRIM(E1530),MedicineInfo!A:A,MedicineInfo!B:B,"Not Found")</f>
        <v>Multivitamin</v>
      </c>
      <c r="H1529" s="1" t="str" cm="1">
        <f t="array" ref="H1529">_xlfn.IFS(
OR(E1529="Type 2 Diabetes",E1529="Essential Hypertension",E1529="Angina Pectoris",E1529="Bronchial Asthma",E1529="Cardiac Arrhythmia"), D1529+30,
OR(E1529="Gastritis",E1529="Osteoarthritis",E1529="Bronchitis",E1529="Iron Deficiency Anemia"), D1529+14,
OR(E1529="Lumbar Strain",E1529="Migraine Headache"), D1529+7,
OR(E1529="Viral Fever",E1529="General Checkup","Routine Health Check"), "",
TRUE,""
)</f>
        <v/>
      </c>
      <c r="I1529" s="1" t="str">
        <f t="shared" si="46"/>
        <v>No Follow-up Required</v>
      </c>
      <c r="J1529" t="str">
        <f>TEXT(Table8[[#This Row],[visit_Date]],"DDDD")</f>
        <v>Sunday</v>
      </c>
      <c r="K1529" t="str">
        <f>TEXT(Table8[[#This Row],[visit_Date]],"mmmm")</f>
        <v>January</v>
      </c>
      <c r="L1529" t="str">
        <f t="shared" si="47"/>
        <v>Winter</v>
      </c>
    </row>
    <row r="1530" spans="1:12" x14ac:dyDescent="0.25">
      <c r="A1530">
        <v>1529</v>
      </c>
      <c r="B1530">
        <v>1112</v>
      </c>
      <c r="C1530">
        <v>1536</v>
      </c>
      <c r="D1530" s="1">
        <v>45717</v>
      </c>
      <c r="E1530" t="s">
        <v>24</v>
      </c>
      <c r="F1530" t="s">
        <v>321</v>
      </c>
      <c r="G1530" t="str">
        <f>_xlfn.XLOOKUP(TRIM(E1531),MedicineInfo!A:A,MedicineInfo!B:B,"Not Found")</f>
        <v>Multivitamin</v>
      </c>
      <c r="H1530" s="1" t="str" cm="1">
        <f t="array" ref="H1530">_xlfn.IFS(
OR(E1530="Type 2 Diabetes",E1530="Essential Hypertension",E1530="Angina Pectoris",E1530="Bronchial Asthma",E1530="Cardiac Arrhythmia"), D1530+30,
OR(E1530="Gastritis",E1530="Osteoarthritis",E1530="Bronchitis",E1530="Iron Deficiency Anemia"), D1530+14,
OR(E1530="Lumbar Strain",E1530="Migraine Headache"), D1530+7,
OR(E1530="Viral Fever",E1530="General Checkup","Routine Health Check"), "",
TRUE,""
)</f>
        <v/>
      </c>
      <c r="I1530" s="1" t="str">
        <f t="shared" si="46"/>
        <v>No Follow-up Required</v>
      </c>
      <c r="J1530" t="str">
        <f>TEXT(Table8[[#This Row],[visit_Date]],"DDDD")</f>
        <v>Saturday</v>
      </c>
      <c r="K1530" t="str">
        <f>TEXT(Table8[[#This Row],[visit_Date]],"mmmm")</f>
        <v>March</v>
      </c>
      <c r="L1530" t="str">
        <f t="shared" si="47"/>
        <v>Summer</v>
      </c>
    </row>
    <row r="1531" spans="1:12" x14ac:dyDescent="0.25">
      <c r="A1531">
        <v>1530</v>
      </c>
      <c r="B1531">
        <v>1189</v>
      </c>
      <c r="C1531">
        <v>428</v>
      </c>
      <c r="D1531" s="1">
        <v>45792</v>
      </c>
      <c r="E1531" t="s">
        <v>24</v>
      </c>
      <c r="F1531" t="s">
        <v>321</v>
      </c>
      <c r="G1531" t="str">
        <f>_xlfn.XLOOKUP(TRIM(E1532),MedicineInfo!A:A,MedicineInfo!B:B,"Not Found")</f>
        <v>Salbutamol Inhaler</v>
      </c>
      <c r="H1531" s="1" t="str" cm="1">
        <f t="array" ref="H1531">_xlfn.IFS(
OR(E1531="Type 2 Diabetes",E1531="Essential Hypertension",E1531="Angina Pectoris",E1531="Bronchial Asthma",E1531="Cardiac Arrhythmia"), D1531+30,
OR(E1531="Gastritis",E1531="Osteoarthritis",E1531="Bronchitis",E1531="Iron Deficiency Anemia"), D1531+14,
OR(E1531="Lumbar Strain",E1531="Migraine Headache"), D1531+7,
OR(E1531="Viral Fever",E1531="General Checkup","Routine Health Check"), "",
TRUE,""
)</f>
        <v/>
      </c>
      <c r="I1531" s="1" t="str">
        <f t="shared" si="46"/>
        <v>No Follow-up Required</v>
      </c>
      <c r="J1531" t="str">
        <f>TEXT(Table8[[#This Row],[visit_Date]],"DDDD")</f>
        <v>Thursday</v>
      </c>
      <c r="K1531" t="str">
        <f>TEXT(Table8[[#This Row],[visit_Date]],"mmmm")</f>
        <v>May</v>
      </c>
      <c r="L1531" t="str">
        <f t="shared" si="47"/>
        <v>Summer</v>
      </c>
    </row>
    <row r="1532" spans="1:12" x14ac:dyDescent="0.25">
      <c r="A1532">
        <v>1531</v>
      </c>
      <c r="B1532">
        <v>1332</v>
      </c>
      <c r="C1532">
        <v>1324</v>
      </c>
      <c r="D1532" s="1">
        <v>45783</v>
      </c>
      <c r="E1532" t="s">
        <v>324</v>
      </c>
      <c r="F1532" t="s">
        <v>325</v>
      </c>
      <c r="G1532" t="str">
        <f>_xlfn.XLOOKUP(TRIM(E1533),MedicineInfo!A:A,MedicineInfo!B:B,"Not Found")</f>
        <v>Multivitamin</v>
      </c>
      <c r="H1532" s="1" cm="1">
        <f t="array" ref="H1532">_xlfn.IFS(
OR(E1532="Type 2 Diabetes",E1532="Essential Hypertension",E1532="Angina Pectoris",E1532="Bronchial Asthma",E1532="Cardiac Arrhythmia"), D1532+30,
OR(E1532="Gastritis",E1532="Osteoarthritis",E1532="Bronchitis",E1532="Iron Deficiency Anemia"), D1532+14,
OR(E1532="Lumbar Strain",E1532="Migraine Headache"), D1532+7,
OR(E1532="Viral Fever",E1532="General Checkup","Routine Health Check"), "",
TRUE,""
)</f>
        <v>45813</v>
      </c>
      <c r="I1532" s="1" t="str">
        <f t="shared" si="46"/>
        <v>Follow-up Scheduled</v>
      </c>
      <c r="J1532" t="str">
        <f>TEXT(Table8[[#This Row],[visit_Date]],"DDDD")</f>
        <v>Tuesday</v>
      </c>
      <c r="K1532" t="str">
        <f>TEXT(Table8[[#This Row],[visit_Date]],"mmmm")</f>
        <v>May</v>
      </c>
      <c r="L1532" t="str">
        <f t="shared" si="47"/>
        <v>Summer</v>
      </c>
    </row>
    <row r="1533" spans="1:12" x14ac:dyDescent="0.25">
      <c r="A1533">
        <v>1532</v>
      </c>
      <c r="B1533">
        <v>1060</v>
      </c>
      <c r="C1533">
        <v>1572</v>
      </c>
      <c r="D1533" s="1">
        <v>45747</v>
      </c>
      <c r="E1533" t="s">
        <v>24</v>
      </c>
      <c r="F1533" t="s">
        <v>321</v>
      </c>
      <c r="G1533" t="str">
        <f>_xlfn.XLOOKUP(TRIM(E1534),MedicineInfo!A:A,MedicineInfo!B:B,"Not Found")</f>
        <v>Multivitamin</v>
      </c>
      <c r="H1533" s="1" t="str" cm="1">
        <f t="array" ref="H1533">_xlfn.IFS(
OR(E1533="Type 2 Diabetes",E1533="Essential Hypertension",E1533="Angina Pectoris",E1533="Bronchial Asthma",E1533="Cardiac Arrhythmia"), D1533+30,
OR(E1533="Gastritis",E1533="Osteoarthritis",E1533="Bronchitis",E1533="Iron Deficiency Anemia"), D1533+14,
OR(E1533="Lumbar Strain",E1533="Migraine Headache"), D1533+7,
OR(E1533="Viral Fever",E1533="General Checkup","Routine Health Check"), "",
TRUE,""
)</f>
        <v/>
      </c>
      <c r="I1533" s="1" t="str">
        <f t="shared" si="46"/>
        <v>No Follow-up Required</v>
      </c>
      <c r="J1533" t="str">
        <f>TEXT(Table8[[#This Row],[visit_Date]],"DDDD")</f>
        <v>Monday</v>
      </c>
      <c r="K1533" t="str">
        <f>TEXT(Table8[[#This Row],[visit_Date]],"mmmm")</f>
        <v>March</v>
      </c>
      <c r="L1533" t="str">
        <f t="shared" si="47"/>
        <v>Summer</v>
      </c>
    </row>
    <row r="1534" spans="1:12" x14ac:dyDescent="0.25">
      <c r="A1534">
        <v>1533</v>
      </c>
      <c r="B1534">
        <v>1365</v>
      </c>
      <c r="C1534">
        <v>1194</v>
      </c>
      <c r="D1534" s="1">
        <v>45694</v>
      </c>
      <c r="E1534" t="s">
        <v>24</v>
      </c>
      <c r="F1534" t="s">
        <v>321</v>
      </c>
      <c r="G1534" t="str">
        <f>_xlfn.XLOOKUP(TRIM(E1535),MedicineInfo!A:A,MedicineInfo!B:B,"Not Found")</f>
        <v>Paracetamol</v>
      </c>
      <c r="H1534" s="1" t="str" cm="1">
        <f t="array" ref="H1534">_xlfn.IFS(
OR(E1534="Type 2 Diabetes",E1534="Essential Hypertension",E1534="Angina Pectoris",E1534="Bronchial Asthma",E1534="Cardiac Arrhythmia"), D1534+30,
OR(E1534="Gastritis",E1534="Osteoarthritis",E1534="Bronchitis",E1534="Iron Deficiency Anemia"), D1534+14,
OR(E1534="Lumbar Strain",E1534="Migraine Headache"), D1534+7,
OR(E1534="Viral Fever",E1534="General Checkup","Routine Health Check"), "",
TRUE,""
)</f>
        <v/>
      </c>
      <c r="I1534" s="1" t="str">
        <f t="shared" si="46"/>
        <v>No Follow-up Required</v>
      </c>
      <c r="J1534" t="str">
        <f>TEXT(Table8[[#This Row],[visit_Date]],"DDDD")</f>
        <v>Thursday</v>
      </c>
      <c r="K1534" t="str">
        <f>TEXT(Table8[[#This Row],[visit_Date]],"mmmm")</f>
        <v>February</v>
      </c>
      <c r="L1534" t="str">
        <f t="shared" si="47"/>
        <v>Winter</v>
      </c>
    </row>
    <row r="1535" spans="1:12" x14ac:dyDescent="0.25">
      <c r="A1535">
        <v>1534</v>
      </c>
      <c r="B1535">
        <v>1172</v>
      </c>
      <c r="C1535">
        <v>1023</v>
      </c>
      <c r="D1535" s="1">
        <v>45714</v>
      </c>
      <c r="E1535" t="s">
        <v>326</v>
      </c>
      <c r="F1535" t="s">
        <v>327</v>
      </c>
      <c r="G1535" t="str">
        <f>_xlfn.XLOOKUP(TRIM(E1536),MedicineInfo!A:A,MedicineInfo!B:B,"Not Found")</f>
        <v>Multivitamin</v>
      </c>
      <c r="H1535" s="1" t="str" cm="1">
        <f t="array" ref="H1535">_xlfn.IFS(
OR(E1535="Type 2 Diabetes",E1535="Essential Hypertension",E1535="Angina Pectoris",E1535="Bronchial Asthma",E1535="Cardiac Arrhythmia"), D1535+30,
OR(E1535="Gastritis",E1535="Osteoarthritis",E1535="Bronchitis",E1535="Iron Deficiency Anemia"), D1535+14,
OR(E1535="Lumbar Strain",E1535="Migraine Headache"), D1535+7,
OR(E1535="Viral Fever",E1535="General Checkup","Routine Health Check"), "",
TRUE,""
)</f>
        <v/>
      </c>
      <c r="I1535" s="1" t="str">
        <f t="shared" si="46"/>
        <v>No Follow-up Required</v>
      </c>
      <c r="J1535" t="str">
        <f>TEXT(Table8[[#This Row],[visit_Date]],"DDDD")</f>
        <v>Wednesday</v>
      </c>
      <c r="K1535" t="str">
        <f>TEXT(Table8[[#This Row],[visit_Date]],"mmmm")</f>
        <v>February</v>
      </c>
      <c r="L1535" t="str">
        <f t="shared" si="47"/>
        <v>Winter</v>
      </c>
    </row>
    <row r="1536" spans="1:12" x14ac:dyDescent="0.25">
      <c r="A1536">
        <v>1535</v>
      </c>
      <c r="B1536">
        <v>1366</v>
      </c>
      <c r="C1536">
        <v>788</v>
      </c>
      <c r="D1536" s="1">
        <v>45792</v>
      </c>
      <c r="E1536" t="s">
        <v>24</v>
      </c>
      <c r="F1536" t="s">
        <v>321</v>
      </c>
      <c r="G1536" t="str">
        <f>_xlfn.XLOOKUP(TRIM(E1537),MedicineInfo!A:A,MedicineInfo!B:B,"Not Found")</f>
        <v>Multivitamin</v>
      </c>
      <c r="H1536" s="1" t="str" cm="1">
        <f t="array" ref="H1536">_xlfn.IFS(
OR(E1536="Type 2 Diabetes",E1536="Essential Hypertension",E1536="Angina Pectoris",E1536="Bronchial Asthma",E1536="Cardiac Arrhythmia"), D1536+30,
OR(E1536="Gastritis",E1536="Osteoarthritis",E1536="Bronchitis",E1536="Iron Deficiency Anemia"), D1536+14,
OR(E1536="Lumbar Strain",E1536="Migraine Headache"), D1536+7,
OR(E1536="Viral Fever",E1536="General Checkup","Routine Health Check"), "",
TRUE,""
)</f>
        <v/>
      </c>
      <c r="I1536" s="1" t="str">
        <f t="shared" si="46"/>
        <v>No Follow-up Required</v>
      </c>
      <c r="J1536" t="str">
        <f>TEXT(Table8[[#This Row],[visit_Date]],"DDDD")</f>
        <v>Thursday</v>
      </c>
      <c r="K1536" t="str">
        <f>TEXT(Table8[[#This Row],[visit_Date]],"mmmm")</f>
        <v>May</v>
      </c>
      <c r="L1536" t="str">
        <f t="shared" si="47"/>
        <v>Summer</v>
      </c>
    </row>
    <row r="1537" spans="1:12" x14ac:dyDescent="0.25">
      <c r="A1537">
        <v>1536</v>
      </c>
      <c r="B1537">
        <v>1060</v>
      </c>
      <c r="C1537">
        <v>1518</v>
      </c>
      <c r="D1537" s="1">
        <v>45669</v>
      </c>
      <c r="E1537" t="s">
        <v>24</v>
      </c>
      <c r="F1537" t="s">
        <v>321</v>
      </c>
      <c r="G1537" t="str">
        <f>_xlfn.XLOOKUP(TRIM(E1538),MedicineInfo!A:A,MedicineInfo!B:B,"Not Found")</f>
        <v>Multivitamin</v>
      </c>
      <c r="H1537" s="1" t="str" cm="1">
        <f t="array" ref="H1537">_xlfn.IFS(
OR(E1537="Type 2 Diabetes",E1537="Essential Hypertension",E1537="Angina Pectoris",E1537="Bronchial Asthma",E1537="Cardiac Arrhythmia"), D1537+30,
OR(E1537="Gastritis",E1537="Osteoarthritis",E1537="Bronchitis",E1537="Iron Deficiency Anemia"), D1537+14,
OR(E1537="Lumbar Strain",E1537="Migraine Headache"), D1537+7,
OR(E1537="Viral Fever",E1537="General Checkup","Routine Health Check"), "",
TRUE,""
)</f>
        <v/>
      </c>
      <c r="I1537" s="1" t="str">
        <f t="shared" si="46"/>
        <v>No Follow-up Required</v>
      </c>
      <c r="J1537" t="str">
        <f>TEXT(Table8[[#This Row],[visit_Date]],"DDDD")</f>
        <v>Sunday</v>
      </c>
      <c r="K1537" t="str">
        <f>TEXT(Table8[[#This Row],[visit_Date]],"mmmm")</f>
        <v>January</v>
      </c>
      <c r="L1537" t="str">
        <f t="shared" si="47"/>
        <v>Winter</v>
      </c>
    </row>
    <row r="1538" spans="1:12" x14ac:dyDescent="0.25">
      <c r="A1538">
        <v>1537</v>
      </c>
      <c r="B1538">
        <v>1150</v>
      </c>
      <c r="C1538">
        <v>605</v>
      </c>
      <c r="D1538" s="1">
        <v>45792</v>
      </c>
      <c r="E1538" t="s">
        <v>24</v>
      </c>
      <c r="F1538" t="s">
        <v>321</v>
      </c>
      <c r="G1538" t="str">
        <f>_xlfn.XLOOKUP(TRIM(E1539),MedicineInfo!A:A,MedicineInfo!B:B,"Not Found")</f>
        <v>Multivitamin</v>
      </c>
      <c r="H1538" s="1" t="str" cm="1">
        <f t="array" ref="H1538">_xlfn.IFS(
OR(E1538="Type 2 Diabetes",E1538="Essential Hypertension",E1538="Angina Pectoris",E1538="Bronchial Asthma",E1538="Cardiac Arrhythmia"), D1538+30,
OR(E1538="Gastritis",E1538="Osteoarthritis",E1538="Bronchitis",E1538="Iron Deficiency Anemia"), D1538+14,
OR(E1538="Lumbar Strain",E1538="Migraine Headache"), D1538+7,
OR(E1538="Viral Fever",E1538="General Checkup","Routine Health Check"), "",
TRUE,""
)</f>
        <v/>
      </c>
      <c r="I1538" s="1" t="str">
        <f t="shared" ref="I1538:I1601" si="48">IF(H1538="","No Follow-up Required","Follow-up Scheduled")</f>
        <v>No Follow-up Required</v>
      </c>
      <c r="J1538" t="str">
        <f>TEXT(Table8[[#This Row],[visit_Date]],"DDDD")</f>
        <v>Thursday</v>
      </c>
      <c r="K1538" t="str">
        <f>TEXT(Table8[[#This Row],[visit_Date]],"mmmm")</f>
        <v>May</v>
      </c>
      <c r="L1538" t="str">
        <f t="shared" ref="L1538:L1601" si="49">IF(OR(MONTH(D1538)=12,MONTH(D1538)&lt;=2),"Winter",
IF(MONTH(D1538)&lt;=5,"Summer","Monsoon"))</f>
        <v>Summer</v>
      </c>
    </row>
    <row r="1539" spans="1:12" x14ac:dyDescent="0.25">
      <c r="A1539">
        <v>1538</v>
      </c>
      <c r="B1539">
        <v>1098</v>
      </c>
      <c r="C1539">
        <v>588</v>
      </c>
      <c r="D1539" s="1">
        <v>45814</v>
      </c>
      <c r="E1539" t="s">
        <v>24</v>
      </c>
      <c r="F1539" t="s">
        <v>321</v>
      </c>
      <c r="G1539" t="str">
        <f>_xlfn.XLOOKUP(TRIM(E1540),MedicineInfo!A:A,MedicineInfo!B:B,"Not Found")</f>
        <v>Multivitamin</v>
      </c>
      <c r="H1539" s="1" t="str" cm="1">
        <f t="array" ref="H1539">_xlfn.IFS(
OR(E1539="Type 2 Diabetes",E1539="Essential Hypertension",E1539="Angina Pectoris",E1539="Bronchial Asthma",E1539="Cardiac Arrhythmia"), D1539+30,
OR(E1539="Gastritis",E1539="Osteoarthritis",E1539="Bronchitis",E1539="Iron Deficiency Anemia"), D1539+14,
OR(E1539="Lumbar Strain",E1539="Migraine Headache"), D1539+7,
OR(E1539="Viral Fever",E1539="General Checkup","Routine Health Check"), "",
TRUE,""
)</f>
        <v/>
      </c>
      <c r="I1539" s="1" t="str">
        <f t="shared" si="48"/>
        <v>No Follow-up Required</v>
      </c>
      <c r="J1539" t="str">
        <f>TEXT(Table8[[#This Row],[visit_Date]],"DDDD")</f>
        <v>Friday</v>
      </c>
      <c r="K1539" t="str">
        <f>TEXT(Table8[[#This Row],[visit_Date]],"mmmm")</f>
        <v>June</v>
      </c>
      <c r="L1539" t="str">
        <f t="shared" si="49"/>
        <v>Monsoon</v>
      </c>
    </row>
    <row r="1540" spans="1:12" x14ac:dyDescent="0.25">
      <c r="A1540">
        <v>1539</v>
      </c>
      <c r="B1540">
        <v>1220</v>
      </c>
      <c r="C1540">
        <v>1490</v>
      </c>
      <c r="D1540" s="1">
        <v>45758</v>
      </c>
      <c r="E1540" t="s">
        <v>24</v>
      </c>
      <c r="F1540" t="s">
        <v>321</v>
      </c>
      <c r="G1540" t="str">
        <f>_xlfn.XLOOKUP(TRIM(E1541),MedicineInfo!A:A,MedicineInfo!B:B,"Not Found")</f>
        <v>Multivitamin</v>
      </c>
      <c r="H1540" s="1" t="str" cm="1">
        <f t="array" ref="H1540">_xlfn.IFS(
OR(E1540="Type 2 Diabetes",E1540="Essential Hypertension",E1540="Angina Pectoris",E1540="Bronchial Asthma",E1540="Cardiac Arrhythmia"), D1540+30,
OR(E1540="Gastritis",E1540="Osteoarthritis",E1540="Bronchitis",E1540="Iron Deficiency Anemia"), D1540+14,
OR(E1540="Lumbar Strain",E1540="Migraine Headache"), D1540+7,
OR(E1540="Viral Fever",E1540="General Checkup","Routine Health Check"), "",
TRUE,""
)</f>
        <v/>
      </c>
      <c r="I1540" s="1" t="str">
        <f t="shared" si="48"/>
        <v>No Follow-up Required</v>
      </c>
      <c r="J1540" t="str">
        <f>TEXT(Table8[[#This Row],[visit_Date]],"DDDD")</f>
        <v>Friday</v>
      </c>
      <c r="K1540" t="str">
        <f>TEXT(Table8[[#This Row],[visit_Date]],"mmmm")</f>
        <v>April</v>
      </c>
      <c r="L1540" t="str">
        <f t="shared" si="49"/>
        <v>Summer</v>
      </c>
    </row>
    <row r="1541" spans="1:12" x14ac:dyDescent="0.25">
      <c r="A1541">
        <v>1540</v>
      </c>
      <c r="B1541">
        <v>1108</v>
      </c>
      <c r="C1541">
        <v>770</v>
      </c>
      <c r="D1541" s="1">
        <v>45799</v>
      </c>
      <c r="E1541" t="s">
        <v>24</v>
      </c>
      <c r="F1541" t="s">
        <v>321</v>
      </c>
      <c r="G1541" t="str">
        <f>_xlfn.XLOOKUP(TRIM(E1542),MedicineInfo!A:A,MedicineInfo!B:B,"Not Found")</f>
        <v>Multivitamin</v>
      </c>
      <c r="H1541" s="1" t="str" cm="1">
        <f t="array" ref="H1541">_xlfn.IFS(
OR(E1541="Type 2 Diabetes",E1541="Essential Hypertension",E1541="Angina Pectoris",E1541="Bronchial Asthma",E1541="Cardiac Arrhythmia"), D1541+30,
OR(E1541="Gastritis",E1541="Osteoarthritis",E1541="Bronchitis",E1541="Iron Deficiency Anemia"), D1541+14,
OR(E1541="Lumbar Strain",E1541="Migraine Headache"), D1541+7,
OR(E1541="Viral Fever",E1541="General Checkup","Routine Health Check"), "",
TRUE,""
)</f>
        <v/>
      </c>
      <c r="I1541" s="1" t="str">
        <f t="shared" si="48"/>
        <v>No Follow-up Required</v>
      </c>
      <c r="J1541" t="str">
        <f>TEXT(Table8[[#This Row],[visit_Date]],"DDDD")</f>
        <v>Thursday</v>
      </c>
      <c r="K1541" t="str">
        <f>TEXT(Table8[[#This Row],[visit_Date]],"mmmm")</f>
        <v>May</v>
      </c>
      <c r="L1541" t="str">
        <f t="shared" si="49"/>
        <v>Summer</v>
      </c>
    </row>
    <row r="1542" spans="1:12" x14ac:dyDescent="0.25">
      <c r="A1542">
        <v>1541</v>
      </c>
      <c r="B1542">
        <v>1106</v>
      </c>
      <c r="C1542">
        <v>974</v>
      </c>
      <c r="D1542" s="1">
        <v>45686</v>
      </c>
      <c r="E1542" t="s">
        <v>24</v>
      </c>
      <c r="F1542" t="s">
        <v>321</v>
      </c>
      <c r="G1542" t="str">
        <f>_xlfn.XLOOKUP(TRIM(E1543),MedicineInfo!A:A,MedicineInfo!B:B,"Not Found")</f>
        <v>Diclofenac</v>
      </c>
      <c r="H1542" s="1" t="str" cm="1">
        <f t="array" ref="H1542">_xlfn.IFS(
OR(E1542="Type 2 Diabetes",E1542="Essential Hypertension",E1542="Angina Pectoris",E1542="Bronchial Asthma",E1542="Cardiac Arrhythmia"), D1542+30,
OR(E1542="Gastritis",E1542="Osteoarthritis",E1542="Bronchitis",E1542="Iron Deficiency Anemia"), D1542+14,
OR(E1542="Lumbar Strain",E1542="Migraine Headache"), D1542+7,
OR(E1542="Viral Fever",E1542="General Checkup","Routine Health Check"), "",
TRUE,""
)</f>
        <v/>
      </c>
      <c r="I1542" s="1" t="str">
        <f t="shared" si="48"/>
        <v>No Follow-up Required</v>
      </c>
      <c r="J1542" t="str">
        <f>TEXT(Table8[[#This Row],[visit_Date]],"DDDD")</f>
        <v>Wednesday</v>
      </c>
      <c r="K1542" t="str">
        <f>TEXT(Table8[[#This Row],[visit_Date]],"mmmm")</f>
        <v>January</v>
      </c>
      <c r="L1542" t="str">
        <f t="shared" si="49"/>
        <v>Winter</v>
      </c>
    </row>
    <row r="1543" spans="1:12" x14ac:dyDescent="0.25">
      <c r="A1543">
        <v>1542</v>
      </c>
      <c r="B1543">
        <v>1329</v>
      </c>
      <c r="C1543">
        <v>334</v>
      </c>
      <c r="D1543" s="1">
        <v>45686</v>
      </c>
      <c r="E1543" t="s">
        <v>313</v>
      </c>
      <c r="F1543" t="s">
        <v>314</v>
      </c>
      <c r="G1543" t="str">
        <f>_xlfn.XLOOKUP(TRIM(E1544),MedicineInfo!A:A,MedicineInfo!B:B,"Not Found")</f>
        <v>Vitamin D3</v>
      </c>
      <c r="H1543" s="1" cm="1">
        <f t="array" ref="H1543">_xlfn.IFS(
OR(E1543="Type 2 Diabetes",E1543="Essential Hypertension",E1543="Angina Pectoris",E1543="Bronchial Asthma",E1543="Cardiac Arrhythmia"), D1543+30,
OR(E1543="Gastritis",E1543="Osteoarthritis",E1543="Bronchitis",E1543="Iron Deficiency Anemia"), D1543+14,
OR(E1543="Lumbar Strain",E1543="Migraine Headache"), D1543+7,
OR(E1543="Viral Fever",E1543="General Checkup","Routine Health Check"), "",
TRUE,""
)</f>
        <v>45693</v>
      </c>
      <c r="I1543" s="1" t="str">
        <f t="shared" si="48"/>
        <v>Follow-up Scheduled</v>
      </c>
      <c r="J1543" t="str">
        <f>TEXT(Table8[[#This Row],[visit_Date]],"DDDD")</f>
        <v>Wednesday</v>
      </c>
      <c r="K1543" t="str">
        <f>TEXT(Table8[[#This Row],[visit_Date]],"mmmm")</f>
        <v>January</v>
      </c>
      <c r="L1543" t="str">
        <f t="shared" si="49"/>
        <v>Winter</v>
      </c>
    </row>
    <row r="1544" spans="1:12" x14ac:dyDescent="0.25">
      <c r="A1544">
        <v>1543</v>
      </c>
      <c r="B1544">
        <v>1014</v>
      </c>
      <c r="C1544">
        <v>717</v>
      </c>
      <c r="D1544" s="1">
        <v>45777</v>
      </c>
      <c r="E1544" t="s">
        <v>332</v>
      </c>
      <c r="F1544" t="s">
        <v>333</v>
      </c>
      <c r="G1544" t="str">
        <f>_xlfn.XLOOKUP(TRIM(E1545),MedicineInfo!A:A,MedicineInfo!B:B,"Not Found")</f>
        <v>Multivitamin</v>
      </c>
      <c r="H1544" s="1" t="str" cm="1">
        <f t="array" ref="H1544">_xlfn.IFS(
OR(E1544="Type 2 Diabetes",E1544="Essential Hypertension",E1544="Angina Pectoris",E1544="Bronchial Asthma",E1544="Cardiac Arrhythmia"), D1544+30,
OR(E1544="Gastritis",E1544="Osteoarthritis",E1544="Bronchitis",E1544="Iron Deficiency Anemia"), D1544+14,
OR(E1544="Lumbar Strain",E1544="Migraine Headache"), D1544+7,
OR(E1544="Viral Fever",E1544="General Checkup","Routine Health Check"), "",
TRUE,""
)</f>
        <v/>
      </c>
      <c r="I1544" s="1" t="str">
        <f t="shared" si="48"/>
        <v>No Follow-up Required</v>
      </c>
      <c r="J1544" t="str">
        <f>TEXT(Table8[[#This Row],[visit_Date]],"DDDD")</f>
        <v>Wednesday</v>
      </c>
      <c r="K1544" t="str">
        <f>TEXT(Table8[[#This Row],[visit_Date]],"mmmm")</f>
        <v>April</v>
      </c>
      <c r="L1544" t="str">
        <f t="shared" si="49"/>
        <v>Summer</v>
      </c>
    </row>
    <row r="1545" spans="1:12" x14ac:dyDescent="0.25">
      <c r="A1545">
        <v>1544</v>
      </c>
      <c r="B1545">
        <v>1006</v>
      </c>
      <c r="C1545">
        <v>366</v>
      </c>
      <c r="D1545" s="1">
        <v>45772</v>
      </c>
      <c r="E1545" t="s">
        <v>24</v>
      </c>
      <c r="F1545" t="s">
        <v>321</v>
      </c>
      <c r="G1545" t="str">
        <f>_xlfn.XLOOKUP(TRIM(E1546),MedicineInfo!A:A,MedicineInfo!B:B,"Not Found")</f>
        <v>Multivitamin</v>
      </c>
      <c r="H1545" s="1" t="str" cm="1">
        <f t="array" ref="H1545">_xlfn.IFS(
OR(E1545="Type 2 Diabetes",E1545="Essential Hypertension",E1545="Angina Pectoris",E1545="Bronchial Asthma",E1545="Cardiac Arrhythmia"), D1545+30,
OR(E1545="Gastritis",E1545="Osteoarthritis",E1545="Bronchitis",E1545="Iron Deficiency Anemia"), D1545+14,
OR(E1545="Lumbar Strain",E1545="Migraine Headache"), D1545+7,
OR(E1545="Viral Fever",E1545="General Checkup","Routine Health Check"), "",
TRUE,""
)</f>
        <v/>
      </c>
      <c r="I1545" s="1" t="str">
        <f t="shared" si="48"/>
        <v>No Follow-up Required</v>
      </c>
      <c r="J1545" t="str">
        <f>TEXT(Table8[[#This Row],[visit_Date]],"DDDD")</f>
        <v>Friday</v>
      </c>
      <c r="K1545" t="str">
        <f>TEXT(Table8[[#This Row],[visit_Date]],"mmmm")</f>
        <v>April</v>
      </c>
      <c r="L1545" t="str">
        <f t="shared" si="49"/>
        <v>Summer</v>
      </c>
    </row>
    <row r="1546" spans="1:12" x14ac:dyDescent="0.25">
      <c r="A1546">
        <v>1545</v>
      </c>
      <c r="B1546">
        <v>1110</v>
      </c>
      <c r="C1546">
        <v>370</v>
      </c>
      <c r="D1546" s="1">
        <v>45694</v>
      </c>
      <c r="E1546" t="s">
        <v>24</v>
      </c>
      <c r="F1546" t="s">
        <v>321</v>
      </c>
      <c r="G1546" t="str">
        <f>_xlfn.XLOOKUP(TRIM(E1547),MedicineInfo!A:A,MedicineInfo!B:B,"Not Found")</f>
        <v>Multivitamin</v>
      </c>
      <c r="H1546" s="1" t="str" cm="1">
        <f t="array" ref="H1546">_xlfn.IFS(
OR(E1546="Type 2 Diabetes",E1546="Essential Hypertension",E1546="Angina Pectoris",E1546="Bronchial Asthma",E1546="Cardiac Arrhythmia"), D1546+30,
OR(E1546="Gastritis",E1546="Osteoarthritis",E1546="Bronchitis",E1546="Iron Deficiency Anemia"), D1546+14,
OR(E1546="Lumbar Strain",E1546="Migraine Headache"), D1546+7,
OR(E1546="Viral Fever",E1546="General Checkup","Routine Health Check"), "",
TRUE,""
)</f>
        <v/>
      </c>
      <c r="I1546" s="1" t="str">
        <f t="shared" si="48"/>
        <v>No Follow-up Required</v>
      </c>
      <c r="J1546" t="str">
        <f>TEXT(Table8[[#This Row],[visit_Date]],"DDDD")</f>
        <v>Thursday</v>
      </c>
      <c r="K1546" t="str">
        <f>TEXT(Table8[[#This Row],[visit_Date]],"mmmm")</f>
        <v>February</v>
      </c>
      <c r="L1546" t="str">
        <f t="shared" si="49"/>
        <v>Winter</v>
      </c>
    </row>
    <row r="1547" spans="1:12" x14ac:dyDescent="0.25">
      <c r="A1547">
        <v>1546</v>
      </c>
      <c r="B1547">
        <v>1214</v>
      </c>
      <c r="C1547">
        <v>488</v>
      </c>
      <c r="D1547" s="1">
        <v>45790</v>
      </c>
      <c r="E1547" t="s">
        <v>24</v>
      </c>
      <c r="F1547" t="s">
        <v>321</v>
      </c>
      <c r="G1547" t="str">
        <f>_xlfn.XLOOKUP(TRIM(E1548),MedicineInfo!A:A,MedicineInfo!B:B,"Not Found")</f>
        <v>Multivitamin</v>
      </c>
      <c r="H1547" s="1" t="str" cm="1">
        <f t="array" ref="H1547">_xlfn.IFS(
OR(E1547="Type 2 Diabetes",E1547="Essential Hypertension",E1547="Angina Pectoris",E1547="Bronchial Asthma",E1547="Cardiac Arrhythmia"), D1547+30,
OR(E1547="Gastritis",E1547="Osteoarthritis",E1547="Bronchitis",E1547="Iron Deficiency Anemia"), D1547+14,
OR(E1547="Lumbar Strain",E1547="Migraine Headache"), D1547+7,
OR(E1547="Viral Fever",E1547="General Checkup","Routine Health Check"), "",
TRUE,""
)</f>
        <v/>
      </c>
      <c r="I1547" s="1" t="str">
        <f t="shared" si="48"/>
        <v>No Follow-up Required</v>
      </c>
      <c r="J1547" t="str">
        <f>TEXT(Table8[[#This Row],[visit_Date]],"DDDD")</f>
        <v>Tuesday</v>
      </c>
      <c r="K1547" t="str">
        <f>TEXT(Table8[[#This Row],[visit_Date]],"mmmm")</f>
        <v>May</v>
      </c>
      <c r="L1547" t="str">
        <f t="shared" si="49"/>
        <v>Summer</v>
      </c>
    </row>
    <row r="1548" spans="1:12" x14ac:dyDescent="0.25">
      <c r="A1548">
        <v>1547</v>
      </c>
      <c r="B1548">
        <v>1184</v>
      </c>
      <c r="C1548">
        <v>692</v>
      </c>
      <c r="D1548" s="1">
        <v>45758</v>
      </c>
      <c r="E1548" t="s">
        <v>24</v>
      </c>
      <c r="F1548" t="s">
        <v>321</v>
      </c>
      <c r="G1548" t="str">
        <f>_xlfn.XLOOKUP(TRIM(E1549),MedicineInfo!A:A,MedicineInfo!B:B,"Not Found")</f>
        <v>Cefixime</v>
      </c>
      <c r="H1548" s="1" t="str" cm="1">
        <f t="array" ref="H1548">_xlfn.IFS(
OR(E1548="Type 2 Diabetes",E1548="Essential Hypertension",E1548="Angina Pectoris",E1548="Bronchial Asthma",E1548="Cardiac Arrhythmia"), D1548+30,
OR(E1548="Gastritis",E1548="Osteoarthritis",E1548="Bronchitis",E1548="Iron Deficiency Anemia"), D1548+14,
OR(E1548="Lumbar Strain",E1548="Migraine Headache"), D1548+7,
OR(E1548="Viral Fever",E1548="General Checkup","Routine Health Check"), "",
TRUE,""
)</f>
        <v/>
      </c>
      <c r="I1548" s="1" t="str">
        <f t="shared" si="48"/>
        <v>No Follow-up Required</v>
      </c>
      <c r="J1548" t="str">
        <f>TEXT(Table8[[#This Row],[visit_Date]],"DDDD")</f>
        <v>Friday</v>
      </c>
      <c r="K1548" t="str">
        <f>TEXT(Table8[[#This Row],[visit_Date]],"mmmm")</f>
        <v>April</v>
      </c>
      <c r="L1548" t="str">
        <f t="shared" si="49"/>
        <v>Summer</v>
      </c>
    </row>
    <row r="1549" spans="1:12" x14ac:dyDescent="0.25">
      <c r="A1549">
        <v>1548</v>
      </c>
      <c r="B1549">
        <v>1068</v>
      </c>
      <c r="C1549">
        <v>106</v>
      </c>
      <c r="D1549" s="1">
        <v>45672</v>
      </c>
      <c r="E1549" t="s">
        <v>354</v>
      </c>
      <c r="F1549" t="s">
        <v>355</v>
      </c>
      <c r="G1549" t="str">
        <f>_xlfn.XLOOKUP(TRIM(E1550),MedicineInfo!A:A,MedicineInfo!B:B,"Not Found")</f>
        <v>Hydrocortisone Cream</v>
      </c>
      <c r="H1549" s="1" t="str" cm="1">
        <f t="array" ref="H1549">_xlfn.IFS(
OR(E1549="Type 2 Diabetes",E1549="Essential Hypertension",E1549="Angina Pectoris",E1549="Bronchial Asthma",E1549="Cardiac Arrhythmia"), D1549+30,
OR(E1549="Gastritis",E1549="Osteoarthritis",E1549="Bronchitis",E1549="Iron Deficiency Anemia"), D1549+14,
OR(E1549="Lumbar Strain",E1549="Migraine Headache"), D1549+7,
OR(E1549="Viral Fever",E1549="General Checkup","Routine Health Check"), "",
TRUE,""
)</f>
        <v/>
      </c>
      <c r="I1549" s="1" t="str">
        <f t="shared" si="48"/>
        <v>No Follow-up Required</v>
      </c>
      <c r="J1549" t="str">
        <f>TEXT(Table8[[#This Row],[visit_Date]],"DDDD")</f>
        <v>Wednesday</v>
      </c>
      <c r="K1549" t="str">
        <f>TEXT(Table8[[#This Row],[visit_Date]],"mmmm")</f>
        <v>January</v>
      </c>
      <c r="L1549" t="str">
        <f t="shared" si="49"/>
        <v>Winter</v>
      </c>
    </row>
    <row r="1550" spans="1:12" x14ac:dyDescent="0.25">
      <c r="A1550">
        <v>1549</v>
      </c>
      <c r="B1550">
        <v>1359</v>
      </c>
      <c r="C1550">
        <v>1373</v>
      </c>
      <c r="D1550" s="1">
        <v>45838</v>
      </c>
      <c r="E1550" t="s">
        <v>338</v>
      </c>
      <c r="F1550" t="s">
        <v>339</v>
      </c>
      <c r="G1550" t="str">
        <f>_xlfn.XLOOKUP(TRIM(E1551),MedicineInfo!A:A,MedicineInfo!B:B,"Not Found")</f>
        <v>Multivitamin</v>
      </c>
      <c r="H1550" s="1" t="str" cm="1">
        <f t="array" ref="H1550">_xlfn.IFS(
OR(E1550="Type 2 Diabetes",E1550="Essential Hypertension",E1550="Angina Pectoris",E1550="Bronchial Asthma",E1550="Cardiac Arrhythmia"), D1550+30,
OR(E1550="Gastritis",E1550="Osteoarthritis",E1550="Bronchitis",E1550="Iron Deficiency Anemia"), D1550+14,
OR(E1550="Lumbar Strain",E1550="Migraine Headache"), D1550+7,
OR(E1550="Viral Fever",E1550="General Checkup","Routine Health Check"), "",
TRUE,""
)</f>
        <v/>
      </c>
      <c r="I1550" s="1" t="str">
        <f t="shared" si="48"/>
        <v>No Follow-up Required</v>
      </c>
      <c r="J1550" t="str">
        <f>TEXT(Table8[[#This Row],[visit_Date]],"DDDD")</f>
        <v>Monday</v>
      </c>
      <c r="K1550" t="str">
        <f>TEXT(Table8[[#This Row],[visit_Date]],"mmmm")</f>
        <v>June</v>
      </c>
      <c r="L1550" t="str">
        <f t="shared" si="49"/>
        <v>Monsoon</v>
      </c>
    </row>
    <row r="1551" spans="1:12" x14ac:dyDescent="0.25">
      <c r="A1551">
        <v>1550</v>
      </c>
      <c r="B1551">
        <v>1393</v>
      </c>
      <c r="C1551">
        <v>1411</v>
      </c>
      <c r="D1551" s="1">
        <v>45767</v>
      </c>
      <c r="E1551" t="s">
        <v>24</v>
      </c>
      <c r="F1551" t="s">
        <v>321</v>
      </c>
      <c r="G1551" t="str">
        <f>_xlfn.XLOOKUP(TRIM(E1552),MedicineInfo!A:A,MedicineInfo!B:B,"Not Found")</f>
        <v>Multivitamin</v>
      </c>
      <c r="H1551" s="1" t="str" cm="1">
        <f t="array" ref="H1551">_xlfn.IFS(
OR(E1551="Type 2 Diabetes",E1551="Essential Hypertension",E1551="Angina Pectoris",E1551="Bronchial Asthma",E1551="Cardiac Arrhythmia"), D1551+30,
OR(E1551="Gastritis",E1551="Osteoarthritis",E1551="Bronchitis",E1551="Iron Deficiency Anemia"), D1551+14,
OR(E1551="Lumbar Strain",E1551="Migraine Headache"), D1551+7,
OR(E1551="Viral Fever",E1551="General Checkup","Routine Health Check"), "",
TRUE,""
)</f>
        <v/>
      </c>
      <c r="I1551" s="1" t="str">
        <f t="shared" si="48"/>
        <v>No Follow-up Required</v>
      </c>
      <c r="J1551" t="str">
        <f>TEXT(Table8[[#This Row],[visit_Date]],"DDDD")</f>
        <v>Sunday</v>
      </c>
      <c r="K1551" t="str">
        <f>TEXT(Table8[[#This Row],[visit_Date]],"mmmm")</f>
        <v>April</v>
      </c>
      <c r="L1551" t="str">
        <f t="shared" si="49"/>
        <v>Summer</v>
      </c>
    </row>
    <row r="1552" spans="1:12" x14ac:dyDescent="0.25">
      <c r="A1552">
        <v>1551</v>
      </c>
      <c r="B1552">
        <v>1101</v>
      </c>
      <c r="C1552">
        <v>1526</v>
      </c>
      <c r="D1552" s="1">
        <v>45853</v>
      </c>
      <c r="E1552" t="s">
        <v>24</v>
      </c>
      <c r="F1552" t="s">
        <v>321</v>
      </c>
      <c r="G1552" t="str">
        <f>_xlfn.XLOOKUP(TRIM(E1553),MedicineInfo!A:A,MedicineInfo!B:B,"Not Found")</f>
        <v>Multivitamin</v>
      </c>
      <c r="H1552" s="1" t="str" cm="1">
        <f t="array" ref="H1552">_xlfn.IFS(
OR(E1552="Type 2 Diabetes",E1552="Essential Hypertension",E1552="Angina Pectoris",E1552="Bronchial Asthma",E1552="Cardiac Arrhythmia"), D1552+30,
OR(E1552="Gastritis",E1552="Osteoarthritis",E1552="Bronchitis",E1552="Iron Deficiency Anemia"), D1552+14,
OR(E1552="Lumbar Strain",E1552="Migraine Headache"), D1552+7,
OR(E1552="Viral Fever",E1552="General Checkup","Routine Health Check"), "",
TRUE,""
)</f>
        <v/>
      </c>
      <c r="I1552" s="1" t="str">
        <f t="shared" si="48"/>
        <v>No Follow-up Required</v>
      </c>
      <c r="J1552" t="str">
        <f>TEXT(Table8[[#This Row],[visit_Date]],"DDDD")</f>
        <v>Tuesday</v>
      </c>
      <c r="K1552" t="str">
        <f>TEXT(Table8[[#This Row],[visit_Date]],"mmmm")</f>
        <v>July</v>
      </c>
      <c r="L1552" t="str">
        <f t="shared" si="49"/>
        <v>Monsoon</v>
      </c>
    </row>
    <row r="1553" spans="1:12" x14ac:dyDescent="0.25">
      <c r="A1553">
        <v>1552</v>
      </c>
      <c r="B1553">
        <v>1164</v>
      </c>
      <c r="C1553">
        <v>1117</v>
      </c>
      <c r="D1553" s="1">
        <v>45694</v>
      </c>
      <c r="E1553" t="s">
        <v>24</v>
      </c>
      <c r="F1553" t="s">
        <v>321</v>
      </c>
      <c r="G1553" t="str">
        <f>_xlfn.XLOOKUP(TRIM(E1554),MedicineInfo!A:A,MedicineInfo!B:B,"Not Found")</f>
        <v>Multivitamin</v>
      </c>
      <c r="H1553" s="1" t="str" cm="1">
        <f t="array" ref="H1553">_xlfn.IFS(
OR(E1553="Type 2 Diabetes",E1553="Essential Hypertension",E1553="Angina Pectoris",E1553="Bronchial Asthma",E1553="Cardiac Arrhythmia"), D1553+30,
OR(E1553="Gastritis",E1553="Osteoarthritis",E1553="Bronchitis",E1553="Iron Deficiency Anemia"), D1553+14,
OR(E1553="Lumbar Strain",E1553="Migraine Headache"), D1553+7,
OR(E1553="Viral Fever",E1553="General Checkup","Routine Health Check"), "",
TRUE,""
)</f>
        <v/>
      </c>
      <c r="I1553" s="1" t="str">
        <f t="shared" si="48"/>
        <v>No Follow-up Required</v>
      </c>
      <c r="J1553" t="str">
        <f>TEXT(Table8[[#This Row],[visit_Date]],"DDDD")</f>
        <v>Thursday</v>
      </c>
      <c r="K1553" t="str">
        <f>TEXT(Table8[[#This Row],[visit_Date]],"mmmm")</f>
        <v>February</v>
      </c>
      <c r="L1553" t="str">
        <f t="shared" si="49"/>
        <v>Winter</v>
      </c>
    </row>
    <row r="1554" spans="1:12" x14ac:dyDescent="0.25">
      <c r="A1554">
        <v>1553</v>
      </c>
      <c r="B1554">
        <v>1251</v>
      </c>
      <c r="C1554">
        <v>591</v>
      </c>
      <c r="D1554" s="1">
        <v>45672</v>
      </c>
      <c r="E1554" t="s">
        <v>24</v>
      </c>
      <c r="F1554" t="s">
        <v>321</v>
      </c>
      <c r="G1554" t="str">
        <f>_xlfn.XLOOKUP(TRIM(E1555),MedicineInfo!A:A,MedicineInfo!B:B,"Not Found")</f>
        <v>Multivitamin</v>
      </c>
      <c r="H1554" s="1" t="str" cm="1">
        <f t="array" ref="H1554">_xlfn.IFS(
OR(E1554="Type 2 Diabetes",E1554="Essential Hypertension",E1554="Angina Pectoris",E1554="Bronchial Asthma",E1554="Cardiac Arrhythmia"), D1554+30,
OR(E1554="Gastritis",E1554="Osteoarthritis",E1554="Bronchitis",E1554="Iron Deficiency Anemia"), D1554+14,
OR(E1554="Lumbar Strain",E1554="Migraine Headache"), D1554+7,
OR(E1554="Viral Fever",E1554="General Checkup","Routine Health Check"), "",
TRUE,""
)</f>
        <v/>
      </c>
      <c r="I1554" s="1" t="str">
        <f t="shared" si="48"/>
        <v>No Follow-up Required</v>
      </c>
      <c r="J1554" t="str">
        <f>TEXT(Table8[[#This Row],[visit_Date]],"DDDD")</f>
        <v>Wednesday</v>
      </c>
      <c r="K1554" t="str">
        <f>TEXT(Table8[[#This Row],[visit_Date]],"mmmm")</f>
        <v>January</v>
      </c>
      <c r="L1554" t="str">
        <f t="shared" si="49"/>
        <v>Winter</v>
      </c>
    </row>
    <row r="1555" spans="1:12" x14ac:dyDescent="0.25">
      <c r="A1555">
        <v>1554</v>
      </c>
      <c r="B1555">
        <v>1165</v>
      </c>
      <c r="C1555">
        <v>854</v>
      </c>
      <c r="D1555" s="1">
        <v>45767</v>
      </c>
      <c r="E1555" t="s">
        <v>24</v>
      </c>
      <c r="F1555" t="s">
        <v>321</v>
      </c>
      <c r="G1555" t="str">
        <f>_xlfn.XLOOKUP(TRIM(E1556),MedicineInfo!A:A,MedicineInfo!B:B,"Not Found")</f>
        <v>Multivitamin</v>
      </c>
      <c r="H1555" s="1" t="str" cm="1">
        <f t="array" ref="H1555">_xlfn.IFS(
OR(E1555="Type 2 Diabetes",E1555="Essential Hypertension",E1555="Angina Pectoris",E1555="Bronchial Asthma",E1555="Cardiac Arrhythmia"), D1555+30,
OR(E1555="Gastritis",E1555="Osteoarthritis",E1555="Bronchitis",E1555="Iron Deficiency Anemia"), D1555+14,
OR(E1555="Lumbar Strain",E1555="Migraine Headache"), D1555+7,
OR(E1555="Viral Fever",E1555="General Checkup","Routine Health Check"), "",
TRUE,""
)</f>
        <v/>
      </c>
      <c r="I1555" s="1" t="str">
        <f t="shared" si="48"/>
        <v>No Follow-up Required</v>
      </c>
      <c r="J1555" t="str">
        <f>TEXT(Table8[[#This Row],[visit_Date]],"DDDD")</f>
        <v>Sunday</v>
      </c>
      <c r="K1555" t="str">
        <f>TEXT(Table8[[#This Row],[visit_Date]],"mmmm")</f>
        <v>April</v>
      </c>
      <c r="L1555" t="str">
        <f t="shared" si="49"/>
        <v>Summer</v>
      </c>
    </row>
    <row r="1556" spans="1:12" x14ac:dyDescent="0.25">
      <c r="A1556">
        <v>1555</v>
      </c>
      <c r="B1556">
        <v>1324</v>
      </c>
      <c r="C1556">
        <v>1567</v>
      </c>
      <c r="D1556" s="1">
        <v>45681</v>
      </c>
      <c r="E1556" t="s">
        <v>24</v>
      </c>
      <c r="F1556" t="s">
        <v>321</v>
      </c>
      <c r="G1556" t="str">
        <f>_xlfn.XLOOKUP(TRIM(E1557),MedicineInfo!A:A,MedicineInfo!B:B,"Not Found")</f>
        <v>Levothyroxine</v>
      </c>
      <c r="H1556" s="1" t="str" cm="1">
        <f t="array" ref="H1556">_xlfn.IFS(
OR(E1556="Type 2 Diabetes",E1556="Essential Hypertension",E1556="Angina Pectoris",E1556="Bronchial Asthma",E1556="Cardiac Arrhythmia"), D1556+30,
OR(E1556="Gastritis",E1556="Osteoarthritis",E1556="Bronchitis",E1556="Iron Deficiency Anemia"), D1556+14,
OR(E1556="Lumbar Strain",E1556="Migraine Headache"), D1556+7,
OR(E1556="Viral Fever",E1556="General Checkup","Routine Health Check"), "",
TRUE,""
)</f>
        <v/>
      </c>
      <c r="I1556" s="1" t="str">
        <f t="shared" si="48"/>
        <v>No Follow-up Required</v>
      </c>
      <c r="J1556" t="str">
        <f>TEXT(Table8[[#This Row],[visit_Date]],"DDDD")</f>
        <v>Friday</v>
      </c>
      <c r="K1556" t="str">
        <f>TEXT(Table8[[#This Row],[visit_Date]],"mmmm")</f>
        <v>January</v>
      </c>
      <c r="L1556" t="str">
        <f t="shared" si="49"/>
        <v>Winter</v>
      </c>
    </row>
    <row r="1557" spans="1:12" x14ac:dyDescent="0.25">
      <c r="A1557">
        <v>1556</v>
      </c>
      <c r="B1557">
        <v>1242</v>
      </c>
      <c r="C1557">
        <v>1528</v>
      </c>
      <c r="D1557" s="1">
        <v>45758</v>
      </c>
      <c r="E1557" t="s">
        <v>360</v>
      </c>
      <c r="F1557" t="s">
        <v>361</v>
      </c>
      <c r="G1557" t="str">
        <f>_xlfn.XLOOKUP(TRIM(E1558),MedicineInfo!A:A,MedicineInfo!B:B,"Not Found")</f>
        <v>Multivitamin</v>
      </c>
      <c r="H1557" s="1" t="str" cm="1">
        <f t="array" ref="H1557">_xlfn.IFS(
OR(E1557="Type 2 Diabetes",E1557="Essential Hypertension",E1557="Angina Pectoris",E1557="Bronchial Asthma",E1557="Cardiac Arrhythmia"), D1557+30,
OR(E1557="Gastritis",E1557="Osteoarthritis",E1557="Bronchitis",E1557="Iron Deficiency Anemia"), D1557+14,
OR(E1557="Lumbar Strain",E1557="Migraine Headache"), D1557+7,
OR(E1557="Viral Fever",E1557="General Checkup","Routine Health Check"), "",
TRUE,""
)</f>
        <v/>
      </c>
      <c r="I1557" s="1" t="str">
        <f t="shared" si="48"/>
        <v>No Follow-up Required</v>
      </c>
      <c r="J1557" t="str">
        <f>TEXT(Table8[[#This Row],[visit_Date]],"DDDD")</f>
        <v>Friday</v>
      </c>
      <c r="K1557" t="str">
        <f>TEXT(Table8[[#This Row],[visit_Date]],"mmmm")</f>
        <v>April</v>
      </c>
      <c r="L1557" t="str">
        <f t="shared" si="49"/>
        <v>Summer</v>
      </c>
    </row>
    <row r="1558" spans="1:12" x14ac:dyDescent="0.25">
      <c r="A1558">
        <v>1557</v>
      </c>
      <c r="B1558">
        <v>1300</v>
      </c>
      <c r="C1558">
        <v>713</v>
      </c>
      <c r="D1558" s="1">
        <v>45687</v>
      </c>
      <c r="E1558" t="s">
        <v>24</v>
      </c>
      <c r="F1558" t="s">
        <v>321</v>
      </c>
      <c r="G1558" t="str">
        <f>_xlfn.XLOOKUP(TRIM(E1559),MedicineInfo!A:A,MedicineInfo!B:B,"Not Found")</f>
        <v>Hydrocortisone Cream</v>
      </c>
      <c r="H1558" s="1" t="str" cm="1">
        <f t="array" ref="H1558">_xlfn.IFS(
OR(E1558="Type 2 Diabetes",E1558="Essential Hypertension",E1558="Angina Pectoris",E1558="Bronchial Asthma",E1558="Cardiac Arrhythmia"), D1558+30,
OR(E1558="Gastritis",E1558="Osteoarthritis",E1558="Bronchitis",E1558="Iron Deficiency Anemia"), D1558+14,
OR(E1558="Lumbar Strain",E1558="Migraine Headache"), D1558+7,
OR(E1558="Viral Fever",E1558="General Checkup","Routine Health Check"), "",
TRUE,""
)</f>
        <v/>
      </c>
      <c r="I1558" s="1" t="str">
        <f t="shared" si="48"/>
        <v>No Follow-up Required</v>
      </c>
      <c r="J1558" t="str">
        <f>TEXT(Table8[[#This Row],[visit_Date]],"DDDD")</f>
        <v>Thursday</v>
      </c>
      <c r="K1558" t="str">
        <f>TEXT(Table8[[#This Row],[visit_Date]],"mmmm")</f>
        <v>January</v>
      </c>
      <c r="L1558" t="str">
        <f t="shared" si="49"/>
        <v>Winter</v>
      </c>
    </row>
    <row r="1559" spans="1:12" x14ac:dyDescent="0.25">
      <c r="A1559">
        <v>1558</v>
      </c>
      <c r="B1559">
        <v>1295</v>
      </c>
      <c r="C1559">
        <v>1171</v>
      </c>
      <c r="D1559" s="1">
        <v>45664</v>
      </c>
      <c r="E1559" t="s">
        <v>338</v>
      </c>
      <c r="F1559" t="s">
        <v>339</v>
      </c>
      <c r="G1559" t="str">
        <f>_xlfn.XLOOKUP(TRIM(E1560),MedicineInfo!A:A,MedicineInfo!B:B,"Not Found")</f>
        <v>Multivitamin</v>
      </c>
      <c r="H1559" s="1" t="str" cm="1">
        <f t="array" ref="H1559">_xlfn.IFS(
OR(E1559="Type 2 Diabetes",E1559="Essential Hypertension",E1559="Angina Pectoris",E1559="Bronchial Asthma",E1559="Cardiac Arrhythmia"), D1559+30,
OR(E1559="Gastritis",E1559="Osteoarthritis",E1559="Bronchitis",E1559="Iron Deficiency Anemia"), D1559+14,
OR(E1559="Lumbar Strain",E1559="Migraine Headache"), D1559+7,
OR(E1559="Viral Fever",E1559="General Checkup","Routine Health Check"), "",
TRUE,""
)</f>
        <v/>
      </c>
      <c r="I1559" s="1" t="str">
        <f t="shared" si="48"/>
        <v>No Follow-up Required</v>
      </c>
      <c r="J1559" t="str">
        <f>TEXT(Table8[[#This Row],[visit_Date]],"DDDD")</f>
        <v>Tuesday</v>
      </c>
      <c r="K1559" t="str">
        <f>TEXT(Table8[[#This Row],[visit_Date]],"mmmm")</f>
        <v>January</v>
      </c>
      <c r="L1559" t="str">
        <f t="shared" si="49"/>
        <v>Winter</v>
      </c>
    </row>
    <row r="1560" spans="1:12" x14ac:dyDescent="0.25">
      <c r="A1560">
        <v>1559</v>
      </c>
      <c r="B1560">
        <v>1207</v>
      </c>
      <c r="C1560">
        <v>1323</v>
      </c>
      <c r="D1560" s="1">
        <v>45869</v>
      </c>
      <c r="E1560" t="s">
        <v>24</v>
      </c>
      <c r="F1560" t="s">
        <v>321</v>
      </c>
      <c r="G1560" t="str">
        <f>_xlfn.XLOOKUP(TRIM(E1561),MedicineInfo!A:A,MedicineInfo!B:B,"Not Found")</f>
        <v>Vitamin D3</v>
      </c>
      <c r="H1560" s="1" t="str" cm="1">
        <f t="array" ref="H1560">_xlfn.IFS(
OR(E1560="Type 2 Diabetes",E1560="Essential Hypertension",E1560="Angina Pectoris",E1560="Bronchial Asthma",E1560="Cardiac Arrhythmia"), D1560+30,
OR(E1560="Gastritis",E1560="Osteoarthritis",E1560="Bronchitis",E1560="Iron Deficiency Anemia"), D1560+14,
OR(E1560="Lumbar Strain",E1560="Migraine Headache"), D1560+7,
OR(E1560="Viral Fever",E1560="General Checkup","Routine Health Check"), "",
TRUE,""
)</f>
        <v/>
      </c>
      <c r="I1560" s="1" t="str">
        <f t="shared" si="48"/>
        <v>No Follow-up Required</v>
      </c>
      <c r="J1560" t="str">
        <f>TEXT(Table8[[#This Row],[visit_Date]],"DDDD")</f>
        <v>Thursday</v>
      </c>
      <c r="K1560" t="str">
        <f>TEXT(Table8[[#This Row],[visit_Date]],"mmmm")</f>
        <v>July</v>
      </c>
      <c r="L1560" t="str">
        <f t="shared" si="49"/>
        <v>Monsoon</v>
      </c>
    </row>
    <row r="1561" spans="1:12" x14ac:dyDescent="0.25">
      <c r="A1561">
        <v>1560</v>
      </c>
      <c r="B1561">
        <v>1267</v>
      </c>
      <c r="C1561">
        <v>1570</v>
      </c>
      <c r="D1561" s="1">
        <v>45696</v>
      </c>
      <c r="E1561" t="s">
        <v>332</v>
      </c>
      <c r="F1561" t="s">
        <v>333</v>
      </c>
      <c r="G1561" t="str">
        <f>_xlfn.XLOOKUP(TRIM(E1562),MedicineInfo!A:A,MedicineInfo!B:B,"Not Found")</f>
        <v>Amoxicillin</v>
      </c>
      <c r="H1561" s="1" t="str" cm="1">
        <f t="array" ref="H1561">_xlfn.IFS(
OR(E1561="Type 2 Diabetes",E1561="Essential Hypertension",E1561="Angina Pectoris",E1561="Bronchial Asthma",E1561="Cardiac Arrhythmia"), D1561+30,
OR(E1561="Gastritis",E1561="Osteoarthritis",E1561="Bronchitis",E1561="Iron Deficiency Anemia"), D1561+14,
OR(E1561="Lumbar Strain",E1561="Migraine Headache"), D1561+7,
OR(E1561="Viral Fever",E1561="General Checkup","Routine Health Check"), "",
TRUE,""
)</f>
        <v/>
      </c>
      <c r="I1561" s="1" t="str">
        <f t="shared" si="48"/>
        <v>No Follow-up Required</v>
      </c>
      <c r="J1561" t="str">
        <f>TEXT(Table8[[#This Row],[visit_Date]],"DDDD")</f>
        <v>Saturday</v>
      </c>
      <c r="K1561" t="str">
        <f>TEXT(Table8[[#This Row],[visit_Date]],"mmmm")</f>
        <v>February</v>
      </c>
      <c r="L1561" t="str">
        <f t="shared" si="49"/>
        <v>Winter</v>
      </c>
    </row>
    <row r="1562" spans="1:12" x14ac:dyDescent="0.25">
      <c r="A1562">
        <v>1561</v>
      </c>
      <c r="B1562">
        <v>1290</v>
      </c>
      <c r="C1562">
        <v>1348</v>
      </c>
      <c r="D1562" s="1">
        <v>45672</v>
      </c>
      <c r="E1562" t="s">
        <v>346</v>
      </c>
      <c r="F1562" t="s">
        <v>347</v>
      </c>
      <c r="G1562" t="str">
        <f>_xlfn.XLOOKUP(TRIM(E1563),MedicineInfo!A:A,MedicineInfo!B:B,"Not Found")</f>
        <v>Neuro Vitamins</v>
      </c>
      <c r="H1562" s="1" cm="1">
        <f t="array" ref="H1562">_xlfn.IFS(
OR(E1562="Type 2 Diabetes",E1562="Essential Hypertension",E1562="Angina Pectoris",E1562="Bronchial Asthma",E1562="Cardiac Arrhythmia"), D1562+30,
OR(E1562="Gastritis",E1562="Osteoarthritis",E1562="Bronchitis",E1562="Iron Deficiency Anemia"), D1562+14,
OR(E1562="Lumbar Strain",E1562="Migraine Headache"), D1562+7,
OR(E1562="Viral Fever",E1562="General Checkup","Routine Health Check"), "",
TRUE,""
)</f>
        <v>45686</v>
      </c>
      <c r="I1562" s="1" t="str">
        <f t="shared" si="48"/>
        <v>Follow-up Scheduled</v>
      </c>
      <c r="J1562" t="str">
        <f>TEXT(Table8[[#This Row],[visit_Date]],"DDDD")</f>
        <v>Wednesday</v>
      </c>
      <c r="K1562" t="str">
        <f>TEXT(Table8[[#This Row],[visit_Date]],"mmmm")</f>
        <v>January</v>
      </c>
      <c r="L1562" t="str">
        <f t="shared" si="49"/>
        <v>Winter</v>
      </c>
    </row>
    <row r="1563" spans="1:12" x14ac:dyDescent="0.25">
      <c r="A1563">
        <v>1562</v>
      </c>
      <c r="B1563">
        <v>1227</v>
      </c>
      <c r="C1563">
        <v>1085</v>
      </c>
      <c r="D1563" s="1">
        <v>45739</v>
      </c>
      <c r="E1563" t="s">
        <v>342</v>
      </c>
      <c r="F1563" t="s">
        <v>343</v>
      </c>
      <c r="G1563" t="str">
        <f>_xlfn.XLOOKUP(TRIM(E1564),MedicineInfo!A:A,MedicineInfo!B:B,"Not Found")</f>
        <v>Escitalopram</v>
      </c>
      <c r="H1563" s="1" t="str" cm="1">
        <f t="array" ref="H1563">_xlfn.IFS(
OR(E1563="Type 2 Diabetes",E1563="Essential Hypertension",E1563="Angina Pectoris",E1563="Bronchial Asthma",E1563="Cardiac Arrhythmia"), D1563+30,
OR(E1563="Gastritis",E1563="Osteoarthritis",E1563="Bronchitis",E1563="Iron Deficiency Anemia"), D1563+14,
OR(E1563="Lumbar Strain",E1563="Migraine Headache"), D1563+7,
OR(E1563="Viral Fever",E1563="General Checkup","Routine Health Check"), "",
TRUE,""
)</f>
        <v/>
      </c>
      <c r="I1563" s="1" t="str">
        <f t="shared" si="48"/>
        <v>No Follow-up Required</v>
      </c>
      <c r="J1563" t="str">
        <f>TEXT(Table8[[#This Row],[visit_Date]],"DDDD")</f>
        <v>Sunday</v>
      </c>
      <c r="K1563" t="str">
        <f>TEXT(Table8[[#This Row],[visit_Date]],"mmmm")</f>
        <v>March</v>
      </c>
      <c r="L1563" t="str">
        <f t="shared" si="49"/>
        <v>Summer</v>
      </c>
    </row>
    <row r="1564" spans="1:12" x14ac:dyDescent="0.25">
      <c r="A1564">
        <v>1563</v>
      </c>
      <c r="B1564">
        <v>1398</v>
      </c>
      <c r="C1564">
        <v>1438</v>
      </c>
      <c r="D1564" s="1">
        <v>45724</v>
      </c>
      <c r="E1564" t="s">
        <v>328</v>
      </c>
      <c r="F1564" t="s">
        <v>329</v>
      </c>
      <c r="G1564" t="str">
        <f>_xlfn.XLOOKUP(TRIM(E1565),MedicineInfo!A:A,MedicineInfo!B:B,"Not Found")</f>
        <v>Neuro Vitamins</v>
      </c>
      <c r="H1564" s="1" t="str" cm="1">
        <f t="array" ref="H1564">_xlfn.IFS(
OR(E1564="Type 2 Diabetes",E1564="Essential Hypertension",E1564="Angina Pectoris",E1564="Bronchial Asthma",E1564="Cardiac Arrhythmia"), D1564+30,
OR(E1564="Gastritis",E1564="Osteoarthritis",E1564="Bronchitis",E1564="Iron Deficiency Anemia"), D1564+14,
OR(E1564="Lumbar Strain",E1564="Migraine Headache"), D1564+7,
OR(E1564="Viral Fever",E1564="General Checkup","Routine Health Check"), "",
TRUE,""
)</f>
        <v/>
      </c>
      <c r="I1564" s="1" t="str">
        <f t="shared" si="48"/>
        <v>No Follow-up Required</v>
      </c>
      <c r="J1564" t="str">
        <f>TEXT(Table8[[#This Row],[visit_Date]],"DDDD")</f>
        <v>Saturday</v>
      </c>
      <c r="K1564" t="str">
        <f>TEXT(Table8[[#This Row],[visit_Date]],"mmmm")</f>
        <v>March</v>
      </c>
      <c r="L1564" t="str">
        <f t="shared" si="49"/>
        <v>Summer</v>
      </c>
    </row>
    <row r="1565" spans="1:12" x14ac:dyDescent="0.25">
      <c r="A1565">
        <v>1564</v>
      </c>
      <c r="B1565">
        <v>1248</v>
      </c>
      <c r="C1565">
        <v>974</v>
      </c>
      <c r="D1565" s="1">
        <v>45790</v>
      </c>
      <c r="E1565" t="s">
        <v>342</v>
      </c>
      <c r="F1565" t="s">
        <v>343</v>
      </c>
      <c r="G1565" t="str">
        <f>_xlfn.XLOOKUP(TRIM(E1566),MedicineInfo!A:A,MedicineInfo!B:B,"Not Found")</f>
        <v>Multivitamin</v>
      </c>
      <c r="H1565" s="1" t="str" cm="1">
        <f t="array" ref="H1565">_xlfn.IFS(
OR(E1565="Type 2 Diabetes",E1565="Essential Hypertension",E1565="Angina Pectoris",E1565="Bronchial Asthma",E1565="Cardiac Arrhythmia"), D1565+30,
OR(E1565="Gastritis",E1565="Osteoarthritis",E1565="Bronchitis",E1565="Iron Deficiency Anemia"), D1565+14,
OR(E1565="Lumbar Strain",E1565="Migraine Headache"), D1565+7,
OR(E1565="Viral Fever",E1565="General Checkup","Routine Health Check"), "",
TRUE,""
)</f>
        <v/>
      </c>
      <c r="I1565" s="1" t="str">
        <f t="shared" si="48"/>
        <v>No Follow-up Required</v>
      </c>
      <c r="J1565" t="str">
        <f>TEXT(Table8[[#This Row],[visit_Date]],"DDDD")</f>
        <v>Tuesday</v>
      </c>
      <c r="K1565" t="str">
        <f>TEXT(Table8[[#This Row],[visit_Date]],"mmmm")</f>
        <v>May</v>
      </c>
      <c r="L1565" t="str">
        <f t="shared" si="49"/>
        <v>Summer</v>
      </c>
    </row>
    <row r="1566" spans="1:12" x14ac:dyDescent="0.25">
      <c r="A1566">
        <v>1565</v>
      </c>
      <c r="B1566">
        <v>1134</v>
      </c>
      <c r="C1566">
        <v>1250</v>
      </c>
      <c r="D1566" s="1">
        <v>45723</v>
      </c>
      <c r="E1566" t="s">
        <v>24</v>
      </c>
      <c r="F1566" t="s">
        <v>321</v>
      </c>
      <c r="G1566" t="str">
        <f>_xlfn.XLOOKUP(TRIM(E1567),MedicineInfo!A:A,MedicineInfo!B:B,"Not Found")</f>
        <v>Multivitamin</v>
      </c>
      <c r="H1566" s="1" t="str" cm="1">
        <f t="array" ref="H1566">_xlfn.IFS(
OR(E1566="Type 2 Diabetes",E1566="Essential Hypertension",E1566="Angina Pectoris",E1566="Bronchial Asthma",E1566="Cardiac Arrhythmia"), D1566+30,
OR(E1566="Gastritis",E1566="Osteoarthritis",E1566="Bronchitis",E1566="Iron Deficiency Anemia"), D1566+14,
OR(E1566="Lumbar Strain",E1566="Migraine Headache"), D1566+7,
OR(E1566="Viral Fever",E1566="General Checkup","Routine Health Check"), "",
TRUE,""
)</f>
        <v/>
      </c>
      <c r="I1566" s="1" t="str">
        <f t="shared" si="48"/>
        <v>No Follow-up Required</v>
      </c>
      <c r="J1566" t="str">
        <f>TEXT(Table8[[#This Row],[visit_Date]],"DDDD")</f>
        <v>Friday</v>
      </c>
      <c r="K1566" t="str">
        <f>TEXT(Table8[[#This Row],[visit_Date]],"mmmm")</f>
        <v>March</v>
      </c>
      <c r="L1566" t="str">
        <f t="shared" si="49"/>
        <v>Summer</v>
      </c>
    </row>
    <row r="1567" spans="1:12" x14ac:dyDescent="0.25">
      <c r="A1567">
        <v>1566</v>
      </c>
      <c r="B1567">
        <v>1056</v>
      </c>
      <c r="C1567">
        <v>1443</v>
      </c>
      <c r="D1567" s="1">
        <v>45686</v>
      </c>
      <c r="E1567" t="s">
        <v>24</v>
      </c>
      <c r="F1567" t="s">
        <v>321</v>
      </c>
      <c r="G1567" t="str">
        <f>_xlfn.XLOOKUP(TRIM(E1568),MedicineInfo!A:A,MedicineInfo!B:B,"Not Found")</f>
        <v>Multivitamin</v>
      </c>
      <c r="H1567" s="1" t="str" cm="1">
        <f t="array" ref="H1567">_xlfn.IFS(
OR(E1567="Type 2 Diabetes",E1567="Essential Hypertension",E1567="Angina Pectoris",E1567="Bronchial Asthma",E1567="Cardiac Arrhythmia"), D1567+30,
OR(E1567="Gastritis",E1567="Osteoarthritis",E1567="Bronchitis",E1567="Iron Deficiency Anemia"), D1567+14,
OR(E1567="Lumbar Strain",E1567="Migraine Headache"), D1567+7,
OR(E1567="Viral Fever",E1567="General Checkup","Routine Health Check"), "",
TRUE,""
)</f>
        <v/>
      </c>
      <c r="I1567" s="1" t="str">
        <f t="shared" si="48"/>
        <v>No Follow-up Required</v>
      </c>
      <c r="J1567" t="str">
        <f>TEXT(Table8[[#This Row],[visit_Date]],"DDDD")</f>
        <v>Wednesday</v>
      </c>
      <c r="K1567" t="str">
        <f>TEXT(Table8[[#This Row],[visit_Date]],"mmmm")</f>
        <v>January</v>
      </c>
      <c r="L1567" t="str">
        <f t="shared" si="49"/>
        <v>Winter</v>
      </c>
    </row>
    <row r="1568" spans="1:12" x14ac:dyDescent="0.25">
      <c r="A1568">
        <v>1567</v>
      </c>
      <c r="B1568">
        <v>1383</v>
      </c>
      <c r="C1568">
        <v>1348</v>
      </c>
      <c r="D1568" s="1">
        <v>45847</v>
      </c>
      <c r="E1568" t="s">
        <v>24</v>
      </c>
      <c r="F1568" t="s">
        <v>321</v>
      </c>
      <c r="G1568" t="str">
        <f>_xlfn.XLOOKUP(TRIM(E1569),MedicineInfo!A:A,MedicineInfo!B:B,"Not Found")</f>
        <v>Multivitamin</v>
      </c>
      <c r="H1568" s="1" t="str" cm="1">
        <f t="array" ref="H1568">_xlfn.IFS(
OR(E1568="Type 2 Diabetes",E1568="Essential Hypertension",E1568="Angina Pectoris",E1568="Bronchial Asthma",E1568="Cardiac Arrhythmia"), D1568+30,
OR(E1568="Gastritis",E1568="Osteoarthritis",E1568="Bronchitis",E1568="Iron Deficiency Anemia"), D1568+14,
OR(E1568="Lumbar Strain",E1568="Migraine Headache"), D1568+7,
OR(E1568="Viral Fever",E1568="General Checkup","Routine Health Check"), "",
TRUE,""
)</f>
        <v/>
      </c>
      <c r="I1568" s="1" t="str">
        <f t="shared" si="48"/>
        <v>No Follow-up Required</v>
      </c>
      <c r="J1568" t="str">
        <f>TEXT(Table8[[#This Row],[visit_Date]],"DDDD")</f>
        <v>Wednesday</v>
      </c>
      <c r="K1568" t="str">
        <f>TEXT(Table8[[#This Row],[visit_Date]],"mmmm")</f>
        <v>July</v>
      </c>
      <c r="L1568" t="str">
        <f t="shared" si="49"/>
        <v>Monsoon</v>
      </c>
    </row>
    <row r="1569" spans="1:12" x14ac:dyDescent="0.25">
      <c r="A1569">
        <v>1568</v>
      </c>
      <c r="B1569">
        <v>1245</v>
      </c>
      <c r="C1569">
        <v>234</v>
      </c>
      <c r="D1569" s="1">
        <v>45792</v>
      </c>
      <c r="E1569" t="s">
        <v>24</v>
      </c>
      <c r="F1569" t="s">
        <v>321</v>
      </c>
      <c r="G1569" t="str">
        <f>_xlfn.XLOOKUP(TRIM(E1570),MedicineInfo!A:A,MedicineInfo!B:B,"Not Found")</f>
        <v>Multivitamin</v>
      </c>
      <c r="H1569" s="1" t="str" cm="1">
        <f t="array" ref="H1569">_xlfn.IFS(
OR(E1569="Type 2 Diabetes",E1569="Essential Hypertension",E1569="Angina Pectoris",E1569="Bronchial Asthma",E1569="Cardiac Arrhythmia"), D1569+30,
OR(E1569="Gastritis",E1569="Osteoarthritis",E1569="Bronchitis",E1569="Iron Deficiency Anemia"), D1569+14,
OR(E1569="Lumbar Strain",E1569="Migraine Headache"), D1569+7,
OR(E1569="Viral Fever",E1569="General Checkup","Routine Health Check"), "",
TRUE,""
)</f>
        <v/>
      </c>
      <c r="I1569" s="1" t="str">
        <f t="shared" si="48"/>
        <v>No Follow-up Required</v>
      </c>
      <c r="J1569" t="str">
        <f>TEXT(Table8[[#This Row],[visit_Date]],"DDDD")</f>
        <v>Thursday</v>
      </c>
      <c r="K1569" t="str">
        <f>TEXT(Table8[[#This Row],[visit_Date]],"mmmm")</f>
        <v>May</v>
      </c>
      <c r="L1569" t="str">
        <f t="shared" si="49"/>
        <v>Summer</v>
      </c>
    </row>
    <row r="1570" spans="1:12" x14ac:dyDescent="0.25">
      <c r="A1570">
        <v>1569</v>
      </c>
      <c r="B1570">
        <v>1044</v>
      </c>
      <c r="C1570">
        <v>366</v>
      </c>
      <c r="D1570" s="1">
        <v>45811</v>
      </c>
      <c r="E1570" t="s">
        <v>24</v>
      </c>
      <c r="F1570" t="s">
        <v>321</v>
      </c>
      <c r="G1570" t="str">
        <f>_xlfn.XLOOKUP(TRIM(E1571),MedicineInfo!A:A,MedicineInfo!B:B,"Not Found")</f>
        <v>Sumatriptan</v>
      </c>
      <c r="H1570" s="1" t="str" cm="1">
        <f t="array" ref="H1570">_xlfn.IFS(
OR(E1570="Type 2 Diabetes",E1570="Essential Hypertension",E1570="Angina Pectoris",E1570="Bronchial Asthma",E1570="Cardiac Arrhythmia"), D1570+30,
OR(E1570="Gastritis",E1570="Osteoarthritis",E1570="Bronchitis",E1570="Iron Deficiency Anemia"), D1570+14,
OR(E1570="Lumbar Strain",E1570="Migraine Headache"), D1570+7,
OR(E1570="Viral Fever",E1570="General Checkup","Routine Health Check"), "",
TRUE,""
)</f>
        <v/>
      </c>
      <c r="I1570" s="1" t="str">
        <f t="shared" si="48"/>
        <v>No Follow-up Required</v>
      </c>
      <c r="J1570" t="str">
        <f>TEXT(Table8[[#This Row],[visit_Date]],"DDDD")</f>
        <v>Tuesday</v>
      </c>
      <c r="K1570" t="str">
        <f>TEXT(Table8[[#This Row],[visit_Date]],"mmmm")</f>
        <v>June</v>
      </c>
      <c r="L1570" t="str">
        <f t="shared" si="49"/>
        <v>Monsoon</v>
      </c>
    </row>
    <row r="1571" spans="1:12" x14ac:dyDescent="0.25">
      <c r="A1571">
        <v>1570</v>
      </c>
      <c r="B1571">
        <v>1150</v>
      </c>
      <c r="C1571">
        <v>1347</v>
      </c>
      <c r="D1571" s="1">
        <v>45672</v>
      </c>
      <c r="E1571" t="s">
        <v>315</v>
      </c>
      <c r="F1571" t="s">
        <v>316</v>
      </c>
      <c r="G1571" t="str">
        <f>_xlfn.XLOOKUP(TRIM(E1572),MedicineInfo!A:A,MedicineInfo!B:B,"Not Found")</f>
        <v>Multivitamin</v>
      </c>
      <c r="H1571" s="1" cm="1">
        <f t="array" ref="H1571">_xlfn.IFS(
OR(E1571="Type 2 Diabetes",E1571="Essential Hypertension",E1571="Angina Pectoris",E1571="Bronchial Asthma",E1571="Cardiac Arrhythmia"), D1571+30,
OR(E1571="Gastritis",E1571="Osteoarthritis",E1571="Bronchitis",E1571="Iron Deficiency Anemia"), D1571+14,
OR(E1571="Lumbar Strain",E1571="Migraine Headache"), D1571+7,
OR(E1571="Viral Fever",E1571="General Checkup","Routine Health Check"), "",
TRUE,""
)</f>
        <v>45679</v>
      </c>
      <c r="I1571" s="1" t="str">
        <f t="shared" si="48"/>
        <v>Follow-up Scheduled</v>
      </c>
      <c r="J1571" t="str">
        <f>TEXT(Table8[[#This Row],[visit_Date]],"DDDD")</f>
        <v>Wednesday</v>
      </c>
      <c r="K1571" t="str">
        <f>TEXT(Table8[[#This Row],[visit_Date]],"mmmm")</f>
        <v>January</v>
      </c>
      <c r="L1571" t="str">
        <f t="shared" si="49"/>
        <v>Winter</v>
      </c>
    </row>
    <row r="1572" spans="1:12" x14ac:dyDescent="0.25">
      <c r="A1572">
        <v>1571</v>
      </c>
      <c r="B1572">
        <v>1310</v>
      </c>
      <c r="C1572">
        <v>521</v>
      </c>
      <c r="D1572" s="1">
        <v>45689</v>
      </c>
      <c r="E1572" t="s">
        <v>24</v>
      </c>
      <c r="F1572" t="s">
        <v>321</v>
      </c>
      <c r="G1572" t="str">
        <f>_xlfn.XLOOKUP(TRIM(E1573),MedicineInfo!A:A,MedicineInfo!B:B,"Not Found")</f>
        <v>Multivitamin</v>
      </c>
      <c r="H1572" s="1" t="str" cm="1">
        <f t="array" ref="H1572">_xlfn.IFS(
OR(E1572="Type 2 Diabetes",E1572="Essential Hypertension",E1572="Angina Pectoris",E1572="Bronchial Asthma",E1572="Cardiac Arrhythmia"), D1572+30,
OR(E1572="Gastritis",E1572="Osteoarthritis",E1572="Bronchitis",E1572="Iron Deficiency Anemia"), D1572+14,
OR(E1572="Lumbar Strain",E1572="Migraine Headache"), D1572+7,
OR(E1572="Viral Fever",E1572="General Checkup","Routine Health Check"), "",
TRUE,""
)</f>
        <v/>
      </c>
      <c r="I1572" s="1" t="str">
        <f t="shared" si="48"/>
        <v>No Follow-up Required</v>
      </c>
      <c r="J1572" t="str">
        <f>TEXT(Table8[[#This Row],[visit_Date]],"DDDD")</f>
        <v>Saturday</v>
      </c>
      <c r="K1572" t="str">
        <f>TEXT(Table8[[#This Row],[visit_Date]],"mmmm")</f>
        <v>February</v>
      </c>
      <c r="L1572" t="str">
        <f t="shared" si="49"/>
        <v>Winter</v>
      </c>
    </row>
    <row r="1573" spans="1:12" x14ac:dyDescent="0.25">
      <c r="A1573">
        <v>1572</v>
      </c>
      <c r="B1573">
        <v>1229</v>
      </c>
      <c r="C1573">
        <v>1405</v>
      </c>
      <c r="D1573" s="1">
        <v>45694</v>
      </c>
      <c r="E1573" t="s">
        <v>24</v>
      </c>
      <c r="F1573" t="s">
        <v>321</v>
      </c>
      <c r="G1573" t="str">
        <f>_xlfn.XLOOKUP(TRIM(E1574),MedicineInfo!A:A,MedicineInfo!B:B,"Not Found")</f>
        <v>Sodium Valproate</v>
      </c>
      <c r="H1573" s="1" t="str" cm="1">
        <f t="array" ref="H1573">_xlfn.IFS(
OR(E1573="Type 2 Diabetes",E1573="Essential Hypertension",E1573="Angina Pectoris",E1573="Bronchial Asthma",E1573="Cardiac Arrhythmia"), D1573+30,
OR(E1573="Gastritis",E1573="Osteoarthritis",E1573="Bronchitis",E1573="Iron Deficiency Anemia"), D1573+14,
OR(E1573="Lumbar Strain",E1573="Migraine Headache"), D1573+7,
OR(E1573="Viral Fever",E1573="General Checkup","Routine Health Check"), "",
TRUE,""
)</f>
        <v/>
      </c>
      <c r="I1573" s="1" t="str">
        <f t="shared" si="48"/>
        <v>No Follow-up Required</v>
      </c>
      <c r="J1573" t="str">
        <f>TEXT(Table8[[#This Row],[visit_Date]],"DDDD")</f>
        <v>Thursday</v>
      </c>
      <c r="K1573" t="str">
        <f>TEXT(Table8[[#This Row],[visit_Date]],"mmmm")</f>
        <v>February</v>
      </c>
      <c r="L1573" t="str">
        <f t="shared" si="49"/>
        <v>Winter</v>
      </c>
    </row>
    <row r="1574" spans="1:12" x14ac:dyDescent="0.25">
      <c r="A1574">
        <v>1573</v>
      </c>
      <c r="B1574">
        <v>1198</v>
      </c>
      <c r="C1574">
        <v>941</v>
      </c>
      <c r="D1574" s="1">
        <v>45850</v>
      </c>
      <c r="E1574" t="s">
        <v>352</v>
      </c>
      <c r="F1574" t="s">
        <v>353</v>
      </c>
      <c r="G1574" t="str">
        <f>_xlfn.XLOOKUP(TRIM(E1575),MedicineInfo!A:A,MedicineInfo!B:B,"Not Found")</f>
        <v>Multivitamin</v>
      </c>
      <c r="H1574" s="1" t="str" cm="1">
        <f t="array" ref="H1574">_xlfn.IFS(
OR(E1574="Type 2 Diabetes",E1574="Essential Hypertension",E1574="Angina Pectoris",E1574="Bronchial Asthma",E1574="Cardiac Arrhythmia"), D1574+30,
OR(E1574="Gastritis",E1574="Osteoarthritis",E1574="Bronchitis",E1574="Iron Deficiency Anemia"), D1574+14,
OR(E1574="Lumbar Strain",E1574="Migraine Headache"), D1574+7,
OR(E1574="Viral Fever",E1574="General Checkup","Routine Health Check"), "",
TRUE,""
)</f>
        <v/>
      </c>
      <c r="I1574" s="1" t="str">
        <f t="shared" si="48"/>
        <v>No Follow-up Required</v>
      </c>
      <c r="J1574" t="str">
        <f>TEXT(Table8[[#This Row],[visit_Date]],"DDDD")</f>
        <v>Saturday</v>
      </c>
      <c r="K1574" t="str">
        <f>TEXT(Table8[[#This Row],[visit_Date]],"mmmm")</f>
        <v>July</v>
      </c>
      <c r="L1574" t="str">
        <f t="shared" si="49"/>
        <v>Monsoon</v>
      </c>
    </row>
    <row r="1575" spans="1:12" x14ac:dyDescent="0.25">
      <c r="A1575">
        <v>1574</v>
      </c>
      <c r="B1575">
        <v>1358</v>
      </c>
      <c r="C1575">
        <v>388</v>
      </c>
      <c r="D1575" s="1">
        <v>45781</v>
      </c>
      <c r="E1575" t="s">
        <v>24</v>
      </c>
      <c r="F1575" t="s">
        <v>321</v>
      </c>
      <c r="G1575" t="str">
        <f>_xlfn.XLOOKUP(TRIM(E1576),MedicineInfo!A:A,MedicineInfo!B:B,"Not Found")</f>
        <v>Multivitamin</v>
      </c>
      <c r="H1575" s="1" t="str" cm="1">
        <f t="array" ref="H1575">_xlfn.IFS(
OR(E1575="Type 2 Diabetes",E1575="Essential Hypertension",E1575="Angina Pectoris",E1575="Bronchial Asthma",E1575="Cardiac Arrhythmia"), D1575+30,
OR(E1575="Gastritis",E1575="Osteoarthritis",E1575="Bronchitis",E1575="Iron Deficiency Anemia"), D1575+14,
OR(E1575="Lumbar Strain",E1575="Migraine Headache"), D1575+7,
OR(E1575="Viral Fever",E1575="General Checkup","Routine Health Check"), "",
TRUE,""
)</f>
        <v/>
      </c>
      <c r="I1575" s="1" t="str">
        <f t="shared" si="48"/>
        <v>No Follow-up Required</v>
      </c>
      <c r="J1575" t="str">
        <f>TEXT(Table8[[#This Row],[visit_Date]],"DDDD")</f>
        <v>Sunday</v>
      </c>
      <c r="K1575" t="str">
        <f>TEXT(Table8[[#This Row],[visit_Date]],"mmmm")</f>
        <v>May</v>
      </c>
      <c r="L1575" t="str">
        <f t="shared" si="49"/>
        <v>Summer</v>
      </c>
    </row>
    <row r="1576" spans="1:12" x14ac:dyDescent="0.25">
      <c r="A1576">
        <v>1575</v>
      </c>
      <c r="B1576">
        <v>1146</v>
      </c>
      <c r="C1576">
        <v>457</v>
      </c>
      <c r="D1576" s="1">
        <v>45841</v>
      </c>
      <c r="E1576" t="s">
        <v>24</v>
      </c>
      <c r="F1576" t="s">
        <v>321</v>
      </c>
      <c r="G1576" t="str">
        <f>_xlfn.XLOOKUP(TRIM(E1577),MedicineInfo!A:A,MedicineInfo!B:B,"Not Found")</f>
        <v>Multivitamin</v>
      </c>
      <c r="H1576" s="1" t="str" cm="1">
        <f t="array" ref="H1576">_xlfn.IFS(
OR(E1576="Type 2 Diabetes",E1576="Essential Hypertension",E1576="Angina Pectoris",E1576="Bronchial Asthma",E1576="Cardiac Arrhythmia"), D1576+30,
OR(E1576="Gastritis",E1576="Osteoarthritis",E1576="Bronchitis",E1576="Iron Deficiency Anemia"), D1576+14,
OR(E1576="Lumbar Strain",E1576="Migraine Headache"), D1576+7,
OR(E1576="Viral Fever",E1576="General Checkup","Routine Health Check"), "",
TRUE,""
)</f>
        <v/>
      </c>
      <c r="I1576" s="1" t="str">
        <f t="shared" si="48"/>
        <v>No Follow-up Required</v>
      </c>
      <c r="J1576" t="str">
        <f>TEXT(Table8[[#This Row],[visit_Date]],"DDDD")</f>
        <v>Thursday</v>
      </c>
      <c r="K1576" t="str">
        <f>TEXT(Table8[[#This Row],[visit_Date]],"mmmm")</f>
        <v>July</v>
      </c>
      <c r="L1576" t="str">
        <f t="shared" si="49"/>
        <v>Monsoon</v>
      </c>
    </row>
    <row r="1577" spans="1:12" x14ac:dyDescent="0.25">
      <c r="A1577">
        <v>1576</v>
      </c>
      <c r="B1577">
        <v>1241</v>
      </c>
      <c r="C1577">
        <v>223</v>
      </c>
      <c r="D1577" s="1">
        <v>45853</v>
      </c>
      <c r="E1577" t="s">
        <v>24</v>
      </c>
      <c r="F1577" t="s">
        <v>321</v>
      </c>
      <c r="G1577" t="str">
        <f>_xlfn.XLOOKUP(TRIM(E1578),MedicineInfo!A:A,MedicineInfo!B:B,"Not Found")</f>
        <v>Sertraline</v>
      </c>
      <c r="H1577" s="1" t="str" cm="1">
        <f t="array" ref="H1577">_xlfn.IFS(
OR(E1577="Type 2 Diabetes",E1577="Essential Hypertension",E1577="Angina Pectoris",E1577="Bronchial Asthma",E1577="Cardiac Arrhythmia"), D1577+30,
OR(E1577="Gastritis",E1577="Osteoarthritis",E1577="Bronchitis",E1577="Iron Deficiency Anemia"), D1577+14,
OR(E1577="Lumbar Strain",E1577="Migraine Headache"), D1577+7,
OR(E1577="Viral Fever",E1577="General Checkup","Routine Health Check"), "",
TRUE,""
)</f>
        <v/>
      </c>
      <c r="I1577" s="1" t="str">
        <f t="shared" si="48"/>
        <v>No Follow-up Required</v>
      </c>
      <c r="J1577" t="str">
        <f>TEXT(Table8[[#This Row],[visit_Date]],"DDDD")</f>
        <v>Tuesday</v>
      </c>
      <c r="K1577" t="str">
        <f>TEXT(Table8[[#This Row],[visit_Date]],"mmmm")</f>
        <v>July</v>
      </c>
      <c r="L1577" t="str">
        <f t="shared" si="49"/>
        <v>Monsoon</v>
      </c>
    </row>
    <row r="1578" spans="1:12" x14ac:dyDescent="0.25">
      <c r="A1578">
        <v>1577</v>
      </c>
      <c r="B1578">
        <v>1102</v>
      </c>
      <c r="C1578">
        <v>464</v>
      </c>
      <c r="D1578" s="1">
        <v>45777</v>
      </c>
      <c r="E1578" t="s">
        <v>334</v>
      </c>
      <c r="F1578" t="s">
        <v>335</v>
      </c>
      <c r="G1578" t="str">
        <f>_xlfn.XLOOKUP(TRIM(E1579),MedicineInfo!A:A,MedicineInfo!B:B,"Not Found")</f>
        <v>Multivitamin</v>
      </c>
      <c r="H1578" s="1" t="str" cm="1">
        <f t="array" ref="H1578">_xlfn.IFS(
OR(E1578="Type 2 Diabetes",E1578="Essential Hypertension",E1578="Angina Pectoris",E1578="Bronchial Asthma",E1578="Cardiac Arrhythmia"), D1578+30,
OR(E1578="Gastritis",E1578="Osteoarthritis",E1578="Bronchitis",E1578="Iron Deficiency Anemia"), D1578+14,
OR(E1578="Lumbar Strain",E1578="Migraine Headache"), D1578+7,
OR(E1578="Viral Fever",E1578="General Checkup","Routine Health Check"), "",
TRUE,""
)</f>
        <v/>
      </c>
      <c r="I1578" s="1" t="str">
        <f t="shared" si="48"/>
        <v>No Follow-up Required</v>
      </c>
      <c r="J1578" t="str">
        <f>TEXT(Table8[[#This Row],[visit_Date]],"DDDD")</f>
        <v>Wednesday</v>
      </c>
      <c r="K1578" t="str">
        <f>TEXT(Table8[[#This Row],[visit_Date]],"mmmm")</f>
        <v>April</v>
      </c>
      <c r="L1578" t="str">
        <f t="shared" si="49"/>
        <v>Summer</v>
      </c>
    </row>
    <row r="1579" spans="1:12" x14ac:dyDescent="0.25">
      <c r="A1579">
        <v>1578</v>
      </c>
      <c r="B1579">
        <v>1164</v>
      </c>
      <c r="C1579">
        <v>1527</v>
      </c>
      <c r="D1579" s="1">
        <v>45819</v>
      </c>
      <c r="E1579" t="s">
        <v>24</v>
      </c>
      <c r="F1579" t="s">
        <v>321</v>
      </c>
      <c r="G1579" t="str">
        <f>_xlfn.XLOOKUP(TRIM(E1580),MedicineInfo!A:A,MedicineInfo!B:B,"Not Found")</f>
        <v>Multivitamin</v>
      </c>
      <c r="H1579" s="1" t="str" cm="1">
        <f t="array" ref="H1579">_xlfn.IFS(
OR(E1579="Type 2 Diabetes",E1579="Essential Hypertension",E1579="Angina Pectoris",E1579="Bronchial Asthma",E1579="Cardiac Arrhythmia"), D1579+30,
OR(E1579="Gastritis",E1579="Osteoarthritis",E1579="Bronchitis",E1579="Iron Deficiency Anemia"), D1579+14,
OR(E1579="Lumbar Strain",E1579="Migraine Headache"), D1579+7,
OR(E1579="Viral Fever",E1579="General Checkup","Routine Health Check"), "",
TRUE,""
)</f>
        <v/>
      </c>
      <c r="I1579" s="1" t="str">
        <f t="shared" si="48"/>
        <v>No Follow-up Required</v>
      </c>
      <c r="J1579" t="str">
        <f>TEXT(Table8[[#This Row],[visit_Date]],"DDDD")</f>
        <v>Wednesday</v>
      </c>
      <c r="K1579" t="str">
        <f>TEXT(Table8[[#This Row],[visit_Date]],"mmmm")</f>
        <v>June</v>
      </c>
      <c r="L1579" t="str">
        <f t="shared" si="49"/>
        <v>Monsoon</v>
      </c>
    </row>
    <row r="1580" spans="1:12" x14ac:dyDescent="0.25">
      <c r="A1580">
        <v>1579</v>
      </c>
      <c r="B1580">
        <v>1174</v>
      </c>
      <c r="C1580">
        <v>587</v>
      </c>
      <c r="D1580" s="1">
        <v>45799</v>
      </c>
      <c r="E1580" t="s">
        <v>24</v>
      </c>
      <c r="F1580" t="s">
        <v>321</v>
      </c>
      <c r="G1580" t="str">
        <f>_xlfn.XLOOKUP(TRIM(E1581),MedicineInfo!A:A,MedicineInfo!B:B,"Not Found")</f>
        <v>Multivitamin</v>
      </c>
      <c r="H1580" s="1" t="str" cm="1">
        <f t="array" ref="H1580">_xlfn.IFS(
OR(E1580="Type 2 Diabetes",E1580="Essential Hypertension",E1580="Angina Pectoris",E1580="Bronchial Asthma",E1580="Cardiac Arrhythmia"), D1580+30,
OR(E1580="Gastritis",E1580="Osteoarthritis",E1580="Bronchitis",E1580="Iron Deficiency Anemia"), D1580+14,
OR(E1580="Lumbar Strain",E1580="Migraine Headache"), D1580+7,
OR(E1580="Viral Fever",E1580="General Checkup","Routine Health Check"), "",
TRUE,""
)</f>
        <v/>
      </c>
      <c r="I1580" s="1" t="str">
        <f t="shared" si="48"/>
        <v>No Follow-up Required</v>
      </c>
      <c r="J1580" t="str">
        <f>TEXT(Table8[[#This Row],[visit_Date]],"DDDD")</f>
        <v>Thursday</v>
      </c>
      <c r="K1580" t="str">
        <f>TEXT(Table8[[#This Row],[visit_Date]],"mmmm")</f>
        <v>May</v>
      </c>
      <c r="L1580" t="str">
        <f t="shared" si="49"/>
        <v>Summer</v>
      </c>
    </row>
    <row r="1581" spans="1:12" x14ac:dyDescent="0.25">
      <c r="A1581">
        <v>1580</v>
      </c>
      <c r="B1581">
        <v>1300</v>
      </c>
      <c r="C1581">
        <v>497</v>
      </c>
      <c r="D1581" s="1">
        <v>45791</v>
      </c>
      <c r="E1581" t="s">
        <v>24</v>
      </c>
      <c r="F1581" t="s">
        <v>321</v>
      </c>
      <c r="G1581" t="str">
        <f>_xlfn.XLOOKUP(TRIM(E1582),MedicineInfo!A:A,MedicineInfo!B:B,"Not Found")</f>
        <v>Multivitamin</v>
      </c>
      <c r="H1581" s="1" t="str" cm="1">
        <f t="array" ref="H1581">_xlfn.IFS(
OR(E1581="Type 2 Diabetes",E1581="Essential Hypertension",E1581="Angina Pectoris",E1581="Bronchial Asthma",E1581="Cardiac Arrhythmia"), D1581+30,
OR(E1581="Gastritis",E1581="Osteoarthritis",E1581="Bronchitis",E1581="Iron Deficiency Anemia"), D1581+14,
OR(E1581="Lumbar Strain",E1581="Migraine Headache"), D1581+7,
OR(E1581="Viral Fever",E1581="General Checkup","Routine Health Check"), "",
TRUE,""
)</f>
        <v/>
      </c>
      <c r="I1581" s="1" t="str">
        <f t="shared" si="48"/>
        <v>No Follow-up Required</v>
      </c>
      <c r="J1581" t="str">
        <f>TEXT(Table8[[#This Row],[visit_Date]],"DDDD")</f>
        <v>Wednesday</v>
      </c>
      <c r="K1581" t="str">
        <f>TEXT(Table8[[#This Row],[visit_Date]],"mmmm")</f>
        <v>May</v>
      </c>
      <c r="L1581" t="str">
        <f t="shared" si="49"/>
        <v>Summer</v>
      </c>
    </row>
    <row r="1582" spans="1:12" x14ac:dyDescent="0.25">
      <c r="A1582">
        <v>1581</v>
      </c>
      <c r="B1582">
        <v>1153</v>
      </c>
      <c r="C1582">
        <v>1326</v>
      </c>
      <c r="D1582" s="1">
        <v>45829</v>
      </c>
      <c r="E1582" t="s">
        <v>24</v>
      </c>
      <c r="F1582" t="s">
        <v>321</v>
      </c>
      <c r="G1582" t="str">
        <f>_xlfn.XLOOKUP(TRIM(E1583),MedicineInfo!A:A,MedicineInfo!B:B,"Not Found")</f>
        <v>Multivitamin</v>
      </c>
      <c r="H1582" s="1" t="str" cm="1">
        <f t="array" ref="H1582">_xlfn.IFS(
OR(E1582="Type 2 Diabetes",E1582="Essential Hypertension",E1582="Angina Pectoris",E1582="Bronchial Asthma",E1582="Cardiac Arrhythmia"), D1582+30,
OR(E1582="Gastritis",E1582="Osteoarthritis",E1582="Bronchitis",E1582="Iron Deficiency Anemia"), D1582+14,
OR(E1582="Lumbar Strain",E1582="Migraine Headache"), D1582+7,
OR(E1582="Viral Fever",E1582="General Checkup","Routine Health Check"), "",
TRUE,""
)</f>
        <v/>
      </c>
      <c r="I1582" s="1" t="str">
        <f t="shared" si="48"/>
        <v>No Follow-up Required</v>
      </c>
      <c r="J1582" t="str">
        <f>TEXT(Table8[[#This Row],[visit_Date]],"DDDD")</f>
        <v>Saturday</v>
      </c>
      <c r="K1582" t="str">
        <f>TEXT(Table8[[#This Row],[visit_Date]],"mmmm")</f>
        <v>June</v>
      </c>
      <c r="L1582" t="str">
        <f t="shared" si="49"/>
        <v>Monsoon</v>
      </c>
    </row>
    <row r="1583" spans="1:12" x14ac:dyDescent="0.25">
      <c r="A1583">
        <v>1582</v>
      </c>
      <c r="B1583">
        <v>1244</v>
      </c>
      <c r="C1583">
        <v>1376</v>
      </c>
      <c r="D1583" s="1">
        <v>45777</v>
      </c>
      <c r="E1583" t="s">
        <v>24</v>
      </c>
      <c r="F1583" t="s">
        <v>321</v>
      </c>
      <c r="G1583" t="str">
        <f>_xlfn.XLOOKUP(TRIM(E1584),MedicineInfo!A:A,MedicineInfo!B:B,"Not Found")</f>
        <v>Multivitamin</v>
      </c>
      <c r="H1583" s="1" t="str" cm="1">
        <f t="array" ref="H1583">_xlfn.IFS(
OR(E1583="Type 2 Diabetes",E1583="Essential Hypertension",E1583="Angina Pectoris",E1583="Bronchial Asthma",E1583="Cardiac Arrhythmia"), D1583+30,
OR(E1583="Gastritis",E1583="Osteoarthritis",E1583="Bronchitis",E1583="Iron Deficiency Anemia"), D1583+14,
OR(E1583="Lumbar Strain",E1583="Migraine Headache"), D1583+7,
OR(E1583="Viral Fever",E1583="General Checkup","Routine Health Check"), "",
TRUE,""
)</f>
        <v/>
      </c>
      <c r="I1583" s="1" t="str">
        <f t="shared" si="48"/>
        <v>No Follow-up Required</v>
      </c>
      <c r="J1583" t="str">
        <f>TEXT(Table8[[#This Row],[visit_Date]],"DDDD")</f>
        <v>Wednesday</v>
      </c>
      <c r="K1583" t="str">
        <f>TEXT(Table8[[#This Row],[visit_Date]],"mmmm")</f>
        <v>April</v>
      </c>
      <c r="L1583" t="str">
        <f t="shared" si="49"/>
        <v>Summer</v>
      </c>
    </row>
    <row r="1584" spans="1:12" x14ac:dyDescent="0.25">
      <c r="A1584">
        <v>1583</v>
      </c>
      <c r="B1584">
        <v>1321</v>
      </c>
      <c r="C1584">
        <v>334</v>
      </c>
      <c r="D1584" s="1">
        <v>45855</v>
      </c>
      <c r="E1584" t="s">
        <v>24</v>
      </c>
      <c r="F1584" t="s">
        <v>321</v>
      </c>
      <c r="G1584" t="str">
        <f>_xlfn.XLOOKUP(TRIM(E1585),MedicineInfo!A:A,MedicineInfo!B:B,"Not Found")</f>
        <v>Multivitamin</v>
      </c>
      <c r="H1584" s="1" t="str" cm="1">
        <f t="array" ref="H1584">_xlfn.IFS(
OR(E1584="Type 2 Diabetes",E1584="Essential Hypertension",E1584="Angina Pectoris",E1584="Bronchial Asthma",E1584="Cardiac Arrhythmia"), D1584+30,
OR(E1584="Gastritis",E1584="Osteoarthritis",E1584="Bronchitis",E1584="Iron Deficiency Anemia"), D1584+14,
OR(E1584="Lumbar Strain",E1584="Migraine Headache"), D1584+7,
OR(E1584="Viral Fever",E1584="General Checkup","Routine Health Check"), "",
TRUE,""
)</f>
        <v/>
      </c>
      <c r="I1584" s="1" t="str">
        <f t="shared" si="48"/>
        <v>No Follow-up Required</v>
      </c>
      <c r="J1584" t="str">
        <f>TEXT(Table8[[#This Row],[visit_Date]],"DDDD")</f>
        <v>Thursday</v>
      </c>
      <c r="K1584" t="str">
        <f>TEXT(Table8[[#This Row],[visit_Date]],"mmmm")</f>
        <v>July</v>
      </c>
      <c r="L1584" t="str">
        <f t="shared" si="49"/>
        <v>Monsoon</v>
      </c>
    </row>
    <row r="1585" spans="1:12" x14ac:dyDescent="0.25">
      <c r="A1585">
        <v>1584</v>
      </c>
      <c r="B1585">
        <v>1317</v>
      </c>
      <c r="C1585">
        <v>1148</v>
      </c>
      <c r="D1585" s="1">
        <v>45691</v>
      </c>
      <c r="E1585" t="s">
        <v>24</v>
      </c>
      <c r="F1585" t="s">
        <v>321</v>
      </c>
      <c r="G1585" t="str">
        <f>_xlfn.XLOOKUP(TRIM(E1586),MedicineInfo!A:A,MedicineInfo!B:B,"Not Found")</f>
        <v>Amlodipine</v>
      </c>
      <c r="H1585" s="1" t="str" cm="1">
        <f t="array" ref="H1585">_xlfn.IFS(
OR(E1585="Type 2 Diabetes",E1585="Essential Hypertension",E1585="Angina Pectoris",E1585="Bronchial Asthma",E1585="Cardiac Arrhythmia"), D1585+30,
OR(E1585="Gastritis",E1585="Osteoarthritis",E1585="Bronchitis",E1585="Iron Deficiency Anemia"), D1585+14,
OR(E1585="Lumbar Strain",E1585="Migraine Headache"), D1585+7,
OR(E1585="Viral Fever",E1585="General Checkup","Routine Health Check"), "",
TRUE,""
)</f>
        <v/>
      </c>
      <c r="I1585" s="1" t="str">
        <f t="shared" si="48"/>
        <v>No Follow-up Required</v>
      </c>
      <c r="J1585" t="str">
        <f>TEXT(Table8[[#This Row],[visit_Date]],"DDDD")</f>
        <v>Monday</v>
      </c>
      <c r="K1585" t="str">
        <f>TEXT(Table8[[#This Row],[visit_Date]],"mmmm")</f>
        <v>February</v>
      </c>
      <c r="L1585" t="str">
        <f t="shared" si="49"/>
        <v>Winter</v>
      </c>
    </row>
    <row r="1586" spans="1:12" x14ac:dyDescent="0.25">
      <c r="A1586">
        <v>1585</v>
      </c>
      <c r="B1586">
        <v>1274</v>
      </c>
      <c r="C1586">
        <v>1298</v>
      </c>
      <c r="D1586" s="1">
        <v>45669</v>
      </c>
      <c r="E1586" t="s">
        <v>319</v>
      </c>
      <c r="F1586" t="s">
        <v>320</v>
      </c>
      <c r="G1586" t="str">
        <f>_xlfn.XLOOKUP(TRIM(E1587),MedicineInfo!A:A,MedicineInfo!B:B,"Not Found")</f>
        <v>Sodium Valproate</v>
      </c>
      <c r="H1586" s="1" cm="1">
        <f t="array" ref="H1586">_xlfn.IFS(
OR(E1586="Type 2 Diabetes",E1586="Essential Hypertension",E1586="Angina Pectoris",E1586="Bronchial Asthma",E1586="Cardiac Arrhythmia"), D1586+30,
OR(E1586="Gastritis",E1586="Osteoarthritis",E1586="Bronchitis",E1586="Iron Deficiency Anemia"), D1586+14,
OR(E1586="Lumbar Strain",E1586="Migraine Headache"), D1586+7,
OR(E1586="Viral Fever",E1586="General Checkup","Routine Health Check"), "",
TRUE,""
)</f>
        <v>45699</v>
      </c>
      <c r="I1586" s="1" t="str">
        <f t="shared" si="48"/>
        <v>Follow-up Scheduled</v>
      </c>
      <c r="J1586" t="str">
        <f>TEXT(Table8[[#This Row],[visit_Date]],"DDDD")</f>
        <v>Sunday</v>
      </c>
      <c r="K1586" t="str">
        <f>TEXT(Table8[[#This Row],[visit_Date]],"mmmm")</f>
        <v>January</v>
      </c>
      <c r="L1586" t="str">
        <f t="shared" si="49"/>
        <v>Winter</v>
      </c>
    </row>
    <row r="1587" spans="1:12" x14ac:dyDescent="0.25">
      <c r="A1587">
        <v>1586</v>
      </c>
      <c r="B1587">
        <v>1257</v>
      </c>
      <c r="C1587">
        <v>605</v>
      </c>
      <c r="D1587" s="1">
        <v>45672</v>
      </c>
      <c r="E1587" t="s">
        <v>352</v>
      </c>
      <c r="F1587" t="s">
        <v>353</v>
      </c>
      <c r="G1587" t="str">
        <f>_xlfn.XLOOKUP(TRIM(E1588),MedicineInfo!A:A,MedicineInfo!B:B,"Not Found")</f>
        <v>Multivitamin</v>
      </c>
      <c r="H1587" s="1" t="str" cm="1">
        <f t="array" ref="H1587">_xlfn.IFS(
OR(E1587="Type 2 Diabetes",E1587="Essential Hypertension",E1587="Angina Pectoris",E1587="Bronchial Asthma",E1587="Cardiac Arrhythmia"), D1587+30,
OR(E1587="Gastritis",E1587="Osteoarthritis",E1587="Bronchitis",E1587="Iron Deficiency Anemia"), D1587+14,
OR(E1587="Lumbar Strain",E1587="Migraine Headache"), D1587+7,
OR(E1587="Viral Fever",E1587="General Checkup","Routine Health Check"), "",
TRUE,""
)</f>
        <v/>
      </c>
      <c r="I1587" s="1" t="str">
        <f t="shared" si="48"/>
        <v>No Follow-up Required</v>
      </c>
      <c r="J1587" t="str">
        <f>TEXT(Table8[[#This Row],[visit_Date]],"DDDD")</f>
        <v>Wednesday</v>
      </c>
      <c r="K1587" t="str">
        <f>TEXT(Table8[[#This Row],[visit_Date]],"mmmm")</f>
        <v>January</v>
      </c>
      <c r="L1587" t="str">
        <f t="shared" si="49"/>
        <v>Winter</v>
      </c>
    </row>
    <row r="1588" spans="1:12" x14ac:dyDescent="0.25">
      <c r="A1588">
        <v>1587</v>
      </c>
      <c r="B1588">
        <v>1087</v>
      </c>
      <c r="C1588">
        <v>634</v>
      </c>
      <c r="D1588" s="1">
        <v>45834</v>
      </c>
      <c r="E1588" t="s">
        <v>24</v>
      </c>
      <c r="F1588" t="s">
        <v>321</v>
      </c>
      <c r="G1588" t="str">
        <f>_xlfn.XLOOKUP(TRIM(E1589),MedicineInfo!A:A,MedicineInfo!B:B,"Not Found")</f>
        <v>Multivitamin</v>
      </c>
      <c r="H1588" s="1" t="str" cm="1">
        <f t="array" ref="H1588">_xlfn.IFS(
OR(E1588="Type 2 Diabetes",E1588="Essential Hypertension",E1588="Angina Pectoris",E1588="Bronchial Asthma",E1588="Cardiac Arrhythmia"), D1588+30,
OR(E1588="Gastritis",E1588="Osteoarthritis",E1588="Bronchitis",E1588="Iron Deficiency Anemia"), D1588+14,
OR(E1588="Lumbar Strain",E1588="Migraine Headache"), D1588+7,
OR(E1588="Viral Fever",E1588="General Checkup","Routine Health Check"), "",
TRUE,""
)</f>
        <v/>
      </c>
      <c r="I1588" s="1" t="str">
        <f t="shared" si="48"/>
        <v>No Follow-up Required</v>
      </c>
      <c r="J1588" t="str">
        <f>TEXT(Table8[[#This Row],[visit_Date]],"DDDD")</f>
        <v>Thursday</v>
      </c>
      <c r="K1588" t="str">
        <f>TEXT(Table8[[#This Row],[visit_Date]],"mmmm")</f>
        <v>June</v>
      </c>
      <c r="L1588" t="str">
        <f t="shared" si="49"/>
        <v>Monsoon</v>
      </c>
    </row>
    <row r="1589" spans="1:12" x14ac:dyDescent="0.25">
      <c r="A1589">
        <v>1588</v>
      </c>
      <c r="B1589">
        <v>1283</v>
      </c>
      <c r="C1589">
        <v>267</v>
      </c>
      <c r="D1589" s="1">
        <v>45791</v>
      </c>
      <c r="E1589" t="s">
        <v>24</v>
      </c>
      <c r="F1589" t="s">
        <v>321</v>
      </c>
      <c r="G1589" t="str">
        <f>_xlfn.XLOOKUP(TRIM(E1590),MedicineInfo!A:A,MedicineInfo!B:B,"Not Found")</f>
        <v>Multivitamin</v>
      </c>
      <c r="H1589" s="1" t="str" cm="1">
        <f t="array" ref="H1589">_xlfn.IFS(
OR(E1589="Type 2 Diabetes",E1589="Essential Hypertension",E1589="Angina Pectoris",E1589="Bronchial Asthma",E1589="Cardiac Arrhythmia"), D1589+30,
OR(E1589="Gastritis",E1589="Osteoarthritis",E1589="Bronchitis",E1589="Iron Deficiency Anemia"), D1589+14,
OR(E1589="Lumbar Strain",E1589="Migraine Headache"), D1589+7,
OR(E1589="Viral Fever",E1589="General Checkup","Routine Health Check"), "",
TRUE,""
)</f>
        <v/>
      </c>
      <c r="I1589" s="1" t="str">
        <f t="shared" si="48"/>
        <v>No Follow-up Required</v>
      </c>
      <c r="J1589" t="str">
        <f>TEXT(Table8[[#This Row],[visit_Date]],"DDDD")</f>
        <v>Wednesday</v>
      </c>
      <c r="K1589" t="str">
        <f>TEXT(Table8[[#This Row],[visit_Date]],"mmmm")</f>
        <v>May</v>
      </c>
      <c r="L1589" t="str">
        <f t="shared" si="49"/>
        <v>Summer</v>
      </c>
    </row>
    <row r="1590" spans="1:12" x14ac:dyDescent="0.25">
      <c r="A1590">
        <v>1589</v>
      </c>
      <c r="B1590">
        <v>1304</v>
      </c>
      <c r="C1590">
        <v>374</v>
      </c>
      <c r="D1590" s="1">
        <v>45819</v>
      </c>
      <c r="E1590" t="s">
        <v>24</v>
      </c>
      <c r="F1590" t="s">
        <v>321</v>
      </c>
      <c r="G1590" t="str">
        <f>_xlfn.XLOOKUP(TRIM(E1591),MedicineInfo!A:A,MedicineInfo!B:B,"Not Found")</f>
        <v>Multivitamin</v>
      </c>
      <c r="H1590" s="1" t="str" cm="1">
        <f t="array" ref="H1590">_xlfn.IFS(
OR(E1590="Type 2 Diabetes",E1590="Essential Hypertension",E1590="Angina Pectoris",E1590="Bronchial Asthma",E1590="Cardiac Arrhythmia"), D1590+30,
OR(E1590="Gastritis",E1590="Osteoarthritis",E1590="Bronchitis",E1590="Iron Deficiency Anemia"), D1590+14,
OR(E1590="Lumbar Strain",E1590="Migraine Headache"), D1590+7,
OR(E1590="Viral Fever",E1590="General Checkup","Routine Health Check"), "",
TRUE,""
)</f>
        <v/>
      </c>
      <c r="I1590" s="1" t="str">
        <f t="shared" si="48"/>
        <v>No Follow-up Required</v>
      </c>
      <c r="J1590" t="str">
        <f>TEXT(Table8[[#This Row],[visit_Date]],"DDDD")</f>
        <v>Wednesday</v>
      </c>
      <c r="K1590" t="str">
        <f>TEXT(Table8[[#This Row],[visit_Date]],"mmmm")</f>
        <v>June</v>
      </c>
      <c r="L1590" t="str">
        <f t="shared" si="49"/>
        <v>Monsoon</v>
      </c>
    </row>
    <row r="1591" spans="1:12" x14ac:dyDescent="0.25">
      <c r="A1591">
        <v>1590</v>
      </c>
      <c r="B1591">
        <v>1055</v>
      </c>
      <c r="C1591">
        <v>364</v>
      </c>
      <c r="D1591" s="1">
        <v>45813</v>
      </c>
      <c r="E1591" t="s">
        <v>24</v>
      </c>
      <c r="F1591" t="s">
        <v>321</v>
      </c>
      <c r="G1591" t="str">
        <f>_xlfn.XLOOKUP(TRIM(E1592),MedicineInfo!A:A,MedicineInfo!B:B,"Not Found")</f>
        <v>Multivitamin</v>
      </c>
      <c r="H1591" s="1" t="str" cm="1">
        <f t="array" ref="H1591">_xlfn.IFS(
OR(E1591="Type 2 Diabetes",E1591="Essential Hypertension",E1591="Angina Pectoris",E1591="Bronchial Asthma",E1591="Cardiac Arrhythmia"), D1591+30,
OR(E1591="Gastritis",E1591="Osteoarthritis",E1591="Bronchitis",E1591="Iron Deficiency Anemia"), D1591+14,
OR(E1591="Lumbar Strain",E1591="Migraine Headache"), D1591+7,
OR(E1591="Viral Fever",E1591="General Checkup","Routine Health Check"), "",
TRUE,""
)</f>
        <v/>
      </c>
      <c r="I1591" s="1" t="str">
        <f t="shared" si="48"/>
        <v>No Follow-up Required</v>
      </c>
      <c r="J1591" t="str">
        <f>TEXT(Table8[[#This Row],[visit_Date]],"DDDD")</f>
        <v>Thursday</v>
      </c>
      <c r="K1591" t="str">
        <f>TEXT(Table8[[#This Row],[visit_Date]],"mmmm")</f>
        <v>June</v>
      </c>
      <c r="L1591" t="str">
        <f t="shared" si="49"/>
        <v>Monsoon</v>
      </c>
    </row>
    <row r="1592" spans="1:12" x14ac:dyDescent="0.25">
      <c r="A1592">
        <v>1591</v>
      </c>
      <c r="B1592">
        <v>1071</v>
      </c>
      <c r="C1592">
        <v>563</v>
      </c>
      <c r="D1592" s="1">
        <v>45783</v>
      </c>
      <c r="E1592" t="s">
        <v>24</v>
      </c>
      <c r="F1592" t="s">
        <v>321</v>
      </c>
      <c r="G1592" t="str">
        <f>_xlfn.XLOOKUP(TRIM(E1593),MedicineInfo!A:A,MedicineInfo!B:B,"Not Found")</f>
        <v>Multivitamin</v>
      </c>
      <c r="H1592" s="1" t="str" cm="1">
        <f t="array" ref="H1592">_xlfn.IFS(
OR(E1592="Type 2 Diabetes",E1592="Essential Hypertension",E1592="Angina Pectoris",E1592="Bronchial Asthma",E1592="Cardiac Arrhythmia"), D1592+30,
OR(E1592="Gastritis",E1592="Osteoarthritis",E1592="Bronchitis",E1592="Iron Deficiency Anemia"), D1592+14,
OR(E1592="Lumbar Strain",E1592="Migraine Headache"), D1592+7,
OR(E1592="Viral Fever",E1592="General Checkup","Routine Health Check"), "",
TRUE,""
)</f>
        <v/>
      </c>
      <c r="I1592" s="1" t="str">
        <f t="shared" si="48"/>
        <v>No Follow-up Required</v>
      </c>
      <c r="J1592" t="str">
        <f>TEXT(Table8[[#This Row],[visit_Date]],"DDDD")</f>
        <v>Tuesday</v>
      </c>
      <c r="K1592" t="str">
        <f>TEXT(Table8[[#This Row],[visit_Date]],"mmmm")</f>
        <v>May</v>
      </c>
      <c r="L1592" t="str">
        <f t="shared" si="49"/>
        <v>Summer</v>
      </c>
    </row>
    <row r="1593" spans="1:12" x14ac:dyDescent="0.25">
      <c r="A1593">
        <v>1592</v>
      </c>
      <c r="B1593">
        <v>1106</v>
      </c>
      <c r="C1593">
        <v>1458</v>
      </c>
      <c r="D1593" s="1">
        <v>45790</v>
      </c>
      <c r="E1593" t="s">
        <v>24</v>
      </c>
      <c r="F1593" t="s">
        <v>321</v>
      </c>
      <c r="G1593" t="str">
        <f>_xlfn.XLOOKUP(TRIM(E1594),MedicineInfo!A:A,MedicineInfo!B:B,"Not Found")</f>
        <v>Amlodipine</v>
      </c>
      <c r="H1593" s="1" t="str" cm="1">
        <f t="array" ref="H1593">_xlfn.IFS(
OR(E1593="Type 2 Diabetes",E1593="Essential Hypertension",E1593="Angina Pectoris",E1593="Bronchial Asthma",E1593="Cardiac Arrhythmia"), D1593+30,
OR(E1593="Gastritis",E1593="Osteoarthritis",E1593="Bronchitis",E1593="Iron Deficiency Anemia"), D1593+14,
OR(E1593="Lumbar Strain",E1593="Migraine Headache"), D1593+7,
OR(E1593="Viral Fever",E1593="General Checkup","Routine Health Check"), "",
TRUE,""
)</f>
        <v/>
      </c>
      <c r="I1593" s="1" t="str">
        <f t="shared" si="48"/>
        <v>No Follow-up Required</v>
      </c>
      <c r="J1593" t="str">
        <f>TEXT(Table8[[#This Row],[visit_Date]],"DDDD")</f>
        <v>Tuesday</v>
      </c>
      <c r="K1593" t="str">
        <f>TEXT(Table8[[#This Row],[visit_Date]],"mmmm")</f>
        <v>May</v>
      </c>
      <c r="L1593" t="str">
        <f t="shared" si="49"/>
        <v>Summer</v>
      </c>
    </row>
    <row r="1594" spans="1:12" x14ac:dyDescent="0.25">
      <c r="A1594">
        <v>1593</v>
      </c>
      <c r="B1594">
        <v>1102</v>
      </c>
      <c r="C1594">
        <v>250</v>
      </c>
      <c r="D1594" s="1">
        <v>45659</v>
      </c>
      <c r="E1594" t="s">
        <v>319</v>
      </c>
      <c r="F1594" t="s">
        <v>320</v>
      </c>
      <c r="G1594" t="str">
        <f>_xlfn.XLOOKUP(TRIM(E1595),MedicineInfo!A:A,MedicineInfo!B:B,"Not Found")</f>
        <v>Sumatriptan</v>
      </c>
      <c r="H1594" s="1" cm="1">
        <f t="array" ref="H1594">_xlfn.IFS(
OR(E1594="Type 2 Diabetes",E1594="Essential Hypertension",E1594="Angina Pectoris",E1594="Bronchial Asthma",E1594="Cardiac Arrhythmia"), D1594+30,
OR(E1594="Gastritis",E1594="Osteoarthritis",E1594="Bronchitis",E1594="Iron Deficiency Anemia"), D1594+14,
OR(E1594="Lumbar Strain",E1594="Migraine Headache"), D1594+7,
OR(E1594="Viral Fever",E1594="General Checkup","Routine Health Check"), "",
TRUE,""
)</f>
        <v>45689</v>
      </c>
      <c r="I1594" s="1" t="str">
        <f t="shared" si="48"/>
        <v>Follow-up Scheduled</v>
      </c>
      <c r="J1594" t="str">
        <f>TEXT(Table8[[#This Row],[visit_Date]],"DDDD")</f>
        <v>Thursday</v>
      </c>
      <c r="K1594" t="str">
        <f>TEXT(Table8[[#This Row],[visit_Date]],"mmmm")</f>
        <v>January</v>
      </c>
      <c r="L1594" t="str">
        <f t="shared" si="49"/>
        <v>Winter</v>
      </c>
    </row>
    <row r="1595" spans="1:12" x14ac:dyDescent="0.25">
      <c r="A1595">
        <v>1594</v>
      </c>
      <c r="B1595">
        <v>1191</v>
      </c>
      <c r="C1595">
        <v>274</v>
      </c>
      <c r="D1595" s="1">
        <v>45826</v>
      </c>
      <c r="E1595" t="s">
        <v>315</v>
      </c>
      <c r="F1595" t="s">
        <v>316</v>
      </c>
      <c r="G1595" t="str">
        <f>_xlfn.XLOOKUP(TRIM(E1596),MedicineInfo!A:A,MedicineInfo!B:B,"Not Found")</f>
        <v>Multivitamin</v>
      </c>
      <c r="H1595" s="1" cm="1">
        <f t="array" ref="H1595">_xlfn.IFS(
OR(E1595="Type 2 Diabetes",E1595="Essential Hypertension",E1595="Angina Pectoris",E1595="Bronchial Asthma",E1595="Cardiac Arrhythmia"), D1595+30,
OR(E1595="Gastritis",E1595="Osteoarthritis",E1595="Bronchitis",E1595="Iron Deficiency Anemia"), D1595+14,
OR(E1595="Lumbar Strain",E1595="Migraine Headache"), D1595+7,
OR(E1595="Viral Fever",E1595="General Checkup","Routine Health Check"), "",
TRUE,""
)</f>
        <v>45833</v>
      </c>
      <c r="I1595" s="1" t="str">
        <f t="shared" si="48"/>
        <v>Follow-up Scheduled</v>
      </c>
      <c r="J1595" t="str">
        <f>TEXT(Table8[[#This Row],[visit_Date]],"DDDD")</f>
        <v>Wednesday</v>
      </c>
      <c r="K1595" t="str">
        <f>TEXT(Table8[[#This Row],[visit_Date]],"mmmm")</f>
        <v>June</v>
      </c>
      <c r="L1595" t="str">
        <f t="shared" si="49"/>
        <v>Monsoon</v>
      </c>
    </row>
    <row r="1596" spans="1:12" x14ac:dyDescent="0.25">
      <c r="A1596">
        <v>1595</v>
      </c>
      <c r="B1596">
        <v>1025</v>
      </c>
      <c r="C1596">
        <v>1242</v>
      </c>
      <c r="D1596" s="1">
        <v>45799</v>
      </c>
      <c r="E1596" t="s">
        <v>24</v>
      </c>
      <c r="F1596" t="s">
        <v>321</v>
      </c>
      <c r="G1596" t="str">
        <f>_xlfn.XLOOKUP(TRIM(E1597),MedicineInfo!A:A,MedicineInfo!B:B,"Not Found")</f>
        <v>Multivitamin</v>
      </c>
      <c r="H1596" s="1" t="str" cm="1">
        <f t="array" ref="H1596">_xlfn.IFS(
OR(E1596="Type 2 Diabetes",E1596="Essential Hypertension",E1596="Angina Pectoris",E1596="Bronchial Asthma",E1596="Cardiac Arrhythmia"), D1596+30,
OR(E1596="Gastritis",E1596="Osteoarthritis",E1596="Bronchitis",E1596="Iron Deficiency Anemia"), D1596+14,
OR(E1596="Lumbar Strain",E1596="Migraine Headache"), D1596+7,
OR(E1596="Viral Fever",E1596="General Checkup","Routine Health Check"), "",
TRUE,""
)</f>
        <v/>
      </c>
      <c r="I1596" s="1" t="str">
        <f t="shared" si="48"/>
        <v>No Follow-up Required</v>
      </c>
      <c r="J1596" t="str">
        <f>TEXT(Table8[[#This Row],[visit_Date]],"DDDD")</f>
        <v>Thursday</v>
      </c>
      <c r="K1596" t="str">
        <f>TEXT(Table8[[#This Row],[visit_Date]],"mmmm")</f>
        <v>May</v>
      </c>
      <c r="L1596" t="str">
        <f t="shared" si="49"/>
        <v>Summer</v>
      </c>
    </row>
    <row r="1597" spans="1:12" x14ac:dyDescent="0.25">
      <c r="A1597">
        <v>1596</v>
      </c>
      <c r="B1597">
        <v>1333</v>
      </c>
      <c r="C1597">
        <v>936</v>
      </c>
      <c r="D1597" s="1">
        <v>45792</v>
      </c>
      <c r="E1597" t="s">
        <v>24</v>
      </c>
      <c r="F1597" t="s">
        <v>321</v>
      </c>
      <c r="G1597" t="str">
        <f>_xlfn.XLOOKUP(TRIM(E1598),MedicineInfo!A:A,MedicineInfo!B:B,"Not Found")</f>
        <v>Multivitamin</v>
      </c>
      <c r="H1597" s="1" t="str" cm="1">
        <f t="array" ref="H1597">_xlfn.IFS(
OR(E1597="Type 2 Diabetes",E1597="Essential Hypertension",E1597="Angina Pectoris",E1597="Bronchial Asthma",E1597="Cardiac Arrhythmia"), D1597+30,
OR(E1597="Gastritis",E1597="Osteoarthritis",E1597="Bronchitis",E1597="Iron Deficiency Anemia"), D1597+14,
OR(E1597="Lumbar Strain",E1597="Migraine Headache"), D1597+7,
OR(E1597="Viral Fever",E1597="General Checkup","Routine Health Check"), "",
TRUE,""
)</f>
        <v/>
      </c>
      <c r="I1597" s="1" t="str">
        <f t="shared" si="48"/>
        <v>No Follow-up Required</v>
      </c>
      <c r="J1597" t="str">
        <f>TEXT(Table8[[#This Row],[visit_Date]],"DDDD")</f>
        <v>Thursday</v>
      </c>
      <c r="K1597" t="str">
        <f>TEXT(Table8[[#This Row],[visit_Date]],"mmmm")</f>
        <v>May</v>
      </c>
      <c r="L1597" t="str">
        <f t="shared" si="49"/>
        <v>Summer</v>
      </c>
    </row>
    <row r="1598" spans="1:12" x14ac:dyDescent="0.25">
      <c r="A1598">
        <v>1597</v>
      </c>
      <c r="B1598">
        <v>1348</v>
      </c>
      <c r="C1598">
        <v>115</v>
      </c>
      <c r="D1598" s="1">
        <v>45819</v>
      </c>
      <c r="E1598" t="s">
        <v>24</v>
      </c>
      <c r="F1598" t="s">
        <v>321</v>
      </c>
      <c r="G1598" t="str">
        <f>_xlfn.XLOOKUP(TRIM(E1599),MedicineInfo!A:A,MedicineInfo!B:B,"Not Found")</f>
        <v>Multivitamin</v>
      </c>
      <c r="H1598" s="1" t="str" cm="1">
        <f t="array" ref="H1598">_xlfn.IFS(
OR(E1598="Type 2 Diabetes",E1598="Essential Hypertension",E1598="Angina Pectoris",E1598="Bronchial Asthma",E1598="Cardiac Arrhythmia"), D1598+30,
OR(E1598="Gastritis",E1598="Osteoarthritis",E1598="Bronchitis",E1598="Iron Deficiency Anemia"), D1598+14,
OR(E1598="Lumbar Strain",E1598="Migraine Headache"), D1598+7,
OR(E1598="Viral Fever",E1598="General Checkup","Routine Health Check"), "",
TRUE,""
)</f>
        <v/>
      </c>
      <c r="I1598" s="1" t="str">
        <f t="shared" si="48"/>
        <v>No Follow-up Required</v>
      </c>
      <c r="J1598" t="str">
        <f>TEXT(Table8[[#This Row],[visit_Date]],"DDDD")</f>
        <v>Wednesday</v>
      </c>
      <c r="K1598" t="str">
        <f>TEXT(Table8[[#This Row],[visit_Date]],"mmmm")</f>
        <v>June</v>
      </c>
      <c r="L1598" t="str">
        <f t="shared" si="49"/>
        <v>Monsoon</v>
      </c>
    </row>
    <row r="1599" spans="1:12" x14ac:dyDescent="0.25">
      <c r="A1599">
        <v>1598</v>
      </c>
      <c r="B1599">
        <v>1232</v>
      </c>
      <c r="C1599">
        <v>1379</v>
      </c>
      <c r="D1599" s="1">
        <v>45777</v>
      </c>
      <c r="E1599" t="s">
        <v>24</v>
      </c>
      <c r="F1599" t="s">
        <v>321</v>
      </c>
      <c r="G1599" t="str">
        <f>_xlfn.XLOOKUP(TRIM(E1600),MedicineInfo!A:A,MedicineInfo!B:B,"Not Found")</f>
        <v>Escitalopram</v>
      </c>
      <c r="H1599" s="1" t="str" cm="1">
        <f t="array" ref="H1599">_xlfn.IFS(
OR(E1599="Type 2 Diabetes",E1599="Essential Hypertension",E1599="Angina Pectoris",E1599="Bronchial Asthma",E1599="Cardiac Arrhythmia"), D1599+30,
OR(E1599="Gastritis",E1599="Osteoarthritis",E1599="Bronchitis",E1599="Iron Deficiency Anemia"), D1599+14,
OR(E1599="Lumbar Strain",E1599="Migraine Headache"), D1599+7,
OR(E1599="Viral Fever",E1599="General Checkup","Routine Health Check"), "",
TRUE,""
)</f>
        <v/>
      </c>
      <c r="I1599" s="1" t="str">
        <f t="shared" si="48"/>
        <v>No Follow-up Required</v>
      </c>
      <c r="J1599" t="str">
        <f>TEXT(Table8[[#This Row],[visit_Date]],"DDDD")</f>
        <v>Wednesday</v>
      </c>
      <c r="K1599" t="str">
        <f>TEXT(Table8[[#This Row],[visit_Date]],"mmmm")</f>
        <v>April</v>
      </c>
      <c r="L1599" t="str">
        <f t="shared" si="49"/>
        <v>Summer</v>
      </c>
    </row>
    <row r="1600" spans="1:12" x14ac:dyDescent="0.25">
      <c r="A1600">
        <v>1599</v>
      </c>
      <c r="B1600">
        <v>1370</v>
      </c>
      <c r="C1600">
        <v>671</v>
      </c>
      <c r="D1600" s="1">
        <v>45786</v>
      </c>
      <c r="E1600" t="s">
        <v>328</v>
      </c>
      <c r="F1600" t="s">
        <v>329</v>
      </c>
      <c r="G1600" t="str">
        <f>_xlfn.XLOOKUP(TRIM(E1601),MedicineInfo!A:A,MedicineInfo!B:B,"Not Found")</f>
        <v>Multivitamin</v>
      </c>
      <c r="H1600" s="1" t="str" cm="1">
        <f t="array" ref="H1600">_xlfn.IFS(
OR(E1600="Type 2 Diabetes",E1600="Essential Hypertension",E1600="Angina Pectoris",E1600="Bronchial Asthma",E1600="Cardiac Arrhythmia"), D1600+30,
OR(E1600="Gastritis",E1600="Osteoarthritis",E1600="Bronchitis",E1600="Iron Deficiency Anemia"), D1600+14,
OR(E1600="Lumbar Strain",E1600="Migraine Headache"), D1600+7,
OR(E1600="Viral Fever",E1600="General Checkup","Routine Health Check"), "",
TRUE,""
)</f>
        <v/>
      </c>
      <c r="I1600" s="1" t="str">
        <f t="shared" si="48"/>
        <v>No Follow-up Required</v>
      </c>
      <c r="J1600" t="str">
        <f>TEXT(Table8[[#This Row],[visit_Date]],"DDDD")</f>
        <v>Friday</v>
      </c>
      <c r="K1600" t="str">
        <f>TEXT(Table8[[#This Row],[visit_Date]],"mmmm")</f>
        <v>May</v>
      </c>
      <c r="L1600" t="str">
        <f t="shared" si="49"/>
        <v>Summer</v>
      </c>
    </row>
    <row r="1601" spans="1:12" x14ac:dyDescent="0.25">
      <c r="A1601">
        <v>1600</v>
      </c>
      <c r="B1601">
        <v>1245</v>
      </c>
      <c r="C1601">
        <v>1218</v>
      </c>
      <c r="D1601" s="1">
        <v>45790</v>
      </c>
      <c r="E1601" t="s">
        <v>24</v>
      </c>
      <c r="F1601" t="s">
        <v>321</v>
      </c>
      <c r="G1601" t="str">
        <f>_xlfn.XLOOKUP(TRIM(E1602),MedicineInfo!A:A,MedicineInfo!B:B,"Not Found")</f>
        <v>Multivitamin</v>
      </c>
      <c r="H1601" s="1" t="str" cm="1">
        <f t="array" ref="H1601">_xlfn.IFS(
OR(E1601="Type 2 Diabetes",E1601="Essential Hypertension",E1601="Angina Pectoris",E1601="Bronchial Asthma",E1601="Cardiac Arrhythmia"), D1601+30,
OR(E1601="Gastritis",E1601="Osteoarthritis",E1601="Bronchitis",E1601="Iron Deficiency Anemia"), D1601+14,
OR(E1601="Lumbar Strain",E1601="Migraine Headache"), D1601+7,
OR(E1601="Viral Fever",E1601="General Checkup","Routine Health Check"), "",
TRUE,""
)</f>
        <v/>
      </c>
      <c r="I1601" s="1" t="str">
        <f t="shared" si="48"/>
        <v>No Follow-up Required</v>
      </c>
      <c r="J1601" t="str">
        <f>TEXT(Table8[[#This Row],[visit_Date]],"DDDD")</f>
        <v>Tuesday</v>
      </c>
      <c r="K1601" t="str">
        <f>TEXT(Table8[[#This Row],[visit_Date]],"mmmm")</f>
        <v>May</v>
      </c>
      <c r="L1601" t="str">
        <f t="shared" si="49"/>
        <v>Summer</v>
      </c>
    </row>
    <row r="1602" spans="1:12" x14ac:dyDescent="0.25">
      <c r="A1602">
        <v>1601</v>
      </c>
      <c r="B1602">
        <v>1080</v>
      </c>
      <c r="C1602">
        <v>898</v>
      </c>
      <c r="D1602" s="1">
        <v>45799</v>
      </c>
      <c r="E1602" t="s">
        <v>24</v>
      </c>
      <c r="F1602" t="s">
        <v>321</v>
      </c>
      <c r="G1602" t="str">
        <f>_xlfn.XLOOKUP(TRIM(E1603),MedicineInfo!A:A,MedicineInfo!B:B,"Not Found")</f>
        <v>Multivitamin</v>
      </c>
      <c r="H1602" s="1" t="str" cm="1">
        <f t="array" ref="H1602">_xlfn.IFS(
OR(E1602="Type 2 Diabetes",E1602="Essential Hypertension",E1602="Angina Pectoris",E1602="Bronchial Asthma",E1602="Cardiac Arrhythmia"), D1602+30,
OR(E1602="Gastritis",E1602="Osteoarthritis",E1602="Bronchitis",E1602="Iron Deficiency Anemia"), D1602+14,
OR(E1602="Lumbar Strain",E1602="Migraine Headache"), D1602+7,
OR(E1602="Viral Fever",E1602="General Checkup","Routine Health Check"), "",
TRUE,""
)</f>
        <v/>
      </c>
      <c r="I1602" s="1" t="str">
        <f t="shared" ref="I1602:I1665" si="50">IF(H1602="","No Follow-up Required","Follow-up Scheduled")</f>
        <v>No Follow-up Required</v>
      </c>
      <c r="J1602" t="str">
        <f>TEXT(Table8[[#This Row],[visit_Date]],"DDDD")</f>
        <v>Thursday</v>
      </c>
      <c r="K1602" t="str">
        <f>TEXT(Table8[[#This Row],[visit_Date]],"mmmm")</f>
        <v>May</v>
      </c>
      <c r="L1602" t="str">
        <f t="shared" ref="L1602:L1665" si="51">IF(OR(MONTH(D1602)=12,MONTH(D1602)&lt;=2),"Winter",
IF(MONTH(D1602)&lt;=5,"Summer","Monsoon"))</f>
        <v>Summer</v>
      </c>
    </row>
    <row r="1603" spans="1:12" x14ac:dyDescent="0.25">
      <c r="A1603">
        <v>1602</v>
      </c>
      <c r="B1603">
        <v>1382</v>
      </c>
      <c r="C1603">
        <v>1350</v>
      </c>
      <c r="D1603" s="1">
        <v>45758</v>
      </c>
      <c r="E1603" t="s">
        <v>24</v>
      </c>
      <c r="F1603" t="s">
        <v>321</v>
      </c>
      <c r="G1603" t="str">
        <f>_xlfn.XLOOKUP(TRIM(E1604),MedicineInfo!A:A,MedicineInfo!B:B,"Not Found")</f>
        <v>Multivitamin</v>
      </c>
      <c r="H1603" s="1" t="str" cm="1">
        <f t="array" ref="H1603">_xlfn.IFS(
OR(E1603="Type 2 Diabetes",E1603="Essential Hypertension",E1603="Angina Pectoris",E1603="Bronchial Asthma",E1603="Cardiac Arrhythmia"), D1603+30,
OR(E1603="Gastritis",E1603="Osteoarthritis",E1603="Bronchitis",E1603="Iron Deficiency Anemia"), D1603+14,
OR(E1603="Lumbar Strain",E1603="Migraine Headache"), D1603+7,
OR(E1603="Viral Fever",E1603="General Checkup","Routine Health Check"), "",
TRUE,""
)</f>
        <v/>
      </c>
      <c r="I1603" s="1" t="str">
        <f t="shared" si="50"/>
        <v>No Follow-up Required</v>
      </c>
      <c r="J1603" t="str">
        <f>TEXT(Table8[[#This Row],[visit_Date]],"DDDD")</f>
        <v>Friday</v>
      </c>
      <c r="K1603" t="str">
        <f>TEXT(Table8[[#This Row],[visit_Date]],"mmmm")</f>
        <v>April</v>
      </c>
      <c r="L1603" t="str">
        <f t="shared" si="51"/>
        <v>Summer</v>
      </c>
    </row>
    <row r="1604" spans="1:12" x14ac:dyDescent="0.25">
      <c r="A1604">
        <v>1603</v>
      </c>
      <c r="B1604">
        <v>1203</v>
      </c>
      <c r="C1604">
        <v>1084</v>
      </c>
      <c r="D1604" s="1">
        <v>45814</v>
      </c>
      <c r="E1604" t="s">
        <v>24</v>
      </c>
      <c r="F1604" t="s">
        <v>321</v>
      </c>
      <c r="G1604" t="str">
        <f>_xlfn.XLOOKUP(TRIM(E1605),MedicineInfo!A:A,MedicineInfo!B:B,"Not Found")</f>
        <v>Multivitamin</v>
      </c>
      <c r="H1604" s="1" t="str" cm="1">
        <f t="array" ref="H1604">_xlfn.IFS(
OR(E1604="Type 2 Diabetes",E1604="Essential Hypertension",E1604="Angina Pectoris",E1604="Bronchial Asthma",E1604="Cardiac Arrhythmia"), D1604+30,
OR(E1604="Gastritis",E1604="Osteoarthritis",E1604="Bronchitis",E1604="Iron Deficiency Anemia"), D1604+14,
OR(E1604="Lumbar Strain",E1604="Migraine Headache"), D1604+7,
OR(E1604="Viral Fever",E1604="General Checkup","Routine Health Check"), "",
TRUE,""
)</f>
        <v/>
      </c>
      <c r="I1604" s="1" t="str">
        <f t="shared" si="50"/>
        <v>No Follow-up Required</v>
      </c>
      <c r="J1604" t="str">
        <f>TEXT(Table8[[#This Row],[visit_Date]],"DDDD")</f>
        <v>Friday</v>
      </c>
      <c r="K1604" t="str">
        <f>TEXT(Table8[[#This Row],[visit_Date]],"mmmm")</f>
        <v>June</v>
      </c>
      <c r="L1604" t="str">
        <f t="shared" si="51"/>
        <v>Monsoon</v>
      </c>
    </row>
    <row r="1605" spans="1:12" x14ac:dyDescent="0.25">
      <c r="A1605">
        <v>1604</v>
      </c>
      <c r="B1605">
        <v>1301</v>
      </c>
      <c r="C1605">
        <v>582</v>
      </c>
      <c r="D1605" s="1">
        <v>45709</v>
      </c>
      <c r="E1605" t="s">
        <v>24</v>
      </c>
      <c r="F1605" t="s">
        <v>321</v>
      </c>
      <c r="G1605" t="str">
        <f>_xlfn.XLOOKUP(TRIM(E1606),MedicineInfo!A:A,MedicineInfo!B:B,"Not Found")</f>
        <v>Multivitamin</v>
      </c>
      <c r="H1605" s="1" t="str" cm="1">
        <f t="array" ref="H1605">_xlfn.IFS(
OR(E1605="Type 2 Diabetes",E1605="Essential Hypertension",E1605="Angina Pectoris",E1605="Bronchial Asthma",E1605="Cardiac Arrhythmia"), D1605+30,
OR(E1605="Gastritis",E1605="Osteoarthritis",E1605="Bronchitis",E1605="Iron Deficiency Anemia"), D1605+14,
OR(E1605="Lumbar Strain",E1605="Migraine Headache"), D1605+7,
OR(E1605="Viral Fever",E1605="General Checkup","Routine Health Check"), "",
TRUE,""
)</f>
        <v/>
      </c>
      <c r="I1605" s="1" t="str">
        <f t="shared" si="50"/>
        <v>No Follow-up Required</v>
      </c>
      <c r="J1605" t="str">
        <f>TEXT(Table8[[#This Row],[visit_Date]],"DDDD")</f>
        <v>Friday</v>
      </c>
      <c r="K1605" t="str">
        <f>TEXT(Table8[[#This Row],[visit_Date]],"mmmm")</f>
        <v>February</v>
      </c>
      <c r="L1605" t="str">
        <f t="shared" si="51"/>
        <v>Winter</v>
      </c>
    </row>
    <row r="1606" spans="1:12" x14ac:dyDescent="0.25">
      <c r="A1606">
        <v>1605</v>
      </c>
      <c r="B1606">
        <v>1043</v>
      </c>
      <c r="C1606">
        <v>545</v>
      </c>
      <c r="D1606" s="1">
        <v>45672</v>
      </c>
      <c r="E1606" t="s">
        <v>24</v>
      </c>
      <c r="F1606" t="s">
        <v>321</v>
      </c>
      <c r="G1606" t="str">
        <f>_xlfn.XLOOKUP(TRIM(E1607),MedicineInfo!A:A,MedicineInfo!B:B,"Not Found")</f>
        <v>Vitamin D3</v>
      </c>
      <c r="H1606" s="1" t="str" cm="1">
        <f t="array" ref="H1606">_xlfn.IFS(
OR(E1606="Type 2 Diabetes",E1606="Essential Hypertension",E1606="Angina Pectoris",E1606="Bronchial Asthma",E1606="Cardiac Arrhythmia"), D1606+30,
OR(E1606="Gastritis",E1606="Osteoarthritis",E1606="Bronchitis",E1606="Iron Deficiency Anemia"), D1606+14,
OR(E1606="Lumbar Strain",E1606="Migraine Headache"), D1606+7,
OR(E1606="Viral Fever",E1606="General Checkup","Routine Health Check"), "",
TRUE,""
)</f>
        <v/>
      </c>
      <c r="I1606" s="1" t="str">
        <f t="shared" si="50"/>
        <v>No Follow-up Required</v>
      </c>
      <c r="J1606" t="str">
        <f>TEXT(Table8[[#This Row],[visit_Date]],"DDDD")</f>
        <v>Wednesday</v>
      </c>
      <c r="K1606" t="str">
        <f>TEXT(Table8[[#This Row],[visit_Date]],"mmmm")</f>
        <v>January</v>
      </c>
      <c r="L1606" t="str">
        <f t="shared" si="51"/>
        <v>Winter</v>
      </c>
    </row>
    <row r="1607" spans="1:12" x14ac:dyDescent="0.25">
      <c r="A1607">
        <v>1606</v>
      </c>
      <c r="B1607">
        <v>1344</v>
      </c>
      <c r="C1607">
        <v>208</v>
      </c>
      <c r="D1607" s="1">
        <v>45814</v>
      </c>
      <c r="E1607" t="s">
        <v>332</v>
      </c>
      <c r="F1607" t="s">
        <v>333</v>
      </c>
      <c r="G1607" t="str">
        <f>_xlfn.XLOOKUP(TRIM(E1608),MedicineInfo!A:A,MedicineInfo!B:B,"Not Found")</f>
        <v>Multivitamin</v>
      </c>
      <c r="H1607" s="1" t="str" cm="1">
        <f t="array" ref="H1607">_xlfn.IFS(
OR(E1607="Type 2 Diabetes",E1607="Essential Hypertension",E1607="Angina Pectoris",E1607="Bronchial Asthma",E1607="Cardiac Arrhythmia"), D1607+30,
OR(E1607="Gastritis",E1607="Osteoarthritis",E1607="Bronchitis",E1607="Iron Deficiency Anemia"), D1607+14,
OR(E1607="Lumbar Strain",E1607="Migraine Headache"), D1607+7,
OR(E1607="Viral Fever",E1607="General Checkup","Routine Health Check"), "",
TRUE,""
)</f>
        <v/>
      </c>
      <c r="I1607" s="1" t="str">
        <f t="shared" si="50"/>
        <v>No Follow-up Required</v>
      </c>
      <c r="J1607" t="str">
        <f>TEXT(Table8[[#This Row],[visit_Date]],"DDDD")</f>
        <v>Friday</v>
      </c>
      <c r="K1607" t="str">
        <f>TEXT(Table8[[#This Row],[visit_Date]],"mmmm")</f>
        <v>June</v>
      </c>
      <c r="L1607" t="str">
        <f t="shared" si="51"/>
        <v>Monsoon</v>
      </c>
    </row>
    <row r="1608" spans="1:12" x14ac:dyDescent="0.25">
      <c r="A1608">
        <v>1607</v>
      </c>
      <c r="B1608">
        <v>1280</v>
      </c>
      <c r="C1608">
        <v>1337</v>
      </c>
      <c r="D1608" s="1">
        <v>45819</v>
      </c>
      <c r="E1608" t="s">
        <v>24</v>
      </c>
      <c r="F1608" t="s">
        <v>321</v>
      </c>
      <c r="G1608" t="str">
        <f>_xlfn.XLOOKUP(TRIM(E1609),MedicineInfo!A:A,MedicineInfo!B:B,"Not Found")</f>
        <v>Amiodarone</v>
      </c>
      <c r="H1608" s="1" t="str" cm="1">
        <f t="array" ref="H1608">_xlfn.IFS(
OR(E1608="Type 2 Diabetes",E1608="Essential Hypertension",E1608="Angina Pectoris",E1608="Bronchial Asthma",E1608="Cardiac Arrhythmia"), D1608+30,
OR(E1608="Gastritis",E1608="Osteoarthritis",E1608="Bronchitis",E1608="Iron Deficiency Anemia"), D1608+14,
OR(E1608="Lumbar Strain",E1608="Migraine Headache"), D1608+7,
OR(E1608="Viral Fever",E1608="General Checkup","Routine Health Check"), "",
TRUE,""
)</f>
        <v/>
      </c>
      <c r="I1608" s="1" t="str">
        <f t="shared" si="50"/>
        <v>No Follow-up Required</v>
      </c>
      <c r="J1608" t="str">
        <f>TEXT(Table8[[#This Row],[visit_Date]],"DDDD")</f>
        <v>Wednesday</v>
      </c>
      <c r="K1608" t="str">
        <f>TEXT(Table8[[#This Row],[visit_Date]],"mmmm")</f>
        <v>June</v>
      </c>
      <c r="L1608" t="str">
        <f t="shared" si="51"/>
        <v>Monsoon</v>
      </c>
    </row>
    <row r="1609" spans="1:12" x14ac:dyDescent="0.25">
      <c r="A1609">
        <v>1608</v>
      </c>
      <c r="B1609">
        <v>1380</v>
      </c>
      <c r="C1609">
        <v>802</v>
      </c>
      <c r="D1609" s="1">
        <v>45814</v>
      </c>
      <c r="E1609" t="s">
        <v>330</v>
      </c>
      <c r="F1609" t="s">
        <v>331</v>
      </c>
      <c r="G1609" t="str">
        <f>_xlfn.XLOOKUP(TRIM(E1610),MedicineInfo!A:A,MedicineInfo!B:B,"Not Found")</f>
        <v>Multivitamin</v>
      </c>
      <c r="H1609" s="1" cm="1">
        <f t="array" ref="H1609">_xlfn.IFS(
OR(E1609="Type 2 Diabetes",E1609="Essential Hypertension",E1609="Angina Pectoris",E1609="Bronchial Asthma",E1609="Cardiac Arrhythmia"), D1609+30,
OR(E1609="Gastritis",E1609="Osteoarthritis",E1609="Bronchitis",E1609="Iron Deficiency Anemia"), D1609+14,
OR(E1609="Lumbar Strain",E1609="Migraine Headache"), D1609+7,
OR(E1609="Viral Fever",E1609="General Checkup","Routine Health Check"), "",
TRUE,""
)</f>
        <v>45844</v>
      </c>
      <c r="I1609" s="1" t="str">
        <f t="shared" si="50"/>
        <v>Follow-up Scheduled</v>
      </c>
      <c r="J1609" t="str">
        <f>TEXT(Table8[[#This Row],[visit_Date]],"DDDD")</f>
        <v>Friday</v>
      </c>
      <c r="K1609" t="str">
        <f>TEXT(Table8[[#This Row],[visit_Date]],"mmmm")</f>
        <v>June</v>
      </c>
      <c r="L1609" t="str">
        <f t="shared" si="51"/>
        <v>Monsoon</v>
      </c>
    </row>
    <row r="1610" spans="1:12" x14ac:dyDescent="0.25">
      <c r="A1610">
        <v>1609</v>
      </c>
      <c r="B1610">
        <v>1100</v>
      </c>
      <c r="C1610">
        <v>756</v>
      </c>
      <c r="D1610" s="1">
        <v>45790</v>
      </c>
      <c r="E1610" t="s">
        <v>24</v>
      </c>
      <c r="F1610" t="s">
        <v>321</v>
      </c>
      <c r="G1610" t="str">
        <f>_xlfn.XLOOKUP(TRIM(E1611),MedicineInfo!A:A,MedicineInfo!B:B,"Not Found")</f>
        <v>Multivitamin</v>
      </c>
      <c r="H1610" s="1" t="str" cm="1">
        <f t="array" ref="H1610">_xlfn.IFS(
OR(E1610="Type 2 Diabetes",E1610="Essential Hypertension",E1610="Angina Pectoris",E1610="Bronchial Asthma",E1610="Cardiac Arrhythmia"), D1610+30,
OR(E1610="Gastritis",E1610="Osteoarthritis",E1610="Bronchitis",E1610="Iron Deficiency Anemia"), D1610+14,
OR(E1610="Lumbar Strain",E1610="Migraine Headache"), D1610+7,
OR(E1610="Viral Fever",E1610="General Checkup","Routine Health Check"), "",
TRUE,""
)</f>
        <v/>
      </c>
      <c r="I1610" s="1" t="str">
        <f t="shared" si="50"/>
        <v>No Follow-up Required</v>
      </c>
      <c r="J1610" t="str">
        <f>TEXT(Table8[[#This Row],[visit_Date]],"DDDD")</f>
        <v>Tuesday</v>
      </c>
      <c r="K1610" t="str">
        <f>TEXT(Table8[[#This Row],[visit_Date]],"mmmm")</f>
        <v>May</v>
      </c>
      <c r="L1610" t="str">
        <f t="shared" si="51"/>
        <v>Summer</v>
      </c>
    </row>
    <row r="1611" spans="1:12" x14ac:dyDescent="0.25">
      <c r="A1611">
        <v>1610</v>
      </c>
      <c r="B1611">
        <v>1114</v>
      </c>
      <c r="C1611">
        <v>421</v>
      </c>
      <c r="D1611" s="1">
        <v>45799</v>
      </c>
      <c r="E1611" t="s">
        <v>24</v>
      </c>
      <c r="F1611" t="s">
        <v>321</v>
      </c>
      <c r="G1611" t="str">
        <f>_xlfn.XLOOKUP(TRIM(E1612),MedicineInfo!A:A,MedicineInfo!B:B,"Not Found")</f>
        <v>Multivitamin</v>
      </c>
      <c r="H1611" s="1" t="str" cm="1">
        <f t="array" ref="H1611">_xlfn.IFS(
OR(E1611="Type 2 Diabetes",E1611="Essential Hypertension",E1611="Angina Pectoris",E1611="Bronchial Asthma",E1611="Cardiac Arrhythmia"), D1611+30,
OR(E1611="Gastritis",E1611="Osteoarthritis",E1611="Bronchitis",E1611="Iron Deficiency Anemia"), D1611+14,
OR(E1611="Lumbar Strain",E1611="Migraine Headache"), D1611+7,
OR(E1611="Viral Fever",E1611="General Checkup","Routine Health Check"), "",
TRUE,""
)</f>
        <v/>
      </c>
      <c r="I1611" s="1" t="str">
        <f t="shared" si="50"/>
        <v>No Follow-up Required</v>
      </c>
      <c r="J1611" t="str">
        <f>TEXT(Table8[[#This Row],[visit_Date]],"DDDD")</f>
        <v>Thursday</v>
      </c>
      <c r="K1611" t="str">
        <f>TEXT(Table8[[#This Row],[visit_Date]],"mmmm")</f>
        <v>May</v>
      </c>
      <c r="L1611" t="str">
        <f t="shared" si="51"/>
        <v>Summer</v>
      </c>
    </row>
    <row r="1612" spans="1:12" x14ac:dyDescent="0.25">
      <c r="A1612">
        <v>1611</v>
      </c>
      <c r="B1612">
        <v>1144</v>
      </c>
      <c r="C1612">
        <v>378</v>
      </c>
      <c r="D1612" s="1">
        <v>45814</v>
      </c>
      <c r="E1612" t="s">
        <v>24</v>
      </c>
      <c r="F1612" t="s">
        <v>321</v>
      </c>
      <c r="G1612" t="str">
        <f>_xlfn.XLOOKUP(TRIM(E1613),MedicineInfo!A:A,MedicineInfo!B:B,"Not Found")</f>
        <v>Multivitamin</v>
      </c>
      <c r="H1612" s="1" t="str" cm="1">
        <f t="array" ref="H1612">_xlfn.IFS(
OR(E1612="Type 2 Diabetes",E1612="Essential Hypertension",E1612="Angina Pectoris",E1612="Bronchial Asthma",E1612="Cardiac Arrhythmia"), D1612+30,
OR(E1612="Gastritis",E1612="Osteoarthritis",E1612="Bronchitis",E1612="Iron Deficiency Anemia"), D1612+14,
OR(E1612="Lumbar Strain",E1612="Migraine Headache"), D1612+7,
OR(E1612="Viral Fever",E1612="General Checkup","Routine Health Check"), "",
TRUE,""
)</f>
        <v/>
      </c>
      <c r="I1612" s="1" t="str">
        <f t="shared" si="50"/>
        <v>No Follow-up Required</v>
      </c>
      <c r="J1612" t="str">
        <f>TEXT(Table8[[#This Row],[visit_Date]],"DDDD")</f>
        <v>Friday</v>
      </c>
      <c r="K1612" t="str">
        <f>TEXT(Table8[[#This Row],[visit_Date]],"mmmm")</f>
        <v>June</v>
      </c>
      <c r="L1612" t="str">
        <f t="shared" si="51"/>
        <v>Monsoon</v>
      </c>
    </row>
    <row r="1613" spans="1:12" x14ac:dyDescent="0.25">
      <c r="A1613">
        <v>1612</v>
      </c>
      <c r="B1613">
        <v>1181</v>
      </c>
      <c r="C1613">
        <v>675</v>
      </c>
      <c r="D1613" s="1">
        <v>45823</v>
      </c>
      <c r="E1613" t="s">
        <v>24</v>
      </c>
      <c r="F1613" t="s">
        <v>321</v>
      </c>
      <c r="G1613" t="str">
        <f>_xlfn.XLOOKUP(TRIM(E1614),MedicineInfo!A:A,MedicineInfo!B:B,"Not Found")</f>
        <v>Multivitamin</v>
      </c>
      <c r="H1613" s="1" t="str" cm="1">
        <f t="array" ref="H1613">_xlfn.IFS(
OR(E1613="Type 2 Diabetes",E1613="Essential Hypertension",E1613="Angina Pectoris",E1613="Bronchial Asthma",E1613="Cardiac Arrhythmia"), D1613+30,
OR(E1613="Gastritis",E1613="Osteoarthritis",E1613="Bronchitis",E1613="Iron Deficiency Anemia"), D1613+14,
OR(E1613="Lumbar Strain",E1613="Migraine Headache"), D1613+7,
OR(E1613="Viral Fever",E1613="General Checkup","Routine Health Check"), "",
TRUE,""
)</f>
        <v/>
      </c>
      <c r="I1613" s="1" t="str">
        <f t="shared" si="50"/>
        <v>No Follow-up Required</v>
      </c>
      <c r="J1613" t="str">
        <f>TEXT(Table8[[#This Row],[visit_Date]],"DDDD")</f>
        <v>Sunday</v>
      </c>
      <c r="K1613" t="str">
        <f>TEXT(Table8[[#This Row],[visit_Date]],"mmmm")</f>
        <v>June</v>
      </c>
      <c r="L1613" t="str">
        <f t="shared" si="51"/>
        <v>Monsoon</v>
      </c>
    </row>
    <row r="1614" spans="1:12" x14ac:dyDescent="0.25">
      <c r="A1614">
        <v>1613</v>
      </c>
      <c r="B1614">
        <v>1036</v>
      </c>
      <c r="C1614">
        <v>555</v>
      </c>
      <c r="D1614" s="1">
        <v>45767</v>
      </c>
      <c r="E1614" t="s">
        <v>24</v>
      </c>
      <c r="F1614" t="s">
        <v>321</v>
      </c>
      <c r="G1614" t="str">
        <f>_xlfn.XLOOKUP(TRIM(E1615),MedicineInfo!A:A,MedicineInfo!B:B,"Not Found")</f>
        <v>Multivitamin</v>
      </c>
      <c r="H1614" s="1" t="str" cm="1">
        <f t="array" ref="H1614">_xlfn.IFS(
OR(E1614="Type 2 Diabetes",E1614="Essential Hypertension",E1614="Angina Pectoris",E1614="Bronchial Asthma",E1614="Cardiac Arrhythmia"), D1614+30,
OR(E1614="Gastritis",E1614="Osteoarthritis",E1614="Bronchitis",E1614="Iron Deficiency Anemia"), D1614+14,
OR(E1614="Lumbar Strain",E1614="Migraine Headache"), D1614+7,
OR(E1614="Viral Fever",E1614="General Checkup","Routine Health Check"), "",
TRUE,""
)</f>
        <v/>
      </c>
      <c r="I1614" s="1" t="str">
        <f t="shared" si="50"/>
        <v>No Follow-up Required</v>
      </c>
      <c r="J1614" t="str">
        <f>TEXT(Table8[[#This Row],[visit_Date]],"DDDD")</f>
        <v>Sunday</v>
      </c>
      <c r="K1614" t="str">
        <f>TEXT(Table8[[#This Row],[visit_Date]],"mmmm")</f>
        <v>April</v>
      </c>
      <c r="L1614" t="str">
        <f t="shared" si="51"/>
        <v>Summer</v>
      </c>
    </row>
    <row r="1615" spans="1:12" x14ac:dyDescent="0.25">
      <c r="A1615">
        <v>1614</v>
      </c>
      <c r="B1615">
        <v>1349</v>
      </c>
      <c r="C1615">
        <v>1107</v>
      </c>
      <c r="D1615" s="1">
        <v>45758</v>
      </c>
      <c r="E1615" t="s">
        <v>24</v>
      </c>
      <c r="F1615" t="s">
        <v>321</v>
      </c>
      <c r="G1615" t="str">
        <f>_xlfn.XLOOKUP(TRIM(E1616),MedicineInfo!A:A,MedicineInfo!B:B,"Not Found")</f>
        <v>Sodium Valproate</v>
      </c>
      <c r="H1615" s="1" t="str" cm="1">
        <f t="array" ref="H1615">_xlfn.IFS(
OR(E1615="Type 2 Diabetes",E1615="Essential Hypertension",E1615="Angina Pectoris",E1615="Bronchial Asthma",E1615="Cardiac Arrhythmia"), D1615+30,
OR(E1615="Gastritis",E1615="Osteoarthritis",E1615="Bronchitis",E1615="Iron Deficiency Anemia"), D1615+14,
OR(E1615="Lumbar Strain",E1615="Migraine Headache"), D1615+7,
OR(E1615="Viral Fever",E1615="General Checkup","Routine Health Check"), "",
TRUE,""
)</f>
        <v/>
      </c>
      <c r="I1615" s="1" t="str">
        <f t="shared" si="50"/>
        <v>No Follow-up Required</v>
      </c>
      <c r="J1615" t="str">
        <f>TEXT(Table8[[#This Row],[visit_Date]],"DDDD")</f>
        <v>Friday</v>
      </c>
      <c r="K1615" t="str">
        <f>TEXT(Table8[[#This Row],[visit_Date]],"mmmm")</f>
        <v>April</v>
      </c>
      <c r="L1615" t="str">
        <f t="shared" si="51"/>
        <v>Summer</v>
      </c>
    </row>
    <row r="1616" spans="1:12" x14ac:dyDescent="0.25">
      <c r="A1616">
        <v>1615</v>
      </c>
      <c r="B1616">
        <v>1306</v>
      </c>
      <c r="C1616">
        <v>1422</v>
      </c>
      <c r="D1616" s="1">
        <v>45792</v>
      </c>
      <c r="E1616" t="s">
        <v>352</v>
      </c>
      <c r="F1616" t="s">
        <v>353</v>
      </c>
      <c r="G1616" t="str">
        <f>_xlfn.XLOOKUP(TRIM(E1617),MedicineInfo!A:A,MedicineInfo!B:B,"Not Found")</f>
        <v>Multivitamin</v>
      </c>
      <c r="H1616" s="1" t="str" cm="1">
        <f t="array" ref="H1616">_xlfn.IFS(
OR(E1616="Type 2 Diabetes",E1616="Essential Hypertension",E1616="Angina Pectoris",E1616="Bronchial Asthma",E1616="Cardiac Arrhythmia"), D1616+30,
OR(E1616="Gastritis",E1616="Osteoarthritis",E1616="Bronchitis",E1616="Iron Deficiency Anemia"), D1616+14,
OR(E1616="Lumbar Strain",E1616="Migraine Headache"), D1616+7,
OR(E1616="Viral Fever",E1616="General Checkup","Routine Health Check"), "",
TRUE,""
)</f>
        <v/>
      </c>
      <c r="I1616" s="1" t="str">
        <f t="shared" si="50"/>
        <v>No Follow-up Required</v>
      </c>
      <c r="J1616" t="str">
        <f>TEXT(Table8[[#This Row],[visit_Date]],"DDDD")</f>
        <v>Thursday</v>
      </c>
      <c r="K1616" t="str">
        <f>TEXT(Table8[[#This Row],[visit_Date]],"mmmm")</f>
        <v>May</v>
      </c>
      <c r="L1616" t="str">
        <f t="shared" si="51"/>
        <v>Summer</v>
      </c>
    </row>
    <row r="1617" spans="1:12" x14ac:dyDescent="0.25">
      <c r="A1617">
        <v>1616</v>
      </c>
      <c r="B1617">
        <v>1162</v>
      </c>
      <c r="C1617">
        <v>693</v>
      </c>
      <c r="D1617" s="1">
        <v>45819</v>
      </c>
      <c r="E1617" t="s">
        <v>24</v>
      </c>
      <c r="F1617" t="s">
        <v>321</v>
      </c>
      <c r="G1617" t="str">
        <f>_xlfn.XLOOKUP(TRIM(E1618),MedicineInfo!A:A,MedicineInfo!B:B,"Not Found")</f>
        <v>Sumatriptan</v>
      </c>
      <c r="H1617" s="1" t="str" cm="1">
        <f t="array" ref="H1617">_xlfn.IFS(
OR(E1617="Type 2 Diabetes",E1617="Essential Hypertension",E1617="Angina Pectoris",E1617="Bronchial Asthma",E1617="Cardiac Arrhythmia"), D1617+30,
OR(E1617="Gastritis",E1617="Osteoarthritis",E1617="Bronchitis",E1617="Iron Deficiency Anemia"), D1617+14,
OR(E1617="Lumbar Strain",E1617="Migraine Headache"), D1617+7,
OR(E1617="Viral Fever",E1617="General Checkup","Routine Health Check"), "",
TRUE,""
)</f>
        <v/>
      </c>
      <c r="I1617" s="1" t="str">
        <f t="shared" si="50"/>
        <v>No Follow-up Required</v>
      </c>
      <c r="J1617" t="str">
        <f>TEXT(Table8[[#This Row],[visit_Date]],"DDDD")</f>
        <v>Wednesday</v>
      </c>
      <c r="K1617" t="str">
        <f>TEXT(Table8[[#This Row],[visit_Date]],"mmmm")</f>
        <v>June</v>
      </c>
      <c r="L1617" t="str">
        <f t="shared" si="51"/>
        <v>Monsoon</v>
      </c>
    </row>
    <row r="1618" spans="1:12" x14ac:dyDescent="0.25">
      <c r="A1618">
        <v>1617</v>
      </c>
      <c r="B1618">
        <v>1039</v>
      </c>
      <c r="C1618">
        <v>603</v>
      </c>
      <c r="D1618" s="1">
        <v>45686</v>
      </c>
      <c r="E1618" t="s">
        <v>315</v>
      </c>
      <c r="F1618" t="s">
        <v>316</v>
      </c>
      <c r="G1618" t="str">
        <f>_xlfn.XLOOKUP(TRIM(E1619),MedicineInfo!A:A,MedicineInfo!B:B,"Not Found")</f>
        <v>Sumatriptan</v>
      </c>
      <c r="H1618" s="1" cm="1">
        <f t="array" ref="H1618">_xlfn.IFS(
OR(E1618="Type 2 Diabetes",E1618="Essential Hypertension",E1618="Angina Pectoris",E1618="Bronchial Asthma",E1618="Cardiac Arrhythmia"), D1618+30,
OR(E1618="Gastritis",E1618="Osteoarthritis",E1618="Bronchitis",E1618="Iron Deficiency Anemia"), D1618+14,
OR(E1618="Lumbar Strain",E1618="Migraine Headache"), D1618+7,
OR(E1618="Viral Fever",E1618="General Checkup","Routine Health Check"), "",
TRUE,""
)</f>
        <v>45693</v>
      </c>
      <c r="I1618" s="1" t="str">
        <f t="shared" si="50"/>
        <v>Follow-up Scheduled</v>
      </c>
      <c r="J1618" t="str">
        <f>TEXT(Table8[[#This Row],[visit_Date]],"DDDD")</f>
        <v>Wednesday</v>
      </c>
      <c r="K1618" t="str">
        <f>TEXT(Table8[[#This Row],[visit_Date]],"mmmm")</f>
        <v>January</v>
      </c>
      <c r="L1618" t="str">
        <f t="shared" si="51"/>
        <v>Winter</v>
      </c>
    </row>
    <row r="1619" spans="1:12" x14ac:dyDescent="0.25">
      <c r="A1619">
        <v>1618</v>
      </c>
      <c r="B1619">
        <v>1051</v>
      </c>
      <c r="C1619">
        <v>249</v>
      </c>
      <c r="D1619" s="1">
        <v>45849</v>
      </c>
      <c r="E1619" t="s">
        <v>315</v>
      </c>
      <c r="F1619" t="s">
        <v>316</v>
      </c>
      <c r="G1619" t="str">
        <f>_xlfn.XLOOKUP(TRIM(E1620),MedicineInfo!A:A,MedicineInfo!B:B,"Not Found")</f>
        <v>Multivitamin</v>
      </c>
      <c r="H1619" s="1" cm="1">
        <f t="array" ref="H1619">_xlfn.IFS(
OR(E1619="Type 2 Diabetes",E1619="Essential Hypertension",E1619="Angina Pectoris",E1619="Bronchial Asthma",E1619="Cardiac Arrhythmia"), D1619+30,
OR(E1619="Gastritis",E1619="Osteoarthritis",E1619="Bronchitis",E1619="Iron Deficiency Anemia"), D1619+14,
OR(E1619="Lumbar Strain",E1619="Migraine Headache"), D1619+7,
OR(E1619="Viral Fever",E1619="General Checkup","Routine Health Check"), "",
TRUE,""
)</f>
        <v>45856</v>
      </c>
      <c r="I1619" s="1" t="str">
        <f t="shared" si="50"/>
        <v>Follow-up Scheduled</v>
      </c>
      <c r="J1619" t="str">
        <f>TEXT(Table8[[#This Row],[visit_Date]],"DDDD")</f>
        <v>Friday</v>
      </c>
      <c r="K1619" t="str">
        <f>TEXT(Table8[[#This Row],[visit_Date]],"mmmm")</f>
        <v>July</v>
      </c>
      <c r="L1619" t="str">
        <f t="shared" si="51"/>
        <v>Monsoon</v>
      </c>
    </row>
    <row r="1620" spans="1:12" x14ac:dyDescent="0.25">
      <c r="A1620">
        <v>1619</v>
      </c>
      <c r="B1620">
        <v>1359</v>
      </c>
      <c r="C1620">
        <v>360</v>
      </c>
      <c r="D1620" s="1">
        <v>45757</v>
      </c>
      <c r="E1620" t="s">
        <v>24</v>
      </c>
      <c r="F1620" t="s">
        <v>321</v>
      </c>
      <c r="G1620" t="str">
        <f>_xlfn.XLOOKUP(TRIM(E1621),MedicineInfo!A:A,MedicineInfo!B:B,"Not Found")</f>
        <v>Multivitamin</v>
      </c>
      <c r="H1620" s="1" t="str" cm="1">
        <f t="array" ref="H1620">_xlfn.IFS(
OR(E1620="Type 2 Diabetes",E1620="Essential Hypertension",E1620="Angina Pectoris",E1620="Bronchial Asthma",E1620="Cardiac Arrhythmia"), D1620+30,
OR(E1620="Gastritis",E1620="Osteoarthritis",E1620="Bronchitis",E1620="Iron Deficiency Anemia"), D1620+14,
OR(E1620="Lumbar Strain",E1620="Migraine Headache"), D1620+7,
OR(E1620="Viral Fever",E1620="General Checkup","Routine Health Check"), "",
TRUE,""
)</f>
        <v/>
      </c>
      <c r="I1620" s="1" t="str">
        <f t="shared" si="50"/>
        <v>No Follow-up Required</v>
      </c>
      <c r="J1620" t="str">
        <f>TEXT(Table8[[#This Row],[visit_Date]],"DDDD")</f>
        <v>Thursday</v>
      </c>
      <c r="K1620" t="str">
        <f>TEXT(Table8[[#This Row],[visit_Date]],"mmmm")</f>
        <v>April</v>
      </c>
      <c r="L1620" t="str">
        <f t="shared" si="51"/>
        <v>Summer</v>
      </c>
    </row>
    <row r="1621" spans="1:12" x14ac:dyDescent="0.25">
      <c r="A1621">
        <v>1620</v>
      </c>
      <c r="B1621">
        <v>1387</v>
      </c>
      <c r="C1621">
        <v>439</v>
      </c>
      <c r="D1621" s="1">
        <v>45669</v>
      </c>
      <c r="E1621" t="s">
        <v>24</v>
      </c>
      <c r="F1621" t="s">
        <v>321</v>
      </c>
      <c r="G1621" t="str">
        <f>_xlfn.XLOOKUP(TRIM(E1622),MedicineInfo!A:A,MedicineInfo!B:B,"Not Found")</f>
        <v>Amiodarone</v>
      </c>
      <c r="H1621" s="1" t="str" cm="1">
        <f t="array" ref="H1621">_xlfn.IFS(
OR(E1621="Type 2 Diabetes",E1621="Essential Hypertension",E1621="Angina Pectoris",E1621="Bronchial Asthma",E1621="Cardiac Arrhythmia"), D1621+30,
OR(E1621="Gastritis",E1621="Osteoarthritis",E1621="Bronchitis",E1621="Iron Deficiency Anemia"), D1621+14,
OR(E1621="Lumbar Strain",E1621="Migraine Headache"), D1621+7,
OR(E1621="Viral Fever",E1621="General Checkup","Routine Health Check"), "",
TRUE,""
)</f>
        <v/>
      </c>
      <c r="I1621" s="1" t="str">
        <f t="shared" si="50"/>
        <v>No Follow-up Required</v>
      </c>
      <c r="J1621" t="str">
        <f>TEXT(Table8[[#This Row],[visit_Date]],"DDDD")</f>
        <v>Sunday</v>
      </c>
      <c r="K1621" t="str">
        <f>TEXT(Table8[[#This Row],[visit_Date]],"mmmm")</f>
        <v>January</v>
      </c>
      <c r="L1621" t="str">
        <f t="shared" si="51"/>
        <v>Winter</v>
      </c>
    </row>
    <row r="1622" spans="1:12" x14ac:dyDescent="0.25">
      <c r="A1622">
        <v>1621</v>
      </c>
      <c r="B1622">
        <v>1217</v>
      </c>
      <c r="C1622">
        <v>1517</v>
      </c>
      <c r="D1622" s="1">
        <v>45792</v>
      </c>
      <c r="E1622" t="s">
        <v>330</v>
      </c>
      <c r="F1622" t="s">
        <v>331</v>
      </c>
      <c r="G1622" t="str">
        <f>_xlfn.XLOOKUP(TRIM(E1623),MedicineInfo!A:A,MedicineInfo!B:B,"Not Found")</f>
        <v>Not Found</v>
      </c>
      <c r="H1622" s="1" cm="1">
        <f t="array" ref="H1622">_xlfn.IFS(
OR(E1622="Type 2 Diabetes",E1622="Essential Hypertension",E1622="Angina Pectoris",E1622="Bronchial Asthma",E1622="Cardiac Arrhythmia"), D1622+30,
OR(E1622="Gastritis",E1622="Osteoarthritis",E1622="Bronchitis",E1622="Iron Deficiency Anemia"), D1622+14,
OR(E1622="Lumbar Strain",E1622="Migraine Headache"), D1622+7,
OR(E1622="Viral Fever",E1622="General Checkup","Routine Health Check"), "",
TRUE,""
)</f>
        <v>45822</v>
      </c>
      <c r="I1622" s="1" t="str">
        <f t="shared" si="50"/>
        <v>Follow-up Scheduled</v>
      </c>
      <c r="J1622" t="str">
        <f>TEXT(Table8[[#This Row],[visit_Date]],"DDDD")</f>
        <v>Thursday</v>
      </c>
      <c r="K1622" t="str">
        <f>TEXT(Table8[[#This Row],[visit_Date]],"mmmm")</f>
        <v>May</v>
      </c>
      <c r="L1622" t="str">
        <f t="shared" si="51"/>
        <v>Summer</v>
      </c>
    </row>
    <row r="1623" spans="1:12" x14ac:dyDescent="0.25">
      <c r="A1623">
        <v>1622</v>
      </c>
      <c r="B1623">
        <v>1055</v>
      </c>
      <c r="C1623">
        <v>1521</v>
      </c>
      <c r="D1623" s="1">
        <v>45799</v>
      </c>
      <c r="E1623" t="s">
        <v>340</v>
      </c>
      <c r="F1623" t="s">
        <v>341</v>
      </c>
      <c r="G1623" t="str">
        <f>_xlfn.XLOOKUP(TRIM(E1624),MedicineInfo!A:A,MedicineInfo!B:B,"Not Found")</f>
        <v>Multivitamin</v>
      </c>
      <c r="H1623" s="1" t="str" cm="1">
        <f t="array" ref="H1623">_xlfn.IFS(
OR(E1623="Type 2 Diabetes",E1623="Essential Hypertension",E1623="Angina Pectoris",E1623="Bronchial Asthma",E1623="Cardiac Arrhythmia"), D1623+30,
OR(E1623="Gastritis",E1623="Osteoarthritis",E1623="Bronchitis",E1623="Iron Deficiency Anemia"), D1623+14,
OR(E1623="Lumbar Strain",E1623="Migraine Headache"), D1623+7,
OR(E1623="Viral Fever",E1623="General Checkup","Routine Health Check"), "",
TRUE,""
)</f>
        <v/>
      </c>
      <c r="I1623" s="1" t="str">
        <f t="shared" si="50"/>
        <v>No Follow-up Required</v>
      </c>
      <c r="J1623" t="str">
        <f>TEXT(Table8[[#This Row],[visit_Date]],"DDDD")</f>
        <v>Thursday</v>
      </c>
      <c r="K1623" t="str">
        <f>TEXT(Table8[[#This Row],[visit_Date]],"mmmm")</f>
        <v>May</v>
      </c>
      <c r="L1623" t="str">
        <f t="shared" si="51"/>
        <v>Summer</v>
      </c>
    </row>
    <row r="1624" spans="1:12" x14ac:dyDescent="0.25">
      <c r="A1624">
        <v>1623</v>
      </c>
      <c r="B1624">
        <v>1166</v>
      </c>
      <c r="C1624">
        <v>1507</v>
      </c>
      <c r="D1624" s="1">
        <v>45777</v>
      </c>
      <c r="E1624" t="s">
        <v>24</v>
      </c>
      <c r="F1624" t="s">
        <v>321</v>
      </c>
      <c r="G1624" t="str">
        <f>_xlfn.XLOOKUP(TRIM(E1625),MedicineInfo!A:A,MedicineInfo!B:B,"Not Found")</f>
        <v>Multivitamin</v>
      </c>
      <c r="H1624" s="1" t="str" cm="1">
        <f t="array" ref="H1624">_xlfn.IFS(
OR(E1624="Type 2 Diabetes",E1624="Essential Hypertension",E1624="Angina Pectoris",E1624="Bronchial Asthma",E1624="Cardiac Arrhythmia"), D1624+30,
OR(E1624="Gastritis",E1624="Osteoarthritis",E1624="Bronchitis",E1624="Iron Deficiency Anemia"), D1624+14,
OR(E1624="Lumbar Strain",E1624="Migraine Headache"), D1624+7,
OR(E1624="Viral Fever",E1624="General Checkup","Routine Health Check"), "",
TRUE,""
)</f>
        <v/>
      </c>
      <c r="I1624" s="1" t="str">
        <f t="shared" si="50"/>
        <v>No Follow-up Required</v>
      </c>
      <c r="J1624" t="str">
        <f>TEXT(Table8[[#This Row],[visit_Date]],"DDDD")</f>
        <v>Wednesday</v>
      </c>
      <c r="K1624" t="str">
        <f>TEXT(Table8[[#This Row],[visit_Date]],"mmmm")</f>
        <v>April</v>
      </c>
      <c r="L1624" t="str">
        <f t="shared" si="51"/>
        <v>Summer</v>
      </c>
    </row>
    <row r="1625" spans="1:12" x14ac:dyDescent="0.25">
      <c r="A1625">
        <v>1624</v>
      </c>
      <c r="B1625">
        <v>1004</v>
      </c>
      <c r="C1625">
        <v>750</v>
      </c>
      <c r="D1625" s="1">
        <v>45799</v>
      </c>
      <c r="E1625" t="s">
        <v>24</v>
      </c>
      <c r="F1625" t="s">
        <v>321</v>
      </c>
      <c r="G1625" t="str">
        <f>_xlfn.XLOOKUP(TRIM(E1626),MedicineInfo!A:A,MedicineInfo!B:B,"Not Found")</f>
        <v>Multivitamin</v>
      </c>
      <c r="H1625" s="1" t="str" cm="1">
        <f t="array" ref="H1625">_xlfn.IFS(
OR(E1625="Type 2 Diabetes",E1625="Essential Hypertension",E1625="Angina Pectoris",E1625="Bronchial Asthma",E1625="Cardiac Arrhythmia"), D1625+30,
OR(E1625="Gastritis",E1625="Osteoarthritis",E1625="Bronchitis",E1625="Iron Deficiency Anemia"), D1625+14,
OR(E1625="Lumbar Strain",E1625="Migraine Headache"), D1625+7,
OR(E1625="Viral Fever",E1625="General Checkup","Routine Health Check"), "",
TRUE,""
)</f>
        <v/>
      </c>
      <c r="I1625" s="1" t="str">
        <f t="shared" si="50"/>
        <v>No Follow-up Required</v>
      </c>
      <c r="J1625" t="str">
        <f>TEXT(Table8[[#This Row],[visit_Date]],"DDDD")</f>
        <v>Thursday</v>
      </c>
      <c r="K1625" t="str">
        <f>TEXT(Table8[[#This Row],[visit_Date]],"mmmm")</f>
        <v>May</v>
      </c>
      <c r="L1625" t="str">
        <f t="shared" si="51"/>
        <v>Summer</v>
      </c>
    </row>
    <row r="1626" spans="1:12" x14ac:dyDescent="0.25">
      <c r="A1626">
        <v>1625</v>
      </c>
      <c r="B1626">
        <v>1033</v>
      </c>
      <c r="C1626">
        <v>740</v>
      </c>
      <c r="D1626" s="1">
        <v>45742</v>
      </c>
      <c r="E1626" t="s">
        <v>24</v>
      </c>
      <c r="F1626" t="s">
        <v>321</v>
      </c>
      <c r="G1626" t="str">
        <f>_xlfn.XLOOKUP(TRIM(E1627),MedicineInfo!A:A,MedicineInfo!B:B,"Not Found")</f>
        <v>Multivitamin</v>
      </c>
      <c r="H1626" s="1" t="str" cm="1">
        <f t="array" ref="H1626">_xlfn.IFS(
OR(E1626="Type 2 Diabetes",E1626="Essential Hypertension",E1626="Angina Pectoris",E1626="Bronchial Asthma",E1626="Cardiac Arrhythmia"), D1626+30,
OR(E1626="Gastritis",E1626="Osteoarthritis",E1626="Bronchitis",E1626="Iron Deficiency Anemia"), D1626+14,
OR(E1626="Lumbar Strain",E1626="Migraine Headache"), D1626+7,
OR(E1626="Viral Fever",E1626="General Checkup","Routine Health Check"), "",
TRUE,""
)</f>
        <v/>
      </c>
      <c r="I1626" s="1" t="str">
        <f t="shared" si="50"/>
        <v>No Follow-up Required</v>
      </c>
      <c r="J1626" t="str">
        <f>TEXT(Table8[[#This Row],[visit_Date]],"DDDD")</f>
        <v>Wednesday</v>
      </c>
      <c r="K1626" t="str">
        <f>TEXT(Table8[[#This Row],[visit_Date]],"mmmm")</f>
        <v>March</v>
      </c>
      <c r="L1626" t="str">
        <f t="shared" si="51"/>
        <v>Summer</v>
      </c>
    </row>
    <row r="1627" spans="1:12" x14ac:dyDescent="0.25">
      <c r="A1627">
        <v>1626</v>
      </c>
      <c r="B1627">
        <v>1101</v>
      </c>
      <c r="C1627">
        <v>328</v>
      </c>
      <c r="D1627" s="1">
        <v>45733</v>
      </c>
      <c r="E1627" t="s">
        <v>24</v>
      </c>
      <c r="F1627" t="s">
        <v>321</v>
      </c>
      <c r="G1627" t="str">
        <f>_xlfn.XLOOKUP(TRIM(E1628),MedicineInfo!A:A,MedicineInfo!B:B,"Not Found")</f>
        <v>Multivitamin</v>
      </c>
      <c r="H1627" s="1" t="str" cm="1">
        <f t="array" ref="H1627">_xlfn.IFS(
OR(E1627="Type 2 Diabetes",E1627="Essential Hypertension",E1627="Angina Pectoris",E1627="Bronchial Asthma",E1627="Cardiac Arrhythmia"), D1627+30,
OR(E1627="Gastritis",E1627="Osteoarthritis",E1627="Bronchitis",E1627="Iron Deficiency Anemia"), D1627+14,
OR(E1627="Lumbar Strain",E1627="Migraine Headache"), D1627+7,
OR(E1627="Viral Fever",E1627="General Checkup","Routine Health Check"), "",
TRUE,""
)</f>
        <v/>
      </c>
      <c r="I1627" s="1" t="str">
        <f t="shared" si="50"/>
        <v>No Follow-up Required</v>
      </c>
      <c r="J1627" t="str">
        <f>TEXT(Table8[[#This Row],[visit_Date]],"DDDD")</f>
        <v>Monday</v>
      </c>
      <c r="K1627" t="str">
        <f>TEXT(Table8[[#This Row],[visit_Date]],"mmmm")</f>
        <v>March</v>
      </c>
      <c r="L1627" t="str">
        <f t="shared" si="51"/>
        <v>Summer</v>
      </c>
    </row>
    <row r="1628" spans="1:12" x14ac:dyDescent="0.25">
      <c r="A1628">
        <v>1627</v>
      </c>
      <c r="B1628">
        <v>1096</v>
      </c>
      <c r="C1628">
        <v>953</v>
      </c>
      <c r="D1628" s="1">
        <v>45799</v>
      </c>
      <c r="E1628" t="s">
        <v>24</v>
      </c>
      <c r="F1628" t="s">
        <v>321</v>
      </c>
      <c r="G1628" t="str">
        <f>_xlfn.XLOOKUP(TRIM(E1629),MedicineInfo!A:A,MedicineInfo!B:B,"Not Found")</f>
        <v>Multivitamin</v>
      </c>
      <c r="H1628" s="1" t="str" cm="1">
        <f t="array" ref="H1628">_xlfn.IFS(
OR(E1628="Type 2 Diabetes",E1628="Essential Hypertension",E1628="Angina Pectoris",E1628="Bronchial Asthma",E1628="Cardiac Arrhythmia"), D1628+30,
OR(E1628="Gastritis",E1628="Osteoarthritis",E1628="Bronchitis",E1628="Iron Deficiency Anemia"), D1628+14,
OR(E1628="Lumbar Strain",E1628="Migraine Headache"), D1628+7,
OR(E1628="Viral Fever",E1628="General Checkup","Routine Health Check"), "",
TRUE,""
)</f>
        <v/>
      </c>
      <c r="I1628" s="1" t="str">
        <f t="shared" si="50"/>
        <v>No Follow-up Required</v>
      </c>
      <c r="J1628" t="str">
        <f>TEXT(Table8[[#This Row],[visit_Date]],"DDDD")</f>
        <v>Thursday</v>
      </c>
      <c r="K1628" t="str">
        <f>TEXT(Table8[[#This Row],[visit_Date]],"mmmm")</f>
        <v>May</v>
      </c>
      <c r="L1628" t="str">
        <f t="shared" si="51"/>
        <v>Summer</v>
      </c>
    </row>
    <row r="1629" spans="1:12" x14ac:dyDescent="0.25">
      <c r="A1629">
        <v>1628</v>
      </c>
      <c r="B1629">
        <v>1180</v>
      </c>
      <c r="C1629">
        <v>402</v>
      </c>
      <c r="D1629" s="1">
        <v>45686</v>
      </c>
      <c r="E1629" t="s">
        <v>24</v>
      </c>
      <c r="F1629" t="s">
        <v>321</v>
      </c>
      <c r="G1629" t="str">
        <f>_xlfn.XLOOKUP(TRIM(E1630),MedicineInfo!A:A,MedicineInfo!B:B,"Not Found")</f>
        <v>Salbutamol Inhaler</v>
      </c>
      <c r="H1629" s="1" t="str" cm="1">
        <f t="array" ref="H1629">_xlfn.IFS(
OR(E1629="Type 2 Diabetes",E1629="Essential Hypertension",E1629="Angina Pectoris",E1629="Bronchial Asthma",E1629="Cardiac Arrhythmia"), D1629+30,
OR(E1629="Gastritis",E1629="Osteoarthritis",E1629="Bronchitis",E1629="Iron Deficiency Anemia"), D1629+14,
OR(E1629="Lumbar Strain",E1629="Migraine Headache"), D1629+7,
OR(E1629="Viral Fever",E1629="General Checkup","Routine Health Check"), "",
TRUE,""
)</f>
        <v/>
      </c>
      <c r="I1629" s="1" t="str">
        <f t="shared" si="50"/>
        <v>No Follow-up Required</v>
      </c>
      <c r="J1629" t="str">
        <f>TEXT(Table8[[#This Row],[visit_Date]],"DDDD")</f>
        <v>Wednesday</v>
      </c>
      <c r="K1629" t="str">
        <f>TEXT(Table8[[#This Row],[visit_Date]],"mmmm")</f>
        <v>January</v>
      </c>
      <c r="L1629" t="str">
        <f t="shared" si="51"/>
        <v>Winter</v>
      </c>
    </row>
    <row r="1630" spans="1:12" x14ac:dyDescent="0.25">
      <c r="A1630">
        <v>1629</v>
      </c>
      <c r="B1630">
        <v>1029</v>
      </c>
      <c r="C1630">
        <v>1524</v>
      </c>
      <c r="D1630" s="1">
        <v>45777</v>
      </c>
      <c r="E1630" t="s">
        <v>324</v>
      </c>
      <c r="F1630" t="s">
        <v>325</v>
      </c>
      <c r="G1630" t="str">
        <f>_xlfn.XLOOKUP(TRIM(E1631),MedicineInfo!A:A,MedicineInfo!B:B,"Not Found")</f>
        <v>Multivitamin</v>
      </c>
      <c r="H1630" s="1" cm="1">
        <f t="array" ref="H1630">_xlfn.IFS(
OR(E1630="Type 2 Diabetes",E1630="Essential Hypertension",E1630="Angina Pectoris",E1630="Bronchial Asthma",E1630="Cardiac Arrhythmia"), D1630+30,
OR(E1630="Gastritis",E1630="Osteoarthritis",E1630="Bronchitis",E1630="Iron Deficiency Anemia"), D1630+14,
OR(E1630="Lumbar Strain",E1630="Migraine Headache"), D1630+7,
OR(E1630="Viral Fever",E1630="General Checkup","Routine Health Check"), "",
TRUE,""
)</f>
        <v>45807</v>
      </c>
      <c r="I1630" s="1" t="str">
        <f t="shared" si="50"/>
        <v>Follow-up Scheduled</v>
      </c>
      <c r="J1630" t="str">
        <f>TEXT(Table8[[#This Row],[visit_Date]],"DDDD")</f>
        <v>Wednesday</v>
      </c>
      <c r="K1630" t="str">
        <f>TEXT(Table8[[#This Row],[visit_Date]],"mmmm")</f>
        <v>April</v>
      </c>
      <c r="L1630" t="str">
        <f t="shared" si="51"/>
        <v>Summer</v>
      </c>
    </row>
    <row r="1631" spans="1:12" x14ac:dyDescent="0.25">
      <c r="A1631">
        <v>1630</v>
      </c>
      <c r="B1631">
        <v>1336</v>
      </c>
      <c r="C1631">
        <v>1296</v>
      </c>
      <c r="D1631" s="1">
        <v>45802</v>
      </c>
      <c r="E1631" t="s">
        <v>24</v>
      </c>
      <c r="F1631" t="s">
        <v>321</v>
      </c>
      <c r="G1631" t="str">
        <f>_xlfn.XLOOKUP(TRIM(E1632),MedicineInfo!A:A,MedicineInfo!B:B,"Not Found")</f>
        <v>Levothyroxine</v>
      </c>
      <c r="H1631" s="1" t="str" cm="1">
        <f t="array" ref="H1631">_xlfn.IFS(
OR(E1631="Type 2 Diabetes",E1631="Essential Hypertension",E1631="Angina Pectoris",E1631="Bronchial Asthma",E1631="Cardiac Arrhythmia"), D1631+30,
OR(E1631="Gastritis",E1631="Osteoarthritis",E1631="Bronchitis",E1631="Iron Deficiency Anemia"), D1631+14,
OR(E1631="Lumbar Strain",E1631="Migraine Headache"), D1631+7,
OR(E1631="Viral Fever",E1631="General Checkup","Routine Health Check"), "",
TRUE,""
)</f>
        <v/>
      </c>
      <c r="I1631" s="1" t="str">
        <f t="shared" si="50"/>
        <v>No Follow-up Required</v>
      </c>
      <c r="J1631" t="str">
        <f>TEXT(Table8[[#This Row],[visit_Date]],"DDDD")</f>
        <v>Sunday</v>
      </c>
      <c r="K1631" t="str">
        <f>TEXT(Table8[[#This Row],[visit_Date]],"mmmm")</f>
        <v>May</v>
      </c>
      <c r="L1631" t="str">
        <f t="shared" si="51"/>
        <v>Summer</v>
      </c>
    </row>
    <row r="1632" spans="1:12" x14ac:dyDescent="0.25">
      <c r="A1632">
        <v>1631</v>
      </c>
      <c r="B1632">
        <v>1239</v>
      </c>
      <c r="C1632">
        <v>1239</v>
      </c>
      <c r="D1632" s="1">
        <v>45669</v>
      </c>
      <c r="E1632" t="s">
        <v>360</v>
      </c>
      <c r="F1632" t="s">
        <v>361</v>
      </c>
      <c r="G1632" t="str">
        <f>_xlfn.XLOOKUP(TRIM(E1633),MedicineInfo!A:A,MedicineInfo!B:B,"Not Found")</f>
        <v>Multivitamin</v>
      </c>
      <c r="H1632" s="1" t="str" cm="1">
        <f t="array" ref="H1632">_xlfn.IFS(
OR(E1632="Type 2 Diabetes",E1632="Essential Hypertension",E1632="Angina Pectoris",E1632="Bronchial Asthma",E1632="Cardiac Arrhythmia"), D1632+30,
OR(E1632="Gastritis",E1632="Osteoarthritis",E1632="Bronchitis",E1632="Iron Deficiency Anemia"), D1632+14,
OR(E1632="Lumbar Strain",E1632="Migraine Headache"), D1632+7,
OR(E1632="Viral Fever",E1632="General Checkup","Routine Health Check"), "",
TRUE,""
)</f>
        <v/>
      </c>
      <c r="I1632" s="1" t="str">
        <f t="shared" si="50"/>
        <v>No Follow-up Required</v>
      </c>
      <c r="J1632" t="str">
        <f>TEXT(Table8[[#This Row],[visit_Date]],"DDDD")</f>
        <v>Sunday</v>
      </c>
      <c r="K1632" t="str">
        <f>TEXT(Table8[[#This Row],[visit_Date]],"mmmm")</f>
        <v>January</v>
      </c>
      <c r="L1632" t="str">
        <f t="shared" si="51"/>
        <v>Winter</v>
      </c>
    </row>
    <row r="1633" spans="1:12" x14ac:dyDescent="0.25">
      <c r="A1633">
        <v>1632</v>
      </c>
      <c r="B1633">
        <v>1009</v>
      </c>
      <c r="C1633">
        <v>227</v>
      </c>
      <c r="D1633" s="1">
        <v>45868</v>
      </c>
      <c r="E1633" t="s">
        <v>24</v>
      </c>
      <c r="F1633" t="s">
        <v>321</v>
      </c>
      <c r="G1633" t="str">
        <f>_xlfn.XLOOKUP(TRIM(E1634),MedicineInfo!A:A,MedicineInfo!B:B,"Not Found")</f>
        <v>Multivitamin</v>
      </c>
      <c r="H1633" s="1" t="str" cm="1">
        <f t="array" ref="H1633">_xlfn.IFS(
OR(E1633="Type 2 Diabetes",E1633="Essential Hypertension",E1633="Angina Pectoris",E1633="Bronchial Asthma",E1633="Cardiac Arrhythmia"), D1633+30,
OR(E1633="Gastritis",E1633="Osteoarthritis",E1633="Bronchitis",E1633="Iron Deficiency Anemia"), D1633+14,
OR(E1633="Lumbar Strain",E1633="Migraine Headache"), D1633+7,
OR(E1633="Viral Fever",E1633="General Checkup","Routine Health Check"), "",
TRUE,""
)</f>
        <v/>
      </c>
      <c r="I1633" s="1" t="str">
        <f t="shared" si="50"/>
        <v>No Follow-up Required</v>
      </c>
      <c r="J1633" t="str">
        <f>TEXT(Table8[[#This Row],[visit_Date]],"DDDD")</f>
        <v>Wednesday</v>
      </c>
      <c r="K1633" t="str">
        <f>TEXT(Table8[[#This Row],[visit_Date]],"mmmm")</f>
        <v>July</v>
      </c>
      <c r="L1633" t="str">
        <f t="shared" si="51"/>
        <v>Monsoon</v>
      </c>
    </row>
    <row r="1634" spans="1:12" x14ac:dyDescent="0.25">
      <c r="A1634">
        <v>1633</v>
      </c>
      <c r="B1634">
        <v>1228</v>
      </c>
      <c r="C1634">
        <v>893</v>
      </c>
      <c r="D1634" s="1">
        <v>45669</v>
      </c>
      <c r="E1634" t="s">
        <v>24</v>
      </c>
      <c r="F1634" t="s">
        <v>321</v>
      </c>
      <c r="G1634" t="str">
        <f>_xlfn.XLOOKUP(TRIM(E1635),MedicineInfo!A:A,MedicineInfo!B:B,"Not Found")</f>
        <v>Not Found</v>
      </c>
      <c r="H1634" s="1" t="str" cm="1">
        <f t="array" ref="H1634">_xlfn.IFS(
OR(E1634="Type 2 Diabetes",E1634="Essential Hypertension",E1634="Angina Pectoris",E1634="Bronchial Asthma",E1634="Cardiac Arrhythmia"), D1634+30,
OR(E1634="Gastritis",E1634="Osteoarthritis",E1634="Bronchitis",E1634="Iron Deficiency Anemia"), D1634+14,
OR(E1634="Lumbar Strain",E1634="Migraine Headache"), D1634+7,
OR(E1634="Viral Fever",E1634="General Checkup","Routine Health Check"), "",
TRUE,""
)</f>
        <v/>
      </c>
      <c r="I1634" s="1" t="str">
        <f t="shared" si="50"/>
        <v>No Follow-up Required</v>
      </c>
      <c r="J1634" t="str">
        <f>TEXT(Table8[[#This Row],[visit_Date]],"DDDD")</f>
        <v>Sunday</v>
      </c>
      <c r="K1634" t="str">
        <f>TEXT(Table8[[#This Row],[visit_Date]],"mmmm")</f>
        <v>January</v>
      </c>
      <c r="L1634" t="str">
        <f t="shared" si="51"/>
        <v>Winter</v>
      </c>
    </row>
    <row r="1635" spans="1:12" x14ac:dyDescent="0.25">
      <c r="A1635">
        <v>1634</v>
      </c>
      <c r="B1635">
        <v>1050</v>
      </c>
      <c r="C1635">
        <v>534</v>
      </c>
      <c r="D1635" s="1">
        <v>45806</v>
      </c>
      <c r="E1635" t="s">
        <v>340</v>
      </c>
      <c r="F1635" t="s">
        <v>341</v>
      </c>
      <c r="G1635" t="str">
        <f>_xlfn.XLOOKUP(TRIM(E1636),MedicineInfo!A:A,MedicineInfo!B:B,"Not Found")</f>
        <v>Multivitamin</v>
      </c>
      <c r="H1635" s="1" t="str" cm="1">
        <f t="array" ref="H1635">_xlfn.IFS(
OR(E1635="Type 2 Diabetes",E1635="Essential Hypertension",E1635="Angina Pectoris",E1635="Bronchial Asthma",E1635="Cardiac Arrhythmia"), D1635+30,
OR(E1635="Gastritis",E1635="Osteoarthritis",E1635="Bronchitis",E1635="Iron Deficiency Anemia"), D1635+14,
OR(E1635="Lumbar Strain",E1635="Migraine Headache"), D1635+7,
OR(E1635="Viral Fever",E1635="General Checkup","Routine Health Check"), "",
TRUE,""
)</f>
        <v/>
      </c>
      <c r="I1635" s="1" t="str">
        <f t="shared" si="50"/>
        <v>No Follow-up Required</v>
      </c>
      <c r="J1635" t="str">
        <f>TEXT(Table8[[#This Row],[visit_Date]],"DDDD")</f>
        <v>Thursday</v>
      </c>
      <c r="K1635" t="str">
        <f>TEXT(Table8[[#This Row],[visit_Date]],"mmmm")</f>
        <v>May</v>
      </c>
      <c r="L1635" t="str">
        <f t="shared" si="51"/>
        <v>Summer</v>
      </c>
    </row>
    <row r="1636" spans="1:12" x14ac:dyDescent="0.25">
      <c r="A1636">
        <v>1635</v>
      </c>
      <c r="B1636">
        <v>1145</v>
      </c>
      <c r="C1636">
        <v>771</v>
      </c>
      <c r="D1636" s="1">
        <v>45694</v>
      </c>
      <c r="E1636" t="s">
        <v>24</v>
      </c>
      <c r="F1636" t="s">
        <v>321</v>
      </c>
      <c r="G1636" t="str">
        <f>_xlfn.XLOOKUP(TRIM(E1637),MedicineInfo!A:A,MedicineInfo!B:B,"Not Found")</f>
        <v>Calcium Supplement</v>
      </c>
      <c r="H1636" s="1" t="str" cm="1">
        <f t="array" ref="H1636">_xlfn.IFS(
OR(E1636="Type 2 Diabetes",E1636="Essential Hypertension",E1636="Angina Pectoris",E1636="Bronchial Asthma",E1636="Cardiac Arrhythmia"), D1636+30,
OR(E1636="Gastritis",E1636="Osteoarthritis",E1636="Bronchitis",E1636="Iron Deficiency Anemia"), D1636+14,
OR(E1636="Lumbar Strain",E1636="Migraine Headache"), D1636+7,
OR(E1636="Viral Fever",E1636="General Checkup","Routine Health Check"), "",
TRUE,""
)</f>
        <v/>
      </c>
      <c r="I1636" s="1" t="str">
        <f t="shared" si="50"/>
        <v>No Follow-up Required</v>
      </c>
      <c r="J1636" t="str">
        <f>TEXT(Table8[[#This Row],[visit_Date]],"DDDD")</f>
        <v>Thursday</v>
      </c>
      <c r="K1636" t="str">
        <f>TEXT(Table8[[#This Row],[visit_Date]],"mmmm")</f>
        <v>February</v>
      </c>
      <c r="L1636" t="str">
        <f t="shared" si="51"/>
        <v>Winter</v>
      </c>
    </row>
    <row r="1637" spans="1:12" x14ac:dyDescent="0.25">
      <c r="A1637">
        <v>1636</v>
      </c>
      <c r="B1637">
        <v>1224</v>
      </c>
      <c r="C1637">
        <v>676</v>
      </c>
      <c r="D1637" s="1">
        <v>45770</v>
      </c>
      <c r="E1637" t="s">
        <v>336</v>
      </c>
      <c r="F1637" t="s">
        <v>337</v>
      </c>
      <c r="G1637" t="str">
        <f>_xlfn.XLOOKUP(TRIM(E1638),MedicineInfo!A:A,MedicineInfo!B:B,"Not Found")</f>
        <v>Multivitamin</v>
      </c>
      <c r="H1637" s="1" t="str" cm="1">
        <f t="array" ref="H1637">_xlfn.IFS(
OR(E1637="Type 2 Diabetes",E1637="Essential Hypertension",E1637="Angina Pectoris",E1637="Bronchial Asthma",E1637="Cardiac Arrhythmia"), D1637+30,
OR(E1637="Gastritis",E1637="Osteoarthritis",E1637="Bronchitis",E1637="Iron Deficiency Anemia"), D1637+14,
OR(E1637="Lumbar Strain",E1637="Migraine Headache"), D1637+7,
OR(E1637="Viral Fever",E1637="General Checkup","Routine Health Check"), "",
TRUE,""
)</f>
        <v/>
      </c>
      <c r="I1637" s="1" t="str">
        <f t="shared" si="50"/>
        <v>No Follow-up Required</v>
      </c>
      <c r="J1637" t="str">
        <f>TEXT(Table8[[#This Row],[visit_Date]],"DDDD")</f>
        <v>Wednesday</v>
      </c>
      <c r="K1637" t="str">
        <f>TEXT(Table8[[#This Row],[visit_Date]],"mmmm")</f>
        <v>April</v>
      </c>
      <c r="L1637" t="str">
        <f t="shared" si="51"/>
        <v>Summer</v>
      </c>
    </row>
    <row r="1638" spans="1:12" x14ac:dyDescent="0.25">
      <c r="A1638">
        <v>1637</v>
      </c>
      <c r="B1638">
        <v>1068</v>
      </c>
      <c r="C1638">
        <v>268</v>
      </c>
      <c r="D1638" s="1">
        <v>45677</v>
      </c>
      <c r="E1638" t="s">
        <v>24</v>
      </c>
      <c r="F1638" t="s">
        <v>321</v>
      </c>
      <c r="G1638" t="str">
        <f>_xlfn.XLOOKUP(TRIM(E1639),MedicineInfo!A:A,MedicineInfo!B:B,"Not Found")</f>
        <v>Paracetamol</v>
      </c>
      <c r="H1638" s="1" t="str" cm="1">
        <f t="array" ref="H1638">_xlfn.IFS(
OR(E1638="Type 2 Diabetes",E1638="Essential Hypertension",E1638="Angina Pectoris",E1638="Bronchial Asthma",E1638="Cardiac Arrhythmia"), D1638+30,
OR(E1638="Gastritis",E1638="Osteoarthritis",E1638="Bronchitis",E1638="Iron Deficiency Anemia"), D1638+14,
OR(E1638="Lumbar Strain",E1638="Migraine Headache"), D1638+7,
OR(E1638="Viral Fever",E1638="General Checkup","Routine Health Check"), "",
TRUE,""
)</f>
        <v/>
      </c>
      <c r="I1638" s="1" t="str">
        <f t="shared" si="50"/>
        <v>No Follow-up Required</v>
      </c>
      <c r="J1638" t="str">
        <f>TEXT(Table8[[#This Row],[visit_Date]],"DDDD")</f>
        <v>Monday</v>
      </c>
      <c r="K1638" t="str">
        <f>TEXT(Table8[[#This Row],[visit_Date]],"mmmm")</f>
        <v>January</v>
      </c>
      <c r="L1638" t="str">
        <f t="shared" si="51"/>
        <v>Winter</v>
      </c>
    </row>
    <row r="1639" spans="1:12" x14ac:dyDescent="0.25">
      <c r="A1639">
        <v>1638</v>
      </c>
      <c r="B1639">
        <v>1353</v>
      </c>
      <c r="C1639">
        <v>1205</v>
      </c>
      <c r="D1639" s="1">
        <v>45814</v>
      </c>
      <c r="E1639" t="s">
        <v>326</v>
      </c>
      <c r="F1639" t="s">
        <v>327</v>
      </c>
      <c r="G1639" t="str">
        <f>_xlfn.XLOOKUP(TRIM(E1640),MedicineInfo!A:A,MedicineInfo!B:B,"Not Found")</f>
        <v>Multivitamin</v>
      </c>
      <c r="H1639" s="1" t="str" cm="1">
        <f t="array" ref="H1639">_xlfn.IFS(
OR(E1639="Type 2 Diabetes",E1639="Essential Hypertension",E1639="Angina Pectoris",E1639="Bronchial Asthma",E1639="Cardiac Arrhythmia"), D1639+30,
OR(E1639="Gastritis",E1639="Osteoarthritis",E1639="Bronchitis",E1639="Iron Deficiency Anemia"), D1639+14,
OR(E1639="Lumbar Strain",E1639="Migraine Headache"), D1639+7,
OR(E1639="Viral Fever",E1639="General Checkup","Routine Health Check"), "",
TRUE,""
)</f>
        <v/>
      </c>
      <c r="I1639" s="1" t="str">
        <f t="shared" si="50"/>
        <v>No Follow-up Required</v>
      </c>
      <c r="J1639" t="str">
        <f>TEXT(Table8[[#This Row],[visit_Date]],"DDDD")</f>
        <v>Friday</v>
      </c>
      <c r="K1639" t="str">
        <f>TEXT(Table8[[#This Row],[visit_Date]],"mmmm")</f>
        <v>June</v>
      </c>
      <c r="L1639" t="str">
        <f t="shared" si="51"/>
        <v>Monsoon</v>
      </c>
    </row>
    <row r="1640" spans="1:12" x14ac:dyDescent="0.25">
      <c r="A1640">
        <v>1639</v>
      </c>
      <c r="B1640">
        <v>1221</v>
      </c>
      <c r="C1640">
        <v>246</v>
      </c>
      <c r="D1640" s="1">
        <v>45691</v>
      </c>
      <c r="E1640" t="s">
        <v>24</v>
      </c>
      <c r="F1640" t="s">
        <v>321</v>
      </c>
      <c r="G1640" t="str">
        <f>_xlfn.XLOOKUP(TRIM(E1641),MedicineInfo!A:A,MedicineInfo!B:B,"Not Found")</f>
        <v>Salbutamol Inhaler</v>
      </c>
      <c r="H1640" s="1" t="str" cm="1">
        <f t="array" ref="H1640">_xlfn.IFS(
OR(E1640="Type 2 Diabetes",E1640="Essential Hypertension",E1640="Angina Pectoris",E1640="Bronchial Asthma",E1640="Cardiac Arrhythmia"), D1640+30,
OR(E1640="Gastritis",E1640="Osteoarthritis",E1640="Bronchitis",E1640="Iron Deficiency Anemia"), D1640+14,
OR(E1640="Lumbar Strain",E1640="Migraine Headache"), D1640+7,
OR(E1640="Viral Fever",E1640="General Checkup","Routine Health Check"), "",
TRUE,""
)</f>
        <v/>
      </c>
      <c r="I1640" s="1" t="str">
        <f t="shared" si="50"/>
        <v>No Follow-up Required</v>
      </c>
      <c r="J1640" t="str">
        <f>TEXT(Table8[[#This Row],[visit_Date]],"DDDD")</f>
        <v>Monday</v>
      </c>
      <c r="K1640" t="str">
        <f>TEXT(Table8[[#This Row],[visit_Date]],"mmmm")</f>
        <v>February</v>
      </c>
      <c r="L1640" t="str">
        <f t="shared" si="51"/>
        <v>Winter</v>
      </c>
    </row>
    <row r="1641" spans="1:12" x14ac:dyDescent="0.25">
      <c r="A1641">
        <v>1640</v>
      </c>
      <c r="B1641">
        <v>1388</v>
      </c>
      <c r="C1641">
        <v>1163</v>
      </c>
      <c r="D1641" s="1">
        <v>45850</v>
      </c>
      <c r="E1641" t="s">
        <v>324</v>
      </c>
      <c r="F1641" t="s">
        <v>325</v>
      </c>
      <c r="G1641" t="str">
        <f>_xlfn.XLOOKUP(TRIM(E1642),MedicineInfo!A:A,MedicineInfo!B:B,"Not Found")</f>
        <v>Multivitamin</v>
      </c>
      <c r="H1641" s="1" cm="1">
        <f t="array" ref="H1641">_xlfn.IFS(
OR(E1641="Type 2 Diabetes",E1641="Essential Hypertension",E1641="Angina Pectoris",E1641="Bronchial Asthma",E1641="Cardiac Arrhythmia"), D1641+30,
OR(E1641="Gastritis",E1641="Osteoarthritis",E1641="Bronchitis",E1641="Iron Deficiency Anemia"), D1641+14,
OR(E1641="Lumbar Strain",E1641="Migraine Headache"), D1641+7,
OR(E1641="Viral Fever",E1641="General Checkup","Routine Health Check"), "",
TRUE,""
)</f>
        <v>45880</v>
      </c>
      <c r="I1641" s="1" t="str">
        <f t="shared" si="50"/>
        <v>Follow-up Scheduled</v>
      </c>
      <c r="J1641" t="str">
        <f>TEXT(Table8[[#This Row],[visit_Date]],"DDDD")</f>
        <v>Saturday</v>
      </c>
      <c r="K1641" t="str">
        <f>TEXT(Table8[[#This Row],[visit_Date]],"mmmm")</f>
        <v>July</v>
      </c>
      <c r="L1641" t="str">
        <f t="shared" si="51"/>
        <v>Monsoon</v>
      </c>
    </row>
    <row r="1642" spans="1:12" x14ac:dyDescent="0.25">
      <c r="A1642">
        <v>1641</v>
      </c>
      <c r="B1642">
        <v>1220</v>
      </c>
      <c r="C1642">
        <v>414</v>
      </c>
      <c r="D1642" s="1">
        <v>45820</v>
      </c>
      <c r="E1642" t="s">
        <v>24</v>
      </c>
      <c r="F1642" t="s">
        <v>321</v>
      </c>
      <c r="G1642" t="str">
        <f>_xlfn.XLOOKUP(TRIM(E1643),MedicineInfo!A:A,MedicineInfo!B:B,"Not Found")</f>
        <v>Multivitamin</v>
      </c>
      <c r="H1642" s="1" t="str" cm="1">
        <f t="array" ref="H1642">_xlfn.IFS(
OR(E1642="Type 2 Diabetes",E1642="Essential Hypertension",E1642="Angina Pectoris",E1642="Bronchial Asthma",E1642="Cardiac Arrhythmia"), D1642+30,
OR(E1642="Gastritis",E1642="Osteoarthritis",E1642="Bronchitis",E1642="Iron Deficiency Anemia"), D1642+14,
OR(E1642="Lumbar Strain",E1642="Migraine Headache"), D1642+7,
OR(E1642="Viral Fever",E1642="General Checkup","Routine Health Check"), "",
TRUE,""
)</f>
        <v/>
      </c>
      <c r="I1642" s="1" t="str">
        <f t="shared" si="50"/>
        <v>No Follow-up Required</v>
      </c>
      <c r="J1642" t="str">
        <f>TEXT(Table8[[#This Row],[visit_Date]],"DDDD")</f>
        <v>Thursday</v>
      </c>
      <c r="K1642" t="str">
        <f>TEXT(Table8[[#This Row],[visit_Date]],"mmmm")</f>
        <v>June</v>
      </c>
      <c r="L1642" t="str">
        <f t="shared" si="51"/>
        <v>Monsoon</v>
      </c>
    </row>
    <row r="1643" spans="1:12" x14ac:dyDescent="0.25">
      <c r="A1643">
        <v>1642</v>
      </c>
      <c r="B1643">
        <v>1228</v>
      </c>
      <c r="C1643">
        <v>860</v>
      </c>
      <c r="D1643" s="1">
        <v>45790</v>
      </c>
      <c r="E1643" t="s">
        <v>24</v>
      </c>
      <c r="F1643" t="s">
        <v>321</v>
      </c>
      <c r="G1643" t="str">
        <f>_xlfn.XLOOKUP(TRIM(E1644),MedicineInfo!A:A,MedicineInfo!B:B,"Not Found")</f>
        <v>Calcium Supplement</v>
      </c>
      <c r="H1643" s="1" t="str" cm="1">
        <f t="array" ref="H1643">_xlfn.IFS(
OR(E1643="Type 2 Diabetes",E1643="Essential Hypertension",E1643="Angina Pectoris",E1643="Bronchial Asthma",E1643="Cardiac Arrhythmia"), D1643+30,
OR(E1643="Gastritis",E1643="Osteoarthritis",E1643="Bronchitis",E1643="Iron Deficiency Anemia"), D1643+14,
OR(E1643="Lumbar Strain",E1643="Migraine Headache"), D1643+7,
OR(E1643="Viral Fever",E1643="General Checkup","Routine Health Check"), "",
TRUE,""
)</f>
        <v/>
      </c>
      <c r="I1643" s="1" t="str">
        <f t="shared" si="50"/>
        <v>No Follow-up Required</v>
      </c>
      <c r="J1643" t="str">
        <f>TEXT(Table8[[#This Row],[visit_Date]],"DDDD")</f>
        <v>Tuesday</v>
      </c>
      <c r="K1643" t="str">
        <f>TEXT(Table8[[#This Row],[visit_Date]],"mmmm")</f>
        <v>May</v>
      </c>
      <c r="L1643" t="str">
        <f t="shared" si="51"/>
        <v>Summer</v>
      </c>
    </row>
    <row r="1644" spans="1:12" x14ac:dyDescent="0.25">
      <c r="A1644">
        <v>1643</v>
      </c>
      <c r="B1644">
        <v>1309</v>
      </c>
      <c r="C1644">
        <v>997</v>
      </c>
      <c r="D1644" s="1">
        <v>45790</v>
      </c>
      <c r="E1644" t="s">
        <v>336</v>
      </c>
      <c r="F1644" t="s">
        <v>337</v>
      </c>
      <c r="G1644" t="str">
        <f>_xlfn.XLOOKUP(TRIM(E1645),MedicineInfo!A:A,MedicineInfo!B:B,"Not Found")</f>
        <v>Multivitamin</v>
      </c>
      <c r="H1644" s="1" t="str" cm="1">
        <f t="array" ref="H1644">_xlfn.IFS(
OR(E1644="Type 2 Diabetes",E1644="Essential Hypertension",E1644="Angina Pectoris",E1644="Bronchial Asthma",E1644="Cardiac Arrhythmia"), D1644+30,
OR(E1644="Gastritis",E1644="Osteoarthritis",E1644="Bronchitis",E1644="Iron Deficiency Anemia"), D1644+14,
OR(E1644="Lumbar Strain",E1644="Migraine Headache"), D1644+7,
OR(E1644="Viral Fever",E1644="General Checkup","Routine Health Check"), "",
TRUE,""
)</f>
        <v/>
      </c>
      <c r="I1644" s="1" t="str">
        <f t="shared" si="50"/>
        <v>No Follow-up Required</v>
      </c>
      <c r="J1644" t="str">
        <f>TEXT(Table8[[#This Row],[visit_Date]],"DDDD")</f>
        <v>Tuesday</v>
      </c>
      <c r="K1644" t="str">
        <f>TEXT(Table8[[#This Row],[visit_Date]],"mmmm")</f>
        <v>May</v>
      </c>
      <c r="L1644" t="str">
        <f t="shared" si="51"/>
        <v>Summer</v>
      </c>
    </row>
    <row r="1645" spans="1:12" x14ac:dyDescent="0.25">
      <c r="A1645">
        <v>1644</v>
      </c>
      <c r="B1645">
        <v>1211</v>
      </c>
      <c r="C1645">
        <v>1172</v>
      </c>
      <c r="D1645" s="1">
        <v>45767</v>
      </c>
      <c r="E1645" t="s">
        <v>24</v>
      </c>
      <c r="F1645" t="s">
        <v>321</v>
      </c>
      <c r="G1645" t="str">
        <f>_xlfn.XLOOKUP(TRIM(E1646),MedicineInfo!A:A,MedicineInfo!B:B,"Not Found")</f>
        <v>Multivitamin</v>
      </c>
      <c r="H1645" s="1" t="str" cm="1">
        <f t="array" ref="H1645">_xlfn.IFS(
OR(E1645="Type 2 Diabetes",E1645="Essential Hypertension",E1645="Angina Pectoris",E1645="Bronchial Asthma",E1645="Cardiac Arrhythmia"), D1645+30,
OR(E1645="Gastritis",E1645="Osteoarthritis",E1645="Bronchitis",E1645="Iron Deficiency Anemia"), D1645+14,
OR(E1645="Lumbar Strain",E1645="Migraine Headache"), D1645+7,
OR(E1645="Viral Fever",E1645="General Checkup","Routine Health Check"), "",
TRUE,""
)</f>
        <v/>
      </c>
      <c r="I1645" s="1" t="str">
        <f t="shared" si="50"/>
        <v>No Follow-up Required</v>
      </c>
      <c r="J1645" t="str">
        <f>TEXT(Table8[[#This Row],[visit_Date]],"DDDD")</f>
        <v>Sunday</v>
      </c>
      <c r="K1645" t="str">
        <f>TEXT(Table8[[#This Row],[visit_Date]],"mmmm")</f>
        <v>April</v>
      </c>
      <c r="L1645" t="str">
        <f t="shared" si="51"/>
        <v>Summer</v>
      </c>
    </row>
    <row r="1646" spans="1:12" x14ac:dyDescent="0.25">
      <c r="A1646">
        <v>1645</v>
      </c>
      <c r="B1646">
        <v>1169</v>
      </c>
      <c r="C1646">
        <v>607</v>
      </c>
      <c r="D1646" s="1">
        <v>45770</v>
      </c>
      <c r="E1646" t="s">
        <v>24</v>
      </c>
      <c r="F1646" t="s">
        <v>321</v>
      </c>
      <c r="G1646" t="str">
        <f>_xlfn.XLOOKUP(TRIM(E1647),MedicineInfo!A:A,MedicineInfo!B:B,"Not Found")</f>
        <v>Multivitamin</v>
      </c>
      <c r="H1646" s="1" t="str" cm="1">
        <f t="array" ref="H1646">_xlfn.IFS(
OR(E1646="Type 2 Diabetes",E1646="Essential Hypertension",E1646="Angina Pectoris",E1646="Bronchial Asthma",E1646="Cardiac Arrhythmia"), D1646+30,
OR(E1646="Gastritis",E1646="Osteoarthritis",E1646="Bronchitis",E1646="Iron Deficiency Anemia"), D1646+14,
OR(E1646="Lumbar Strain",E1646="Migraine Headache"), D1646+7,
OR(E1646="Viral Fever",E1646="General Checkup","Routine Health Check"), "",
TRUE,""
)</f>
        <v/>
      </c>
      <c r="I1646" s="1" t="str">
        <f t="shared" si="50"/>
        <v>No Follow-up Required</v>
      </c>
      <c r="J1646" t="str">
        <f>TEXT(Table8[[#This Row],[visit_Date]],"DDDD")</f>
        <v>Wednesday</v>
      </c>
      <c r="K1646" t="str">
        <f>TEXT(Table8[[#This Row],[visit_Date]],"mmmm")</f>
        <v>April</v>
      </c>
      <c r="L1646" t="str">
        <f t="shared" si="51"/>
        <v>Summer</v>
      </c>
    </row>
    <row r="1647" spans="1:12" x14ac:dyDescent="0.25">
      <c r="A1647">
        <v>1646</v>
      </c>
      <c r="B1647">
        <v>1157</v>
      </c>
      <c r="C1647">
        <v>826</v>
      </c>
      <c r="D1647" s="1">
        <v>45729</v>
      </c>
      <c r="E1647" t="s">
        <v>24</v>
      </c>
      <c r="F1647" t="s">
        <v>321</v>
      </c>
      <c r="G1647" t="str">
        <f>_xlfn.XLOOKUP(TRIM(E1648),MedicineInfo!A:A,MedicineInfo!B:B,"Not Found")</f>
        <v>Diclofenac</v>
      </c>
      <c r="H1647" s="1" t="str" cm="1">
        <f t="array" ref="H1647">_xlfn.IFS(
OR(E1647="Type 2 Diabetes",E1647="Essential Hypertension",E1647="Angina Pectoris",E1647="Bronchial Asthma",E1647="Cardiac Arrhythmia"), D1647+30,
OR(E1647="Gastritis",E1647="Osteoarthritis",E1647="Bronchitis",E1647="Iron Deficiency Anemia"), D1647+14,
OR(E1647="Lumbar Strain",E1647="Migraine Headache"), D1647+7,
OR(E1647="Viral Fever",E1647="General Checkup","Routine Health Check"), "",
TRUE,""
)</f>
        <v/>
      </c>
      <c r="I1647" s="1" t="str">
        <f t="shared" si="50"/>
        <v>No Follow-up Required</v>
      </c>
      <c r="J1647" t="str">
        <f>TEXT(Table8[[#This Row],[visit_Date]],"DDDD")</f>
        <v>Thursday</v>
      </c>
      <c r="K1647" t="str">
        <f>TEXT(Table8[[#This Row],[visit_Date]],"mmmm")</f>
        <v>March</v>
      </c>
      <c r="L1647" t="str">
        <f t="shared" si="51"/>
        <v>Summer</v>
      </c>
    </row>
    <row r="1648" spans="1:12" x14ac:dyDescent="0.25">
      <c r="A1648">
        <v>1647</v>
      </c>
      <c r="B1648">
        <v>1074</v>
      </c>
      <c r="C1648">
        <v>1249</v>
      </c>
      <c r="D1648" s="1">
        <v>45669</v>
      </c>
      <c r="E1648" t="s">
        <v>313</v>
      </c>
      <c r="F1648" t="s">
        <v>314</v>
      </c>
      <c r="G1648" t="str">
        <f>_xlfn.XLOOKUP(TRIM(E1649),MedicineInfo!A:A,MedicineInfo!B:B,"Not Found")</f>
        <v>Salbutamol Inhaler</v>
      </c>
      <c r="H1648" s="1" cm="1">
        <f t="array" ref="H1648">_xlfn.IFS(
OR(E1648="Type 2 Diabetes",E1648="Essential Hypertension",E1648="Angina Pectoris",E1648="Bronchial Asthma",E1648="Cardiac Arrhythmia"), D1648+30,
OR(E1648="Gastritis",E1648="Osteoarthritis",E1648="Bronchitis",E1648="Iron Deficiency Anemia"), D1648+14,
OR(E1648="Lumbar Strain",E1648="Migraine Headache"), D1648+7,
OR(E1648="Viral Fever",E1648="General Checkup","Routine Health Check"), "",
TRUE,""
)</f>
        <v>45676</v>
      </c>
      <c r="I1648" s="1" t="str">
        <f t="shared" si="50"/>
        <v>Follow-up Scheduled</v>
      </c>
      <c r="J1648" t="str">
        <f>TEXT(Table8[[#This Row],[visit_Date]],"DDDD")</f>
        <v>Sunday</v>
      </c>
      <c r="K1648" t="str">
        <f>TEXT(Table8[[#This Row],[visit_Date]],"mmmm")</f>
        <v>January</v>
      </c>
      <c r="L1648" t="str">
        <f t="shared" si="51"/>
        <v>Winter</v>
      </c>
    </row>
    <row r="1649" spans="1:12" x14ac:dyDescent="0.25">
      <c r="A1649">
        <v>1648</v>
      </c>
      <c r="B1649">
        <v>1358</v>
      </c>
      <c r="C1649">
        <v>848</v>
      </c>
      <c r="D1649" s="1">
        <v>45704</v>
      </c>
      <c r="E1649" t="s">
        <v>324</v>
      </c>
      <c r="F1649" t="s">
        <v>325</v>
      </c>
      <c r="G1649" t="str">
        <f>_xlfn.XLOOKUP(TRIM(E1650),MedicineInfo!A:A,MedicineInfo!B:B,"Not Found")</f>
        <v>Multivitamin</v>
      </c>
      <c r="H1649" s="1" cm="1">
        <f t="array" ref="H1649">_xlfn.IFS(
OR(E1649="Type 2 Diabetes",E1649="Essential Hypertension",E1649="Angina Pectoris",E1649="Bronchial Asthma",E1649="Cardiac Arrhythmia"), D1649+30,
OR(E1649="Gastritis",E1649="Osteoarthritis",E1649="Bronchitis",E1649="Iron Deficiency Anemia"), D1649+14,
OR(E1649="Lumbar Strain",E1649="Migraine Headache"), D1649+7,
OR(E1649="Viral Fever",E1649="General Checkup","Routine Health Check"), "",
TRUE,""
)</f>
        <v>45734</v>
      </c>
      <c r="I1649" s="1" t="str">
        <f t="shared" si="50"/>
        <v>Follow-up Scheduled</v>
      </c>
      <c r="J1649" t="str">
        <f>TEXT(Table8[[#This Row],[visit_Date]],"DDDD")</f>
        <v>Sunday</v>
      </c>
      <c r="K1649" t="str">
        <f>TEXT(Table8[[#This Row],[visit_Date]],"mmmm")</f>
        <v>February</v>
      </c>
      <c r="L1649" t="str">
        <f t="shared" si="51"/>
        <v>Winter</v>
      </c>
    </row>
    <row r="1650" spans="1:12" x14ac:dyDescent="0.25">
      <c r="A1650">
        <v>1649</v>
      </c>
      <c r="B1650">
        <v>1348</v>
      </c>
      <c r="C1650">
        <v>916</v>
      </c>
      <c r="D1650" s="1">
        <v>45786</v>
      </c>
      <c r="E1650" t="s">
        <v>24</v>
      </c>
      <c r="F1650" t="s">
        <v>321</v>
      </c>
      <c r="G1650" t="str">
        <f>_xlfn.XLOOKUP(TRIM(E1651),MedicineInfo!A:A,MedicineInfo!B:B,"Not Found")</f>
        <v>Multivitamin</v>
      </c>
      <c r="H1650" s="1" t="str" cm="1">
        <f t="array" ref="H1650">_xlfn.IFS(
OR(E1650="Type 2 Diabetes",E1650="Essential Hypertension",E1650="Angina Pectoris",E1650="Bronchial Asthma",E1650="Cardiac Arrhythmia"), D1650+30,
OR(E1650="Gastritis",E1650="Osteoarthritis",E1650="Bronchitis",E1650="Iron Deficiency Anemia"), D1650+14,
OR(E1650="Lumbar Strain",E1650="Migraine Headache"), D1650+7,
OR(E1650="Viral Fever",E1650="General Checkup","Routine Health Check"), "",
TRUE,""
)</f>
        <v/>
      </c>
      <c r="I1650" s="1" t="str">
        <f t="shared" si="50"/>
        <v>No Follow-up Required</v>
      </c>
      <c r="J1650" t="str">
        <f>TEXT(Table8[[#This Row],[visit_Date]],"DDDD")</f>
        <v>Friday</v>
      </c>
      <c r="K1650" t="str">
        <f>TEXT(Table8[[#This Row],[visit_Date]],"mmmm")</f>
        <v>May</v>
      </c>
      <c r="L1650" t="str">
        <f t="shared" si="51"/>
        <v>Summer</v>
      </c>
    </row>
    <row r="1651" spans="1:12" x14ac:dyDescent="0.25">
      <c r="A1651">
        <v>1650</v>
      </c>
      <c r="B1651">
        <v>1333</v>
      </c>
      <c r="C1651">
        <v>976</v>
      </c>
      <c r="D1651" s="1">
        <v>45823</v>
      </c>
      <c r="E1651" t="s">
        <v>24</v>
      </c>
      <c r="F1651" t="s">
        <v>321</v>
      </c>
      <c r="G1651" t="str">
        <f>_xlfn.XLOOKUP(TRIM(E1652),MedicineInfo!A:A,MedicineInfo!B:B,"Not Found")</f>
        <v>Multivitamin</v>
      </c>
      <c r="H1651" s="1" t="str" cm="1">
        <f t="array" ref="H1651">_xlfn.IFS(
OR(E1651="Type 2 Diabetes",E1651="Essential Hypertension",E1651="Angina Pectoris",E1651="Bronchial Asthma",E1651="Cardiac Arrhythmia"), D1651+30,
OR(E1651="Gastritis",E1651="Osteoarthritis",E1651="Bronchitis",E1651="Iron Deficiency Anemia"), D1651+14,
OR(E1651="Lumbar Strain",E1651="Migraine Headache"), D1651+7,
OR(E1651="Viral Fever",E1651="General Checkup","Routine Health Check"), "",
TRUE,""
)</f>
        <v/>
      </c>
      <c r="I1651" s="1" t="str">
        <f t="shared" si="50"/>
        <v>No Follow-up Required</v>
      </c>
      <c r="J1651" t="str">
        <f>TEXT(Table8[[#This Row],[visit_Date]],"DDDD")</f>
        <v>Sunday</v>
      </c>
      <c r="K1651" t="str">
        <f>TEXT(Table8[[#This Row],[visit_Date]],"mmmm")</f>
        <v>June</v>
      </c>
      <c r="L1651" t="str">
        <f t="shared" si="51"/>
        <v>Monsoon</v>
      </c>
    </row>
    <row r="1652" spans="1:12" x14ac:dyDescent="0.25">
      <c r="A1652">
        <v>1651</v>
      </c>
      <c r="B1652">
        <v>1113</v>
      </c>
      <c r="C1652">
        <v>1319</v>
      </c>
      <c r="D1652" s="1">
        <v>45799</v>
      </c>
      <c r="E1652" t="s">
        <v>24</v>
      </c>
      <c r="F1652" t="s">
        <v>321</v>
      </c>
      <c r="G1652" t="str">
        <f>_xlfn.XLOOKUP(TRIM(E1653),MedicineInfo!A:A,MedicineInfo!B:B,"Not Found")</f>
        <v>Amoxicillin</v>
      </c>
      <c r="H1652" s="1" t="str" cm="1">
        <f t="array" ref="H1652">_xlfn.IFS(
OR(E1652="Type 2 Diabetes",E1652="Essential Hypertension",E1652="Angina Pectoris",E1652="Bronchial Asthma",E1652="Cardiac Arrhythmia"), D1652+30,
OR(E1652="Gastritis",E1652="Osteoarthritis",E1652="Bronchitis",E1652="Iron Deficiency Anemia"), D1652+14,
OR(E1652="Lumbar Strain",E1652="Migraine Headache"), D1652+7,
OR(E1652="Viral Fever",E1652="General Checkup","Routine Health Check"), "",
TRUE,""
)</f>
        <v/>
      </c>
      <c r="I1652" s="1" t="str">
        <f t="shared" si="50"/>
        <v>No Follow-up Required</v>
      </c>
      <c r="J1652" t="str">
        <f>TEXT(Table8[[#This Row],[visit_Date]],"DDDD")</f>
        <v>Thursday</v>
      </c>
      <c r="K1652" t="str">
        <f>TEXT(Table8[[#This Row],[visit_Date]],"mmmm")</f>
        <v>May</v>
      </c>
      <c r="L1652" t="str">
        <f t="shared" si="51"/>
        <v>Summer</v>
      </c>
    </row>
    <row r="1653" spans="1:12" x14ac:dyDescent="0.25">
      <c r="A1653">
        <v>1652</v>
      </c>
      <c r="B1653">
        <v>1043</v>
      </c>
      <c r="C1653">
        <v>1267</v>
      </c>
      <c r="D1653" s="1">
        <v>45792</v>
      </c>
      <c r="E1653" t="s">
        <v>346</v>
      </c>
      <c r="F1653" t="s">
        <v>347</v>
      </c>
      <c r="G1653" t="str">
        <f>_xlfn.XLOOKUP(TRIM(E1654),MedicineInfo!A:A,MedicineInfo!B:B,"Not Found")</f>
        <v>Multivitamin</v>
      </c>
      <c r="H1653" s="1" cm="1">
        <f t="array" ref="H1653">_xlfn.IFS(
OR(E1653="Type 2 Diabetes",E1653="Essential Hypertension",E1653="Angina Pectoris",E1653="Bronchial Asthma",E1653="Cardiac Arrhythmia"), D1653+30,
OR(E1653="Gastritis",E1653="Osteoarthritis",E1653="Bronchitis",E1653="Iron Deficiency Anemia"), D1653+14,
OR(E1653="Lumbar Strain",E1653="Migraine Headache"), D1653+7,
OR(E1653="Viral Fever",E1653="General Checkup","Routine Health Check"), "",
TRUE,""
)</f>
        <v>45806</v>
      </c>
      <c r="I1653" s="1" t="str">
        <f t="shared" si="50"/>
        <v>Follow-up Scheduled</v>
      </c>
      <c r="J1653" t="str">
        <f>TEXT(Table8[[#This Row],[visit_Date]],"DDDD")</f>
        <v>Thursday</v>
      </c>
      <c r="K1653" t="str">
        <f>TEXT(Table8[[#This Row],[visit_Date]],"mmmm")</f>
        <v>May</v>
      </c>
      <c r="L1653" t="str">
        <f t="shared" si="51"/>
        <v>Summer</v>
      </c>
    </row>
    <row r="1654" spans="1:12" x14ac:dyDescent="0.25">
      <c r="A1654">
        <v>1653</v>
      </c>
      <c r="B1654">
        <v>1328</v>
      </c>
      <c r="C1654">
        <v>236</v>
      </c>
      <c r="D1654" s="1">
        <v>45714</v>
      </c>
      <c r="E1654" t="s">
        <v>24</v>
      </c>
      <c r="F1654" t="s">
        <v>321</v>
      </c>
      <c r="G1654" t="str">
        <f>_xlfn.XLOOKUP(TRIM(E1655),MedicineInfo!A:A,MedicineInfo!B:B,"Not Found")</f>
        <v>Multivitamin</v>
      </c>
      <c r="H1654" s="1" t="str" cm="1">
        <f t="array" ref="H1654">_xlfn.IFS(
OR(E1654="Type 2 Diabetes",E1654="Essential Hypertension",E1654="Angina Pectoris",E1654="Bronchial Asthma",E1654="Cardiac Arrhythmia"), D1654+30,
OR(E1654="Gastritis",E1654="Osteoarthritis",E1654="Bronchitis",E1654="Iron Deficiency Anemia"), D1654+14,
OR(E1654="Lumbar Strain",E1654="Migraine Headache"), D1654+7,
OR(E1654="Viral Fever",E1654="General Checkup","Routine Health Check"), "",
TRUE,""
)</f>
        <v/>
      </c>
      <c r="I1654" s="1" t="str">
        <f t="shared" si="50"/>
        <v>No Follow-up Required</v>
      </c>
      <c r="J1654" t="str">
        <f>TEXT(Table8[[#This Row],[visit_Date]],"DDDD")</f>
        <v>Wednesday</v>
      </c>
      <c r="K1654" t="str">
        <f>TEXT(Table8[[#This Row],[visit_Date]],"mmmm")</f>
        <v>February</v>
      </c>
      <c r="L1654" t="str">
        <f t="shared" si="51"/>
        <v>Winter</v>
      </c>
    </row>
    <row r="1655" spans="1:12" x14ac:dyDescent="0.25">
      <c r="A1655">
        <v>1654</v>
      </c>
      <c r="B1655">
        <v>1181</v>
      </c>
      <c r="C1655">
        <v>1447</v>
      </c>
      <c r="D1655" s="1">
        <v>45790</v>
      </c>
      <c r="E1655" t="s">
        <v>24</v>
      </c>
      <c r="F1655" t="s">
        <v>321</v>
      </c>
      <c r="G1655" t="str">
        <f>_xlfn.XLOOKUP(TRIM(E1656),MedicineInfo!A:A,MedicineInfo!B:B,"Not Found")</f>
        <v>Multivitamin</v>
      </c>
      <c r="H1655" s="1" t="str" cm="1">
        <f t="array" ref="H1655">_xlfn.IFS(
OR(E1655="Type 2 Diabetes",E1655="Essential Hypertension",E1655="Angina Pectoris",E1655="Bronchial Asthma",E1655="Cardiac Arrhythmia"), D1655+30,
OR(E1655="Gastritis",E1655="Osteoarthritis",E1655="Bronchitis",E1655="Iron Deficiency Anemia"), D1655+14,
OR(E1655="Lumbar Strain",E1655="Migraine Headache"), D1655+7,
OR(E1655="Viral Fever",E1655="General Checkup","Routine Health Check"), "",
TRUE,""
)</f>
        <v/>
      </c>
      <c r="I1655" s="1" t="str">
        <f t="shared" si="50"/>
        <v>No Follow-up Required</v>
      </c>
      <c r="J1655" t="str">
        <f>TEXT(Table8[[#This Row],[visit_Date]],"DDDD")</f>
        <v>Tuesday</v>
      </c>
      <c r="K1655" t="str">
        <f>TEXT(Table8[[#This Row],[visit_Date]],"mmmm")</f>
        <v>May</v>
      </c>
      <c r="L1655" t="str">
        <f t="shared" si="51"/>
        <v>Summer</v>
      </c>
    </row>
    <row r="1656" spans="1:12" x14ac:dyDescent="0.25">
      <c r="A1656">
        <v>1655</v>
      </c>
      <c r="B1656">
        <v>1142</v>
      </c>
      <c r="C1656">
        <v>623</v>
      </c>
      <c r="D1656" s="1">
        <v>45676</v>
      </c>
      <c r="E1656" t="s">
        <v>24</v>
      </c>
      <c r="F1656" t="s">
        <v>321</v>
      </c>
      <c r="G1656" t="str">
        <f>_xlfn.XLOOKUP(TRIM(E1657),MedicineInfo!A:A,MedicineInfo!B:B,"Not Found")</f>
        <v>Aceclofenac</v>
      </c>
      <c r="H1656" s="1" t="str" cm="1">
        <f t="array" ref="H1656">_xlfn.IFS(
OR(E1656="Type 2 Diabetes",E1656="Essential Hypertension",E1656="Angina Pectoris",E1656="Bronchial Asthma",E1656="Cardiac Arrhythmia"), D1656+30,
OR(E1656="Gastritis",E1656="Osteoarthritis",E1656="Bronchitis",E1656="Iron Deficiency Anemia"), D1656+14,
OR(E1656="Lumbar Strain",E1656="Migraine Headache"), D1656+7,
OR(E1656="Viral Fever",E1656="General Checkup","Routine Health Check"), "",
TRUE,""
)</f>
        <v/>
      </c>
      <c r="I1656" s="1" t="str">
        <f t="shared" si="50"/>
        <v>No Follow-up Required</v>
      </c>
      <c r="J1656" t="str">
        <f>TEXT(Table8[[#This Row],[visit_Date]],"DDDD")</f>
        <v>Sunday</v>
      </c>
      <c r="K1656" t="str">
        <f>TEXT(Table8[[#This Row],[visit_Date]],"mmmm")</f>
        <v>January</v>
      </c>
      <c r="L1656" t="str">
        <f t="shared" si="51"/>
        <v>Winter</v>
      </c>
    </row>
    <row r="1657" spans="1:12" x14ac:dyDescent="0.25">
      <c r="A1657">
        <v>1656</v>
      </c>
      <c r="B1657">
        <v>1394</v>
      </c>
      <c r="C1657">
        <v>1446</v>
      </c>
      <c r="D1657" s="1">
        <v>45819</v>
      </c>
      <c r="E1657" t="s">
        <v>348</v>
      </c>
      <c r="F1657" t="s">
        <v>349</v>
      </c>
      <c r="G1657" t="str">
        <f>_xlfn.XLOOKUP(TRIM(E1658),MedicineInfo!A:A,MedicineInfo!B:B,"Not Found")</f>
        <v>Multivitamin</v>
      </c>
      <c r="H1657" s="1" cm="1">
        <f t="array" ref="H1657">_xlfn.IFS(
OR(E1657="Type 2 Diabetes",E1657="Essential Hypertension",E1657="Angina Pectoris",E1657="Bronchial Asthma",E1657="Cardiac Arrhythmia"), D1657+30,
OR(E1657="Gastritis",E1657="Osteoarthritis",E1657="Bronchitis",E1657="Iron Deficiency Anemia"), D1657+14,
OR(E1657="Lumbar Strain",E1657="Migraine Headache"), D1657+7,
OR(E1657="Viral Fever",E1657="General Checkup","Routine Health Check"), "",
TRUE,""
)</f>
        <v>45833</v>
      </c>
      <c r="I1657" s="1" t="str">
        <f t="shared" si="50"/>
        <v>Follow-up Scheduled</v>
      </c>
      <c r="J1657" t="str">
        <f>TEXT(Table8[[#This Row],[visit_Date]],"DDDD")</f>
        <v>Wednesday</v>
      </c>
      <c r="K1657" t="str">
        <f>TEXT(Table8[[#This Row],[visit_Date]],"mmmm")</f>
        <v>June</v>
      </c>
      <c r="L1657" t="str">
        <f t="shared" si="51"/>
        <v>Monsoon</v>
      </c>
    </row>
    <row r="1658" spans="1:12" x14ac:dyDescent="0.25">
      <c r="A1658">
        <v>1657</v>
      </c>
      <c r="B1658">
        <v>1357</v>
      </c>
      <c r="C1658">
        <v>699</v>
      </c>
      <c r="D1658" s="1">
        <v>45823</v>
      </c>
      <c r="E1658" t="s">
        <v>24</v>
      </c>
      <c r="F1658" t="s">
        <v>321</v>
      </c>
      <c r="G1658" t="str">
        <f>_xlfn.XLOOKUP(TRIM(E1659),MedicineInfo!A:A,MedicineInfo!B:B,"Not Found")</f>
        <v>Multivitamin</v>
      </c>
      <c r="H1658" s="1" t="str" cm="1">
        <f t="array" ref="H1658">_xlfn.IFS(
OR(E1658="Type 2 Diabetes",E1658="Essential Hypertension",E1658="Angina Pectoris",E1658="Bronchial Asthma",E1658="Cardiac Arrhythmia"), D1658+30,
OR(E1658="Gastritis",E1658="Osteoarthritis",E1658="Bronchitis",E1658="Iron Deficiency Anemia"), D1658+14,
OR(E1658="Lumbar Strain",E1658="Migraine Headache"), D1658+7,
OR(E1658="Viral Fever",E1658="General Checkup","Routine Health Check"), "",
TRUE,""
)</f>
        <v/>
      </c>
      <c r="I1658" s="1" t="str">
        <f t="shared" si="50"/>
        <v>No Follow-up Required</v>
      </c>
      <c r="J1658" t="str">
        <f>TEXT(Table8[[#This Row],[visit_Date]],"DDDD")</f>
        <v>Sunday</v>
      </c>
      <c r="K1658" t="str">
        <f>TEXT(Table8[[#This Row],[visit_Date]],"mmmm")</f>
        <v>June</v>
      </c>
      <c r="L1658" t="str">
        <f t="shared" si="51"/>
        <v>Monsoon</v>
      </c>
    </row>
    <row r="1659" spans="1:12" x14ac:dyDescent="0.25">
      <c r="A1659">
        <v>1658</v>
      </c>
      <c r="B1659">
        <v>1082</v>
      </c>
      <c r="C1659">
        <v>827</v>
      </c>
      <c r="D1659" s="1">
        <v>45692</v>
      </c>
      <c r="E1659" t="s">
        <v>24</v>
      </c>
      <c r="F1659" t="s">
        <v>321</v>
      </c>
      <c r="G1659" t="str">
        <f>_xlfn.XLOOKUP(TRIM(E1660),MedicineInfo!A:A,MedicineInfo!B:B,"Not Found")</f>
        <v>Multivitamin</v>
      </c>
      <c r="H1659" s="1" t="str" cm="1">
        <f t="array" ref="H1659">_xlfn.IFS(
OR(E1659="Type 2 Diabetes",E1659="Essential Hypertension",E1659="Angina Pectoris",E1659="Bronchial Asthma",E1659="Cardiac Arrhythmia"), D1659+30,
OR(E1659="Gastritis",E1659="Osteoarthritis",E1659="Bronchitis",E1659="Iron Deficiency Anemia"), D1659+14,
OR(E1659="Lumbar Strain",E1659="Migraine Headache"), D1659+7,
OR(E1659="Viral Fever",E1659="General Checkup","Routine Health Check"), "",
TRUE,""
)</f>
        <v/>
      </c>
      <c r="I1659" s="1" t="str">
        <f t="shared" si="50"/>
        <v>No Follow-up Required</v>
      </c>
      <c r="J1659" t="str">
        <f>TEXT(Table8[[#This Row],[visit_Date]],"DDDD")</f>
        <v>Tuesday</v>
      </c>
      <c r="K1659" t="str">
        <f>TEXT(Table8[[#This Row],[visit_Date]],"mmmm")</f>
        <v>February</v>
      </c>
      <c r="L1659" t="str">
        <f t="shared" si="51"/>
        <v>Winter</v>
      </c>
    </row>
    <row r="1660" spans="1:12" x14ac:dyDescent="0.25">
      <c r="A1660">
        <v>1659</v>
      </c>
      <c r="B1660">
        <v>1173</v>
      </c>
      <c r="C1660">
        <v>1103</v>
      </c>
      <c r="D1660" s="1">
        <v>45814</v>
      </c>
      <c r="E1660" t="s">
        <v>24</v>
      </c>
      <c r="F1660" t="s">
        <v>321</v>
      </c>
      <c r="G1660" t="str">
        <f>_xlfn.XLOOKUP(TRIM(E1661),MedicineInfo!A:A,MedicineInfo!B:B,"Not Found")</f>
        <v>Levothyroxine</v>
      </c>
      <c r="H1660" s="1" t="str" cm="1">
        <f t="array" ref="H1660">_xlfn.IFS(
OR(E1660="Type 2 Diabetes",E1660="Essential Hypertension",E1660="Angina Pectoris",E1660="Bronchial Asthma",E1660="Cardiac Arrhythmia"), D1660+30,
OR(E1660="Gastritis",E1660="Osteoarthritis",E1660="Bronchitis",E1660="Iron Deficiency Anemia"), D1660+14,
OR(E1660="Lumbar Strain",E1660="Migraine Headache"), D1660+7,
OR(E1660="Viral Fever",E1660="General Checkup","Routine Health Check"), "",
TRUE,""
)</f>
        <v/>
      </c>
      <c r="I1660" s="1" t="str">
        <f t="shared" si="50"/>
        <v>No Follow-up Required</v>
      </c>
      <c r="J1660" t="str">
        <f>TEXT(Table8[[#This Row],[visit_Date]],"DDDD")</f>
        <v>Friday</v>
      </c>
      <c r="K1660" t="str">
        <f>TEXT(Table8[[#This Row],[visit_Date]],"mmmm")</f>
        <v>June</v>
      </c>
      <c r="L1660" t="str">
        <f t="shared" si="51"/>
        <v>Monsoon</v>
      </c>
    </row>
    <row r="1661" spans="1:12" x14ac:dyDescent="0.25">
      <c r="A1661">
        <v>1660</v>
      </c>
      <c r="B1661">
        <v>1236</v>
      </c>
      <c r="C1661">
        <v>603</v>
      </c>
      <c r="D1661" s="1">
        <v>45792</v>
      </c>
      <c r="E1661" t="s">
        <v>360</v>
      </c>
      <c r="F1661" t="s">
        <v>361</v>
      </c>
      <c r="G1661" t="str">
        <f>_xlfn.XLOOKUP(TRIM(E1662),MedicineInfo!A:A,MedicineInfo!B:B,"Not Found")</f>
        <v>Multivitamin</v>
      </c>
      <c r="H1661" s="1" t="str" cm="1">
        <f t="array" ref="H1661">_xlfn.IFS(
OR(E1661="Type 2 Diabetes",E1661="Essential Hypertension",E1661="Angina Pectoris",E1661="Bronchial Asthma",E1661="Cardiac Arrhythmia"), D1661+30,
OR(E1661="Gastritis",E1661="Osteoarthritis",E1661="Bronchitis",E1661="Iron Deficiency Anemia"), D1661+14,
OR(E1661="Lumbar Strain",E1661="Migraine Headache"), D1661+7,
OR(E1661="Viral Fever",E1661="General Checkup","Routine Health Check"), "",
TRUE,""
)</f>
        <v/>
      </c>
      <c r="I1661" s="1" t="str">
        <f t="shared" si="50"/>
        <v>No Follow-up Required</v>
      </c>
      <c r="J1661" t="str">
        <f>TEXT(Table8[[#This Row],[visit_Date]],"DDDD")</f>
        <v>Thursday</v>
      </c>
      <c r="K1661" t="str">
        <f>TEXT(Table8[[#This Row],[visit_Date]],"mmmm")</f>
        <v>May</v>
      </c>
      <c r="L1661" t="str">
        <f t="shared" si="51"/>
        <v>Summer</v>
      </c>
    </row>
    <row r="1662" spans="1:12" x14ac:dyDescent="0.25">
      <c r="A1662">
        <v>1661</v>
      </c>
      <c r="B1662">
        <v>1163</v>
      </c>
      <c r="C1662">
        <v>1293</v>
      </c>
      <c r="D1662" s="1">
        <v>45819</v>
      </c>
      <c r="E1662" t="s">
        <v>24</v>
      </c>
      <c r="F1662" t="s">
        <v>321</v>
      </c>
      <c r="G1662" t="str">
        <f>_xlfn.XLOOKUP(TRIM(E1663),MedicineInfo!A:A,MedicineInfo!B:B,"Not Found")</f>
        <v>Multivitamin</v>
      </c>
      <c r="H1662" s="1" t="str" cm="1">
        <f t="array" ref="H1662">_xlfn.IFS(
OR(E1662="Type 2 Diabetes",E1662="Essential Hypertension",E1662="Angina Pectoris",E1662="Bronchial Asthma",E1662="Cardiac Arrhythmia"), D1662+30,
OR(E1662="Gastritis",E1662="Osteoarthritis",E1662="Bronchitis",E1662="Iron Deficiency Anemia"), D1662+14,
OR(E1662="Lumbar Strain",E1662="Migraine Headache"), D1662+7,
OR(E1662="Viral Fever",E1662="General Checkup","Routine Health Check"), "",
TRUE,""
)</f>
        <v/>
      </c>
      <c r="I1662" s="1" t="str">
        <f t="shared" si="50"/>
        <v>No Follow-up Required</v>
      </c>
      <c r="J1662" t="str">
        <f>TEXT(Table8[[#This Row],[visit_Date]],"DDDD")</f>
        <v>Wednesday</v>
      </c>
      <c r="K1662" t="str">
        <f>TEXT(Table8[[#This Row],[visit_Date]],"mmmm")</f>
        <v>June</v>
      </c>
      <c r="L1662" t="str">
        <f t="shared" si="51"/>
        <v>Monsoon</v>
      </c>
    </row>
    <row r="1663" spans="1:12" x14ac:dyDescent="0.25">
      <c r="A1663">
        <v>1662</v>
      </c>
      <c r="B1663">
        <v>1053</v>
      </c>
      <c r="C1663">
        <v>1003</v>
      </c>
      <c r="D1663" s="1">
        <v>45691</v>
      </c>
      <c r="E1663" t="s">
        <v>24</v>
      </c>
      <c r="F1663" t="s">
        <v>321</v>
      </c>
      <c r="G1663" t="str">
        <f>_xlfn.XLOOKUP(TRIM(E1664),MedicineInfo!A:A,MedicineInfo!B:B,"Not Found")</f>
        <v>Multivitamin</v>
      </c>
      <c r="H1663" s="1" t="str" cm="1">
        <f t="array" ref="H1663">_xlfn.IFS(
OR(E1663="Type 2 Diabetes",E1663="Essential Hypertension",E1663="Angina Pectoris",E1663="Bronchial Asthma",E1663="Cardiac Arrhythmia"), D1663+30,
OR(E1663="Gastritis",E1663="Osteoarthritis",E1663="Bronchitis",E1663="Iron Deficiency Anemia"), D1663+14,
OR(E1663="Lumbar Strain",E1663="Migraine Headache"), D1663+7,
OR(E1663="Viral Fever",E1663="General Checkup","Routine Health Check"), "",
TRUE,""
)</f>
        <v/>
      </c>
      <c r="I1663" s="1" t="str">
        <f t="shared" si="50"/>
        <v>No Follow-up Required</v>
      </c>
      <c r="J1663" t="str">
        <f>TEXT(Table8[[#This Row],[visit_Date]],"DDDD")</f>
        <v>Monday</v>
      </c>
      <c r="K1663" t="str">
        <f>TEXT(Table8[[#This Row],[visit_Date]],"mmmm")</f>
        <v>February</v>
      </c>
      <c r="L1663" t="str">
        <f t="shared" si="51"/>
        <v>Winter</v>
      </c>
    </row>
    <row r="1664" spans="1:12" x14ac:dyDescent="0.25">
      <c r="A1664">
        <v>1663</v>
      </c>
      <c r="B1664">
        <v>1250</v>
      </c>
      <c r="C1664">
        <v>467</v>
      </c>
      <c r="D1664" s="1">
        <v>45747</v>
      </c>
      <c r="E1664" t="s">
        <v>24</v>
      </c>
      <c r="F1664" t="s">
        <v>321</v>
      </c>
      <c r="G1664" t="str">
        <f>_xlfn.XLOOKUP(TRIM(E1665),MedicineInfo!A:A,MedicineInfo!B:B,"Not Found")</f>
        <v>Multivitamin</v>
      </c>
      <c r="H1664" s="1" t="str" cm="1">
        <f t="array" ref="H1664">_xlfn.IFS(
OR(E1664="Type 2 Diabetes",E1664="Essential Hypertension",E1664="Angina Pectoris",E1664="Bronchial Asthma",E1664="Cardiac Arrhythmia"), D1664+30,
OR(E1664="Gastritis",E1664="Osteoarthritis",E1664="Bronchitis",E1664="Iron Deficiency Anemia"), D1664+14,
OR(E1664="Lumbar Strain",E1664="Migraine Headache"), D1664+7,
OR(E1664="Viral Fever",E1664="General Checkup","Routine Health Check"), "",
TRUE,""
)</f>
        <v/>
      </c>
      <c r="I1664" s="1" t="str">
        <f t="shared" si="50"/>
        <v>No Follow-up Required</v>
      </c>
      <c r="J1664" t="str">
        <f>TEXT(Table8[[#This Row],[visit_Date]],"DDDD")</f>
        <v>Monday</v>
      </c>
      <c r="K1664" t="str">
        <f>TEXT(Table8[[#This Row],[visit_Date]],"mmmm")</f>
        <v>March</v>
      </c>
      <c r="L1664" t="str">
        <f t="shared" si="51"/>
        <v>Summer</v>
      </c>
    </row>
    <row r="1665" spans="1:12" x14ac:dyDescent="0.25">
      <c r="A1665">
        <v>1664</v>
      </c>
      <c r="B1665">
        <v>1363</v>
      </c>
      <c r="C1665">
        <v>1287</v>
      </c>
      <c r="D1665" s="1">
        <v>45814</v>
      </c>
      <c r="E1665" t="s">
        <v>24</v>
      </c>
      <c r="F1665" t="s">
        <v>321</v>
      </c>
      <c r="G1665" t="str">
        <f>_xlfn.XLOOKUP(TRIM(E1666),MedicineInfo!A:A,MedicineInfo!B:B,"Not Found")</f>
        <v>Nitroglycerin</v>
      </c>
      <c r="H1665" s="1" t="str" cm="1">
        <f t="array" ref="H1665">_xlfn.IFS(
OR(E1665="Type 2 Diabetes",E1665="Essential Hypertension",E1665="Angina Pectoris",E1665="Bronchial Asthma",E1665="Cardiac Arrhythmia"), D1665+30,
OR(E1665="Gastritis",E1665="Osteoarthritis",E1665="Bronchitis",E1665="Iron Deficiency Anemia"), D1665+14,
OR(E1665="Lumbar Strain",E1665="Migraine Headache"), D1665+7,
OR(E1665="Viral Fever",E1665="General Checkup","Routine Health Check"), "",
TRUE,""
)</f>
        <v/>
      </c>
      <c r="I1665" s="1" t="str">
        <f t="shared" si="50"/>
        <v>No Follow-up Required</v>
      </c>
      <c r="J1665" t="str">
        <f>TEXT(Table8[[#This Row],[visit_Date]],"DDDD")</f>
        <v>Friday</v>
      </c>
      <c r="K1665" t="str">
        <f>TEXT(Table8[[#This Row],[visit_Date]],"mmmm")</f>
        <v>June</v>
      </c>
      <c r="L1665" t="str">
        <f t="shared" si="51"/>
        <v>Monsoon</v>
      </c>
    </row>
    <row r="1666" spans="1:12" x14ac:dyDescent="0.25">
      <c r="A1666">
        <v>1665</v>
      </c>
      <c r="B1666">
        <v>1301</v>
      </c>
      <c r="C1666">
        <v>1257</v>
      </c>
      <c r="D1666" s="1">
        <v>45751</v>
      </c>
      <c r="E1666" t="s">
        <v>322</v>
      </c>
      <c r="F1666" t="s">
        <v>323</v>
      </c>
      <c r="G1666" t="str">
        <f>_xlfn.XLOOKUP(TRIM(E1667),MedicineInfo!A:A,MedicineInfo!B:B,"Not Found")</f>
        <v>Multivitamin</v>
      </c>
      <c r="H1666" s="1" cm="1">
        <f t="array" ref="H1666">_xlfn.IFS(
OR(E1666="Type 2 Diabetes",E1666="Essential Hypertension",E1666="Angina Pectoris",E1666="Bronchial Asthma",E1666="Cardiac Arrhythmia"), D1666+30,
OR(E1666="Gastritis",E1666="Osteoarthritis",E1666="Bronchitis",E1666="Iron Deficiency Anemia"), D1666+14,
OR(E1666="Lumbar Strain",E1666="Migraine Headache"), D1666+7,
OR(E1666="Viral Fever",E1666="General Checkup","Routine Health Check"), "",
TRUE,""
)</f>
        <v>45781</v>
      </c>
      <c r="I1666" s="1" t="str">
        <f t="shared" ref="I1666:I1729" si="52">IF(H1666="","No Follow-up Required","Follow-up Scheduled")</f>
        <v>Follow-up Scheduled</v>
      </c>
      <c r="J1666" t="str">
        <f>TEXT(Table8[[#This Row],[visit_Date]],"DDDD")</f>
        <v>Friday</v>
      </c>
      <c r="K1666" t="str">
        <f>TEXT(Table8[[#This Row],[visit_Date]],"mmmm")</f>
        <v>April</v>
      </c>
      <c r="L1666" t="str">
        <f t="shared" ref="L1666:L1729" si="53">IF(OR(MONTH(D1666)=12,MONTH(D1666)&lt;=2),"Winter",
IF(MONTH(D1666)&lt;=5,"Summer","Monsoon"))</f>
        <v>Summer</v>
      </c>
    </row>
    <row r="1667" spans="1:12" x14ac:dyDescent="0.25">
      <c r="A1667">
        <v>1666</v>
      </c>
      <c r="B1667">
        <v>1086</v>
      </c>
      <c r="C1667">
        <v>1588</v>
      </c>
      <c r="D1667" s="1">
        <v>45752</v>
      </c>
      <c r="E1667" t="s">
        <v>24</v>
      </c>
      <c r="F1667" t="s">
        <v>321</v>
      </c>
      <c r="G1667" t="str">
        <f>_xlfn.XLOOKUP(TRIM(E1668),MedicineInfo!A:A,MedicineInfo!B:B,"Not Found")</f>
        <v>Multivitamin</v>
      </c>
      <c r="H1667" s="1" t="str" cm="1">
        <f t="array" ref="H1667">_xlfn.IFS(
OR(E1667="Type 2 Diabetes",E1667="Essential Hypertension",E1667="Angina Pectoris",E1667="Bronchial Asthma",E1667="Cardiac Arrhythmia"), D1667+30,
OR(E1667="Gastritis",E1667="Osteoarthritis",E1667="Bronchitis",E1667="Iron Deficiency Anemia"), D1667+14,
OR(E1667="Lumbar Strain",E1667="Migraine Headache"), D1667+7,
OR(E1667="Viral Fever",E1667="General Checkup","Routine Health Check"), "",
TRUE,""
)</f>
        <v/>
      </c>
      <c r="I1667" s="1" t="str">
        <f t="shared" si="52"/>
        <v>No Follow-up Required</v>
      </c>
      <c r="J1667" t="str">
        <f>TEXT(Table8[[#This Row],[visit_Date]],"DDDD")</f>
        <v>Saturday</v>
      </c>
      <c r="K1667" t="str">
        <f>TEXT(Table8[[#This Row],[visit_Date]],"mmmm")</f>
        <v>April</v>
      </c>
      <c r="L1667" t="str">
        <f t="shared" si="53"/>
        <v>Summer</v>
      </c>
    </row>
    <row r="1668" spans="1:12" x14ac:dyDescent="0.25">
      <c r="A1668">
        <v>1667</v>
      </c>
      <c r="B1668">
        <v>1093</v>
      </c>
      <c r="C1668">
        <v>111</v>
      </c>
      <c r="D1668" s="1">
        <v>45738</v>
      </c>
      <c r="E1668" t="s">
        <v>24</v>
      </c>
      <c r="F1668" t="s">
        <v>321</v>
      </c>
      <c r="G1668" t="str">
        <f>_xlfn.XLOOKUP(TRIM(E1669),MedicineInfo!A:A,MedicineInfo!B:B,"Not Found")</f>
        <v>Amiodarone</v>
      </c>
      <c r="H1668" s="1" t="str" cm="1">
        <f t="array" ref="H1668">_xlfn.IFS(
OR(E1668="Type 2 Diabetes",E1668="Essential Hypertension",E1668="Angina Pectoris",E1668="Bronchial Asthma",E1668="Cardiac Arrhythmia"), D1668+30,
OR(E1668="Gastritis",E1668="Osteoarthritis",E1668="Bronchitis",E1668="Iron Deficiency Anemia"), D1668+14,
OR(E1668="Lumbar Strain",E1668="Migraine Headache"), D1668+7,
OR(E1668="Viral Fever",E1668="General Checkup","Routine Health Check"), "",
TRUE,""
)</f>
        <v/>
      </c>
      <c r="I1668" s="1" t="str">
        <f t="shared" si="52"/>
        <v>No Follow-up Required</v>
      </c>
      <c r="J1668" t="str">
        <f>TEXT(Table8[[#This Row],[visit_Date]],"DDDD")</f>
        <v>Saturday</v>
      </c>
      <c r="K1668" t="str">
        <f>TEXT(Table8[[#This Row],[visit_Date]],"mmmm")</f>
        <v>March</v>
      </c>
      <c r="L1668" t="str">
        <f t="shared" si="53"/>
        <v>Summer</v>
      </c>
    </row>
    <row r="1669" spans="1:12" x14ac:dyDescent="0.25">
      <c r="A1669">
        <v>1668</v>
      </c>
      <c r="B1669">
        <v>1297</v>
      </c>
      <c r="C1669">
        <v>430</v>
      </c>
      <c r="D1669" s="1">
        <v>45758</v>
      </c>
      <c r="E1669" t="s">
        <v>330</v>
      </c>
      <c r="F1669" t="s">
        <v>331</v>
      </c>
      <c r="G1669" t="str">
        <f>_xlfn.XLOOKUP(TRIM(E1670),MedicineInfo!A:A,MedicineInfo!B:B,"Not Found")</f>
        <v>Diclofenac</v>
      </c>
      <c r="H1669" s="1" cm="1">
        <f t="array" ref="H1669">_xlfn.IFS(
OR(E1669="Type 2 Diabetes",E1669="Essential Hypertension",E1669="Angina Pectoris",E1669="Bronchial Asthma",E1669="Cardiac Arrhythmia"), D1669+30,
OR(E1669="Gastritis",E1669="Osteoarthritis",E1669="Bronchitis",E1669="Iron Deficiency Anemia"), D1669+14,
OR(E1669="Lumbar Strain",E1669="Migraine Headache"), D1669+7,
OR(E1669="Viral Fever",E1669="General Checkup","Routine Health Check"), "",
TRUE,""
)</f>
        <v>45788</v>
      </c>
      <c r="I1669" s="1" t="str">
        <f t="shared" si="52"/>
        <v>Follow-up Scheduled</v>
      </c>
      <c r="J1669" t="str">
        <f>TEXT(Table8[[#This Row],[visit_Date]],"DDDD")</f>
        <v>Friday</v>
      </c>
      <c r="K1669" t="str">
        <f>TEXT(Table8[[#This Row],[visit_Date]],"mmmm")</f>
        <v>April</v>
      </c>
      <c r="L1669" t="str">
        <f t="shared" si="53"/>
        <v>Summer</v>
      </c>
    </row>
    <row r="1670" spans="1:12" x14ac:dyDescent="0.25">
      <c r="A1670">
        <v>1669</v>
      </c>
      <c r="B1670">
        <v>1321</v>
      </c>
      <c r="C1670">
        <v>1523</v>
      </c>
      <c r="D1670" s="1">
        <v>45735</v>
      </c>
      <c r="E1670" t="s">
        <v>313</v>
      </c>
      <c r="F1670" t="s">
        <v>314</v>
      </c>
      <c r="G1670" t="str">
        <f>_xlfn.XLOOKUP(TRIM(E1671),MedicineInfo!A:A,MedicineInfo!B:B,"Not Found")</f>
        <v>Multivitamin</v>
      </c>
      <c r="H1670" s="1" cm="1">
        <f t="array" ref="H1670">_xlfn.IFS(
OR(E1670="Type 2 Diabetes",E1670="Essential Hypertension",E1670="Angina Pectoris",E1670="Bronchial Asthma",E1670="Cardiac Arrhythmia"), D1670+30,
OR(E1670="Gastritis",E1670="Osteoarthritis",E1670="Bronchitis",E1670="Iron Deficiency Anemia"), D1670+14,
OR(E1670="Lumbar Strain",E1670="Migraine Headache"), D1670+7,
OR(E1670="Viral Fever",E1670="General Checkup","Routine Health Check"), "",
TRUE,""
)</f>
        <v>45742</v>
      </c>
      <c r="I1670" s="1" t="str">
        <f t="shared" si="52"/>
        <v>Follow-up Scheduled</v>
      </c>
      <c r="J1670" t="str">
        <f>TEXT(Table8[[#This Row],[visit_Date]],"DDDD")</f>
        <v>Wednesday</v>
      </c>
      <c r="K1670" t="str">
        <f>TEXT(Table8[[#This Row],[visit_Date]],"mmmm")</f>
        <v>March</v>
      </c>
      <c r="L1670" t="str">
        <f t="shared" si="53"/>
        <v>Summer</v>
      </c>
    </row>
    <row r="1671" spans="1:12" x14ac:dyDescent="0.25">
      <c r="A1671">
        <v>1670</v>
      </c>
      <c r="B1671">
        <v>1097</v>
      </c>
      <c r="C1671">
        <v>953</v>
      </c>
      <c r="D1671" s="1">
        <v>45783</v>
      </c>
      <c r="E1671" t="s">
        <v>24</v>
      </c>
      <c r="F1671" t="s">
        <v>321</v>
      </c>
      <c r="G1671" t="str">
        <f>_xlfn.XLOOKUP(TRIM(E1672),MedicineInfo!A:A,MedicineInfo!B:B,"Not Found")</f>
        <v>Multivitamin</v>
      </c>
      <c r="H1671" s="1" t="str" cm="1">
        <f t="array" ref="H1671">_xlfn.IFS(
OR(E1671="Type 2 Diabetes",E1671="Essential Hypertension",E1671="Angina Pectoris",E1671="Bronchial Asthma",E1671="Cardiac Arrhythmia"), D1671+30,
OR(E1671="Gastritis",E1671="Osteoarthritis",E1671="Bronchitis",E1671="Iron Deficiency Anemia"), D1671+14,
OR(E1671="Lumbar Strain",E1671="Migraine Headache"), D1671+7,
OR(E1671="Viral Fever",E1671="General Checkup","Routine Health Check"), "",
TRUE,""
)</f>
        <v/>
      </c>
      <c r="I1671" s="1" t="str">
        <f t="shared" si="52"/>
        <v>No Follow-up Required</v>
      </c>
      <c r="J1671" t="str">
        <f>TEXT(Table8[[#This Row],[visit_Date]],"DDDD")</f>
        <v>Tuesday</v>
      </c>
      <c r="K1671" t="str">
        <f>TEXT(Table8[[#This Row],[visit_Date]],"mmmm")</f>
        <v>May</v>
      </c>
      <c r="L1671" t="str">
        <f t="shared" si="53"/>
        <v>Summer</v>
      </c>
    </row>
    <row r="1672" spans="1:12" x14ac:dyDescent="0.25">
      <c r="A1672">
        <v>1671</v>
      </c>
      <c r="B1672">
        <v>1372</v>
      </c>
      <c r="C1672">
        <v>1110</v>
      </c>
      <c r="D1672" s="1">
        <v>45792</v>
      </c>
      <c r="E1672" t="s">
        <v>24</v>
      </c>
      <c r="F1672" t="s">
        <v>321</v>
      </c>
      <c r="G1672" t="str">
        <f>_xlfn.XLOOKUP(TRIM(E1673),MedicineInfo!A:A,MedicineInfo!B:B,"Not Found")</f>
        <v>Pantoprazole</v>
      </c>
      <c r="H1672" s="1" t="str" cm="1">
        <f t="array" ref="H1672">_xlfn.IFS(
OR(E1672="Type 2 Diabetes",E1672="Essential Hypertension",E1672="Angina Pectoris",E1672="Bronchial Asthma",E1672="Cardiac Arrhythmia"), D1672+30,
OR(E1672="Gastritis",E1672="Osteoarthritis",E1672="Bronchitis",E1672="Iron Deficiency Anemia"), D1672+14,
OR(E1672="Lumbar Strain",E1672="Migraine Headache"), D1672+7,
OR(E1672="Viral Fever",E1672="General Checkup","Routine Health Check"), "",
TRUE,""
)</f>
        <v/>
      </c>
      <c r="I1672" s="1" t="str">
        <f t="shared" si="52"/>
        <v>No Follow-up Required</v>
      </c>
      <c r="J1672" t="str">
        <f>TEXT(Table8[[#This Row],[visit_Date]],"DDDD")</f>
        <v>Thursday</v>
      </c>
      <c r="K1672" t="str">
        <f>TEXT(Table8[[#This Row],[visit_Date]],"mmmm")</f>
        <v>May</v>
      </c>
      <c r="L1672" t="str">
        <f t="shared" si="53"/>
        <v>Summer</v>
      </c>
    </row>
    <row r="1673" spans="1:12" x14ac:dyDescent="0.25">
      <c r="A1673">
        <v>1672</v>
      </c>
      <c r="B1673">
        <v>1173</v>
      </c>
      <c r="C1673">
        <v>613</v>
      </c>
      <c r="D1673" s="1">
        <v>45672</v>
      </c>
      <c r="E1673" t="s">
        <v>344</v>
      </c>
      <c r="F1673" t="s">
        <v>345</v>
      </c>
      <c r="G1673" t="str">
        <f>_xlfn.XLOOKUP(TRIM(E1674),MedicineInfo!A:A,MedicineInfo!B:B,"Not Found")</f>
        <v>Multivitamin</v>
      </c>
      <c r="H1673" s="1" cm="1">
        <f t="array" ref="H1673">_xlfn.IFS(
OR(E1673="Type 2 Diabetes",E1673="Essential Hypertension",E1673="Angina Pectoris",E1673="Bronchial Asthma",E1673="Cardiac Arrhythmia"), D1673+30,
OR(E1673="Gastritis",E1673="Osteoarthritis",E1673="Bronchitis",E1673="Iron Deficiency Anemia"), D1673+14,
OR(E1673="Lumbar Strain",E1673="Migraine Headache"), D1673+7,
OR(E1673="Viral Fever",E1673="General Checkup","Routine Health Check"), "",
TRUE,""
)</f>
        <v>45686</v>
      </c>
      <c r="I1673" s="1" t="str">
        <f t="shared" si="52"/>
        <v>Follow-up Scheduled</v>
      </c>
      <c r="J1673" t="str">
        <f>TEXT(Table8[[#This Row],[visit_Date]],"DDDD")</f>
        <v>Wednesday</v>
      </c>
      <c r="K1673" t="str">
        <f>TEXT(Table8[[#This Row],[visit_Date]],"mmmm")</f>
        <v>January</v>
      </c>
      <c r="L1673" t="str">
        <f t="shared" si="53"/>
        <v>Winter</v>
      </c>
    </row>
    <row r="1674" spans="1:12" x14ac:dyDescent="0.25">
      <c r="A1674">
        <v>1673</v>
      </c>
      <c r="B1674">
        <v>1018</v>
      </c>
      <c r="C1674">
        <v>128</v>
      </c>
      <c r="D1674" s="1">
        <v>45763</v>
      </c>
      <c r="E1674" t="s">
        <v>24</v>
      </c>
      <c r="F1674" t="s">
        <v>321</v>
      </c>
      <c r="G1674" t="str">
        <f>_xlfn.XLOOKUP(TRIM(E1675),MedicineInfo!A:A,MedicineInfo!B:B,"Not Found")</f>
        <v>Multivitamin</v>
      </c>
      <c r="H1674" s="1" t="str" cm="1">
        <f t="array" ref="H1674">_xlfn.IFS(
OR(E1674="Type 2 Diabetes",E1674="Essential Hypertension",E1674="Angina Pectoris",E1674="Bronchial Asthma",E1674="Cardiac Arrhythmia"), D1674+30,
OR(E1674="Gastritis",E1674="Osteoarthritis",E1674="Bronchitis",E1674="Iron Deficiency Anemia"), D1674+14,
OR(E1674="Lumbar Strain",E1674="Migraine Headache"), D1674+7,
OR(E1674="Viral Fever",E1674="General Checkup","Routine Health Check"), "",
TRUE,""
)</f>
        <v/>
      </c>
      <c r="I1674" s="1" t="str">
        <f t="shared" si="52"/>
        <v>No Follow-up Required</v>
      </c>
      <c r="J1674" t="str">
        <f>TEXT(Table8[[#This Row],[visit_Date]],"DDDD")</f>
        <v>Wednesday</v>
      </c>
      <c r="K1674" t="str">
        <f>TEXT(Table8[[#This Row],[visit_Date]],"mmmm")</f>
        <v>April</v>
      </c>
      <c r="L1674" t="str">
        <f t="shared" si="53"/>
        <v>Summer</v>
      </c>
    </row>
    <row r="1675" spans="1:12" x14ac:dyDescent="0.25">
      <c r="A1675">
        <v>1674</v>
      </c>
      <c r="B1675">
        <v>1042</v>
      </c>
      <c r="C1675">
        <v>1352</v>
      </c>
      <c r="D1675" s="1">
        <v>45814</v>
      </c>
      <c r="E1675" t="s">
        <v>24</v>
      </c>
      <c r="F1675" t="s">
        <v>321</v>
      </c>
      <c r="G1675" t="str">
        <f>_xlfn.XLOOKUP(TRIM(E1676),MedicineInfo!A:A,MedicineInfo!B:B,"Not Found")</f>
        <v>Multivitamin</v>
      </c>
      <c r="H1675" s="1" t="str" cm="1">
        <f t="array" ref="H1675">_xlfn.IFS(
OR(E1675="Type 2 Diabetes",E1675="Essential Hypertension",E1675="Angina Pectoris",E1675="Bronchial Asthma",E1675="Cardiac Arrhythmia"), D1675+30,
OR(E1675="Gastritis",E1675="Osteoarthritis",E1675="Bronchitis",E1675="Iron Deficiency Anemia"), D1675+14,
OR(E1675="Lumbar Strain",E1675="Migraine Headache"), D1675+7,
OR(E1675="Viral Fever",E1675="General Checkup","Routine Health Check"), "",
TRUE,""
)</f>
        <v/>
      </c>
      <c r="I1675" s="1" t="str">
        <f t="shared" si="52"/>
        <v>No Follow-up Required</v>
      </c>
      <c r="J1675" t="str">
        <f>TEXT(Table8[[#This Row],[visit_Date]],"DDDD")</f>
        <v>Friday</v>
      </c>
      <c r="K1675" t="str">
        <f>TEXT(Table8[[#This Row],[visit_Date]],"mmmm")</f>
        <v>June</v>
      </c>
      <c r="L1675" t="str">
        <f t="shared" si="53"/>
        <v>Monsoon</v>
      </c>
    </row>
    <row r="1676" spans="1:12" x14ac:dyDescent="0.25">
      <c r="A1676">
        <v>1675</v>
      </c>
      <c r="B1676">
        <v>1173</v>
      </c>
      <c r="C1676">
        <v>1204</v>
      </c>
      <c r="D1676" s="1">
        <v>45790</v>
      </c>
      <c r="E1676" t="s">
        <v>24</v>
      </c>
      <c r="F1676" t="s">
        <v>321</v>
      </c>
      <c r="G1676" t="str">
        <f>_xlfn.XLOOKUP(TRIM(E1677),MedicineInfo!A:A,MedicineInfo!B:B,"Not Found")</f>
        <v>Levothyroxine</v>
      </c>
      <c r="H1676" s="1" t="str" cm="1">
        <f t="array" ref="H1676">_xlfn.IFS(
OR(E1676="Type 2 Diabetes",E1676="Essential Hypertension",E1676="Angina Pectoris",E1676="Bronchial Asthma",E1676="Cardiac Arrhythmia"), D1676+30,
OR(E1676="Gastritis",E1676="Osteoarthritis",E1676="Bronchitis",E1676="Iron Deficiency Anemia"), D1676+14,
OR(E1676="Lumbar Strain",E1676="Migraine Headache"), D1676+7,
OR(E1676="Viral Fever",E1676="General Checkup","Routine Health Check"), "",
TRUE,""
)</f>
        <v/>
      </c>
      <c r="I1676" s="1" t="str">
        <f t="shared" si="52"/>
        <v>No Follow-up Required</v>
      </c>
      <c r="J1676" t="str">
        <f>TEXT(Table8[[#This Row],[visit_Date]],"DDDD")</f>
        <v>Tuesday</v>
      </c>
      <c r="K1676" t="str">
        <f>TEXT(Table8[[#This Row],[visit_Date]],"mmmm")</f>
        <v>May</v>
      </c>
      <c r="L1676" t="str">
        <f t="shared" si="53"/>
        <v>Summer</v>
      </c>
    </row>
    <row r="1677" spans="1:12" x14ac:dyDescent="0.25">
      <c r="A1677">
        <v>1676</v>
      </c>
      <c r="B1677">
        <v>1060</v>
      </c>
      <c r="C1677">
        <v>688</v>
      </c>
      <c r="D1677" s="1">
        <v>45708</v>
      </c>
      <c r="E1677" t="s">
        <v>360</v>
      </c>
      <c r="F1677" t="s">
        <v>361</v>
      </c>
      <c r="G1677" t="str">
        <f>_xlfn.XLOOKUP(TRIM(E1678),MedicineInfo!A:A,MedicineInfo!B:B,"Not Found")</f>
        <v>Multivitamin</v>
      </c>
      <c r="H1677" s="1" t="str" cm="1">
        <f t="array" ref="H1677">_xlfn.IFS(
OR(E1677="Type 2 Diabetes",E1677="Essential Hypertension",E1677="Angina Pectoris",E1677="Bronchial Asthma",E1677="Cardiac Arrhythmia"), D1677+30,
OR(E1677="Gastritis",E1677="Osteoarthritis",E1677="Bronchitis",E1677="Iron Deficiency Anemia"), D1677+14,
OR(E1677="Lumbar Strain",E1677="Migraine Headache"), D1677+7,
OR(E1677="Viral Fever",E1677="General Checkup","Routine Health Check"), "",
TRUE,""
)</f>
        <v/>
      </c>
      <c r="I1677" s="1" t="str">
        <f t="shared" si="52"/>
        <v>No Follow-up Required</v>
      </c>
      <c r="J1677" t="str">
        <f>TEXT(Table8[[#This Row],[visit_Date]],"DDDD")</f>
        <v>Thursday</v>
      </c>
      <c r="K1677" t="str">
        <f>TEXT(Table8[[#This Row],[visit_Date]],"mmmm")</f>
        <v>February</v>
      </c>
      <c r="L1677" t="str">
        <f t="shared" si="53"/>
        <v>Winter</v>
      </c>
    </row>
    <row r="1678" spans="1:12" x14ac:dyDescent="0.25">
      <c r="A1678">
        <v>1677</v>
      </c>
      <c r="B1678">
        <v>1345</v>
      </c>
      <c r="C1678">
        <v>929</v>
      </c>
      <c r="D1678" s="1">
        <v>45767</v>
      </c>
      <c r="E1678" t="s">
        <v>24</v>
      </c>
      <c r="F1678" t="s">
        <v>321</v>
      </c>
      <c r="G1678" t="str">
        <f>_xlfn.XLOOKUP(TRIM(E1679),MedicineInfo!A:A,MedicineInfo!B:B,"Not Found")</f>
        <v>Multivitamin</v>
      </c>
      <c r="H1678" s="1" t="str" cm="1">
        <f t="array" ref="H1678">_xlfn.IFS(
OR(E1678="Type 2 Diabetes",E1678="Essential Hypertension",E1678="Angina Pectoris",E1678="Bronchial Asthma",E1678="Cardiac Arrhythmia"), D1678+30,
OR(E1678="Gastritis",E1678="Osteoarthritis",E1678="Bronchitis",E1678="Iron Deficiency Anemia"), D1678+14,
OR(E1678="Lumbar Strain",E1678="Migraine Headache"), D1678+7,
OR(E1678="Viral Fever",E1678="General Checkup","Routine Health Check"), "",
TRUE,""
)</f>
        <v/>
      </c>
      <c r="I1678" s="1" t="str">
        <f t="shared" si="52"/>
        <v>No Follow-up Required</v>
      </c>
      <c r="J1678" t="str">
        <f>TEXT(Table8[[#This Row],[visit_Date]],"DDDD")</f>
        <v>Sunday</v>
      </c>
      <c r="K1678" t="str">
        <f>TEXT(Table8[[#This Row],[visit_Date]],"mmmm")</f>
        <v>April</v>
      </c>
      <c r="L1678" t="str">
        <f t="shared" si="53"/>
        <v>Summer</v>
      </c>
    </row>
    <row r="1679" spans="1:12" x14ac:dyDescent="0.25">
      <c r="A1679">
        <v>1678</v>
      </c>
      <c r="B1679">
        <v>1073</v>
      </c>
      <c r="C1679">
        <v>149</v>
      </c>
      <c r="D1679" s="1">
        <v>45822</v>
      </c>
      <c r="E1679" t="s">
        <v>24</v>
      </c>
      <c r="F1679" t="s">
        <v>321</v>
      </c>
      <c r="G1679" t="str">
        <f>_xlfn.XLOOKUP(TRIM(E1680),MedicineInfo!A:A,MedicineInfo!B:B,"Not Found")</f>
        <v>Salbutamol Inhaler</v>
      </c>
      <c r="H1679" s="1" t="str" cm="1">
        <f t="array" ref="H1679">_xlfn.IFS(
OR(E1679="Type 2 Diabetes",E1679="Essential Hypertension",E1679="Angina Pectoris",E1679="Bronchial Asthma",E1679="Cardiac Arrhythmia"), D1679+30,
OR(E1679="Gastritis",E1679="Osteoarthritis",E1679="Bronchitis",E1679="Iron Deficiency Anemia"), D1679+14,
OR(E1679="Lumbar Strain",E1679="Migraine Headache"), D1679+7,
OR(E1679="Viral Fever",E1679="General Checkup","Routine Health Check"), "",
TRUE,""
)</f>
        <v/>
      </c>
      <c r="I1679" s="1" t="str">
        <f t="shared" si="52"/>
        <v>No Follow-up Required</v>
      </c>
      <c r="J1679" t="str">
        <f>TEXT(Table8[[#This Row],[visit_Date]],"DDDD")</f>
        <v>Saturday</v>
      </c>
      <c r="K1679" t="str">
        <f>TEXT(Table8[[#This Row],[visit_Date]],"mmmm")</f>
        <v>June</v>
      </c>
      <c r="L1679" t="str">
        <f t="shared" si="53"/>
        <v>Monsoon</v>
      </c>
    </row>
    <row r="1680" spans="1:12" x14ac:dyDescent="0.25">
      <c r="A1680">
        <v>1679</v>
      </c>
      <c r="B1680">
        <v>1229</v>
      </c>
      <c r="C1680">
        <v>207</v>
      </c>
      <c r="D1680" s="1">
        <v>45714</v>
      </c>
      <c r="E1680" t="s">
        <v>324</v>
      </c>
      <c r="F1680" t="s">
        <v>325</v>
      </c>
      <c r="G1680" t="str">
        <f>_xlfn.XLOOKUP(TRIM(E1681),MedicineInfo!A:A,MedicineInfo!B:B,"Not Found")</f>
        <v>Multivitamin</v>
      </c>
      <c r="H1680" s="1" cm="1">
        <f t="array" ref="H1680">_xlfn.IFS(
OR(E1680="Type 2 Diabetes",E1680="Essential Hypertension",E1680="Angina Pectoris",E1680="Bronchial Asthma",E1680="Cardiac Arrhythmia"), D1680+30,
OR(E1680="Gastritis",E1680="Osteoarthritis",E1680="Bronchitis",E1680="Iron Deficiency Anemia"), D1680+14,
OR(E1680="Lumbar Strain",E1680="Migraine Headache"), D1680+7,
OR(E1680="Viral Fever",E1680="General Checkup","Routine Health Check"), "",
TRUE,""
)</f>
        <v>45744</v>
      </c>
      <c r="I1680" s="1" t="str">
        <f t="shared" si="52"/>
        <v>Follow-up Scheduled</v>
      </c>
      <c r="J1680" t="str">
        <f>TEXT(Table8[[#This Row],[visit_Date]],"DDDD")</f>
        <v>Wednesday</v>
      </c>
      <c r="K1680" t="str">
        <f>TEXT(Table8[[#This Row],[visit_Date]],"mmmm")</f>
        <v>February</v>
      </c>
      <c r="L1680" t="str">
        <f t="shared" si="53"/>
        <v>Winter</v>
      </c>
    </row>
    <row r="1681" spans="1:12" x14ac:dyDescent="0.25">
      <c r="A1681">
        <v>1680</v>
      </c>
      <c r="B1681">
        <v>1290</v>
      </c>
      <c r="C1681">
        <v>545</v>
      </c>
      <c r="D1681" s="1">
        <v>45791</v>
      </c>
      <c r="E1681" t="s">
        <v>24</v>
      </c>
      <c r="F1681" t="s">
        <v>321</v>
      </c>
      <c r="G1681" t="str">
        <f>_xlfn.XLOOKUP(TRIM(E1682),MedicineInfo!A:A,MedicineInfo!B:B,"Not Found")</f>
        <v>Aceclofenac</v>
      </c>
      <c r="H1681" s="1" t="str" cm="1">
        <f t="array" ref="H1681">_xlfn.IFS(
OR(E1681="Type 2 Diabetes",E1681="Essential Hypertension",E1681="Angina Pectoris",E1681="Bronchial Asthma",E1681="Cardiac Arrhythmia"), D1681+30,
OR(E1681="Gastritis",E1681="Osteoarthritis",E1681="Bronchitis",E1681="Iron Deficiency Anemia"), D1681+14,
OR(E1681="Lumbar Strain",E1681="Migraine Headache"), D1681+7,
OR(E1681="Viral Fever",E1681="General Checkup","Routine Health Check"), "",
TRUE,""
)</f>
        <v/>
      </c>
      <c r="I1681" s="1" t="str">
        <f t="shared" si="52"/>
        <v>No Follow-up Required</v>
      </c>
      <c r="J1681" t="str">
        <f>TEXT(Table8[[#This Row],[visit_Date]],"DDDD")</f>
        <v>Wednesday</v>
      </c>
      <c r="K1681" t="str">
        <f>TEXT(Table8[[#This Row],[visit_Date]],"mmmm")</f>
        <v>May</v>
      </c>
      <c r="L1681" t="str">
        <f t="shared" si="53"/>
        <v>Summer</v>
      </c>
    </row>
    <row r="1682" spans="1:12" x14ac:dyDescent="0.25">
      <c r="A1682">
        <v>1681</v>
      </c>
      <c r="B1682">
        <v>1009</v>
      </c>
      <c r="C1682">
        <v>379</v>
      </c>
      <c r="D1682" s="1">
        <v>45790</v>
      </c>
      <c r="E1682" t="s">
        <v>348</v>
      </c>
      <c r="F1682" t="s">
        <v>349</v>
      </c>
      <c r="G1682" t="str">
        <f>_xlfn.XLOOKUP(TRIM(E1683),MedicineInfo!A:A,MedicineInfo!B:B,"Not Found")</f>
        <v>Calcium Supplement</v>
      </c>
      <c r="H1682" s="1" cm="1">
        <f t="array" ref="H1682">_xlfn.IFS(
OR(E1682="Type 2 Diabetes",E1682="Essential Hypertension",E1682="Angina Pectoris",E1682="Bronchial Asthma",E1682="Cardiac Arrhythmia"), D1682+30,
OR(E1682="Gastritis",E1682="Osteoarthritis",E1682="Bronchitis",E1682="Iron Deficiency Anemia"), D1682+14,
OR(E1682="Lumbar Strain",E1682="Migraine Headache"), D1682+7,
OR(E1682="Viral Fever",E1682="General Checkup","Routine Health Check"), "",
TRUE,""
)</f>
        <v>45804</v>
      </c>
      <c r="I1682" s="1" t="str">
        <f t="shared" si="52"/>
        <v>Follow-up Scheduled</v>
      </c>
      <c r="J1682" t="str">
        <f>TEXT(Table8[[#This Row],[visit_Date]],"DDDD")</f>
        <v>Tuesday</v>
      </c>
      <c r="K1682" t="str">
        <f>TEXT(Table8[[#This Row],[visit_Date]],"mmmm")</f>
        <v>May</v>
      </c>
      <c r="L1682" t="str">
        <f t="shared" si="53"/>
        <v>Summer</v>
      </c>
    </row>
    <row r="1683" spans="1:12" x14ac:dyDescent="0.25">
      <c r="A1683">
        <v>1682</v>
      </c>
      <c r="B1683">
        <v>1125</v>
      </c>
      <c r="C1683">
        <v>477</v>
      </c>
      <c r="D1683" s="1">
        <v>45779</v>
      </c>
      <c r="E1683" t="s">
        <v>336</v>
      </c>
      <c r="F1683" t="s">
        <v>337</v>
      </c>
      <c r="G1683" t="str">
        <f>_xlfn.XLOOKUP(TRIM(E1684),MedicineInfo!A:A,MedicineInfo!B:B,"Not Found")</f>
        <v>Nitroglycerin</v>
      </c>
      <c r="H1683" s="1" t="str" cm="1">
        <f t="array" ref="H1683">_xlfn.IFS(
OR(E1683="Type 2 Diabetes",E1683="Essential Hypertension",E1683="Angina Pectoris",E1683="Bronchial Asthma",E1683="Cardiac Arrhythmia"), D1683+30,
OR(E1683="Gastritis",E1683="Osteoarthritis",E1683="Bronchitis",E1683="Iron Deficiency Anemia"), D1683+14,
OR(E1683="Lumbar Strain",E1683="Migraine Headache"), D1683+7,
OR(E1683="Viral Fever",E1683="General Checkup","Routine Health Check"), "",
TRUE,""
)</f>
        <v/>
      </c>
      <c r="I1683" s="1" t="str">
        <f t="shared" si="52"/>
        <v>No Follow-up Required</v>
      </c>
      <c r="J1683" t="str">
        <f>TEXT(Table8[[#This Row],[visit_Date]],"DDDD")</f>
        <v>Friday</v>
      </c>
      <c r="K1683" t="str">
        <f>TEXT(Table8[[#This Row],[visit_Date]],"mmmm")</f>
        <v>May</v>
      </c>
      <c r="L1683" t="str">
        <f t="shared" si="53"/>
        <v>Summer</v>
      </c>
    </row>
    <row r="1684" spans="1:12" x14ac:dyDescent="0.25">
      <c r="A1684">
        <v>1683</v>
      </c>
      <c r="B1684">
        <v>1274</v>
      </c>
      <c r="C1684">
        <v>1192</v>
      </c>
      <c r="D1684" s="1">
        <v>45792</v>
      </c>
      <c r="E1684" t="s">
        <v>322</v>
      </c>
      <c r="F1684" t="s">
        <v>323</v>
      </c>
      <c r="G1684" t="str">
        <f>_xlfn.XLOOKUP(TRIM(E1685),MedicineInfo!A:A,MedicineInfo!B:B,"Not Found")</f>
        <v>Multivitamin</v>
      </c>
      <c r="H1684" s="1" cm="1">
        <f t="array" ref="H1684">_xlfn.IFS(
OR(E1684="Type 2 Diabetes",E1684="Essential Hypertension",E1684="Angina Pectoris",E1684="Bronchial Asthma",E1684="Cardiac Arrhythmia"), D1684+30,
OR(E1684="Gastritis",E1684="Osteoarthritis",E1684="Bronchitis",E1684="Iron Deficiency Anemia"), D1684+14,
OR(E1684="Lumbar Strain",E1684="Migraine Headache"), D1684+7,
OR(E1684="Viral Fever",E1684="General Checkup","Routine Health Check"), "",
TRUE,""
)</f>
        <v>45822</v>
      </c>
      <c r="I1684" s="1" t="str">
        <f t="shared" si="52"/>
        <v>Follow-up Scheduled</v>
      </c>
      <c r="J1684" t="str">
        <f>TEXT(Table8[[#This Row],[visit_Date]],"DDDD")</f>
        <v>Thursday</v>
      </c>
      <c r="K1684" t="str">
        <f>TEXT(Table8[[#This Row],[visit_Date]],"mmmm")</f>
        <v>May</v>
      </c>
      <c r="L1684" t="str">
        <f t="shared" si="53"/>
        <v>Summer</v>
      </c>
    </row>
    <row r="1685" spans="1:12" x14ac:dyDescent="0.25">
      <c r="A1685">
        <v>1684</v>
      </c>
      <c r="B1685">
        <v>1374</v>
      </c>
      <c r="C1685">
        <v>796</v>
      </c>
      <c r="D1685" s="1">
        <v>45706</v>
      </c>
      <c r="E1685" t="s">
        <v>24</v>
      </c>
      <c r="F1685" t="s">
        <v>321</v>
      </c>
      <c r="G1685" t="str">
        <f>_xlfn.XLOOKUP(TRIM(E1686),MedicineInfo!A:A,MedicineInfo!B:B,"Not Found")</f>
        <v>Multivitamin</v>
      </c>
      <c r="H1685" s="1" t="str" cm="1">
        <f t="array" ref="H1685">_xlfn.IFS(
OR(E1685="Type 2 Diabetes",E1685="Essential Hypertension",E1685="Angina Pectoris",E1685="Bronchial Asthma",E1685="Cardiac Arrhythmia"), D1685+30,
OR(E1685="Gastritis",E1685="Osteoarthritis",E1685="Bronchitis",E1685="Iron Deficiency Anemia"), D1685+14,
OR(E1685="Lumbar Strain",E1685="Migraine Headache"), D1685+7,
OR(E1685="Viral Fever",E1685="General Checkup","Routine Health Check"), "",
TRUE,""
)</f>
        <v/>
      </c>
      <c r="I1685" s="1" t="str">
        <f t="shared" si="52"/>
        <v>No Follow-up Required</v>
      </c>
      <c r="J1685" t="str">
        <f>TEXT(Table8[[#This Row],[visit_Date]],"DDDD")</f>
        <v>Tuesday</v>
      </c>
      <c r="K1685" t="str">
        <f>TEXT(Table8[[#This Row],[visit_Date]],"mmmm")</f>
        <v>February</v>
      </c>
      <c r="L1685" t="str">
        <f t="shared" si="53"/>
        <v>Winter</v>
      </c>
    </row>
    <row r="1686" spans="1:12" x14ac:dyDescent="0.25">
      <c r="A1686">
        <v>1685</v>
      </c>
      <c r="B1686">
        <v>1372</v>
      </c>
      <c r="C1686">
        <v>494</v>
      </c>
      <c r="D1686" s="1">
        <v>45758</v>
      </c>
      <c r="E1686" t="s">
        <v>24</v>
      </c>
      <c r="F1686" t="s">
        <v>321</v>
      </c>
      <c r="G1686" t="str">
        <f>_xlfn.XLOOKUP(TRIM(E1687),MedicineInfo!A:A,MedicineInfo!B:B,"Not Found")</f>
        <v>Hydrocortisone Cream</v>
      </c>
      <c r="H1686" s="1" t="str" cm="1">
        <f t="array" ref="H1686">_xlfn.IFS(
OR(E1686="Type 2 Diabetes",E1686="Essential Hypertension",E1686="Angina Pectoris",E1686="Bronchial Asthma",E1686="Cardiac Arrhythmia"), D1686+30,
OR(E1686="Gastritis",E1686="Osteoarthritis",E1686="Bronchitis",E1686="Iron Deficiency Anemia"), D1686+14,
OR(E1686="Lumbar Strain",E1686="Migraine Headache"), D1686+7,
OR(E1686="Viral Fever",E1686="General Checkup","Routine Health Check"), "",
TRUE,""
)</f>
        <v/>
      </c>
      <c r="I1686" s="1" t="str">
        <f t="shared" si="52"/>
        <v>No Follow-up Required</v>
      </c>
      <c r="J1686" t="str">
        <f>TEXT(Table8[[#This Row],[visit_Date]],"DDDD")</f>
        <v>Friday</v>
      </c>
      <c r="K1686" t="str">
        <f>TEXT(Table8[[#This Row],[visit_Date]],"mmmm")</f>
        <v>April</v>
      </c>
      <c r="L1686" t="str">
        <f t="shared" si="53"/>
        <v>Summer</v>
      </c>
    </row>
    <row r="1687" spans="1:12" x14ac:dyDescent="0.25">
      <c r="A1687">
        <v>1686</v>
      </c>
      <c r="B1687">
        <v>1235</v>
      </c>
      <c r="C1687">
        <v>654</v>
      </c>
      <c r="D1687" s="1">
        <v>45790</v>
      </c>
      <c r="E1687" t="s">
        <v>338</v>
      </c>
      <c r="F1687" t="s">
        <v>339</v>
      </c>
      <c r="G1687" t="str">
        <f>_xlfn.XLOOKUP(TRIM(E1688),MedicineInfo!A:A,MedicineInfo!B:B,"Not Found")</f>
        <v>Multivitamin</v>
      </c>
      <c r="H1687" s="1" t="str" cm="1">
        <f t="array" ref="H1687">_xlfn.IFS(
OR(E1687="Type 2 Diabetes",E1687="Essential Hypertension",E1687="Angina Pectoris",E1687="Bronchial Asthma",E1687="Cardiac Arrhythmia"), D1687+30,
OR(E1687="Gastritis",E1687="Osteoarthritis",E1687="Bronchitis",E1687="Iron Deficiency Anemia"), D1687+14,
OR(E1687="Lumbar Strain",E1687="Migraine Headache"), D1687+7,
OR(E1687="Viral Fever",E1687="General Checkup","Routine Health Check"), "",
TRUE,""
)</f>
        <v/>
      </c>
      <c r="I1687" s="1" t="str">
        <f t="shared" si="52"/>
        <v>No Follow-up Required</v>
      </c>
      <c r="J1687" t="str">
        <f>TEXT(Table8[[#This Row],[visit_Date]],"DDDD")</f>
        <v>Tuesday</v>
      </c>
      <c r="K1687" t="str">
        <f>TEXT(Table8[[#This Row],[visit_Date]],"mmmm")</f>
        <v>May</v>
      </c>
      <c r="L1687" t="str">
        <f t="shared" si="53"/>
        <v>Summer</v>
      </c>
    </row>
    <row r="1688" spans="1:12" x14ac:dyDescent="0.25">
      <c r="A1688">
        <v>1687</v>
      </c>
      <c r="B1688">
        <v>1114</v>
      </c>
      <c r="C1688">
        <v>1223</v>
      </c>
      <c r="D1688" s="1">
        <v>45792</v>
      </c>
      <c r="E1688" t="s">
        <v>24</v>
      </c>
      <c r="F1688" t="s">
        <v>321</v>
      </c>
      <c r="G1688" t="str">
        <f>_xlfn.XLOOKUP(TRIM(E1689),MedicineInfo!A:A,MedicineInfo!B:B,"Not Found")</f>
        <v>Multivitamin</v>
      </c>
      <c r="H1688" s="1" t="str" cm="1">
        <f t="array" ref="H1688">_xlfn.IFS(
OR(E1688="Type 2 Diabetes",E1688="Essential Hypertension",E1688="Angina Pectoris",E1688="Bronchial Asthma",E1688="Cardiac Arrhythmia"), D1688+30,
OR(E1688="Gastritis",E1688="Osteoarthritis",E1688="Bronchitis",E1688="Iron Deficiency Anemia"), D1688+14,
OR(E1688="Lumbar Strain",E1688="Migraine Headache"), D1688+7,
OR(E1688="Viral Fever",E1688="General Checkup","Routine Health Check"), "",
TRUE,""
)</f>
        <v/>
      </c>
      <c r="I1688" s="1" t="str">
        <f t="shared" si="52"/>
        <v>No Follow-up Required</v>
      </c>
      <c r="J1688" t="str">
        <f>TEXT(Table8[[#This Row],[visit_Date]],"DDDD")</f>
        <v>Thursday</v>
      </c>
      <c r="K1688" t="str">
        <f>TEXT(Table8[[#This Row],[visit_Date]],"mmmm")</f>
        <v>May</v>
      </c>
      <c r="L1688" t="str">
        <f t="shared" si="53"/>
        <v>Summer</v>
      </c>
    </row>
    <row r="1689" spans="1:12" x14ac:dyDescent="0.25">
      <c r="A1689">
        <v>1688</v>
      </c>
      <c r="B1689">
        <v>1203</v>
      </c>
      <c r="C1689">
        <v>269</v>
      </c>
      <c r="D1689" s="1">
        <v>45783</v>
      </c>
      <c r="E1689" t="s">
        <v>24</v>
      </c>
      <c r="F1689" t="s">
        <v>321</v>
      </c>
      <c r="G1689" t="str">
        <f>_xlfn.XLOOKUP(TRIM(E1690),MedicineInfo!A:A,MedicineInfo!B:B,"Not Found")</f>
        <v>Multivitamin</v>
      </c>
      <c r="H1689" s="1" t="str" cm="1">
        <f t="array" ref="H1689">_xlfn.IFS(
OR(E1689="Type 2 Diabetes",E1689="Essential Hypertension",E1689="Angina Pectoris",E1689="Bronchial Asthma",E1689="Cardiac Arrhythmia"), D1689+30,
OR(E1689="Gastritis",E1689="Osteoarthritis",E1689="Bronchitis",E1689="Iron Deficiency Anemia"), D1689+14,
OR(E1689="Lumbar Strain",E1689="Migraine Headache"), D1689+7,
OR(E1689="Viral Fever",E1689="General Checkup","Routine Health Check"), "",
TRUE,""
)</f>
        <v/>
      </c>
      <c r="I1689" s="1" t="str">
        <f t="shared" si="52"/>
        <v>No Follow-up Required</v>
      </c>
      <c r="J1689" t="str">
        <f>TEXT(Table8[[#This Row],[visit_Date]],"DDDD")</f>
        <v>Tuesday</v>
      </c>
      <c r="K1689" t="str">
        <f>TEXT(Table8[[#This Row],[visit_Date]],"mmmm")</f>
        <v>May</v>
      </c>
      <c r="L1689" t="str">
        <f t="shared" si="53"/>
        <v>Summer</v>
      </c>
    </row>
    <row r="1690" spans="1:12" x14ac:dyDescent="0.25">
      <c r="A1690">
        <v>1689</v>
      </c>
      <c r="B1690">
        <v>1385</v>
      </c>
      <c r="C1690">
        <v>959</v>
      </c>
      <c r="D1690" s="1">
        <v>45743</v>
      </c>
      <c r="E1690" t="s">
        <v>24</v>
      </c>
      <c r="F1690" t="s">
        <v>321</v>
      </c>
      <c r="G1690" t="str">
        <f>_xlfn.XLOOKUP(TRIM(E1691),MedicineInfo!A:A,MedicineInfo!B:B,"Not Found")</f>
        <v>Multivitamin</v>
      </c>
      <c r="H1690" s="1" t="str" cm="1">
        <f t="array" ref="H1690">_xlfn.IFS(
OR(E1690="Type 2 Diabetes",E1690="Essential Hypertension",E1690="Angina Pectoris",E1690="Bronchial Asthma",E1690="Cardiac Arrhythmia"), D1690+30,
OR(E1690="Gastritis",E1690="Osteoarthritis",E1690="Bronchitis",E1690="Iron Deficiency Anemia"), D1690+14,
OR(E1690="Lumbar Strain",E1690="Migraine Headache"), D1690+7,
OR(E1690="Viral Fever",E1690="General Checkup","Routine Health Check"), "",
TRUE,""
)</f>
        <v/>
      </c>
      <c r="I1690" s="1" t="str">
        <f t="shared" si="52"/>
        <v>No Follow-up Required</v>
      </c>
      <c r="J1690" t="str">
        <f>TEXT(Table8[[#This Row],[visit_Date]],"DDDD")</f>
        <v>Thursday</v>
      </c>
      <c r="K1690" t="str">
        <f>TEXT(Table8[[#This Row],[visit_Date]],"mmmm")</f>
        <v>March</v>
      </c>
      <c r="L1690" t="str">
        <f t="shared" si="53"/>
        <v>Summer</v>
      </c>
    </row>
    <row r="1691" spans="1:12" x14ac:dyDescent="0.25">
      <c r="A1691">
        <v>1690</v>
      </c>
      <c r="B1691">
        <v>1041</v>
      </c>
      <c r="C1691">
        <v>862</v>
      </c>
      <c r="D1691" s="1">
        <v>45853</v>
      </c>
      <c r="E1691" t="s">
        <v>24</v>
      </c>
      <c r="F1691" t="s">
        <v>321</v>
      </c>
      <c r="G1691" t="str">
        <f>_xlfn.XLOOKUP(TRIM(E1692),MedicineInfo!A:A,MedicineInfo!B:B,"Not Found")</f>
        <v>Multivitamin</v>
      </c>
      <c r="H1691" s="1" t="str" cm="1">
        <f t="array" ref="H1691">_xlfn.IFS(
OR(E1691="Type 2 Diabetes",E1691="Essential Hypertension",E1691="Angina Pectoris",E1691="Bronchial Asthma",E1691="Cardiac Arrhythmia"), D1691+30,
OR(E1691="Gastritis",E1691="Osteoarthritis",E1691="Bronchitis",E1691="Iron Deficiency Anemia"), D1691+14,
OR(E1691="Lumbar Strain",E1691="Migraine Headache"), D1691+7,
OR(E1691="Viral Fever",E1691="General Checkup","Routine Health Check"), "",
TRUE,""
)</f>
        <v/>
      </c>
      <c r="I1691" s="1" t="str">
        <f t="shared" si="52"/>
        <v>No Follow-up Required</v>
      </c>
      <c r="J1691" t="str">
        <f>TEXT(Table8[[#This Row],[visit_Date]],"DDDD")</f>
        <v>Tuesday</v>
      </c>
      <c r="K1691" t="str">
        <f>TEXT(Table8[[#This Row],[visit_Date]],"mmmm")</f>
        <v>July</v>
      </c>
      <c r="L1691" t="str">
        <f t="shared" si="53"/>
        <v>Monsoon</v>
      </c>
    </row>
    <row r="1692" spans="1:12" x14ac:dyDescent="0.25">
      <c r="A1692">
        <v>1691</v>
      </c>
      <c r="B1692">
        <v>1158</v>
      </c>
      <c r="C1692">
        <v>712</v>
      </c>
      <c r="D1692" s="1">
        <v>45767</v>
      </c>
      <c r="E1692" t="s">
        <v>24</v>
      </c>
      <c r="F1692" t="s">
        <v>321</v>
      </c>
      <c r="G1692" t="str">
        <f>_xlfn.XLOOKUP(TRIM(E1693),MedicineInfo!A:A,MedicineInfo!B:B,"Not Found")</f>
        <v>Multivitamin</v>
      </c>
      <c r="H1692" s="1" t="str" cm="1">
        <f t="array" ref="H1692">_xlfn.IFS(
OR(E1692="Type 2 Diabetes",E1692="Essential Hypertension",E1692="Angina Pectoris",E1692="Bronchial Asthma",E1692="Cardiac Arrhythmia"), D1692+30,
OR(E1692="Gastritis",E1692="Osteoarthritis",E1692="Bronchitis",E1692="Iron Deficiency Anemia"), D1692+14,
OR(E1692="Lumbar Strain",E1692="Migraine Headache"), D1692+7,
OR(E1692="Viral Fever",E1692="General Checkup","Routine Health Check"), "",
TRUE,""
)</f>
        <v/>
      </c>
      <c r="I1692" s="1" t="str">
        <f t="shared" si="52"/>
        <v>No Follow-up Required</v>
      </c>
      <c r="J1692" t="str">
        <f>TEXT(Table8[[#This Row],[visit_Date]],"DDDD")</f>
        <v>Sunday</v>
      </c>
      <c r="K1692" t="str">
        <f>TEXT(Table8[[#This Row],[visit_Date]],"mmmm")</f>
        <v>April</v>
      </c>
      <c r="L1692" t="str">
        <f t="shared" si="53"/>
        <v>Summer</v>
      </c>
    </row>
    <row r="1693" spans="1:12" x14ac:dyDescent="0.25">
      <c r="A1693">
        <v>1692</v>
      </c>
      <c r="B1693">
        <v>1327</v>
      </c>
      <c r="C1693">
        <v>313</v>
      </c>
      <c r="D1693" s="1">
        <v>45726</v>
      </c>
      <c r="E1693" t="s">
        <v>24</v>
      </c>
      <c r="F1693" t="s">
        <v>321</v>
      </c>
      <c r="G1693" t="str">
        <f>_xlfn.XLOOKUP(TRIM(E1694),MedicineInfo!A:A,MedicineInfo!B:B,"Not Found")</f>
        <v>Multivitamin</v>
      </c>
      <c r="H1693" s="1" t="str" cm="1">
        <f t="array" ref="H1693">_xlfn.IFS(
OR(E1693="Type 2 Diabetes",E1693="Essential Hypertension",E1693="Angina Pectoris",E1693="Bronchial Asthma",E1693="Cardiac Arrhythmia"), D1693+30,
OR(E1693="Gastritis",E1693="Osteoarthritis",E1693="Bronchitis",E1693="Iron Deficiency Anemia"), D1693+14,
OR(E1693="Lumbar Strain",E1693="Migraine Headache"), D1693+7,
OR(E1693="Viral Fever",E1693="General Checkup","Routine Health Check"), "",
TRUE,""
)</f>
        <v/>
      </c>
      <c r="I1693" s="1" t="str">
        <f t="shared" si="52"/>
        <v>No Follow-up Required</v>
      </c>
      <c r="J1693" t="str">
        <f>TEXT(Table8[[#This Row],[visit_Date]],"DDDD")</f>
        <v>Monday</v>
      </c>
      <c r="K1693" t="str">
        <f>TEXT(Table8[[#This Row],[visit_Date]],"mmmm")</f>
        <v>March</v>
      </c>
      <c r="L1693" t="str">
        <f t="shared" si="53"/>
        <v>Summer</v>
      </c>
    </row>
    <row r="1694" spans="1:12" x14ac:dyDescent="0.25">
      <c r="A1694">
        <v>1693</v>
      </c>
      <c r="B1694">
        <v>1118</v>
      </c>
      <c r="C1694">
        <v>269</v>
      </c>
      <c r="D1694" s="1">
        <v>45668</v>
      </c>
      <c r="E1694" t="s">
        <v>24</v>
      </c>
      <c r="F1694" t="s">
        <v>321</v>
      </c>
      <c r="G1694" t="str">
        <f>_xlfn.XLOOKUP(TRIM(E1695),MedicineInfo!A:A,MedicineInfo!B:B,"Not Found")</f>
        <v>Multivitamin</v>
      </c>
      <c r="H1694" s="1" t="str" cm="1">
        <f t="array" ref="H1694">_xlfn.IFS(
OR(E1694="Type 2 Diabetes",E1694="Essential Hypertension",E1694="Angina Pectoris",E1694="Bronchial Asthma",E1694="Cardiac Arrhythmia"), D1694+30,
OR(E1694="Gastritis",E1694="Osteoarthritis",E1694="Bronchitis",E1694="Iron Deficiency Anemia"), D1694+14,
OR(E1694="Lumbar Strain",E1694="Migraine Headache"), D1694+7,
OR(E1694="Viral Fever",E1694="General Checkup","Routine Health Check"), "",
TRUE,""
)</f>
        <v/>
      </c>
      <c r="I1694" s="1" t="str">
        <f t="shared" si="52"/>
        <v>No Follow-up Required</v>
      </c>
      <c r="J1694" t="str">
        <f>TEXT(Table8[[#This Row],[visit_Date]],"DDDD")</f>
        <v>Saturday</v>
      </c>
      <c r="K1694" t="str">
        <f>TEXT(Table8[[#This Row],[visit_Date]],"mmmm")</f>
        <v>January</v>
      </c>
      <c r="L1694" t="str">
        <f t="shared" si="53"/>
        <v>Winter</v>
      </c>
    </row>
    <row r="1695" spans="1:12" x14ac:dyDescent="0.25">
      <c r="A1695">
        <v>1694</v>
      </c>
      <c r="B1695">
        <v>1135</v>
      </c>
      <c r="C1695">
        <v>1507</v>
      </c>
      <c r="D1695" s="1">
        <v>45777</v>
      </c>
      <c r="E1695" t="s">
        <v>24</v>
      </c>
      <c r="F1695" t="s">
        <v>321</v>
      </c>
      <c r="G1695" t="str">
        <f>_xlfn.XLOOKUP(TRIM(E1696),MedicineInfo!A:A,MedicineInfo!B:B,"Not Found")</f>
        <v>Multivitamin</v>
      </c>
      <c r="H1695" s="1" t="str" cm="1">
        <f t="array" ref="H1695">_xlfn.IFS(
OR(E1695="Type 2 Diabetes",E1695="Essential Hypertension",E1695="Angina Pectoris",E1695="Bronchial Asthma",E1695="Cardiac Arrhythmia"), D1695+30,
OR(E1695="Gastritis",E1695="Osteoarthritis",E1695="Bronchitis",E1695="Iron Deficiency Anemia"), D1695+14,
OR(E1695="Lumbar Strain",E1695="Migraine Headache"), D1695+7,
OR(E1695="Viral Fever",E1695="General Checkup","Routine Health Check"), "",
TRUE,""
)</f>
        <v/>
      </c>
      <c r="I1695" s="1" t="str">
        <f t="shared" si="52"/>
        <v>No Follow-up Required</v>
      </c>
      <c r="J1695" t="str">
        <f>TEXT(Table8[[#This Row],[visit_Date]],"DDDD")</f>
        <v>Wednesday</v>
      </c>
      <c r="K1695" t="str">
        <f>TEXT(Table8[[#This Row],[visit_Date]],"mmmm")</f>
        <v>April</v>
      </c>
      <c r="L1695" t="str">
        <f t="shared" si="53"/>
        <v>Summer</v>
      </c>
    </row>
    <row r="1696" spans="1:12" x14ac:dyDescent="0.25">
      <c r="A1696">
        <v>1695</v>
      </c>
      <c r="B1696">
        <v>1369</v>
      </c>
      <c r="C1696">
        <v>1187</v>
      </c>
      <c r="D1696" s="1">
        <v>45689</v>
      </c>
      <c r="E1696" t="s">
        <v>24</v>
      </c>
      <c r="F1696" t="s">
        <v>321</v>
      </c>
      <c r="G1696" t="str">
        <f>_xlfn.XLOOKUP(TRIM(E1697),MedicineInfo!A:A,MedicineInfo!B:B,"Not Found")</f>
        <v>Multivitamin</v>
      </c>
      <c r="H1696" s="1" t="str" cm="1">
        <f t="array" ref="H1696">_xlfn.IFS(
OR(E1696="Type 2 Diabetes",E1696="Essential Hypertension",E1696="Angina Pectoris",E1696="Bronchial Asthma",E1696="Cardiac Arrhythmia"), D1696+30,
OR(E1696="Gastritis",E1696="Osteoarthritis",E1696="Bronchitis",E1696="Iron Deficiency Anemia"), D1696+14,
OR(E1696="Lumbar Strain",E1696="Migraine Headache"), D1696+7,
OR(E1696="Viral Fever",E1696="General Checkup","Routine Health Check"), "",
TRUE,""
)</f>
        <v/>
      </c>
      <c r="I1696" s="1" t="str">
        <f t="shared" si="52"/>
        <v>No Follow-up Required</v>
      </c>
      <c r="J1696" t="str">
        <f>TEXT(Table8[[#This Row],[visit_Date]],"DDDD")</f>
        <v>Saturday</v>
      </c>
      <c r="K1696" t="str">
        <f>TEXT(Table8[[#This Row],[visit_Date]],"mmmm")</f>
        <v>February</v>
      </c>
      <c r="L1696" t="str">
        <f t="shared" si="53"/>
        <v>Winter</v>
      </c>
    </row>
    <row r="1697" spans="1:12" x14ac:dyDescent="0.25">
      <c r="A1697">
        <v>1696</v>
      </c>
      <c r="B1697">
        <v>1259</v>
      </c>
      <c r="C1697">
        <v>679</v>
      </c>
      <c r="D1697" s="1">
        <v>45777</v>
      </c>
      <c r="E1697" t="s">
        <v>24</v>
      </c>
      <c r="F1697" t="s">
        <v>321</v>
      </c>
      <c r="G1697" t="str">
        <f>_xlfn.XLOOKUP(TRIM(E1698),MedicineInfo!A:A,MedicineInfo!B:B,"Not Found")</f>
        <v>Multivitamin</v>
      </c>
      <c r="H1697" s="1" t="str" cm="1">
        <f t="array" ref="H1697">_xlfn.IFS(
OR(E1697="Type 2 Diabetes",E1697="Essential Hypertension",E1697="Angina Pectoris",E1697="Bronchial Asthma",E1697="Cardiac Arrhythmia"), D1697+30,
OR(E1697="Gastritis",E1697="Osteoarthritis",E1697="Bronchitis",E1697="Iron Deficiency Anemia"), D1697+14,
OR(E1697="Lumbar Strain",E1697="Migraine Headache"), D1697+7,
OR(E1697="Viral Fever",E1697="General Checkup","Routine Health Check"), "",
TRUE,""
)</f>
        <v/>
      </c>
      <c r="I1697" s="1" t="str">
        <f t="shared" si="52"/>
        <v>No Follow-up Required</v>
      </c>
      <c r="J1697" t="str">
        <f>TEXT(Table8[[#This Row],[visit_Date]],"DDDD")</f>
        <v>Wednesday</v>
      </c>
      <c r="K1697" t="str">
        <f>TEXT(Table8[[#This Row],[visit_Date]],"mmmm")</f>
        <v>April</v>
      </c>
      <c r="L1697" t="str">
        <f t="shared" si="53"/>
        <v>Summer</v>
      </c>
    </row>
    <row r="1698" spans="1:12" x14ac:dyDescent="0.25">
      <c r="A1698">
        <v>1697</v>
      </c>
      <c r="B1698">
        <v>1383</v>
      </c>
      <c r="C1698">
        <v>311</v>
      </c>
      <c r="D1698" s="1">
        <v>45757</v>
      </c>
      <c r="E1698" t="s">
        <v>24</v>
      </c>
      <c r="F1698" t="s">
        <v>321</v>
      </c>
      <c r="G1698" t="str">
        <f>_xlfn.XLOOKUP(TRIM(E1699),MedicineInfo!A:A,MedicineInfo!B:B,"Not Found")</f>
        <v>Sodium Valproate</v>
      </c>
      <c r="H1698" s="1" t="str" cm="1">
        <f t="array" ref="H1698">_xlfn.IFS(
OR(E1698="Type 2 Diabetes",E1698="Essential Hypertension",E1698="Angina Pectoris",E1698="Bronchial Asthma",E1698="Cardiac Arrhythmia"), D1698+30,
OR(E1698="Gastritis",E1698="Osteoarthritis",E1698="Bronchitis",E1698="Iron Deficiency Anemia"), D1698+14,
OR(E1698="Lumbar Strain",E1698="Migraine Headache"), D1698+7,
OR(E1698="Viral Fever",E1698="General Checkup","Routine Health Check"), "",
TRUE,""
)</f>
        <v/>
      </c>
      <c r="I1698" s="1" t="str">
        <f t="shared" si="52"/>
        <v>No Follow-up Required</v>
      </c>
      <c r="J1698" t="str">
        <f>TEXT(Table8[[#This Row],[visit_Date]],"DDDD")</f>
        <v>Thursday</v>
      </c>
      <c r="K1698" t="str">
        <f>TEXT(Table8[[#This Row],[visit_Date]],"mmmm")</f>
        <v>April</v>
      </c>
      <c r="L1698" t="str">
        <f t="shared" si="53"/>
        <v>Summer</v>
      </c>
    </row>
    <row r="1699" spans="1:12" x14ac:dyDescent="0.25">
      <c r="A1699">
        <v>1698</v>
      </c>
      <c r="B1699">
        <v>1064</v>
      </c>
      <c r="C1699">
        <v>442</v>
      </c>
      <c r="D1699" s="1">
        <v>45691</v>
      </c>
      <c r="E1699" t="s">
        <v>352</v>
      </c>
      <c r="F1699" t="s">
        <v>353</v>
      </c>
      <c r="G1699" t="str">
        <f>_xlfn.XLOOKUP(TRIM(E1700),MedicineInfo!A:A,MedicineInfo!B:B,"Not Found")</f>
        <v>Folic Acid</v>
      </c>
      <c r="H1699" s="1" t="str" cm="1">
        <f t="array" ref="H1699">_xlfn.IFS(
OR(E1699="Type 2 Diabetes",E1699="Essential Hypertension",E1699="Angina Pectoris",E1699="Bronchial Asthma",E1699="Cardiac Arrhythmia"), D1699+30,
OR(E1699="Gastritis",E1699="Osteoarthritis",E1699="Bronchitis",E1699="Iron Deficiency Anemia"), D1699+14,
OR(E1699="Lumbar Strain",E1699="Migraine Headache"), D1699+7,
OR(E1699="Viral Fever",E1699="General Checkup","Routine Health Check"), "",
TRUE,""
)</f>
        <v/>
      </c>
      <c r="I1699" s="1" t="str">
        <f t="shared" si="52"/>
        <v>No Follow-up Required</v>
      </c>
      <c r="J1699" t="str">
        <f>TEXT(Table8[[#This Row],[visit_Date]],"DDDD")</f>
        <v>Monday</v>
      </c>
      <c r="K1699" t="str">
        <f>TEXT(Table8[[#This Row],[visit_Date]],"mmmm")</f>
        <v>February</v>
      </c>
      <c r="L1699" t="str">
        <f t="shared" si="53"/>
        <v>Winter</v>
      </c>
    </row>
    <row r="1700" spans="1:12" x14ac:dyDescent="0.25">
      <c r="A1700">
        <v>1699</v>
      </c>
      <c r="B1700">
        <v>1138</v>
      </c>
      <c r="C1700">
        <v>253</v>
      </c>
      <c r="D1700" s="1">
        <v>45686</v>
      </c>
      <c r="E1700" t="s">
        <v>356</v>
      </c>
      <c r="F1700" t="s">
        <v>357</v>
      </c>
      <c r="G1700" t="str">
        <f>_xlfn.XLOOKUP(TRIM(E1701),MedicineInfo!A:A,MedicineInfo!B:B,"Not Found")</f>
        <v>Multivitamin</v>
      </c>
      <c r="H1700" s="1" t="str" cm="1">
        <f t="array" ref="H1700">_xlfn.IFS(
OR(E1700="Type 2 Diabetes",E1700="Essential Hypertension",E1700="Angina Pectoris",E1700="Bronchial Asthma",E1700="Cardiac Arrhythmia"), D1700+30,
OR(E1700="Gastritis",E1700="Osteoarthritis",E1700="Bronchitis",E1700="Iron Deficiency Anemia"), D1700+14,
OR(E1700="Lumbar Strain",E1700="Migraine Headache"), D1700+7,
OR(E1700="Viral Fever",E1700="General Checkup","Routine Health Check"), "",
TRUE,""
)</f>
        <v/>
      </c>
      <c r="I1700" s="1" t="str">
        <f t="shared" si="52"/>
        <v>No Follow-up Required</v>
      </c>
      <c r="J1700" t="str">
        <f>TEXT(Table8[[#This Row],[visit_Date]],"DDDD")</f>
        <v>Wednesday</v>
      </c>
      <c r="K1700" t="str">
        <f>TEXT(Table8[[#This Row],[visit_Date]],"mmmm")</f>
        <v>January</v>
      </c>
      <c r="L1700" t="str">
        <f t="shared" si="53"/>
        <v>Winter</v>
      </c>
    </row>
    <row r="1701" spans="1:12" x14ac:dyDescent="0.25">
      <c r="A1701">
        <v>1700</v>
      </c>
      <c r="B1701">
        <v>1128</v>
      </c>
      <c r="C1701">
        <v>1267</v>
      </c>
      <c r="D1701" s="1">
        <v>45698</v>
      </c>
      <c r="E1701" t="s">
        <v>24</v>
      </c>
      <c r="F1701" t="s">
        <v>321</v>
      </c>
      <c r="G1701" t="str">
        <f>_xlfn.XLOOKUP(TRIM(E1702),MedicineInfo!A:A,MedicineInfo!B:B,"Not Found")</f>
        <v>Multivitamin</v>
      </c>
      <c r="H1701" s="1" t="str" cm="1">
        <f t="array" ref="H1701">_xlfn.IFS(
OR(E1701="Type 2 Diabetes",E1701="Essential Hypertension",E1701="Angina Pectoris",E1701="Bronchial Asthma",E1701="Cardiac Arrhythmia"), D1701+30,
OR(E1701="Gastritis",E1701="Osteoarthritis",E1701="Bronchitis",E1701="Iron Deficiency Anemia"), D1701+14,
OR(E1701="Lumbar Strain",E1701="Migraine Headache"), D1701+7,
OR(E1701="Viral Fever",E1701="General Checkup","Routine Health Check"), "",
TRUE,""
)</f>
        <v/>
      </c>
      <c r="I1701" s="1" t="str">
        <f t="shared" si="52"/>
        <v>No Follow-up Required</v>
      </c>
      <c r="J1701" t="str">
        <f>TEXT(Table8[[#This Row],[visit_Date]],"DDDD")</f>
        <v>Monday</v>
      </c>
      <c r="K1701" t="str">
        <f>TEXT(Table8[[#This Row],[visit_Date]],"mmmm")</f>
        <v>February</v>
      </c>
      <c r="L1701" t="str">
        <f t="shared" si="53"/>
        <v>Winter</v>
      </c>
    </row>
    <row r="1702" spans="1:12" x14ac:dyDescent="0.25">
      <c r="A1702">
        <v>1701</v>
      </c>
      <c r="B1702">
        <v>1157</v>
      </c>
      <c r="C1702">
        <v>1552</v>
      </c>
      <c r="D1702" s="1">
        <v>45691</v>
      </c>
      <c r="E1702" t="s">
        <v>24</v>
      </c>
      <c r="F1702" t="s">
        <v>321</v>
      </c>
      <c r="G1702" t="str">
        <f>_xlfn.XLOOKUP(TRIM(E1703),MedicineInfo!A:A,MedicineInfo!B:B,"Not Found")</f>
        <v>Multivitamin</v>
      </c>
      <c r="H1702" s="1" t="str" cm="1">
        <f t="array" ref="H1702">_xlfn.IFS(
OR(E1702="Type 2 Diabetes",E1702="Essential Hypertension",E1702="Angina Pectoris",E1702="Bronchial Asthma",E1702="Cardiac Arrhythmia"), D1702+30,
OR(E1702="Gastritis",E1702="Osteoarthritis",E1702="Bronchitis",E1702="Iron Deficiency Anemia"), D1702+14,
OR(E1702="Lumbar Strain",E1702="Migraine Headache"), D1702+7,
OR(E1702="Viral Fever",E1702="General Checkup","Routine Health Check"), "",
TRUE,""
)</f>
        <v/>
      </c>
      <c r="I1702" s="1" t="str">
        <f t="shared" si="52"/>
        <v>No Follow-up Required</v>
      </c>
      <c r="J1702" t="str">
        <f>TEXT(Table8[[#This Row],[visit_Date]],"DDDD")</f>
        <v>Monday</v>
      </c>
      <c r="K1702" t="str">
        <f>TEXT(Table8[[#This Row],[visit_Date]],"mmmm")</f>
        <v>February</v>
      </c>
      <c r="L1702" t="str">
        <f t="shared" si="53"/>
        <v>Winter</v>
      </c>
    </row>
    <row r="1703" spans="1:12" x14ac:dyDescent="0.25">
      <c r="A1703">
        <v>1702</v>
      </c>
      <c r="B1703">
        <v>1235</v>
      </c>
      <c r="C1703">
        <v>196</v>
      </c>
      <c r="D1703" s="1">
        <v>45751</v>
      </c>
      <c r="E1703" t="s">
        <v>24</v>
      </c>
      <c r="F1703" t="s">
        <v>321</v>
      </c>
      <c r="G1703" t="str">
        <f>_xlfn.XLOOKUP(TRIM(E1704),MedicineInfo!A:A,MedicineInfo!B:B,"Not Found")</f>
        <v>Multivitamin</v>
      </c>
      <c r="H1703" s="1" t="str" cm="1">
        <f t="array" ref="H1703">_xlfn.IFS(
OR(E1703="Type 2 Diabetes",E1703="Essential Hypertension",E1703="Angina Pectoris",E1703="Bronchial Asthma",E1703="Cardiac Arrhythmia"), D1703+30,
OR(E1703="Gastritis",E1703="Osteoarthritis",E1703="Bronchitis",E1703="Iron Deficiency Anemia"), D1703+14,
OR(E1703="Lumbar Strain",E1703="Migraine Headache"), D1703+7,
OR(E1703="Viral Fever",E1703="General Checkup","Routine Health Check"), "",
TRUE,""
)</f>
        <v/>
      </c>
      <c r="I1703" s="1" t="str">
        <f t="shared" si="52"/>
        <v>No Follow-up Required</v>
      </c>
      <c r="J1703" t="str">
        <f>TEXT(Table8[[#This Row],[visit_Date]],"DDDD")</f>
        <v>Friday</v>
      </c>
      <c r="K1703" t="str">
        <f>TEXT(Table8[[#This Row],[visit_Date]],"mmmm")</f>
        <v>April</v>
      </c>
      <c r="L1703" t="str">
        <f t="shared" si="53"/>
        <v>Summer</v>
      </c>
    </row>
    <row r="1704" spans="1:12" x14ac:dyDescent="0.25">
      <c r="A1704">
        <v>1703</v>
      </c>
      <c r="B1704">
        <v>1309</v>
      </c>
      <c r="C1704">
        <v>1108</v>
      </c>
      <c r="D1704" s="1">
        <v>45799</v>
      </c>
      <c r="E1704" t="s">
        <v>24</v>
      </c>
      <c r="F1704" t="s">
        <v>321</v>
      </c>
      <c r="G1704" t="str">
        <f>_xlfn.XLOOKUP(TRIM(E1705),MedicineInfo!A:A,MedicineInfo!B:B,"Not Found")</f>
        <v>Multivitamin</v>
      </c>
      <c r="H1704" s="1" t="str" cm="1">
        <f t="array" ref="H1704">_xlfn.IFS(
OR(E1704="Type 2 Diabetes",E1704="Essential Hypertension",E1704="Angina Pectoris",E1704="Bronchial Asthma",E1704="Cardiac Arrhythmia"), D1704+30,
OR(E1704="Gastritis",E1704="Osteoarthritis",E1704="Bronchitis",E1704="Iron Deficiency Anemia"), D1704+14,
OR(E1704="Lumbar Strain",E1704="Migraine Headache"), D1704+7,
OR(E1704="Viral Fever",E1704="General Checkup","Routine Health Check"), "",
TRUE,""
)</f>
        <v/>
      </c>
      <c r="I1704" s="1" t="str">
        <f t="shared" si="52"/>
        <v>No Follow-up Required</v>
      </c>
      <c r="J1704" t="str">
        <f>TEXT(Table8[[#This Row],[visit_Date]],"DDDD")</f>
        <v>Thursday</v>
      </c>
      <c r="K1704" t="str">
        <f>TEXT(Table8[[#This Row],[visit_Date]],"mmmm")</f>
        <v>May</v>
      </c>
      <c r="L1704" t="str">
        <f t="shared" si="53"/>
        <v>Summer</v>
      </c>
    </row>
    <row r="1705" spans="1:12" x14ac:dyDescent="0.25">
      <c r="A1705">
        <v>1704</v>
      </c>
      <c r="B1705">
        <v>1397</v>
      </c>
      <c r="C1705">
        <v>1406</v>
      </c>
      <c r="D1705" s="1">
        <v>45791</v>
      </c>
      <c r="E1705" t="s">
        <v>24</v>
      </c>
      <c r="F1705" t="s">
        <v>321</v>
      </c>
      <c r="G1705" t="str">
        <f>_xlfn.XLOOKUP(TRIM(E1706),MedicineInfo!A:A,MedicineInfo!B:B,"Not Found")</f>
        <v>Multivitamin</v>
      </c>
      <c r="H1705" s="1" t="str" cm="1">
        <f t="array" ref="H1705">_xlfn.IFS(
OR(E1705="Type 2 Diabetes",E1705="Essential Hypertension",E1705="Angina Pectoris",E1705="Bronchial Asthma",E1705="Cardiac Arrhythmia"), D1705+30,
OR(E1705="Gastritis",E1705="Osteoarthritis",E1705="Bronchitis",E1705="Iron Deficiency Anemia"), D1705+14,
OR(E1705="Lumbar Strain",E1705="Migraine Headache"), D1705+7,
OR(E1705="Viral Fever",E1705="General Checkup","Routine Health Check"), "",
TRUE,""
)</f>
        <v/>
      </c>
      <c r="I1705" s="1" t="str">
        <f t="shared" si="52"/>
        <v>No Follow-up Required</v>
      </c>
      <c r="J1705" t="str">
        <f>TEXT(Table8[[#This Row],[visit_Date]],"DDDD")</f>
        <v>Wednesday</v>
      </c>
      <c r="K1705" t="str">
        <f>TEXT(Table8[[#This Row],[visit_Date]],"mmmm")</f>
        <v>May</v>
      </c>
      <c r="L1705" t="str">
        <f t="shared" si="53"/>
        <v>Summer</v>
      </c>
    </row>
    <row r="1706" spans="1:12" x14ac:dyDescent="0.25">
      <c r="A1706">
        <v>1705</v>
      </c>
      <c r="B1706">
        <v>1013</v>
      </c>
      <c r="C1706">
        <v>1003</v>
      </c>
      <c r="D1706" s="1">
        <v>45758</v>
      </c>
      <c r="E1706" t="s">
        <v>24</v>
      </c>
      <c r="F1706" t="s">
        <v>321</v>
      </c>
      <c r="G1706" t="str">
        <f>_xlfn.XLOOKUP(TRIM(E1707),MedicineInfo!A:A,MedicineInfo!B:B,"Not Found")</f>
        <v>Multivitamin</v>
      </c>
      <c r="H1706" s="1" t="str" cm="1">
        <f t="array" ref="H1706">_xlfn.IFS(
OR(E1706="Type 2 Diabetes",E1706="Essential Hypertension",E1706="Angina Pectoris",E1706="Bronchial Asthma",E1706="Cardiac Arrhythmia"), D1706+30,
OR(E1706="Gastritis",E1706="Osteoarthritis",E1706="Bronchitis",E1706="Iron Deficiency Anemia"), D1706+14,
OR(E1706="Lumbar Strain",E1706="Migraine Headache"), D1706+7,
OR(E1706="Viral Fever",E1706="General Checkup","Routine Health Check"), "",
TRUE,""
)</f>
        <v/>
      </c>
      <c r="I1706" s="1" t="str">
        <f t="shared" si="52"/>
        <v>No Follow-up Required</v>
      </c>
      <c r="J1706" t="str">
        <f>TEXT(Table8[[#This Row],[visit_Date]],"DDDD")</f>
        <v>Friday</v>
      </c>
      <c r="K1706" t="str">
        <f>TEXT(Table8[[#This Row],[visit_Date]],"mmmm")</f>
        <v>April</v>
      </c>
      <c r="L1706" t="str">
        <f t="shared" si="53"/>
        <v>Summer</v>
      </c>
    </row>
    <row r="1707" spans="1:12" x14ac:dyDescent="0.25">
      <c r="A1707">
        <v>1706</v>
      </c>
      <c r="B1707">
        <v>1303</v>
      </c>
      <c r="C1707">
        <v>1519</v>
      </c>
      <c r="D1707" s="1">
        <v>45669</v>
      </c>
      <c r="E1707" t="s">
        <v>24</v>
      </c>
      <c r="F1707" t="s">
        <v>321</v>
      </c>
      <c r="G1707" t="str">
        <f>_xlfn.XLOOKUP(TRIM(E1708),MedicineInfo!A:A,MedicineInfo!B:B,"Not Found")</f>
        <v>Multivitamin</v>
      </c>
      <c r="H1707" s="1" t="str" cm="1">
        <f t="array" ref="H1707">_xlfn.IFS(
OR(E1707="Type 2 Diabetes",E1707="Essential Hypertension",E1707="Angina Pectoris",E1707="Bronchial Asthma",E1707="Cardiac Arrhythmia"), D1707+30,
OR(E1707="Gastritis",E1707="Osteoarthritis",E1707="Bronchitis",E1707="Iron Deficiency Anemia"), D1707+14,
OR(E1707="Lumbar Strain",E1707="Migraine Headache"), D1707+7,
OR(E1707="Viral Fever",E1707="General Checkup","Routine Health Check"), "",
TRUE,""
)</f>
        <v/>
      </c>
      <c r="I1707" s="1" t="str">
        <f t="shared" si="52"/>
        <v>No Follow-up Required</v>
      </c>
      <c r="J1707" t="str">
        <f>TEXT(Table8[[#This Row],[visit_Date]],"DDDD")</f>
        <v>Sunday</v>
      </c>
      <c r="K1707" t="str">
        <f>TEXT(Table8[[#This Row],[visit_Date]],"mmmm")</f>
        <v>January</v>
      </c>
      <c r="L1707" t="str">
        <f t="shared" si="53"/>
        <v>Winter</v>
      </c>
    </row>
    <row r="1708" spans="1:12" x14ac:dyDescent="0.25">
      <c r="A1708">
        <v>1707</v>
      </c>
      <c r="B1708">
        <v>1278</v>
      </c>
      <c r="C1708">
        <v>637</v>
      </c>
      <c r="D1708" s="1">
        <v>45792</v>
      </c>
      <c r="E1708" t="s">
        <v>24</v>
      </c>
      <c r="F1708" t="s">
        <v>321</v>
      </c>
      <c r="G1708" t="str">
        <f>_xlfn.XLOOKUP(TRIM(E1709),MedicineInfo!A:A,MedicineInfo!B:B,"Not Found")</f>
        <v>Multivitamin</v>
      </c>
      <c r="H1708" s="1" t="str" cm="1">
        <f t="array" ref="H1708">_xlfn.IFS(
OR(E1708="Type 2 Diabetes",E1708="Essential Hypertension",E1708="Angina Pectoris",E1708="Bronchial Asthma",E1708="Cardiac Arrhythmia"), D1708+30,
OR(E1708="Gastritis",E1708="Osteoarthritis",E1708="Bronchitis",E1708="Iron Deficiency Anemia"), D1708+14,
OR(E1708="Lumbar Strain",E1708="Migraine Headache"), D1708+7,
OR(E1708="Viral Fever",E1708="General Checkup","Routine Health Check"), "",
TRUE,""
)</f>
        <v/>
      </c>
      <c r="I1708" s="1" t="str">
        <f t="shared" si="52"/>
        <v>No Follow-up Required</v>
      </c>
      <c r="J1708" t="str">
        <f>TEXT(Table8[[#This Row],[visit_Date]],"DDDD")</f>
        <v>Thursday</v>
      </c>
      <c r="K1708" t="str">
        <f>TEXT(Table8[[#This Row],[visit_Date]],"mmmm")</f>
        <v>May</v>
      </c>
      <c r="L1708" t="str">
        <f t="shared" si="53"/>
        <v>Summer</v>
      </c>
    </row>
    <row r="1709" spans="1:12" x14ac:dyDescent="0.25">
      <c r="A1709">
        <v>1708</v>
      </c>
      <c r="B1709">
        <v>1175</v>
      </c>
      <c r="C1709">
        <v>154</v>
      </c>
      <c r="D1709" s="1">
        <v>45796</v>
      </c>
      <c r="E1709" t="s">
        <v>24</v>
      </c>
      <c r="F1709" t="s">
        <v>321</v>
      </c>
      <c r="G1709" t="str">
        <f>_xlfn.XLOOKUP(TRIM(E1710),MedicineInfo!A:A,MedicineInfo!B:B,"Not Found")</f>
        <v>Amiodarone</v>
      </c>
      <c r="H1709" s="1" t="str" cm="1">
        <f t="array" ref="H1709">_xlfn.IFS(
OR(E1709="Type 2 Diabetes",E1709="Essential Hypertension",E1709="Angina Pectoris",E1709="Bronchial Asthma",E1709="Cardiac Arrhythmia"), D1709+30,
OR(E1709="Gastritis",E1709="Osteoarthritis",E1709="Bronchitis",E1709="Iron Deficiency Anemia"), D1709+14,
OR(E1709="Lumbar Strain",E1709="Migraine Headache"), D1709+7,
OR(E1709="Viral Fever",E1709="General Checkup","Routine Health Check"), "",
TRUE,""
)</f>
        <v/>
      </c>
      <c r="I1709" s="1" t="str">
        <f t="shared" si="52"/>
        <v>No Follow-up Required</v>
      </c>
      <c r="J1709" t="str">
        <f>TEXT(Table8[[#This Row],[visit_Date]],"DDDD")</f>
        <v>Monday</v>
      </c>
      <c r="K1709" t="str">
        <f>TEXT(Table8[[#This Row],[visit_Date]],"mmmm")</f>
        <v>May</v>
      </c>
      <c r="L1709" t="str">
        <f t="shared" si="53"/>
        <v>Summer</v>
      </c>
    </row>
    <row r="1710" spans="1:12" x14ac:dyDescent="0.25">
      <c r="A1710">
        <v>1709</v>
      </c>
      <c r="B1710">
        <v>1394</v>
      </c>
      <c r="C1710">
        <v>148</v>
      </c>
      <c r="D1710" s="1">
        <v>45672</v>
      </c>
      <c r="E1710" t="s">
        <v>330</v>
      </c>
      <c r="F1710" t="s">
        <v>331</v>
      </c>
      <c r="G1710" t="str">
        <f>_xlfn.XLOOKUP(TRIM(E1711),MedicineInfo!A:A,MedicineInfo!B:B,"Not Found")</f>
        <v>Multivitamin</v>
      </c>
      <c r="H1710" s="1" cm="1">
        <f t="array" ref="H1710">_xlfn.IFS(
OR(E1710="Type 2 Diabetes",E1710="Essential Hypertension",E1710="Angina Pectoris",E1710="Bronchial Asthma",E1710="Cardiac Arrhythmia"), D1710+30,
OR(E1710="Gastritis",E1710="Osteoarthritis",E1710="Bronchitis",E1710="Iron Deficiency Anemia"), D1710+14,
OR(E1710="Lumbar Strain",E1710="Migraine Headache"), D1710+7,
OR(E1710="Viral Fever",E1710="General Checkup","Routine Health Check"), "",
TRUE,""
)</f>
        <v>45702</v>
      </c>
      <c r="I1710" s="1" t="str">
        <f t="shared" si="52"/>
        <v>Follow-up Scheduled</v>
      </c>
      <c r="J1710" t="str">
        <f>TEXT(Table8[[#This Row],[visit_Date]],"DDDD")</f>
        <v>Wednesday</v>
      </c>
      <c r="K1710" t="str">
        <f>TEXT(Table8[[#This Row],[visit_Date]],"mmmm")</f>
        <v>January</v>
      </c>
      <c r="L1710" t="str">
        <f t="shared" si="53"/>
        <v>Winter</v>
      </c>
    </row>
    <row r="1711" spans="1:12" x14ac:dyDescent="0.25">
      <c r="A1711">
        <v>1710</v>
      </c>
      <c r="B1711">
        <v>1037</v>
      </c>
      <c r="C1711">
        <v>1303</v>
      </c>
      <c r="D1711" s="1">
        <v>45792</v>
      </c>
      <c r="E1711" t="s">
        <v>24</v>
      </c>
      <c r="F1711" t="s">
        <v>321</v>
      </c>
      <c r="G1711" t="str">
        <f>_xlfn.XLOOKUP(TRIM(E1712),MedicineInfo!A:A,MedicineInfo!B:B,"Not Found")</f>
        <v>Multivitamin</v>
      </c>
      <c r="H1711" s="1" t="str" cm="1">
        <f t="array" ref="H1711">_xlfn.IFS(
OR(E1711="Type 2 Diabetes",E1711="Essential Hypertension",E1711="Angina Pectoris",E1711="Bronchial Asthma",E1711="Cardiac Arrhythmia"), D1711+30,
OR(E1711="Gastritis",E1711="Osteoarthritis",E1711="Bronchitis",E1711="Iron Deficiency Anemia"), D1711+14,
OR(E1711="Lumbar Strain",E1711="Migraine Headache"), D1711+7,
OR(E1711="Viral Fever",E1711="General Checkup","Routine Health Check"), "",
TRUE,""
)</f>
        <v/>
      </c>
      <c r="I1711" s="1" t="str">
        <f t="shared" si="52"/>
        <v>No Follow-up Required</v>
      </c>
      <c r="J1711" t="str">
        <f>TEXT(Table8[[#This Row],[visit_Date]],"DDDD")</f>
        <v>Thursday</v>
      </c>
      <c r="K1711" t="str">
        <f>TEXT(Table8[[#This Row],[visit_Date]],"mmmm")</f>
        <v>May</v>
      </c>
      <c r="L1711" t="str">
        <f t="shared" si="53"/>
        <v>Summer</v>
      </c>
    </row>
    <row r="1712" spans="1:12" x14ac:dyDescent="0.25">
      <c r="A1712">
        <v>1711</v>
      </c>
      <c r="B1712">
        <v>1067</v>
      </c>
      <c r="C1712">
        <v>1109</v>
      </c>
      <c r="D1712" s="1">
        <v>45691</v>
      </c>
      <c r="E1712" t="s">
        <v>24</v>
      </c>
      <c r="F1712" t="s">
        <v>321</v>
      </c>
      <c r="G1712" t="str">
        <f>_xlfn.XLOOKUP(TRIM(E1713),MedicineInfo!A:A,MedicineInfo!B:B,"Not Found")</f>
        <v>Multivitamin</v>
      </c>
      <c r="H1712" s="1" t="str" cm="1">
        <f t="array" ref="H1712">_xlfn.IFS(
OR(E1712="Type 2 Diabetes",E1712="Essential Hypertension",E1712="Angina Pectoris",E1712="Bronchial Asthma",E1712="Cardiac Arrhythmia"), D1712+30,
OR(E1712="Gastritis",E1712="Osteoarthritis",E1712="Bronchitis",E1712="Iron Deficiency Anemia"), D1712+14,
OR(E1712="Lumbar Strain",E1712="Migraine Headache"), D1712+7,
OR(E1712="Viral Fever",E1712="General Checkup","Routine Health Check"), "",
TRUE,""
)</f>
        <v/>
      </c>
      <c r="I1712" s="1" t="str">
        <f t="shared" si="52"/>
        <v>No Follow-up Required</v>
      </c>
      <c r="J1712" t="str">
        <f>TEXT(Table8[[#This Row],[visit_Date]],"DDDD")</f>
        <v>Monday</v>
      </c>
      <c r="K1712" t="str">
        <f>TEXT(Table8[[#This Row],[visit_Date]],"mmmm")</f>
        <v>February</v>
      </c>
      <c r="L1712" t="str">
        <f t="shared" si="53"/>
        <v>Winter</v>
      </c>
    </row>
    <row r="1713" spans="1:12" x14ac:dyDescent="0.25">
      <c r="A1713">
        <v>1712</v>
      </c>
      <c r="B1713">
        <v>1271</v>
      </c>
      <c r="C1713">
        <v>250</v>
      </c>
      <c r="D1713" s="1">
        <v>45792</v>
      </c>
      <c r="E1713" t="s">
        <v>24</v>
      </c>
      <c r="F1713" t="s">
        <v>321</v>
      </c>
      <c r="G1713" t="str">
        <f>_xlfn.XLOOKUP(TRIM(E1714),MedicineInfo!A:A,MedicineInfo!B:B,"Not Found")</f>
        <v>Multivitamin</v>
      </c>
      <c r="H1713" s="1" t="str" cm="1">
        <f t="array" ref="H1713">_xlfn.IFS(
OR(E1713="Type 2 Diabetes",E1713="Essential Hypertension",E1713="Angina Pectoris",E1713="Bronchial Asthma",E1713="Cardiac Arrhythmia"), D1713+30,
OR(E1713="Gastritis",E1713="Osteoarthritis",E1713="Bronchitis",E1713="Iron Deficiency Anemia"), D1713+14,
OR(E1713="Lumbar Strain",E1713="Migraine Headache"), D1713+7,
OR(E1713="Viral Fever",E1713="General Checkup","Routine Health Check"), "",
TRUE,""
)</f>
        <v/>
      </c>
      <c r="I1713" s="1" t="str">
        <f t="shared" si="52"/>
        <v>No Follow-up Required</v>
      </c>
      <c r="J1713" t="str">
        <f>TEXT(Table8[[#This Row],[visit_Date]],"DDDD")</f>
        <v>Thursday</v>
      </c>
      <c r="K1713" t="str">
        <f>TEXT(Table8[[#This Row],[visit_Date]],"mmmm")</f>
        <v>May</v>
      </c>
      <c r="L1713" t="str">
        <f t="shared" si="53"/>
        <v>Summer</v>
      </c>
    </row>
    <row r="1714" spans="1:12" x14ac:dyDescent="0.25">
      <c r="A1714">
        <v>1713</v>
      </c>
      <c r="B1714">
        <v>1368</v>
      </c>
      <c r="C1714">
        <v>318</v>
      </c>
      <c r="D1714" s="1">
        <v>45807</v>
      </c>
      <c r="E1714" t="s">
        <v>24</v>
      </c>
      <c r="F1714" t="s">
        <v>321</v>
      </c>
      <c r="G1714" t="str">
        <f>_xlfn.XLOOKUP(TRIM(E1715),MedicineInfo!A:A,MedicineInfo!B:B,"Not Found")</f>
        <v>Multivitamin</v>
      </c>
      <c r="H1714" s="1" t="str" cm="1">
        <f t="array" ref="H1714">_xlfn.IFS(
OR(E1714="Type 2 Diabetes",E1714="Essential Hypertension",E1714="Angina Pectoris",E1714="Bronchial Asthma",E1714="Cardiac Arrhythmia"), D1714+30,
OR(E1714="Gastritis",E1714="Osteoarthritis",E1714="Bronchitis",E1714="Iron Deficiency Anemia"), D1714+14,
OR(E1714="Lumbar Strain",E1714="Migraine Headache"), D1714+7,
OR(E1714="Viral Fever",E1714="General Checkup","Routine Health Check"), "",
TRUE,""
)</f>
        <v/>
      </c>
      <c r="I1714" s="1" t="str">
        <f t="shared" si="52"/>
        <v>No Follow-up Required</v>
      </c>
      <c r="J1714" t="str">
        <f>TEXT(Table8[[#This Row],[visit_Date]],"DDDD")</f>
        <v>Friday</v>
      </c>
      <c r="K1714" t="str">
        <f>TEXT(Table8[[#This Row],[visit_Date]],"mmmm")</f>
        <v>May</v>
      </c>
      <c r="L1714" t="str">
        <f t="shared" si="53"/>
        <v>Summer</v>
      </c>
    </row>
    <row r="1715" spans="1:12" x14ac:dyDescent="0.25">
      <c r="A1715">
        <v>1714</v>
      </c>
      <c r="B1715">
        <v>1194</v>
      </c>
      <c r="C1715">
        <v>167</v>
      </c>
      <c r="D1715" s="1">
        <v>45706</v>
      </c>
      <c r="E1715" t="s">
        <v>24</v>
      </c>
      <c r="F1715" t="s">
        <v>321</v>
      </c>
      <c r="G1715" t="str">
        <f>_xlfn.XLOOKUP(TRIM(E1716),MedicineInfo!A:A,MedicineInfo!B:B,"Not Found")</f>
        <v>Multivitamin</v>
      </c>
      <c r="H1715" s="1" t="str" cm="1">
        <f t="array" ref="H1715">_xlfn.IFS(
OR(E1715="Type 2 Diabetes",E1715="Essential Hypertension",E1715="Angina Pectoris",E1715="Bronchial Asthma",E1715="Cardiac Arrhythmia"), D1715+30,
OR(E1715="Gastritis",E1715="Osteoarthritis",E1715="Bronchitis",E1715="Iron Deficiency Anemia"), D1715+14,
OR(E1715="Lumbar Strain",E1715="Migraine Headache"), D1715+7,
OR(E1715="Viral Fever",E1715="General Checkup","Routine Health Check"), "",
TRUE,""
)</f>
        <v/>
      </c>
      <c r="I1715" s="1" t="str">
        <f t="shared" si="52"/>
        <v>No Follow-up Required</v>
      </c>
      <c r="J1715" t="str">
        <f>TEXT(Table8[[#This Row],[visit_Date]],"DDDD")</f>
        <v>Tuesday</v>
      </c>
      <c r="K1715" t="str">
        <f>TEXT(Table8[[#This Row],[visit_Date]],"mmmm")</f>
        <v>February</v>
      </c>
      <c r="L1715" t="str">
        <f t="shared" si="53"/>
        <v>Winter</v>
      </c>
    </row>
    <row r="1716" spans="1:12" x14ac:dyDescent="0.25">
      <c r="A1716">
        <v>1715</v>
      </c>
      <c r="B1716">
        <v>1253</v>
      </c>
      <c r="C1716">
        <v>982</v>
      </c>
      <c r="D1716" s="1">
        <v>45694</v>
      </c>
      <c r="E1716" t="s">
        <v>24</v>
      </c>
      <c r="F1716" t="s">
        <v>321</v>
      </c>
      <c r="G1716" t="str">
        <f>_xlfn.XLOOKUP(TRIM(E1717),MedicineInfo!A:A,MedicineInfo!B:B,"Not Found")</f>
        <v>Multivitamin</v>
      </c>
      <c r="H1716" s="1" t="str" cm="1">
        <f t="array" ref="H1716">_xlfn.IFS(
OR(E1716="Type 2 Diabetes",E1716="Essential Hypertension",E1716="Angina Pectoris",E1716="Bronchial Asthma",E1716="Cardiac Arrhythmia"), D1716+30,
OR(E1716="Gastritis",E1716="Osteoarthritis",E1716="Bronchitis",E1716="Iron Deficiency Anemia"), D1716+14,
OR(E1716="Lumbar Strain",E1716="Migraine Headache"), D1716+7,
OR(E1716="Viral Fever",E1716="General Checkup","Routine Health Check"), "",
TRUE,""
)</f>
        <v/>
      </c>
      <c r="I1716" s="1" t="str">
        <f t="shared" si="52"/>
        <v>No Follow-up Required</v>
      </c>
      <c r="J1716" t="str">
        <f>TEXT(Table8[[#This Row],[visit_Date]],"DDDD")</f>
        <v>Thursday</v>
      </c>
      <c r="K1716" t="str">
        <f>TEXT(Table8[[#This Row],[visit_Date]],"mmmm")</f>
        <v>February</v>
      </c>
      <c r="L1716" t="str">
        <f t="shared" si="53"/>
        <v>Winter</v>
      </c>
    </row>
    <row r="1717" spans="1:12" x14ac:dyDescent="0.25">
      <c r="A1717">
        <v>1716</v>
      </c>
      <c r="B1717">
        <v>1387</v>
      </c>
      <c r="C1717">
        <v>574</v>
      </c>
      <c r="D1717" s="1">
        <v>45802</v>
      </c>
      <c r="E1717" t="s">
        <v>24</v>
      </c>
      <c r="F1717" t="s">
        <v>321</v>
      </c>
      <c r="G1717" t="str">
        <f>_xlfn.XLOOKUP(TRIM(E1718),MedicineInfo!A:A,MedicineInfo!B:B,"Not Found")</f>
        <v>Multivitamin</v>
      </c>
      <c r="H1717" s="1" t="str" cm="1">
        <f t="array" ref="H1717">_xlfn.IFS(
OR(E1717="Type 2 Diabetes",E1717="Essential Hypertension",E1717="Angina Pectoris",E1717="Bronchial Asthma",E1717="Cardiac Arrhythmia"), D1717+30,
OR(E1717="Gastritis",E1717="Osteoarthritis",E1717="Bronchitis",E1717="Iron Deficiency Anemia"), D1717+14,
OR(E1717="Lumbar Strain",E1717="Migraine Headache"), D1717+7,
OR(E1717="Viral Fever",E1717="General Checkup","Routine Health Check"), "",
TRUE,""
)</f>
        <v/>
      </c>
      <c r="I1717" s="1" t="str">
        <f t="shared" si="52"/>
        <v>No Follow-up Required</v>
      </c>
      <c r="J1717" t="str">
        <f>TEXT(Table8[[#This Row],[visit_Date]],"DDDD")</f>
        <v>Sunday</v>
      </c>
      <c r="K1717" t="str">
        <f>TEXT(Table8[[#This Row],[visit_Date]],"mmmm")</f>
        <v>May</v>
      </c>
      <c r="L1717" t="str">
        <f t="shared" si="53"/>
        <v>Summer</v>
      </c>
    </row>
    <row r="1718" spans="1:12" x14ac:dyDescent="0.25">
      <c r="A1718">
        <v>1717</v>
      </c>
      <c r="B1718">
        <v>1195</v>
      </c>
      <c r="C1718">
        <v>172</v>
      </c>
      <c r="D1718" s="1">
        <v>45754</v>
      </c>
      <c r="E1718" t="s">
        <v>24</v>
      </c>
      <c r="F1718" t="s">
        <v>321</v>
      </c>
      <c r="G1718" t="str">
        <f>_xlfn.XLOOKUP(TRIM(E1719),MedicineInfo!A:A,MedicineInfo!B:B,"Not Found")</f>
        <v>Multivitamin</v>
      </c>
      <c r="H1718" s="1" t="str" cm="1">
        <f t="array" ref="H1718">_xlfn.IFS(
OR(E1718="Type 2 Diabetes",E1718="Essential Hypertension",E1718="Angina Pectoris",E1718="Bronchial Asthma",E1718="Cardiac Arrhythmia"), D1718+30,
OR(E1718="Gastritis",E1718="Osteoarthritis",E1718="Bronchitis",E1718="Iron Deficiency Anemia"), D1718+14,
OR(E1718="Lumbar Strain",E1718="Migraine Headache"), D1718+7,
OR(E1718="Viral Fever",E1718="General Checkup","Routine Health Check"), "",
TRUE,""
)</f>
        <v/>
      </c>
      <c r="I1718" s="1" t="str">
        <f t="shared" si="52"/>
        <v>No Follow-up Required</v>
      </c>
      <c r="J1718" t="str">
        <f>TEXT(Table8[[#This Row],[visit_Date]],"DDDD")</f>
        <v>Monday</v>
      </c>
      <c r="K1718" t="str">
        <f>TEXT(Table8[[#This Row],[visit_Date]],"mmmm")</f>
        <v>April</v>
      </c>
      <c r="L1718" t="str">
        <f t="shared" si="53"/>
        <v>Summer</v>
      </c>
    </row>
    <row r="1719" spans="1:12" x14ac:dyDescent="0.25">
      <c r="A1719">
        <v>1718</v>
      </c>
      <c r="B1719">
        <v>1330</v>
      </c>
      <c r="C1719">
        <v>1571</v>
      </c>
      <c r="D1719" s="1">
        <v>45803</v>
      </c>
      <c r="E1719" t="s">
        <v>24</v>
      </c>
      <c r="F1719" t="s">
        <v>321</v>
      </c>
      <c r="G1719" t="str">
        <f>_xlfn.XLOOKUP(TRIM(E1720),MedicineInfo!A:A,MedicineInfo!B:B,"Not Found")</f>
        <v>Multivitamin</v>
      </c>
      <c r="H1719" s="1" t="str" cm="1">
        <f t="array" ref="H1719">_xlfn.IFS(
OR(E1719="Type 2 Diabetes",E1719="Essential Hypertension",E1719="Angina Pectoris",E1719="Bronchial Asthma",E1719="Cardiac Arrhythmia"), D1719+30,
OR(E1719="Gastritis",E1719="Osteoarthritis",E1719="Bronchitis",E1719="Iron Deficiency Anemia"), D1719+14,
OR(E1719="Lumbar Strain",E1719="Migraine Headache"), D1719+7,
OR(E1719="Viral Fever",E1719="General Checkup","Routine Health Check"), "",
TRUE,""
)</f>
        <v/>
      </c>
      <c r="I1719" s="1" t="str">
        <f t="shared" si="52"/>
        <v>No Follow-up Required</v>
      </c>
      <c r="J1719" t="str">
        <f>TEXT(Table8[[#This Row],[visit_Date]],"DDDD")</f>
        <v>Monday</v>
      </c>
      <c r="K1719" t="str">
        <f>TEXT(Table8[[#This Row],[visit_Date]],"mmmm")</f>
        <v>May</v>
      </c>
      <c r="L1719" t="str">
        <f t="shared" si="53"/>
        <v>Summer</v>
      </c>
    </row>
    <row r="1720" spans="1:12" x14ac:dyDescent="0.25">
      <c r="A1720">
        <v>1719</v>
      </c>
      <c r="B1720">
        <v>1195</v>
      </c>
      <c r="C1720">
        <v>1059</v>
      </c>
      <c r="D1720" s="1">
        <v>45669</v>
      </c>
      <c r="E1720" t="s">
        <v>24</v>
      </c>
      <c r="F1720" t="s">
        <v>321</v>
      </c>
      <c r="G1720" t="str">
        <f>_xlfn.XLOOKUP(TRIM(E1721),MedicineInfo!A:A,MedicineInfo!B:B,"Not Found")</f>
        <v>Multivitamin</v>
      </c>
      <c r="H1720" s="1" t="str" cm="1">
        <f t="array" ref="H1720">_xlfn.IFS(
OR(E1720="Type 2 Diabetes",E1720="Essential Hypertension",E1720="Angina Pectoris",E1720="Bronchial Asthma",E1720="Cardiac Arrhythmia"), D1720+30,
OR(E1720="Gastritis",E1720="Osteoarthritis",E1720="Bronchitis",E1720="Iron Deficiency Anemia"), D1720+14,
OR(E1720="Lumbar Strain",E1720="Migraine Headache"), D1720+7,
OR(E1720="Viral Fever",E1720="General Checkup","Routine Health Check"), "",
TRUE,""
)</f>
        <v/>
      </c>
      <c r="I1720" s="1" t="str">
        <f t="shared" si="52"/>
        <v>No Follow-up Required</v>
      </c>
      <c r="J1720" t="str">
        <f>TEXT(Table8[[#This Row],[visit_Date]],"DDDD")</f>
        <v>Sunday</v>
      </c>
      <c r="K1720" t="str">
        <f>TEXT(Table8[[#This Row],[visit_Date]],"mmmm")</f>
        <v>January</v>
      </c>
      <c r="L1720" t="str">
        <f t="shared" si="53"/>
        <v>Winter</v>
      </c>
    </row>
    <row r="1721" spans="1:12" x14ac:dyDescent="0.25">
      <c r="A1721">
        <v>1720</v>
      </c>
      <c r="B1721">
        <v>1228</v>
      </c>
      <c r="C1721">
        <v>395</v>
      </c>
      <c r="D1721" s="1">
        <v>45796</v>
      </c>
      <c r="E1721" t="s">
        <v>24</v>
      </c>
      <c r="F1721" t="s">
        <v>321</v>
      </c>
      <c r="G1721" t="str">
        <f>_xlfn.XLOOKUP(TRIM(E1722),MedicineInfo!A:A,MedicineInfo!B:B,"Not Found")</f>
        <v>Multivitamin</v>
      </c>
      <c r="H1721" s="1" t="str" cm="1">
        <f t="array" ref="H1721">_xlfn.IFS(
OR(E1721="Type 2 Diabetes",E1721="Essential Hypertension",E1721="Angina Pectoris",E1721="Bronchial Asthma",E1721="Cardiac Arrhythmia"), D1721+30,
OR(E1721="Gastritis",E1721="Osteoarthritis",E1721="Bronchitis",E1721="Iron Deficiency Anemia"), D1721+14,
OR(E1721="Lumbar Strain",E1721="Migraine Headache"), D1721+7,
OR(E1721="Viral Fever",E1721="General Checkup","Routine Health Check"), "",
TRUE,""
)</f>
        <v/>
      </c>
      <c r="I1721" s="1" t="str">
        <f t="shared" si="52"/>
        <v>No Follow-up Required</v>
      </c>
      <c r="J1721" t="str">
        <f>TEXT(Table8[[#This Row],[visit_Date]],"DDDD")</f>
        <v>Monday</v>
      </c>
      <c r="K1721" t="str">
        <f>TEXT(Table8[[#This Row],[visit_Date]],"mmmm")</f>
        <v>May</v>
      </c>
      <c r="L1721" t="str">
        <f t="shared" si="53"/>
        <v>Summer</v>
      </c>
    </row>
    <row r="1722" spans="1:12" x14ac:dyDescent="0.25">
      <c r="A1722">
        <v>1721</v>
      </c>
      <c r="B1722">
        <v>1200</v>
      </c>
      <c r="C1722">
        <v>310</v>
      </c>
      <c r="D1722" s="1">
        <v>45799</v>
      </c>
      <c r="E1722" t="s">
        <v>24</v>
      </c>
      <c r="F1722" t="s">
        <v>321</v>
      </c>
      <c r="G1722" t="str">
        <f>_xlfn.XLOOKUP(TRIM(E1723),MedicineInfo!A:A,MedicineInfo!B:B,"Not Found")</f>
        <v>Salbutamol Inhaler</v>
      </c>
      <c r="H1722" s="1" t="str" cm="1">
        <f t="array" ref="H1722">_xlfn.IFS(
OR(E1722="Type 2 Diabetes",E1722="Essential Hypertension",E1722="Angina Pectoris",E1722="Bronchial Asthma",E1722="Cardiac Arrhythmia"), D1722+30,
OR(E1722="Gastritis",E1722="Osteoarthritis",E1722="Bronchitis",E1722="Iron Deficiency Anemia"), D1722+14,
OR(E1722="Lumbar Strain",E1722="Migraine Headache"), D1722+7,
OR(E1722="Viral Fever",E1722="General Checkup","Routine Health Check"), "",
TRUE,""
)</f>
        <v/>
      </c>
      <c r="I1722" s="1" t="str">
        <f t="shared" si="52"/>
        <v>No Follow-up Required</v>
      </c>
      <c r="J1722" t="str">
        <f>TEXT(Table8[[#This Row],[visit_Date]],"DDDD")</f>
        <v>Thursday</v>
      </c>
      <c r="K1722" t="str">
        <f>TEXT(Table8[[#This Row],[visit_Date]],"mmmm")</f>
        <v>May</v>
      </c>
      <c r="L1722" t="str">
        <f t="shared" si="53"/>
        <v>Summer</v>
      </c>
    </row>
    <row r="1723" spans="1:12" x14ac:dyDescent="0.25">
      <c r="A1723">
        <v>1722</v>
      </c>
      <c r="B1723">
        <v>1127</v>
      </c>
      <c r="C1723">
        <v>968</v>
      </c>
      <c r="D1723" s="1">
        <v>45686</v>
      </c>
      <c r="E1723" t="s">
        <v>324</v>
      </c>
      <c r="F1723" t="s">
        <v>325</v>
      </c>
      <c r="G1723" t="str">
        <f>_xlfn.XLOOKUP(TRIM(E1724),MedicineInfo!A:A,MedicineInfo!B:B,"Not Found")</f>
        <v>Multivitamin</v>
      </c>
      <c r="H1723" s="1" cm="1">
        <f t="array" ref="H1723">_xlfn.IFS(
OR(E1723="Type 2 Diabetes",E1723="Essential Hypertension",E1723="Angina Pectoris",E1723="Bronchial Asthma",E1723="Cardiac Arrhythmia"), D1723+30,
OR(E1723="Gastritis",E1723="Osteoarthritis",E1723="Bronchitis",E1723="Iron Deficiency Anemia"), D1723+14,
OR(E1723="Lumbar Strain",E1723="Migraine Headache"), D1723+7,
OR(E1723="Viral Fever",E1723="General Checkup","Routine Health Check"), "",
TRUE,""
)</f>
        <v>45716</v>
      </c>
      <c r="I1723" s="1" t="str">
        <f t="shared" si="52"/>
        <v>Follow-up Scheduled</v>
      </c>
      <c r="J1723" t="str">
        <f>TEXT(Table8[[#This Row],[visit_Date]],"DDDD")</f>
        <v>Wednesday</v>
      </c>
      <c r="K1723" t="str">
        <f>TEXT(Table8[[#This Row],[visit_Date]],"mmmm")</f>
        <v>January</v>
      </c>
      <c r="L1723" t="str">
        <f t="shared" si="53"/>
        <v>Winter</v>
      </c>
    </row>
    <row r="1724" spans="1:12" x14ac:dyDescent="0.25">
      <c r="A1724">
        <v>1723</v>
      </c>
      <c r="B1724">
        <v>1180</v>
      </c>
      <c r="C1724">
        <v>1217</v>
      </c>
      <c r="D1724" s="1">
        <v>45758</v>
      </c>
      <c r="E1724" t="s">
        <v>24</v>
      </c>
      <c r="F1724" t="s">
        <v>321</v>
      </c>
      <c r="G1724" t="str">
        <f>_xlfn.XLOOKUP(TRIM(E1725),MedicineInfo!A:A,MedicineInfo!B:B,"Not Found")</f>
        <v>Multivitamin</v>
      </c>
      <c r="H1724" s="1" t="str" cm="1">
        <f t="array" ref="H1724">_xlfn.IFS(
OR(E1724="Type 2 Diabetes",E1724="Essential Hypertension",E1724="Angina Pectoris",E1724="Bronchial Asthma",E1724="Cardiac Arrhythmia"), D1724+30,
OR(E1724="Gastritis",E1724="Osteoarthritis",E1724="Bronchitis",E1724="Iron Deficiency Anemia"), D1724+14,
OR(E1724="Lumbar Strain",E1724="Migraine Headache"), D1724+7,
OR(E1724="Viral Fever",E1724="General Checkup","Routine Health Check"), "",
TRUE,""
)</f>
        <v/>
      </c>
      <c r="I1724" s="1" t="str">
        <f t="shared" si="52"/>
        <v>No Follow-up Required</v>
      </c>
      <c r="J1724" t="str">
        <f>TEXT(Table8[[#This Row],[visit_Date]],"DDDD")</f>
        <v>Friday</v>
      </c>
      <c r="K1724" t="str">
        <f>TEXT(Table8[[#This Row],[visit_Date]],"mmmm")</f>
        <v>April</v>
      </c>
      <c r="L1724" t="str">
        <f t="shared" si="53"/>
        <v>Summer</v>
      </c>
    </row>
    <row r="1725" spans="1:12" x14ac:dyDescent="0.25">
      <c r="A1725">
        <v>1724</v>
      </c>
      <c r="B1725">
        <v>1320</v>
      </c>
      <c r="C1725">
        <v>974</v>
      </c>
      <c r="D1725" s="1">
        <v>45756</v>
      </c>
      <c r="E1725" t="s">
        <v>24</v>
      </c>
      <c r="F1725" t="s">
        <v>321</v>
      </c>
      <c r="G1725" t="str">
        <f>_xlfn.XLOOKUP(TRIM(E1726),MedicineInfo!A:A,MedicineInfo!B:B,"Not Found")</f>
        <v>Multivitamin</v>
      </c>
      <c r="H1725" s="1" t="str" cm="1">
        <f t="array" ref="H1725">_xlfn.IFS(
OR(E1725="Type 2 Diabetes",E1725="Essential Hypertension",E1725="Angina Pectoris",E1725="Bronchial Asthma",E1725="Cardiac Arrhythmia"), D1725+30,
OR(E1725="Gastritis",E1725="Osteoarthritis",E1725="Bronchitis",E1725="Iron Deficiency Anemia"), D1725+14,
OR(E1725="Lumbar Strain",E1725="Migraine Headache"), D1725+7,
OR(E1725="Viral Fever",E1725="General Checkup","Routine Health Check"), "",
TRUE,""
)</f>
        <v/>
      </c>
      <c r="I1725" s="1" t="str">
        <f t="shared" si="52"/>
        <v>No Follow-up Required</v>
      </c>
      <c r="J1725" t="str">
        <f>TEXT(Table8[[#This Row],[visit_Date]],"DDDD")</f>
        <v>Wednesday</v>
      </c>
      <c r="K1725" t="str">
        <f>TEXT(Table8[[#This Row],[visit_Date]],"mmmm")</f>
        <v>April</v>
      </c>
      <c r="L1725" t="str">
        <f t="shared" si="53"/>
        <v>Summer</v>
      </c>
    </row>
    <row r="1726" spans="1:12" x14ac:dyDescent="0.25">
      <c r="A1726">
        <v>1725</v>
      </c>
      <c r="B1726">
        <v>1166</v>
      </c>
      <c r="C1726">
        <v>750</v>
      </c>
      <c r="D1726" s="1">
        <v>45792</v>
      </c>
      <c r="E1726" t="s">
        <v>24</v>
      </c>
      <c r="F1726" t="s">
        <v>321</v>
      </c>
      <c r="G1726" t="str">
        <f>_xlfn.XLOOKUP(TRIM(E1727),MedicineInfo!A:A,MedicineInfo!B:B,"Not Found")</f>
        <v>Not Found</v>
      </c>
      <c r="H1726" s="1" t="str" cm="1">
        <f t="array" ref="H1726">_xlfn.IFS(
OR(E1726="Type 2 Diabetes",E1726="Essential Hypertension",E1726="Angina Pectoris",E1726="Bronchial Asthma",E1726="Cardiac Arrhythmia"), D1726+30,
OR(E1726="Gastritis",E1726="Osteoarthritis",E1726="Bronchitis",E1726="Iron Deficiency Anemia"), D1726+14,
OR(E1726="Lumbar Strain",E1726="Migraine Headache"), D1726+7,
OR(E1726="Viral Fever",E1726="General Checkup","Routine Health Check"), "",
TRUE,""
)</f>
        <v/>
      </c>
      <c r="I1726" s="1" t="str">
        <f t="shared" si="52"/>
        <v>No Follow-up Required</v>
      </c>
      <c r="J1726" t="str">
        <f>TEXT(Table8[[#This Row],[visit_Date]],"DDDD")</f>
        <v>Thursday</v>
      </c>
      <c r="K1726" t="str">
        <f>TEXT(Table8[[#This Row],[visit_Date]],"mmmm")</f>
        <v>May</v>
      </c>
      <c r="L1726" t="str">
        <f t="shared" si="53"/>
        <v>Summer</v>
      </c>
    </row>
    <row r="1727" spans="1:12" x14ac:dyDescent="0.25">
      <c r="A1727">
        <v>1726</v>
      </c>
      <c r="B1727">
        <v>1376</v>
      </c>
      <c r="C1727">
        <v>878</v>
      </c>
      <c r="D1727" s="1">
        <v>45791</v>
      </c>
      <c r="E1727" t="s">
        <v>340</v>
      </c>
      <c r="F1727" t="s">
        <v>341</v>
      </c>
      <c r="G1727" t="str">
        <f>_xlfn.XLOOKUP(TRIM(E1728),MedicineInfo!A:A,MedicineInfo!B:B,"Not Found")</f>
        <v>Ferrous Sulfate</v>
      </c>
      <c r="H1727" s="1" t="str" cm="1">
        <f t="array" ref="H1727">_xlfn.IFS(
OR(E1727="Type 2 Diabetes",E1727="Essential Hypertension",E1727="Angina Pectoris",E1727="Bronchial Asthma",E1727="Cardiac Arrhythmia"), D1727+30,
OR(E1727="Gastritis",E1727="Osteoarthritis",E1727="Bronchitis",E1727="Iron Deficiency Anemia"), D1727+14,
OR(E1727="Lumbar Strain",E1727="Migraine Headache"), D1727+7,
OR(E1727="Viral Fever",E1727="General Checkup","Routine Health Check"), "",
TRUE,""
)</f>
        <v/>
      </c>
      <c r="I1727" s="1" t="str">
        <f t="shared" si="52"/>
        <v>No Follow-up Required</v>
      </c>
      <c r="J1727" t="str">
        <f>TEXT(Table8[[#This Row],[visit_Date]],"DDDD")</f>
        <v>Wednesday</v>
      </c>
      <c r="K1727" t="str">
        <f>TEXT(Table8[[#This Row],[visit_Date]],"mmmm")</f>
        <v>May</v>
      </c>
      <c r="L1727" t="str">
        <f t="shared" si="53"/>
        <v>Summer</v>
      </c>
    </row>
    <row r="1728" spans="1:12" x14ac:dyDescent="0.25">
      <c r="A1728">
        <v>1727</v>
      </c>
      <c r="B1728">
        <v>1108</v>
      </c>
      <c r="C1728">
        <v>1455</v>
      </c>
      <c r="D1728" s="1">
        <v>45722</v>
      </c>
      <c r="E1728" t="s">
        <v>358</v>
      </c>
      <c r="F1728" t="s">
        <v>359</v>
      </c>
      <c r="G1728" t="str">
        <f>_xlfn.XLOOKUP(TRIM(E1729),MedicineInfo!A:A,MedicineInfo!B:B,"Not Found")</f>
        <v>Multivitamin</v>
      </c>
      <c r="H1728" s="1" cm="1">
        <f t="array" ref="H1728">_xlfn.IFS(
OR(E1728="Type 2 Diabetes",E1728="Essential Hypertension",E1728="Angina Pectoris",E1728="Bronchial Asthma",E1728="Cardiac Arrhythmia"), D1728+30,
OR(E1728="Gastritis",E1728="Osteoarthritis",E1728="Bronchitis",E1728="Iron Deficiency Anemia"), D1728+14,
OR(E1728="Lumbar Strain",E1728="Migraine Headache"), D1728+7,
OR(E1728="Viral Fever",E1728="General Checkup","Routine Health Check"), "",
TRUE,""
)</f>
        <v>45736</v>
      </c>
      <c r="I1728" s="1" t="str">
        <f t="shared" si="52"/>
        <v>Follow-up Scheduled</v>
      </c>
      <c r="J1728" t="str">
        <f>TEXT(Table8[[#This Row],[visit_Date]],"DDDD")</f>
        <v>Thursday</v>
      </c>
      <c r="K1728" t="str">
        <f>TEXT(Table8[[#This Row],[visit_Date]],"mmmm")</f>
        <v>March</v>
      </c>
      <c r="L1728" t="str">
        <f t="shared" si="53"/>
        <v>Summer</v>
      </c>
    </row>
    <row r="1729" spans="1:12" x14ac:dyDescent="0.25">
      <c r="A1729">
        <v>1728</v>
      </c>
      <c r="B1729">
        <v>1209</v>
      </c>
      <c r="C1729">
        <v>1154</v>
      </c>
      <c r="D1729" s="1">
        <v>45783</v>
      </c>
      <c r="E1729" t="s">
        <v>24</v>
      </c>
      <c r="F1729" t="s">
        <v>321</v>
      </c>
      <c r="G1729" t="str">
        <f>_xlfn.XLOOKUP(TRIM(E1730),MedicineInfo!A:A,MedicineInfo!B:B,"Not Found")</f>
        <v>Calcium Supplement</v>
      </c>
      <c r="H1729" s="1" t="str" cm="1">
        <f t="array" ref="H1729">_xlfn.IFS(
OR(E1729="Type 2 Diabetes",E1729="Essential Hypertension",E1729="Angina Pectoris",E1729="Bronchial Asthma",E1729="Cardiac Arrhythmia"), D1729+30,
OR(E1729="Gastritis",E1729="Osteoarthritis",E1729="Bronchitis",E1729="Iron Deficiency Anemia"), D1729+14,
OR(E1729="Lumbar Strain",E1729="Migraine Headache"), D1729+7,
OR(E1729="Viral Fever",E1729="General Checkup","Routine Health Check"), "",
TRUE,""
)</f>
        <v/>
      </c>
      <c r="I1729" s="1" t="str">
        <f t="shared" si="52"/>
        <v>No Follow-up Required</v>
      </c>
      <c r="J1729" t="str">
        <f>TEXT(Table8[[#This Row],[visit_Date]],"DDDD")</f>
        <v>Tuesday</v>
      </c>
      <c r="K1729" t="str">
        <f>TEXT(Table8[[#This Row],[visit_Date]],"mmmm")</f>
        <v>May</v>
      </c>
      <c r="L1729" t="str">
        <f t="shared" si="53"/>
        <v>Summer</v>
      </c>
    </row>
    <row r="1730" spans="1:12" x14ac:dyDescent="0.25">
      <c r="A1730">
        <v>1729</v>
      </c>
      <c r="B1730">
        <v>1340</v>
      </c>
      <c r="C1730">
        <v>138</v>
      </c>
      <c r="D1730" s="1">
        <v>45808</v>
      </c>
      <c r="E1730" t="s">
        <v>336</v>
      </c>
      <c r="F1730" t="s">
        <v>337</v>
      </c>
      <c r="G1730" t="str">
        <f>_xlfn.XLOOKUP(TRIM(E1731),MedicineInfo!A:A,MedicineInfo!B:B,"Not Found")</f>
        <v>Sodium Valproate</v>
      </c>
      <c r="H1730" s="1" t="str" cm="1">
        <f t="array" ref="H1730">_xlfn.IFS(
OR(E1730="Type 2 Diabetes",E1730="Essential Hypertension",E1730="Angina Pectoris",E1730="Bronchial Asthma",E1730="Cardiac Arrhythmia"), D1730+30,
OR(E1730="Gastritis",E1730="Osteoarthritis",E1730="Bronchitis",E1730="Iron Deficiency Anemia"), D1730+14,
OR(E1730="Lumbar Strain",E1730="Migraine Headache"), D1730+7,
OR(E1730="Viral Fever",E1730="General Checkup","Routine Health Check"), "",
TRUE,""
)</f>
        <v/>
      </c>
      <c r="I1730" s="1" t="str">
        <f t="shared" ref="I1730:I1793" si="54">IF(H1730="","No Follow-up Required","Follow-up Scheduled")</f>
        <v>No Follow-up Required</v>
      </c>
      <c r="J1730" t="str">
        <f>TEXT(Table8[[#This Row],[visit_Date]],"DDDD")</f>
        <v>Saturday</v>
      </c>
      <c r="K1730" t="str">
        <f>TEXT(Table8[[#This Row],[visit_Date]],"mmmm")</f>
        <v>May</v>
      </c>
      <c r="L1730" t="str">
        <f t="shared" ref="L1730:L1793" si="55">IF(OR(MONTH(D1730)=12,MONTH(D1730)&lt;=2),"Winter",
IF(MONTH(D1730)&lt;=5,"Summer","Monsoon"))</f>
        <v>Summer</v>
      </c>
    </row>
    <row r="1731" spans="1:12" x14ac:dyDescent="0.25">
      <c r="A1731">
        <v>1730</v>
      </c>
      <c r="B1731">
        <v>1113</v>
      </c>
      <c r="C1731">
        <v>1003</v>
      </c>
      <c r="D1731" s="1">
        <v>45783</v>
      </c>
      <c r="E1731" t="s">
        <v>352</v>
      </c>
      <c r="F1731" t="s">
        <v>353</v>
      </c>
      <c r="G1731" t="str">
        <f>_xlfn.XLOOKUP(TRIM(E1732),MedicineInfo!A:A,MedicineInfo!B:B,"Not Found")</f>
        <v>Multivitamin</v>
      </c>
      <c r="H1731" s="1" t="str" cm="1">
        <f t="array" ref="H1731">_xlfn.IFS(
OR(E1731="Type 2 Diabetes",E1731="Essential Hypertension",E1731="Angina Pectoris",E1731="Bronchial Asthma",E1731="Cardiac Arrhythmia"), D1731+30,
OR(E1731="Gastritis",E1731="Osteoarthritis",E1731="Bronchitis",E1731="Iron Deficiency Anemia"), D1731+14,
OR(E1731="Lumbar Strain",E1731="Migraine Headache"), D1731+7,
OR(E1731="Viral Fever",E1731="General Checkup","Routine Health Check"), "",
TRUE,""
)</f>
        <v/>
      </c>
      <c r="I1731" s="1" t="str">
        <f t="shared" si="54"/>
        <v>No Follow-up Required</v>
      </c>
      <c r="J1731" t="str">
        <f>TEXT(Table8[[#This Row],[visit_Date]],"DDDD")</f>
        <v>Tuesday</v>
      </c>
      <c r="K1731" t="str">
        <f>TEXT(Table8[[#This Row],[visit_Date]],"mmmm")</f>
        <v>May</v>
      </c>
      <c r="L1731" t="str">
        <f t="shared" si="55"/>
        <v>Summer</v>
      </c>
    </row>
    <row r="1732" spans="1:12" x14ac:dyDescent="0.25">
      <c r="A1732">
        <v>1731</v>
      </c>
      <c r="B1732">
        <v>1091</v>
      </c>
      <c r="C1732">
        <v>170</v>
      </c>
      <c r="D1732" s="1">
        <v>45823</v>
      </c>
      <c r="E1732" t="s">
        <v>24</v>
      </c>
      <c r="F1732" t="s">
        <v>321</v>
      </c>
      <c r="G1732" t="str">
        <f>_xlfn.XLOOKUP(TRIM(E1733),MedicineInfo!A:A,MedicineInfo!B:B,"Not Found")</f>
        <v>Aceclofenac</v>
      </c>
      <c r="H1732" s="1" t="str" cm="1">
        <f t="array" ref="H1732">_xlfn.IFS(
OR(E1732="Type 2 Diabetes",E1732="Essential Hypertension",E1732="Angina Pectoris",E1732="Bronchial Asthma",E1732="Cardiac Arrhythmia"), D1732+30,
OR(E1732="Gastritis",E1732="Osteoarthritis",E1732="Bronchitis",E1732="Iron Deficiency Anemia"), D1732+14,
OR(E1732="Lumbar Strain",E1732="Migraine Headache"), D1732+7,
OR(E1732="Viral Fever",E1732="General Checkup","Routine Health Check"), "",
TRUE,""
)</f>
        <v/>
      </c>
      <c r="I1732" s="1" t="str">
        <f t="shared" si="54"/>
        <v>No Follow-up Required</v>
      </c>
      <c r="J1732" t="str">
        <f>TEXT(Table8[[#This Row],[visit_Date]],"DDDD")</f>
        <v>Sunday</v>
      </c>
      <c r="K1732" t="str">
        <f>TEXT(Table8[[#This Row],[visit_Date]],"mmmm")</f>
        <v>June</v>
      </c>
      <c r="L1732" t="str">
        <f t="shared" si="55"/>
        <v>Monsoon</v>
      </c>
    </row>
    <row r="1733" spans="1:12" x14ac:dyDescent="0.25">
      <c r="A1733">
        <v>1732</v>
      </c>
      <c r="B1733">
        <v>1310</v>
      </c>
      <c r="C1733">
        <v>138</v>
      </c>
      <c r="D1733" s="1">
        <v>45728</v>
      </c>
      <c r="E1733" t="s">
        <v>348</v>
      </c>
      <c r="F1733" t="s">
        <v>349</v>
      </c>
      <c r="G1733" t="str">
        <f>_xlfn.XLOOKUP(TRIM(E1734),MedicineInfo!A:A,MedicineInfo!B:B,"Not Found")</f>
        <v>Multivitamin</v>
      </c>
      <c r="H1733" s="1" cm="1">
        <f t="array" ref="H1733">_xlfn.IFS(
OR(E1733="Type 2 Diabetes",E1733="Essential Hypertension",E1733="Angina Pectoris",E1733="Bronchial Asthma",E1733="Cardiac Arrhythmia"), D1733+30,
OR(E1733="Gastritis",E1733="Osteoarthritis",E1733="Bronchitis",E1733="Iron Deficiency Anemia"), D1733+14,
OR(E1733="Lumbar Strain",E1733="Migraine Headache"), D1733+7,
OR(E1733="Viral Fever",E1733="General Checkup","Routine Health Check"), "",
TRUE,""
)</f>
        <v>45742</v>
      </c>
      <c r="I1733" s="1" t="str">
        <f t="shared" si="54"/>
        <v>Follow-up Scheduled</v>
      </c>
      <c r="J1733" t="str">
        <f>TEXT(Table8[[#This Row],[visit_Date]],"DDDD")</f>
        <v>Wednesday</v>
      </c>
      <c r="K1733" t="str">
        <f>TEXT(Table8[[#This Row],[visit_Date]],"mmmm")</f>
        <v>March</v>
      </c>
      <c r="L1733" t="str">
        <f t="shared" si="55"/>
        <v>Summer</v>
      </c>
    </row>
    <row r="1734" spans="1:12" x14ac:dyDescent="0.25">
      <c r="A1734">
        <v>1733</v>
      </c>
      <c r="B1734">
        <v>1179</v>
      </c>
      <c r="C1734">
        <v>706</v>
      </c>
      <c r="D1734" s="1">
        <v>45852</v>
      </c>
      <c r="E1734" t="s">
        <v>24</v>
      </c>
      <c r="F1734" t="s">
        <v>321</v>
      </c>
      <c r="G1734" t="str">
        <f>_xlfn.XLOOKUP(TRIM(E1735),MedicineInfo!A:A,MedicineInfo!B:B,"Not Found")</f>
        <v>Multivitamin</v>
      </c>
      <c r="H1734" s="1" t="str" cm="1">
        <f t="array" ref="H1734">_xlfn.IFS(
OR(E1734="Type 2 Diabetes",E1734="Essential Hypertension",E1734="Angina Pectoris",E1734="Bronchial Asthma",E1734="Cardiac Arrhythmia"), D1734+30,
OR(E1734="Gastritis",E1734="Osteoarthritis",E1734="Bronchitis",E1734="Iron Deficiency Anemia"), D1734+14,
OR(E1734="Lumbar Strain",E1734="Migraine Headache"), D1734+7,
OR(E1734="Viral Fever",E1734="General Checkup","Routine Health Check"), "",
TRUE,""
)</f>
        <v/>
      </c>
      <c r="I1734" s="1" t="str">
        <f t="shared" si="54"/>
        <v>No Follow-up Required</v>
      </c>
      <c r="J1734" t="str">
        <f>TEXT(Table8[[#This Row],[visit_Date]],"DDDD")</f>
        <v>Monday</v>
      </c>
      <c r="K1734" t="str">
        <f>TEXT(Table8[[#This Row],[visit_Date]],"mmmm")</f>
        <v>July</v>
      </c>
      <c r="L1734" t="str">
        <f t="shared" si="55"/>
        <v>Monsoon</v>
      </c>
    </row>
    <row r="1735" spans="1:12" x14ac:dyDescent="0.25">
      <c r="A1735">
        <v>1734</v>
      </c>
      <c r="B1735">
        <v>1321</v>
      </c>
      <c r="C1735">
        <v>1114</v>
      </c>
      <c r="D1735" s="1">
        <v>45799</v>
      </c>
      <c r="E1735" t="s">
        <v>24</v>
      </c>
      <c r="F1735" t="s">
        <v>321</v>
      </c>
      <c r="G1735" t="str">
        <f>_xlfn.XLOOKUP(TRIM(E1736),MedicineInfo!A:A,MedicineInfo!B:B,"Not Found")</f>
        <v>Multivitamin</v>
      </c>
      <c r="H1735" s="1" t="str" cm="1">
        <f t="array" ref="H1735">_xlfn.IFS(
OR(E1735="Type 2 Diabetes",E1735="Essential Hypertension",E1735="Angina Pectoris",E1735="Bronchial Asthma",E1735="Cardiac Arrhythmia"), D1735+30,
OR(E1735="Gastritis",E1735="Osteoarthritis",E1735="Bronchitis",E1735="Iron Deficiency Anemia"), D1735+14,
OR(E1735="Lumbar Strain",E1735="Migraine Headache"), D1735+7,
OR(E1735="Viral Fever",E1735="General Checkup","Routine Health Check"), "",
TRUE,""
)</f>
        <v/>
      </c>
      <c r="I1735" s="1" t="str">
        <f t="shared" si="54"/>
        <v>No Follow-up Required</v>
      </c>
      <c r="J1735" t="str">
        <f>TEXT(Table8[[#This Row],[visit_Date]],"DDDD")</f>
        <v>Thursday</v>
      </c>
      <c r="K1735" t="str">
        <f>TEXT(Table8[[#This Row],[visit_Date]],"mmmm")</f>
        <v>May</v>
      </c>
      <c r="L1735" t="str">
        <f t="shared" si="55"/>
        <v>Summer</v>
      </c>
    </row>
    <row r="1736" spans="1:12" x14ac:dyDescent="0.25">
      <c r="A1736">
        <v>1735</v>
      </c>
      <c r="B1736">
        <v>1372</v>
      </c>
      <c r="C1736">
        <v>570</v>
      </c>
      <c r="D1736" s="1">
        <v>45802</v>
      </c>
      <c r="E1736" t="s">
        <v>24</v>
      </c>
      <c r="F1736" t="s">
        <v>321</v>
      </c>
      <c r="G1736" t="str">
        <f>_xlfn.XLOOKUP(TRIM(E1737),MedicineInfo!A:A,MedicineInfo!B:B,"Not Found")</f>
        <v>Pantoprazole</v>
      </c>
      <c r="H1736" s="1" t="str" cm="1">
        <f t="array" ref="H1736">_xlfn.IFS(
OR(E1736="Type 2 Diabetes",E1736="Essential Hypertension",E1736="Angina Pectoris",E1736="Bronchial Asthma",E1736="Cardiac Arrhythmia"), D1736+30,
OR(E1736="Gastritis",E1736="Osteoarthritis",E1736="Bronchitis",E1736="Iron Deficiency Anemia"), D1736+14,
OR(E1736="Lumbar Strain",E1736="Migraine Headache"), D1736+7,
OR(E1736="Viral Fever",E1736="General Checkup","Routine Health Check"), "",
TRUE,""
)</f>
        <v/>
      </c>
      <c r="I1736" s="1" t="str">
        <f t="shared" si="54"/>
        <v>No Follow-up Required</v>
      </c>
      <c r="J1736" t="str">
        <f>TEXT(Table8[[#This Row],[visit_Date]],"DDDD")</f>
        <v>Sunday</v>
      </c>
      <c r="K1736" t="str">
        <f>TEXT(Table8[[#This Row],[visit_Date]],"mmmm")</f>
        <v>May</v>
      </c>
      <c r="L1736" t="str">
        <f t="shared" si="55"/>
        <v>Summer</v>
      </c>
    </row>
    <row r="1737" spans="1:12" x14ac:dyDescent="0.25">
      <c r="A1737">
        <v>1736</v>
      </c>
      <c r="B1737">
        <v>1185</v>
      </c>
      <c r="C1737">
        <v>380</v>
      </c>
      <c r="D1737" s="1">
        <v>45814</v>
      </c>
      <c r="E1737" t="s">
        <v>344</v>
      </c>
      <c r="F1737" t="s">
        <v>345</v>
      </c>
      <c r="G1737" t="str">
        <f>_xlfn.XLOOKUP(TRIM(E1738),MedicineInfo!A:A,MedicineInfo!B:B,"Not Found")</f>
        <v>Multivitamin</v>
      </c>
      <c r="H1737" s="1" cm="1">
        <f t="array" ref="H1737">_xlfn.IFS(
OR(E1737="Type 2 Diabetes",E1737="Essential Hypertension",E1737="Angina Pectoris",E1737="Bronchial Asthma",E1737="Cardiac Arrhythmia"), D1737+30,
OR(E1737="Gastritis",E1737="Osteoarthritis",E1737="Bronchitis",E1737="Iron Deficiency Anemia"), D1737+14,
OR(E1737="Lumbar Strain",E1737="Migraine Headache"), D1737+7,
OR(E1737="Viral Fever",E1737="General Checkup","Routine Health Check"), "",
TRUE,""
)</f>
        <v>45828</v>
      </c>
      <c r="I1737" s="1" t="str">
        <f t="shared" si="54"/>
        <v>Follow-up Scheduled</v>
      </c>
      <c r="J1737" t="str">
        <f>TEXT(Table8[[#This Row],[visit_Date]],"DDDD")</f>
        <v>Friday</v>
      </c>
      <c r="K1737" t="str">
        <f>TEXT(Table8[[#This Row],[visit_Date]],"mmmm")</f>
        <v>June</v>
      </c>
      <c r="L1737" t="str">
        <f t="shared" si="55"/>
        <v>Monsoon</v>
      </c>
    </row>
    <row r="1738" spans="1:12" x14ac:dyDescent="0.25">
      <c r="A1738">
        <v>1737</v>
      </c>
      <c r="B1738">
        <v>1235</v>
      </c>
      <c r="C1738">
        <v>984</v>
      </c>
      <c r="D1738" s="1">
        <v>45814</v>
      </c>
      <c r="E1738" t="s">
        <v>24</v>
      </c>
      <c r="F1738" t="s">
        <v>321</v>
      </c>
      <c r="G1738" t="str">
        <f>_xlfn.XLOOKUP(TRIM(E1739),MedicineInfo!A:A,MedicineInfo!B:B,"Not Found")</f>
        <v>Multivitamin</v>
      </c>
      <c r="H1738" s="1" t="str" cm="1">
        <f t="array" ref="H1738">_xlfn.IFS(
OR(E1738="Type 2 Diabetes",E1738="Essential Hypertension",E1738="Angina Pectoris",E1738="Bronchial Asthma",E1738="Cardiac Arrhythmia"), D1738+30,
OR(E1738="Gastritis",E1738="Osteoarthritis",E1738="Bronchitis",E1738="Iron Deficiency Anemia"), D1738+14,
OR(E1738="Lumbar Strain",E1738="Migraine Headache"), D1738+7,
OR(E1738="Viral Fever",E1738="General Checkup","Routine Health Check"), "",
TRUE,""
)</f>
        <v/>
      </c>
      <c r="I1738" s="1" t="str">
        <f t="shared" si="54"/>
        <v>No Follow-up Required</v>
      </c>
      <c r="J1738" t="str">
        <f>TEXT(Table8[[#This Row],[visit_Date]],"DDDD")</f>
        <v>Friday</v>
      </c>
      <c r="K1738" t="str">
        <f>TEXT(Table8[[#This Row],[visit_Date]],"mmmm")</f>
        <v>June</v>
      </c>
      <c r="L1738" t="str">
        <f t="shared" si="55"/>
        <v>Monsoon</v>
      </c>
    </row>
    <row r="1739" spans="1:12" x14ac:dyDescent="0.25">
      <c r="A1739">
        <v>1738</v>
      </c>
      <c r="B1739">
        <v>1150</v>
      </c>
      <c r="C1739">
        <v>548</v>
      </c>
      <c r="D1739" s="1">
        <v>45747</v>
      </c>
      <c r="E1739" t="s">
        <v>24</v>
      </c>
      <c r="F1739" t="s">
        <v>321</v>
      </c>
      <c r="G1739" t="str">
        <f>_xlfn.XLOOKUP(TRIM(E1740),MedicineInfo!A:A,MedicineInfo!B:B,"Not Found")</f>
        <v>Multivitamin</v>
      </c>
      <c r="H1739" s="1" t="str" cm="1">
        <f t="array" ref="H1739">_xlfn.IFS(
OR(E1739="Type 2 Diabetes",E1739="Essential Hypertension",E1739="Angina Pectoris",E1739="Bronchial Asthma",E1739="Cardiac Arrhythmia"), D1739+30,
OR(E1739="Gastritis",E1739="Osteoarthritis",E1739="Bronchitis",E1739="Iron Deficiency Anemia"), D1739+14,
OR(E1739="Lumbar Strain",E1739="Migraine Headache"), D1739+7,
OR(E1739="Viral Fever",E1739="General Checkup","Routine Health Check"), "",
TRUE,""
)</f>
        <v/>
      </c>
      <c r="I1739" s="1" t="str">
        <f t="shared" si="54"/>
        <v>No Follow-up Required</v>
      </c>
      <c r="J1739" t="str">
        <f>TEXT(Table8[[#This Row],[visit_Date]],"DDDD")</f>
        <v>Monday</v>
      </c>
      <c r="K1739" t="str">
        <f>TEXT(Table8[[#This Row],[visit_Date]],"mmmm")</f>
        <v>March</v>
      </c>
      <c r="L1739" t="str">
        <f t="shared" si="55"/>
        <v>Summer</v>
      </c>
    </row>
    <row r="1740" spans="1:12" x14ac:dyDescent="0.25">
      <c r="A1740">
        <v>1739</v>
      </c>
      <c r="B1740">
        <v>1395</v>
      </c>
      <c r="C1740">
        <v>669</v>
      </c>
      <c r="D1740" s="1">
        <v>45831</v>
      </c>
      <c r="E1740" t="s">
        <v>24</v>
      </c>
      <c r="F1740" t="s">
        <v>321</v>
      </c>
      <c r="G1740" t="str">
        <f>_xlfn.XLOOKUP(TRIM(E1741),MedicineInfo!A:A,MedicineInfo!B:B,"Not Found")</f>
        <v>Multivitamin</v>
      </c>
      <c r="H1740" s="1" t="str" cm="1">
        <f t="array" ref="H1740">_xlfn.IFS(
OR(E1740="Type 2 Diabetes",E1740="Essential Hypertension",E1740="Angina Pectoris",E1740="Bronchial Asthma",E1740="Cardiac Arrhythmia"), D1740+30,
OR(E1740="Gastritis",E1740="Osteoarthritis",E1740="Bronchitis",E1740="Iron Deficiency Anemia"), D1740+14,
OR(E1740="Lumbar Strain",E1740="Migraine Headache"), D1740+7,
OR(E1740="Viral Fever",E1740="General Checkup","Routine Health Check"), "",
TRUE,""
)</f>
        <v/>
      </c>
      <c r="I1740" s="1" t="str">
        <f t="shared" si="54"/>
        <v>No Follow-up Required</v>
      </c>
      <c r="J1740" t="str">
        <f>TEXT(Table8[[#This Row],[visit_Date]],"DDDD")</f>
        <v>Monday</v>
      </c>
      <c r="K1740" t="str">
        <f>TEXT(Table8[[#This Row],[visit_Date]],"mmmm")</f>
        <v>June</v>
      </c>
      <c r="L1740" t="str">
        <f t="shared" si="55"/>
        <v>Monsoon</v>
      </c>
    </row>
    <row r="1741" spans="1:12" x14ac:dyDescent="0.25">
      <c r="A1741">
        <v>1740</v>
      </c>
      <c r="B1741">
        <v>1175</v>
      </c>
      <c r="C1741">
        <v>1172</v>
      </c>
      <c r="D1741" s="1">
        <v>45747</v>
      </c>
      <c r="E1741" t="s">
        <v>24</v>
      </c>
      <c r="F1741" t="s">
        <v>321</v>
      </c>
      <c r="G1741" t="str">
        <f>_xlfn.XLOOKUP(TRIM(E1742),MedicineInfo!A:A,MedicineInfo!B:B,"Not Found")</f>
        <v>Multivitamin</v>
      </c>
      <c r="H1741" s="1" t="str" cm="1">
        <f t="array" ref="H1741">_xlfn.IFS(
OR(E1741="Type 2 Diabetes",E1741="Essential Hypertension",E1741="Angina Pectoris",E1741="Bronchial Asthma",E1741="Cardiac Arrhythmia"), D1741+30,
OR(E1741="Gastritis",E1741="Osteoarthritis",E1741="Bronchitis",E1741="Iron Deficiency Anemia"), D1741+14,
OR(E1741="Lumbar Strain",E1741="Migraine Headache"), D1741+7,
OR(E1741="Viral Fever",E1741="General Checkup","Routine Health Check"), "",
TRUE,""
)</f>
        <v/>
      </c>
      <c r="I1741" s="1" t="str">
        <f t="shared" si="54"/>
        <v>No Follow-up Required</v>
      </c>
      <c r="J1741" t="str">
        <f>TEXT(Table8[[#This Row],[visit_Date]],"DDDD")</f>
        <v>Monday</v>
      </c>
      <c r="K1741" t="str">
        <f>TEXT(Table8[[#This Row],[visit_Date]],"mmmm")</f>
        <v>March</v>
      </c>
      <c r="L1741" t="str">
        <f t="shared" si="55"/>
        <v>Summer</v>
      </c>
    </row>
    <row r="1742" spans="1:12" x14ac:dyDescent="0.25">
      <c r="A1742">
        <v>1741</v>
      </c>
      <c r="B1742">
        <v>1225</v>
      </c>
      <c r="C1742">
        <v>659</v>
      </c>
      <c r="D1742" s="1">
        <v>45747</v>
      </c>
      <c r="E1742" t="s">
        <v>24</v>
      </c>
      <c r="F1742" t="s">
        <v>321</v>
      </c>
      <c r="G1742" t="str">
        <f>_xlfn.XLOOKUP(TRIM(E1743),MedicineInfo!A:A,MedicineInfo!B:B,"Not Found")</f>
        <v>Multivitamin</v>
      </c>
      <c r="H1742" s="1" t="str" cm="1">
        <f t="array" ref="H1742">_xlfn.IFS(
OR(E1742="Type 2 Diabetes",E1742="Essential Hypertension",E1742="Angina Pectoris",E1742="Bronchial Asthma",E1742="Cardiac Arrhythmia"), D1742+30,
OR(E1742="Gastritis",E1742="Osteoarthritis",E1742="Bronchitis",E1742="Iron Deficiency Anemia"), D1742+14,
OR(E1742="Lumbar Strain",E1742="Migraine Headache"), D1742+7,
OR(E1742="Viral Fever",E1742="General Checkup","Routine Health Check"), "",
TRUE,""
)</f>
        <v/>
      </c>
      <c r="I1742" s="1" t="str">
        <f t="shared" si="54"/>
        <v>No Follow-up Required</v>
      </c>
      <c r="J1742" t="str">
        <f>TEXT(Table8[[#This Row],[visit_Date]],"DDDD")</f>
        <v>Monday</v>
      </c>
      <c r="K1742" t="str">
        <f>TEXT(Table8[[#This Row],[visit_Date]],"mmmm")</f>
        <v>March</v>
      </c>
      <c r="L1742" t="str">
        <f t="shared" si="55"/>
        <v>Summer</v>
      </c>
    </row>
    <row r="1743" spans="1:12" x14ac:dyDescent="0.25">
      <c r="A1743">
        <v>1742</v>
      </c>
      <c r="B1743">
        <v>1224</v>
      </c>
      <c r="C1743">
        <v>677</v>
      </c>
      <c r="D1743" s="1">
        <v>45836</v>
      </c>
      <c r="E1743" t="s">
        <v>24</v>
      </c>
      <c r="F1743" t="s">
        <v>321</v>
      </c>
      <c r="G1743" t="str">
        <f>_xlfn.XLOOKUP(TRIM(E1744),MedicineInfo!A:A,MedicineInfo!B:B,"Not Found")</f>
        <v>Hydrocortisone Cream</v>
      </c>
      <c r="H1743" s="1" t="str" cm="1">
        <f t="array" ref="H1743">_xlfn.IFS(
OR(E1743="Type 2 Diabetes",E1743="Essential Hypertension",E1743="Angina Pectoris",E1743="Bronchial Asthma",E1743="Cardiac Arrhythmia"), D1743+30,
OR(E1743="Gastritis",E1743="Osteoarthritis",E1743="Bronchitis",E1743="Iron Deficiency Anemia"), D1743+14,
OR(E1743="Lumbar Strain",E1743="Migraine Headache"), D1743+7,
OR(E1743="Viral Fever",E1743="General Checkup","Routine Health Check"), "",
TRUE,""
)</f>
        <v/>
      </c>
      <c r="I1743" s="1" t="str">
        <f t="shared" si="54"/>
        <v>No Follow-up Required</v>
      </c>
      <c r="J1743" t="str">
        <f>TEXT(Table8[[#This Row],[visit_Date]],"DDDD")</f>
        <v>Saturday</v>
      </c>
      <c r="K1743" t="str">
        <f>TEXT(Table8[[#This Row],[visit_Date]],"mmmm")</f>
        <v>June</v>
      </c>
      <c r="L1743" t="str">
        <f t="shared" si="55"/>
        <v>Monsoon</v>
      </c>
    </row>
    <row r="1744" spans="1:12" x14ac:dyDescent="0.25">
      <c r="A1744">
        <v>1743</v>
      </c>
      <c r="B1744">
        <v>1109</v>
      </c>
      <c r="C1744">
        <v>1184</v>
      </c>
      <c r="D1744" s="1">
        <v>45686</v>
      </c>
      <c r="E1744" t="s">
        <v>338</v>
      </c>
      <c r="F1744" t="s">
        <v>339</v>
      </c>
      <c r="G1744" t="str">
        <f>_xlfn.XLOOKUP(TRIM(E1745),MedicineInfo!A:A,MedicineInfo!B:B,"Not Found")</f>
        <v>Multivitamin</v>
      </c>
      <c r="H1744" s="1" t="str" cm="1">
        <f t="array" ref="H1744">_xlfn.IFS(
OR(E1744="Type 2 Diabetes",E1744="Essential Hypertension",E1744="Angina Pectoris",E1744="Bronchial Asthma",E1744="Cardiac Arrhythmia"), D1744+30,
OR(E1744="Gastritis",E1744="Osteoarthritis",E1744="Bronchitis",E1744="Iron Deficiency Anemia"), D1744+14,
OR(E1744="Lumbar Strain",E1744="Migraine Headache"), D1744+7,
OR(E1744="Viral Fever",E1744="General Checkup","Routine Health Check"), "",
TRUE,""
)</f>
        <v/>
      </c>
      <c r="I1744" s="1" t="str">
        <f t="shared" si="54"/>
        <v>No Follow-up Required</v>
      </c>
      <c r="J1744" t="str">
        <f>TEXT(Table8[[#This Row],[visit_Date]],"DDDD")</f>
        <v>Wednesday</v>
      </c>
      <c r="K1744" t="str">
        <f>TEXT(Table8[[#This Row],[visit_Date]],"mmmm")</f>
        <v>January</v>
      </c>
      <c r="L1744" t="str">
        <f t="shared" si="55"/>
        <v>Winter</v>
      </c>
    </row>
    <row r="1745" spans="1:12" x14ac:dyDescent="0.25">
      <c r="A1745">
        <v>1744</v>
      </c>
      <c r="B1745">
        <v>1172</v>
      </c>
      <c r="C1745">
        <v>336</v>
      </c>
      <c r="D1745" s="1">
        <v>45722</v>
      </c>
      <c r="E1745" t="s">
        <v>24</v>
      </c>
      <c r="F1745" t="s">
        <v>321</v>
      </c>
      <c r="G1745" t="str">
        <f>_xlfn.XLOOKUP(TRIM(E1746),MedicineInfo!A:A,MedicineInfo!B:B,"Not Found")</f>
        <v>Multivitamin</v>
      </c>
      <c r="H1745" s="1" t="str" cm="1">
        <f t="array" ref="H1745">_xlfn.IFS(
OR(E1745="Type 2 Diabetes",E1745="Essential Hypertension",E1745="Angina Pectoris",E1745="Bronchial Asthma",E1745="Cardiac Arrhythmia"), D1745+30,
OR(E1745="Gastritis",E1745="Osteoarthritis",E1745="Bronchitis",E1745="Iron Deficiency Anemia"), D1745+14,
OR(E1745="Lumbar Strain",E1745="Migraine Headache"), D1745+7,
OR(E1745="Viral Fever",E1745="General Checkup","Routine Health Check"), "",
TRUE,""
)</f>
        <v/>
      </c>
      <c r="I1745" s="1" t="str">
        <f t="shared" si="54"/>
        <v>No Follow-up Required</v>
      </c>
      <c r="J1745" t="str">
        <f>TEXT(Table8[[#This Row],[visit_Date]],"DDDD")</f>
        <v>Thursday</v>
      </c>
      <c r="K1745" t="str">
        <f>TEXT(Table8[[#This Row],[visit_Date]],"mmmm")</f>
        <v>March</v>
      </c>
      <c r="L1745" t="str">
        <f t="shared" si="55"/>
        <v>Summer</v>
      </c>
    </row>
    <row r="1746" spans="1:12" x14ac:dyDescent="0.25">
      <c r="A1746">
        <v>1745</v>
      </c>
      <c r="B1746">
        <v>1383</v>
      </c>
      <c r="C1746">
        <v>1251</v>
      </c>
      <c r="D1746" s="1">
        <v>45676</v>
      </c>
      <c r="E1746" t="s">
        <v>24</v>
      </c>
      <c r="F1746" t="s">
        <v>321</v>
      </c>
      <c r="G1746" t="str">
        <f>_xlfn.XLOOKUP(TRIM(E1747),MedicineInfo!A:A,MedicineInfo!B:B,"Not Found")</f>
        <v>Multivitamin</v>
      </c>
      <c r="H1746" s="1" t="str" cm="1">
        <f t="array" ref="H1746">_xlfn.IFS(
OR(E1746="Type 2 Diabetes",E1746="Essential Hypertension",E1746="Angina Pectoris",E1746="Bronchial Asthma",E1746="Cardiac Arrhythmia"), D1746+30,
OR(E1746="Gastritis",E1746="Osteoarthritis",E1746="Bronchitis",E1746="Iron Deficiency Anemia"), D1746+14,
OR(E1746="Lumbar Strain",E1746="Migraine Headache"), D1746+7,
OR(E1746="Viral Fever",E1746="General Checkup","Routine Health Check"), "",
TRUE,""
)</f>
        <v/>
      </c>
      <c r="I1746" s="1" t="str">
        <f t="shared" si="54"/>
        <v>No Follow-up Required</v>
      </c>
      <c r="J1746" t="str">
        <f>TEXT(Table8[[#This Row],[visit_Date]],"DDDD")</f>
        <v>Sunday</v>
      </c>
      <c r="K1746" t="str">
        <f>TEXT(Table8[[#This Row],[visit_Date]],"mmmm")</f>
        <v>January</v>
      </c>
      <c r="L1746" t="str">
        <f t="shared" si="55"/>
        <v>Winter</v>
      </c>
    </row>
    <row r="1747" spans="1:12" x14ac:dyDescent="0.25">
      <c r="A1747">
        <v>1746</v>
      </c>
      <c r="B1747">
        <v>1358</v>
      </c>
      <c r="C1747">
        <v>1570</v>
      </c>
      <c r="D1747" s="1">
        <v>45663</v>
      </c>
      <c r="E1747" t="s">
        <v>24</v>
      </c>
      <c r="F1747" t="s">
        <v>321</v>
      </c>
      <c r="G1747" t="str">
        <f>_xlfn.XLOOKUP(TRIM(E1748),MedicineInfo!A:A,MedicineInfo!B:B,"Not Found")</f>
        <v>Multivitamin</v>
      </c>
      <c r="H1747" s="1" t="str" cm="1">
        <f t="array" ref="H1747">_xlfn.IFS(
OR(E1747="Type 2 Diabetes",E1747="Essential Hypertension",E1747="Angina Pectoris",E1747="Bronchial Asthma",E1747="Cardiac Arrhythmia"), D1747+30,
OR(E1747="Gastritis",E1747="Osteoarthritis",E1747="Bronchitis",E1747="Iron Deficiency Anemia"), D1747+14,
OR(E1747="Lumbar Strain",E1747="Migraine Headache"), D1747+7,
OR(E1747="Viral Fever",E1747="General Checkup","Routine Health Check"), "",
TRUE,""
)</f>
        <v/>
      </c>
      <c r="I1747" s="1" t="str">
        <f t="shared" si="54"/>
        <v>No Follow-up Required</v>
      </c>
      <c r="J1747" t="str">
        <f>TEXT(Table8[[#This Row],[visit_Date]],"DDDD")</f>
        <v>Monday</v>
      </c>
      <c r="K1747" t="str">
        <f>TEXT(Table8[[#This Row],[visit_Date]],"mmmm")</f>
        <v>January</v>
      </c>
      <c r="L1747" t="str">
        <f t="shared" si="55"/>
        <v>Winter</v>
      </c>
    </row>
    <row r="1748" spans="1:12" x14ac:dyDescent="0.25">
      <c r="A1748">
        <v>1747</v>
      </c>
      <c r="B1748">
        <v>1154</v>
      </c>
      <c r="C1748">
        <v>1413</v>
      </c>
      <c r="D1748" s="1">
        <v>45799</v>
      </c>
      <c r="E1748" t="s">
        <v>24</v>
      </c>
      <c r="F1748" t="s">
        <v>321</v>
      </c>
      <c r="G1748" t="str">
        <f>_xlfn.XLOOKUP(TRIM(E1749),MedicineInfo!A:A,MedicineInfo!B:B,"Not Found")</f>
        <v>Multivitamin</v>
      </c>
      <c r="H1748" s="1" t="str" cm="1">
        <f t="array" ref="H1748">_xlfn.IFS(
OR(E1748="Type 2 Diabetes",E1748="Essential Hypertension",E1748="Angina Pectoris",E1748="Bronchial Asthma",E1748="Cardiac Arrhythmia"), D1748+30,
OR(E1748="Gastritis",E1748="Osteoarthritis",E1748="Bronchitis",E1748="Iron Deficiency Anemia"), D1748+14,
OR(E1748="Lumbar Strain",E1748="Migraine Headache"), D1748+7,
OR(E1748="Viral Fever",E1748="General Checkup","Routine Health Check"), "",
TRUE,""
)</f>
        <v/>
      </c>
      <c r="I1748" s="1" t="str">
        <f t="shared" si="54"/>
        <v>No Follow-up Required</v>
      </c>
      <c r="J1748" t="str">
        <f>TEXT(Table8[[#This Row],[visit_Date]],"DDDD")</f>
        <v>Thursday</v>
      </c>
      <c r="K1748" t="str">
        <f>TEXT(Table8[[#This Row],[visit_Date]],"mmmm")</f>
        <v>May</v>
      </c>
      <c r="L1748" t="str">
        <f t="shared" si="55"/>
        <v>Summer</v>
      </c>
    </row>
    <row r="1749" spans="1:12" x14ac:dyDescent="0.25">
      <c r="A1749">
        <v>1748</v>
      </c>
      <c r="B1749">
        <v>1191</v>
      </c>
      <c r="C1749">
        <v>874</v>
      </c>
      <c r="D1749" s="1">
        <v>45783</v>
      </c>
      <c r="E1749" t="s">
        <v>24</v>
      </c>
      <c r="F1749" t="s">
        <v>321</v>
      </c>
      <c r="G1749" t="str">
        <f>_xlfn.XLOOKUP(TRIM(E1750),MedicineInfo!A:A,MedicineInfo!B:B,"Not Found")</f>
        <v>Not Found</v>
      </c>
      <c r="H1749" s="1" t="str" cm="1">
        <f t="array" ref="H1749">_xlfn.IFS(
OR(E1749="Type 2 Diabetes",E1749="Essential Hypertension",E1749="Angina Pectoris",E1749="Bronchial Asthma",E1749="Cardiac Arrhythmia"), D1749+30,
OR(E1749="Gastritis",E1749="Osteoarthritis",E1749="Bronchitis",E1749="Iron Deficiency Anemia"), D1749+14,
OR(E1749="Lumbar Strain",E1749="Migraine Headache"), D1749+7,
OR(E1749="Viral Fever",E1749="General Checkup","Routine Health Check"), "",
TRUE,""
)</f>
        <v/>
      </c>
      <c r="I1749" s="1" t="str">
        <f t="shared" si="54"/>
        <v>No Follow-up Required</v>
      </c>
      <c r="J1749" t="str">
        <f>TEXT(Table8[[#This Row],[visit_Date]],"DDDD")</f>
        <v>Tuesday</v>
      </c>
      <c r="K1749" t="str">
        <f>TEXT(Table8[[#This Row],[visit_Date]],"mmmm")</f>
        <v>May</v>
      </c>
      <c r="L1749" t="str">
        <f t="shared" si="55"/>
        <v>Summer</v>
      </c>
    </row>
    <row r="1750" spans="1:12" x14ac:dyDescent="0.25">
      <c r="A1750">
        <v>1749</v>
      </c>
      <c r="B1750">
        <v>1205</v>
      </c>
      <c r="C1750">
        <v>634</v>
      </c>
      <c r="D1750" s="1">
        <v>45672</v>
      </c>
      <c r="E1750" t="s">
        <v>340</v>
      </c>
      <c r="F1750" t="s">
        <v>341</v>
      </c>
      <c r="G1750" t="str">
        <f>_xlfn.XLOOKUP(TRIM(E1751),MedicineInfo!A:A,MedicineInfo!B:B,"Not Found")</f>
        <v>Multivitamin</v>
      </c>
      <c r="H1750" s="1" t="str" cm="1">
        <f t="array" ref="H1750">_xlfn.IFS(
OR(E1750="Type 2 Diabetes",E1750="Essential Hypertension",E1750="Angina Pectoris",E1750="Bronchial Asthma",E1750="Cardiac Arrhythmia"), D1750+30,
OR(E1750="Gastritis",E1750="Osteoarthritis",E1750="Bronchitis",E1750="Iron Deficiency Anemia"), D1750+14,
OR(E1750="Lumbar Strain",E1750="Migraine Headache"), D1750+7,
OR(E1750="Viral Fever",E1750="General Checkup","Routine Health Check"), "",
TRUE,""
)</f>
        <v/>
      </c>
      <c r="I1750" s="1" t="str">
        <f t="shared" si="54"/>
        <v>No Follow-up Required</v>
      </c>
      <c r="J1750" t="str">
        <f>TEXT(Table8[[#This Row],[visit_Date]],"DDDD")</f>
        <v>Wednesday</v>
      </c>
      <c r="K1750" t="str">
        <f>TEXT(Table8[[#This Row],[visit_Date]],"mmmm")</f>
        <v>January</v>
      </c>
      <c r="L1750" t="str">
        <f t="shared" si="55"/>
        <v>Winter</v>
      </c>
    </row>
    <row r="1751" spans="1:12" x14ac:dyDescent="0.25">
      <c r="A1751">
        <v>1750</v>
      </c>
      <c r="B1751">
        <v>1052</v>
      </c>
      <c r="C1751">
        <v>339</v>
      </c>
      <c r="D1751" s="1">
        <v>45783</v>
      </c>
      <c r="E1751" t="s">
        <v>24</v>
      </c>
      <c r="F1751" t="s">
        <v>321</v>
      </c>
      <c r="G1751" t="str">
        <f>_xlfn.XLOOKUP(TRIM(E1752),MedicineInfo!A:A,MedicineInfo!B:B,"Not Found")</f>
        <v>Multivitamin</v>
      </c>
      <c r="H1751" s="1" t="str" cm="1">
        <f t="array" ref="H1751">_xlfn.IFS(
OR(E1751="Type 2 Diabetes",E1751="Essential Hypertension",E1751="Angina Pectoris",E1751="Bronchial Asthma",E1751="Cardiac Arrhythmia"), D1751+30,
OR(E1751="Gastritis",E1751="Osteoarthritis",E1751="Bronchitis",E1751="Iron Deficiency Anemia"), D1751+14,
OR(E1751="Lumbar Strain",E1751="Migraine Headache"), D1751+7,
OR(E1751="Viral Fever",E1751="General Checkup","Routine Health Check"), "",
TRUE,""
)</f>
        <v/>
      </c>
      <c r="I1751" s="1" t="str">
        <f t="shared" si="54"/>
        <v>No Follow-up Required</v>
      </c>
      <c r="J1751" t="str">
        <f>TEXT(Table8[[#This Row],[visit_Date]],"DDDD")</f>
        <v>Tuesday</v>
      </c>
      <c r="K1751" t="str">
        <f>TEXT(Table8[[#This Row],[visit_Date]],"mmmm")</f>
        <v>May</v>
      </c>
      <c r="L1751" t="str">
        <f t="shared" si="55"/>
        <v>Summer</v>
      </c>
    </row>
    <row r="1752" spans="1:12" x14ac:dyDescent="0.25">
      <c r="A1752">
        <v>1751</v>
      </c>
      <c r="B1752">
        <v>1086</v>
      </c>
      <c r="C1752">
        <v>1303</v>
      </c>
      <c r="D1752" s="1">
        <v>45783</v>
      </c>
      <c r="E1752" t="s">
        <v>24</v>
      </c>
      <c r="F1752" t="s">
        <v>321</v>
      </c>
      <c r="G1752" t="str">
        <f>_xlfn.XLOOKUP(TRIM(E1753),MedicineInfo!A:A,MedicineInfo!B:B,"Not Found")</f>
        <v>Multivitamin</v>
      </c>
      <c r="H1752" s="1" t="str" cm="1">
        <f t="array" ref="H1752">_xlfn.IFS(
OR(E1752="Type 2 Diabetes",E1752="Essential Hypertension",E1752="Angina Pectoris",E1752="Bronchial Asthma",E1752="Cardiac Arrhythmia"), D1752+30,
OR(E1752="Gastritis",E1752="Osteoarthritis",E1752="Bronchitis",E1752="Iron Deficiency Anemia"), D1752+14,
OR(E1752="Lumbar Strain",E1752="Migraine Headache"), D1752+7,
OR(E1752="Viral Fever",E1752="General Checkup","Routine Health Check"), "",
TRUE,""
)</f>
        <v/>
      </c>
      <c r="I1752" s="1" t="str">
        <f t="shared" si="54"/>
        <v>No Follow-up Required</v>
      </c>
      <c r="J1752" t="str">
        <f>TEXT(Table8[[#This Row],[visit_Date]],"DDDD")</f>
        <v>Tuesday</v>
      </c>
      <c r="K1752" t="str">
        <f>TEXT(Table8[[#This Row],[visit_Date]],"mmmm")</f>
        <v>May</v>
      </c>
      <c r="L1752" t="str">
        <f t="shared" si="55"/>
        <v>Summer</v>
      </c>
    </row>
    <row r="1753" spans="1:12" x14ac:dyDescent="0.25">
      <c r="A1753">
        <v>1752</v>
      </c>
      <c r="B1753">
        <v>1125</v>
      </c>
      <c r="C1753">
        <v>1363</v>
      </c>
      <c r="D1753" s="1">
        <v>45752</v>
      </c>
      <c r="E1753" t="s">
        <v>24</v>
      </c>
      <c r="F1753" t="s">
        <v>321</v>
      </c>
      <c r="G1753" t="str">
        <f>_xlfn.XLOOKUP(TRIM(E1754),MedicineInfo!A:A,MedicineInfo!B:B,"Not Found")</f>
        <v>Folic Acid</v>
      </c>
      <c r="H1753" s="1" t="str" cm="1">
        <f t="array" ref="H1753">_xlfn.IFS(
OR(E1753="Type 2 Diabetes",E1753="Essential Hypertension",E1753="Angina Pectoris",E1753="Bronchial Asthma",E1753="Cardiac Arrhythmia"), D1753+30,
OR(E1753="Gastritis",E1753="Osteoarthritis",E1753="Bronchitis",E1753="Iron Deficiency Anemia"), D1753+14,
OR(E1753="Lumbar Strain",E1753="Migraine Headache"), D1753+7,
OR(E1753="Viral Fever",E1753="General Checkup","Routine Health Check"), "",
TRUE,""
)</f>
        <v/>
      </c>
      <c r="I1753" s="1" t="str">
        <f t="shared" si="54"/>
        <v>No Follow-up Required</v>
      </c>
      <c r="J1753" t="str">
        <f>TEXT(Table8[[#This Row],[visit_Date]],"DDDD")</f>
        <v>Saturday</v>
      </c>
      <c r="K1753" t="str">
        <f>TEXT(Table8[[#This Row],[visit_Date]],"mmmm")</f>
        <v>April</v>
      </c>
      <c r="L1753" t="str">
        <f t="shared" si="55"/>
        <v>Summer</v>
      </c>
    </row>
    <row r="1754" spans="1:12" x14ac:dyDescent="0.25">
      <c r="A1754">
        <v>1753</v>
      </c>
      <c r="B1754">
        <v>1232</v>
      </c>
      <c r="C1754">
        <v>1251</v>
      </c>
      <c r="D1754" s="1">
        <v>45758</v>
      </c>
      <c r="E1754" t="s">
        <v>356</v>
      </c>
      <c r="F1754" t="s">
        <v>357</v>
      </c>
      <c r="G1754" t="str">
        <f>_xlfn.XLOOKUP(TRIM(E1755),MedicineInfo!A:A,MedicineInfo!B:B,"Not Found")</f>
        <v>Ferrous Sulfate</v>
      </c>
      <c r="H1754" s="1" t="str" cm="1">
        <f t="array" ref="H1754">_xlfn.IFS(
OR(E1754="Type 2 Diabetes",E1754="Essential Hypertension",E1754="Angina Pectoris",E1754="Bronchial Asthma",E1754="Cardiac Arrhythmia"), D1754+30,
OR(E1754="Gastritis",E1754="Osteoarthritis",E1754="Bronchitis",E1754="Iron Deficiency Anemia"), D1754+14,
OR(E1754="Lumbar Strain",E1754="Migraine Headache"), D1754+7,
OR(E1754="Viral Fever",E1754="General Checkup","Routine Health Check"), "",
TRUE,""
)</f>
        <v/>
      </c>
      <c r="I1754" s="1" t="str">
        <f t="shared" si="54"/>
        <v>No Follow-up Required</v>
      </c>
      <c r="J1754" t="str">
        <f>TEXT(Table8[[#This Row],[visit_Date]],"DDDD")</f>
        <v>Friday</v>
      </c>
      <c r="K1754" t="str">
        <f>TEXT(Table8[[#This Row],[visit_Date]],"mmmm")</f>
        <v>April</v>
      </c>
      <c r="L1754" t="str">
        <f t="shared" si="55"/>
        <v>Summer</v>
      </c>
    </row>
    <row r="1755" spans="1:12" x14ac:dyDescent="0.25">
      <c r="A1755">
        <v>1754</v>
      </c>
      <c r="B1755">
        <v>1039</v>
      </c>
      <c r="C1755">
        <v>213</v>
      </c>
      <c r="D1755" s="1">
        <v>45708</v>
      </c>
      <c r="E1755" t="s">
        <v>358</v>
      </c>
      <c r="F1755" t="s">
        <v>359</v>
      </c>
      <c r="G1755" t="str">
        <f>_xlfn.XLOOKUP(TRIM(E1756),MedicineInfo!A:A,MedicineInfo!B:B,"Not Found")</f>
        <v>Multivitamin</v>
      </c>
      <c r="H1755" s="1" cm="1">
        <f t="array" ref="H1755">_xlfn.IFS(
OR(E1755="Type 2 Diabetes",E1755="Essential Hypertension",E1755="Angina Pectoris",E1755="Bronchial Asthma",E1755="Cardiac Arrhythmia"), D1755+30,
OR(E1755="Gastritis",E1755="Osteoarthritis",E1755="Bronchitis",E1755="Iron Deficiency Anemia"), D1755+14,
OR(E1755="Lumbar Strain",E1755="Migraine Headache"), D1755+7,
OR(E1755="Viral Fever",E1755="General Checkup","Routine Health Check"), "",
TRUE,""
)</f>
        <v>45722</v>
      </c>
      <c r="I1755" s="1" t="str">
        <f t="shared" si="54"/>
        <v>Follow-up Scheduled</v>
      </c>
      <c r="J1755" t="str">
        <f>TEXT(Table8[[#This Row],[visit_Date]],"DDDD")</f>
        <v>Thursday</v>
      </c>
      <c r="K1755" t="str">
        <f>TEXT(Table8[[#This Row],[visit_Date]],"mmmm")</f>
        <v>February</v>
      </c>
      <c r="L1755" t="str">
        <f t="shared" si="55"/>
        <v>Winter</v>
      </c>
    </row>
    <row r="1756" spans="1:12" x14ac:dyDescent="0.25">
      <c r="A1756">
        <v>1755</v>
      </c>
      <c r="B1756">
        <v>1014</v>
      </c>
      <c r="C1756">
        <v>972</v>
      </c>
      <c r="D1756" s="1">
        <v>45745</v>
      </c>
      <c r="E1756" t="s">
        <v>24</v>
      </c>
      <c r="F1756" t="s">
        <v>321</v>
      </c>
      <c r="G1756" t="str">
        <f>_xlfn.XLOOKUP(TRIM(E1757),MedicineInfo!A:A,MedicineInfo!B:B,"Not Found")</f>
        <v>Multivitamin</v>
      </c>
      <c r="H1756" s="1" t="str" cm="1">
        <f t="array" ref="H1756">_xlfn.IFS(
OR(E1756="Type 2 Diabetes",E1756="Essential Hypertension",E1756="Angina Pectoris",E1756="Bronchial Asthma",E1756="Cardiac Arrhythmia"), D1756+30,
OR(E1756="Gastritis",E1756="Osteoarthritis",E1756="Bronchitis",E1756="Iron Deficiency Anemia"), D1756+14,
OR(E1756="Lumbar Strain",E1756="Migraine Headache"), D1756+7,
OR(E1756="Viral Fever",E1756="General Checkup","Routine Health Check"), "",
TRUE,""
)</f>
        <v/>
      </c>
      <c r="I1756" s="1" t="str">
        <f t="shared" si="54"/>
        <v>No Follow-up Required</v>
      </c>
      <c r="J1756" t="str">
        <f>TEXT(Table8[[#This Row],[visit_Date]],"DDDD")</f>
        <v>Saturday</v>
      </c>
      <c r="K1756" t="str">
        <f>TEXT(Table8[[#This Row],[visit_Date]],"mmmm")</f>
        <v>March</v>
      </c>
      <c r="L1756" t="str">
        <f t="shared" si="55"/>
        <v>Summer</v>
      </c>
    </row>
    <row r="1757" spans="1:12" x14ac:dyDescent="0.25">
      <c r="A1757">
        <v>1756</v>
      </c>
      <c r="B1757">
        <v>1361</v>
      </c>
      <c r="C1757">
        <v>787</v>
      </c>
      <c r="D1757" s="1">
        <v>45819</v>
      </c>
      <c r="E1757" t="s">
        <v>24</v>
      </c>
      <c r="F1757" t="s">
        <v>321</v>
      </c>
      <c r="G1757" t="str">
        <f>_xlfn.XLOOKUP(TRIM(E1758),MedicineInfo!A:A,MedicineInfo!B:B,"Not Found")</f>
        <v>Multivitamin</v>
      </c>
      <c r="H1757" s="1" t="str" cm="1">
        <f t="array" ref="H1757">_xlfn.IFS(
OR(E1757="Type 2 Diabetes",E1757="Essential Hypertension",E1757="Angina Pectoris",E1757="Bronchial Asthma",E1757="Cardiac Arrhythmia"), D1757+30,
OR(E1757="Gastritis",E1757="Osteoarthritis",E1757="Bronchitis",E1757="Iron Deficiency Anemia"), D1757+14,
OR(E1757="Lumbar Strain",E1757="Migraine Headache"), D1757+7,
OR(E1757="Viral Fever",E1757="General Checkup","Routine Health Check"), "",
TRUE,""
)</f>
        <v/>
      </c>
      <c r="I1757" s="1" t="str">
        <f t="shared" si="54"/>
        <v>No Follow-up Required</v>
      </c>
      <c r="J1757" t="str">
        <f>TEXT(Table8[[#This Row],[visit_Date]],"DDDD")</f>
        <v>Wednesday</v>
      </c>
      <c r="K1757" t="str">
        <f>TEXT(Table8[[#This Row],[visit_Date]],"mmmm")</f>
        <v>June</v>
      </c>
      <c r="L1757" t="str">
        <f t="shared" si="55"/>
        <v>Monsoon</v>
      </c>
    </row>
    <row r="1758" spans="1:12" x14ac:dyDescent="0.25">
      <c r="A1758">
        <v>1757</v>
      </c>
      <c r="B1758">
        <v>1166</v>
      </c>
      <c r="C1758">
        <v>110</v>
      </c>
      <c r="D1758" s="1">
        <v>45795</v>
      </c>
      <c r="E1758" t="s">
        <v>24</v>
      </c>
      <c r="F1758" t="s">
        <v>321</v>
      </c>
      <c r="G1758" t="str">
        <f>_xlfn.XLOOKUP(TRIM(E1759),MedicineInfo!A:A,MedicineInfo!B:B,"Not Found")</f>
        <v>Multivitamin</v>
      </c>
      <c r="H1758" s="1" t="str" cm="1">
        <f t="array" ref="H1758">_xlfn.IFS(
OR(E1758="Type 2 Diabetes",E1758="Essential Hypertension",E1758="Angina Pectoris",E1758="Bronchial Asthma",E1758="Cardiac Arrhythmia"), D1758+30,
OR(E1758="Gastritis",E1758="Osteoarthritis",E1758="Bronchitis",E1758="Iron Deficiency Anemia"), D1758+14,
OR(E1758="Lumbar Strain",E1758="Migraine Headache"), D1758+7,
OR(E1758="Viral Fever",E1758="General Checkup","Routine Health Check"), "",
TRUE,""
)</f>
        <v/>
      </c>
      <c r="I1758" s="1" t="str">
        <f t="shared" si="54"/>
        <v>No Follow-up Required</v>
      </c>
      <c r="J1758" t="str">
        <f>TEXT(Table8[[#This Row],[visit_Date]],"DDDD")</f>
        <v>Sunday</v>
      </c>
      <c r="K1758" t="str">
        <f>TEXT(Table8[[#This Row],[visit_Date]],"mmmm")</f>
        <v>May</v>
      </c>
      <c r="L1758" t="str">
        <f t="shared" si="55"/>
        <v>Summer</v>
      </c>
    </row>
    <row r="1759" spans="1:12" x14ac:dyDescent="0.25">
      <c r="A1759">
        <v>1758</v>
      </c>
      <c r="B1759">
        <v>1319</v>
      </c>
      <c r="C1759">
        <v>630</v>
      </c>
      <c r="D1759" s="1">
        <v>45779</v>
      </c>
      <c r="E1759" t="s">
        <v>24</v>
      </c>
      <c r="F1759" t="s">
        <v>321</v>
      </c>
      <c r="G1759" t="str">
        <f>_xlfn.XLOOKUP(TRIM(E1760),MedicineInfo!A:A,MedicineInfo!B:B,"Not Found")</f>
        <v>Hydrocortisone Cream</v>
      </c>
      <c r="H1759" s="1" t="str" cm="1">
        <f t="array" ref="H1759">_xlfn.IFS(
OR(E1759="Type 2 Diabetes",E1759="Essential Hypertension",E1759="Angina Pectoris",E1759="Bronchial Asthma",E1759="Cardiac Arrhythmia"), D1759+30,
OR(E1759="Gastritis",E1759="Osteoarthritis",E1759="Bronchitis",E1759="Iron Deficiency Anemia"), D1759+14,
OR(E1759="Lumbar Strain",E1759="Migraine Headache"), D1759+7,
OR(E1759="Viral Fever",E1759="General Checkup","Routine Health Check"), "",
TRUE,""
)</f>
        <v/>
      </c>
      <c r="I1759" s="1" t="str">
        <f t="shared" si="54"/>
        <v>No Follow-up Required</v>
      </c>
      <c r="J1759" t="str">
        <f>TEXT(Table8[[#This Row],[visit_Date]],"DDDD")</f>
        <v>Friday</v>
      </c>
      <c r="K1759" t="str">
        <f>TEXT(Table8[[#This Row],[visit_Date]],"mmmm")</f>
        <v>May</v>
      </c>
      <c r="L1759" t="str">
        <f t="shared" si="55"/>
        <v>Summer</v>
      </c>
    </row>
    <row r="1760" spans="1:12" x14ac:dyDescent="0.25">
      <c r="A1760">
        <v>1759</v>
      </c>
      <c r="B1760">
        <v>1227</v>
      </c>
      <c r="C1760">
        <v>669</v>
      </c>
      <c r="D1760" s="1">
        <v>45672</v>
      </c>
      <c r="E1760" t="s">
        <v>338</v>
      </c>
      <c r="F1760" t="s">
        <v>339</v>
      </c>
      <c r="G1760" t="str">
        <f>_xlfn.XLOOKUP(TRIM(E1761),MedicineInfo!A:A,MedicineInfo!B:B,"Not Found")</f>
        <v>Multivitamin</v>
      </c>
      <c r="H1760" s="1" t="str" cm="1">
        <f t="array" ref="H1760">_xlfn.IFS(
OR(E1760="Type 2 Diabetes",E1760="Essential Hypertension",E1760="Angina Pectoris",E1760="Bronchial Asthma",E1760="Cardiac Arrhythmia"), D1760+30,
OR(E1760="Gastritis",E1760="Osteoarthritis",E1760="Bronchitis",E1760="Iron Deficiency Anemia"), D1760+14,
OR(E1760="Lumbar Strain",E1760="Migraine Headache"), D1760+7,
OR(E1760="Viral Fever",E1760="General Checkup","Routine Health Check"), "",
TRUE,""
)</f>
        <v/>
      </c>
      <c r="I1760" s="1" t="str">
        <f t="shared" si="54"/>
        <v>No Follow-up Required</v>
      </c>
      <c r="J1760" t="str">
        <f>TEXT(Table8[[#This Row],[visit_Date]],"DDDD")</f>
        <v>Wednesday</v>
      </c>
      <c r="K1760" t="str">
        <f>TEXT(Table8[[#This Row],[visit_Date]],"mmmm")</f>
        <v>January</v>
      </c>
      <c r="L1760" t="str">
        <f t="shared" si="55"/>
        <v>Winter</v>
      </c>
    </row>
    <row r="1761" spans="1:12" x14ac:dyDescent="0.25">
      <c r="A1761">
        <v>1760</v>
      </c>
      <c r="B1761">
        <v>1154</v>
      </c>
      <c r="C1761">
        <v>668</v>
      </c>
      <c r="D1761" s="1">
        <v>45694</v>
      </c>
      <c r="E1761" t="s">
        <v>24</v>
      </c>
      <c r="F1761" t="s">
        <v>321</v>
      </c>
      <c r="G1761" t="str">
        <f>_xlfn.XLOOKUP(TRIM(E1762),MedicineInfo!A:A,MedicineInfo!B:B,"Not Found")</f>
        <v>Multivitamin</v>
      </c>
      <c r="H1761" s="1" t="str" cm="1">
        <f t="array" ref="H1761">_xlfn.IFS(
OR(E1761="Type 2 Diabetes",E1761="Essential Hypertension",E1761="Angina Pectoris",E1761="Bronchial Asthma",E1761="Cardiac Arrhythmia"), D1761+30,
OR(E1761="Gastritis",E1761="Osteoarthritis",E1761="Bronchitis",E1761="Iron Deficiency Anemia"), D1761+14,
OR(E1761="Lumbar Strain",E1761="Migraine Headache"), D1761+7,
OR(E1761="Viral Fever",E1761="General Checkup","Routine Health Check"), "",
TRUE,""
)</f>
        <v/>
      </c>
      <c r="I1761" s="1" t="str">
        <f t="shared" si="54"/>
        <v>No Follow-up Required</v>
      </c>
      <c r="J1761" t="str">
        <f>TEXT(Table8[[#This Row],[visit_Date]],"DDDD")</f>
        <v>Thursday</v>
      </c>
      <c r="K1761" t="str">
        <f>TEXT(Table8[[#This Row],[visit_Date]],"mmmm")</f>
        <v>February</v>
      </c>
      <c r="L1761" t="str">
        <f t="shared" si="55"/>
        <v>Winter</v>
      </c>
    </row>
    <row r="1762" spans="1:12" x14ac:dyDescent="0.25">
      <c r="A1762">
        <v>1761</v>
      </c>
      <c r="B1762">
        <v>1306</v>
      </c>
      <c r="C1762">
        <v>693</v>
      </c>
      <c r="D1762" s="1">
        <v>45747</v>
      </c>
      <c r="E1762" t="s">
        <v>24</v>
      </c>
      <c r="F1762" t="s">
        <v>321</v>
      </c>
      <c r="G1762" t="str">
        <f>_xlfn.XLOOKUP(TRIM(E1763),MedicineInfo!A:A,MedicineInfo!B:B,"Not Found")</f>
        <v>Multivitamin</v>
      </c>
      <c r="H1762" s="1" t="str" cm="1">
        <f t="array" ref="H1762">_xlfn.IFS(
OR(E1762="Type 2 Diabetes",E1762="Essential Hypertension",E1762="Angina Pectoris",E1762="Bronchial Asthma",E1762="Cardiac Arrhythmia"), D1762+30,
OR(E1762="Gastritis",E1762="Osteoarthritis",E1762="Bronchitis",E1762="Iron Deficiency Anemia"), D1762+14,
OR(E1762="Lumbar Strain",E1762="Migraine Headache"), D1762+7,
OR(E1762="Viral Fever",E1762="General Checkup","Routine Health Check"), "",
TRUE,""
)</f>
        <v/>
      </c>
      <c r="I1762" s="1" t="str">
        <f t="shared" si="54"/>
        <v>No Follow-up Required</v>
      </c>
      <c r="J1762" t="str">
        <f>TEXT(Table8[[#This Row],[visit_Date]],"DDDD")</f>
        <v>Monday</v>
      </c>
      <c r="K1762" t="str">
        <f>TEXT(Table8[[#This Row],[visit_Date]],"mmmm")</f>
        <v>March</v>
      </c>
      <c r="L1762" t="str">
        <f t="shared" si="55"/>
        <v>Summer</v>
      </c>
    </row>
    <row r="1763" spans="1:12" x14ac:dyDescent="0.25">
      <c r="A1763">
        <v>1762</v>
      </c>
      <c r="B1763">
        <v>1341</v>
      </c>
      <c r="C1763">
        <v>183</v>
      </c>
      <c r="D1763" s="1">
        <v>45814</v>
      </c>
      <c r="E1763" t="s">
        <v>24</v>
      </c>
      <c r="F1763" t="s">
        <v>321</v>
      </c>
      <c r="G1763" t="str">
        <f>_xlfn.XLOOKUP(TRIM(E1764),MedicineInfo!A:A,MedicineInfo!B:B,"Not Found")</f>
        <v>Neuro Vitamins</v>
      </c>
      <c r="H1763" s="1" t="str" cm="1">
        <f t="array" ref="H1763">_xlfn.IFS(
OR(E1763="Type 2 Diabetes",E1763="Essential Hypertension",E1763="Angina Pectoris",E1763="Bronchial Asthma",E1763="Cardiac Arrhythmia"), D1763+30,
OR(E1763="Gastritis",E1763="Osteoarthritis",E1763="Bronchitis",E1763="Iron Deficiency Anemia"), D1763+14,
OR(E1763="Lumbar Strain",E1763="Migraine Headache"), D1763+7,
OR(E1763="Viral Fever",E1763="General Checkup","Routine Health Check"), "",
TRUE,""
)</f>
        <v/>
      </c>
      <c r="I1763" s="1" t="str">
        <f t="shared" si="54"/>
        <v>No Follow-up Required</v>
      </c>
      <c r="J1763" t="str">
        <f>TEXT(Table8[[#This Row],[visit_Date]],"DDDD")</f>
        <v>Friday</v>
      </c>
      <c r="K1763" t="str">
        <f>TEXT(Table8[[#This Row],[visit_Date]],"mmmm")</f>
        <v>June</v>
      </c>
      <c r="L1763" t="str">
        <f t="shared" si="55"/>
        <v>Monsoon</v>
      </c>
    </row>
    <row r="1764" spans="1:12" x14ac:dyDescent="0.25">
      <c r="A1764">
        <v>1763</v>
      </c>
      <c r="B1764">
        <v>1366</v>
      </c>
      <c r="C1764">
        <v>1570</v>
      </c>
      <c r="D1764" s="1">
        <v>45799</v>
      </c>
      <c r="E1764" t="s">
        <v>342</v>
      </c>
      <c r="F1764" t="s">
        <v>343</v>
      </c>
      <c r="G1764" t="str">
        <f>_xlfn.XLOOKUP(TRIM(E1765),MedicineInfo!A:A,MedicineInfo!B:B,"Not Found")</f>
        <v>Multivitamin</v>
      </c>
      <c r="H1764" s="1" t="str" cm="1">
        <f t="array" ref="H1764">_xlfn.IFS(
OR(E1764="Type 2 Diabetes",E1764="Essential Hypertension",E1764="Angina Pectoris",E1764="Bronchial Asthma",E1764="Cardiac Arrhythmia"), D1764+30,
OR(E1764="Gastritis",E1764="Osteoarthritis",E1764="Bronchitis",E1764="Iron Deficiency Anemia"), D1764+14,
OR(E1764="Lumbar Strain",E1764="Migraine Headache"), D1764+7,
OR(E1764="Viral Fever",E1764="General Checkup","Routine Health Check"), "",
TRUE,""
)</f>
        <v/>
      </c>
      <c r="I1764" s="1" t="str">
        <f t="shared" si="54"/>
        <v>No Follow-up Required</v>
      </c>
      <c r="J1764" t="str">
        <f>TEXT(Table8[[#This Row],[visit_Date]],"DDDD")</f>
        <v>Thursday</v>
      </c>
      <c r="K1764" t="str">
        <f>TEXT(Table8[[#This Row],[visit_Date]],"mmmm")</f>
        <v>May</v>
      </c>
      <c r="L1764" t="str">
        <f t="shared" si="55"/>
        <v>Summer</v>
      </c>
    </row>
    <row r="1765" spans="1:12" x14ac:dyDescent="0.25">
      <c r="A1765">
        <v>1764</v>
      </c>
      <c r="B1765">
        <v>1391</v>
      </c>
      <c r="C1765">
        <v>1217</v>
      </c>
      <c r="D1765" s="1">
        <v>45853</v>
      </c>
      <c r="E1765" t="s">
        <v>24</v>
      </c>
      <c r="F1765" t="s">
        <v>321</v>
      </c>
      <c r="G1765" t="str">
        <f>_xlfn.XLOOKUP(TRIM(E1766),MedicineInfo!A:A,MedicineInfo!B:B,"Not Found")</f>
        <v>Multivitamin</v>
      </c>
      <c r="H1765" s="1" t="str" cm="1">
        <f t="array" ref="H1765">_xlfn.IFS(
OR(E1765="Type 2 Diabetes",E1765="Essential Hypertension",E1765="Angina Pectoris",E1765="Bronchial Asthma",E1765="Cardiac Arrhythmia"), D1765+30,
OR(E1765="Gastritis",E1765="Osteoarthritis",E1765="Bronchitis",E1765="Iron Deficiency Anemia"), D1765+14,
OR(E1765="Lumbar Strain",E1765="Migraine Headache"), D1765+7,
OR(E1765="Viral Fever",E1765="General Checkup","Routine Health Check"), "",
TRUE,""
)</f>
        <v/>
      </c>
      <c r="I1765" s="1" t="str">
        <f t="shared" si="54"/>
        <v>No Follow-up Required</v>
      </c>
      <c r="J1765" t="str">
        <f>TEXT(Table8[[#This Row],[visit_Date]],"DDDD")</f>
        <v>Tuesday</v>
      </c>
      <c r="K1765" t="str">
        <f>TEXT(Table8[[#This Row],[visit_Date]],"mmmm")</f>
        <v>July</v>
      </c>
      <c r="L1765" t="str">
        <f t="shared" si="55"/>
        <v>Monsoon</v>
      </c>
    </row>
    <row r="1766" spans="1:12" x14ac:dyDescent="0.25">
      <c r="A1766">
        <v>1765</v>
      </c>
      <c r="B1766">
        <v>1263</v>
      </c>
      <c r="C1766">
        <v>474</v>
      </c>
      <c r="D1766" s="1">
        <v>45686</v>
      </c>
      <c r="E1766" t="s">
        <v>24</v>
      </c>
      <c r="F1766" t="s">
        <v>321</v>
      </c>
      <c r="G1766" t="str">
        <f>_xlfn.XLOOKUP(TRIM(E1767),MedicineInfo!A:A,MedicineInfo!B:B,"Not Found")</f>
        <v>Folic Acid</v>
      </c>
      <c r="H1766" s="1" t="str" cm="1">
        <f t="array" ref="H1766">_xlfn.IFS(
OR(E1766="Type 2 Diabetes",E1766="Essential Hypertension",E1766="Angina Pectoris",E1766="Bronchial Asthma",E1766="Cardiac Arrhythmia"), D1766+30,
OR(E1766="Gastritis",E1766="Osteoarthritis",E1766="Bronchitis",E1766="Iron Deficiency Anemia"), D1766+14,
OR(E1766="Lumbar Strain",E1766="Migraine Headache"), D1766+7,
OR(E1766="Viral Fever",E1766="General Checkup","Routine Health Check"), "",
TRUE,""
)</f>
        <v/>
      </c>
      <c r="I1766" s="1" t="str">
        <f t="shared" si="54"/>
        <v>No Follow-up Required</v>
      </c>
      <c r="J1766" t="str">
        <f>TEXT(Table8[[#This Row],[visit_Date]],"DDDD")</f>
        <v>Wednesday</v>
      </c>
      <c r="K1766" t="str">
        <f>TEXT(Table8[[#This Row],[visit_Date]],"mmmm")</f>
        <v>January</v>
      </c>
      <c r="L1766" t="str">
        <f t="shared" si="55"/>
        <v>Winter</v>
      </c>
    </row>
    <row r="1767" spans="1:12" x14ac:dyDescent="0.25">
      <c r="A1767">
        <v>1766</v>
      </c>
      <c r="B1767">
        <v>1243</v>
      </c>
      <c r="C1767">
        <v>888</v>
      </c>
      <c r="D1767" s="1">
        <v>45767</v>
      </c>
      <c r="E1767" t="s">
        <v>356</v>
      </c>
      <c r="F1767" t="s">
        <v>357</v>
      </c>
      <c r="G1767" t="str">
        <f>_xlfn.XLOOKUP(TRIM(E1768),MedicineInfo!A:A,MedicineInfo!B:B,"Not Found")</f>
        <v>Multivitamin</v>
      </c>
      <c r="H1767" s="1" t="str" cm="1">
        <f t="array" ref="H1767">_xlfn.IFS(
OR(E1767="Type 2 Diabetes",E1767="Essential Hypertension",E1767="Angina Pectoris",E1767="Bronchial Asthma",E1767="Cardiac Arrhythmia"), D1767+30,
OR(E1767="Gastritis",E1767="Osteoarthritis",E1767="Bronchitis",E1767="Iron Deficiency Anemia"), D1767+14,
OR(E1767="Lumbar Strain",E1767="Migraine Headache"), D1767+7,
OR(E1767="Viral Fever",E1767="General Checkup","Routine Health Check"), "",
TRUE,""
)</f>
        <v/>
      </c>
      <c r="I1767" s="1" t="str">
        <f t="shared" si="54"/>
        <v>No Follow-up Required</v>
      </c>
      <c r="J1767" t="str">
        <f>TEXT(Table8[[#This Row],[visit_Date]],"DDDD")</f>
        <v>Sunday</v>
      </c>
      <c r="K1767" t="str">
        <f>TEXT(Table8[[#This Row],[visit_Date]],"mmmm")</f>
        <v>April</v>
      </c>
      <c r="L1767" t="str">
        <f t="shared" si="55"/>
        <v>Summer</v>
      </c>
    </row>
    <row r="1768" spans="1:12" x14ac:dyDescent="0.25">
      <c r="A1768">
        <v>1767</v>
      </c>
      <c r="B1768">
        <v>1225</v>
      </c>
      <c r="C1768">
        <v>416</v>
      </c>
      <c r="D1768" s="1">
        <v>45747</v>
      </c>
      <c r="E1768" t="s">
        <v>24</v>
      </c>
      <c r="F1768" t="s">
        <v>321</v>
      </c>
      <c r="G1768" t="str">
        <f>_xlfn.XLOOKUP(TRIM(E1769),MedicineInfo!A:A,MedicineInfo!B:B,"Not Found")</f>
        <v>Multivitamin</v>
      </c>
      <c r="H1768" s="1" t="str" cm="1">
        <f t="array" ref="H1768">_xlfn.IFS(
OR(E1768="Type 2 Diabetes",E1768="Essential Hypertension",E1768="Angina Pectoris",E1768="Bronchial Asthma",E1768="Cardiac Arrhythmia"), D1768+30,
OR(E1768="Gastritis",E1768="Osteoarthritis",E1768="Bronchitis",E1768="Iron Deficiency Anemia"), D1768+14,
OR(E1768="Lumbar Strain",E1768="Migraine Headache"), D1768+7,
OR(E1768="Viral Fever",E1768="General Checkup","Routine Health Check"), "",
TRUE,""
)</f>
        <v/>
      </c>
      <c r="I1768" s="1" t="str">
        <f t="shared" si="54"/>
        <v>No Follow-up Required</v>
      </c>
      <c r="J1768" t="str">
        <f>TEXT(Table8[[#This Row],[visit_Date]],"DDDD")</f>
        <v>Monday</v>
      </c>
      <c r="K1768" t="str">
        <f>TEXT(Table8[[#This Row],[visit_Date]],"mmmm")</f>
        <v>March</v>
      </c>
      <c r="L1768" t="str">
        <f t="shared" si="55"/>
        <v>Summer</v>
      </c>
    </row>
    <row r="1769" spans="1:12" x14ac:dyDescent="0.25">
      <c r="A1769">
        <v>1768</v>
      </c>
      <c r="B1769">
        <v>1385</v>
      </c>
      <c r="C1769">
        <v>1067</v>
      </c>
      <c r="D1769" s="1">
        <v>45853</v>
      </c>
      <c r="E1769" t="s">
        <v>24</v>
      </c>
      <c r="F1769" t="s">
        <v>321</v>
      </c>
      <c r="G1769" t="str">
        <f>_xlfn.XLOOKUP(TRIM(E1770),MedicineInfo!A:A,MedicineInfo!B:B,"Not Found")</f>
        <v>Multivitamin</v>
      </c>
      <c r="H1769" s="1" t="str" cm="1">
        <f t="array" ref="H1769">_xlfn.IFS(
OR(E1769="Type 2 Diabetes",E1769="Essential Hypertension",E1769="Angina Pectoris",E1769="Bronchial Asthma",E1769="Cardiac Arrhythmia"), D1769+30,
OR(E1769="Gastritis",E1769="Osteoarthritis",E1769="Bronchitis",E1769="Iron Deficiency Anemia"), D1769+14,
OR(E1769="Lumbar Strain",E1769="Migraine Headache"), D1769+7,
OR(E1769="Viral Fever",E1769="General Checkup","Routine Health Check"), "",
TRUE,""
)</f>
        <v/>
      </c>
      <c r="I1769" s="1" t="str">
        <f t="shared" si="54"/>
        <v>No Follow-up Required</v>
      </c>
      <c r="J1769" t="str">
        <f>TEXT(Table8[[#This Row],[visit_Date]],"DDDD")</f>
        <v>Tuesday</v>
      </c>
      <c r="K1769" t="str">
        <f>TEXT(Table8[[#This Row],[visit_Date]],"mmmm")</f>
        <v>July</v>
      </c>
      <c r="L1769" t="str">
        <f t="shared" si="55"/>
        <v>Monsoon</v>
      </c>
    </row>
    <row r="1770" spans="1:12" x14ac:dyDescent="0.25">
      <c r="A1770">
        <v>1769</v>
      </c>
      <c r="B1770">
        <v>1359</v>
      </c>
      <c r="C1770">
        <v>1112</v>
      </c>
      <c r="D1770" s="1">
        <v>45694</v>
      </c>
      <c r="E1770" t="s">
        <v>24</v>
      </c>
      <c r="F1770" t="s">
        <v>321</v>
      </c>
      <c r="G1770" t="str">
        <f>_xlfn.XLOOKUP(TRIM(E1771),MedicineInfo!A:A,MedicineInfo!B:B,"Not Found")</f>
        <v>Sodium Valproate</v>
      </c>
      <c r="H1770" s="1" t="str" cm="1">
        <f t="array" ref="H1770">_xlfn.IFS(
OR(E1770="Type 2 Diabetes",E1770="Essential Hypertension",E1770="Angina Pectoris",E1770="Bronchial Asthma",E1770="Cardiac Arrhythmia"), D1770+30,
OR(E1770="Gastritis",E1770="Osteoarthritis",E1770="Bronchitis",E1770="Iron Deficiency Anemia"), D1770+14,
OR(E1770="Lumbar Strain",E1770="Migraine Headache"), D1770+7,
OR(E1770="Viral Fever",E1770="General Checkup","Routine Health Check"), "",
TRUE,""
)</f>
        <v/>
      </c>
      <c r="I1770" s="1" t="str">
        <f t="shared" si="54"/>
        <v>No Follow-up Required</v>
      </c>
      <c r="J1770" t="str">
        <f>TEXT(Table8[[#This Row],[visit_Date]],"DDDD")</f>
        <v>Thursday</v>
      </c>
      <c r="K1770" t="str">
        <f>TEXT(Table8[[#This Row],[visit_Date]],"mmmm")</f>
        <v>February</v>
      </c>
      <c r="L1770" t="str">
        <f t="shared" si="55"/>
        <v>Winter</v>
      </c>
    </row>
    <row r="1771" spans="1:12" x14ac:dyDescent="0.25">
      <c r="A1771">
        <v>1770</v>
      </c>
      <c r="B1771">
        <v>1223</v>
      </c>
      <c r="C1771">
        <v>599</v>
      </c>
      <c r="D1771" s="1">
        <v>45792</v>
      </c>
      <c r="E1771" t="s">
        <v>352</v>
      </c>
      <c r="F1771" t="s">
        <v>353</v>
      </c>
      <c r="G1771" t="str">
        <f>_xlfn.XLOOKUP(TRIM(E1772),MedicineInfo!A:A,MedicineInfo!B:B,"Not Found")</f>
        <v>Multivitamin</v>
      </c>
      <c r="H1771" s="1" t="str" cm="1">
        <f t="array" ref="H1771">_xlfn.IFS(
OR(E1771="Type 2 Diabetes",E1771="Essential Hypertension",E1771="Angina Pectoris",E1771="Bronchial Asthma",E1771="Cardiac Arrhythmia"), D1771+30,
OR(E1771="Gastritis",E1771="Osteoarthritis",E1771="Bronchitis",E1771="Iron Deficiency Anemia"), D1771+14,
OR(E1771="Lumbar Strain",E1771="Migraine Headache"), D1771+7,
OR(E1771="Viral Fever",E1771="General Checkup","Routine Health Check"), "",
TRUE,""
)</f>
        <v/>
      </c>
      <c r="I1771" s="1" t="str">
        <f t="shared" si="54"/>
        <v>No Follow-up Required</v>
      </c>
      <c r="J1771" t="str">
        <f>TEXT(Table8[[#This Row],[visit_Date]],"DDDD")</f>
        <v>Thursday</v>
      </c>
      <c r="K1771" t="str">
        <f>TEXT(Table8[[#This Row],[visit_Date]],"mmmm")</f>
        <v>May</v>
      </c>
      <c r="L1771" t="str">
        <f t="shared" si="55"/>
        <v>Summer</v>
      </c>
    </row>
    <row r="1772" spans="1:12" x14ac:dyDescent="0.25">
      <c r="A1772">
        <v>1771</v>
      </c>
      <c r="B1772">
        <v>1166</v>
      </c>
      <c r="C1772">
        <v>802</v>
      </c>
      <c r="D1772" s="1">
        <v>45792</v>
      </c>
      <c r="E1772" t="s">
        <v>24</v>
      </c>
      <c r="F1772" t="s">
        <v>321</v>
      </c>
      <c r="G1772" t="str">
        <f>_xlfn.XLOOKUP(TRIM(E1773),MedicineInfo!A:A,MedicineInfo!B:B,"Not Found")</f>
        <v>Multivitamin</v>
      </c>
      <c r="H1772" s="1" t="str" cm="1">
        <f t="array" ref="H1772">_xlfn.IFS(
OR(E1772="Type 2 Diabetes",E1772="Essential Hypertension",E1772="Angina Pectoris",E1772="Bronchial Asthma",E1772="Cardiac Arrhythmia"), D1772+30,
OR(E1772="Gastritis",E1772="Osteoarthritis",E1772="Bronchitis",E1772="Iron Deficiency Anemia"), D1772+14,
OR(E1772="Lumbar Strain",E1772="Migraine Headache"), D1772+7,
OR(E1772="Viral Fever",E1772="General Checkup","Routine Health Check"), "",
TRUE,""
)</f>
        <v/>
      </c>
      <c r="I1772" s="1" t="str">
        <f t="shared" si="54"/>
        <v>No Follow-up Required</v>
      </c>
      <c r="J1772" t="str">
        <f>TEXT(Table8[[#This Row],[visit_Date]],"DDDD")</f>
        <v>Thursday</v>
      </c>
      <c r="K1772" t="str">
        <f>TEXT(Table8[[#This Row],[visit_Date]],"mmmm")</f>
        <v>May</v>
      </c>
      <c r="L1772" t="str">
        <f t="shared" si="55"/>
        <v>Summer</v>
      </c>
    </row>
    <row r="1773" spans="1:12" x14ac:dyDescent="0.25">
      <c r="A1773">
        <v>1772</v>
      </c>
      <c r="B1773">
        <v>1398</v>
      </c>
      <c r="C1773">
        <v>1010</v>
      </c>
      <c r="D1773" s="1">
        <v>45853</v>
      </c>
      <c r="E1773" t="s">
        <v>24</v>
      </c>
      <c r="F1773" t="s">
        <v>321</v>
      </c>
      <c r="G1773" t="str">
        <f>_xlfn.XLOOKUP(TRIM(E1774),MedicineInfo!A:A,MedicineInfo!B:B,"Not Found")</f>
        <v>Multivitamin</v>
      </c>
      <c r="H1773" s="1" t="str" cm="1">
        <f t="array" ref="H1773">_xlfn.IFS(
OR(E1773="Type 2 Diabetes",E1773="Essential Hypertension",E1773="Angina Pectoris",E1773="Bronchial Asthma",E1773="Cardiac Arrhythmia"), D1773+30,
OR(E1773="Gastritis",E1773="Osteoarthritis",E1773="Bronchitis",E1773="Iron Deficiency Anemia"), D1773+14,
OR(E1773="Lumbar Strain",E1773="Migraine Headache"), D1773+7,
OR(E1773="Viral Fever",E1773="General Checkup","Routine Health Check"), "",
TRUE,""
)</f>
        <v/>
      </c>
      <c r="I1773" s="1" t="str">
        <f t="shared" si="54"/>
        <v>No Follow-up Required</v>
      </c>
      <c r="J1773" t="str">
        <f>TEXT(Table8[[#This Row],[visit_Date]],"DDDD")</f>
        <v>Tuesday</v>
      </c>
      <c r="K1773" t="str">
        <f>TEXT(Table8[[#This Row],[visit_Date]],"mmmm")</f>
        <v>July</v>
      </c>
      <c r="L1773" t="str">
        <f t="shared" si="55"/>
        <v>Monsoon</v>
      </c>
    </row>
    <row r="1774" spans="1:12" x14ac:dyDescent="0.25">
      <c r="A1774">
        <v>1773</v>
      </c>
      <c r="B1774">
        <v>1130</v>
      </c>
      <c r="C1774">
        <v>945</v>
      </c>
      <c r="D1774" s="1">
        <v>45686</v>
      </c>
      <c r="E1774" t="s">
        <v>24</v>
      </c>
      <c r="F1774" t="s">
        <v>321</v>
      </c>
      <c r="G1774" t="str">
        <f>_xlfn.XLOOKUP(TRIM(E1775),MedicineInfo!A:A,MedicineInfo!B:B,"Not Found")</f>
        <v>Multivitamin</v>
      </c>
      <c r="H1774" s="1" t="str" cm="1">
        <f t="array" ref="H1774">_xlfn.IFS(
OR(E1774="Type 2 Diabetes",E1774="Essential Hypertension",E1774="Angina Pectoris",E1774="Bronchial Asthma",E1774="Cardiac Arrhythmia"), D1774+30,
OR(E1774="Gastritis",E1774="Osteoarthritis",E1774="Bronchitis",E1774="Iron Deficiency Anemia"), D1774+14,
OR(E1774="Lumbar Strain",E1774="Migraine Headache"), D1774+7,
OR(E1774="Viral Fever",E1774="General Checkup","Routine Health Check"), "",
TRUE,""
)</f>
        <v/>
      </c>
      <c r="I1774" s="1" t="str">
        <f t="shared" si="54"/>
        <v>No Follow-up Required</v>
      </c>
      <c r="J1774" t="str">
        <f>TEXT(Table8[[#This Row],[visit_Date]],"DDDD")</f>
        <v>Wednesday</v>
      </c>
      <c r="K1774" t="str">
        <f>TEXT(Table8[[#This Row],[visit_Date]],"mmmm")</f>
        <v>January</v>
      </c>
      <c r="L1774" t="str">
        <f t="shared" si="55"/>
        <v>Winter</v>
      </c>
    </row>
    <row r="1775" spans="1:12" x14ac:dyDescent="0.25">
      <c r="A1775">
        <v>1774</v>
      </c>
      <c r="B1775">
        <v>1367</v>
      </c>
      <c r="C1775">
        <v>890</v>
      </c>
      <c r="D1775" s="1">
        <v>45661</v>
      </c>
      <c r="E1775" t="s">
        <v>24</v>
      </c>
      <c r="F1775" t="s">
        <v>321</v>
      </c>
      <c r="G1775" t="str">
        <f>_xlfn.XLOOKUP(TRIM(E1776),MedicineInfo!A:A,MedicineInfo!B:B,"Not Found")</f>
        <v>Multivitamin</v>
      </c>
      <c r="H1775" s="1" t="str" cm="1">
        <f t="array" ref="H1775">_xlfn.IFS(
OR(E1775="Type 2 Diabetes",E1775="Essential Hypertension",E1775="Angina Pectoris",E1775="Bronchial Asthma",E1775="Cardiac Arrhythmia"), D1775+30,
OR(E1775="Gastritis",E1775="Osteoarthritis",E1775="Bronchitis",E1775="Iron Deficiency Anemia"), D1775+14,
OR(E1775="Lumbar Strain",E1775="Migraine Headache"), D1775+7,
OR(E1775="Viral Fever",E1775="General Checkup","Routine Health Check"), "",
TRUE,""
)</f>
        <v/>
      </c>
      <c r="I1775" s="1" t="str">
        <f t="shared" si="54"/>
        <v>No Follow-up Required</v>
      </c>
      <c r="J1775" t="str">
        <f>TEXT(Table8[[#This Row],[visit_Date]],"DDDD")</f>
        <v>Saturday</v>
      </c>
      <c r="K1775" t="str">
        <f>TEXT(Table8[[#This Row],[visit_Date]],"mmmm")</f>
        <v>January</v>
      </c>
      <c r="L1775" t="str">
        <f t="shared" si="55"/>
        <v>Winter</v>
      </c>
    </row>
    <row r="1776" spans="1:12" x14ac:dyDescent="0.25">
      <c r="A1776">
        <v>1775</v>
      </c>
      <c r="B1776">
        <v>1002</v>
      </c>
      <c r="C1776">
        <v>932</v>
      </c>
      <c r="D1776" s="1">
        <v>45744</v>
      </c>
      <c r="E1776" t="s">
        <v>24</v>
      </c>
      <c r="F1776" t="s">
        <v>321</v>
      </c>
      <c r="G1776" t="str">
        <f>_xlfn.XLOOKUP(TRIM(E1777),MedicineInfo!A:A,MedicineInfo!B:B,"Not Found")</f>
        <v>Multivitamin</v>
      </c>
      <c r="H1776" s="1" t="str" cm="1">
        <f t="array" ref="H1776">_xlfn.IFS(
OR(E1776="Type 2 Diabetes",E1776="Essential Hypertension",E1776="Angina Pectoris",E1776="Bronchial Asthma",E1776="Cardiac Arrhythmia"), D1776+30,
OR(E1776="Gastritis",E1776="Osteoarthritis",E1776="Bronchitis",E1776="Iron Deficiency Anemia"), D1776+14,
OR(E1776="Lumbar Strain",E1776="Migraine Headache"), D1776+7,
OR(E1776="Viral Fever",E1776="General Checkup","Routine Health Check"), "",
TRUE,""
)</f>
        <v/>
      </c>
      <c r="I1776" s="1" t="str">
        <f t="shared" si="54"/>
        <v>No Follow-up Required</v>
      </c>
      <c r="J1776" t="str">
        <f>TEXT(Table8[[#This Row],[visit_Date]],"DDDD")</f>
        <v>Friday</v>
      </c>
      <c r="K1776" t="str">
        <f>TEXT(Table8[[#This Row],[visit_Date]],"mmmm")</f>
        <v>March</v>
      </c>
      <c r="L1776" t="str">
        <f t="shared" si="55"/>
        <v>Summer</v>
      </c>
    </row>
    <row r="1777" spans="1:12" x14ac:dyDescent="0.25">
      <c r="A1777">
        <v>1776</v>
      </c>
      <c r="B1777">
        <v>1074</v>
      </c>
      <c r="C1777">
        <v>1567</v>
      </c>
      <c r="D1777" s="1">
        <v>45669</v>
      </c>
      <c r="E1777" t="s">
        <v>24</v>
      </c>
      <c r="F1777" t="s">
        <v>321</v>
      </c>
      <c r="G1777" t="str">
        <f>_xlfn.XLOOKUP(TRIM(E1778),MedicineInfo!A:A,MedicineInfo!B:B,"Not Found")</f>
        <v>Multivitamin</v>
      </c>
      <c r="H1777" s="1" t="str" cm="1">
        <f t="array" ref="H1777">_xlfn.IFS(
OR(E1777="Type 2 Diabetes",E1777="Essential Hypertension",E1777="Angina Pectoris",E1777="Bronchial Asthma",E1777="Cardiac Arrhythmia"), D1777+30,
OR(E1777="Gastritis",E1777="Osteoarthritis",E1777="Bronchitis",E1777="Iron Deficiency Anemia"), D1777+14,
OR(E1777="Lumbar Strain",E1777="Migraine Headache"), D1777+7,
OR(E1777="Viral Fever",E1777="General Checkup","Routine Health Check"), "",
TRUE,""
)</f>
        <v/>
      </c>
      <c r="I1777" s="1" t="str">
        <f t="shared" si="54"/>
        <v>No Follow-up Required</v>
      </c>
      <c r="J1777" t="str">
        <f>TEXT(Table8[[#This Row],[visit_Date]],"DDDD")</f>
        <v>Sunday</v>
      </c>
      <c r="K1777" t="str">
        <f>TEXT(Table8[[#This Row],[visit_Date]],"mmmm")</f>
        <v>January</v>
      </c>
      <c r="L1777" t="str">
        <f t="shared" si="55"/>
        <v>Winter</v>
      </c>
    </row>
    <row r="1778" spans="1:12" x14ac:dyDescent="0.25">
      <c r="A1778">
        <v>1777</v>
      </c>
      <c r="B1778">
        <v>1350</v>
      </c>
      <c r="C1778">
        <v>465</v>
      </c>
      <c r="D1778" s="1">
        <v>45672</v>
      </c>
      <c r="E1778" t="s">
        <v>24</v>
      </c>
      <c r="F1778" t="s">
        <v>321</v>
      </c>
      <c r="G1778" t="str">
        <f>_xlfn.XLOOKUP(TRIM(E1779),MedicineInfo!A:A,MedicineInfo!B:B,"Not Found")</f>
        <v>Multivitamin</v>
      </c>
      <c r="H1778" s="1" t="str" cm="1">
        <f t="array" ref="H1778">_xlfn.IFS(
OR(E1778="Type 2 Diabetes",E1778="Essential Hypertension",E1778="Angina Pectoris",E1778="Bronchial Asthma",E1778="Cardiac Arrhythmia"), D1778+30,
OR(E1778="Gastritis",E1778="Osteoarthritis",E1778="Bronchitis",E1778="Iron Deficiency Anemia"), D1778+14,
OR(E1778="Lumbar Strain",E1778="Migraine Headache"), D1778+7,
OR(E1778="Viral Fever",E1778="General Checkup","Routine Health Check"), "",
TRUE,""
)</f>
        <v/>
      </c>
      <c r="I1778" s="1" t="str">
        <f t="shared" si="54"/>
        <v>No Follow-up Required</v>
      </c>
      <c r="J1778" t="str">
        <f>TEXT(Table8[[#This Row],[visit_Date]],"DDDD")</f>
        <v>Wednesday</v>
      </c>
      <c r="K1778" t="str">
        <f>TEXT(Table8[[#This Row],[visit_Date]],"mmmm")</f>
        <v>January</v>
      </c>
      <c r="L1778" t="str">
        <f t="shared" si="55"/>
        <v>Winter</v>
      </c>
    </row>
    <row r="1779" spans="1:12" x14ac:dyDescent="0.25">
      <c r="A1779">
        <v>1778</v>
      </c>
      <c r="B1779">
        <v>1263</v>
      </c>
      <c r="C1779">
        <v>338</v>
      </c>
      <c r="D1779" s="1">
        <v>45672</v>
      </c>
      <c r="E1779" t="s">
        <v>24</v>
      </c>
      <c r="F1779" t="s">
        <v>321</v>
      </c>
      <c r="G1779" t="str">
        <f>_xlfn.XLOOKUP(TRIM(E1780),MedicineInfo!A:A,MedicineInfo!B:B,"Not Found")</f>
        <v>Sumatriptan</v>
      </c>
      <c r="H1779" s="1" t="str" cm="1">
        <f t="array" ref="H1779">_xlfn.IFS(
OR(E1779="Type 2 Diabetes",E1779="Essential Hypertension",E1779="Angina Pectoris",E1779="Bronchial Asthma",E1779="Cardiac Arrhythmia"), D1779+30,
OR(E1779="Gastritis",E1779="Osteoarthritis",E1779="Bronchitis",E1779="Iron Deficiency Anemia"), D1779+14,
OR(E1779="Lumbar Strain",E1779="Migraine Headache"), D1779+7,
OR(E1779="Viral Fever",E1779="General Checkup","Routine Health Check"), "",
TRUE,""
)</f>
        <v/>
      </c>
      <c r="I1779" s="1" t="str">
        <f t="shared" si="54"/>
        <v>No Follow-up Required</v>
      </c>
      <c r="J1779" t="str">
        <f>TEXT(Table8[[#This Row],[visit_Date]],"DDDD")</f>
        <v>Wednesday</v>
      </c>
      <c r="K1779" t="str">
        <f>TEXT(Table8[[#This Row],[visit_Date]],"mmmm")</f>
        <v>January</v>
      </c>
      <c r="L1779" t="str">
        <f t="shared" si="55"/>
        <v>Winter</v>
      </c>
    </row>
    <row r="1780" spans="1:12" x14ac:dyDescent="0.25">
      <c r="A1780">
        <v>1779</v>
      </c>
      <c r="B1780">
        <v>1161</v>
      </c>
      <c r="C1780">
        <v>840</v>
      </c>
      <c r="D1780" s="1">
        <v>45791</v>
      </c>
      <c r="E1780" t="s">
        <v>315</v>
      </c>
      <c r="F1780" t="s">
        <v>316</v>
      </c>
      <c r="G1780" t="str">
        <f>_xlfn.XLOOKUP(TRIM(E1781),MedicineInfo!A:A,MedicineInfo!B:B,"Not Found")</f>
        <v>Multivitamin</v>
      </c>
      <c r="H1780" s="1" cm="1">
        <f t="array" ref="H1780">_xlfn.IFS(
OR(E1780="Type 2 Diabetes",E1780="Essential Hypertension",E1780="Angina Pectoris",E1780="Bronchial Asthma",E1780="Cardiac Arrhythmia"), D1780+30,
OR(E1780="Gastritis",E1780="Osteoarthritis",E1780="Bronchitis",E1780="Iron Deficiency Anemia"), D1780+14,
OR(E1780="Lumbar Strain",E1780="Migraine Headache"), D1780+7,
OR(E1780="Viral Fever",E1780="General Checkup","Routine Health Check"), "",
TRUE,""
)</f>
        <v>45798</v>
      </c>
      <c r="I1780" s="1" t="str">
        <f t="shared" si="54"/>
        <v>Follow-up Scheduled</v>
      </c>
      <c r="J1780" t="str">
        <f>TEXT(Table8[[#This Row],[visit_Date]],"DDDD")</f>
        <v>Wednesday</v>
      </c>
      <c r="K1780" t="str">
        <f>TEXT(Table8[[#This Row],[visit_Date]],"mmmm")</f>
        <v>May</v>
      </c>
      <c r="L1780" t="str">
        <f t="shared" si="55"/>
        <v>Summer</v>
      </c>
    </row>
    <row r="1781" spans="1:12" x14ac:dyDescent="0.25">
      <c r="A1781">
        <v>1780</v>
      </c>
      <c r="B1781">
        <v>1224</v>
      </c>
      <c r="C1781">
        <v>673</v>
      </c>
      <c r="D1781" s="1">
        <v>45747</v>
      </c>
      <c r="E1781" t="s">
        <v>24</v>
      </c>
      <c r="F1781" t="s">
        <v>321</v>
      </c>
      <c r="G1781" t="str">
        <f>_xlfn.XLOOKUP(TRIM(E1782),MedicineInfo!A:A,MedicineInfo!B:B,"Not Found")</f>
        <v>Multivitamin</v>
      </c>
      <c r="H1781" s="1" t="str" cm="1">
        <f t="array" ref="H1781">_xlfn.IFS(
OR(E1781="Type 2 Diabetes",E1781="Essential Hypertension",E1781="Angina Pectoris",E1781="Bronchial Asthma",E1781="Cardiac Arrhythmia"), D1781+30,
OR(E1781="Gastritis",E1781="Osteoarthritis",E1781="Bronchitis",E1781="Iron Deficiency Anemia"), D1781+14,
OR(E1781="Lumbar Strain",E1781="Migraine Headache"), D1781+7,
OR(E1781="Viral Fever",E1781="General Checkup","Routine Health Check"), "",
TRUE,""
)</f>
        <v/>
      </c>
      <c r="I1781" s="1" t="str">
        <f t="shared" si="54"/>
        <v>No Follow-up Required</v>
      </c>
      <c r="J1781" t="str">
        <f>TEXT(Table8[[#This Row],[visit_Date]],"DDDD")</f>
        <v>Monday</v>
      </c>
      <c r="K1781" t="str">
        <f>TEXT(Table8[[#This Row],[visit_Date]],"mmmm")</f>
        <v>March</v>
      </c>
      <c r="L1781" t="str">
        <f t="shared" si="55"/>
        <v>Summer</v>
      </c>
    </row>
    <row r="1782" spans="1:12" x14ac:dyDescent="0.25">
      <c r="A1782">
        <v>1781</v>
      </c>
      <c r="B1782">
        <v>1398</v>
      </c>
      <c r="C1782">
        <v>226</v>
      </c>
      <c r="D1782" s="1">
        <v>45758</v>
      </c>
      <c r="E1782" t="s">
        <v>24</v>
      </c>
      <c r="F1782" t="s">
        <v>321</v>
      </c>
      <c r="G1782" t="str">
        <f>_xlfn.XLOOKUP(TRIM(E1783),MedicineInfo!A:A,MedicineInfo!B:B,"Not Found")</f>
        <v>Multivitamin</v>
      </c>
      <c r="H1782" s="1" t="str" cm="1">
        <f t="array" ref="H1782">_xlfn.IFS(
OR(E1782="Type 2 Diabetes",E1782="Essential Hypertension",E1782="Angina Pectoris",E1782="Bronchial Asthma",E1782="Cardiac Arrhythmia"), D1782+30,
OR(E1782="Gastritis",E1782="Osteoarthritis",E1782="Bronchitis",E1782="Iron Deficiency Anemia"), D1782+14,
OR(E1782="Lumbar Strain",E1782="Migraine Headache"), D1782+7,
OR(E1782="Viral Fever",E1782="General Checkup","Routine Health Check"), "",
TRUE,""
)</f>
        <v/>
      </c>
      <c r="I1782" s="1" t="str">
        <f t="shared" si="54"/>
        <v>No Follow-up Required</v>
      </c>
      <c r="J1782" t="str">
        <f>TEXT(Table8[[#This Row],[visit_Date]],"DDDD")</f>
        <v>Friday</v>
      </c>
      <c r="K1782" t="str">
        <f>TEXT(Table8[[#This Row],[visit_Date]],"mmmm")</f>
        <v>April</v>
      </c>
      <c r="L1782" t="str">
        <f t="shared" si="55"/>
        <v>Summer</v>
      </c>
    </row>
    <row r="1783" spans="1:12" x14ac:dyDescent="0.25">
      <c r="A1783">
        <v>1782</v>
      </c>
      <c r="B1783">
        <v>1164</v>
      </c>
      <c r="C1783">
        <v>995</v>
      </c>
      <c r="D1783" s="1">
        <v>45777</v>
      </c>
      <c r="E1783" t="s">
        <v>24</v>
      </c>
      <c r="F1783" t="s">
        <v>321</v>
      </c>
      <c r="G1783" t="str">
        <f>_xlfn.XLOOKUP(TRIM(E1784),MedicineInfo!A:A,MedicineInfo!B:B,"Not Found")</f>
        <v>Multivitamin</v>
      </c>
      <c r="H1783" s="1" t="str" cm="1">
        <f t="array" ref="H1783">_xlfn.IFS(
OR(E1783="Type 2 Diabetes",E1783="Essential Hypertension",E1783="Angina Pectoris",E1783="Bronchial Asthma",E1783="Cardiac Arrhythmia"), D1783+30,
OR(E1783="Gastritis",E1783="Osteoarthritis",E1783="Bronchitis",E1783="Iron Deficiency Anemia"), D1783+14,
OR(E1783="Lumbar Strain",E1783="Migraine Headache"), D1783+7,
OR(E1783="Viral Fever",E1783="General Checkup","Routine Health Check"), "",
TRUE,""
)</f>
        <v/>
      </c>
      <c r="I1783" s="1" t="str">
        <f t="shared" si="54"/>
        <v>No Follow-up Required</v>
      </c>
      <c r="J1783" t="str">
        <f>TEXT(Table8[[#This Row],[visit_Date]],"DDDD")</f>
        <v>Wednesday</v>
      </c>
      <c r="K1783" t="str">
        <f>TEXT(Table8[[#This Row],[visit_Date]],"mmmm")</f>
        <v>April</v>
      </c>
      <c r="L1783" t="str">
        <f t="shared" si="55"/>
        <v>Summer</v>
      </c>
    </row>
    <row r="1784" spans="1:12" x14ac:dyDescent="0.25">
      <c r="A1784">
        <v>1783</v>
      </c>
      <c r="B1784">
        <v>1062</v>
      </c>
      <c r="C1784">
        <v>411</v>
      </c>
      <c r="D1784" s="1">
        <v>45767</v>
      </c>
      <c r="E1784" t="s">
        <v>24</v>
      </c>
      <c r="F1784" t="s">
        <v>321</v>
      </c>
      <c r="G1784" t="str">
        <f>_xlfn.XLOOKUP(TRIM(E1785),MedicineInfo!A:A,MedicineInfo!B:B,"Not Found")</f>
        <v>Multivitamin</v>
      </c>
      <c r="H1784" s="1" t="str" cm="1">
        <f t="array" ref="H1784">_xlfn.IFS(
OR(E1784="Type 2 Diabetes",E1784="Essential Hypertension",E1784="Angina Pectoris",E1784="Bronchial Asthma",E1784="Cardiac Arrhythmia"), D1784+30,
OR(E1784="Gastritis",E1784="Osteoarthritis",E1784="Bronchitis",E1784="Iron Deficiency Anemia"), D1784+14,
OR(E1784="Lumbar Strain",E1784="Migraine Headache"), D1784+7,
OR(E1784="Viral Fever",E1784="General Checkup","Routine Health Check"), "",
TRUE,""
)</f>
        <v/>
      </c>
      <c r="I1784" s="1" t="str">
        <f t="shared" si="54"/>
        <v>No Follow-up Required</v>
      </c>
      <c r="J1784" t="str">
        <f>TEXT(Table8[[#This Row],[visit_Date]],"DDDD")</f>
        <v>Sunday</v>
      </c>
      <c r="K1784" t="str">
        <f>TEXT(Table8[[#This Row],[visit_Date]],"mmmm")</f>
        <v>April</v>
      </c>
      <c r="L1784" t="str">
        <f t="shared" si="55"/>
        <v>Summer</v>
      </c>
    </row>
    <row r="1785" spans="1:12" x14ac:dyDescent="0.25">
      <c r="A1785">
        <v>1784</v>
      </c>
      <c r="B1785">
        <v>1375</v>
      </c>
      <c r="C1785">
        <v>1055</v>
      </c>
      <c r="D1785" s="1">
        <v>45791</v>
      </c>
      <c r="E1785" t="s">
        <v>24</v>
      </c>
      <c r="F1785" t="s">
        <v>321</v>
      </c>
      <c r="G1785" t="str">
        <f>_xlfn.XLOOKUP(TRIM(E1786),MedicineInfo!A:A,MedicineInfo!B:B,"Not Found")</f>
        <v>Neuro Vitamins</v>
      </c>
      <c r="H1785" s="1" t="str" cm="1">
        <f t="array" ref="H1785">_xlfn.IFS(
OR(E1785="Type 2 Diabetes",E1785="Essential Hypertension",E1785="Angina Pectoris",E1785="Bronchial Asthma",E1785="Cardiac Arrhythmia"), D1785+30,
OR(E1785="Gastritis",E1785="Osteoarthritis",E1785="Bronchitis",E1785="Iron Deficiency Anemia"), D1785+14,
OR(E1785="Lumbar Strain",E1785="Migraine Headache"), D1785+7,
OR(E1785="Viral Fever",E1785="General Checkup","Routine Health Check"), "",
TRUE,""
)</f>
        <v/>
      </c>
      <c r="I1785" s="1" t="str">
        <f t="shared" si="54"/>
        <v>No Follow-up Required</v>
      </c>
      <c r="J1785" t="str">
        <f>TEXT(Table8[[#This Row],[visit_Date]],"DDDD")</f>
        <v>Wednesday</v>
      </c>
      <c r="K1785" t="str">
        <f>TEXT(Table8[[#This Row],[visit_Date]],"mmmm")</f>
        <v>May</v>
      </c>
      <c r="L1785" t="str">
        <f t="shared" si="55"/>
        <v>Summer</v>
      </c>
    </row>
    <row r="1786" spans="1:12" x14ac:dyDescent="0.25">
      <c r="A1786">
        <v>1785</v>
      </c>
      <c r="B1786">
        <v>1163</v>
      </c>
      <c r="C1786">
        <v>527</v>
      </c>
      <c r="D1786" s="1">
        <v>45792</v>
      </c>
      <c r="E1786" t="s">
        <v>342</v>
      </c>
      <c r="F1786" t="s">
        <v>343</v>
      </c>
      <c r="G1786" t="str">
        <f>_xlfn.XLOOKUP(TRIM(E1787),MedicineInfo!A:A,MedicineInfo!B:B,"Not Found")</f>
        <v>Multivitamin</v>
      </c>
      <c r="H1786" s="1" t="str" cm="1">
        <f t="array" ref="H1786">_xlfn.IFS(
OR(E1786="Type 2 Diabetes",E1786="Essential Hypertension",E1786="Angina Pectoris",E1786="Bronchial Asthma",E1786="Cardiac Arrhythmia"), D1786+30,
OR(E1786="Gastritis",E1786="Osteoarthritis",E1786="Bronchitis",E1786="Iron Deficiency Anemia"), D1786+14,
OR(E1786="Lumbar Strain",E1786="Migraine Headache"), D1786+7,
OR(E1786="Viral Fever",E1786="General Checkup","Routine Health Check"), "",
TRUE,""
)</f>
        <v/>
      </c>
      <c r="I1786" s="1" t="str">
        <f t="shared" si="54"/>
        <v>No Follow-up Required</v>
      </c>
      <c r="J1786" t="str">
        <f>TEXT(Table8[[#This Row],[visit_Date]],"DDDD")</f>
        <v>Thursday</v>
      </c>
      <c r="K1786" t="str">
        <f>TEXT(Table8[[#This Row],[visit_Date]],"mmmm")</f>
        <v>May</v>
      </c>
      <c r="L1786" t="str">
        <f t="shared" si="55"/>
        <v>Summer</v>
      </c>
    </row>
    <row r="1787" spans="1:12" x14ac:dyDescent="0.25">
      <c r="A1787">
        <v>1786</v>
      </c>
      <c r="B1787">
        <v>1261</v>
      </c>
      <c r="C1787">
        <v>1306</v>
      </c>
      <c r="D1787" s="1">
        <v>45682</v>
      </c>
      <c r="E1787" t="s">
        <v>24</v>
      </c>
      <c r="F1787" t="s">
        <v>321</v>
      </c>
      <c r="G1787" t="str">
        <f>_xlfn.XLOOKUP(TRIM(E1788),MedicineInfo!A:A,MedicineInfo!B:B,"Not Found")</f>
        <v>Multivitamin</v>
      </c>
      <c r="H1787" s="1" t="str" cm="1">
        <f t="array" ref="H1787">_xlfn.IFS(
OR(E1787="Type 2 Diabetes",E1787="Essential Hypertension",E1787="Angina Pectoris",E1787="Bronchial Asthma",E1787="Cardiac Arrhythmia"), D1787+30,
OR(E1787="Gastritis",E1787="Osteoarthritis",E1787="Bronchitis",E1787="Iron Deficiency Anemia"), D1787+14,
OR(E1787="Lumbar Strain",E1787="Migraine Headache"), D1787+7,
OR(E1787="Viral Fever",E1787="General Checkup","Routine Health Check"), "",
TRUE,""
)</f>
        <v/>
      </c>
      <c r="I1787" s="1" t="str">
        <f t="shared" si="54"/>
        <v>No Follow-up Required</v>
      </c>
      <c r="J1787" t="str">
        <f>TEXT(Table8[[#This Row],[visit_Date]],"DDDD")</f>
        <v>Saturday</v>
      </c>
      <c r="K1787" t="str">
        <f>TEXT(Table8[[#This Row],[visit_Date]],"mmmm")</f>
        <v>January</v>
      </c>
      <c r="L1787" t="str">
        <f t="shared" si="55"/>
        <v>Winter</v>
      </c>
    </row>
    <row r="1788" spans="1:12" x14ac:dyDescent="0.25">
      <c r="A1788">
        <v>1787</v>
      </c>
      <c r="B1788">
        <v>1334</v>
      </c>
      <c r="C1788">
        <v>477</v>
      </c>
      <c r="D1788" s="1">
        <v>45790</v>
      </c>
      <c r="E1788" t="s">
        <v>24</v>
      </c>
      <c r="F1788" t="s">
        <v>321</v>
      </c>
      <c r="G1788" t="str">
        <f>_xlfn.XLOOKUP(TRIM(E1789),MedicineInfo!A:A,MedicineInfo!B:B,"Not Found")</f>
        <v>Multivitamin</v>
      </c>
      <c r="H1788" s="1" t="str" cm="1">
        <f t="array" ref="H1788">_xlfn.IFS(
OR(E1788="Type 2 Diabetes",E1788="Essential Hypertension",E1788="Angina Pectoris",E1788="Bronchial Asthma",E1788="Cardiac Arrhythmia"), D1788+30,
OR(E1788="Gastritis",E1788="Osteoarthritis",E1788="Bronchitis",E1788="Iron Deficiency Anemia"), D1788+14,
OR(E1788="Lumbar Strain",E1788="Migraine Headache"), D1788+7,
OR(E1788="Viral Fever",E1788="General Checkup","Routine Health Check"), "",
TRUE,""
)</f>
        <v/>
      </c>
      <c r="I1788" s="1" t="str">
        <f t="shared" si="54"/>
        <v>No Follow-up Required</v>
      </c>
      <c r="J1788" t="str">
        <f>TEXT(Table8[[#This Row],[visit_Date]],"DDDD")</f>
        <v>Tuesday</v>
      </c>
      <c r="K1788" t="str">
        <f>TEXT(Table8[[#This Row],[visit_Date]],"mmmm")</f>
        <v>May</v>
      </c>
      <c r="L1788" t="str">
        <f t="shared" si="55"/>
        <v>Summer</v>
      </c>
    </row>
    <row r="1789" spans="1:12" x14ac:dyDescent="0.25">
      <c r="A1789">
        <v>1788</v>
      </c>
      <c r="B1789">
        <v>1099</v>
      </c>
      <c r="C1789">
        <v>1253</v>
      </c>
      <c r="D1789" s="1">
        <v>45732</v>
      </c>
      <c r="E1789" t="s">
        <v>24</v>
      </c>
      <c r="F1789" t="s">
        <v>321</v>
      </c>
      <c r="G1789" t="str">
        <f>_xlfn.XLOOKUP(TRIM(E1790),MedicineInfo!A:A,MedicineInfo!B:B,"Not Found")</f>
        <v>Multivitamin</v>
      </c>
      <c r="H1789" s="1" t="str" cm="1">
        <f t="array" ref="H1789">_xlfn.IFS(
OR(E1789="Type 2 Diabetes",E1789="Essential Hypertension",E1789="Angina Pectoris",E1789="Bronchial Asthma",E1789="Cardiac Arrhythmia"), D1789+30,
OR(E1789="Gastritis",E1789="Osteoarthritis",E1789="Bronchitis",E1789="Iron Deficiency Anemia"), D1789+14,
OR(E1789="Lumbar Strain",E1789="Migraine Headache"), D1789+7,
OR(E1789="Viral Fever",E1789="General Checkup","Routine Health Check"), "",
TRUE,""
)</f>
        <v/>
      </c>
      <c r="I1789" s="1" t="str">
        <f t="shared" si="54"/>
        <v>No Follow-up Required</v>
      </c>
      <c r="J1789" t="str">
        <f>TEXT(Table8[[#This Row],[visit_Date]],"DDDD")</f>
        <v>Sunday</v>
      </c>
      <c r="K1789" t="str">
        <f>TEXT(Table8[[#This Row],[visit_Date]],"mmmm")</f>
        <v>March</v>
      </c>
      <c r="L1789" t="str">
        <f t="shared" si="55"/>
        <v>Summer</v>
      </c>
    </row>
    <row r="1790" spans="1:12" x14ac:dyDescent="0.25">
      <c r="A1790">
        <v>1789</v>
      </c>
      <c r="B1790">
        <v>1134</v>
      </c>
      <c r="C1790">
        <v>449</v>
      </c>
      <c r="D1790" s="1">
        <v>45819</v>
      </c>
      <c r="E1790" t="s">
        <v>24</v>
      </c>
      <c r="F1790" t="s">
        <v>321</v>
      </c>
      <c r="G1790" t="str">
        <f>_xlfn.XLOOKUP(TRIM(E1791),MedicineInfo!A:A,MedicineInfo!B:B,"Not Found")</f>
        <v>Multivitamin</v>
      </c>
      <c r="H1790" s="1" t="str" cm="1">
        <f t="array" ref="H1790">_xlfn.IFS(
OR(E1790="Type 2 Diabetes",E1790="Essential Hypertension",E1790="Angina Pectoris",E1790="Bronchial Asthma",E1790="Cardiac Arrhythmia"), D1790+30,
OR(E1790="Gastritis",E1790="Osteoarthritis",E1790="Bronchitis",E1790="Iron Deficiency Anemia"), D1790+14,
OR(E1790="Lumbar Strain",E1790="Migraine Headache"), D1790+7,
OR(E1790="Viral Fever",E1790="General Checkup","Routine Health Check"), "",
TRUE,""
)</f>
        <v/>
      </c>
      <c r="I1790" s="1" t="str">
        <f t="shared" si="54"/>
        <v>No Follow-up Required</v>
      </c>
      <c r="J1790" t="str">
        <f>TEXT(Table8[[#This Row],[visit_Date]],"DDDD")</f>
        <v>Wednesday</v>
      </c>
      <c r="K1790" t="str">
        <f>TEXT(Table8[[#This Row],[visit_Date]],"mmmm")</f>
        <v>June</v>
      </c>
      <c r="L1790" t="str">
        <f t="shared" si="55"/>
        <v>Monsoon</v>
      </c>
    </row>
    <row r="1791" spans="1:12" x14ac:dyDescent="0.25">
      <c r="A1791">
        <v>1790</v>
      </c>
      <c r="B1791">
        <v>1141</v>
      </c>
      <c r="C1791">
        <v>1441</v>
      </c>
      <c r="D1791" s="1">
        <v>45669</v>
      </c>
      <c r="E1791" t="s">
        <v>24</v>
      </c>
      <c r="F1791" t="s">
        <v>321</v>
      </c>
      <c r="G1791" t="str">
        <f>_xlfn.XLOOKUP(TRIM(E1792),MedicineInfo!A:A,MedicineInfo!B:B,"Not Found")</f>
        <v>Nitroglycerin</v>
      </c>
      <c r="H1791" s="1" t="str" cm="1">
        <f t="array" ref="H1791">_xlfn.IFS(
OR(E1791="Type 2 Diabetes",E1791="Essential Hypertension",E1791="Angina Pectoris",E1791="Bronchial Asthma",E1791="Cardiac Arrhythmia"), D1791+30,
OR(E1791="Gastritis",E1791="Osteoarthritis",E1791="Bronchitis",E1791="Iron Deficiency Anemia"), D1791+14,
OR(E1791="Lumbar Strain",E1791="Migraine Headache"), D1791+7,
OR(E1791="Viral Fever",E1791="General Checkup","Routine Health Check"), "",
TRUE,""
)</f>
        <v/>
      </c>
      <c r="I1791" s="1" t="str">
        <f t="shared" si="54"/>
        <v>No Follow-up Required</v>
      </c>
      <c r="J1791" t="str">
        <f>TEXT(Table8[[#This Row],[visit_Date]],"DDDD")</f>
        <v>Sunday</v>
      </c>
      <c r="K1791" t="str">
        <f>TEXT(Table8[[#This Row],[visit_Date]],"mmmm")</f>
        <v>January</v>
      </c>
      <c r="L1791" t="str">
        <f t="shared" si="55"/>
        <v>Winter</v>
      </c>
    </row>
    <row r="1792" spans="1:12" x14ac:dyDescent="0.25">
      <c r="A1792">
        <v>1791</v>
      </c>
      <c r="B1792">
        <v>1111</v>
      </c>
      <c r="C1792">
        <v>157</v>
      </c>
      <c r="D1792" s="1">
        <v>45823</v>
      </c>
      <c r="E1792" t="s">
        <v>322</v>
      </c>
      <c r="F1792" t="s">
        <v>323</v>
      </c>
      <c r="G1792" t="str">
        <f>_xlfn.XLOOKUP(TRIM(E1793),MedicineInfo!A:A,MedicineInfo!B:B,"Not Found")</f>
        <v>Multivitamin</v>
      </c>
      <c r="H1792" s="1" cm="1">
        <f t="array" ref="H1792">_xlfn.IFS(
OR(E1792="Type 2 Diabetes",E1792="Essential Hypertension",E1792="Angina Pectoris",E1792="Bronchial Asthma",E1792="Cardiac Arrhythmia"), D1792+30,
OR(E1792="Gastritis",E1792="Osteoarthritis",E1792="Bronchitis",E1792="Iron Deficiency Anemia"), D1792+14,
OR(E1792="Lumbar Strain",E1792="Migraine Headache"), D1792+7,
OR(E1792="Viral Fever",E1792="General Checkup","Routine Health Check"), "",
TRUE,""
)</f>
        <v>45853</v>
      </c>
      <c r="I1792" s="1" t="str">
        <f t="shared" si="54"/>
        <v>Follow-up Scheduled</v>
      </c>
      <c r="J1792" t="str">
        <f>TEXT(Table8[[#This Row],[visit_Date]],"DDDD")</f>
        <v>Sunday</v>
      </c>
      <c r="K1792" t="str">
        <f>TEXT(Table8[[#This Row],[visit_Date]],"mmmm")</f>
        <v>June</v>
      </c>
      <c r="L1792" t="str">
        <f t="shared" si="55"/>
        <v>Monsoon</v>
      </c>
    </row>
    <row r="1793" spans="1:12" x14ac:dyDescent="0.25">
      <c r="A1793">
        <v>1792</v>
      </c>
      <c r="B1793">
        <v>1153</v>
      </c>
      <c r="C1793">
        <v>627</v>
      </c>
      <c r="D1793" s="1">
        <v>45856</v>
      </c>
      <c r="E1793" t="s">
        <v>24</v>
      </c>
      <c r="F1793" t="s">
        <v>321</v>
      </c>
      <c r="G1793" t="str">
        <f>_xlfn.XLOOKUP(TRIM(E1794),MedicineInfo!A:A,MedicineInfo!B:B,"Not Found")</f>
        <v>Ferrous Sulfate</v>
      </c>
      <c r="H1793" s="1" t="str" cm="1">
        <f t="array" ref="H1793">_xlfn.IFS(
OR(E1793="Type 2 Diabetes",E1793="Essential Hypertension",E1793="Angina Pectoris",E1793="Bronchial Asthma",E1793="Cardiac Arrhythmia"), D1793+30,
OR(E1793="Gastritis",E1793="Osteoarthritis",E1793="Bronchitis",E1793="Iron Deficiency Anemia"), D1793+14,
OR(E1793="Lumbar Strain",E1793="Migraine Headache"), D1793+7,
OR(E1793="Viral Fever",E1793="General Checkup","Routine Health Check"), "",
TRUE,""
)</f>
        <v/>
      </c>
      <c r="I1793" s="1" t="str">
        <f t="shared" si="54"/>
        <v>No Follow-up Required</v>
      </c>
      <c r="J1793" t="str">
        <f>TEXT(Table8[[#This Row],[visit_Date]],"DDDD")</f>
        <v>Friday</v>
      </c>
      <c r="K1793" t="str">
        <f>TEXT(Table8[[#This Row],[visit_Date]],"mmmm")</f>
        <v>July</v>
      </c>
      <c r="L1793" t="str">
        <f t="shared" si="55"/>
        <v>Monsoon</v>
      </c>
    </row>
    <row r="1794" spans="1:12" x14ac:dyDescent="0.25">
      <c r="A1794">
        <v>1793</v>
      </c>
      <c r="B1794">
        <v>1267</v>
      </c>
      <c r="C1794">
        <v>1555</v>
      </c>
      <c r="D1794" s="1">
        <v>45819</v>
      </c>
      <c r="E1794" t="s">
        <v>358</v>
      </c>
      <c r="F1794" t="s">
        <v>359</v>
      </c>
      <c r="G1794" t="str">
        <f>_xlfn.XLOOKUP(TRIM(E1795),MedicineInfo!A:A,MedicineInfo!B:B,"Not Found")</f>
        <v>Multivitamin</v>
      </c>
      <c r="H1794" s="1" cm="1">
        <f t="array" ref="H1794">_xlfn.IFS(
OR(E1794="Type 2 Diabetes",E1794="Essential Hypertension",E1794="Angina Pectoris",E1794="Bronchial Asthma",E1794="Cardiac Arrhythmia"), D1794+30,
OR(E1794="Gastritis",E1794="Osteoarthritis",E1794="Bronchitis",E1794="Iron Deficiency Anemia"), D1794+14,
OR(E1794="Lumbar Strain",E1794="Migraine Headache"), D1794+7,
OR(E1794="Viral Fever",E1794="General Checkup","Routine Health Check"), "",
TRUE,""
)</f>
        <v>45833</v>
      </c>
      <c r="I1794" s="1" t="str">
        <f t="shared" ref="I1794:I1857" si="56">IF(H1794="","No Follow-up Required","Follow-up Scheduled")</f>
        <v>Follow-up Scheduled</v>
      </c>
      <c r="J1794" t="str">
        <f>TEXT(Table8[[#This Row],[visit_Date]],"DDDD")</f>
        <v>Wednesday</v>
      </c>
      <c r="K1794" t="str">
        <f>TEXT(Table8[[#This Row],[visit_Date]],"mmmm")</f>
        <v>June</v>
      </c>
      <c r="L1794" t="str">
        <f t="shared" ref="L1794:L1857" si="57">IF(OR(MONTH(D1794)=12,MONTH(D1794)&lt;=2),"Winter",
IF(MONTH(D1794)&lt;=5,"Summer","Monsoon"))</f>
        <v>Monsoon</v>
      </c>
    </row>
    <row r="1795" spans="1:12" x14ac:dyDescent="0.25">
      <c r="A1795">
        <v>1794</v>
      </c>
      <c r="B1795">
        <v>1199</v>
      </c>
      <c r="C1795">
        <v>574</v>
      </c>
      <c r="D1795" s="1">
        <v>45747</v>
      </c>
      <c r="E1795" t="s">
        <v>24</v>
      </c>
      <c r="F1795" t="s">
        <v>321</v>
      </c>
      <c r="G1795" t="str">
        <f>_xlfn.XLOOKUP(TRIM(E1796),MedicineInfo!A:A,MedicineInfo!B:B,"Not Found")</f>
        <v>Pantoprazole</v>
      </c>
      <c r="H1795" s="1" t="str" cm="1">
        <f t="array" ref="H1795">_xlfn.IFS(
OR(E1795="Type 2 Diabetes",E1795="Essential Hypertension",E1795="Angina Pectoris",E1795="Bronchial Asthma",E1795="Cardiac Arrhythmia"), D1795+30,
OR(E1795="Gastritis",E1795="Osteoarthritis",E1795="Bronchitis",E1795="Iron Deficiency Anemia"), D1795+14,
OR(E1795="Lumbar Strain",E1795="Migraine Headache"), D1795+7,
OR(E1795="Viral Fever",E1795="General Checkup","Routine Health Check"), "",
TRUE,""
)</f>
        <v/>
      </c>
      <c r="I1795" s="1" t="str">
        <f t="shared" si="56"/>
        <v>No Follow-up Required</v>
      </c>
      <c r="J1795" t="str">
        <f>TEXT(Table8[[#This Row],[visit_Date]],"DDDD")</f>
        <v>Monday</v>
      </c>
      <c r="K1795" t="str">
        <f>TEXT(Table8[[#This Row],[visit_Date]],"mmmm")</f>
        <v>March</v>
      </c>
      <c r="L1795" t="str">
        <f t="shared" si="57"/>
        <v>Summer</v>
      </c>
    </row>
    <row r="1796" spans="1:12" x14ac:dyDescent="0.25">
      <c r="A1796">
        <v>1795</v>
      </c>
      <c r="B1796">
        <v>1065</v>
      </c>
      <c r="C1796">
        <v>216</v>
      </c>
      <c r="D1796" s="1">
        <v>45840</v>
      </c>
      <c r="E1796" t="s">
        <v>344</v>
      </c>
      <c r="F1796" t="s">
        <v>345</v>
      </c>
      <c r="G1796" t="str">
        <f>_xlfn.XLOOKUP(TRIM(E1797),MedicineInfo!A:A,MedicineInfo!B:B,"Not Found")</f>
        <v>Neuro Vitamins</v>
      </c>
      <c r="H1796" s="1" cm="1">
        <f t="array" ref="H1796">_xlfn.IFS(
OR(E1796="Type 2 Diabetes",E1796="Essential Hypertension",E1796="Angina Pectoris",E1796="Bronchial Asthma",E1796="Cardiac Arrhythmia"), D1796+30,
OR(E1796="Gastritis",E1796="Osteoarthritis",E1796="Bronchitis",E1796="Iron Deficiency Anemia"), D1796+14,
OR(E1796="Lumbar Strain",E1796="Migraine Headache"), D1796+7,
OR(E1796="Viral Fever",E1796="General Checkup","Routine Health Check"), "",
TRUE,""
)</f>
        <v>45854</v>
      </c>
      <c r="I1796" s="1" t="str">
        <f t="shared" si="56"/>
        <v>Follow-up Scheduled</v>
      </c>
      <c r="J1796" t="str">
        <f>TEXT(Table8[[#This Row],[visit_Date]],"DDDD")</f>
        <v>Wednesday</v>
      </c>
      <c r="K1796" t="str">
        <f>TEXT(Table8[[#This Row],[visit_Date]],"mmmm")</f>
        <v>July</v>
      </c>
      <c r="L1796" t="str">
        <f t="shared" si="57"/>
        <v>Monsoon</v>
      </c>
    </row>
    <row r="1797" spans="1:12" x14ac:dyDescent="0.25">
      <c r="A1797">
        <v>1796</v>
      </c>
      <c r="B1797">
        <v>1356</v>
      </c>
      <c r="C1797">
        <v>607</v>
      </c>
      <c r="D1797" s="1">
        <v>45790</v>
      </c>
      <c r="E1797" t="s">
        <v>342</v>
      </c>
      <c r="F1797" t="s">
        <v>343</v>
      </c>
      <c r="G1797" t="str">
        <f>_xlfn.XLOOKUP(TRIM(E1798),MedicineInfo!A:A,MedicineInfo!B:B,"Not Found")</f>
        <v>Multivitamin</v>
      </c>
      <c r="H1797" s="1" t="str" cm="1">
        <f t="array" ref="H1797">_xlfn.IFS(
OR(E1797="Type 2 Diabetes",E1797="Essential Hypertension",E1797="Angina Pectoris",E1797="Bronchial Asthma",E1797="Cardiac Arrhythmia"), D1797+30,
OR(E1797="Gastritis",E1797="Osteoarthritis",E1797="Bronchitis",E1797="Iron Deficiency Anemia"), D1797+14,
OR(E1797="Lumbar Strain",E1797="Migraine Headache"), D1797+7,
OR(E1797="Viral Fever",E1797="General Checkup","Routine Health Check"), "",
TRUE,""
)</f>
        <v/>
      </c>
      <c r="I1797" s="1" t="str">
        <f t="shared" si="56"/>
        <v>No Follow-up Required</v>
      </c>
      <c r="J1797" t="str">
        <f>TEXT(Table8[[#This Row],[visit_Date]],"DDDD")</f>
        <v>Tuesday</v>
      </c>
      <c r="K1797" t="str">
        <f>TEXT(Table8[[#This Row],[visit_Date]],"mmmm")</f>
        <v>May</v>
      </c>
      <c r="L1797" t="str">
        <f t="shared" si="57"/>
        <v>Summer</v>
      </c>
    </row>
    <row r="1798" spans="1:12" x14ac:dyDescent="0.25">
      <c r="A1798">
        <v>1797</v>
      </c>
      <c r="B1798">
        <v>1190</v>
      </c>
      <c r="C1798">
        <v>288</v>
      </c>
      <c r="D1798" s="1">
        <v>45814</v>
      </c>
      <c r="E1798" t="s">
        <v>24</v>
      </c>
      <c r="F1798" t="s">
        <v>321</v>
      </c>
      <c r="G1798" t="str">
        <f>_xlfn.XLOOKUP(TRIM(E1799),MedicineInfo!A:A,MedicineInfo!B:B,"Not Found")</f>
        <v>Diclofenac</v>
      </c>
      <c r="H1798" s="1" t="str" cm="1">
        <f t="array" ref="H1798">_xlfn.IFS(
OR(E1798="Type 2 Diabetes",E1798="Essential Hypertension",E1798="Angina Pectoris",E1798="Bronchial Asthma",E1798="Cardiac Arrhythmia"), D1798+30,
OR(E1798="Gastritis",E1798="Osteoarthritis",E1798="Bronchitis",E1798="Iron Deficiency Anemia"), D1798+14,
OR(E1798="Lumbar Strain",E1798="Migraine Headache"), D1798+7,
OR(E1798="Viral Fever",E1798="General Checkup","Routine Health Check"), "",
TRUE,""
)</f>
        <v/>
      </c>
      <c r="I1798" s="1" t="str">
        <f t="shared" si="56"/>
        <v>No Follow-up Required</v>
      </c>
      <c r="J1798" t="str">
        <f>TEXT(Table8[[#This Row],[visit_Date]],"DDDD")</f>
        <v>Friday</v>
      </c>
      <c r="K1798" t="str">
        <f>TEXT(Table8[[#This Row],[visit_Date]],"mmmm")</f>
        <v>June</v>
      </c>
      <c r="L1798" t="str">
        <f t="shared" si="57"/>
        <v>Monsoon</v>
      </c>
    </row>
    <row r="1799" spans="1:12" x14ac:dyDescent="0.25">
      <c r="A1799">
        <v>1798</v>
      </c>
      <c r="B1799">
        <v>1207</v>
      </c>
      <c r="C1799">
        <v>525</v>
      </c>
      <c r="D1799" s="1">
        <v>45829</v>
      </c>
      <c r="E1799" t="s">
        <v>313</v>
      </c>
      <c r="F1799" t="s">
        <v>314</v>
      </c>
      <c r="G1799" t="str">
        <f>_xlfn.XLOOKUP(TRIM(E1800),MedicineInfo!A:A,MedicineInfo!B:B,"Not Found")</f>
        <v>Multivitamin</v>
      </c>
      <c r="H1799" s="1" cm="1">
        <f t="array" ref="H1799">_xlfn.IFS(
OR(E1799="Type 2 Diabetes",E1799="Essential Hypertension",E1799="Angina Pectoris",E1799="Bronchial Asthma",E1799="Cardiac Arrhythmia"), D1799+30,
OR(E1799="Gastritis",E1799="Osteoarthritis",E1799="Bronchitis",E1799="Iron Deficiency Anemia"), D1799+14,
OR(E1799="Lumbar Strain",E1799="Migraine Headache"), D1799+7,
OR(E1799="Viral Fever",E1799="General Checkup","Routine Health Check"), "",
TRUE,""
)</f>
        <v>45836</v>
      </c>
      <c r="I1799" s="1" t="str">
        <f t="shared" si="56"/>
        <v>Follow-up Scheduled</v>
      </c>
      <c r="J1799" t="str">
        <f>TEXT(Table8[[#This Row],[visit_Date]],"DDDD")</f>
        <v>Saturday</v>
      </c>
      <c r="K1799" t="str">
        <f>TEXT(Table8[[#This Row],[visit_Date]],"mmmm")</f>
        <v>June</v>
      </c>
      <c r="L1799" t="str">
        <f t="shared" si="57"/>
        <v>Monsoon</v>
      </c>
    </row>
    <row r="1800" spans="1:12" x14ac:dyDescent="0.25">
      <c r="A1800">
        <v>1799</v>
      </c>
      <c r="B1800">
        <v>1059</v>
      </c>
      <c r="C1800">
        <v>1352</v>
      </c>
      <c r="D1800" s="1">
        <v>45791</v>
      </c>
      <c r="E1800" t="s">
        <v>24</v>
      </c>
      <c r="F1800" t="s">
        <v>321</v>
      </c>
      <c r="G1800" t="str">
        <f>_xlfn.XLOOKUP(TRIM(E1801),MedicineInfo!A:A,MedicineInfo!B:B,"Not Found")</f>
        <v>Multivitamin</v>
      </c>
      <c r="H1800" s="1" t="str" cm="1">
        <f t="array" ref="H1800">_xlfn.IFS(
OR(E1800="Type 2 Diabetes",E1800="Essential Hypertension",E1800="Angina Pectoris",E1800="Bronchial Asthma",E1800="Cardiac Arrhythmia"), D1800+30,
OR(E1800="Gastritis",E1800="Osteoarthritis",E1800="Bronchitis",E1800="Iron Deficiency Anemia"), D1800+14,
OR(E1800="Lumbar Strain",E1800="Migraine Headache"), D1800+7,
OR(E1800="Viral Fever",E1800="General Checkup","Routine Health Check"), "",
TRUE,""
)</f>
        <v/>
      </c>
      <c r="I1800" s="1" t="str">
        <f t="shared" si="56"/>
        <v>No Follow-up Required</v>
      </c>
      <c r="J1800" t="str">
        <f>TEXT(Table8[[#This Row],[visit_Date]],"DDDD")</f>
        <v>Wednesday</v>
      </c>
      <c r="K1800" t="str">
        <f>TEXT(Table8[[#This Row],[visit_Date]],"mmmm")</f>
        <v>May</v>
      </c>
      <c r="L1800" t="str">
        <f t="shared" si="57"/>
        <v>Summer</v>
      </c>
    </row>
    <row r="1801" spans="1:12" x14ac:dyDescent="0.25">
      <c r="A1801">
        <v>1800</v>
      </c>
      <c r="B1801">
        <v>1140</v>
      </c>
      <c r="C1801">
        <v>176</v>
      </c>
      <c r="D1801" s="1">
        <v>45754</v>
      </c>
      <c r="E1801" t="s">
        <v>24</v>
      </c>
      <c r="F1801" t="s">
        <v>321</v>
      </c>
      <c r="G1801" t="str">
        <f>_xlfn.XLOOKUP(TRIM(E1802),MedicineInfo!A:A,MedicineInfo!B:B,"Not Found")</f>
        <v>Multivitamin</v>
      </c>
      <c r="H1801" s="1" t="str" cm="1">
        <f t="array" ref="H1801">_xlfn.IFS(
OR(E1801="Type 2 Diabetes",E1801="Essential Hypertension",E1801="Angina Pectoris",E1801="Bronchial Asthma",E1801="Cardiac Arrhythmia"), D1801+30,
OR(E1801="Gastritis",E1801="Osteoarthritis",E1801="Bronchitis",E1801="Iron Deficiency Anemia"), D1801+14,
OR(E1801="Lumbar Strain",E1801="Migraine Headache"), D1801+7,
OR(E1801="Viral Fever",E1801="General Checkup","Routine Health Check"), "",
TRUE,""
)</f>
        <v/>
      </c>
      <c r="I1801" s="1" t="str">
        <f t="shared" si="56"/>
        <v>No Follow-up Required</v>
      </c>
      <c r="J1801" t="str">
        <f>TEXT(Table8[[#This Row],[visit_Date]],"DDDD")</f>
        <v>Monday</v>
      </c>
      <c r="K1801" t="str">
        <f>TEXT(Table8[[#This Row],[visit_Date]],"mmmm")</f>
        <v>April</v>
      </c>
      <c r="L1801" t="str">
        <f t="shared" si="57"/>
        <v>Summer</v>
      </c>
    </row>
    <row r="1802" spans="1:12" x14ac:dyDescent="0.25">
      <c r="A1802">
        <v>1801</v>
      </c>
      <c r="B1802">
        <v>1088</v>
      </c>
      <c r="C1802">
        <v>987</v>
      </c>
      <c r="D1802" s="1">
        <v>45820</v>
      </c>
      <c r="E1802" t="s">
        <v>24</v>
      </c>
      <c r="F1802" t="s">
        <v>321</v>
      </c>
      <c r="G1802" t="str">
        <f>_xlfn.XLOOKUP(TRIM(E1803),MedicineInfo!A:A,MedicineInfo!B:B,"Not Found")</f>
        <v>Not Found</v>
      </c>
      <c r="H1802" s="1" t="str" cm="1">
        <f t="array" ref="H1802">_xlfn.IFS(
OR(E1802="Type 2 Diabetes",E1802="Essential Hypertension",E1802="Angina Pectoris",E1802="Bronchial Asthma",E1802="Cardiac Arrhythmia"), D1802+30,
OR(E1802="Gastritis",E1802="Osteoarthritis",E1802="Bronchitis",E1802="Iron Deficiency Anemia"), D1802+14,
OR(E1802="Lumbar Strain",E1802="Migraine Headache"), D1802+7,
OR(E1802="Viral Fever",E1802="General Checkup","Routine Health Check"), "",
TRUE,""
)</f>
        <v/>
      </c>
      <c r="I1802" s="1" t="str">
        <f t="shared" si="56"/>
        <v>No Follow-up Required</v>
      </c>
      <c r="J1802" t="str">
        <f>TEXT(Table8[[#This Row],[visit_Date]],"DDDD")</f>
        <v>Thursday</v>
      </c>
      <c r="K1802" t="str">
        <f>TEXT(Table8[[#This Row],[visit_Date]],"mmmm")</f>
        <v>June</v>
      </c>
      <c r="L1802" t="str">
        <f t="shared" si="57"/>
        <v>Monsoon</v>
      </c>
    </row>
    <row r="1803" spans="1:12" x14ac:dyDescent="0.25">
      <c r="A1803">
        <v>1802</v>
      </c>
      <c r="B1803">
        <v>1291</v>
      </c>
      <c r="C1803">
        <v>1443</v>
      </c>
      <c r="D1803" s="1">
        <v>45819</v>
      </c>
      <c r="E1803" t="s">
        <v>340</v>
      </c>
      <c r="F1803" t="s">
        <v>341</v>
      </c>
      <c r="G1803" t="str">
        <f>_xlfn.XLOOKUP(TRIM(E1804),MedicineInfo!A:A,MedicineInfo!B:B,"Not Found")</f>
        <v>Multivitamin</v>
      </c>
      <c r="H1803" s="1" t="str" cm="1">
        <f t="array" ref="H1803">_xlfn.IFS(
OR(E1803="Type 2 Diabetes",E1803="Essential Hypertension",E1803="Angina Pectoris",E1803="Bronchial Asthma",E1803="Cardiac Arrhythmia"), D1803+30,
OR(E1803="Gastritis",E1803="Osteoarthritis",E1803="Bronchitis",E1803="Iron Deficiency Anemia"), D1803+14,
OR(E1803="Lumbar Strain",E1803="Migraine Headache"), D1803+7,
OR(E1803="Viral Fever",E1803="General Checkup","Routine Health Check"), "",
TRUE,""
)</f>
        <v/>
      </c>
      <c r="I1803" s="1" t="str">
        <f t="shared" si="56"/>
        <v>No Follow-up Required</v>
      </c>
      <c r="J1803" t="str">
        <f>TEXT(Table8[[#This Row],[visit_Date]],"DDDD")</f>
        <v>Wednesday</v>
      </c>
      <c r="K1803" t="str">
        <f>TEXT(Table8[[#This Row],[visit_Date]],"mmmm")</f>
        <v>June</v>
      </c>
      <c r="L1803" t="str">
        <f t="shared" si="57"/>
        <v>Monsoon</v>
      </c>
    </row>
    <row r="1804" spans="1:12" x14ac:dyDescent="0.25">
      <c r="A1804">
        <v>1803</v>
      </c>
      <c r="B1804">
        <v>1175</v>
      </c>
      <c r="C1804">
        <v>1053</v>
      </c>
      <c r="D1804" s="1">
        <v>45767</v>
      </c>
      <c r="E1804" t="s">
        <v>24</v>
      </c>
      <c r="F1804" t="s">
        <v>321</v>
      </c>
      <c r="G1804" t="str">
        <f>_xlfn.XLOOKUP(TRIM(E1805),MedicineInfo!A:A,MedicineInfo!B:B,"Not Found")</f>
        <v>Multivitamin</v>
      </c>
      <c r="H1804" s="1" t="str" cm="1">
        <f t="array" ref="H1804">_xlfn.IFS(
OR(E1804="Type 2 Diabetes",E1804="Essential Hypertension",E1804="Angina Pectoris",E1804="Bronchial Asthma",E1804="Cardiac Arrhythmia"), D1804+30,
OR(E1804="Gastritis",E1804="Osteoarthritis",E1804="Bronchitis",E1804="Iron Deficiency Anemia"), D1804+14,
OR(E1804="Lumbar Strain",E1804="Migraine Headache"), D1804+7,
OR(E1804="Viral Fever",E1804="General Checkup","Routine Health Check"), "",
TRUE,""
)</f>
        <v/>
      </c>
      <c r="I1804" s="1" t="str">
        <f t="shared" si="56"/>
        <v>No Follow-up Required</v>
      </c>
      <c r="J1804" t="str">
        <f>TEXT(Table8[[#This Row],[visit_Date]],"DDDD")</f>
        <v>Sunday</v>
      </c>
      <c r="K1804" t="str">
        <f>TEXT(Table8[[#This Row],[visit_Date]],"mmmm")</f>
        <v>April</v>
      </c>
      <c r="L1804" t="str">
        <f t="shared" si="57"/>
        <v>Summer</v>
      </c>
    </row>
    <row r="1805" spans="1:12" x14ac:dyDescent="0.25">
      <c r="A1805">
        <v>1804</v>
      </c>
      <c r="B1805">
        <v>1343</v>
      </c>
      <c r="C1805">
        <v>1431</v>
      </c>
      <c r="D1805" s="1">
        <v>45691</v>
      </c>
      <c r="E1805" t="s">
        <v>24</v>
      </c>
      <c r="F1805" t="s">
        <v>321</v>
      </c>
      <c r="G1805" t="str">
        <f>_xlfn.XLOOKUP(TRIM(E1806),MedicineInfo!A:A,MedicineInfo!B:B,"Not Found")</f>
        <v>Calcium Supplement</v>
      </c>
      <c r="H1805" s="1" t="str" cm="1">
        <f t="array" ref="H1805">_xlfn.IFS(
OR(E1805="Type 2 Diabetes",E1805="Essential Hypertension",E1805="Angina Pectoris",E1805="Bronchial Asthma",E1805="Cardiac Arrhythmia"), D1805+30,
OR(E1805="Gastritis",E1805="Osteoarthritis",E1805="Bronchitis",E1805="Iron Deficiency Anemia"), D1805+14,
OR(E1805="Lumbar Strain",E1805="Migraine Headache"), D1805+7,
OR(E1805="Viral Fever",E1805="General Checkup","Routine Health Check"), "",
TRUE,""
)</f>
        <v/>
      </c>
      <c r="I1805" s="1" t="str">
        <f t="shared" si="56"/>
        <v>No Follow-up Required</v>
      </c>
      <c r="J1805" t="str">
        <f>TEXT(Table8[[#This Row],[visit_Date]],"DDDD")</f>
        <v>Monday</v>
      </c>
      <c r="K1805" t="str">
        <f>TEXT(Table8[[#This Row],[visit_Date]],"mmmm")</f>
        <v>February</v>
      </c>
      <c r="L1805" t="str">
        <f t="shared" si="57"/>
        <v>Winter</v>
      </c>
    </row>
    <row r="1806" spans="1:12" x14ac:dyDescent="0.25">
      <c r="A1806">
        <v>1805</v>
      </c>
      <c r="B1806">
        <v>1202</v>
      </c>
      <c r="C1806">
        <v>1104</v>
      </c>
      <c r="D1806" s="1">
        <v>45799</v>
      </c>
      <c r="E1806" t="s">
        <v>336</v>
      </c>
      <c r="F1806" t="s">
        <v>337</v>
      </c>
      <c r="G1806" t="str">
        <f>_xlfn.XLOOKUP(TRIM(E1807),MedicineInfo!A:A,MedicineInfo!B:B,"Not Found")</f>
        <v>Multivitamin</v>
      </c>
      <c r="H1806" s="1" t="str" cm="1">
        <f t="array" ref="H1806">_xlfn.IFS(
OR(E1806="Type 2 Diabetes",E1806="Essential Hypertension",E1806="Angina Pectoris",E1806="Bronchial Asthma",E1806="Cardiac Arrhythmia"), D1806+30,
OR(E1806="Gastritis",E1806="Osteoarthritis",E1806="Bronchitis",E1806="Iron Deficiency Anemia"), D1806+14,
OR(E1806="Lumbar Strain",E1806="Migraine Headache"), D1806+7,
OR(E1806="Viral Fever",E1806="General Checkup","Routine Health Check"), "",
TRUE,""
)</f>
        <v/>
      </c>
      <c r="I1806" s="1" t="str">
        <f t="shared" si="56"/>
        <v>No Follow-up Required</v>
      </c>
      <c r="J1806" t="str">
        <f>TEXT(Table8[[#This Row],[visit_Date]],"DDDD")</f>
        <v>Thursday</v>
      </c>
      <c r="K1806" t="str">
        <f>TEXT(Table8[[#This Row],[visit_Date]],"mmmm")</f>
        <v>May</v>
      </c>
      <c r="L1806" t="str">
        <f t="shared" si="57"/>
        <v>Summer</v>
      </c>
    </row>
    <row r="1807" spans="1:12" x14ac:dyDescent="0.25">
      <c r="A1807">
        <v>1806</v>
      </c>
      <c r="B1807">
        <v>1077</v>
      </c>
      <c r="C1807">
        <v>765</v>
      </c>
      <c r="D1807" s="1">
        <v>45853</v>
      </c>
      <c r="E1807" t="s">
        <v>24</v>
      </c>
      <c r="F1807" t="s">
        <v>321</v>
      </c>
      <c r="G1807" t="str">
        <f>_xlfn.XLOOKUP(TRIM(E1808),MedicineInfo!A:A,MedicineInfo!B:B,"Not Found")</f>
        <v>Multivitamin</v>
      </c>
      <c r="H1807" s="1" t="str" cm="1">
        <f t="array" ref="H1807">_xlfn.IFS(
OR(E1807="Type 2 Diabetes",E1807="Essential Hypertension",E1807="Angina Pectoris",E1807="Bronchial Asthma",E1807="Cardiac Arrhythmia"), D1807+30,
OR(E1807="Gastritis",E1807="Osteoarthritis",E1807="Bronchitis",E1807="Iron Deficiency Anemia"), D1807+14,
OR(E1807="Lumbar Strain",E1807="Migraine Headache"), D1807+7,
OR(E1807="Viral Fever",E1807="General Checkup","Routine Health Check"), "",
TRUE,""
)</f>
        <v/>
      </c>
      <c r="I1807" s="1" t="str">
        <f t="shared" si="56"/>
        <v>No Follow-up Required</v>
      </c>
      <c r="J1807" t="str">
        <f>TEXT(Table8[[#This Row],[visit_Date]],"DDDD")</f>
        <v>Tuesday</v>
      </c>
      <c r="K1807" t="str">
        <f>TEXT(Table8[[#This Row],[visit_Date]],"mmmm")</f>
        <v>July</v>
      </c>
      <c r="L1807" t="str">
        <f t="shared" si="57"/>
        <v>Monsoon</v>
      </c>
    </row>
    <row r="1808" spans="1:12" x14ac:dyDescent="0.25">
      <c r="A1808">
        <v>1807</v>
      </c>
      <c r="B1808">
        <v>1081</v>
      </c>
      <c r="C1808">
        <v>1387</v>
      </c>
      <c r="D1808" s="1">
        <v>45761</v>
      </c>
      <c r="E1808" t="s">
        <v>24</v>
      </c>
      <c r="F1808" t="s">
        <v>321</v>
      </c>
      <c r="G1808" t="str">
        <f>_xlfn.XLOOKUP(TRIM(E1809),MedicineInfo!A:A,MedicineInfo!B:B,"Not Found")</f>
        <v>Multivitamin</v>
      </c>
      <c r="H1808" s="1" t="str" cm="1">
        <f t="array" ref="H1808">_xlfn.IFS(
OR(E1808="Type 2 Diabetes",E1808="Essential Hypertension",E1808="Angina Pectoris",E1808="Bronchial Asthma",E1808="Cardiac Arrhythmia"), D1808+30,
OR(E1808="Gastritis",E1808="Osteoarthritis",E1808="Bronchitis",E1808="Iron Deficiency Anemia"), D1808+14,
OR(E1808="Lumbar Strain",E1808="Migraine Headache"), D1808+7,
OR(E1808="Viral Fever",E1808="General Checkup","Routine Health Check"), "",
TRUE,""
)</f>
        <v/>
      </c>
      <c r="I1808" s="1" t="str">
        <f t="shared" si="56"/>
        <v>No Follow-up Required</v>
      </c>
      <c r="J1808" t="str">
        <f>TEXT(Table8[[#This Row],[visit_Date]],"DDDD")</f>
        <v>Monday</v>
      </c>
      <c r="K1808" t="str">
        <f>TEXT(Table8[[#This Row],[visit_Date]],"mmmm")</f>
        <v>April</v>
      </c>
      <c r="L1808" t="str">
        <f t="shared" si="57"/>
        <v>Summer</v>
      </c>
    </row>
    <row r="1809" spans="1:12" x14ac:dyDescent="0.25">
      <c r="A1809">
        <v>1808</v>
      </c>
      <c r="B1809">
        <v>1169</v>
      </c>
      <c r="C1809">
        <v>690</v>
      </c>
      <c r="D1809" s="1">
        <v>45807</v>
      </c>
      <c r="E1809" t="s">
        <v>24</v>
      </c>
      <c r="F1809" t="s">
        <v>321</v>
      </c>
      <c r="G1809" t="str">
        <f>_xlfn.XLOOKUP(TRIM(E1810),MedicineInfo!A:A,MedicineInfo!B:B,"Not Found")</f>
        <v>Multivitamin</v>
      </c>
      <c r="H1809" s="1" t="str" cm="1">
        <f t="array" ref="H1809">_xlfn.IFS(
OR(E1809="Type 2 Diabetes",E1809="Essential Hypertension",E1809="Angina Pectoris",E1809="Bronchial Asthma",E1809="Cardiac Arrhythmia"), D1809+30,
OR(E1809="Gastritis",E1809="Osteoarthritis",E1809="Bronchitis",E1809="Iron Deficiency Anemia"), D1809+14,
OR(E1809="Lumbar Strain",E1809="Migraine Headache"), D1809+7,
OR(E1809="Viral Fever",E1809="General Checkup","Routine Health Check"), "",
TRUE,""
)</f>
        <v/>
      </c>
      <c r="I1809" s="1" t="str">
        <f t="shared" si="56"/>
        <v>No Follow-up Required</v>
      </c>
      <c r="J1809" t="str">
        <f>TEXT(Table8[[#This Row],[visit_Date]],"DDDD")</f>
        <v>Friday</v>
      </c>
      <c r="K1809" t="str">
        <f>TEXT(Table8[[#This Row],[visit_Date]],"mmmm")</f>
        <v>May</v>
      </c>
      <c r="L1809" t="str">
        <f t="shared" si="57"/>
        <v>Summer</v>
      </c>
    </row>
    <row r="1810" spans="1:12" x14ac:dyDescent="0.25">
      <c r="A1810">
        <v>1809</v>
      </c>
      <c r="B1810">
        <v>1258</v>
      </c>
      <c r="C1810">
        <v>1432</v>
      </c>
      <c r="D1810" s="1">
        <v>45715</v>
      </c>
      <c r="E1810" t="s">
        <v>24</v>
      </c>
      <c r="F1810" t="s">
        <v>321</v>
      </c>
      <c r="G1810" t="str">
        <f>_xlfn.XLOOKUP(TRIM(E1811),MedicineInfo!A:A,MedicineInfo!B:B,"Not Found")</f>
        <v>Multivitamin</v>
      </c>
      <c r="H1810" s="1" t="str" cm="1">
        <f t="array" ref="H1810">_xlfn.IFS(
OR(E1810="Type 2 Diabetes",E1810="Essential Hypertension",E1810="Angina Pectoris",E1810="Bronchial Asthma",E1810="Cardiac Arrhythmia"), D1810+30,
OR(E1810="Gastritis",E1810="Osteoarthritis",E1810="Bronchitis",E1810="Iron Deficiency Anemia"), D1810+14,
OR(E1810="Lumbar Strain",E1810="Migraine Headache"), D1810+7,
OR(E1810="Viral Fever",E1810="General Checkup","Routine Health Check"), "",
TRUE,""
)</f>
        <v/>
      </c>
      <c r="I1810" s="1" t="str">
        <f t="shared" si="56"/>
        <v>No Follow-up Required</v>
      </c>
      <c r="J1810" t="str">
        <f>TEXT(Table8[[#This Row],[visit_Date]],"DDDD")</f>
        <v>Thursday</v>
      </c>
      <c r="K1810" t="str">
        <f>TEXT(Table8[[#This Row],[visit_Date]],"mmmm")</f>
        <v>February</v>
      </c>
      <c r="L1810" t="str">
        <f t="shared" si="57"/>
        <v>Winter</v>
      </c>
    </row>
    <row r="1811" spans="1:12" x14ac:dyDescent="0.25">
      <c r="A1811">
        <v>1810</v>
      </c>
      <c r="B1811">
        <v>1006</v>
      </c>
      <c r="C1811">
        <v>1049</v>
      </c>
      <c r="D1811" s="1">
        <v>45790</v>
      </c>
      <c r="E1811" t="s">
        <v>24</v>
      </c>
      <c r="F1811" t="s">
        <v>321</v>
      </c>
      <c r="G1811" t="str">
        <f>_xlfn.XLOOKUP(TRIM(E1812),MedicineInfo!A:A,MedicineInfo!B:B,"Not Found")</f>
        <v>Multivitamin</v>
      </c>
      <c r="H1811" s="1" t="str" cm="1">
        <f t="array" ref="H1811">_xlfn.IFS(
OR(E1811="Type 2 Diabetes",E1811="Essential Hypertension",E1811="Angina Pectoris",E1811="Bronchial Asthma",E1811="Cardiac Arrhythmia"), D1811+30,
OR(E1811="Gastritis",E1811="Osteoarthritis",E1811="Bronchitis",E1811="Iron Deficiency Anemia"), D1811+14,
OR(E1811="Lumbar Strain",E1811="Migraine Headache"), D1811+7,
OR(E1811="Viral Fever",E1811="General Checkup","Routine Health Check"), "",
TRUE,""
)</f>
        <v/>
      </c>
      <c r="I1811" s="1" t="str">
        <f t="shared" si="56"/>
        <v>No Follow-up Required</v>
      </c>
      <c r="J1811" t="str">
        <f>TEXT(Table8[[#This Row],[visit_Date]],"DDDD")</f>
        <v>Tuesday</v>
      </c>
      <c r="K1811" t="str">
        <f>TEXT(Table8[[#This Row],[visit_Date]],"mmmm")</f>
        <v>May</v>
      </c>
      <c r="L1811" t="str">
        <f t="shared" si="57"/>
        <v>Summer</v>
      </c>
    </row>
    <row r="1812" spans="1:12" x14ac:dyDescent="0.25">
      <c r="A1812">
        <v>1811</v>
      </c>
      <c r="B1812">
        <v>1028</v>
      </c>
      <c r="C1812">
        <v>1474</v>
      </c>
      <c r="D1812" s="1">
        <v>45694</v>
      </c>
      <c r="E1812" t="s">
        <v>24</v>
      </c>
      <c r="F1812" t="s">
        <v>321</v>
      </c>
      <c r="G1812" t="str">
        <f>_xlfn.XLOOKUP(TRIM(E1813),MedicineInfo!A:A,MedicineInfo!B:B,"Not Found")</f>
        <v>Cefixime</v>
      </c>
      <c r="H1812" s="1" t="str" cm="1">
        <f t="array" ref="H1812">_xlfn.IFS(
OR(E1812="Type 2 Diabetes",E1812="Essential Hypertension",E1812="Angina Pectoris",E1812="Bronchial Asthma",E1812="Cardiac Arrhythmia"), D1812+30,
OR(E1812="Gastritis",E1812="Osteoarthritis",E1812="Bronchitis",E1812="Iron Deficiency Anemia"), D1812+14,
OR(E1812="Lumbar Strain",E1812="Migraine Headache"), D1812+7,
OR(E1812="Viral Fever",E1812="General Checkup","Routine Health Check"), "",
TRUE,""
)</f>
        <v/>
      </c>
      <c r="I1812" s="1" t="str">
        <f t="shared" si="56"/>
        <v>No Follow-up Required</v>
      </c>
      <c r="J1812" t="str">
        <f>TEXT(Table8[[#This Row],[visit_Date]],"DDDD")</f>
        <v>Thursday</v>
      </c>
      <c r="K1812" t="str">
        <f>TEXT(Table8[[#This Row],[visit_Date]],"mmmm")</f>
        <v>February</v>
      </c>
      <c r="L1812" t="str">
        <f t="shared" si="57"/>
        <v>Winter</v>
      </c>
    </row>
    <row r="1813" spans="1:12" x14ac:dyDescent="0.25">
      <c r="A1813">
        <v>1812</v>
      </c>
      <c r="B1813">
        <v>1336</v>
      </c>
      <c r="C1813">
        <v>309</v>
      </c>
      <c r="D1813" s="1">
        <v>45726</v>
      </c>
      <c r="E1813" t="s">
        <v>354</v>
      </c>
      <c r="F1813" t="s">
        <v>355</v>
      </c>
      <c r="G1813" t="str">
        <f>_xlfn.XLOOKUP(TRIM(E1814),MedicineInfo!A:A,MedicineInfo!B:B,"Not Found")</f>
        <v>Multivitamin</v>
      </c>
      <c r="H1813" s="1" t="str" cm="1">
        <f t="array" ref="H1813">_xlfn.IFS(
OR(E1813="Type 2 Diabetes",E1813="Essential Hypertension",E1813="Angina Pectoris",E1813="Bronchial Asthma",E1813="Cardiac Arrhythmia"), D1813+30,
OR(E1813="Gastritis",E1813="Osteoarthritis",E1813="Bronchitis",E1813="Iron Deficiency Anemia"), D1813+14,
OR(E1813="Lumbar Strain",E1813="Migraine Headache"), D1813+7,
OR(E1813="Viral Fever",E1813="General Checkup","Routine Health Check"), "",
TRUE,""
)</f>
        <v/>
      </c>
      <c r="I1813" s="1" t="str">
        <f t="shared" si="56"/>
        <v>No Follow-up Required</v>
      </c>
      <c r="J1813" t="str">
        <f>TEXT(Table8[[#This Row],[visit_Date]],"DDDD")</f>
        <v>Monday</v>
      </c>
      <c r="K1813" t="str">
        <f>TEXT(Table8[[#This Row],[visit_Date]],"mmmm")</f>
        <v>March</v>
      </c>
      <c r="L1813" t="str">
        <f t="shared" si="57"/>
        <v>Summer</v>
      </c>
    </row>
    <row r="1814" spans="1:12" x14ac:dyDescent="0.25">
      <c r="A1814">
        <v>1813</v>
      </c>
      <c r="B1814">
        <v>1153</v>
      </c>
      <c r="C1814">
        <v>245</v>
      </c>
      <c r="D1814" s="1">
        <v>45755</v>
      </c>
      <c r="E1814" t="s">
        <v>24</v>
      </c>
      <c r="F1814" t="s">
        <v>321</v>
      </c>
      <c r="G1814" t="str">
        <f>_xlfn.XLOOKUP(TRIM(E1815),MedicineInfo!A:A,MedicineInfo!B:B,"Not Found")</f>
        <v>Multivitamin</v>
      </c>
      <c r="H1814" s="1" t="str" cm="1">
        <f t="array" ref="H1814">_xlfn.IFS(
OR(E1814="Type 2 Diabetes",E1814="Essential Hypertension",E1814="Angina Pectoris",E1814="Bronchial Asthma",E1814="Cardiac Arrhythmia"), D1814+30,
OR(E1814="Gastritis",E1814="Osteoarthritis",E1814="Bronchitis",E1814="Iron Deficiency Anemia"), D1814+14,
OR(E1814="Lumbar Strain",E1814="Migraine Headache"), D1814+7,
OR(E1814="Viral Fever",E1814="General Checkup","Routine Health Check"), "",
TRUE,""
)</f>
        <v/>
      </c>
      <c r="I1814" s="1" t="str">
        <f t="shared" si="56"/>
        <v>No Follow-up Required</v>
      </c>
      <c r="J1814" t="str">
        <f>TEXT(Table8[[#This Row],[visit_Date]],"DDDD")</f>
        <v>Tuesday</v>
      </c>
      <c r="K1814" t="str">
        <f>TEXT(Table8[[#This Row],[visit_Date]],"mmmm")</f>
        <v>April</v>
      </c>
      <c r="L1814" t="str">
        <f t="shared" si="57"/>
        <v>Summer</v>
      </c>
    </row>
    <row r="1815" spans="1:12" x14ac:dyDescent="0.25">
      <c r="A1815">
        <v>1814</v>
      </c>
      <c r="B1815">
        <v>1265</v>
      </c>
      <c r="C1815">
        <v>958</v>
      </c>
      <c r="D1815" s="1">
        <v>45853</v>
      </c>
      <c r="E1815" t="s">
        <v>24</v>
      </c>
      <c r="F1815" t="s">
        <v>321</v>
      </c>
      <c r="G1815" t="str">
        <f>_xlfn.XLOOKUP(TRIM(E1816),MedicineInfo!A:A,MedicineInfo!B:B,"Not Found")</f>
        <v>Multivitamin</v>
      </c>
      <c r="H1815" s="1" t="str" cm="1">
        <f t="array" ref="H1815">_xlfn.IFS(
OR(E1815="Type 2 Diabetes",E1815="Essential Hypertension",E1815="Angina Pectoris",E1815="Bronchial Asthma",E1815="Cardiac Arrhythmia"), D1815+30,
OR(E1815="Gastritis",E1815="Osteoarthritis",E1815="Bronchitis",E1815="Iron Deficiency Anemia"), D1815+14,
OR(E1815="Lumbar Strain",E1815="Migraine Headache"), D1815+7,
OR(E1815="Viral Fever",E1815="General Checkup","Routine Health Check"), "",
TRUE,""
)</f>
        <v/>
      </c>
      <c r="I1815" s="1" t="str">
        <f t="shared" si="56"/>
        <v>No Follow-up Required</v>
      </c>
      <c r="J1815" t="str">
        <f>TEXT(Table8[[#This Row],[visit_Date]],"DDDD")</f>
        <v>Tuesday</v>
      </c>
      <c r="K1815" t="str">
        <f>TEXT(Table8[[#This Row],[visit_Date]],"mmmm")</f>
        <v>July</v>
      </c>
      <c r="L1815" t="str">
        <f t="shared" si="57"/>
        <v>Monsoon</v>
      </c>
    </row>
    <row r="1816" spans="1:12" x14ac:dyDescent="0.25">
      <c r="A1816">
        <v>1815</v>
      </c>
      <c r="B1816">
        <v>1036</v>
      </c>
      <c r="C1816">
        <v>1521</v>
      </c>
      <c r="D1816" s="1">
        <v>45853</v>
      </c>
      <c r="E1816" t="s">
        <v>24</v>
      </c>
      <c r="F1816" t="s">
        <v>321</v>
      </c>
      <c r="G1816" t="str">
        <f>_xlfn.XLOOKUP(TRIM(E1817),MedicineInfo!A:A,MedicineInfo!B:B,"Not Found")</f>
        <v>Not Found</v>
      </c>
      <c r="H1816" s="1" t="str" cm="1">
        <f t="array" ref="H1816">_xlfn.IFS(
OR(E1816="Type 2 Diabetes",E1816="Essential Hypertension",E1816="Angina Pectoris",E1816="Bronchial Asthma",E1816="Cardiac Arrhythmia"), D1816+30,
OR(E1816="Gastritis",E1816="Osteoarthritis",E1816="Bronchitis",E1816="Iron Deficiency Anemia"), D1816+14,
OR(E1816="Lumbar Strain",E1816="Migraine Headache"), D1816+7,
OR(E1816="Viral Fever",E1816="General Checkup","Routine Health Check"), "",
TRUE,""
)</f>
        <v/>
      </c>
      <c r="I1816" s="1" t="str">
        <f t="shared" si="56"/>
        <v>No Follow-up Required</v>
      </c>
      <c r="J1816" t="str">
        <f>TEXT(Table8[[#This Row],[visit_Date]],"DDDD")</f>
        <v>Tuesday</v>
      </c>
      <c r="K1816" t="str">
        <f>TEXT(Table8[[#This Row],[visit_Date]],"mmmm")</f>
        <v>July</v>
      </c>
      <c r="L1816" t="str">
        <f t="shared" si="57"/>
        <v>Monsoon</v>
      </c>
    </row>
    <row r="1817" spans="1:12" x14ac:dyDescent="0.25">
      <c r="A1817">
        <v>1816</v>
      </c>
      <c r="B1817">
        <v>1188</v>
      </c>
      <c r="C1817">
        <v>1066</v>
      </c>
      <c r="D1817" s="1">
        <v>45853</v>
      </c>
      <c r="E1817" t="s">
        <v>340</v>
      </c>
      <c r="F1817" t="s">
        <v>341</v>
      </c>
      <c r="G1817" t="str">
        <f>_xlfn.XLOOKUP(TRIM(E1818),MedicineInfo!A:A,MedicineInfo!B:B,"Not Found")</f>
        <v>Multivitamin</v>
      </c>
      <c r="H1817" s="1" t="str" cm="1">
        <f t="array" ref="H1817">_xlfn.IFS(
OR(E1817="Type 2 Diabetes",E1817="Essential Hypertension",E1817="Angina Pectoris",E1817="Bronchial Asthma",E1817="Cardiac Arrhythmia"), D1817+30,
OR(E1817="Gastritis",E1817="Osteoarthritis",E1817="Bronchitis",E1817="Iron Deficiency Anemia"), D1817+14,
OR(E1817="Lumbar Strain",E1817="Migraine Headache"), D1817+7,
OR(E1817="Viral Fever",E1817="General Checkup","Routine Health Check"), "",
TRUE,""
)</f>
        <v/>
      </c>
      <c r="I1817" s="1" t="str">
        <f t="shared" si="56"/>
        <v>No Follow-up Required</v>
      </c>
      <c r="J1817" t="str">
        <f>TEXT(Table8[[#This Row],[visit_Date]],"DDDD")</f>
        <v>Tuesday</v>
      </c>
      <c r="K1817" t="str">
        <f>TEXT(Table8[[#This Row],[visit_Date]],"mmmm")</f>
        <v>July</v>
      </c>
      <c r="L1817" t="str">
        <f t="shared" si="57"/>
        <v>Monsoon</v>
      </c>
    </row>
    <row r="1818" spans="1:12" x14ac:dyDescent="0.25">
      <c r="A1818">
        <v>1817</v>
      </c>
      <c r="B1818">
        <v>1303</v>
      </c>
      <c r="C1818">
        <v>755</v>
      </c>
      <c r="D1818" s="1">
        <v>45672</v>
      </c>
      <c r="E1818" t="s">
        <v>24</v>
      </c>
      <c r="F1818" t="s">
        <v>321</v>
      </c>
      <c r="G1818" t="str">
        <f>_xlfn.XLOOKUP(TRIM(E1819),MedicineInfo!A:A,MedicineInfo!B:B,"Not Found")</f>
        <v>Multivitamin</v>
      </c>
      <c r="H1818" s="1" t="str" cm="1">
        <f t="array" ref="H1818">_xlfn.IFS(
OR(E1818="Type 2 Diabetes",E1818="Essential Hypertension",E1818="Angina Pectoris",E1818="Bronchial Asthma",E1818="Cardiac Arrhythmia"), D1818+30,
OR(E1818="Gastritis",E1818="Osteoarthritis",E1818="Bronchitis",E1818="Iron Deficiency Anemia"), D1818+14,
OR(E1818="Lumbar Strain",E1818="Migraine Headache"), D1818+7,
OR(E1818="Viral Fever",E1818="General Checkup","Routine Health Check"), "",
TRUE,""
)</f>
        <v/>
      </c>
      <c r="I1818" s="1" t="str">
        <f t="shared" si="56"/>
        <v>No Follow-up Required</v>
      </c>
      <c r="J1818" t="str">
        <f>TEXT(Table8[[#This Row],[visit_Date]],"DDDD")</f>
        <v>Wednesday</v>
      </c>
      <c r="K1818" t="str">
        <f>TEXT(Table8[[#This Row],[visit_Date]],"mmmm")</f>
        <v>January</v>
      </c>
      <c r="L1818" t="str">
        <f t="shared" si="57"/>
        <v>Winter</v>
      </c>
    </row>
    <row r="1819" spans="1:12" x14ac:dyDescent="0.25">
      <c r="A1819">
        <v>1818</v>
      </c>
      <c r="B1819">
        <v>1252</v>
      </c>
      <c r="C1819">
        <v>1563</v>
      </c>
      <c r="D1819" s="1">
        <v>45747</v>
      </c>
      <c r="E1819" t="s">
        <v>24</v>
      </c>
      <c r="F1819" t="s">
        <v>321</v>
      </c>
      <c r="G1819" t="str">
        <f>_xlfn.XLOOKUP(TRIM(E1820),MedicineInfo!A:A,MedicineInfo!B:B,"Not Found")</f>
        <v>Multivitamin</v>
      </c>
      <c r="H1819" s="1" t="str" cm="1">
        <f t="array" ref="H1819">_xlfn.IFS(
OR(E1819="Type 2 Diabetes",E1819="Essential Hypertension",E1819="Angina Pectoris",E1819="Bronchial Asthma",E1819="Cardiac Arrhythmia"), D1819+30,
OR(E1819="Gastritis",E1819="Osteoarthritis",E1819="Bronchitis",E1819="Iron Deficiency Anemia"), D1819+14,
OR(E1819="Lumbar Strain",E1819="Migraine Headache"), D1819+7,
OR(E1819="Viral Fever",E1819="General Checkup","Routine Health Check"), "",
TRUE,""
)</f>
        <v/>
      </c>
      <c r="I1819" s="1" t="str">
        <f t="shared" si="56"/>
        <v>No Follow-up Required</v>
      </c>
      <c r="J1819" t="str">
        <f>TEXT(Table8[[#This Row],[visit_Date]],"DDDD")</f>
        <v>Monday</v>
      </c>
      <c r="K1819" t="str">
        <f>TEXT(Table8[[#This Row],[visit_Date]],"mmmm")</f>
        <v>March</v>
      </c>
      <c r="L1819" t="str">
        <f t="shared" si="57"/>
        <v>Summer</v>
      </c>
    </row>
    <row r="1820" spans="1:12" x14ac:dyDescent="0.25">
      <c r="A1820">
        <v>1819</v>
      </c>
      <c r="B1820">
        <v>1309</v>
      </c>
      <c r="C1820">
        <v>1218</v>
      </c>
      <c r="D1820" s="1">
        <v>45700</v>
      </c>
      <c r="E1820" t="s">
        <v>24</v>
      </c>
      <c r="F1820" t="s">
        <v>321</v>
      </c>
      <c r="G1820" t="str">
        <f>_xlfn.XLOOKUP(TRIM(E1821),MedicineInfo!A:A,MedicineInfo!B:B,"Not Found")</f>
        <v>Multivitamin</v>
      </c>
      <c r="H1820" s="1" t="str" cm="1">
        <f t="array" ref="H1820">_xlfn.IFS(
OR(E1820="Type 2 Diabetes",E1820="Essential Hypertension",E1820="Angina Pectoris",E1820="Bronchial Asthma",E1820="Cardiac Arrhythmia"), D1820+30,
OR(E1820="Gastritis",E1820="Osteoarthritis",E1820="Bronchitis",E1820="Iron Deficiency Anemia"), D1820+14,
OR(E1820="Lumbar Strain",E1820="Migraine Headache"), D1820+7,
OR(E1820="Viral Fever",E1820="General Checkup","Routine Health Check"), "",
TRUE,""
)</f>
        <v/>
      </c>
      <c r="I1820" s="1" t="str">
        <f t="shared" si="56"/>
        <v>No Follow-up Required</v>
      </c>
      <c r="J1820" t="str">
        <f>TEXT(Table8[[#This Row],[visit_Date]],"DDDD")</f>
        <v>Wednesday</v>
      </c>
      <c r="K1820" t="str">
        <f>TEXT(Table8[[#This Row],[visit_Date]],"mmmm")</f>
        <v>February</v>
      </c>
      <c r="L1820" t="str">
        <f t="shared" si="57"/>
        <v>Winter</v>
      </c>
    </row>
    <row r="1821" spans="1:12" x14ac:dyDescent="0.25">
      <c r="A1821">
        <v>1820</v>
      </c>
      <c r="B1821">
        <v>1056</v>
      </c>
      <c r="C1821">
        <v>134</v>
      </c>
      <c r="D1821" s="1">
        <v>45836</v>
      </c>
      <c r="E1821" t="s">
        <v>24</v>
      </c>
      <c r="F1821" t="s">
        <v>321</v>
      </c>
      <c r="G1821" t="str">
        <f>_xlfn.XLOOKUP(TRIM(E1822),MedicineInfo!A:A,MedicineInfo!B:B,"Not Found")</f>
        <v>Amiodarone</v>
      </c>
      <c r="H1821" s="1" t="str" cm="1">
        <f t="array" ref="H1821">_xlfn.IFS(
OR(E1821="Type 2 Diabetes",E1821="Essential Hypertension",E1821="Angina Pectoris",E1821="Bronchial Asthma",E1821="Cardiac Arrhythmia"), D1821+30,
OR(E1821="Gastritis",E1821="Osteoarthritis",E1821="Bronchitis",E1821="Iron Deficiency Anemia"), D1821+14,
OR(E1821="Lumbar Strain",E1821="Migraine Headache"), D1821+7,
OR(E1821="Viral Fever",E1821="General Checkup","Routine Health Check"), "",
TRUE,""
)</f>
        <v/>
      </c>
      <c r="I1821" s="1" t="str">
        <f t="shared" si="56"/>
        <v>No Follow-up Required</v>
      </c>
      <c r="J1821" t="str">
        <f>TEXT(Table8[[#This Row],[visit_Date]],"DDDD")</f>
        <v>Saturday</v>
      </c>
      <c r="K1821" t="str">
        <f>TEXT(Table8[[#This Row],[visit_Date]],"mmmm")</f>
        <v>June</v>
      </c>
      <c r="L1821" t="str">
        <f t="shared" si="57"/>
        <v>Monsoon</v>
      </c>
    </row>
    <row r="1822" spans="1:12" x14ac:dyDescent="0.25">
      <c r="A1822">
        <v>1821</v>
      </c>
      <c r="B1822">
        <v>1236</v>
      </c>
      <c r="C1822">
        <v>596</v>
      </c>
      <c r="D1822" s="1">
        <v>45767</v>
      </c>
      <c r="E1822" t="s">
        <v>330</v>
      </c>
      <c r="F1822" t="s">
        <v>331</v>
      </c>
      <c r="G1822" t="str">
        <f>_xlfn.XLOOKUP(TRIM(E1823),MedicineInfo!A:A,MedicineInfo!B:B,"Not Found")</f>
        <v>Sodium Valproate</v>
      </c>
      <c r="H1822" s="1" cm="1">
        <f t="array" ref="H1822">_xlfn.IFS(
OR(E1822="Type 2 Diabetes",E1822="Essential Hypertension",E1822="Angina Pectoris",E1822="Bronchial Asthma",E1822="Cardiac Arrhythmia"), D1822+30,
OR(E1822="Gastritis",E1822="Osteoarthritis",E1822="Bronchitis",E1822="Iron Deficiency Anemia"), D1822+14,
OR(E1822="Lumbar Strain",E1822="Migraine Headache"), D1822+7,
OR(E1822="Viral Fever",E1822="General Checkup","Routine Health Check"), "",
TRUE,""
)</f>
        <v>45797</v>
      </c>
      <c r="I1822" s="1" t="str">
        <f t="shared" si="56"/>
        <v>Follow-up Scheduled</v>
      </c>
      <c r="J1822" t="str">
        <f>TEXT(Table8[[#This Row],[visit_Date]],"DDDD")</f>
        <v>Sunday</v>
      </c>
      <c r="K1822" t="str">
        <f>TEXT(Table8[[#This Row],[visit_Date]],"mmmm")</f>
        <v>April</v>
      </c>
      <c r="L1822" t="str">
        <f t="shared" si="57"/>
        <v>Summer</v>
      </c>
    </row>
    <row r="1823" spans="1:12" x14ac:dyDescent="0.25">
      <c r="A1823">
        <v>1822</v>
      </c>
      <c r="B1823">
        <v>1253</v>
      </c>
      <c r="C1823">
        <v>1512</v>
      </c>
      <c r="D1823" s="1">
        <v>45767</v>
      </c>
      <c r="E1823" t="s">
        <v>352</v>
      </c>
      <c r="F1823" t="s">
        <v>353</v>
      </c>
      <c r="G1823" t="str">
        <f>_xlfn.XLOOKUP(TRIM(E1824),MedicineInfo!A:A,MedicineInfo!B:B,"Not Found")</f>
        <v>Multivitamin</v>
      </c>
      <c r="H1823" s="1" t="str" cm="1">
        <f t="array" ref="H1823">_xlfn.IFS(
OR(E1823="Type 2 Diabetes",E1823="Essential Hypertension",E1823="Angina Pectoris",E1823="Bronchial Asthma",E1823="Cardiac Arrhythmia"), D1823+30,
OR(E1823="Gastritis",E1823="Osteoarthritis",E1823="Bronchitis",E1823="Iron Deficiency Anemia"), D1823+14,
OR(E1823="Lumbar Strain",E1823="Migraine Headache"), D1823+7,
OR(E1823="Viral Fever",E1823="General Checkup","Routine Health Check"), "",
TRUE,""
)</f>
        <v/>
      </c>
      <c r="I1823" s="1" t="str">
        <f t="shared" si="56"/>
        <v>No Follow-up Required</v>
      </c>
      <c r="J1823" t="str">
        <f>TEXT(Table8[[#This Row],[visit_Date]],"DDDD")</f>
        <v>Sunday</v>
      </c>
      <c r="K1823" t="str">
        <f>TEXT(Table8[[#This Row],[visit_Date]],"mmmm")</f>
        <v>April</v>
      </c>
      <c r="L1823" t="str">
        <f t="shared" si="57"/>
        <v>Summer</v>
      </c>
    </row>
    <row r="1824" spans="1:12" x14ac:dyDescent="0.25">
      <c r="A1824">
        <v>1823</v>
      </c>
      <c r="B1824">
        <v>1145</v>
      </c>
      <c r="C1824">
        <v>957</v>
      </c>
      <c r="D1824" s="1">
        <v>45683</v>
      </c>
      <c r="E1824" t="s">
        <v>24</v>
      </c>
      <c r="F1824" t="s">
        <v>321</v>
      </c>
      <c r="G1824" t="str">
        <f>_xlfn.XLOOKUP(TRIM(E1825),MedicineInfo!A:A,MedicineInfo!B:B,"Not Found")</f>
        <v>Multivitamin</v>
      </c>
      <c r="H1824" s="1" t="str" cm="1">
        <f t="array" ref="H1824">_xlfn.IFS(
OR(E1824="Type 2 Diabetes",E1824="Essential Hypertension",E1824="Angina Pectoris",E1824="Bronchial Asthma",E1824="Cardiac Arrhythmia"), D1824+30,
OR(E1824="Gastritis",E1824="Osteoarthritis",E1824="Bronchitis",E1824="Iron Deficiency Anemia"), D1824+14,
OR(E1824="Lumbar Strain",E1824="Migraine Headache"), D1824+7,
OR(E1824="Viral Fever",E1824="General Checkup","Routine Health Check"), "",
TRUE,""
)</f>
        <v/>
      </c>
      <c r="I1824" s="1" t="str">
        <f t="shared" si="56"/>
        <v>No Follow-up Required</v>
      </c>
      <c r="J1824" t="str">
        <f>TEXT(Table8[[#This Row],[visit_Date]],"DDDD")</f>
        <v>Sunday</v>
      </c>
      <c r="K1824" t="str">
        <f>TEXT(Table8[[#This Row],[visit_Date]],"mmmm")</f>
        <v>January</v>
      </c>
      <c r="L1824" t="str">
        <f t="shared" si="57"/>
        <v>Winter</v>
      </c>
    </row>
    <row r="1825" spans="1:12" x14ac:dyDescent="0.25">
      <c r="A1825">
        <v>1824</v>
      </c>
      <c r="B1825">
        <v>1223</v>
      </c>
      <c r="C1825">
        <v>102</v>
      </c>
      <c r="D1825" s="1">
        <v>45758</v>
      </c>
      <c r="E1825" t="s">
        <v>24</v>
      </c>
      <c r="F1825" t="s">
        <v>321</v>
      </c>
      <c r="G1825" t="str">
        <f>_xlfn.XLOOKUP(TRIM(E1826),MedicineInfo!A:A,MedicineInfo!B:B,"Not Found")</f>
        <v>Multivitamin</v>
      </c>
      <c r="H1825" s="1" t="str" cm="1">
        <f t="array" ref="H1825">_xlfn.IFS(
OR(E1825="Type 2 Diabetes",E1825="Essential Hypertension",E1825="Angina Pectoris",E1825="Bronchial Asthma",E1825="Cardiac Arrhythmia"), D1825+30,
OR(E1825="Gastritis",E1825="Osteoarthritis",E1825="Bronchitis",E1825="Iron Deficiency Anemia"), D1825+14,
OR(E1825="Lumbar Strain",E1825="Migraine Headache"), D1825+7,
OR(E1825="Viral Fever",E1825="General Checkup","Routine Health Check"), "",
TRUE,""
)</f>
        <v/>
      </c>
      <c r="I1825" s="1" t="str">
        <f t="shared" si="56"/>
        <v>No Follow-up Required</v>
      </c>
      <c r="J1825" t="str">
        <f>TEXT(Table8[[#This Row],[visit_Date]],"DDDD")</f>
        <v>Friday</v>
      </c>
      <c r="K1825" t="str">
        <f>TEXT(Table8[[#This Row],[visit_Date]],"mmmm")</f>
        <v>April</v>
      </c>
      <c r="L1825" t="str">
        <f t="shared" si="57"/>
        <v>Summer</v>
      </c>
    </row>
    <row r="1826" spans="1:12" x14ac:dyDescent="0.25">
      <c r="A1826">
        <v>1825</v>
      </c>
      <c r="B1826">
        <v>1346</v>
      </c>
      <c r="C1826">
        <v>969</v>
      </c>
      <c r="D1826" s="1">
        <v>45806</v>
      </c>
      <c r="E1826" t="s">
        <v>24</v>
      </c>
      <c r="F1826" t="s">
        <v>321</v>
      </c>
      <c r="G1826" t="str">
        <f>_xlfn.XLOOKUP(TRIM(E1827),MedicineInfo!A:A,MedicineInfo!B:B,"Not Found")</f>
        <v>Multivitamin</v>
      </c>
      <c r="H1826" s="1" t="str" cm="1">
        <f t="array" ref="H1826">_xlfn.IFS(
OR(E1826="Type 2 Diabetes",E1826="Essential Hypertension",E1826="Angina Pectoris",E1826="Bronchial Asthma",E1826="Cardiac Arrhythmia"), D1826+30,
OR(E1826="Gastritis",E1826="Osteoarthritis",E1826="Bronchitis",E1826="Iron Deficiency Anemia"), D1826+14,
OR(E1826="Lumbar Strain",E1826="Migraine Headache"), D1826+7,
OR(E1826="Viral Fever",E1826="General Checkup","Routine Health Check"), "",
TRUE,""
)</f>
        <v/>
      </c>
      <c r="I1826" s="1" t="str">
        <f t="shared" si="56"/>
        <v>No Follow-up Required</v>
      </c>
      <c r="J1826" t="str">
        <f>TEXT(Table8[[#This Row],[visit_Date]],"DDDD")</f>
        <v>Thursday</v>
      </c>
      <c r="K1826" t="str">
        <f>TEXT(Table8[[#This Row],[visit_Date]],"mmmm")</f>
        <v>May</v>
      </c>
      <c r="L1826" t="str">
        <f t="shared" si="57"/>
        <v>Summer</v>
      </c>
    </row>
    <row r="1827" spans="1:12" x14ac:dyDescent="0.25">
      <c r="A1827">
        <v>1826</v>
      </c>
      <c r="B1827">
        <v>1137</v>
      </c>
      <c r="C1827">
        <v>855</v>
      </c>
      <c r="D1827" s="1">
        <v>45799</v>
      </c>
      <c r="E1827" t="s">
        <v>24</v>
      </c>
      <c r="F1827" t="s">
        <v>321</v>
      </c>
      <c r="G1827" t="str">
        <f>_xlfn.XLOOKUP(TRIM(E1828),MedicineInfo!A:A,MedicineInfo!B:B,"Not Found")</f>
        <v>Multivitamin</v>
      </c>
      <c r="H1827" s="1" t="str" cm="1">
        <f t="array" ref="H1827">_xlfn.IFS(
OR(E1827="Type 2 Diabetes",E1827="Essential Hypertension",E1827="Angina Pectoris",E1827="Bronchial Asthma",E1827="Cardiac Arrhythmia"), D1827+30,
OR(E1827="Gastritis",E1827="Osteoarthritis",E1827="Bronchitis",E1827="Iron Deficiency Anemia"), D1827+14,
OR(E1827="Lumbar Strain",E1827="Migraine Headache"), D1827+7,
OR(E1827="Viral Fever",E1827="General Checkup","Routine Health Check"), "",
TRUE,""
)</f>
        <v/>
      </c>
      <c r="I1827" s="1" t="str">
        <f t="shared" si="56"/>
        <v>No Follow-up Required</v>
      </c>
      <c r="J1827" t="str">
        <f>TEXT(Table8[[#This Row],[visit_Date]],"DDDD")</f>
        <v>Thursday</v>
      </c>
      <c r="K1827" t="str">
        <f>TEXT(Table8[[#This Row],[visit_Date]],"mmmm")</f>
        <v>May</v>
      </c>
      <c r="L1827" t="str">
        <f t="shared" si="57"/>
        <v>Summer</v>
      </c>
    </row>
    <row r="1828" spans="1:12" x14ac:dyDescent="0.25">
      <c r="A1828">
        <v>1827</v>
      </c>
      <c r="B1828">
        <v>1063</v>
      </c>
      <c r="C1828">
        <v>518</v>
      </c>
      <c r="D1828" s="1">
        <v>45747</v>
      </c>
      <c r="E1828" t="s">
        <v>24</v>
      </c>
      <c r="F1828" t="s">
        <v>321</v>
      </c>
      <c r="G1828" t="str">
        <f>_xlfn.XLOOKUP(TRIM(E1829),MedicineInfo!A:A,MedicineInfo!B:B,"Not Found")</f>
        <v>Multivitamin</v>
      </c>
      <c r="H1828" s="1" t="str" cm="1">
        <f t="array" ref="H1828">_xlfn.IFS(
OR(E1828="Type 2 Diabetes",E1828="Essential Hypertension",E1828="Angina Pectoris",E1828="Bronchial Asthma",E1828="Cardiac Arrhythmia"), D1828+30,
OR(E1828="Gastritis",E1828="Osteoarthritis",E1828="Bronchitis",E1828="Iron Deficiency Anemia"), D1828+14,
OR(E1828="Lumbar Strain",E1828="Migraine Headache"), D1828+7,
OR(E1828="Viral Fever",E1828="General Checkup","Routine Health Check"), "",
TRUE,""
)</f>
        <v/>
      </c>
      <c r="I1828" s="1" t="str">
        <f t="shared" si="56"/>
        <v>No Follow-up Required</v>
      </c>
      <c r="J1828" t="str">
        <f>TEXT(Table8[[#This Row],[visit_Date]],"DDDD")</f>
        <v>Monday</v>
      </c>
      <c r="K1828" t="str">
        <f>TEXT(Table8[[#This Row],[visit_Date]],"mmmm")</f>
        <v>March</v>
      </c>
      <c r="L1828" t="str">
        <f t="shared" si="57"/>
        <v>Summer</v>
      </c>
    </row>
    <row r="1829" spans="1:12" x14ac:dyDescent="0.25">
      <c r="A1829">
        <v>1828</v>
      </c>
      <c r="B1829">
        <v>1382</v>
      </c>
      <c r="C1829">
        <v>525</v>
      </c>
      <c r="D1829" s="1">
        <v>45747</v>
      </c>
      <c r="E1829" t="s">
        <v>24</v>
      </c>
      <c r="F1829" t="s">
        <v>321</v>
      </c>
      <c r="G1829" t="str">
        <f>_xlfn.XLOOKUP(TRIM(E1830),MedicineInfo!A:A,MedicineInfo!B:B,"Not Found")</f>
        <v>Multivitamin</v>
      </c>
      <c r="H1829" s="1" t="str" cm="1">
        <f t="array" ref="H1829">_xlfn.IFS(
OR(E1829="Type 2 Diabetes",E1829="Essential Hypertension",E1829="Angina Pectoris",E1829="Bronchial Asthma",E1829="Cardiac Arrhythmia"), D1829+30,
OR(E1829="Gastritis",E1829="Osteoarthritis",E1829="Bronchitis",E1829="Iron Deficiency Anemia"), D1829+14,
OR(E1829="Lumbar Strain",E1829="Migraine Headache"), D1829+7,
OR(E1829="Viral Fever",E1829="General Checkup","Routine Health Check"), "",
TRUE,""
)</f>
        <v/>
      </c>
      <c r="I1829" s="1" t="str">
        <f t="shared" si="56"/>
        <v>No Follow-up Required</v>
      </c>
      <c r="J1829" t="str">
        <f>TEXT(Table8[[#This Row],[visit_Date]],"DDDD")</f>
        <v>Monday</v>
      </c>
      <c r="K1829" t="str">
        <f>TEXT(Table8[[#This Row],[visit_Date]],"mmmm")</f>
        <v>March</v>
      </c>
      <c r="L1829" t="str">
        <f t="shared" si="57"/>
        <v>Summer</v>
      </c>
    </row>
    <row r="1830" spans="1:12" x14ac:dyDescent="0.25">
      <c r="A1830">
        <v>1829</v>
      </c>
      <c r="B1830">
        <v>1164</v>
      </c>
      <c r="C1830">
        <v>573</v>
      </c>
      <c r="D1830" s="1">
        <v>45819</v>
      </c>
      <c r="E1830" t="s">
        <v>24</v>
      </c>
      <c r="F1830" t="s">
        <v>321</v>
      </c>
      <c r="G1830" t="str">
        <f>_xlfn.XLOOKUP(TRIM(E1831),MedicineInfo!A:A,MedicineInfo!B:B,"Not Found")</f>
        <v>Donepezil</v>
      </c>
      <c r="H1830" s="1" t="str" cm="1">
        <f t="array" ref="H1830">_xlfn.IFS(
OR(E1830="Type 2 Diabetes",E1830="Essential Hypertension",E1830="Angina Pectoris",E1830="Bronchial Asthma",E1830="Cardiac Arrhythmia"), D1830+30,
OR(E1830="Gastritis",E1830="Osteoarthritis",E1830="Bronchitis",E1830="Iron Deficiency Anemia"), D1830+14,
OR(E1830="Lumbar Strain",E1830="Migraine Headache"), D1830+7,
OR(E1830="Viral Fever",E1830="General Checkup","Routine Health Check"), "",
TRUE,""
)</f>
        <v/>
      </c>
      <c r="I1830" s="1" t="str">
        <f t="shared" si="56"/>
        <v>No Follow-up Required</v>
      </c>
      <c r="J1830" t="str">
        <f>TEXT(Table8[[#This Row],[visit_Date]],"DDDD")</f>
        <v>Wednesday</v>
      </c>
      <c r="K1830" t="str">
        <f>TEXT(Table8[[#This Row],[visit_Date]],"mmmm")</f>
        <v>June</v>
      </c>
      <c r="L1830" t="str">
        <f t="shared" si="57"/>
        <v>Monsoon</v>
      </c>
    </row>
    <row r="1831" spans="1:12" x14ac:dyDescent="0.25">
      <c r="A1831">
        <v>1830</v>
      </c>
      <c r="B1831">
        <v>1056</v>
      </c>
      <c r="C1831">
        <v>1426</v>
      </c>
      <c r="D1831" s="1">
        <v>45786</v>
      </c>
      <c r="E1831" t="s">
        <v>350</v>
      </c>
      <c r="F1831" t="s">
        <v>351</v>
      </c>
      <c r="G1831" t="str">
        <f>_xlfn.XLOOKUP(TRIM(E1832),MedicineInfo!A:A,MedicineInfo!B:B,"Not Found")</f>
        <v>Multivitamin</v>
      </c>
      <c r="H1831" s="1" t="str" cm="1">
        <f t="array" ref="H1831">_xlfn.IFS(
OR(E1831="Type 2 Diabetes",E1831="Essential Hypertension",E1831="Angina Pectoris",E1831="Bronchial Asthma",E1831="Cardiac Arrhythmia"), D1831+30,
OR(E1831="Gastritis",E1831="Osteoarthritis",E1831="Bronchitis",E1831="Iron Deficiency Anemia"), D1831+14,
OR(E1831="Lumbar Strain",E1831="Migraine Headache"), D1831+7,
OR(E1831="Viral Fever",E1831="General Checkup","Routine Health Check"), "",
TRUE,""
)</f>
        <v/>
      </c>
      <c r="I1831" s="1" t="str">
        <f t="shared" si="56"/>
        <v>No Follow-up Required</v>
      </c>
      <c r="J1831" t="str">
        <f>TEXT(Table8[[#This Row],[visit_Date]],"DDDD")</f>
        <v>Friday</v>
      </c>
      <c r="K1831" t="str">
        <f>TEXT(Table8[[#This Row],[visit_Date]],"mmmm")</f>
        <v>May</v>
      </c>
      <c r="L1831" t="str">
        <f t="shared" si="57"/>
        <v>Summer</v>
      </c>
    </row>
    <row r="1832" spans="1:12" x14ac:dyDescent="0.25">
      <c r="A1832">
        <v>1831</v>
      </c>
      <c r="B1832">
        <v>1021</v>
      </c>
      <c r="C1832">
        <v>739</v>
      </c>
      <c r="D1832" s="1">
        <v>45833</v>
      </c>
      <c r="E1832" t="s">
        <v>24</v>
      </c>
      <c r="F1832" t="s">
        <v>321</v>
      </c>
      <c r="G1832" t="str">
        <f>_xlfn.XLOOKUP(TRIM(E1833),MedicineInfo!A:A,MedicineInfo!B:B,"Not Found")</f>
        <v>Multivitamin</v>
      </c>
      <c r="H1832" s="1" t="str" cm="1">
        <f t="array" ref="H1832">_xlfn.IFS(
OR(E1832="Type 2 Diabetes",E1832="Essential Hypertension",E1832="Angina Pectoris",E1832="Bronchial Asthma",E1832="Cardiac Arrhythmia"), D1832+30,
OR(E1832="Gastritis",E1832="Osteoarthritis",E1832="Bronchitis",E1832="Iron Deficiency Anemia"), D1832+14,
OR(E1832="Lumbar Strain",E1832="Migraine Headache"), D1832+7,
OR(E1832="Viral Fever",E1832="General Checkup","Routine Health Check"), "",
TRUE,""
)</f>
        <v/>
      </c>
      <c r="I1832" s="1" t="str">
        <f t="shared" si="56"/>
        <v>No Follow-up Required</v>
      </c>
      <c r="J1832" t="str">
        <f>TEXT(Table8[[#This Row],[visit_Date]],"DDDD")</f>
        <v>Wednesday</v>
      </c>
      <c r="K1832" t="str">
        <f>TEXT(Table8[[#This Row],[visit_Date]],"mmmm")</f>
        <v>June</v>
      </c>
      <c r="L1832" t="str">
        <f t="shared" si="57"/>
        <v>Monsoon</v>
      </c>
    </row>
    <row r="1833" spans="1:12" x14ac:dyDescent="0.25">
      <c r="A1833">
        <v>1832</v>
      </c>
      <c r="B1833">
        <v>1376</v>
      </c>
      <c r="C1833">
        <v>1407</v>
      </c>
      <c r="D1833" s="1">
        <v>45732</v>
      </c>
      <c r="E1833" t="s">
        <v>24</v>
      </c>
      <c r="F1833" t="s">
        <v>321</v>
      </c>
      <c r="G1833" t="str">
        <f>_xlfn.XLOOKUP(TRIM(E1834),MedicineInfo!A:A,MedicineInfo!B:B,"Not Found")</f>
        <v>Multivitamin</v>
      </c>
      <c r="H1833" s="1" t="str" cm="1">
        <f t="array" ref="H1833">_xlfn.IFS(
OR(E1833="Type 2 Diabetes",E1833="Essential Hypertension",E1833="Angina Pectoris",E1833="Bronchial Asthma",E1833="Cardiac Arrhythmia"), D1833+30,
OR(E1833="Gastritis",E1833="Osteoarthritis",E1833="Bronchitis",E1833="Iron Deficiency Anemia"), D1833+14,
OR(E1833="Lumbar Strain",E1833="Migraine Headache"), D1833+7,
OR(E1833="Viral Fever",E1833="General Checkup","Routine Health Check"), "",
TRUE,""
)</f>
        <v/>
      </c>
      <c r="I1833" s="1" t="str">
        <f t="shared" si="56"/>
        <v>No Follow-up Required</v>
      </c>
      <c r="J1833" t="str">
        <f>TEXT(Table8[[#This Row],[visit_Date]],"DDDD")</f>
        <v>Sunday</v>
      </c>
      <c r="K1833" t="str">
        <f>TEXT(Table8[[#This Row],[visit_Date]],"mmmm")</f>
        <v>March</v>
      </c>
      <c r="L1833" t="str">
        <f t="shared" si="57"/>
        <v>Summer</v>
      </c>
    </row>
    <row r="1834" spans="1:12" x14ac:dyDescent="0.25">
      <c r="A1834">
        <v>1833</v>
      </c>
      <c r="B1834">
        <v>1085</v>
      </c>
      <c r="C1834">
        <v>1518</v>
      </c>
      <c r="D1834" s="1">
        <v>45799</v>
      </c>
      <c r="E1834" t="s">
        <v>24</v>
      </c>
      <c r="F1834" t="s">
        <v>321</v>
      </c>
      <c r="G1834" t="str">
        <f>_xlfn.XLOOKUP(TRIM(E1835),MedicineInfo!A:A,MedicineInfo!B:B,"Not Found")</f>
        <v>Multivitamin</v>
      </c>
      <c r="H1834" s="1" t="str" cm="1">
        <f t="array" ref="H1834">_xlfn.IFS(
OR(E1834="Type 2 Diabetes",E1834="Essential Hypertension",E1834="Angina Pectoris",E1834="Bronchial Asthma",E1834="Cardiac Arrhythmia"), D1834+30,
OR(E1834="Gastritis",E1834="Osteoarthritis",E1834="Bronchitis",E1834="Iron Deficiency Anemia"), D1834+14,
OR(E1834="Lumbar Strain",E1834="Migraine Headache"), D1834+7,
OR(E1834="Viral Fever",E1834="General Checkup","Routine Health Check"), "",
TRUE,""
)</f>
        <v/>
      </c>
      <c r="I1834" s="1" t="str">
        <f t="shared" si="56"/>
        <v>No Follow-up Required</v>
      </c>
      <c r="J1834" t="str">
        <f>TEXT(Table8[[#This Row],[visit_Date]],"DDDD")</f>
        <v>Thursday</v>
      </c>
      <c r="K1834" t="str">
        <f>TEXT(Table8[[#This Row],[visit_Date]],"mmmm")</f>
        <v>May</v>
      </c>
      <c r="L1834" t="str">
        <f t="shared" si="57"/>
        <v>Summer</v>
      </c>
    </row>
    <row r="1835" spans="1:12" x14ac:dyDescent="0.25">
      <c r="A1835">
        <v>1834</v>
      </c>
      <c r="B1835">
        <v>1080</v>
      </c>
      <c r="C1835">
        <v>1542</v>
      </c>
      <c r="D1835" s="1">
        <v>45722</v>
      </c>
      <c r="E1835" t="s">
        <v>24</v>
      </c>
      <c r="F1835" t="s">
        <v>321</v>
      </c>
      <c r="G1835" t="str">
        <f>_xlfn.XLOOKUP(TRIM(E1836),MedicineInfo!A:A,MedicineInfo!B:B,"Not Found")</f>
        <v>Multivitamin</v>
      </c>
      <c r="H1835" s="1" t="str" cm="1">
        <f t="array" ref="H1835">_xlfn.IFS(
OR(E1835="Type 2 Diabetes",E1835="Essential Hypertension",E1835="Angina Pectoris",E1835="Bronchial Asthma",E1835="Cardiac Arrhythmia"), D1835+30,
OR(E1835="Gastritis",E1835="Osteoarthritis",E1835="Bronchitis",E1835="Iron Deficiency Anemia"), D1835+14,
OR(E1835="Lumbar Strain",E1835="Migraine Headache"), D1835+7,
OR(E1835="Viral Fever",E1835="General Checkup","Routine Health Check"), "",
TRUE,""
)</f>
        <v/>
      </c>
      <c r="I1835" s="1" t="str">
        <f t="shared" si="56"/>
        <v>No Follow-up Required</v>
      </c>
      <c r="J1835" t="str">
        <f>TEXT(Table8[[#This Row],[visit_Date]],"DDDD")</f>
        <v>Thursday</v>
      </c>
      <c r="K1835" t="str">
        <f>TEXT(Table8[[#This Row],[visit_Date]],"mmmm")</f>
        <v>March</v>
      </c>
      <c r="L1835" t="str">
        <f t="shared" si="57"/>
        <v>Summer</v>
      </c>
    </row>
    <row r="1836" spans="1:12" x14ac:dyDescent="0.25">
      <c r="A1836">
        <v>1835</v>
      </c>
      <c r="B1836">
        <v>1335</v>
      </c>
      <c r="C1836">
        <v>1139</v>
      </c>
      <c r="D1836" s="1">
        <v>45783</v>
      </c>
      <c r="E1836" t="s">
        <v>24</v>
      </c>
      <c r="F1836" t="s">
        <v>321</v>
      </c>
      <c r="G1836" t="str">
        <f>_xlfn.XLOOKUP(TRIM(E1837),MedicineInfo!A:A,MedicineInfo!B:B,"Not Found")</f>
        <v>Multivitamin</v>
      </c>
      <c r="H1836" s="1" t="str" cm="1">
        <f t="array" ref="H1836">_xlfn.IFS(
OR(E1836="Type 2 Diabetes",E1836="Essential Hypertension",E1836="Angina Pectoris",E1836="Bronchial Asthma",E1836="Cardiac Arrhythmia"), D1836+30,
OR(E1836="Gastritis",E1836="Osteoarthritis",E1836="Bronchitis",E1836="Iron Deficiency Anemia"), D1836+14,
OR(E1836="Lumbar Strain",E1836="Migraine Headache"), D1836+7,
OR(E1836="Viral Fever",E1836="General Checkup","Routine Health Check"), "",
TRUE,""
)</f>
        <v/>
      </c>
      <c r="I1836" s="1" t="str">
        <f t="shared" si="56"/>
        <v>No Follow-up Required</v>
      </c>
      <c r="J1836" t="str">
        <f>TEXT(Table8[[#This Row],[visit_Date]],"DDDD")</f>
        <v>Tuesday</v>
      </c>
      <c r="K1836" t="str">
        <f>TEXT(Table8[[#This Row],[visit_Date]],"mmmm")</f>
        <v>May</v>
      </c>
      <c r="L1836" t="str">
        <f t="shared" si="57"/>
        <v>Summer</v>
      </c>
    </row>
    <row r="1837" spans="1:12" x14ac:dyDescent="0.25">
      <c r="A1837">
        <v>1836</v>
      </c>
      <c r="B1837">
        <v>1006</v>
      </c>
      <c r="C1837">
        <v>243</v>
      </c>
      <c r="D1837" s="1">
        <v>45672</v>
      </c>
      <c r="E1837" t="s">
        <v>24</v>
      </c>
      <c r="F1837" t="s">
        <v>321</v>
      </c>
      <c r="G1837" t="str">
        <f>_xlfn.XLOOKUP(TRIM(E1838),MedicineInfo!A:A,MedicineInfo!B:B,"Not Found")</f>
        <v>Multivitamin</v>
      </c>
      <c r="H1837" s="1" t="str" cm="1">
        <f t="array" ref="H1837">_xlfn.IFS(
OR(E1837="Type 2 Diabetes",E1837="Essential Hypertension",E1837="Angina Pectoris",E1837="Bronchial Asthma",E1837="Cardiac Arrhythmia"), D1837+30,
OR(E1837="Gastritis",E1837="Osteoarthritis",E1837="Bronchitis",E1837="Iron Deficiency Anemia"), D1837+14,
OR(E1837="Lumbar Strain",E1837="Migraine Headache"), D1837+7,
OR(E1837="Viral Fever",E1837="General Checkup","Routine Health Check"), "",
TRUE,""
)</f>
        <v/>
      </c>
      <c r="I1837" s="1" t="str">
        <f t="shared" si="56"/>
        <v>No Follow-up Required</v>
      </c>
      <c r="J1837" t="str">
        <f>TEXT(Table8[[#This Row],[visit_Date]],"DDDD")</f>
        <v>Wednesday</v>
      </c>
      <c r="K1837" t="str">
        <f>TEXT(Table8[[#This Row],[visit_Date]],"mmmm")</f>
        <v>January</v>
      </c>
      <c r="L1837" t="str">
        <f t="shared" si="57"/>
        <v>Winter</v>
      </c>
    </row>
    <row r="1838" spans="1:12" x14ac:dyDescent="0.25">
      <c r="A1838">
        <v>1837</v>
      </c>
      <c r="B1838">
        <v>1010</v>
      </c>
      <c r="C1838">
        <v>868</v>
      </c>
      <c r="D1838" s="1">
        <v>45719</v>
      </c>
      <c r="E1838" t="s">
        <v>24</v>
      </c>
      <c r="F1838" t="s">
        <v>321</v>
      </c>
      <c r="G1838" t="str">
        <f>_xlfn.XLOOKUP(TRIM(E1839),MedicineInfo!A:A,MedicineInfo!B:B,"Not Found")</f>
        <v>Ferrous Sulfate</v>
      </c>
      <c r="H1838" s="1" t="str" cm="1">
        <f t="array" ref="H1838">_xlfn.IFS(
OR(E1838="Type 2 Diabetes",E1838="Essential Hypertension",E1838="Angina Pectoris",E1838="Bronchial Asthma",E1838="Cardiac Arrhythmia"), D1838+30,
OR(E1838="Gastritis",E1838="Osteoarthritis",E1838="Bronchitis",E1838="Iron Deficiency Anemia"), D1838+14,
OR(E1838="Lumbar Strain",E1838="Migraine Headache"), D1838+7,
OR(E1838="Viral Fever",E1838="General Checkup","Routine Health Check"), "",
TRUE,""
)</f>
        <v/>
      </c>
      <c r="I1838" s="1" t="str">
        <f t="shared" si="56"/>
        <v>No Follow-up Required</v>
      </c>
      <c r="J1838" t="str">
        <f>TEXT(Table8[[#This Row],[visit_Date]],"DDDD")</f>
        <v>Monday</v>
      </c>
      <c r="K1838" t="str">
        <f>TEXT(Table8[[#This Row],[visit_Date]],"mmmm")</f>
        <v>March</v>
      </c>
      <c r="L1838" t="str">
        <f t="shared" si="57"/>
        <v>Summer</v>
      </c>
    </row>
    <row r="1839" spans="1:12" x14ac:dyDescent="0.25">
      <c r="A1839">
        <v>1838</v>
      </c>
      <c r="B1839">
        <v>1097</v>
      </c>
      <c r="C1839">
        <v>211</v>
      </c>
      <c r="D1839" s="1">
        <v>45853</v>
      </c>
      <c r="E1839" t="s">
        <v>358</v>
      </c>
      <c r="F1839" t="s">
        <v>359</v>
      </c>
      <c r="G1839" t="str">
        <f>_xlfn.XLOOKUP(TRIM(E1840),MedicineInfo!A:A,MedicineInfo!B:B,"Not Found")</f>
        <v>Multivitamin</v>
      </c>
      <c r="H1839" s="1" cm="1">
        <f t="array" ref="H1839">_xlfn.IFS(
OR(E1839="Type 2 Diabetes",E1839="Essential Hypertension",E1839="Angina Pectoris",E1839="Bronchial Asthma",E1839="Cardiac Arrhythmia"), D1839+30,
OR(E1839="Gastritis",E1839="Osteoarthritis",E1839="Bronchitis",E1839="Iron Deficiency Anemia"), D1839+14,
OR(E1839="Lumbar Strain",E1839="Migraine Headache"), D1839+7,
OR(E1839="Viral Fever",E1839="General Checkup","Routine Health Check"), "",
TRUE,""
)</f>
        <v>45867</v>
      </c>
      <c r="I1839" s="1" t="str">
        <f t="shared" si="56"/>
        <v>Follow-up Scheduled</v>
      </c>
      <c r="J1839" t="str">
        <f>TEXT(Table8[[#This Row],[visit_Date]],"DDDD")</f>
        <v>Tuesday</v>
      </c>
      <c r="K1839" t="str">
        <f>TEXT(Table8[[#This Row],[visit_Date]],"mmmm")</f>
        <v>July</v>
      </c>
      <c r="L1839" t="str">
        <f t="shared" si="57"/>
        <v>Monsoon</v>
      </c>
    </row>
    <row r="1840" spans="1:12" x14ac:dyDescent="0.25">
      <c r="A1840">
        <v>1839</v>
      </c>
      <c r="B1840">
        <v>1289</v>
      </c>
      <c r="C1840">
        <v>149</v>
      </c>
      <c r="D1840" s="1">
        <v>45799</v>
      </c>
      <c r="E1840" t="s">
        <v>24</v>
      </c>
      <c r="F1840" t="s">
        <v>321</v>
      </c>
      <c r="G1840" t="str">
        <f>_xlfn.XLOOKUP(TRIM(E1841),MedicineInfo!A:A,MedicineInfo!B:B,"Not Found")</f>
        <v>Multivitamin</v>
      </c>
      <c r="H1840" s="1" t="str" cm="1">
        <f t="array" ref="H1840">_xlfn.IFS(
OR(E1840="Type 2 Diabetes",E1840="Essential Hypertension",E1840="Angina Pectoris",E1840="Bronchial Asthma",E1840="Cardiac Arrhythmia"), D1840+30,
OR(E1840="Gastritis",E1840="Osteoarthritis",E1840="Bronchitis",E1840="Iron Deficiency Anemia"), D1840+14,
OR(E1840="Lumbar Strain",E1840="Migraine Headache"), D1840+7,
OR(E1840="Viral Fever",E1840="General Checkup","Routine Health Check"), "",
TRUE,""
)</f>
        <v/>
      </c>
      <c r="I1840" s="1" t="str">
        <f t="shared" si="56"/>
        <v>No Follow-up Required</v>
      </c>
      <c r="J1840" t="str">
        <f>TEXT(Table8[[#This Row],[visit_Date]],"DDDD")</f>
        <v>Thursday</v>
      </c>
      <c r="K1840" t="str">
        <f>TEXT(Table8[[#This Row],[visit_Date]],"mmmm")</f>
        <v>May</v>
      </c>
      <c r="L1840" t="str">
        <f t="shared" si="57"/>
        <v>Summer</v>
      </c>
    </row>
    <row r="1841" spans="1:12" x14ac:dyDescent="0.25">
      <c r="A1841">
        <v>1840</v>
      </c>
      <c r="B1841">
        <v>1029</v>
      </c>
      <c r="C1841">
        <v>1436</v>
      </c>
      <c r="D1841" s="1">
        <v>45714</v>
      </c>
      <c r="E1841" t="s">
        <v>24</v>
      </c>
      <c r="F1841" t="s">
        <v>321</v>
      </c>
      <c r="G1841" t="str">
        <f>_xlfn.XLOOKUP(TRIM(E1842),MedicineInfo!A:A,MedicineInfo!B:B,"Not Found")</f>
        <v>Cefixime</v>
      </c>
      <c r="H1841" s="1" t="str" cm="1">
        <f t="array" ref="H1841">_xlfn.IFS(
OR(E1841="Type 2 Diabetes",E1841="Essential Hypertension",E1841="Angina Pectoris",E1841="Bronchial Asthma",E1841="Cardiac Arrhythmia"), D1841+30,
OR(E1841="Gastritis",E1841="Osteoarthritis",E1841="Bronchitis",E1841="Iron Deficiency Anemia"), D1841+14,
OR(E1841="Lumbar Strain",E1841="Migraine Headache"), D1841+7,
OR(E1841="Viral Fever",E1841="General Checkup","Routine Health Check"), "",
TRUE,""
)</f>
        <v/>
      </c>
      <c r="I1841" s="1" t="str">
        <f t="shared" si="56"/>
        <v>No Follow-up Required</v>
      </c>
      <c r="J1841" t="str">
        <f>TEXT(Table8[[#This Row],[visit_Date]],"DDDD")</f>
        <v>Wednesday</v>
      </c>
      <c r="K1841" t="str">
        <f>TEXT(Table8[[#This Row],[visit_Date]],"mmmm")</f>
        <v>February</v>
      </c>
      <c r="L1841" t="str">
        <f t="shared" si="57"/>
        <v>Winter</v>
      </c>
    </row>
    <row r="1842" spans="1:12" x14ac:dyDescent="0.25">
      <c r="A1842">
        <v>1841</v>
      </c>
      <c r="B1842">
        <v>1275</v>
      </c>
      <c r="C1842">
        <v>1090</v>
      </c>
      <c r="D1842" s="1">
        <v>45790</v>
      </c>
      <c r="E1842" t="s">
        <v>354</v>
      </c>
      <c r="F1842" t="s">
        <v>355</v>
      </c>
      <c r="G1842" t="str">
        <f>_xlfn.XLOOKUP(TRIM(E1843),MedicineInfo!A:A,MedicineInfo!B:B,"Not Found")</f>
        <v>Multivitamin</v>
      </c>
      <c r="H1842" s="1" t="str" cm="1">
        <f t="array" ref="H1842">_xlfn.IFS(
OR(E1842="Type 2 Diabetes",E1842="Essential Hypertension",E1842="Angina Pectoris",E1842="Bronchial Asthma",E1842="Cardiac Arrhythmia"), D1842+30,
OR(E1842="Gastritis",E1842="Osteoarthritis",E1842="Bronchitis",E1842="Iron Deficiency Anemia"), D1842+14,
OR(E1842="Lumbar Strain",E1842="Migraine Headache"), D1842+7,
OR(E1842="Viral Fever",E1842="General Checkup","Routine Health Check"), "",
TRUE,""
)</f>
        <v/>
      </c>
      <c r="I1842" s="1" t="str">
        <f t="shared" si="56"/>
        <v>No Follow-up Required</v>
      </c>
      <c r="J1842" t="str">
        <f>TEXT(Table8[[#This Row],[visit_Date]],"DDDD")</f>
        <v>Tuesday</v>
      </c>
      <c r="K1842" t="str">
        <f>TEXT(Table8[[#This Row],[visit_Date]],"mmmm")</f>
        <v>May</v>
      </c>
      <c r="L1842" t="str">
        <f t="shared" si="57"/>
        <v>Summer</v>
      </c>
    </row>
    <row r="1843" spans="1:12" x14ac:dyDescent="0.25">
      <c r="A1843">
        <v>1842</v>
      </c>
      <c r="B1843">
        <v>1023</v>
      </c>
      <c r="C1843">
        <v>316</v>
      </c>
      <c r="D1843" s="1">
        <v>45757</v>
      </c>
      <c r="E1843" t="s">
        <v>24</v>
      </c>
      <c r="F1843" t="s">
        <v>321</v>
      </c>
      <c r="G1843" t="str">
        <f>_xlfn.XLOOKUP(TRIM(E1844),MedicineInfo!A:A,MedicineInfo!B:B,"Not Found")</f>
        <v>Ferrous Sulfate</v>
      </c>
      <c r="H1843" s="1" t="str" cm="1">
        <f t="array" ref="H1843">_xlfn.IFS(
OR(E1843="Type 2 Diabetes",E1843="Essential Hypertension",E1843="Angina Pectoris",E1843="Bronchial Asthma",E1843="Cardiac Arrhythmia"), D1843+30,
OR(E1843="Gastritis",E1843="Osteoarthritis",E1843="Bronchitis",E1843="Iron Deficiency Anemia"), D1843+14,
OR(E1843="Lumbar Strain",E1843="Migraine Headache"), D1843+7,
OR(E1843="Viral Fever",E1843="General Checkup","Routine Health Check"), "",
TRUE,""
)</f>
        <v/>
      </c>
      <c r="I1843" s="1" t="str">
        <f t="shared" si="56"/>
        <v>No Follow-up Required</v>
      </c>
      <c r="J1843" t="str">
        <f>TEXT(Table8[[#This Row],[visit_Date]],"DDDD")</f>
        <v>Thursday</v>
      </c>
      <c r="K1843" t="str">
        <f>TEXT(Table8[[#This Row],[visit_Date]],"mmmm")</f>
        <v>April</v>
      </c>
      <c r="L1843" t="str">
        <f t="shared" si="57"/>
        <v>Summer</v>
      </c>
    </row>
    <row r="1844" spans="1:12" x14ac:dyDescent="0.25">
      <c r="A1844">
        <v>1843</v>
      </c>
      <c r="B1844">
        <v>1279</v>
      </c>
      <c r="C1844">
        <v>1110</v>
      </c>
      <c r="D1844" s="1">
        <v>45857</v>
      </c>
      <c r="E1844" t="s">
        <v>358</v>
      </c>
      <c r="F1844" t="s">
        <v>359</v>
      </c>
      <c r="G1844" t="str">
        <f>_xlfn.XLOOKUP(TRIM(E1845),MedicineInfo!A:A,MedicineInfo!B:B,"Not Found")</f>
        <v>Multivitamin</v>
      </c>
      <c r="H1844" s="1" cm="1">
        <f t="array" ref="H1844">_xlfn.IFS(
OR(E1844="Type 2 Diabetes",E1844="Essential Hypertension",E1844="Angina Pectoris",E1844="Bronchial Asthma",E1844="Cardiac Arrhythmia"), D1844+30,
OR(E1844="Gastritis",E1844="Osteoarthritis",E1844="Bronchitis",E1844="Iron Deficiency Anemia"), D1844+14,
OR(E1844="Lumbar Strain",E1844="Migraine Headache"), D1844+7,
OR(E1844="Viral Fever",E1844="General Checkup","Routine Health Check"), "",
TRUE,""
)</f>
        <v>45871</v>
      </c>
      <c r="I1844" s="1" t="str">
        <f t="shared" si="56"/>
        <v>Follow-up Scheduled</v>
      </c>
      <c r="J1844" t="str">
        <f>TEXT(Table8[[#This Row],[visit_Date]],"DDDD")</f>
        <v>Saturday</v>
      </c>
      <c r="K1844" t="str">
        <f>TEXT(Table8[[#This Row],[visit_Date]],"mmmm")</f>
        <v>July</v>
      </c>
      <c r="L1844" t="str">
        <f t="shared" si="57"/>
        <v>Monsoon</v>
      </c>
    </row>
    <row r="1845" spans="1:12" x14ac:dyDescent="0.25">
      <c r="A1845">
        <v>1844</v>
      </c>
      <c r="B1845">
        <v>1340</v>
      </c>
      <c r="C1845">
        <v>738</v>
      </c>
      <c r="D1845" s="1">
        <v>45819</v>
      </c>
      <c r="E1845" t="s">
        <v>24</v>
      </c>
      <c r="F1845" t="s">
        <v>321</v>
      </c>
      <c r="G1845" t="str">
        <f>_xlfn.XLOOKUP(TRIM(E1846),MedicineInfo!A:A,MedicineInfo!B:B,"Not Found")</f>
        <v>Multivitamin</v>
      </c>
      <c r="H1845" s="1" t="str" cm="1">
        <f t="array" ref="H1845">_xlfn.IFS(
OR(E1845="Type 2 Diabetes",E1845="Essential Hypertension",E1845="Angina Pectoris",E1845="Bronchial Asthma",E1845="Cardiac Arrhythmia"), D1845+30,
OR(E1845="Gastritis",E1845="Osteoarthritis",E1845="Bronchitis",E1845="Iron Deficiency Anemia"), D1845+14,
OR(E1845="Lumbar Strain",E1845="Migraine Headache"), D1845+7,
OR(E1845="Viral Fever",E1845="General Checkup","Routine Health Check"), "",
TRUE,""
)</f>
        <v/>
      </c>
      <c r="I1845" s="1" t="str">
        <f t="shared" si="56"/>
        <v>No Follow-up Required</v>
      </c>
      <c r="J1845" t="str">
        <f>TEXT(Table8[[#This Row],[visit_Date]],"DDDD")</f>
        <v>Wednesday</v>
      </c>
      <c r="K1845" t="str">
        <f>TEXT(Table8[[#This Row],[visit_Date]],"mmmm")</f>
        <v>June</v>
      </c>
      <c r="L1845" t="str">
        <f t="shared" si="57"/>
        <v>Monsoon</v>
      </c>
    </row>
    <row r="1846" spans="1:12" x14ac:dyDescent="0.25">
      <c r="A1846">
        <v>1845</v>
      </c>
      <c r="B1846">
        <v>1133</v>
      </c>
      <c r="C1846">
        <v>1308</v>
      </c>
      <c r="D1846" s="1">
        <v>45868</v>
      </c>
      <c r="E1846" t="s">
        <v>24</v>
      </c>
      <c r="F1846" t="s">
        <v>321</v>
      </c>
      <c r="G1846" t="str">
        <f>_xlfn.XLOOKUP(TRIM(E1847),MedicineInfo!A:A,MedicineInfo!B:B,"Not Found")</f>
        <v>Multivitamin</v>
      </c>
      <c r="H1846" s="1" t="str" cm="1">
        <f t="array" ref="H1846">_xlfn.IFS(
OR(E1846="Type 2 Diabetes",E1846="Essential Hypertension",E1846="Angina Pectoris",E1846="Bronchial Asthma",E1846="Cardiac Arrhythmia"), D1846+30,
OR(E1846="Gastritis",E1846="Osteoarthritis",E1846="Bronchitis",E1846="Iron Deficiency Anemia"), D1846+14,
OR(E1846="Lumbar Strain",E1846="Migraine Headache"), D1846+7,
OR(E1846="Viral Fever",E1846="General Checkup","Routine Health Check"), "",
TRUE,""
)</f>
        <v/>
      </c>
      <c r="I1846" s="1" t="str">
        <f t="shared" si="56"/>
        <v>No Follow-up Required</v>
      </c>
      <c r="J1846" t="str">
        <f>TEXT(Table8[[#This Row],[visit_Date]],"DDDD")</f>
        <v>Wednesday</v>
      </c>
      <c r="K1846" t="str">
        <f>TEXT(Table8[[#This Row],[visit_Date]],"mmmm")</f>
        <v>July</v>
      </c>
      <c r="L1846" t="str">
        <f t="shared" si="57"/>
        <v>Monsoon</v>
      </c>
    </row>
    <row r="1847" spans="1:12" x14ac:dyDescent="0.25">
      <c r="A1847">
        <v>1846</v>
      </c>
      <c r="B1847">
        <v>1127</v>
      </c>
      <c r="C1847">
        <v>230</v>
      </c>
      <c r="D1847" s="1">
        <v>45840</v>
      </c>
      <c r="E1847" t="s">
        <v>24</v>
      </c>
      <c r="F1847" t="s">
        <v>321</v>
      </c>
      <c r="G1847" t="str">
        <f>_xlfn.XLOOKUP(TRIM(E1848),MedicineInfo!A:A,MedicineInfo!B:B,"Not Found")</f>
        <v>Multivitamin</v>
      </c>
      <c r="H1847" s="1" t="str" cm="1">
        <f t="array" ref="H1847">_xlfn.IFS(
OR(E1847="Type 2 Diabetes",E1847="Essential Hypertension",E1847="Angina Pectoris",E1847="Bronchial Asthma",E1847="Cardiac Arrhythmia"), D1847+30,
OR(E1847="Gastritis",E1847="Osteoarthritis",E1847="Bronchitis",E1847="Iron Deficiency Anemia"), D1847+14,
OR(E1847="Lumbar Strain",E1847="Migraine Headache"), D1847+7,
OR(E1847="Viral Fever",E1847="General Checkup","Routine Health Check"), "",
TRUE,""
)</f>
        <v/>
      </c>
      <c r="I1847" s="1" t="str">
        <f t="shared" si="56"/>
        <v>No Follow-up Required</v>
      </c>
      <c r="J1847" t="str">
        <f>TEXT(Table8[[#This Row],[visit_Date]],"DDDD")</f>
        <v>Wednesday</v>
      </c>
      <c r="K1847" t="str">
        <f>TEXT(Table8[[#This Row],[visit_Date]],"mmmm")</f>
        <v>July</v>
      </c>
      <c r="L1847" t="str">
        <f t="shared" si="57"/>
        <v>Monsoon</v>
      </c>
    </row>
    <row r="1848" spans="1:12" x14ac:dyDescent="0.25">
      <c r="A1848">
        <v>1847</v>
      </c>
      <c r="B1848">
        <v>1099</v>
      </c>
      <c r="C1848">
        <v>700</v>
      </c>
      <c r="D1848" s="1">
        <v>45767</v>
      </c>
      <c r="E1848" t="s">
        <v>24</v>
      </c>
      <c r="F1848" t="s">
        <v>321</v>
      </c>
      <c r="G1848" t="str">
        <f>_xlfn.XLOOKUP(TRIM(E1849),MedicineInfo!A:A,MedicineInfo!B:B,"Not Found")</f>
        <v>Pantoprazole</v>
      </c>
      <c r="H1848" s="1" t="str" cm="1">
        <f t="array" ref="H1848">_xlfn.IFS(
OR(E1848="Type 2 Diabetes",E1848="Essential Hypertension",E1848="Angina Pectoris",E1848="Bronchial Asthma",E1848="Cardiac Arrhythmia"), D1848+30,
OR(E1848="Gastritis",E1848="Osteoarthritis",E1848="Bronchitis",E1848="Iron Deficiency Anemia"), D1848+14,
OR(E1848="Lumbar Strain",E1848="Migraine Headache"), D1848+7,
OR(E1848="Viral Fever",E1848="General Checkup","Routine Health Check"), "",
TRUE,""
)</f>
        <v/>
      </c>
      <c r="I1848" s="1" t="str">
        <f t="shared" si="56"/>
        <v>No Follow-up Required</v>
      </c>
      <c r="J1848" t="str">
        <f>TEXT(Table8[[#This Row],[visit_Date]],"DDDD")</f>
        <v>Sunday</v>
      </c>
      <c r="K1848" t="str">
        <f>TEXT(Table8[[#This Row],[visit_Date]],"mmmm")</f>
        <v>April</v>
      </c>
      <c r="L1848" t="str">
        <f t="shared" si="57"/>
        <v>Summer</v>
      </c>
    </row>
    <row r="1849" spans="1:12" x14ac:dyDescent="0.25">
      <c r="A1849">
        <v>1848</v>
      </c>
      <c r="B1849">
        <v>1164</v>
      </c>
      <c r="C1849">
        <v>140</v>
      </c>
      <c r="D1849" s="1">
        <v>45758</v>
      </c>
      <c r="E1849" t="s">
        <v>344</v>
      </c>
      <c r="F1849" t="s">
        <v>345</v>
      </c>
      <c r="G1849" t="str">
        <f>_xlfn.XLOOKUP(TRIM(E1850),MedicineInfo!A:A,MedicineInfo!B:B,"Not Found")</f>
        <v>Multivitamin</v>
      </c>
      <c r="H1849" s="1" cm="1">
        <f t="array" ref="H1849">_xlfn.IFS(
OR(E1849="Type 2 Diabetes",E1849="Essential Hypertension",E1849="Angina Pectoris",E1849="Bronchial Asthma",E1849="Cardiac Arrhythmia"), D1849+30,
OR(E1849="Gastritis",E1849="Osteoarthritis",E1849="Bronchitis",E1849="Iron Deficiency Anemia"), D1849+14,
OR(E1849="Lumbar Strain",E1849="Migraine Headache"), D1849+7,
OR(E1849="Viral Fever",E1849="General Checkup","Routine Health Check"), "",
TRUE,""
)</f>
        <v>45772</v>
      </c>
      <c r="I1849" s="1" t="str">
        <f t="shared" si="56"/>
        <v>Follow-up Scheduled</v>
      </c>
      <c r="J1849" t="str">
        <f>TEXT(Table8[[#This Row],[visit_Date]],"DDDD")</f>
        <v>Friday</v>
      </c>
      <c r="K1849" t="str">
        <f>TEXT(Table8[[#This Row],[visit_Date]],"mmmm")</f>
        <v>April</v>
      </c>
      <c r="L1849" t="str">
        <f t="shared" si="57"/>
        <v>Summer</v>
      </c>
    </row>
    <row r="1850" spans="1:12" x14ac:dyDescent="0.25">
      <c r="A1850">
        <v>1849</v>
      </c>
      <c r="B1850">
        <v>1391</v>
      </c>
      <c r="C1850">
        <v>1336</v>
      </c>
      <c r="D1850" s="1">
        <v>45691</v>
      </c>
      <c r="E1850" t="s">
        <v>24</v>
      </c>
      <c r="F1850" t="s">
        <v>321</v>
      </c>
      <c r="G1850" t="str">
        <f>_xlfn.XLOOKUP(TRIM(E1851),MedicineInfo!A:A,MedicineInfo!B:B,"Not Found")</f>
        <v>Multivitamin</v>
      </c>
      <c r="H1850" s="1" t="str" cm="1">
        <f t="array" ref="H1850">_xlfn.IFS(
OR(E1850="Type 2 Diabetes",E1850="Essential Hypertension",E1850="Angina Pectoris",E1850="Bronchial Asthma",E1850="Cardiac Arrhythmia"), D1850+30,
OR(E1850="Gastritis",E1850="Osteoarthritis",E1850="Bronchitis",E1850="Iron Deficiency Anemia"), D1850+14,
OR(E1850="Lumbar Strain",E1850="Migraine Headache"), D1850+7,
OR(E1850="Viral Fever",E1850="General Checkup","Routine Health Check"), "",
TRUE,""
)</f>
        <v/>
      </c>
      <c r="I1850" s="1" t="str">
        <f t="shared" si="56"/>
        <v>No Follow-up Required</v>
      </c>
      <c r="J1850" t="str">
        <f>TEXT(Table8[[#This Row],[visit_Date]],"DDDD")</f>
        <v>Monday</v>
      </c>
      <c r="K1850" t="str">
        <f>TEXT(Table8[[#This Row],[visit_Date]],"mmmm")</f>
        <v>February</v>
      </c>
      <c r="L1850" t="str">
        <f t="shared" si="57"/>
        <v>Winter</v>
      </c>
    </row>
    <row r="1851" spans="1:12" x14ac:dyDescent="0.25">
      <c r="A1851">
        <v>1850</v>
      </c>
      <c r="B1851">
        <v>1351</v>
      </c>
      <c r="C1851">
        <v>994</v>
      </c>
      <c r="D1851" s="1">
        <v>45758</v>
      </c>
      <c r="E1851" t="s">
        <v>24</v>
      </c>
      <c r="F1851" t="s">
        <v>321</v>
      </c>
      <c r="G1851" t="str">
        <f>_xlfn.XLOOKUP(TRIM(E1852),MedicineInfo!A:A,MedicineInfo!B:B,"Not Found")</f>
        <v>Multivitamin</v>
      </c>
      <c r="H1851" s="1" t="str" cm="1">
        <f t="array" ref="H1851">_xlfn.IFS(
OR(E1851="Type 2 Diabetes",E1851="Essential Hypertension",E1851="Angina Pectoris",E1851="Bronchial Asthma",E1851="Cardiac Arrhythmia"), D1851+30,
OR(E1851="Gastritis",E1851="Osteoarthritis",E1851="Bronchitis",E1851="Iron Deficiency Anemia"), D1851+14,
OR(E1851="Lumbar Strain",E1851="Migraine Headache"), D1851+7,
OR(E1851="Viral Fever",E1851="General Checkup","Routine Health Check"), "",
TRUE,""
)</f>
        <v/>
      </c>
      <c r="I1851" s="1" t="str">
        <f t="shared" si="56"/>
        <v>No Follow-up Required</v>
      </c>
      <c r="J1851" t="str">
        <f>TEXT(Table8[[#This Row],[visit_Date]],"DDDD")</f>
        <v>Friday</v>
      </c>
      <c r="K1851" t="str">
        <f>TEXT(Table8[[#This Row],[visit_Date]],"mmmm")</f>
        <v>April</v>
      </c>
      <c r="L1851" t="str">
        <f t="shared" si="57"/>
        <v>Summer</v>
      </c>
    </row>
    <row r="1852" spans="1:12" x14ac:dyDescent="0.25">
      <c r="A1852">
        <v>1851</v>
      </c>
      <c r="B1852">
        <v>1392</v>
      </c>
      <c r="C1852">
        <v>1432</v>
      </c>
      <c r="D1852" s="1">
        <v>45782</v>
      </c>
      <c r="E1852" t="s">
        <v>24</v>
      </c>
      <c r="F1852" t="s">
        <v>321</v>
      </c>
      <c r="G1852" t="str">
        <f>_xlfn.XLOOKUP(TRIM(E1853),MedicineInfo!A:A,MedicineInfo!B:B,"Not Found")</f>
        <v>Multivitamin</v>
      </c>
      <c r="H1852" s="1" t="str" cm="1">
        <f t="array" ref="H1852">_xlfn.IFS(
OR(E1852="Type 2 Diabetes",E1852="Essential Hypertension",E1852="Angina Pectoris",E1852="Bronchial Asthma",E1852="Cardiac Arrhythmia"), D1852+30,
OR(E1852="Gastritis",E1852="Osteoarthritis",E1852="Bronchitis",E1852="Iron Deficiency Anemia"), D1852+14,
OR(E1852="Lumbar Strain",E1852="Migraine Headache"), D1852+7,
OR(E1852="Viral Fever",E1852="General Checkup","Routine Health Check"), "",
TRUE,""
)</f>
        <v/>
      </c>
      <c r="I1852" s="1" t="str">
        <f t="shared" si="56"/>
        <v>No Follow-up Required</v>
      </c>
      <c r="J1852" t="str">
        <f>TEXT(Table8[[#This Row],[visit_Date]],"DDDD")</f>
        <v>Monday</v>
      </c>
      <c r="K1852" t="str">
        <f>TEXT(Table8[[#This Row],[visit_Date]],"mmmm")</f>
        <v>May</v>
      </c>
      <c r="L1852" t="str">
        <f t="shared" si="57"/>
        <v>Summer</v>
      </c>
    </row>
    <row r="1853" spans="1:12" x14ac:dyDescent="0.25">
      <c r="A1853">
        <v>1852</v>
      </c>
      <c r="B1853">
        <v>1229</v>
      </c>
      <c r="C1853">
        <v>828</v>
      </c>
      <c r="D1853" s="1">
        <v>45777</v>
      </c>
      <c r="E1853" t="s">
        <v>24</v>
      </c>
      <c r="F1853" t="s">
        <v>321</v>
      </c>
      <c r="G1853" t="str">
        <f>_xlfn.XLOOKUP(TRIM(E1854),MedicineInfo!A:A,MedicineInfo!B:B,"Not Found")</f>
        <v>Multivitamin</v>
      </c>
      <c r="H1853" s="1" t="str" cm="1">
        <f t="array" ref="H1853">_xlfn.IFS(
OR(E1853="Type 2 Diabetes",E1853="Essential Hypertension",E1853="Angina Pectoris",E1853="Bronchial Asthma",E1853="Cardiac Arrhythmia"), D1853+30,
OR(E1853="Gastritis",E1853="Osteoarthritis",E1853="Bronchitis",E1853="Iron Deficiency Anemia"), D1853+14,
OR(E1853="Lumbar Strain",E1853="Migraine Headache"), D1853+7,
OR(E1853="Viral Fever",E1853="General Checkup","Routine Health Check"), "",
TRUE,""
)</f>
        <v/>
      </c>
      <c r="I1853" s="1" t="str">
        <f t="shared" si="56"/>
        <v>No Follow-up Required</v>
      </c>
      <c r="J1853" t="str">
        <f>TEXT(Table8[[#This Row],[visit_Date]],"DDDD")</f>
        <v>Wednesday</v>
      </c>
      <c r="K1853" t="str">
        <f>TEXT(Table8[[#This Row],[visit_Date]],"mmmm")</f>
        <v>April</v>
      </c>
      <c r="L1853" t="str">
        <f t="shared" si="57"/>
        <v>Summer</v>
      </c>
    </row>
    <row r="1854" spans="1:12" x14ac:dyDescent="0.25">
      <c r="A1854">
        <v>1853</v>
      </c>
      <c r="B1854">
        <v>1019</v>
      </c>
      <c r="C1854">
        <v>1155</v>
      </c>
      <c r="D1854" s="1">
        <v>45691</v>
      </c>
      <c r="E1854" t="s">
        <v>24</v>
      </c>
      <c r="F1854" t="s">
        <v>321</v>
      </c>
      <c r="G1854" t="str">
        <f>_xlfn.XLOOKUP(TRIM(E1855),MedicineInfo!A:A,MedicineInfo!B:B,"Not Found")</f>
        <v>Multivitamin</v>
      </c>
      <c r="H1854" s="1" t="str" cm="1">
        <f t="array" ref="H1854">_xlfn.IFS(
OR(E1854="Type 2 Diabetes",E1854="Essential Hypertension",E1854="Angina Pectoris",E1854="Bronchial Asthma",E1854="Cardiac Arrhythmia"), D1854+30,
OR(E1854="Gastritis",E1854="Osteoarthritis",E1854="Bronchitis",E1854="Iron Deficiency Anemia"), D1854+14,
OR(E1854="Lumbar Strain",E1854="Migraine Headache"), D1854+7,
OR(E1854="Viral Fever",E1854="General Checkup","Routine Health Check"), "",
TRUE,""
)</f>
        <v/>
      </c>
      <c r="I1854" s="1" t="str">
        <f t="shared" si="56"/>
        <v>No Follow-up Required</v>
      </c>
      <c r="J1854" t="str">
        <f>TEXT(Table8[[#This Row],[visit_Date]],"DDDD")</f>
        <v>Monday</v>
      </c>
      <c r="K1854" t="str">
        <f>TEXT(Table8[[#This Row],[visit_Date]],"mmmm")</f>
        <v>February</v>
      </c>
      <c r="L1854" t="str">
        <f t="shared" si="57"/>
        <v>Winter</v>
      </c>
    </row>
    <row r="1855" spans="1:12" x14ac:dyDescent="0.25">
      <c r="A1855">
        <v>1854</v>
      </c>
      <c r="B1855">
        <v>1294</v>
      </c>
      <c r="C1855">
        <v>1242</v>
      </c>
      <c r="D1855" s="1">
        <v>45697</v>
      </c>
      <c r="E1855" t="s">
        <v>24</v>
      </c>
      <c r="F1855" t="s">
        <v>321</v>
      </c>
      <c r="G1855" t="str">
        <f>_xlfn.XLOOKUP(TRIM(E1856),MedicineInfo!A:A,MedicineInfo!B:B,"Not Found")</f>
        <v>Multivitamin</v>
      </c>
      <c r="H1855" s="1" t="str" cm="1">
        <f t="array" ref="H1855">_xlfn.IFS(
OR(E1855="Type 2 Diabetes",E1855="Essential Hypertension",E1855="Angina Pectoris",E1855="Bronchial Asthma",E1855="Cardiac Arrhythmia"), D1855+30,
OR(E1855="Gastritis",E1855="Osteoarthritis",E1855="Bronchitis",E1855="Iron Deficiency Anemia"), D1855+14,
OR(E1855="Lumbar Strain",E1855="Migraine Headache"), D1855+7,
OR(E1855="Viral Fever",E1855="General Checkup","Routine Health Check"), "",
TRUE,""
)</f>
        <v/>
      </c>
      <c r="I1855" s="1" t="str">
        <f t="shared" si="56"/>
        <v>No Follow-up Required</v>
      </c>
      <c r="J1855" t="str">
        <f>TEXT(Table8[[#This Row],[visit_Date]],"DDDD")</f>
        <v>Sunday</v>
      </c>
      <c r="K1855" t="str">
        <f>TEXT(Table8[[#This Row],[visit_Date]],"mmmm")</f>
        <v>February</v>
      </c>
      <c r="L1855" t="str">
        <f t="shared" si="57"/>
        <v>Winter</v>
      </c>
    </row>
    <row r="1856" spans="1:12" x14ac:dyDescent="0.25">
      <c r="A1856">
        <v>1855</v>
      </c>
      <c r="B1856">
        <v>1088</v>
      </c>
      <c r="C1856">
        <v>988</v>
      </c>
      <c r="D1856" s="1">
        <v>45864</v>
      </c>
      <c r="E1856" t="s">
        <v>24</v>
      </c>
      <c r="F1856" t="s">
        <v>321</v>
      </c>
      <c r="G1856" t="str">
        <f>_xlfn.XLOOKUP(TRIM(E1857),MedicineInfo!A:A,MedicineInfo!B:B,"Not Found")</f>
        <v>Multivitamin</v>
      </c>
      <c r="H1856" s="1" t="str" cm="1">
        <f t="array" ref="H1856">_xlfn.IFS(
OR(E1856="Type 2 Diabetes",E1856="Essential Hypertension",E1856="Angina Pectoris",E1856="Bronchial Asthma",E1856="Cardiac Arrhythmia"), D1856+30,
OR(E1856="Gastritis",E1856="Osteoarthritis",E1856="Bronchitis",E1856="Iron Deficiency Anemia"), D1856+14,
OR(E1856="Lumbar Strain",E1856="Migraine Headache"), D1856+7,
OR(E1856="Viral Fever",E1856="General Checkup","Routine Health Check"), "",
TRUE,""
)</f>
        <v/>
      </c>
      <c r="I1856" s="1" t="str">
        <f t="shared" si="56"/>
        <v>No Follow-up Required</v>
      </c>
      <c r="J1856" t="str">
        <f>TEXT(Table8[[#This Row],[visit_Date]],"DDDD")</f>
        <v>Saturday</v>
      </c>
      <c r="K1856" t="str">
        <f>TEXT(Table8[[#This Row],[visit_Date]],"mmmm")</f>
        <v>July</v>
      </c>
      <c r="L1856" t="str">
        <f t="shared" si="57"/>
        <v>Monsoon</v>
      </c>
    </row>
    <row r="1857" spans="1:12" x14ac:dyDescent="0.25">
      <c r="A1857">
        <v>1856</v>
      </c>
      <c r="B1857">
        <v>1004</v>
      </c>
      <c r="C1857">
        <v>1214</v>
      </c>
      <c r="D1857" s="1">
        <v>45839</v>
      </c>
      <c r="E1857" t="s">
        <v>24</v>
      </c>
      <c r="F1857" t="s">
        <v>321</v>
      </c>
      <c r="G1857" t="str">
        <f>_xlfn.XLOOKUP(TRIM(E1858),MedicineInfo!A:A,MedicineInfo!B:B,"Not Found")</f>
        <v>Sertraline</v>
      </c>
      <c r="H1857" s="1" t="str" cm="1">
        <f t="array" ref="H1857">_xlfn.IFS(
OR(E1857="Type 2 Diabetes",E1857="Essential Hypertension",E1857="Angina Pectoris",E1857="Bronchial Asthma",E1857="Cardiac Arrhythmia"), D1857+30,
OR(E1857="Gastritis",E1857="Osteoarthritis",E1857="Bronchitis",E1857="Iron Deficiency Anemia"), D1857+14,
OR(E1857="Lumbar Strain",E1857="Migraine Headache"), D1857+7,
OR(E1857="Viral Fever",E1857="General Checkup","Routine Health Check"), "",
TRUE,""
)</f>
        <v/>
      </c>
      <c r="I1857" s="1" t="str">
        <f t="shared" si="56"/>
        <v>No Follow-up Required</v>
      </c>
      <c r="J1857" t="str">
        <f>TEXT(Table8[[#This Row],[visit_Date]],"DDDD")</f>
        <v>Tuesday</v>
      </c>
      <c r="K1857" t="str">
        <f>TEXT(Table8[[#This Row],[visit_Date]],"mmmm")</f>
        <v>July</v>
      </c>
      <c r="L1857" t="str">
        <f t="shared" si="57"/>
        <v>Monsoon</v>
      </c>
    </row>
    <row r="1858" spans="1:12" x14ac:dyDescent="0.25">
      <c r="A1858">
        <v>1857</v>
      </c>
      <c r="B1858">
        <v>1049</v>
      </c>
      <c r="C1858">
        <v>1576</v>
      </c>
      <c r="D1858" s="1">
        <v>45767</v>
      </c>
      <c r="E1858" t="s">
        <v>334</v>
      </c>
      <c r="F1858" t="s">
        <v>335</v>
      </c>
      <c r="G1858" t="str">
        <f>_xlfn.XLOOKUP(TRIM(E1859),MedicineInfo!A:A,MedicineInfo!B:B,"Not Found")</f>
        <v>Multivitamin</v>
      </c>
      <c r="H1858" s="1" t="str" cm="1">
        <f t="array" ref="H1858">_xlfn.IFS(
OR(E1858="Type 2 Diabetes",E1858="Essential Hypertension",E1858="Angina Pectoris",E1858="Bronchial Asthma",E1858="Cardiac Arrhythmia"), D1858+30,
OR(E1858="Gastritis",E1858="Osteoarthritis",E1858="Bronchitis",E1858="Iron Deficiency Anemia"), D1858+14,
OR(E1858="Lumbar Strain",E1858="Migraine Headache"), D1858+7,
OR(E1858="Viral Fever",E1858="General Checkup","Routine Health Check"), "",
TRUE,""
)</f>
        <v/>
      </c>
      <c r="I1858" s="1" t="str">
        <f t="shared" ref="I1858:I1921" si="58">IF(H1858="","No Follow-up Required","Follow-up Scheduled")</f>
        <v>No Follow-up Required</v>
      </c>
      <c r="J1858" t="str">
        <f>TEXT(Table8[[#This Row],[visit_Date]],"DDDD")</f>
        <v>Sunday</v>
      </c>
      <c r="K1858" t="str">
        <f>TEXT(Table8[[#This Row],[visit_Date]],"mmmm")</f>
        <v>April</v>
      </c>
      <c r="L1858" t="str">
        <f t="shared" ref="L1858:L1921" si="59">IF(OR(MONTH(D1858)=12,MONTH(D1858)&lt;=2),"Winter",
IF(MONTH(D1858)&lt;=5,"Summer","Monsoon"))</f>
        <v>Summer</v>
      </c>
    </row>
    <row r="1859" spans="1:12" x14ac:dyDescent="0.25">
      <c r="A1859">
        <v>1858</v>
      </c>
      <c r="B1859">
        <v>1311</v>
      </c>
      <c r="C1859">
        <v>358</v>
      </c>
      <c r="D1859" s="1">
        <v>45703</v>
      </c>
      <c r="E1859" t="s">
        <v>24</v>
      </c>
      <c r="F1859" t="s">
        <v>321</v>
      </c>
      <c r="G1859" t="str">
        <f>_xlfn.XLOOKUP(TRIM(E1860),MedicineInfo!A:A,MedicineInfo!B:B,"Not Found")</f>
        <v>Multivitamin</v>
      </c>
      <c r="H1859" s="1" t="str" cm="1">
        <f t="array" ref="H1859">_xlfn.IFS(
OR(E1859="Type 2 Diabetes",E1859="Essential Hypertension",E1859="Angina Pectoris",E1859="Bronchial Asthma",E1859="Cardiac Arrhythmia"), D1859+30,
OR(E1859="Gastritis",E1859="Osteoarthritis",E1859="Bronchitis",E1859="Iron Deficiency Anemia"), D1859+14,
OR(E1859="Lumbar Strain",E1859="Migraine Headache"), D1859+7,
OR(E1859="Viral Fever",E1859="General Checkup","Routine Health Check"), "",
TRUE,""
)</f>
        <v/>
      </c>
      <c r="I1859" s="1" t="str">
        <f t="shared" si="58"/>
        <v>No Follow-up Required</v>
      </c>
      <c r="J1859" t="str">
        <f>TEXT(Table8[[#This Row],[visit_Date]],"DDDD")</f>
        <v>Saturday</v>
      </c>
      <c r="K1859" t="str">
        <f>TEXT(Table8[[#This Row],[visit_Date]],"mmmm")</f>
        <v>February</v>
      </c>
      <c r="L1859" t="str">
        <f t="shared" si="59"/>
        <v>Winter</v>
      </c>
    </row>
    <row r="1860" spans="1:12" x14ac:dyDescent="0.25">
      <c r="A1860">
        <v>1859</v>
      </c>
      <c r="B1860">
        <v>1034</v>
      </c>
      <c r="C1860">
        <v>984</v>
      </c>
      <c r="D1860" s="1">
        <v>45715</v>
      </c>
      <c r="E1860" t="s">
        <v>24</v>
      </c>
      <c r="F1860" t="s">
        <v>321</v>
      </c>
      <c r="G1860" t="str">
        <f>_xlfn.XLOOKUP(TRIM(E1861),MedicineInfo!A:A,MedicineInfo!B:B,"Not Found")</f>
        <v>Not Found</v>
      </c>
      <c r="H1860" s="1" t="str" cm="1">
        <f t="array" ref="H1860">_xlfn.IFS(
OR(E1860="Type 2 Diabetes",E1860="Essential Hypertension",E1860="Angina Pectoris",E1860="Bronchial Asthma",E1860="Cardiac Arrhythmia"), D1860+30,
OR(E1860="Gastritis",E1860="Osteoarthritis",E1860="Bronchitis",E1860="Iron Deficiency Anemia"), D1860+14,
OR(E1860="Lumbar Strain",E1860="Migraine Headache"), D1860+7,
OR(E1860="Viral Fever",E1860="General Checkup","Routine Health Check"), "",
TRUE,""
)</f>
        <v/>
      </c>
      <c r="I1860" s="1" t="str">
        <f t="shared" si="58"/>
        <v>No Follow-up Required</v>
      </c>
      <c r="J1860" t="str">
        <f>TEXT(Table8[[#This Row],[visit_Date]],"DDDD")</f>
        <v>Thursday</v>
      </c>
      <c r="K1860" t="str">
        <f>TEXT(Table8[[#This Row],[visit_Date]],"mmmm")</f>
        <v>February</v>
      </c>
      <c r="L1860" t="str">
        <f t="shared" si="59"/>
        <v>Winter</v>
      </c>
    </row>
    <row r="1861" spans="1:12" x14ac:dyDescent="0.25">
      <c r="A1861">
        <v>1860</v>
      </c>
      <c r="B1861">
        <v>1281</v>
      </c>
      <c r="C1861">
        <v>615</v>
      </c>
      <c r="D1861" s="1">
        <v>45792</v>
      </c>
      <c r="E1861" t="s">
        <v>340</v>
      </c>
      <c r="F1861" t="s">
        <v>341</v>
      </c>
      <c r="G1861" t="str">
        <f>_xlfn.XLOOKUP(TRIM(E1862),MedicineInfo!A:A,MedicineInfo!B:B,"Not Found")</f>
        <v>Levothyroxine</v>
      </c>
      <c r="H1861" s="1" t="str" cm="1">
        <f t="array" ref="H1861">_xlfn.IFS(
OR(E1861="Type 2 Diabetes",E1861="Essential Hypertension",E1861="Angina Pectoris",E1861="Bronchial Asthma",E1861="Cardiac Arrhythmia"), D1861+30,
OR(E1861="Gastritis",E1861="Osteoarthritis",E1861="Bronchitis",E1861="Iron Deficiency Anemia"), D1861+14,
OR(E1861="Lumbar Strain",E1861="Migraine Headache"), D1861+7,
OR(E1861="Viral Fever",E1861="General Checkup","Routine Health Check"), "",
TRUE,""
)</f>
        <v/>
      </c>
      <c r="I1861" s="1" t="str">
        <f t="shared" si="58"/>
        <v>No Follow-up Required</v>
      </c>
      <c r="J1861" t="str">
        <f>TEXT(Table8[[#This Row],[visit_Date]],"DDDD")</f>
        <v>Thursday</v>
      </c>
      <c r="K1861" t="str">
        <f>TEXT(Table8[[#This Row],[visit_Date]],"mmmm")</f>
        <v>May</v>
      </c>
      <c r="L1861" t="str">
        <f t="shared" si="59"/>
        <v>Summer</v>
      </c>
    </row>
    <row r="1862" spans="1:12" x14ac:dyDescent="0.25">
      <c r="A1862">
        <v>1861</v>
      </c>
      <c r="B1862">
        <v>1003</v>
      </c>
      <c r="C1862">
        <v>300</v>
      </c>
      <c r="D1862" s="1">
        <v>45777</v>
      </c>
      <c r="E1862" t="s">
        <v>360</v>
      </c>
      <c r="F1862" t="s">
        <v>361</v>
      </c>
      <c r="G1862" t="str">
        <f>_xlfn.XLOOKUP(TRIM(E1863),MedicineInfo!A:A,MedicineInfo!B:B,"Not Found")</f>
        <v>Multivitamin</v>
      </c>
      <c r="H1862" s="1" t="str" cm="1">
        <f t="array" ref="H1862">_xlfn.IFS(
OR(E1862="Type 2 Diabetes",E1862="Essential Hypertension",E1862="Angina Pectoris",E1862="Bronchial Asthma",E1862="Cardiac Arrhythmia"), D1862+30,
OR(E1862="Gastritis",E1862="Osteoarthritis",E1862="Bronchitis",E1862="Iron Deficiency Anemia"), D1862+14,
OR(E1862="Lumbar Strain",E1862="Migraine Headache"), D1862+7,
OR(E1862="Viral Fever",E1862="General Checkup","Routine Health Check"), "",
TRUE,""
)</f>
        <v/>
      </c>
      <c r="I1862" s="1" t="str">
        <f t="shared" si="58"/>
        <v>No Follow-up Required</v>
      </c>
      <c r="J1862" t="str">
        <f>TEXT(Table8[[#This Row],[visit_Date]],"DDDD")</f>
        <v>Wednesday</v>
      </c>
      <c r="K1862" t="str">
        <f>TEXT(Table8[[#This Row],[visit_Date]],"mmmm")</f>
        <v>April</v>
      </c>
      <c r="L1862" t="str">
        <f t="shared" si="59"/>
        <v>Summer</v>
      </c>
    </row>
    <row r="1863" spans="1:12" x14ac:dyDescent="0.25">
      <c r="A1863">
        <v>1862</v>
      </c>
      <c r="B1863">
        <v>1114</v>
      </c>
      <c r="C1863">
        <v>139</v>
      </c>
      <c r="D1863" s="1">
        <v>45735</v>
      </c>
      <c r="E1863" t="s">
        <v>24</v>
      </c>
      <c r="F1863" t="s">
        <v>321</v>
      </c>
      <c r="G1863" t="str">
        <f>_xlfn.XLOOKUP(TRIM(E1864),MedicineInfo!A:A,MedicineInfo!B:B,"Not Found")</f>
        <v>Multivitamin</v>
      </c>
      <c r="H1863" s="1" t="str" cm="1">
        <f t="array" ref="H1863">_xlfn.IFS(
OR(E1863="Type 2 Diabetes",E1863="Essential Hypertension",E1863="Angina Pectoris",E1863="Bronchial Asthma",E1863="Cardiac Arrhythmia"), D1863+30,
OR(E1863="Gastritis",E1863="Osteoarthritis",E1863="Bronchitis",E1863="Iron Deficiency Anemia"), D1863+14,
OR(E1863="Lumbar Strain",E1863="Migraine Headache"), D1863+7,
OR(E1863="Viral Fever",E1863="General Checkup","Routine Health Check"), "",
TRUE,""
)</f>
        <v/>
      </c>
      <c r="I1863" s="1" t="str">
        <f t="shared" si="58"/>
        <v>No Follow-up Required</v>
      </c>
      <c r="J1863" t="str">
        <f>TEXT(Table8[[#This Row],[visit_Date]],"DDDD")</f>
        <v>Wednesday</v>
      </c>
      <c r="K1863" t="str">
        <f>TEXT(Table8[[#This Row],[visit_Date]],"mmmm")</f>
        <v>March</v>
      </c>
      <c r="L1863" t="str">
        <f t="shared" si="59"/>
        <v>Summer</v>
      </c>
    </row>
    <row r="1864" spans="1:12" x14ac:dyDescent="0.25">
      <c r="A1864">
        <v>1863</v>
      </c>
      <c r="B1864">
        <v>1223</v>
      </c>
      <c r="C1864">
        <v>1068</v>
      </c>
      <c r="D1864" s="1">
        <v>45704</v>
      </c>
      <c r="E1864" t="s">
        <v>24</v>
      </c>
      <c r="F1864" t="s">
        <v>321</v>
      </c>
      <c r="G1864" t="str">
        <f>_xlfn.XLOOKUP(TRIM(E1865),MedicineInfo!A:A,MedicineInfo!B:B,"Not Found")</f>
        <v>Multivitamin</v>
      </c>
      <c r="H1864" s="1" t="str" cm="1">
        <f t="array" ref="H1864">_xlfn.IFS(
OR(E1864="Type 2 Diabetes",E1864="Essential Hypertension",E1864="Angina Pectoris",E1864="Bronchial Asthma",E1864="Cardiac Arrhythmia"), D1864+30,
OR(E1864="Gastritis",E1864="Osteoarthritis",E1864="Bronchitis",E1864="Iron Deficiency Anemia"), D1864+14,
OR(E1864="Lumbar Strain",E1864="Migraine Headache"), D1864+7,
OR(E1864="Viral Fever",E1864="General Checkup","Routine Health Check"), "",
TRUE,""
)</f>
        <v/>
      </c>
      <c r="I1864" s="1" t="str">
        <f t="shared" si="58"/>
        <v>No Follow-up Required</v>
      </c>
      <c r="J1864" t="str">
        <f>TEXT(Table8[[#This Row],[visit_Date]],"DDDD")</f>
        <v>Sunday</v>
      </c>
      <c r="K1864" t="str">
        <f>TEXT(Table8[[#This Row],[visit_Date]],"mmmm")</f>
        <v>February</v>
      </c>
      <c r="L1864" t="str">
        <f t="shared" si="59"/>
        <v>Winter</v>
      </c>
    </row>
    <row r="1865" spans="1:12" x14ac:dyDescent="0.25">
      <c r="A1865">
        <v>1864</v>
      </c>
      <c r="B1865">
        <v>1154</v>
      </c>
      <c r="C1865">
        <v>974</v>
      </c>
      <c r="D1865" s="1">
        <v>45686</v>
      </c>
      <c r="E1865" t="s">
        <v>24</v>
      </c>
      <c r="F1865" t="s">
        <v>321</v>
      </c>
      <c r="G1865" t="str">
        <f>_xlfn.XLOOKUP(TRIM(E1866),MedicineInfo!A:A,MedicineInfo!B:B,"Not Found")</f>
        <v>Multivitamin</v>
      </c>
      <c r="H1865" s="1" t="str" cm="1">
        <f t="array" ref="H1865">_xlfn.IFS(
OR(E1865="Type 2 Diabetes",E1865="Essential Hypertension",E1865="Angina Pectoris",E1865="Bronchial Asthma",E1865="Cardiac Arrhythmia"), D1865+30,
OR(E1865="Gastritis",E1865="Osteoarthritis",E1865="Bronchitis",E1865="Iron Deficiency Anemia"), D1865+14,
OR(E1865="Lumbar Strain",E1865="Migraine Headache"), D1865+7,
OR(E1865="Viral Fever",E1865="General Checkup","Routine Health Check"), "",
TRUE,""
)</f>
        <v/>
      </c>
      <c r="I1865" s="1" t="str">
        <f t="shared" si="58"/>
        <v>No Follow-up Required</v>
      </c>
      <c r="J1865" t="str">
        <f>TEXT(Table8[[#This Row],[visit_Date]],"DDDD")</f>
        <v>Wednesday</v>
      </c>
      <c r="K1865" t="str">
        <f>TEXT(Table8[[#This Row],[visit_Date]],"mmmm")</f>
        <v>January</v>
      </c>
      <c r="L1865" t="str">
        <f t="shared" si="59"/>
        <v>Winter</v>
      </c>
    </row>
    <row r="1866" spans="1:12" x14ac:dyDescent="0.25">
      <c r="A1866">
        <v>1865</v>
      </c>
      <c r="B1866">
        <v>1163</v>
      </c>
      <c r="C1866">
        <v>821</v>
      </c>
      <c r="D1866" s="1">
        <v>45669</v>
      </c>
      <c r="E1866" t="s">
        <v>24</v>
      </c>
      <c r="F1866" t="s">
        <v>321</v>
      </c>
      <c r="G1866" t="str">
        <f>_xlfn.XLOOKUP(TRIM(E1867),MedicineInfo!A:A,MedicineInfo!B:B,"Not Found")</f>
        <v>Donepezil</v>
      </c>
      <c r="H1866" s="1" t="str" cm="1">
        <f t="array" ref="H1866">_xlfn.IFS(
OR(E1866="Type 2 Diabetes",E1866="Essential Hypertension",E1866="Angina Pectoris",E1866="Bronchial Asthma",E1866="Cardiac Arrhythmia"), D1866+30,
OR(E1866="Gastritis",E1866="Osteoarthritis",E1866="Bronchitis",E1866="Iron Deficiency Anemia"), D1866+14,
OR(E1866="Lumbar Strain",E1866="Migraine Headache"), D1866+7,
OR(E1866="Viral Fever",E1866="General Checkup","Routine Health Check"), "",
TRUE,""
)</f>
        <v/>
      </c>
      <c r="I1866" s="1" t="str">
        <f t="shared" si="58"/>
        <v>No Follow-up Required</v>
      </c>
      <c r="J1866" t="str">
        <f>TEXT(Table8[[#This Row],[visit_Date]],"DDDD")</f>
        <v>Sunday</v>
      </c>
      <c r="K1866" t="str">
        <f>TEXT(Table8[[#This Row],[visit_Date]],"mmmm")</f>
        <v>January</v>
      </c>
      <c r="L1866" t="str">
        <f t="shared" si="59"/>
        <v>Winter</v>
      </c>
    </row>
    <row r="1867" spans="1:12" x14ac:dyDescent="0.25">
      <c r="A1867">
        <v>1866</v>
      </c>
      <c r="B1867">
        <v>1351</v>
      </c>
      <c r="C1867">
        <v>1138</v>
      </c>
      <c r="D1867" s="1">
        <v>45795</v>
      </c>
      <c r="E1867" t="s">
        <v>350</v>
      </c>
      <c r="F1867" t="s">
        <v>351</v>
      </c>
      <c r="G1867" t="str">
        <f>_xlfn.XLOOKUP(TRIM(E1868),MedicineInfo!A:A,MedicineInfo!B:B,"Not Found")</f>
        <v>Multivitamin</v>
      </c>
      <c r="H1867" s="1" t="str" cm="1">
        <f t="array" ref="H1867">_xlfn.IFS(
OR(E1867="Type 2 Diabetes",E1867="Essential Hypertension",E1867="Angina Pectoris",E1867="Bronchial Asthma",E1867="Cardiac Arrhythmia"), D1867+30,
OR(E1867="Gastritis",E1867="Osteoarthritis",E1867="Bronchitis",E1867="Iron Deficiency Anemia"), D1867+14,
OR(E1867="Lumbar Strain",E1867="Migraine Headache"), D1867+7,
OR(E1867="Viral Fever",E1867="General Checkup","Routine Health Check"), "",
TRUE,""
)</f>
        <v/>
      </c>
      <c r="I1867" s="1" t="str">
        <f t="shared" si="58"/>
        <v>No Follow-up Required</v>
      </c>
      <c r="J1867" t="str">
        <f>TEXT(Table8[[#This Row],[visit_Date]],"DDDD")</f>
        <v>Sunday</v>
      </c>
      <c r="K1867" t="str">
        <f>TEXT(Table8[[#This Row],[visit_Date]],"mmmm")</f>
        <v>May</v>
      </c>
      <c r="L1867" t="str">
        <f t="shared" si="59"/>
        <v>Summer</v>
      </c>
    </row>
    <row r="1868" spans="1:12" x14ac:dyDescent="0.25">
      <c r="A1868">
        <v>1867</v>
      </c>
      <c r="B1868">
        <v>1046</v>
      </c>
      <c r="C1868">
        <v>611</v>
      </c>
      <c r="D1868" s="1">
        <v>45783</v>
      </c>
      <c r="E1868" t="s">
        <v>24</v>
      </c>
      <c r="F1868" t="s">
        <v>321</v>
      </c>
      <c r="G1868" t="str">
        <f>_xlfn.XLOOKUP(TRIM(E1869),MedicineInfo!A:A,MedicineInfo!B:B,"Not Found")</f>
        <v>Paracetamol</v>
      </c>
      <c r="H1868" s="1" t="str" cm="1">
        <f t="array" ref="H1868">_xlfn.IFS(
OR(E1868="Type 2 Diabetes",E1868="Essential Hypertension",E1868="Angina Pectoris",E1868="Bronchial Asthma",E1868="Cardiac Arrhythmia"), D1868+30,
OR(E1868="Gastritis",E1868="Osteoarthritis",E1868="Bronchitis",E1868="Iron Deficiency Anemia"), D1868+14,
OR(E1868="Lumbar Strain",E1868="Migraine Headache"), D1868+7,
OR(E1868="Viral Fever",E1868="General Checkup","Routine Health Check"), "",
TRUE,""
)</f>
        <v/>
      </c>
      <c r="I1868" s="1" t="str">
        <f t="shared" si="58"/>
        <v>No Follow-up Required</v>
      </c>
      <c r="J1868" t="str">
        <f>TEXT(Table8[[#This Row],[visit_Date]],"DDDD")</f>
        <v>Tuesday</v>
      </c>
      <c r="K1868" t="str">
        <f>TEXT(Table8[[#This Row],[visit_Date]],"mmmm")</f>
        <v>May</v>
      </c>
      <c r="L1868" t="str">
        <f t="shared" si="59"/>
        <v>Summer</v>
      </c>
    </row>
    <row r="1869" spans="1:12" x14ac:dyDescent="0.25">
      <c r="A1869">
        <v>1868</v>
      </c>
      <c r="B1869">
        <v>1037</v>
      </c>
      <c r="C1869">
        <v>1020</v>
      </c>
      <c r="D1869" s="1">
        <v>45799</v>
      </c>
      <c r="E1869" t="s">
        <v>326</v>
      </c>
      <c r="F1869" t="s">
        <v>327</v>
      </c>
      <c r="G1869" t="str">
        <f>_xlfn.XLOOKUP(TRIM(E1870),MedicineInfo!A:A,MedicineInfo!B:B,"Not Found")</f>
        <v>Multivitamin</v>
      </c>
      <c r="H1869" s="1" t="str" cm="1">
        <f t="array" ref="H1869">_xlfn.IFS(
OR(E1869="Type 2 Diabetes",E1869="Essential Hypertension",E1869="Angina Pectoris",E1869="Bronchial Asthma",E1869="Cardiac Arrhythmia"), D1869+30,
OR(E1869="Gastritis",E1869="Osteoarthritis",E1869="Bronchitis",E1869="Iron Deficiency Anemia"), D1869+14,
OR(E1869="Lumbar Strain",E1869="Migraine Headache"), D1869+7,
OR(E1869="Viral Fever",E1869="General Checkup","Routine Health Check"), "",
TRUE,""
)</f>
        <v/>
      </c>
      <c r="I1869" s="1" t="str">
        <f t="shared" si="58"/>
        <v>No Follow-up Required</v>
      </c>
      <c r="J1869" t="str">
        <f>TEXT(Table8[[#This Row],[visit_Date]],"DDDD")</f>
        <v>Thursday</v>
      </c>
      <c r="K1869" t="str">
        <f>TEXT(Table8[[#This Row],[visit_Date]],"mmmm")</f>
        <v>May</v>
      </c>
      <c r="L1869" t="str">
        <f t="shared" si="59"/>
        <v>Summer</v>
      </c>
    </row>
    <row r="1870" spans="1:12" x14ac:dyDescent="0.25">
      <c r="A1870">
        <v>1869</v>
      </c>
      <c r="B1870">
        <v>1304</v>
      </c>
      <c r="C1870">
        <v>1305</v>
      </c>
      <c r="D1870" s="1">
        <v>45777</v>
      </c>
      <c r="E1870" t="s">
        <v>24</v>
      </c>
      <c r="F1870" t="s">
        <v>321</v>
      </c>
      <c r="G1870" t="str">
        <f>_xlfn.XLOOKUP(TRIM(E1871),MedicineInfo!A:A,MedicineInfo!B:B,"Not Found")</f>
        <v>Neuro Vitamins</v>
      </c>
      <c r="H1870" s="1" t="str" cm="1">
        <f t="array" ref="H1870">_xlfn.IFS(
OR(E1870="Type 2 Diabetes",E1870="Essential Hypertension",E1870="Angina Pectoris",E1870="Bronchial Asthma",E1870="Cardiac Arrhythmia"), D1870+30,
OR(E1870="Gastritis",E1870="Osteoarthritis",E1870="Bronchitis",E1870="Iron Deficiency Anemia"), D1870+14,
OR(E1870="Lumbar Strain",E1870="Migraine Headache"), D1870+7,
OR(E1870="Viral Fever",E1870="General Checkup","Routine Health Check"), "",
TRUE,""
)</f>
        <v/>
      </c>
      <c r="I1870" s="1" t="str">
        <f t="shared" si="58"/>
        <v>No Follow-up Required</v>
      </c>
      <c r="J1870" t="str">
        <f>TEXT(Table8[[#This Row],[visit_Date]],"DDDD")</f>
        <v>Wednesday</v>
      </c>
      <c r="K1870" t="str">
        <f>TEXT(Table8[[#This Row],[visit_Date]],"mmmm")</f>
        <v>April</v>
      </c>
      <c r="L1870" t="str">
        <f t="shared" si="59"/>
        <v>Summer</v>
      </c>
    </row>
    <row r="1871" spans="1:12" x14ac:dyDescent="0.25">
      <c r="A1871">
        <v>1870</v>
      </c>
      <c r="B1871">
        <v>1165</v>
      </c>
      <c r="C1871">
        <v>1196</v>
      </c>
      <c r="D1871" s="1">
        <v>45672</v>
      </c>
      <c r="E1871" t="s">
        <v>342</v>
      </c>
      <c r="F1871" t="s">
        <v>343</v>
      </c>
      <c r="G1871" t="str">
        <f>_xlfn.XLOOKUP(TRIM(E1872),MedicineInfo!A:A,MedicineInfo!B:B,"Not Found")</f>
        <v>Ferrous Sulfate</v>
      </c>
      <c r="H1871" s="1" t="str" cm="1">
        <f t="array" ref="H1871">_xlfn.IFS(
OR(E1871="Type 2 Diabetes",E1871="Essential Hypertension",E1871="Angina Pectoris",E1871="Bronchial Asthma",E1871="Cardiac Arrhythmia"), D1871+30,
OR(E1871="Gastritis",E1871="Osteoarthritis",E1871="Bronchitis",E1871="Iron Deficiency Anemia"), D1871+14,
OR(E1871="Lumbar Strain",E1871="Migraine Headache"), D1871+7,
OR(E1871="Viral Fever",E1871="General Checkup","Routine Health Check"), "",
TRUE,""
)</f>
        <v/>
      </c>
      <c r="I1871" s="1" t="str">
        <f t="shared" si="58"/>
        <v>No Follow-up Required</v>
      </c>
      <c r="J1871" t="str">
        <f>TEXT(Table8[[#This Row],[visit_Date]],"DDDD")</f>
        <v>Wednesday</v>
      </c>
      <c r="K1871" t="str">
        <f>TEXT(Table8[[#This Row],[visit_Date]],"mmmm")</f>
        <v>January</v>
      </c>
      <c r="L1871" t="str">
        <f t="shared" si="59"/>
        <v>Winter</v>
      </c>
    </row>
    <row r="1872" spans="1:12" x14ac:dyDescent="0.25">
      <c r="A1872">
        <v>1871</v>
      </c>
      <c r="B1872">
        <v>1303</v>
      </c>
      <c r="C1872">
        <v>1142</v>
      </c>
      <c r="D1872" s="1">
        <v>45759</v>
      </c>
      <c r="E1872" t="s">
        <v>358</v>
      </c>
      <c r="F1872" t="s">
        <v>359</v>
      </c>
      <c r="G1872" t="str">
        <f>_xlfn.XLOOKUP(TRIM(E1873),MedicineInfo!A:A,MedicineInfo!B:B,"Not Found")</f>
        <v>Multivitamin</v>
      </c>
      <c r="H1872" s="1" cm="1">
        <f t="array" ref="H1872">_xlfn.IFS(
OR(E1872="Type 2 Diabetes",E1872="Essential Hypertension",E1872="Angina Pectoris",E1872="Bronchial Asthma",E1872="Cardiac Arrhythmia"), D1872+30,
OR(E1872="Gastritis",E1872="Osteoarthritis",E1872="Bronchitis",E1872="Iron Deficiency Anemia"), D1872+14,
OR(E1872="Lumbar Strain",E1872="Migraine Headache"), D1872+7,
OR(E1872="Viral Fever",E1872="General Checkup","Routine Health Check"), "",
TRUE,""
)</f>
        <v>45773</v>
      </c>
      <c r="I1872" s="1" t="str">
        <f t="shared" si="58"/>
        <v>Follow-up Scheduled</v>
      </c>
      <c r="J1872" t="str">
        <f>TEXT(Table8[[#This Row],[visit_Date]],"DDDD")</f>
        <v>Saturday</v>
      </c>
      <c r="K1872" t="str">
        <f>TEXT(Table8[[#This Row],[visit_Date]],"mmmm")</f>
        <v>April</v>
      </c>
      <c r="L1872" t="str">
        <f t="shared" si="59"/>
        <v>Summer</v>
      </c>
    </row>
    <row r="1873" spans="1:12" x14ac:dyDescent="0.25">
      <c r="A1873">
        <v>1872</v>
      </c>
      <c r="B1873">
        <v>1029</v>
      </c>
      <c r="C1873">
        <v>545</v>
      </c>
      <c r="D1873" s="1">
        <v>45687</v>
      </c>
      <c r="E1873" t="s">
        <v>24</v>
      </c>
      <c r="F1873" t="s">
        <v>321</v>
      </c>
      <c r="G1873" t="str">
        <f>_xlfn.XLOOKUP(TRIM(E1874),MedicineInfo!A:A,MedicineInfo!B:B,"Not Found")</f>
        <v>Multivitamin</v>
      </c>
      <c r="H1873" s="1" t="str" cm="1">
        <f t="array" ref="H1873">_xlfn.IFS(
OR(E1873="Type 2 Diabetes",E1873="Essential Hypertension",E1873="Angina Pectoris",E1873="Bronchial Asthma",E1873="Cardiac Arrhythmia"), D1873+30,
OR(E1873="Gastritis",E1873="Osteoarthritis",E1873="Bronchitis",E1873="Iron Deficiency Anemia"), D1873+14,
OR(E1873="Lumbar Strain",E1873="Migraine Headache"), D1873+7,
OR(E1873="Viral Fever",E1873="General Checkup","Routine Health Check"), "",
TRUE,""
)</f>
        <v/>
      </c>
      <c r="I1873" s="1" t="str">
        <f t="shared" si="58"/>
        <v>No Follow-up Required</v>
      </c>
      <c r="J1873" t="str">
        <f>TEXT(Table8[[#This Row],[visit_Date]],"DDDD")</f>
        <v>Thursday</v>
      </c>
      <c r="K1873" t="str">
        <f>TEXT(Table8[[#This Row],[visit_Date]],"mmmm")</f>
        <v>January</v>
      </c>
      <c r="L1873" t="str">
        <f t="shared" si="59"/>
        <v>Winter</v>
      </c>
    </row>
    <row r="1874" spans="1:12" x14ac:dyDescent="0.25">
      <c r="A1874">
        <v>1873</v>
      </c>
      <c r="B1874">
        <v>1316</v>
      </c>
      <c r="C1874">
        <v>666</v>
      </c>
      <c r="D1874" s="1">
        <v>45791</v>
      </c>
      <c r="E1874" t="s">
        <v>24</v>
      </c>
      <c r="F1874" t="s">
        <v>321</v>
      </c>
      <c r="G1874" t="str">
        <f>_xlfn.XLOOKUP(TRIM(E1875),MedicineInfo!A:A,MedicineInfo!B:B,"Not Found")</f>
        <v>Multivitamin</v>
      </c>
      <c r="H1874" s="1" t="str" cm="1">
        <f t="array" ref="H1874">_xlfn.IFS(
OR(E1874="Type 2 Diabetes",E1874="Essential Hypertension",E1874="Angina Pectoris",E1874="Bronchial Asthma",E1874="Cardiac Arrhythmia"), D1874+30,
OR(E1874="Gastritis",E1874="Osteoarthritis",E1874="Bronchitis",E1874="Iron Deficiency Anemia"), D1874+14,
OR(E1874="Lumbar Strain",E1874="Migraine Headache"), D1874+7,
OR(E1874="Viral Fever",E1874="General Checkup","Routine Health Check"), "",
TRUE,""
)</f>
        <v/>
      </c>
      <c r="I1874" s="1" t="str">
        <f t="shared" si="58"/>
        <v>No Follow-up Required</v>
      </c>
      <c r="J1874" t="str">
        <f>TEXT(Table8[[#This Row],[visit_Date]],"DDDD")</f>
        <v>Wednesday</v>
      </c>
      <c r="K1874" t="str">
        <f>TEXT(Table8[[#This Row],[visit_Date]],"mmmm")</f>
        <v>May</v>
      </c>
      <c r="L1874" t="str">
        <f t="shared" si="59"/>
        <v>Summer</v>
      </c>
    </row>
    <row r="1875" spans="1:12" x14ac:dyDescent="0.25">
      <c r="A1875">
        <v>1874</v>
      </c>
      <c r="B1875">
        <v>1011</v>
      </c>
      <c r="C1875">
        <v>1120</v>
      </c>
      <c r="D1875" s="1">
        <v>45757</v>
      </c>
      <c r="E1875" t="s">
        <v>24</v>
      </c>
      <c r="F1875" t="s">
        <v>321</v>
      </c>
      <c r="G1875" t="str">
        <f>_xlfn.XLOOKUP(TRIM(E1876),MedicineInfo!A:A,MedicineInfo!B:B,"Not Found")</f>
        <v>Multivitamin</v>
      </c>
      <c r="H1875" s="1" t="str" cm="1">
        <f t="array" ref="H1875">_xlfn.IFS(
OR(E1875="Type 2 Diabetes",E1875="Essential Hypertension",E1875="Angina Pectoris",E1875="Bronchial Asthma",E1875="Cardiac Arrhythmia"), D1875+30,
OR(E1875="Gastritis",E1875="Osteoarthritis",E1875="Bronchitis",E1875="Iron Deficiency Anemia"), D1875+14,
OR(E1875="Lumbar Strain",E1875="Migraine Headache"), D1875+7,
OR(E1875="Viral Fever",E1875="General Checkup","Routine Health Check"), "",
TRUE,""
)</f>
        <v/>
      </c>
      <c r="I1875" s="1" t="str">
        <f t="shared" si="58"/>
        <v>No Follow-up Required</v>
      </c>
      <c r="J1875" t="str">
        <f>TEXT(Table8[[#This Row],[visit_Date]],"DDDD")</f>
        <v>Thursday</v>
      </c>
      <c r="K1875" t="str">
        <f>TEXT(Table8[[#This Row],[visit_Date]],"mmmm")</f>
        <v>April</v>
      </c>
      <c r="L1875" t="str">
        <f t="shared" si="59"/>
        <v>Summer</v>
      </c>
    </row>
    <row r="1876" spans="1:12" x14ac:dyDescent="0.25">
      <c r="A1876">
        <v>1875</v>
      </c>
      <c r="B1876">
        <v>1145</v>
      </c>
      <c r="C1876">
        <v>463</v>
      </c>
      <c r="D1876" s="1">
        <v>45694</v>
      </c>
      <c r="E1876" t="s">
        <v>24</v>
      </c>
      <c r="F1876" t="s">
        <v>321</v>
      </c>
      <c r="G1876" t="str">
        <f>_xlfn.XLOOKUP(TRIM(E1877),MedicineInfo!A:A,MedicineInfo!B:B,"Not Found")</f>
        <v>Sumatriptan</v>
      </c>
      <c r="H1876" s="1" t="str" cm="1">
        <f t="array" ref="H1876">_xlfn.IFS(
OR(E1876="Type 2 Diabetes",E1876="Essential Hypertension",E1876="Angina Pectoris",E1876="Bronchial Asthma",E1876="Cardiac Arrhythmia"), D1876+30,
OR(E1876="Gastritis",E1876="Osteoarthritis",E1876="Bronchitis",E1876="Iron Deficiency Anemia"), D1876+14,
OR(E1876="Lumbar Strain",E1876="Migraine Headache"), D1876+7,
OR(E1876="Viral Fever",E1876="General Checkup","Routine Health Check"), "",
TRUE,""
)</f>
        <v/>
      </c>
      <c r="I1876" s="1" t="str">
        <f t="shared" si="58"/>
        <v>No Follow-up Required</v>
      </c>
      <c r="J1876" t="str">
        <f>TEXT(Table8[[#This Row],[visit_Date]],"DDDD")</f>
        <v>Thursday</v>
      </c>
      <c r="K1876" t="str">
        <f>TEXT(Table8[[#This Row],[visit_Date]],"mmmm")</f>
        <v>February</v>
      </c>
      <c r="L1876" t="str">
        <f t="shared" si="59"/>
        <v>Winter</v>
      </c>
    </row>
    <row r="1877" spans="1:12" x14ac:dyDescent="0.25">
      <c r="A1877">
        <v>1876</v>
      </c>
      <c r="B1877">
        <v>1018</v>
      </c>
      <c r="C1877">
        <v>972</v>
      </c>
      <c r="D1877" s="1">
        <v>45814</v>
      </c>
      <c r="E1877" t="s">
        <v>315</v>
      </c>
      <c r="F1877" t="s">
        <v>316</v>
      </c>
      <c r="G1877" t="str">
        <f>_xlfn.XLOOKUP(TRIM(E1878),MedicineInfo!A:A,MedicineInfo!B:B,"Not Found")</f>
        <v>Multivitamin</v>
      </c>
      <c r="H1877" s="1" cm="1">
        <f t="array" ref="H1877">_xlfn.IFS(
OR(E1877="Type 2 Diabetes",E1877="Essential Hypertension",E1877="Angina Pectoris",E1877="Bronchial Asthma",E1877="Cardiac Arrhythmia"), D1877+30,
OR(E1877="Gastritis",E1877="Osteoarthritis",E1877="Bronchitis",E1877="Iron Deficiency Anemia"), D1877+14,
OR(E1877="Lumbar Strain",E1877="Migraine Headache"), D1877+7,
OR(E1877="Viral Fever",E1877="General Checkup","Routine Health Check"), "",
TRUE,""
)</f>
        <v>45821</v>
      </c>
      <c r="I1877" s="1" t="str">
        <f t="shared" si="58"/>
        <v>Follow-up Scheduled</v>
      </c>
      <c r="J1877" t="str">
        <f>TEXT(Table8[[#This Row],[visit_Date]],"DDDD")</f>
        <v>Friday</v>
      </c>
      <c r="K1877" t="str">
        <f>TEXT(Table8[[#This Row],[visit_Date]],"mmmm")</f>
        <v>June</v>
      </c>
      <c r="L1877" t="str">
        <f t="shared" si="59"/>
        <v>Monsoon</v>
      </c>
    </row>
    <row r="1878" spans="1:12" x14ac:dyDescent="0.25">
      <c r="A1878">
        <v>1877</v>
      </c>
      <c r="B1878">
        <v>1359</v>
      </c>
      <c r="C1878">
        <v>1005</v>
      </c>
      <c r="D1878" s="1">
        <v>45783</v>
      </c>
      <c r="E1878" t="s">
        <v>24</v>
      </c>
      <c r="F1878" t="s">
        <v>321</v>
      </c>
      <c r="G1878" t="str">
        <f>_xlfn.XLOOKUP(TRIM(E1879),MedicineInfo!A:A,MedicineInfo!B:B,"Not Found")</f>
        <v>Donepezil</v>
      </c>
      <c r="H1878" s="1" t="str" cm="1">
        <f t="array" ref="H1878">_xlfn.IFS(
OR(E1878="Type 2 Diabetes",E1878="Essential Hypertension",E1878="Angina Pectoris",E1878="Bronchial Asthma",E1878="Cardiac Arrhythmia"), D1878+30,
OR(E1878="Gastritis",E1878="Osteoarthritis",E1878="Bronchitis",E1878="Iron Deficiency Anemia"), D1878+14,
OR(E1878="Lumbar Strain",E1878="Migraine Headache"), D1878+7,
OR(E1878="Viral Fever",E1878="General Checkup","Routine Health Check"), "",
TRUE,""
)</f>
        <v/>
      </c>
      <c r="I1878" s="1" t="str">
        <f t="shared" si="58"/>
        <v>No Follow-up Required</v>
      </c>
      <c r="J1878" t="str">
        <f>TEXT(Table8[[#This Row],[visit_Date]],"DDDD")</f>
        <v>Tuesday</v>
      </c>
      <c r="K1878" t="str">
        <f>TEXT(Table8[[#This Row],[visit_Date]],"mmmm")</f>
        <v>May</v>
      </c>
      <c r="L1878" t="str">
        <f t="shared" si="59"/>
        <v>Summer</v>
      </c>
    </row>
    <row r="1879" spans="1:12" x14ac:dyDescent="0.25">
      <c r="A1879">
        <v>1878</v>
      </c>
      <c r="B1879">
        <v>1269</v>
      </c>
      <c r="C1879">
        <v>822</v>
      </c>
      <c r="D1879" s="1">
        <v>45806</v>
      </c>
      <c r="E1879" t="s">
        <v>350</v>
      </c>
      <c r="F1879" t="s">
        <v>351</v>
      </c>
      <c r="G1879" t="str">
        <f>_xlfn.XLOOKUP(TRIM(E1880),MedicineInfo!A:A,MedicineInfo!B:B,"Not Found")</f>
        <v>Multivitamin</v>
      </c>
      <c r="H1879" s="1" t="str" cm="1">
        <f t="array" ref="H1879">_xlfn.IFS(
OR(E1879="Type 2 Diabetes",E1879="Essential Hypertension",E1879="Angina Pectoris",E1879="Bronchial Asthma",E1879="Cardiac Arrhythmia"), D1879+30,
OR(E1879="Gastritis",E1879="Osteoarthritis",E1879="Bronchitis",E1879="Iron Deficiency Anemia"), D1879+14,
OR(E1879="Lumbar Strain",E1879="Migraine Headache"), D1879+7,
OR(E1879="Viral Fever",E1879="General Checkup","Routine Health Check"), "",
TRUE,""
)</f>
        <v/>
      </c>
      <c r="I1879" s="1" t="str">
        <f t="shared" si="58"/>
        <v>No Follow-up Required</v>
      </c>
      <c r="J1879" t="str">
        <f>TEXT(Table8[[#This Row],[visit_Date]],"DDDD")</f>
        <v>Thursday</v>
      </c>
      <c r="K1879" t="str">
        <f>TEXT(Table8[[#This Row],[visit_Date]],"mmmm")</f>
        <v>May</v>
      </c>
      <c r="L1879" t="str">
        <f t="shared" si="59"/>
        <v>Summer</v>
      </c>
    </row>
    <row r="1880" spans="1:12" x14ac:dyDescent="0.25">
      <c r="A1880">
        <v>1879</v>
      </c>
      <c r="B1880">
        <v>1396</v>
      </c>
      <c r="C1880">
        <v>1192</v>
      </c>
      <c r="D1880" s="1">
        <v>45846</v>
      </c>
      <c r="E1880" t="s">
        <v>24</v>
      </c>
      <c r="F1880" t="s">
        <v>321</v>
      </c>
      <c r="G1880" t="str">
        <f>_xlfn.XLOOKUP(TRIM(E1881),MedicineInfo!A:A,MedicineInfo!B:B,"Not Found")</f>
        <v>Multivitamin</v>
      </c>
      <c r="H1880" s="1" t="str" cm="1">
        <f t="array" ref="H1880">_xlfn.IFS(
OR(E1880="Type 2 Diabetes",E1880="Essential Hypertension",E1880="Angina Pectoris",E1880="Bronchial Asthma",E1880="Cardiac Arrhythmia"), D1880+30,
OR(E1880="Gastritis",E1880="Osteoarthritis",E1880="Bronchitis",E1880="Iron Deficiency Anemia"), D1880+14,
OR(E1880="Lumbar Strain",E1880="Migraine Headache"), D1880+7,
OR(E1880="Viral Fever",E1880="General Checkup","Routine Health Check"), "",
TRUE,""
)</f>
        <v/>
      </c>
      <c r="I1880" s="1" t="str">
        <f t="shared" si="58"/>
        <v>No Follow-up Required</v>
      </c>
      <c r="J1880" t="str">
        <f>TEXT(Table8[[#This Row],[visit_Date]],"DDDD")</f>
        <v>Tuesday</v>
      </c>
      <c r="K1880" t="str">
        <f>TEXT(Table8[[#This Row],[visit_Date]],"mmmm")</f>
        <v>July</v>
      </c>
      <c r="L1880" t="str">
        <f t="shared" si="59"/>
        <v>Monsoon</v>
      </c>
    </row>
    <row r="1881" spans="1:12" x14ac:dyDescent="0.25">
      <c r="A1881">
        <v>1880</v>
      </c>
      <c r="B1881">
        <v>1175</v>
      </c>
      <c r="C1881">
        <v>1023</v>
      </c>
      <c r="D1881" s="1">
        <v>45799</v>
      </c>
      <c r="E1881" t="s">
        <v>24</v>
      </c>
      <c r="F1881" t="s">
        <v>321</v>
      </c>
      <c r="G1881" t="str">
        <f>_xlfn.XLOOKUP(TRIM(E1882),MedicineInfo!A:A,MedicineInfo!B:B,"Not Found")</f>
        <v>Multivitamin</v>
      </c>
      <c r="H1881" s="1" t="str" cm="1">
        <f t="array" ref="H1881">_xlfn.IFS(
OR(E1881="Type 2 Diabetes",E1881="Essential Hypertension",E1881="Angina Pectoris",E1881="Bronchial Asthma",E1881="Cardiac Arrhythmia"), D1881+30,
OR(E1881="Gastritis",E1881="Osteoarthritis",E1881="Bronchitis",E1881="Iron Deficiency Anemia"), D1881+14,
OR(E1881="Lumbar Strain",E1881="Migraine Headache"), D1881+7,
OR(E1881="Viral Fever",E1881="General Checkup","Routine Health Check"), "",
TRUE,""
)</f>
        <v/>
      </c>
      <c r="I1881" s="1" t="str">
        <f t="shared" si="58"/>
        <v>No Follow-up Required</v>
      </c>
      <c r="J1881" t="str">
        <f>TEXT(Table8[[#This Row],[visit_Date]],"DDDD")</f>
        <v>Thursday</v>
      </c>
      <c r="K1881" t="str">
        <f>TEXT(Table8[[#This Row],[visit_Date]],"mmmm")</f>
        <v>May</v>
      </c>
      <c r="L1881" t="str">
        <f t="shared" si="59"/>
        <v>Summer</v>
      </c>
    </row>
    <row r="1882" spans="1:12" x14ac:dyDescent="0.25">
      <c r="A1882">
        <v>1881</v>
      </c>
      <c r="B1882">
        <v>1155</v>
      </c>
      <c r="C1882">
        <v>913</v>
      </c>
      <c r="D1882" s="1">
        <v>45845</v>
      </c>
      <c r="E1882" t="s">
        <v>24</v>
      </c>
      <c r="F1882" t="s">
        <v>321</v>
      </c>
      <c r="G1882" t="str">
        <f>_xlfn.XLOOKUP(TRIM(E1883),MedicineInfo!A:A,MedicineInfo!B:B,"Not Found")</f>
        <v>Multivitamin</v>
      </c>
      <c r="H1882" s="1" t="str" cm="1">
        <f t="array" ref="H1882">_xlfn.IFS(
OR(E1882="Type 2 Diabetes",E1882="Essential Hypertension",E1882="Angina Pectoris",E1882="Bronchial Asthma",E1882="Cardiac Arrhythmia"), D1882+30,
OR(E1882="Gastritis",E1882="Osteoarthritis",E1882="Bronchitis",E1882="Iron Deficiency Anemia"), D1882+14,
OR(E1882="Lumbar Strain",E1882="Migraine Headache"), D1882+7,
OR(E1882="Viral Fever",E1882="General Checkup","Routine Health Check"), "",
TRUE,""
)</f>
        <v/>
      </c>
      <c r="I1882" s="1" t="str">
        <f t="shared" si="58"/>
        <v>No Follow-up Required</v>
      </c>
      <c r="J1882" t="str">
        <f>TEXT(Table8[[#This Row],[visit_Date]],"DDDD")</f>
        <v>Monday</v>
      </c>
      <c r="K1882" t="str">
        <f>TEXT(Table8[[#This Row],[visit_Date]],"mmmm")</f>
        <v>July</v>
      </c>
      <c r="L1882" t="str">
        <f t="shared" si="59"/>
        <v>Monsoon</v>
      </c>
    </row>
    <row r="1883" spans="1:12" x14ac:dyDescent="0.25">
      <c r="A1883">
        <v>1882</v>
      </c>
      <c r="B1883">
        <v>1022</v>
      </c>
      <c r="C1883">
        <v>685</v>
      </c>
      <c r="D1883" s="1">
        <v>45777</v>
      </c>
      <c r="E1883" t="s">
        <v>24</v>
      </c>
      <c r="F1883" t="s">
        <v>321</v>
      </c>
      <c r="G1883" t="str">
        <f>_xlfn.XLOOKUP(TRIM(E1884),MedicineInfo!A:A,MedicineInfo!B:B,"Not Found")</f>
        <v>Multivitamin</v>
      </c>
      <c r="H1883" s="1" t="str" cm="1">
        <f t="array" ref="H1883">_xlfn.IFS(
OR(E1883="Type 2 Diabetes",E1883="Essential Hypertension",E1883="Angina Pectoris",E1883="Bronchial Asthma",E1883="Cardiac Arrhythmia"), D1883+30,
OR(E1883="Gastritis",E1883="Osteoarthritis",E1883="Bronchitis",E1883="Iron Deficiency Anemia"), D1883+14,
OR(E1883="Lumbar Strain",E1883="Migraine Headache"), D1883+7,
OR(E1883="Viral Fever",E1883="General Checkup","Routine Health Check"), "",
TRUE,""
)</f>
        <v/>
      </c>
      <c r="I1883" s="1" t="str">
        <f t="shared" si="58"/>
        <v>No Follow-up Required</v>
      </c>
      <c r="J1883" t="str">
        <f>TEXT(Table8[[#This Row],[visit_Date]],"DDDD")</f>
        <v>Wednesday</v>
      </c>
      <c r="K1883" t="str">
        <f>TEXT(Table8[[#This Row],[visit_Date]],"mmmm")</f>
        <v>April</v>
      </c>
      <c r="L1883" t="str">
        <f t="shared" si="59"/>
        <v>Summer</v>
      </c>
    </row>
    <row r="1884" spans="1:12" x14ac:dyDescent="0.25">
      <c r="A1884">
        <v>1883</v>
      </c>
      <c r="B1884">
        <v>1066</v>
      </c>
      <c r="C1884">
        <v>196</v>
      </c>
      <c r="D1884" s="1">
        <v>45694</v>
      </c>
      <c r="E1884" t="s">
        <v>24</v>
      </c>
      <c r="F1884" t="s">
        <v>321</v>
      </c>
      <c r="G1884" t="str">
        <f>_xlfn.XLOOKUP(TRIM(E1885),MedicineInfo!A:A,MedicineInfo!B:B,"Not Found")</f>
        <v>Multivitamin</v>
      </c>
      <c r="H1884" s="1" t="str" cm="1">
        <f t="array" ref="H1884">_xlfn.IFS(
OR(E1884="Type 2 Diabetes",E1884="Essential Hypertension",E1884="Angina Pectoris",E1884="Bronchial Asthma",E1884="Cardiac Arrhythmia"), D1884+30,
OR(E1884="Gastritis",E1884="Osteoarthritis",E1884="Bronchitis",E1884="Iron Deficiency Anemia"), D1884+14,
OR(E1884="Lumbar Strain",E1884="Migraine Headache"), D1884+7,
OR(E1884="Viral Fever",E1884="General Checkup","Routine Health Check"), "",
TRUE,""
)</f>
        <v/>
      </c>
      <c r="I1884" s="1" t="str">
        <f t="shared" si="58"/>
        <v>No Follow-up Required</v>
      </c>
      <c r="J1884" t="str">
        <f>TEXT(Table8[[#This Row],[visit_Date]],"DDDD")</f>
        <v>Thursday</v>
      </c>
      <c r="K1884" t="str">
        <f>TEXT(Table8[[#This Row],[visit_Date]],"mmmm")</f>
        <v>February</v>
      </c>
      <c r="L1884" t="str">
        <f t="shared" si="59"/>
        <v>Winter</v>
      </c>
    </row>
    <row r="1885" spans="1:12" x14ac:dyDescent="0.25">
      <c r="A1885">
        <v>1884</v>
      </c>
      <c r="B1885">
        <v>1252</v>
      </c>
      <c r="C1885">
        <v>1165</v>
      </c>
      <c r="D1885" s="1">
        <v>45814</v>
      </c>
      <c r="E1885" t="s">
        <v>24</v>
      </c>
      <c r="F1885" t="s">
        <v>321</v>
      </c>
      <c r="G1885" t="str">
        <f>_xlfn.XLOOKUP(TRIM(E1886),MedicineInfo!A:A,MedicineInfo!B:B,"Not Found")</f>
        <v>Diclofenac</v>
      </c>
      <c r="H1885" s="1" t="str" cm="1">
        <f t="array" ref="H1885">_xlfn.IFS(
OR(E1885="Type 2 Diabetes",E1885="Essential Hypertension",E1885="Angina Pectoris",E1885="Bronchial Asthma",E1885="Cardiac Arrhythmia"), D1885+30,
OR(E1885="Gastritis",E1885="Osteoarthritis",E1885="Bronchitis",E1885="Iron Deficiency Anemia"), D1885+14,
OR(E1885="Lumbar Strain",E1885="Migraine Headache"), D1885+7,
OR(E1885="Viral Fever",E1885="General Checkup","Routine Health Check"), "",
TRUE,""
)</f>
        <v/>
      </c>
      <c r="I1885" s="1" t="str">
        <f t="shared" si="58"/>
        <v>No Follow-up Required</v>
      </c>
      <c r="J1885" t="str">
        <f>TEXT(Table8[[#This Row],[visit_Date]],"DDDD")</f>
        <v>Friday</v>
      </c>
      <c r="K1885" t="str">
        <f>TEXT(Table8[[#This Row],[visit_Date]],"mmmm")</f>
        <v>June</v>
      </c>
      <c r="L1885" t="str">
        <f t="shared" si="59"/>
        <v>Monsoon</v>
      </c>
    </row>
    <row r="1886" spans="1:12" x14ac:dyDescent="0.25">
      <c r="A1886">
        <v>1885</v>
      </c>
      <c r="B1886">
        <v>1238</v>
      </c>
      <c r="C1886">
        <v>1313</v>
      </c>
      <c r="D1886" s="1">
        <v>45777</v>
      </c>
      <c r="E1886" t="s">
        <v>313</v>
      </c>
      <c r="F1886" t="s">
        <v>314</v>
      </c>
      <c r="G1886" t="str">
        <f>_xlfn.XLOOKUP(TRIM(E1887),MedicineInfo!A:A,MedicineInfo!B:B,"Not Found")</f>
        <v>Multivitamin</v>
      </c>
      <c r="H1886" s="1" cm="1">
        <f t="array" ref="H1886">_xlfn.IFS(
OR(E1886="Type 2 Diabetes",E1886="Essential Hypertension",E1886="Angina Pectoris",E1886="Bronchial Asthma",E1886="Cardiac Arrhythmia"), D1886+30,
OR(E1886="Gastritis",E1886="Osteoarthritis",E1886="Bronchitis",E1886="Iron Deficiency Anemia"), D1886+14,
OR(E1886="Lumbar Strain",E1886="Migraine Headache"), D1886+7,
OR(E1886="Viral Fever",E1886="General Checkup","Routine Health Check"), "",
TRUE,""
)</f>
        <v>45784</v>
      </c>
      <c r="I1886" s="1" t="str">
        <f t="shared" si="58"/>
        <v>Follow-up Scheduled</v>
      </c>
      <c r="J1886" t="str">
        <f>TEXT(Table8[[#This Row],[visit_Date]],"DDDD")</f>
        <v>Wednesday</v>
      </c>
      <c r="K1886" t="str">
        <f>TEXT(Table8[[#This Row],[visit_Date]],"mmmm")</f>
        <v>April</v>
      </c>
      <c r="L1886" t="str">
        <f t="shared" si="59"/>
        <v>Summer</v>
      </c>
    </row>
    <row r="1887" spans="1:12" x14ac:dyDescent="0.25">
      <c r="A1887">
        <v>1886</v>
      </c>
      <c r="B1887">
        <v>1038</v>
      </c>
      <c r="C1887">
        <v>814</v>
      </c>
      <c r="D1887" s="1">
        <v>45830</v>
      </c>
      <c r="E1887" t="s">
        <v>24</v>
      </c>
      <c r="F1887" t="s">
        <v>321</v>
      </c>
      <c r="G1887" t="str">
        <f>_xlfn.XLOOKUP(TRIM(E1888),MedicineInfo!A:A,MedicineInfo!B:B,"Not Found")</f>
        <v>Multivitamin</v>
      </c>
      <c r="H1887" s="1" t="str" cm="1">
        <f t="array" ref="H1887">_xlfn.IFS(
OR(E1887="Type 2 Diabetes",E1887="Essential Hypertension",E1887="Angina Pectoris",E1887="Bronchial Asthma",E1887="Cardiac Arrhythmia"), D1887+30,
OR(E1887="Gastritis",E1887="Osteoarthritis",E1887="Bronchitis",E1887="Iron Deficiency Anemia"), D1887+14,
OR(E1887="Lumbar Strain",E1887="Migraine Headache"), D1887+7,
OR(E1887="Viral Fever",E1887="General Checkup","Routine Health Check"), "",
TRUE,""
)</f>
        <v/>
      </c>
      <c r="I1887" s="1" t="str">
        <f t="shared" si="58"/>
        <v>No Follow-up Required</v>
      </c>
      <c r="J1887" t="str">
        <f>TEXT(Table8[[#This Row],[visit_Date]],"DDDD")</f>
        <v>Sunday</v>
      </c>
      <c r="K1887" t="str">
        <f>TEXT(Table8[[#This Row],[visit_Date]],"mmmm")</f>
        <v>June</v>
      </c>
      <c r="L1887" t="str">
        <f t="shared" si="59"/>
        <v>Monsoon</v>
      </c>
    </row>
    <row r="1888" spans="1:12" x14ac:dyDescent="0.25">
      <c r="A1888">
        <v>1887</v>
      </c>
      <c r="B1888">
        <v>1177</v>
      </c>
      <c r="C1888">
        <v>1519</v>
      </c>
      <c r="D1888" s="1">
        <v>45839</v>
      </c>
      <c r="E1888" t="s">
        <v>24</v>
      </c>
      <c r="F1888" t="s">
        <v>321</v>
      </c>
      <c r="G1888" t="str">
        <f>_xlfn.XLOOKUP(TRIM(E1889),MedicineInfo!A:A,MedicineInfo!B:B,"Not Found")</f>
        <v>Multivitamin</v>
      </c>
      <c r="H1888" s="1" t="str" cm="1">
        <f t="array" ref="H1888">_xlfn.IFS(
OR(E1888="Type 2 Diabetes",E1888="Essential Hypertension",E1888="Angina Pectoris",E1888="Bronchial Asthma",E1888="Cardiac Arrhythmia"), D1888+30,
OR(E1888="Gastritis",E1888="Osteoarthritis",E1888="Bronchitis",E1888="Iron Deficiency Anemia"), D1888+14,
OR(E1888="Lumbar Strain",E1888="Migraine Headache"), D1888+7,
OR(E1888="Viral Fever",E1888="General Checkup","Routine Health Check"), "",
TRUE,""
)</f>
        <v/>
      </c>
      <c r="I1888" s="1" t="str">
        <f t="shared" si="58"/>
        <v>No Follow-up Required</v>
      </c>
      <c r="J1888" t="str">
        <f>TEXT(Table8[[#This Row],[visit_Date]],"DDDD")</f>
        <v>Tuesday</v>
      </c>
      <c r="K1888" t="str">
        <f>TEXT(Table8[[#This Row],[visit_Date]],"mmmm")</f>
        <v>July</v>
      </c>
      <c r="L1888" t="str">
        <f t="shared" si="59"/>
        <v>Monsoon</v>
      </c>
    </row>
    <row r="1889" spans="1:12" x14ac:dyDescent="0.25">
      <c r="A1889">
        <v>1888</v>
      </c>
      <c r="B1889">
        <v>1240</v>
      </c>
      <c r="C1889">
        <v>899</v>
      </c>
      <c r="D1889" s="1">
        <v>45814</v>
      </c>
      <c r="E1889" t="s">
        <v>24</v>
      </c>
      <c r="F1889" t="s">
        <v>321</v>
      </c>
      <c r="G1889" t="str">
        <f>_xlfn.XLOOKUP(TRIM(E1890),MedicineInfo!A:A,MedicineInfo!B:B,"Not Found")</f>
        <v>Multivitamin</v>
      </c>
      <c r="H1889" s="1" t="str" cm="1">
        <f t="array" ref="H1889">_xlfn.IFS(
OR(E1889="Type 2 Diabetes",E1889="Essential Hypertension",E1889="Angina Pectoris",E1889="Bronchial Asthma",E1889="Cardiac Arrhythmia"), D1889+30,
OR(E1889="Gastritis",E1889="Osteoarthritis",E1889="Bronchitis",E1889="Iron Deficiency Anemia"), D1889+14,
OR(E1889="Lumbar Strain",E1889="Migraine Headache"), D1889+7,
OR(E1889="Viral Fever",E1889="General Checkup","Routine Health Check"), "",
TRUE,""
)</f>
        <v/>
      </c>
      <c r="I1889" s="1" t="str">
        <f t="shared" si="58"/>
        <v>No Follow-up Required</v>
      </c>
      <c r="J1889" t="str">
        <f>TEXT(Table8[[#This Row],[visit_Date]],"DDDD")</f>
        <v>Friday</v>
      </c>
      <c r="K1889" t="str">
        <f>TEXT(Table8[[#This Row],[visit_Date]],"mmmm")</f>
        <v>June</v>
      </c>
      <c r="L1889" t="str">
        <f t="shared" si="59"/>
        <v>Monsoon</v>
      </c>
    </row>
    <row r="1890" spans="1:12" x14ac:dyDescent="0.25">
      <c r="A1890">
        <v>1889</v>
      </c>
      <c r="B1890">
        <v>1375</v>
      </c>
      <c r="C1890">
        <v>125</v>
      </c>
      <c r="D1890" s="1">
        <v>45767</v>
      </c>
      <c r="E1890" t="s">
        <v>24</v>
      </c>
      <c r="F1890" t="s">
        <v>321</v>
      </c>
      <c r="G1890" t="str">
        <f>_xlfn.XLOOKUP(TRIM(E1891),MedicineInfo!A:A,MedicineInfo!B:B,"Not Found")</f>
        <v>Multivitamin</v>
      </c>
      <c r="H1890" s="1" t="str" cm="1">
        <f t="array" ref="H1890">_xlfn.IFS(
OR(E1890="Type 2 Diabetes",E1890="Essential Hypertension",E1890="Angina Pectoris",E1890="Bronchial Asthma",E1890="Cardiac Arrhythmia"), D1890+30,
OR(E1890="Gastritis",E1890="Osteoarthritis",E1890="Bronchitis",E1890="Iron Deficiency Anemia"), D1890+14,
OR(E1890="Lumbar Strain",E1890="Migraine Headache"), D1890+7,
OR(E1890="Viral Fever",E1890="General Checkup","Routine Health Check"), "",
TRUE,""
)</f>
        <v/>
      </c>
      <c r="I1890" s="1" t="str">
        <f t="shared" si="58"/>
        <v>No Follow-up Required</v>
      </c>
      <c r="J1890" t="str">
        <f>TEXT(Table8[[#This Row],[visit_Date]],"DDDD")</f>
        <v>Sunday</v>
      </c>
      <c r="K1890" t="str">
        <f>TEXT(Table8[[#This Row],[visit_Date]],"mmmm")</f>
        <v>April</v>
      </c>
      <c r="L1890" t="str">
        <f t="shared" si="59"/>
        <v>Summer</v>
      </c>
    </row>
    <row r="1891" spans="1:12" x14ac:dyDescent="0.25">
      <c r="A1891">
        <v>1890</v>
      </c>
      <c r="B1891">
        <v>1092</v>
      </c>
      <c r="C1891">
        <v>1103</v>
      </c>
      <c r="D1891" s="1">
        <v>45853</v>
      </c>
      <c r="E1891" t="s">
        <v>24</v>
      </c>
      <c r="F1891" t="s">
        <v>321</v>
      </c>
      <c r="G1891" t="str">
        <f>_xlfn.XLOOKUP(TRIM(E1892),MedicineInfo!A:A,MedicineInfo!B:B,"Not Found")</f>
        <v>Multivitamin</v>
      </c>
      <c r="H1891" s="1" t="str" cm="1">
        <f t="array" ref="H1891">_xlfn.IFS(
OR(E1891="Type 2 Diabetes",E1891="Essential Hypertension",E1891="Angina Pectoris",E1891="Bronchial Asthma",E1891="Cardiac Arrhythmia"), D1891+30,
OR(E1891="Gastritis",E1891="Osteoarthritis",E1891="Bronchitis",E1891="Iron Deficiency Anemia"), D1891+14,
OR(E1891="Lumbar Strain",E1891="Migraine Headache"), D1891+7,
OR(E1891="Viral Fever",E1891="General Checkup","Routine Health Check"), "",
TRUE,""
)</f>
        <v/>
      </c>
      <c r="I1891" s="1" t="str">
        <f t="shared" si="58"/>
        <v>No Follow-up Required</v>
      </c>
      <c r="J1891" t="str">
        <f>TEXT(Table8[[#This Row],[visit_Date]],"DDDD")</f>
        <v>Tuesday</v>
      </c>
      <c r="K1891" t="str">
        <f>TEXT(Table8[[#This Row],[visit_Date]],"mmmm")</f>
        <v>July</v>
      </c>
      <c r="L1891" t="str">
        <f t="shared" si="59"/>
        <v>Monsoon</v>
      </c>
    </row>
    <row r="1892" spans="1:12" x14ac:dyDescent="0.25">
      <c r="A1892">
        <v>1891</v>
      </c>
      <c r="B1892">
        <v>1021</v>
      </c>
      <c r="C1892">
        <v>384</v>
      </c>
      <c r="D1892" s="1">
        <v>45823</v>
      </c>
      <c r="E1892" t="s">
        <v>24</v>
      </c>
      <c r="F1892" t="s">
        <v>321</v>
      </c>
      <c r="G1892" t="str">
        <f>_xlfn.XLOOKUP(TRIM(E1893),MedicineInfo!A:A,MedicineInfo!B:B,"Not Found")</f>
        <v>Multivitamin</v>
      </c>
      <c r="H1892" s="1" t="str" cm="1">
        <f t="array" ref="H1892">_xlfn.IFS(
OR(E1892="Type 2 Diabetes",E1892="Essential Hypertension",E1892="Angina Pectoris",E1892="Bronchial Asthma",E1892="Cardiac Arrhythmia"), D1892+30,
OR(E1892="Gastritis",E1892="Osteoarthritis",E1892="Bronchitis",E1892="Iron Deficiency Anemia"), D1892+14,
OR(E1892="Lumbar Strain",E1892="Migraine Headache"), D1892+7,
OR(E1892="Viral Fever",E1892="General Checkup","Routine Health Check"), "",
TRUE,""
)</f>
        <v/>
      </c>
      <c r="I1892" s="1" t="str">
        <f t="shared" si="58"/>
        <v>No Follow-up Required</v>
      </c>
      <c r="J1892" t="str">
        <f>TEXT(Table8[[#This Row],[visit_Date]],"DDDD")</f>
        <v>Sunday</v>
      </c>
      <c r="K1892" t="str">
        <f>TEXT(Table8[[#This Row],[visit_Date]],"mmmm")</f>
        <v>June</v>
      </c>
      <c r="L1892" t="str">
        <f t="shared" si="59"/>
        <v>Monsoon</v>
      </c>
    </row>
    <row r="1893" spans="1:12" x14ac:dyDescent="0.25">
      <c r="A1893">
        <v>1892</v>
      </c>
      <c r="B1893">
        <v>1029</v>
      </c>
      <c r="C1893">
        <v>473</v>
      </c>
      <c r="D1893" s="1">
        <v>45704</v>
      </c>
      <c r="E1893" t="s">
        <v>24</v>
      </c>
      <c r="F1893" t="s">
        <v>321</v>
      </c>
      <c r="G1893" t="str">
        <f>_xlfn.XLOOKUP(TRIM(E1894),MedicineInfo!A:A,MedicineInfo!B:B,"Not Found")</f>
        <v>Multivitamin</v>
      </c>
      <c r="H1893" s="1" t="str" cm="1">
        <f t="array" ref="H1893">_xlfn.IFS(
OR(E1893="Type 2 Diabetes",E1893="Essential Hypertension",E1893="Angina Pectoris",E1893="Bronchial Asthma",E1893="Cardiac Arrhythmia"), D1893+30,
OR(E1893="Gastritis",E1893="Osteoarthritis",E1893="Bronchitis",E1893="Iron Deficiency Anemia"), D1893+14,
OR(E1893="Lumbar Strain",E1893="Migraine Headache"), D1893+7,
OR(E1893="Viral Fever",E1893="General Checkup","Routine Health Check"), "",
TRUE,""
)</f>
        <v/>
      </c>
      <c r="I1893" s="1" t="str">
        <f t="shared" si="58"/>
        <v>No Follow-up Required</v>
      </c>
      <c r="J1893" t="str">
        <f>TEXT(Table8[[#This Row],[visit_Date]],"DDDD")</f>
        <v>Sunday</v>
      </c>
      <c r="K1893" t="str">
        <f>TEXT(Table8[[#This Row],[visit_Date]],"mmmm")</f>
        <v>February</v>
      </c>
      <c r="L1893" t="str">
        <f t="shared" si="59"/>
        <v>Winter</v>
      </c>
    </row>
    <row r="1894" spans="1:12" x14ac:dyDescent="0.25">
      <c r="A1894">
        <v>1893</v>
      </c>
      <c r="B1894">
        <v>1269</v>
      </c>
      <c r="C1894">
        <v>810</v>
      </c>
      <c r="D1894" s="1">
        <v>45790</v>
      </c>
      <c r="E1894" t="s">
        <v>24</v>
      </c>
      <c r="F1894" t="s">
        <v>321</v>
      </c>
      <c r="G1894" t="str">
        <f>_xlfn.XLOOKUP(TRIM(E1895),MedicineInfo!A:A,MedicineInfo!B:B,"Not Found")</f>
        <v>Multivitamin</v>
      </c>
      <c r="H1894" s="1" t="str" cm="1">
        <f t="array" ref="H1894">_xlfn.IFS(
OR(E1894="Type 2 Diabetes",E1894="Essential Hypertension",E1894="Angina Pectoris",E1894="Bronchial Asthma",E1894="Cardiac Arrhythmia"), D1894+30,
OR(E1894="Gastritis",E1894="Osteoarthritis",E1894="Bronchitis",E1894="Iron Deficiency Anemia"), D1894+14,
OR(E1894="Lumbar Strain",E1894="Migraine Headache"), D1894+7,
OR(E1894="Viral Fever",E1894="General Checkup","Routine Health Check"), "",
TRUE,""
)</f>
        <v/>
      </c>
      <c r="I1894" s="1" t="str">
        <f t="shared" si="58"/>
        <v>No Follow-up Required</v>
      </c>
      <c r="J1894" t="str">
        <f>TEXT(Table8[[#This Row],[visit_Date]],"DDDD")</f>
        <v>Tuesday</v>
      </c>
      <c r="K1894" t="str">
        <f>TEXT(Table8[[#This Row],[visit_Date]],"mmmm")</f>
        <v>May</v>
      </c>
      <c r="L1894" t="str">
        <f t="shared" si="59"/>
        <v>Summer</v>
      </c>
    </row>
    <row r="1895" spans="1:12" x14ac:dyDescent="0.25">
      <c r="A1895">
        <v>1894</v>
      </c>
      <c r="B1895">
        <v>1374</v>
      </c>
      <c r="C1895">
        <v>578</v>
      </c>
      <c r="D1895" s="1">
        <v>45710</v>
      </c>
      <c r="E1895" t="s">
        <v>24</v>
      </c>
      <c r="F1895" t="s">
        <v>321</v>
      </c>
      <c r="G1895" t="str">
        <f>_xlfn.XLOOKUP(TRIM(E1896),MedicineInfo!A:A,MedicineInfo!B:B,"Not Found")</f>
        <v>Nitroglycerin</v>
      </c>
      <c r="H1895" s="1" t="str" cm="1">
        <f t="array" ref="H1895">_xlfn.IFS(
OR(E1895="Type 2 Diabetes",E1895="Essential Hypertension",E1895="Angina Pectoris",E1895="Bronchial Asthma",E1895="Cardiac Arrhythmia"), D1895+30,
OR(E1895="Gastritis",E1895="Osteoarthritis",E1895="Bronchitis",E1895="Iron Deficiency Anemia"), D1895+14,
OR(E1895="Lumbar Strain",E1895="Migraine Headache"), D1895+7,
OR(E1895="Viral Fever",E1895="General Checkup","Routine Health Check"), "",
TRUE,""
)</f>
        <v/>
      </c>
      <c r="I1895" s="1" t="str">
        <f t="shared" si="58"/>
        <v>No Follow-up Required</v>
      </c>
      <c r="J1895" t="str">
        <f>TEXT(Table8[[#This Row],[visit_Date]],"DDDD")</f>
        <v>Saturday</v>
      </c>
      <c r="K1895" t="str">
        <f>TEXT(Table8[[#This Row],[visit_Date]],"mmmm")</f>
        <v>February</v>
      </c>
      <c r="L1895" t="str">
        <f t="shared" si="59"/>
        <v>Winter</v>
      </c>
    </row>
    <row r="1896" spans="1:12" x14ac:dyDescent="0.25">
      <c r="A1896">
        <v>1895</v>
      </c>
      <c r="B1896">
        <v>1262</v>
      </c>
      <c r="C1896">
        <v>1538</v>
      </c>
      <c r="D1896" s="1">
        <v>45794</v>
      </c>
      <c r="E1896" t="s">
        <v>322</v>
      </c>
      <c r="F1896" t="s">
        <v>323</v>
      </c>
      <c r="G1896" t="str">
        <f>_xlfn.XLOOKUP(TRIM(E1897),MedicineInfo!A:A,MedicineInfo!B:B,"Not Found")</f>
        <v>Multivitamin</v>
      </c>
      <c r="H1896" s="1" cm="1">
        <f t="array" ref="H1896">_xlfn.IFS(
OR(E1896="Type 2 Diabetes",E1896="Essential Hypertension",E1896="Angina Pectoris",E1896="Bronchial Asthma",E1896="Cardiac Arrhythmia"), D1896+30,
OR(E1896="Gastritis",E1896="Osteoarthritis",E1896="Bronchitis",E1896="Iron Deficiency Anemia"), D1896+14,
OR(E1896="Lumbar Strain",E1896="Migraine Headache"), D1896+7,
OR(E1896="Viral Fever",E1896="General Checkup","Routine Health Check"), "",
TRUE,""
)</f>
        <v>45824</v>
      </c>
      <c r="I1896" s="1" t="str">
        <f t="shared" si="58"/>
        <v>Follow-up Scheduled</v>
      </c>
      <c r="J1896" t="str">
        <f>TEXT(Table8[[#This Row],[visit_Date]],"DDDD")</f>
        <v>Saturday</v>
      </c>
      <c r="K1896" t="str">
        <f>TEXT(Table8[[#This Row],[visit_Date]],"mmmm")</f>
        <v>May</v>
      </c>
      <c r="L1896" t="str">
        <f t="shared" si="59"/>
        <v>Summer</v>
      </c>
    </row>
    <row r="1897" spans="1:12" x14ac:dyDescent="0.25">
      <c r="A1897">
        <v>1896</v>
      </c>
      <c r="B1897">
        <v>1308</v>
      </c>
      <c r="C1897">
        <v>195</v>
      </c>
      <c r="D1897" s="1">
        <v>45722</v>
      </c>
      <c r="E1897" t="s">
        <v>24</v>
      </c>
      <c r="F1897" t="s">
        <v>321</v>
      </c>
      <c r="G1897" t="str">
        <f>_xlfn.XLOOKUP(TRIM(E1898),MedicineInfo!A:A,MedicineInfo!B:B,"Not Found")</f>
        <v>Multivitamin</v>
      </c>
      <c r="H1897" s="1" t="str" cm="1">
        <f t="array" ref="H1897">_xlfn.IFS(
OR(E1897="Type 2 Diabetes",E1897="Essential Hypertension",E1897="Angina Pectoris",E1897="Bronchial Asthma",E1897="Cardiac Arrhythmia"), D1897+30,
OR(E1897="Gastritis",E1897="Osteoarthritis",E1897="Bronchitis",E1897="Iron Deficiency Anemia"), D1897+14,
OR(E1897="Lumbar Strain",E1897="Migraine Headache"), D1897+7,
OR(E1897="Viral Fever",E1897="General Checkup","Routine Health Check"), "",
TRUE,""
)</f>
        <v/>
      </c>
      <c r="I1897" s="1" t="str">
        <f t="shared" si="58"/>
        <v>No Follow-up Required</v>
      </c>
      <c r="J1897" t="str">
        <f>TEXT(Table8[[#This Row],[visit_Date]],"DDDD")</f>
        <v>Thursday</v>
      </c>
      <c r="K1897" t="str">
        <f>TEXT(Table8[[#This Row],[visit_Date]],"mmmm")</f>
        <v>March</v>
      </c>
      <c r="L1897" t="str">
        <f t="shared" si="59"/>
        <v>Summer</v>
      </c>
    </row>
    <row r="1898" spans="1:12" x14ac:dyDescent="0.25">
      <c r="A1898">
        <v>1897</v>
      </c>
      <c r="B1898">
        <v>1037</v>
      </c>
      <c r="C1898">
        <v>108</v>
      </c>
      <c r="D1898" s="1">
        <v>45708</v>
      </c>
      <c r="E1898" t="s">
        <v>24</v>
      </c>
      <c r="F1898" t="s">
        <v>321</v>
      </c>
      <c r="G1898" t="str">
        <f>_xlfn.XLOOKUP(TRIM(E1899),MedicineInfo!A:A,MedicineInfo!B:B,"Not Found")</f>
        <v>Not Found</v>
      </c>
      <c r="H1898" s="1" t="str" cm="1">
        <f t="array" ref="H1898">_xlfn.IFS(
OR(E1898="Type 2 Diabetes",E1898="Essential Hypertension",E1898="Angina Pectoris",E1898="Bronchial Asthma",E1898="Cardiac Arrhythmia"), D1898+30,
OR(E1898="Gastritis",E1898="Osteoarthritis",E1898="Bronchitis",E1898="Iron Deficiency Anemia"), D1898+14,
OR(E1898="Lumbar Strain",E1898="Migraine Headache"), D1898+7,
OR(E1898="Viral Fever",E1898="General Checkup","Routine Health Check"), "",
TRUE,""
)</f>
        <v/>
      </c>
      <c r="I1898" s="1" t="str">
        <f t="shared" si="58"/>
        <v>No Follow-up Required</v>
      </c>
      <c r="J1898" t="str">
        <f>TEXT(Table8[[#This Row],[visit_Date]],"DDDD")</f>
        <v>Thursday</v>
      </c>
      <c r="K1898" t="str">
        <f>TEXT(Table8[[#This Row],[visit_Date]],"mmmm")</f>
        <v>February</v>
      </c>
      <c r="L1898" t="str">
        <f t="shared" si="59"/>
        <v>Winter</v>
      </c>
    </row>
    <row r="1899" spans="1:12" x14ac:dyDescent="0.25">
      <c r="A1899">
        <v>1898</v>
      </c>
      <c r="B1899">
        <v>1106</v>
      </c>
      <c r="C1899">
        <v>866</v>
      </c>
      <c r="D1899" s="1">
        <v>45686</v>
      </c>
      <c r="E1899" t="s">
        <v>340</v>
      </c>
      <c r="F1899" t="s">
        <v>341</v>
      </c>
      <c r="G1899" t="str">
        <f>_xlfn.XLOOKUP(TRIM(E1900),MedicineInfo!A:A,MedicineInfo!B:B,"Not Found")</f>
        <v>Multivitamin</v>
      </c>
      <c r="H1899" s="1" t="str" cm="1">
        <f t="array" ref="H1899">_xlfn.IFS(
OR(E1899="Type 2 Diabetes",E1899="Essential Hypertension",E1899="Angina Pectoris",E1899="Bronchial Asthma",E1899="Cardiac Arrhythmia"), D1899+30,
OR(E1899="Gastritis",E1899="Osteoarthritis",E1899="Bronchitis",E1899="Iron Deficiency Anemia"), D1899+14,
OR(E1899="Lumbar Strain",E1899="Migraine Headache"), D1899+7,
OR(E1899="Viral Fever",E1899="General Checkup","Routine Health Check"), "",
TRUE,""
)</f>
        <v/>
      </c>
      <c r="I1899" s="1" t="str">
        <f t="shared" si="58"/>
        <v>No Follow-up Required</v>
      </c>
      <c r="J1899" t="str">
        <f>TEXT(Table8[[#This Row],[visit_Date]],"DDDD")</f>
        <v>Wednesday</v>
      </c>
      <c r="K1899" t="str">
        <f>TEXT(Table8[[#This Row],[visit_Date]],"mmmm")</f>
        <v>January</v>
      </c>
      <c r="L1899" t="str">
        <f t="shared" si="59"/>
        <v>Winter</v>
      </c>
    </row>
    <row r="1900" spans="1:12" x14ac:dyDescent="0.25">
      <c r="A1900">
        <v>1899</v>
      </c>
      <c r="B1900">
        <v>1302</v>
      </c>
      <c r="C1900">
        <v>650</v>
      </c>
      <c r="D1900" s="1">
        <v>45799</v>
      </c>
      <c r="E1900" t="s">
        <v>24</v>
      </c>
      <c r="F1900" t="s">
        <v>321</v>
      </c>
      <c r="G1900" t="str">
        <f>_xlfn.XLOOKUP(TRIM(E1901),MedicineInfo!A:A,MedicineInfo!B:B,"Not Found")</f>
        <v>Multivitamin</v>
      </c>
      <c r="H1900" s="1" t="str" cm="1">
        <f t="array" ref="H1900">_xlfn.IFS(
OR(E1900="Type 2 Diabetes",E1900="Essential Hypertension",E1900="Angina Pectoris",E1900="Bronchial Asthma",E1900="Cardiac Arrhythmia"), D1900+30,
OR(E1900="Gastritis",E1900="Osteoarthritis",E1900="Bronchitis",E1900="Iron Deficiency Anemia"), D1900+14,
OR(E1900="Lumbar Strain",E1900="Migraine Headache"), D1900+7,
OR(E1900="Viral Fever",E1900="General Checkup","Routine Health Check"), "",
TRUE,""
)</f>
        <v/>
      </c>
      <c r="I1900" s="1" t="str">
        <f t="shared" si="58"/>
        <v>No Follow-up Required</v>
      </c>
      <c r="J1900" t="str">
        <f>TEXT(Table8[[#This Row],[visit_Date]],"DDDD")</f>
        <v>Thursday</v>
      </c>
      <c r="K1900" t="str">
        <f>TEXT(Table8[[#This Row],[visit_Date]],"mmmm")</f>
        <v>May</v>
      </c>
      <c r="L1900" t="str">
        <f t="shared" si="59"/>
        <v>Summer</v>
      </c>
    </row>
    <row r="1901" spans="1:12" x14ac:dyDescent="0.25">
      <c r="A1901">
        <v>1900</v>
      </c>
      <c r="B1901">
        <v>1191</v>
      </c>
      <c r="C1901">
        <v>113</v>
      </c>
      <c r="D1901" s="1">
        <v>45792</v>
      </c>
      <c r="E1901" t="s">
        <v>24</v>
      </c>
      <c r="F1901" t="s">
        <v>321</v>
      </c>
      <c r="G1901" t="str">
        <f>_xlfn.XLOOKUP(TRIM(E1902),MedicineInfo!A:A,MedicineInfo!B:B,"Not Found")</f>
        <v>Multivitamin</v>
      </c>
      <c r="H1901" s="1" t="str" cm="1">
        <f t="array" ref="H1901">_xlfn.IFS(
OR(E1901="Type 2 Diabetes",E1901="Essential Hypertension",E1901="Angina Pectoris",E1901="Bronchial Asthma",E1901="Cardiac Arrhythmia"), D1901+30,
OR(E1901="Gastritis",E1901="Osteoarthritis",E1901="Bronchitis",E1901="Iron Deficiency Anemia"), D1901+14,
OR(E1901="Lumbar Strain",E1901="Migraine Headache"), D1901+7,
OR(E1901="Viral Fever",E1901="General Checkup","Routine Health Check"), "",
TRUE,""
)</f>
        <v/>
      </c>
      <c r="I1901" s="1" t="str">
        <f t="shared" si="58"/>
        <v>No Follow-up Required</v>
      </c>
      <c r="J1901" t="str">
        <f>TEXT(Table8[[#This Row],[visit_Date]],"DDDD")</f>
        <v>Thursday</v>
      </c>
      <c r="K1901" t="str">
        <f>TEXT(Table8[[#This Row],[visit_Date]],"mmmm")</f>
        <v>May</v>
      </c>
      <c r="L1901" t="str">
        <f t="shared" si="59"/>
        <v>Summer</v>
      </c>
    </row>
    <row r="1902" spans="1:12" x14ac:dyDescent="0.25">
      <c r="A1902">
        <v>1901</v>
      </c>
      <c r="B1902">
        <v>1267</v>
      </c>
      <c r="C1902">
        <v>547</v>
      </c>
      <c r="D1902" s="1">
        <v>45736</v>
      </c>
      <c r="E1902" t="s">
        <v>24</v>
      </c>
      <c r="F1902" t="s">
        <v>321</v>
      </c>
      <c r="G1902" t="str">
        <f>_xlfn.XLOOKUP(TRIM(E1903),MedicineInfo!A:A,MedicineInfo!B:B,"Not Found")</f>
        <v>Calcium Supplement</v>
      </c>
      <c r="H1902" s="1" t="str" cm="1">
        <f t="array" ref="H1902">_xlfn.IFS(
OR(E1902="Type 2 Diabetes",E1902="Essential Hypertension",E1902="Angina Pectoris",E1902="Bronchial Asthma",E1902="Cardiac Arrhythmia"), D1902+30,
OR(E1902="Gastritis",E1902="Osteoarthritis",E1902="Bronchitis",E1902="Iron Deficiency Anemia"), D1902+14,
OR(E1902="Lumbar Strain",E1902="Migraine Headache"), D1902+7,
OR(E1902="Viral Fever",E1902="General Checkup","Routine Health Check"), "",
TRUE,""
)</f>
        <v/>
      </c>
      <c r="I1902" s="1" t="str">
        <f t="shared" si="58"/>
        <v>No Follow-up Required</v>
      </c>
      <c r="J1902" t="str">
        <f>TEXT(Table8[[#This Row],[visit_Date]],"DDDD")</f>
        <v>Thursday</v>
      </c>
      <c r="K1902" t="str">
        <f>TEXT(Table8[[#This Row],[visit_Date]],"mmmm")</f>
        <v>March</v>
      </c>
      <c r="L1902" t="str">
        <f t="shared" si="59"/>
        <v>Summer</v>
      </c>
    </row>
    <row r="1903" spans="1:12" x14ac:dyDescent="0.25">
      <c r="A1903">
        <v>1902</v>
      </c>
      <c r="B1903">
        <v>1310</v>
      </c>
      <c r="C1903">
        <v>447</v>
      </c>
      <c r="D1903" s="1">
        <v>45777</v>
      </c>
      <c r="E1903" t="s">
        <v>336</v>
      </c>
      <c r="F1903" t="s">
        <v>337</v>
      </c>
      <c r="G1903" t="str">
        <f>_xlfn.XLOOKUP(TRIM(E1904),MedicineInfo!A:A,MedicineInfo!B:B,"Not Found")</f>
        <v>Multivitamin</v>
      </c>
      <c r="H1903" s="1" t="str" cm="1">
        <f t="array" ref="H1903">_xlfn.IFS(
OR(E1903="Type 2 Diabetes",E1903="Essential Hypertension",E1903="Angina Pectoris",E1903="Bronchial Asthma",E1903="Cardiac Arrhythmia"), D1903+30,
OR(E1903="Gastritis",E1903="Osteoarthritis",E1903="Bronchitis",E1903="Iron Deficiency Anemia"), D1903+14,
OR(E1903="Lumbar Strain",E1903="Migraine Headache"), D1903+7,
OR(E1903="Viral Fever",E1903="General Checkup","Routine Health Check"), "",
TRUE,""
)</f>
        <v/>
      </c>
      <c r="I1903" s="1" t="str">
        <f t="shared" si="58"/>
        <v>No Follow-up Required</v>
      </c>
      <c r="J1903" t="str">
        <f>TEXT(Table8[[#This Row],[visit_Date]],"DDDD")</f>
        <v>Wednesday</v>
      </c>
      <c r="K1903" t="str">
        <f>TEXT(Table8[[#This Row],[visit_Date]],"mmmm")</f>
        <v>April</v>
      </c>
      <c r="L1903" t="str">
        <f t="shared" si="59"/>
        <v>Summer</v>
      </c>
    </row>
    <row r="1904" spans="1:12" x14ac:dyDescent="0.25">
      <c r="A1904">
        <v>1903</v>
      </c>
      <c r="B1904">
        <v>1317</v>
      </c>
      <c r="C1904">
        <v>1078</v>
      </c>
      <c r="D1904" s="1">
        <v>45814</v>
      </c>
      <c r="E1904" t="s">
        <v>24</v>
      </c>
      <c r="F1904" t="s">
        <v>321</v>
      </c>
      <c r="G1904" t="str">
        <f>_xlfn.XLOOKUP(TRIM(E1905),MedicineInfo!A:A,MedicineInfo!B:B,"Not Found")</f>
        <v>Multivitamin</v>
      </c>
      <c r="H1904" s="1" t="str" cm="1">
        <f t="array" ref="H1904">_xlfn.IFS(
OR(E1904="Type 2 Diabetes",E1904="Essential Hypertension",E1904="Angina Pectoris",E1904="Bronchial Asthma",E1904="Cardiac Arrhythmia"), D1904+30,
OR(E1904="Gastritis",E1904="Osteoarthritis",E1904="Bronchitis",E1904="Iron Deficiency Anemia"), D1904+14,
OR(E1904="Lumbar Strain",E1904="Migraine Headache"), D1904+7,
OR(E1904="Viral Fever",E1904="General Checkup","Routine Health Check"), "",
TRUE,""
)</f>
        <v/>
      </c>
      <c r="I1904" s="1" t="str">
        <f t="shared" si="58"/>
        <v>No Follow-up Required</v>
      </c>
      <c r="J1904" t="str">
        <f>TEXT(Table8[[#This Row],[visit_Date]],"DDDD")</f>
        <v>Friday</v>
      </c>
      <c r="K1904" t="str">
        <f>TEXT(Table8[[#This Row],[visit_Date]],"mmmm")</f>
        <v>June</v>
      </c>
      <c r="L1904" t="str">
        <f t="shared" si="59"/>
        <v>Monsoon</v>
      </c>
    </row>
    <row r="1905" spans="1:12" x14ac:dyDescent="0.25">
      <c r="A1905">
        <v>1904</v>
      </c>
      <c r="B1905">
        <v>1072</v>
      </c>
      <c r="C1905">
        <v>1581</v>
      </c>
      <c r="D1905" s="1">
        <v>45710</v>
      </c>
      <c r="E1905" t="s">
        <v>24</v>
      </c>
      <c r="F1905" t="s">
        <v>321</v>
      </c>
      <c r="G1905" t="str">
        <f>_xlfn.XLOOKUP(TRIM(E1906),MedicineInfo!A:A,MedicineInfo!B:B,"Not Found")</f>
        <v>Multivitamin</v>
      </c>
      <c r="H1905" s="1" t="str" cm="1">
        <f t="array" ref="H1905">_xlfn.IFS(
OR(E1905="Type 2 Diabetes",E1905="Essential Hypertension",E1905="Angina Pectoris",E1905="Bronchial Asthma",E1905="Cardiac Arrhythmia"), D1905+30,
OR(E1905="Gastritis",E1905="Osteoarthritis",E1905="Bronchitis",E1905="Iron Deficiency Anemia"), D1905+14,
OR(E1905="Lumbar Strain",E1905="Migraine Headache"), D1905+7,
OR(E1905="Viral Fever",E1905="General Checkup","Routine Health Check"), "",
TRUE,""
)</f>
        <v/>
      </c>
      <c r="I1905" s="1" t="str">
        <f t="shared" si="58"/>
        <v>No Follow-up Required</v>
      </c>
      <c r="J1905" t="str">
        <f>TEXT(Table8[[#This Row],[visit_Date]],"DDDD")</f>
        <v>Saturday</v>
      </c>
      <c r="K1905" t="str">
        <f>TEXT(Table8[[#This Row],[visit_Date]],"mmmm")</f>
        <v>February</v>
      </c>
      <c r="L1905" t="str">
        <f t="shared" si="59"/>
        <v>Winter</v>
      </c>
    </row>
    <row r="1906" spans="1:12" x14ac:dyDescent="0.25">
      <c r="A1906">
        <v>1905</v>
      </c>
      <c r="B1906">
        <v>1205</v>
      </c>
      <c r="C1906">
        <v>786</v>
      </c>
      <c r="D1906" s="1">
        <v>45747</v>
      </c>
      <c r="E1906" t="s">
        <v>24</v>
      </c>
      <c r="F1906" t="s">
        <v>321</v>
      </c>
      <c r="G1906" t="str">
        <f>_xlfn.XLOOKUP(TRIM(E1907),MedicineInfo!A:A,MedicineInfo!B:B,"Not Found")</f>
        <v>Multivitamin</v>
      </c>
      <c r="H1906" s="1" t="str" cm="1">
        <f t="array" ref="H1906">_xlfn.IFS(
OR(E1906="Type 2 Diabetes",E1906="Essential Hypertension",E1906="Angina Pectoris",E1906="Bronchial Asthma",E1906="Cardiac Arrhythmia"), D1906+30,
OR(E1906="Gastritis",E1906="Osteoarthritis",E1906="Bronchitis",E1906="Iron Deficiency Anemia"), D1906+14,
OR(E1906="Lumbar Strain",E1906="Migraine Headache"), D1906+7,
OR(E1906="Viral Fever",E1906="General Checkup","Routine Health Check"), "",
TRUE,""
)</f>
        <v/>
      </c>
      <c r="I1906" s="1" t="str">
        <f t="shared" si="58"/>
        <v>No Follow-up Required</v>
      </c>
      <c r="J1906" t="str">
        <f>TEXT(Table8[[#This Row],[visit_Date]],"DDDD")</f>
        <v>Monday</v>
      </c>
      <c r="K1906" t="str">
        <f>TEXT(Table8[[#This Row],[visit_Date]],"mmmm")</f>
        <v>March</v>
      </c>
      <c r="L1906" t="str">
        <f t="shared" si="59"/>
        <v>Summer</v>
      </c>
    </row>
    <row r="1907" spans="1:12" x14ac:dyDescent="0.25">
      <c r="A1907">
        <v>1906</v>
      </c>
      <c r="B1907">
        <v>1386</v>
      </c>
      <c r="C1907">
        <v>173</v>
      </c>
      <c r="D1907" s="1">
        <v>45691</v>
      </c>
      <c r="E1907" t="s">
        <v>24</v>
      </c>
      <c r="F1907" t="s">
        <v>321</v>
      </c>
      <c r="G1907" t="str">
        <f>_xlfn.XLOOKUP(TRIM(E1908),MedicineInfo!A:A,MedicineInfo!B:B,"Not Found")</f>
        <v>Multivitamin</v>
      </c>
      <c r="H1907" s="1" t="str" cm="1">
        <f t="array" ref="H1907">_xlfn.IFS(
OR(E1907="Type 2 Diabetes",E1907="Essential Hypertension",E1907="Angina Pectoris",E1907="Bronchial Asthma",E1907="Cardiac Arrhythmia"), D1907+30,
OR(E1907="Gastritis",E1907="Osteoarthritis",E1907="Bronchitis",E1907="Iron Deficiency Anemia"), D1907+14,
OR(E1907="Lumbar Strain",E1907="Migraine Headache"), D1907+7,
OR(E1907="Viral Fever",E1907="General Checkup","Routine Health Check"), "",
TRUE,""
)</f>
        <v/>
      </c>
      <c r="I1907" s="1" t="str">
        <f t="shared" si="58"/>
        <v>No Follow-up Required</v>
      </c>
      <c r="J1907" t="str">
        <f>TEXT(Table8[[#This Row],[visit_Date]],"DDDD")</f>
        <v>Monday</v>
      </c>
      <c r="K1907" t="str">
        <f>TEXT(Table8[[#This Row],[visit_Date]],"mmmm")</f>
        <v>February</v>
      </c>
      <c r="L1907" t="str">
        <f t="shared" si="59"/>
        <v>Winter</v>
      </c>
    </row>
    <row r="1908" spans="1:12" x14ac:dyDescent="0.25">
      <c r="A1908">
        <v>1907</v>
      </c>
      <c r="B1908">
        <v>1038</v>
      </c>
      <c r="C1908">
        <v>186</v>
      </c>
      <c r="D1908" s="1">
        <v>45814</v>
      </c>
      <c r="E1908" t="s">
        <v>24</v>
      </c>
      <c r="F1908" t="s">
        <v>321</v>
      </c>
      <c r="G1908" t="str">
        <f>_xlfn.XLOOKUP(TRIM(E1909),MedicineInfo!A:A,MedicineInfo!B:B,"Not Found")</f>
        <v>Salbutamol Inhaler</v>
      </c>
      <c r="H1908" s="1" t="str" cm="1">
        <f t="array" ref="H1908">_xlfn.IFS(
OR(E1908="Type 2 Diabetes",E1908="Essential Hypertension",E1908="Angina Pectoris",E1908="Bronchial Asthma",E1908="Cardiac Arrhythmia"), D1908+30,
OR(E1908="Gastritis",E1908="Osteoarthritis",E1908="Bronchitis",E1908="Iron Deficiency Anemia"), D1908+14,
OR(E1908="Lumbar Strain",E1908="Migraine Headache"), D1908+7,
OR(E1908="Viral Fever",E1908="General Checkup","Routine Health Check"), "",
TRUE,""
)</f>
        <v/>
      </c>
      <c r="I1908" s="1" t="str">
        <f t="shared" si="58"/>
        <v>No Follow-up Required</v>
      </c>
      <c r="J1908" t="str">
        <f>TEXT(Table8[[#This Row],[visit_Date]],"DDDD")</f>
        <v>Friday</v>
      </c>
      <c r="K1908" t="str">
        <f>TEXT(Table8[[#This Row],[visit_Date]],"mmmm")</f>
        <v>June</v>
      </c>
      <c r="L1908" t="str">
        <f t="shared" si="59"/>
        <v>Monsoon</v>
      </c>
    </row>
    <row r="1909" spans="1:12" x14ac:dyDescent="0.25">
      <c r="A1909">
        <v>1908</v>
      </c>
      <c r="B1909">
        <v>1073</v>
      </c>
      <c r="C1909">
        <v>754</v>
      </c>
      <c r="D1909" s="1">
        <v>45747</v>
      </c>
      <c r="E1909" t="s">
        <v>324</v>
      </c>
      <c r="F1909" t="s">
        <v>325</v>
      </c>
      <c r="G1909" t="str">
        <f>_xlfn.XLOOKUP(TRIM(E1910),MedicineInfo!A:A,MedicineInfo!B:B,"Not Found")</f>
        <v>Multivitamin</v>
      </c>
      <c r="H1909" s="1" cm="1">
        <f t="array" ref="H1909">_xlfn.IFS(
OR(E1909="Type 2 Diabetes",E1909="Essential Hypertension",E1909="Angina Pectoris",E1909="Bronchial Asthma",E1909="Cardiac Arrhythmia"), D1909+30,
OR(E1909="Gastritis",E1909="Osteoarthritis",E1909="Bronchitis",E1909="Iron Deficiency Anemia"), D1909+14,
OR(E1909="Lumbar Strain",E1909="Migraine Headache"), D1909+7,
OR(E1909="Viral Fever",E1909="General Checkup","Routine Health Check"), "",
TRUE,""
)</f>
        <v>45777</v>
      </c>
      <c r="I1909" s="1" t="str">
        <f t="shared" si="58"/>
        <v>Follow-up Scheduled</v>
      </c>
      <c r="J1909" t="str">
        <f>TEXT(Table8[[#This Row],[visit_Date]],"DDDD")</f>
        <v>Monday</v>
      </c>
      <c r="K1909" t="str">
        <f>TEXT(Table8[[#This Row],[visit_Date]],"mmmm")</f>
        <v>March</v>
      </c>
      <c r="L1909" t="str">
        <f t="shared" si="59"/>
        <v>Summer</v>
      </c>
    </row>
    <row r="1910" spans="1:12" x14ac:dyDescent="0.25">
      <c r="A1910">
        <v>1909</v>
      </c>
      <c r="B1910">
        <v>1271</v>
      </c>
      <c r="C1910">
        <v>659</v>
      </c>
      <c r="D1910" s="1">
        <v>45793</v>
      </c>
      <c r="E1910" t="s">
        <v>24</v>
      </c>
      <c r="F1910" t="s">
        <v>321</v>
      </c>
      <c r="G1910" t="str">
        <f>_xlfn.XLOOKUP(TRIM(E1911),MedicineInfo!A:A,MedicineInfo!B:B,"Not Found")</f>
        <v>Amiodarone</v>
      </c>
      <c r="H1910" s="1" t="str" cm="1">
        <f t="array" ref="H1910">_xlfn.IFS(
OR(E1910="Type 2 Diabetes",E1910="Essential Hypertension",E1910="Angina Pectoris",E1910="Bronchial Asthma",E1910="Cardiac Arrhythmia"), D1910+30,
OR(E1910="Gastritis",E1910="Osteoarthritis",E1910="Bronchitis",E1910="Iron Deficiency Anemia"), D1910+14,
OR(E1910="Lumbar Strain",E1910="Migraine Headache"), D1910+7,
OR(E1910="Viral Fever",E1910="General Checkup","Routine Health Check"), "",
TRUE,""
)</f>
        <v/>
      </c>
      <c r="I1910" s="1" t="str">
        <f t="shared" si="58"/>
        <v>No Follow-up Required</v>
      </c>
      <c r="J1910" t="str">
        <f>TEXT(Table8[[#This Row],[visit_Date]],"DDDD")</f>
        <v>Friday</v>
      </c>
      <c r="K1910" t="str">
        <f>TEXT(Table8[[#This Row],[visit_Date]],"mmmm")</f>
        <v>May</v>
      </c>
      <c r="L1910" t="str">
        <f t="shared" si="59"/>
        <v>Summer</v>
      </c>
    </row>
    <row r="1911" spans="1:12" x14ac:dyDescent="0.25">
      <c r="A1911">
        <v>1910</v>
      </c>
      <c r="B1911">
        <v>1254</v>
      </c>
      <c r="C1911">
        <v>749</v>
      </c>
      <c r="D1911" s="1">
        <v>45747</v>
      </c>
      <c r="E1911" t="s">
        <v>330</v>
      </c>
      <c r="F1911" t="s">
        <v>331</v>
      </c>
      <c r="G1911" t="str">
        <f>_xlfn.XLOOKUP(TRIM(E1912),MedicineInfo!A:A,MedicineInfo!B:B,"Not Found")</f>
        <v>Multivitamin</v>
      </c>
      <c r="H1911" s="1" cm="1">
        <f t="array" ref="H1911">_xlfn.IFS(
OR(E1911="Type 2 Diabetes",E1911="Essential Hypertension",E1911="Angina Pectoris",E1911="Bronchial Asthma",E1911="Cardiac Arrhythmia"), D1911+30,
OR(E1911="Gastritis",E1911="Osteoarthritis",E1911="Bronchitis",E1911="Iron Deficiency Anemia"), D1911+14,
OR(E1911="Lumbar Strain",E1911="Migraine Headache"), D1911+7,
OR(E1911="Viral Fever",E1911="General Checkup","Routine Health Check"), "",
TRUE,""
)</f>
        <v>45777</v>
      </c>
      <c r="I1911" s="1" t="str">
        <f t="shared" si="58"/>
        <v>Follow-up Scheduled</v>
      </c>
      <c r="J1911" t="str">
        <f>TEXT(Table8[[#This Row],[visit_Date]],"DDDD")</f>
        <v>Monday</v>
      </c>
      <c r="K1911" t="str">
        <f>TEXT(Table8[[#This Row],[visit_Date]],"mmmm")</f>
        <v>March</v>
      </c>
      <c r="L1911" t="str">
        <f t="shared" si="59"/>
        <v>Summer</v>
      </c>
    </row>
    <row r="1912" spans="1:12" x14ac:dyDescent="0.25">
      <c r="A1912">
        <v>1911</v>
      </c>
      <c r="B1912">
        <v>1188</v>
      </c>
      <c r="C1912">
        <v>666</v>
      </c>
      <c r="D1912" s="1">
        <v>45777</v>
      </c>
      <c r="E1912" t="s">
        <v>24</v>
      </c>
      <c r="F1912" t="s">
        <v>321</v>
      </c>
      <c r="G1912" t="str">
        <f>_xlfn.XLOOKUP(TRIM(E1913),MedicineInfo!A:A,MedicineInfo!B:B,"Not Found")</f>
        <v>Multivitamin</v>
      </c>
      <c r="H1912" s="1" t="str" cm="1">
        <f t="array" ref="H1912">_xlfn.IFS(
OR(E1912="Type 2 Diabetes",E1912="Essential Hypertension",E1912="Angina Pectoris",E1912="Bronchial Asthma",E1912="Cardiac Arrhythmia"), D1912+30,
OR(E1912="Gastritis",E1912="Osteoarthritis",E1912="Bronchitis",E1912="Iron Deficiency Anemia"), D1912+14,
OR(E1912="Lumbar Strain",E1912="Migraine Headache"), D1912+7,
OR(E1912="Viral Fever",E1912="General Checkup","Routine Health Check"), "",
TRUE,""
)</f>
        <v/>
      </c>
      <c r="I1912" s="1" t="str">
        <f t="shared" si="58"/>
        <v>No Follow-up Required</v>
      </c>
      <c r="J1912" t="str">
        <f>TEXT(Table8[[#This Row],[visit_Date]],"DDDD")</f>
        <v>Wednesday</v>
      </c>
      <c r="K1912" t="str">
        <f>TEXT(Table8[[#This Row],[visit_Date]],"mmmm")</f>
        <v>April</v>
      </c>
      <c r="L1912" t="str">
        <f t="shared" si="59"/>
        <v>Summer</v>
      </c>
    </row>
    <row r="1913" spans="1:12" x14ac:dyDescent="0.25">
      <c r="A1913">
        <v>1912</v>
      </c>
      <c r="B1913">
        <v>1338</v>
      </c>
      <c r="C1913">
        <v>689</v>
      </c>
      <c r="D1913" s="1">
        <v>45767</v>
      </c>
      <c r="E1913" t="s">
        <v>24</v>
      </c>
      <c r="F1913" t="s">
        <v>321</v>
      </c>
      <c r="G1913" t="str">
        <f>_xlfn.XLOOKUP(TRIM(E1914),MedicineInfo!A:A,MedicineInfo!B:B,"Not Found")</f>
        <v>Multivitamin</v>
      </c>
      <c r="H1913" s="1" t="str" cm="1">
        <f t="array" ref="H1913">_xlfn.IFS(
OR(E1913="Type 2 Diabetes",E1913="Essential Hypertension",E1913="Angina Pectoris",E1913="Bronchial Asthma",E1913="Cardiac Arrhythmia"), D1913+30,
OR(E1913="Gastritis",E1913="Osteoarthritis",E1913="Bronchitis",E1913="Iron Deficiency Anemia"), D1913+14,
OR(E1913="Lumbar Strain",E1913="Migraine Headache"), D1913+7,
OR(E1913="Viral Fever",E1913="General Checkup","Routine Health Check"), "",
TRUE,""
)</f>
        <v/>
      </c>
      <c r="I1913" s="1" t="str">
        <f t="shared" si="58"/>
        <v>No Follow-up Required</v>
      </c>
      <c r="J1913" t="str">
        <f>TEXT(Table8[[#This Row],[visit_Date]],"DDDD")</f>
        <v>Sunday</v>
      </c>
      <c r="K1913" t="str">
        <f>TEXT(Table8[[#This Row],[visit_Date]],"mmmm")</f>
        <v>April</v>
      </c>
      <c r="L1913" t="str">
        <f t="shared" si="59"/>
        <v>Summer</v>
      </c>
    </row>
    <row r="1914" spans="1:12" x14ac:dyDescent="0.25">
      <c r="A1914">
        <v>1913</v>
      </c>
      <c r="B1914">
        <v>1140</v>
      </c>
      <c r="C1914">
        <v>1281</v>
      </c>
      <c r="D1914" s="1">
        <v>45819</v>
      </c>
      <c r="E1914" t="s">
        <v>24</v>
      </c>
      <c r="F1914" t="s">
        <v>321</v>
      </c>
      <c r="G1914" t="str">
        <f>_xlfn.XLOOKUP(TRIM(E1915),MedicineInfo!A:A,MedicineInfo!B:B,"Not Found")</f>
        <v>Multivitamin</v>
      </c>
      <c r="H1914" s="1" t="str" cm="1">
        <f t="array" ref="H1914">_xlfn.IFS(
OR(E1914="Type 2 Diabetes",E1914="Essential Hypertension",E1914="Angina Pectoris",E1914="Bronchial Asthma",E1914="Cardiac Arrhythmia"), D1914+30,
OR(E1914="Gastritis",E1914="Osteoarthritis",E1914="Bronchitis",E1914="Iron Deficiency Anemia"), D1914+14,
OR(E1914="Lumbar Strain",E1914="Migraine Headache"), D1914+7,
OR(E1914="Viral Fever",E1914="General Checkup","Routine Health Check"), "",
TRUE,""
)</f>
        <v/>
      </c>
      <c r="I1914" s="1" t="str">
        <f t="shared" si="58"/>
        <v>No Follow-up Required</v>
      </c>
      <c r="J1914" t="str">
        <f>TEXT(Table8[[#This Row],[visit_Date]],"DDDD")</f>
        <v>Wednesday</v>
      </c>
      <c r="K1914" t="str">
        <f>TEXT(Table8[[#This Row],[visit_Date]],"mmmm")</f>
        <v>June</v>
      </c>
      <c r="L1914" t="str">
        <f t="shared" si="59"/>
        <v>Monsoon</v>
      </c>
    </row>
    <row r="1915" spans="1:12" x14ac:dyDescent="0.25">
      <c r="A1915">
        <v>1914</v>
      </c>
      <c r="B1915">
        <v>1300</v>
      </c>
      <c r="C1915">
        <v>1008</v>
      </c>
      <c r="D1915" s="1">
        <v>45819</v>
      </c>
      <c r="E1915" t="s">
        <v>24</v>
      </c>
      <c r="F1915" t="s">
        <v>321</v>
      </c>
      <c r="G1915" t="str">
        <f>_xlfn.XLOOKUP(TRIM(E1916),MedicineInfo!A:A,MedicineInfo!B:B,"Not Found")</f>
        <v>Metformin</v>
      </c>
      <c r="H1915" s="1" t="str" cm="1">
        <f t="array" ref="H1915">_xlfn.IFS(
OR(E1915="Type 2 Diabetes",E1915="Essential Hypertension",E1915="Angina Pectoris",E1915="Bronchial Asthma",E1915="Cardiac Arrhythmia"), D1915+30,
OR(E1915="Gastritis",E1915="Osteoarthritis",E1915="Bronchitis",E1915="Iron Deficiency Anemia"), D1915+14,
OR(E1915="Lumbar Strain",E1915="Migraine Headache"), D1915+7,
OR(E1915="Viral Fever",E1915="General Checkup","Routine Health Check"), "",
TRUE,""
)</f>
        <v/>
      </c>
      <c r="I1915" s="1" t="str">
        <f t="shared" si="58"/>
        <v>No Follow-up Required</v>
      </c>
      <c r="J1915" t="str">
        <f>TEXT(Table8[[#This Row],[visit_Date]],"DDDD")</f>
        <v>Wednesday</v>
      </c>
      <c r="K1915" t="str">
        <f>TEXT(Table8[[#This Row],[visit_Date]],"mmmm")</f>
        <v>June</v>
      </c>
      <c r="L1915" t="str">
        <f t="shared" si="59"/>
        <v>Monsoon</v>
      </c>
    </row>
    <row r="1916" spans="1:12" x14ac:dyDescent="0.25">
      <c r="A1916">
        <v>1915</v>
      </c>
      <c r="B1916">
        <v>1190</v>
      </c>
      <c r="C1916">
        <v>832</v>
      </c>
      <c r="D1916" s="1">
        <v>45681</v>
      </c>
      <c r="E1916" t="s">
        <v>317</v>
      </c>
      <c r="F1916" t="s">
        <v>318</v>
      </c>
      <c r="G1916" t="str">
        <f>_xlfn.XLOOKUP(TRIM(E1917),MedicineInfo!A:A,MedicineInfo!B:B,"Not Found")</f>
        <v>Multivitamin</v>
      </c>
      <c r="H1916" s="1" cm="1">
        <f t="array" ref="H1916">_xlfn.IFS(
OR(E1916="Type 2 Diabetes",E1916="Essential Hypertension",E1916="Angina Pectoris",E1916="Bronchial Asthma",E1916="Cardiac Arrhythmia"), D1916+30,
OR(E1916="Gastritis",E1916="Osteoarthritis",E1916="Bronchitis",E1916="Iron Deficiency Anemia"), D1916+14,
OR(E1916="Lumbar Strain",E1916="Migraine Headache"), D1916+7,
OR(E1916="Viral Fever",E1916="General Checkup","Routine Health Check"), "",
TRUE,""
)</f>
        <v>45711</v>
      </c>
      <c r="I1916" s="1" t="str">
        <f t="shared" si="58"/>
        <v>Follow-up Scheduled</v>
      </c>
      <c r="J1916" t="str">
        <f>TEXT(Table8[[#This Row],[visit_Date]],"DDDD")</f>
        <v>Friday</v>
      </c>
      <c r="K1916" t="str">
        <f>TEXT(Table8[[#This Row],[visit_Date]],"mmmm")</f>
        <v>January</v>
      </c>
      <c r="L1916" t="str">
        <f t="shared" si="59"/>
        <v>Winter</v>
      </c>
    </row>
    <row r="1917" spans="1:12" x14ac:dyDescent="0.25">
      <c r="A1917">
        <v>1916</v>
      </c>
      <c r="B1917">
        <v>1103</v>
      </c>
      <c r="C1917">
        <v>1468</v>
      </c>
      <c r="D1917" s="1">
        <v>45747</v>
      </c>
      <c r="E1917" t="s">
        <v>24</v>
      </c>
      <c r="F1917" t="s">
        <v>321</v>
      </c>
      <c r="G1917" t="str">
        <f>_xlfn.XLOOKUP(TRIM(E1918),MedicineInfo!A:A,MedicineInfo!B:B,"Not Found")</f>
        <v>Multivitamin</v>
      </c>
      <c r="H1917" s="1" t="str" cm="1">
        <f t="array" ref="H1917">_xlfn.IFS(
OR(E1917="Type 2 Diabetes",E1917="Essential Hypertension",E1917="Angina Pectoris",E1917="Bronchial Asthma",E1917="Cardiac Arrhythmia"), D1917+30,
OR(E1917="Gastritis",E1917="Osteoarthritis",E1917="Bronchitis",E1917="Iron Deficiency Anemia"), D1917+14,
OR(E1917="Lumbar Strain",E1917="Migraine Headache"), D1917+7,
OR(E1917="Viral Fever",E1917="General Checkup","Routine Health Check"), "",
TRUE,""
)</f>
        <v/>
      </c>
      <c r="I1917" s="1" t="str">
        <f t="shared" si="58"/>
        <v>No Follow-up Required</v>
      </c>
      <c r="J1917" t="str">
        <f>TEXT(Table8[[#This Row],[visit_Date]],"DDDD")</f>
        <v>Monday</v>
      </c>
      <c r="K1917" t="str">
        <f>TEXT(Table8[[#This Row],[visit_Date]],"mmmm")</f>
        <v>March</v>
      </c>
      <c r="L1917" t="str">
        <f t="shared" si="59"/>
        <v>Summer</v>
      </c>
    </row>
    <row r="1918" spans="1:12" x14ac:dyDescent="0.25">
      <c r="A1918">
        <v>1917</v>
      </c>
      <c r="B1918">
        <v>1348</v>
      </c>
      <c r="C1918">
        <v>871</v>
      </c>
      <c r="D1918" s="1">
        <v>45792</v>
      </c>
      <c r="E1918" t="s">
        <v>24</v>
      </c>
      <c r="F1918" t="s">
        <v>321</v>
      </c>
      <c r="G1918" t="str">
        <f>_xlfn.XLOOKUP(TRIM(E1919),MedicineInfo!A:A,MedicineInfo!B:B,"Not Found")</f>
        <v>Multivitamin</v>
      </c>
      <c r="H1918" s="1" t="str" cm="1">
        <f t="array" ref="H1918">_xlfn.IFS(
OR(E1918="Type 2 Diabetes",E1918="Essential Hypertension",E1918="Angina Pectoris",E1918="Bronchial Asthma",E1918="Cardiac Arrhythmia"), D1918+30,
OR(E1918="Gastritis",E1918="Osteoarthritis",E1918="Bronchitis",E1918="Iron Deficiency Anemia"), D1918+14,
OR(E1918="Lumbar Strain",E1918="Migraine Headache"), D1918+7,
OR(E1918="Viral Fever",E1918="General Checkup","Routine Health Check"), "",
TRUE,""
)</f>
        <v/>
      </c>
      <c r="I1918" s="1" t="str">
        <f t="shared" si="58"/>
        <v>No Follow-up Required</v>
      </c>
      <c r="J1918" t="str">
        <f>TEXT(Table8[[#This Row],[visit_Date]],"DDDD")</f>
        <v>Thursday</v>
      </c>
      <c r="K1918" t="str">
        <f>TEXT(Table8[[#This Row],[visit_Date]],"mmmm")</f>
        <v>May</v>
      </c>
      <c r="L1918" t="str">
        <f t="shared" si="59"/>
        <v>Summer</v>
      </c>
    </row>
    <row r="1919" spans="1:12" x14ac:dyDescent="0.25">
      <c r="A1919">
        <v>1918</v>
      </c>
      <c r="B1919">
        <v>1246</v>
      </c>
      <c r="C1919">
        <v>270</v>
      </c>
      <c r="D1919" s="1">
        <v>45814</v>
      </c>
      <c r="E1919" t="s">
        <v>24</v>
      </c>
      <c r="F1919" t="s">
        <v>321</v>
      </c>
      <c r="G1919" t="str">
        <f>_xlfn.XLOOKUP(TRIM(E1920),MedicineInfo!A:A,MedicineInfo!B:B,"Not Found")</f>
        <v>Multivitamin</v>
      </c>
      <c r="H1919" s="1" t="str" cm="1">
        <f t="array" ref="H1919">_xlfn.IFS(
OR(E1919="Type 2 Diabetes",E1919="Essential Hypertension",E1919="Angina Pectoris",E1919="Bronchial Asthma",E1919="Cardiac Arrhythmia"), D1919+30,
OR(E1919="Gastritis",E1919="Osteoarthritis",E1919="Bronchitis",E1919="Iron Deficiency Anemia"), D1919+14,
OR(E1919="Lumbar Strain",E1919="Migraine Headache"), D1919+7,
OR(E1919="Viral Fever",E1919="General Checkup","Routine Health Check"), "",
TRUE,""
)</f>
        <v/>
      </c>
      <c r="I1919" s="1" t="str">
        <f t="shared" si="58"/>
        <v>No Follow-up Required</v>
      </c>
      <c r="J1919" t="str">
        <f>TEXT(Table8[[#This Row],[visit_Date]],"DDDD")</f>
        <v>Friday</v>
      </c>
      <c r="K1919" t="str">
        <f>TEXT(Table8[[#This Row],[visit_Date]],"mmmm")</f>
        <v>June</v>
      </c>
      <c r="L1919" t="str">
        <f t="shared" si="59"/>
        <v>Monsoon</v>
      </c>
    </row>
    <row r="1920" spans="1:12" x14ac:dyDescent="0.25">
      <c r="A1920">
        <v>1919</v>
      </c>
      <c r="B1920">
        <v>1224</v>
      </c>
      <c r="C1920">
        <v>846</v>
      </c>
      <c r="D1920" s="1">
        <v>45790</v>
      </c>
      <c r="E1920" t="s">
        <v>24</v>
      </c>
      <c r="F1920" t="s">
        <v>321</v>
      </c>
      <c r="G1920" t="str">
        <f>_xlfn.XLOOKUP(TRIM(E1921),MedicineInfo!A:A,MedicineInfo!B:B,"Not Found")</f>
        <v>Multivitamin</v>
      </c>
      <c r="H1920" s="1" t="str" cm="1">
        <f t="array" ref="H1920">_xlfn.IFS(
OR(E1920="Type 2 Diabetes",E1920="Essential Hypertension",E1920="Angina Pectoris",E1920="Bronchial Asthma",E1920="Cardiac Arrhythmia"), D1920+30,
OR(E1920="Gastritis",E1920="Osteoarthritis",E1920="Bronchitis",E1920="Iron Deficiency Anemia"), D1920+14,
OR(E1920="Lumbar Strain",E1920="Migraine Headache"), D1920+7,
OR(E1920="Viral Fever",E1920="General Checkup","Routine Health Check"), "",
TRUE,""
)</f>
        <v/>
      </c>
      <c r="I1920" s="1" t="str">
        <f t="shared" si="58"/>
        <v>No Follow-up Required</v>
      </c>
      <c r="J1920" t="str">
        <f>TEXT(Table8[[#This Row],[visit_Date]],"DDDD")</f>
        <v>Tuesday</v>
      </c>
      <c r="K1920" t="str">
        <f>TEXT(Table8[[#This Row],[visit_Date]],"mmmm")</f>
        <v>May</v>
      </c>
      <c r="L1920" t="str">
        <f t="shared" si="59"/>
        <v>Summer</v>
      </c>
    </row>
    <row r="1921" spans="1:12" x14ac:dyDescent="0.25">
      <c r="A1921">
        <v>1920</v>
      </c>
      <c r="B1921">
        <v>1332</v>
      </c>
      <c r="C1921">
        <v>647</v>
      </c>
      <c r="D1921" s="1">
        <v>45799</v>
      </c>
      <c r="E1921" t="s">
        <v>24</v>
      </c>
      <c r="F1921" t="s">
        <v>321</v>
      </c>
      <c r="G1921" t="str">
        <f>_xlfn.XLOOKUP(TRIM(E1922),MedicineInfo!A:A,MedicineInfo!B:B,"Not Found")</f>
        <v>Metformin</v>
      </c>
      <c r="H1921" s="1" t="str" cm="1">
        <f t="array" ref="H1921">_xlfn.IFS(
OR(E1921="Type 2 Diabetes",E1921="Essential Hypertension",E1921="Angina Pectoris",E1921="Bronchial Asthma",E1921="Cardiac Arrhythmia"), D1921+30,
OR(E1921="Gastritis",E1921="Osteoarthritis",E1921="Bronchitis",E1921="Iron Deficiency Anemia"), D1921+14,
OR(E1921="Lumbar Strain",E1921="Migraine Headache"), D1921+7,
OR(E1921="Viral Fever",E1921="General Checkup","Routine Health Check"), "",
TRUE,""
)</f>
        <v/>
      </c>
      <c r="I1921" s="1" t="str">
        <f t="shared" si="58"/>
        <v>No Follow-up Required</v>
      </c>
      <c r="J1921" t="str">
        <f>TEXT(Table8[[#This Row],[visit_Date]],"DDDD")</f>
        <v>Thursday</v>
      </c>
      <c r="K1921" t="str">
        <f>TEXT(Table8[[#This Row],[visit_Date]],"mmmm")</f>
        <v>May</v>
      </c>
      <c r="L1921" t="str">
        <f t="shared" si="59"/>
        <v>Summer</v>
      </c>
    </row>
    <row r="1922" spans="1:12" x14ac:dyDescent="0.25">
      <c r="A1922">
        <v>1921</v>
      </c>
      <c r="B1922">
        <v>1004</v>
      </c>
      <c r="C1922">
        <v>526</v>
      </c>
      <c r="D1922" s="1">
        <v>45776</v>
      </c>
      <c r="E1922" t="s">
        <v>317</v>
      </c>
      <c r="F1922" t="s">
        <v>318</v>
      </c>
      <c r="G1922" t="str">
        <f>_xlfn.XLOOKUP(TRIM(E1923),MedicineInfo!A:A,MedicineInfo!B:B,"Not Found")</f>
        <v>Aceclofenac</v>
      </c>
      <c r="H1922" s="1" cm="1">
        <f t="array" ref="H1922">_xlfn.IFS(
OR(E1922="Type 2 Diabetes",E1922="Essential Hypertension",E1922="Angina Pectoris",E1922="Bronchial Asthma",E1922="Cardiac Arrhythmia"), D1922+30,
OR(E1922="Gastritis",E1922="Osteoarthritis",E1922="Bronchitis",E1922="Iron Deficiency Anemia"), D1922+14,
OR(E1922="Lumbar Strain",E1922="Migraine Headache"), D1922+7,
OR(E1922="Viral Fever",E1922="General Checkup","Routine Health Check"), "",
TRUE,""
)</f>
        <v>45806</v>
      </c>
      <c r="I1922" s="1" t="str">
        <f t="shared" ref="I1922:I1985" si="60">IF(H1922="","No Follow-up Required","Follow-up Scheduled")</f>
        <v>Follow-up Scheduled</v>
      </c>
      <c r="J1922" t="str">
        <f>TEXT(Table8[[#This Row],[visit_Date]],"DDDD")</f>
        <v>Tuesday</v>
      </c>
      <c r="K1922" t="str">
        <f>TEXT(Table8[[#This Row],[visit_Date]],"mmmm")</f>
        <v>April</v>
      </c>
      <c r="L1922" t="str">
        <f t="shared" ref="L1922:L1985" si="61">IF(OR(MONTH(D1922)=12,MONTH(D1922)&lt;=2),"Winter",
IF(MONTH(D1922)&lt;=5,"Summer","Monsoon"))</f>
        <v>Summer</v>
      </c>
    </row>
    <row r="1923" spans="1:12" x14ac:dyDescent="0.25">
      <c r="A1923">
        <v>1922</v>
      </c>
      <c r="B1923">
        <v>1374</v>
      </c>
      <c r="C1923">
        <v>501</v>
      </c>
      <c r="D1923" s="1">
        <v>45717</v>
      </c>
      <c r="E1923" t="s">
        <v>348</v>
      </c>
      <c r="F1923" t="s">
        <v>349</v>
      </c>
      <c r="G1923" t="str">
        <f>_xlfn.XLOOKUP(TRIM(E1924),MedicineInfo!A:A,MedicineInfo!B:B,"Not Found")</f>
        <v>Multivitamin</v>
      </c>
      <c r="H1923" s="1" cm="1">
        <f t="array" ref="H1923">_xlfn.IFS(
OR(E1923="Type 2 Diabetes",E1923="Essential Hypertension",E1923="Angina Pectoris",E1923="Bronchial Asthma",E1923="Cardiac Arrhythmia"), D1923+30,
OR(E1923="Gastritis",E1923="Osteoarthritis",E1923="Bronchitis",E1923="Iron Deficiency Anemia"), D1923+14,
OR(E1923="Lumbar Strain",E1923="Migraine Headache"), D1923+7,
OR(E1923="Viral Fever",E1923="General Checkup","Routine Health Check"), "",
TRUE,""
)</f>
        <v>45731</v>
      </c>
      <c r="I1923" s="1" t="str">
        <f t="shared" si="60"/>
        <v>Follow-up Scheduled</v>
      </c>
      <c r="J1923" t="str">
        <f>TEXT(Table8[[#This Row],[visit_Date]],"DDDD")</f>
        <v>Saturday</v>
      </c>
      <c r="K1923" t="str">
        <f>TEXT(Table8[[#This Row],[visit_Date]],"mmmm")</f>
        <v>March</v>
      </c>
      <c r="L1923" t="str">
        <f t="shared" si="61"/>
        <v>Summer</v>
      </c>
    </row>
    <row r="1924" spans="1:12" x14ac:dyDescent="0.25">
      <c r="A1924">
        <v>1923</v>
      </c>
      <c r="B1924">
        <v>1085</v>
      </c>
      <c r="C1924">
        <v>588</v>
      </c>
      <c r="D1924" s="1">
        <v>45783</v>
      </c>
      <c r="E1924" t="s">
        <v>24</v>
      </c>
      <c r="F1924" t="s">
        <v>321</v>
      </c>
      <c r="G1924" t="str">
        <f>_xlfn.XLOOKUP(TRIM(E1925),MedicineInfo!A:A,MedicineInfo!B:B,"Not Found")</f>
        <v>Not Found</v>
      </c>
      <c r="H1924" s="1" t="str" cm="1">
        <f t="array" ref="H1924">_xlfn.IFS(
OR(E1924="Type 2 Diabetes",E1924="Essential Hypertension",E1924="Angina Pectoris",E1924="Bronchial Asthma",E1924="Cardiac Arrhythmia"), D1924+30,
OR(E1924="Gastritis",E1924="Osteoarthritis",E1924="Bronchitis",E1924="Iron Deficiency Anemia"), D1924+14,
OR(E1924="Lumbar Strain",E1924="Migraine Headache"), D1924+7,
OR(E1924="Viral Fever",E1924="General Checkup","Routine Health Check"), "",
TRUE,""
)</f>
        <v/>
      </c>
      <c r="I1924" s="1" t="str">
        <f t="shared" si="60"/>
        <v>No Follow-up Required</v>
      </c>
      <c r="J1924" t="str">
        <f>TEXT(Table8[[#This Row],[visit_Date]],"DDDD")</f>
        <v>Tuesday</v>
      </c>
      <c r="K1924" t="str">
        <f>TEXT(Table8[[#This Row],[visit_Date]],"mmmm")</f>
        <v>May</v>
      </c>
      <c r="L1924" t="str">
        <f t="shared" si="61"/>
        <v>Summer</v>
      </c>
    </row>
    <row r="1925" spans="1:12" x14ac:dyDescent="0.25">
      <c r="A1925">
        <v>1924</v>
      </c>
      <c r="B1925">
        <v>1047</v>
      </c>
      <c r="C1925">
        <v>1260</v>
      </c>
      <c r="D1925" s="1">
        <v>45672</v>
      </c>
      <c r="E1925" t="s">
        <v>340</v>
      </c>
      <c r="F1925" t="s">
        <v>341</v>
      </c>
      <c r="G1925" t="str">
        <f>_xlfn.XLOOKUP(TRIM(E1926),MedicineInfo!A:A,MedicineInfo!B:B,"Not Found")</f>
        <v>Multivitamin</v>
      </c>
      <c r="H1925" s="1" t="str" cm="1">
        <f t="array" ref="H1925">_xlfn.IFS(
OR(E1925="Type 2 Diabetes",E1925="Essential Hypertension",E1925="Angina Pectoris",E1925="Bronchial Asthma",E1925="Cardiac Arrhythmia"), D1925+30,
OR(E1925="Gastritis",E1925="Osteoarthritis",E1925="Bronchitis",E1925="Iron Deficiency Anemia"), D1925+14,
OR(E1925="Lumbar Strain",E1925="Migraine Headache"), D1925+7,
OR(E1925="Viral Fever",E1925="General Checkup","Routine Health Check"), "",
TRUE,""
)</f>
        <v/>
      </c>
      <c r="I1925" s="1" t="str">
        <f t="shared" si="60"/>
        <v>No Follow-up Required</v>
      </c>
      <c r="J1925" t="str">
        <f>TEXT(Table8[[#This Row],[visit_Date]],"DDDD")</f>
        <v>Wednesday</v>
      </c>
      <c r="K1925" t="str">
        <f>TEXT(Table8[[#This Row],[visit_Date]],"mmmm")</f>
        <v>January</v>
      </c>
      <c r="L1925" t="str">
        <f t="shared" si="61"/>
        <v>Winter</v>
      </c>
    </row>
    <row r="1926" spans="1:12" x14ac:dyDescent="0.25">
      <c r="A1926">
        <v>1925</v>
      </c>
      <c r="B1926">
        <v>1386</v>
      </c>
      <c r="C1926">
        <v>578</v>
      </c>
      <c r="D1926" s="1">
        <v>45826</v>
      </c>
      <c r="E1926" t="s">
        <v>24</v>
      </c>
      <c r="F1926" t="s">
        <v>321</v>
      </c>
      <c r="G1926" t="str">
        <f>_xlfn.XLOOKUP(TRIM(E1927),MedicineInfo!A:A,MedicineInfo!B:B,"Not Found")</f>
        <v>Multivitamin</v>
      </c>
      <c r="H1926" s="1" t="str" cm="1">
        <f t="array" ref="H1926">_xlfn.IFS(
OR(E1926="Type 2 Diabetes",E1926="Essential Hypertension",E1926="Angina Pectoris",E1926="Bronchial Asthma",E1926="Cardiac Arrhythmia"), D1926+30,
OR(E1926="Gastritis",E1926="Osteoarthritis",E1926="Bronchitis",E1926="Iron Deficiency Anemia"), D1926+14,
OR(E1926="Lumbar Strain",E1926="Migraine Headache"), D1926+7,
OR(E1926="Viral Fever",E1926="General Checkup","Routine Health Check"), "",
TRUE,""
)</f>
        <v/>
      </c>
      <c r="I1926" s="1" t="str">
        <f t="shared" si="60"/>
        <v>No Follow-up Required</v>
      </c>
      <c r="J1926" t="str">
        <f>TEXT(Table8[[#This Row],[visit_Date]],"DDDD")</f>
        <v>Wednesday</v>
      </c>
      <c r="K1926" t="str">
        <f>TEXT(Table8[[#This Row],[visit_Date]],"mmmm")</f>
        <v>June</v>
      </c>
      <c r="L1926" t="str">
        <f t="shared" si="61"/>
        <v>Monsoon</v>
      </c>
    </row>
    <row r="1927" spans="1:12" x14ac:dyDescent="0.25">
      <c r="A1927">
        <v>1926</v>
      </c>
      <c r="B1927">
        <v>1318</v>
      </c>
      <c r="C1927">
        <v>212</v>
      </c>
      <c r="D1927" s="1">
        <v>45765</v>
      </c>
      <c r="E1927" t="s">
        <v>24</v>
      </c>
      <c r="F1927" t="s">
        <v>321</v>
      </c>
      <c r="G1927" t="str">
        <f>_xlfn.XLOOKUP(TRIM(E1928),MedicineInfo!A:A,MedicineInfo!B:B,"Not Found")</f>
        <v>Multivitamin</v>
      </c>
      <c r="H1927" s="1" t="str" cm="1">
        <f t="array" ref="H1927">_xlfn.IFS(
OR(E1927="Type 2 Diabetes",E1927="Essential Hypertension",E1927="Angina Pectoris",E1927="Bronchial Asthma",E1927="Cardiac Arrhythmia"), D1927+30,
OR(E1927="Gastritis",E1927="Osteoarthritis",E1927="Bronchitis",E1927="Iron Deficiency Anemia"), D1927+14,
OR(E1927="Lumbar Strain",E1927="Migraine Headache"), D1927+7,
OR(E1927="Viral Fever",E1927="General Checkup","Routine Health Check"), "",
TRUE,""
)</f>
        <v/>
      </c>
      <c r="I1927" s="1" t="str">
        <f t="shared" si="60"/>
        <v>No Follow-up Required</v>
      </c>
      <c r="J1927" t="str">
        <f>TEXT(Table8[[#This Row],[visit_Date]],"DDDD")</f>
        <v>Friday</v>
      </c>
      <c r="K1927" t="str">
        <f>TEXT(Table8[[#This Row],[visit_Date]],"mmmm")</f>
        <v>April</v>
      </c>
      <c r="L1927" t="str">
        <f t="shared" si="61"/>
        <v>Summer</v>
      </c>
    </row>
    <row r="1928" spans="1:12" x14ac:dyDescent="0.25">
      <c r="A1928">
        <v>1927</v>
      </c>
      <c r="B1928">
        <v>1313</v>
      </c>
      <c r="C1928">
        <v>1227</v>
      </c>
      <c r="D1928" s="1">
        <v>45747</v>
      </c>
      <c r="E1928" t="s">
        <v>24</v>
      </c>
      <c r="F1928" t="s">
        <v>321</v>
      </c>
      <c r="G1928" t="str">
        <f>_xlfn.XLOOKUP(TRIM(E1929),MedicineInfo!A:A,MedicineInfo!B:B,"Not Found")</f>
        <v>Nitroglycerin</v>
      </c>
      <c r="H1928" s="1" t="str" cm="1">
        <f t="array" ref="H1928">_xlfn.IFS(
OR(E1928="Type 2 Diabetes",E1928="Essential Hypertension",E1928="Angina Pectoris",E1928="Bronchial Asthma",E1928="Cardiac Arrhythmia"), D1928+30,
OR(E1928="Gastritis",E1928="Osteoarthritis",E1928="Bronchitis",E1928="Iron Deficiency Anemia"), D1928+14,
OR(E1928="Lumbar Strain",E1928="Migraine Headache"), D1928+7,
OR(E1928="Viral Fever",E1928="General Checkup","Routine Health Check"), "",
TRUE,""
)</f>
        <v/>
      </c>
      <c r="I1928" s="1" t="str">
        <f t="shared" si="60"/>
        <v>No Follow-up Required</v>
      </c>
      <c r="J1928" t="str">
        <f>TEXT(Table8[[#This Row],[visit_Date]],"DDDD")</f>
        <v>Monday</v>
      </c>
      <c r="K1928" t="str">
        <f>TEXT(Table8[[#This Row],[visit_Date]],"mmmm")</f>
        <v>March</v>
      </c>
      <c r="L1928" t="str">
        <f t="shared" si="61"/>
        <v>Summer</v>
      </c>
    </row>
    <row r="1929" spans="1:12" x14ac:dyDescent="0.25">
      <c r="A1929">
        <v>1928</v>
      </c>
      <c r="B1929">
        <v>1038</v>
      </c>
      <c r="C1929">
        <v>270</v>
      </c>
      <c r="D1929" s="1">
        <v>45823</v>
      </c>
      <c r="E1929" t="s">
        <v>322</v>
      </c>
      <c r="F1929" t="s">
        <v>323</v>
      </c>
      <c r="G1929" t="str">
        <f>_xlfn.XLOOKUP(TRIM(E1930),MedicineInfo!A:A,MedicineInfo!B:B,"Not Found")</f>
        <v>Multivitamin</v>
      </c>
      <c r="H1929" s="1" cm="1">
        <f t="array" ref="H1929">_xlfn.IFS(
OR(E1929="Type 2 Diabetes",E1929="Essential Hypertension",E1929="Angina Pectoris",E1929="Bronchial Asthma",E1929="Cardiac Arrhythmia"), D1929+30,
OR(E1929="Gastritis",E1929="Osteoarthritis",E1929="Bronchitis",E1929="Iron Deficiency Anemia"), D1929+14,
OR(E1929="Lumbar Strain",E1929="Migraine Headache"), D1929+7,
OR(E1929="Viral Fever",E1929="General Checkup","Routine Health Check"), "",
TRUE,""
)</f>
        <v>45853</v>
      </c>
      <c r="I1929" s="1" t="str">
        <f t="shared" si="60"/>
        <v>Follow-up Scheduled</v>
      </c>
      <c r="J1929" t="str">
        <f>TEXT(Table8[[#This Row],[visit_Date]],"DDDD")</f>
        <v>Sunday</v>
      </c>
      <c r="K1929" t="str">
        <f>TEXT(Table8[[#This Row],[visit_Date]],"mmmm")</f>
        <v>June</v>
      </c>
      <c r="L1929" t="str">
        <f t="shared" si="61"/>
        <v>Monsoon</v>
      </c>
    </row>
    <row r="1930" spans="1:12" x14ac:dyDescent="0.25">
      <c r="A1930">
        <v>1929</v>
      </c>
      <c r="B1930">
        <v>1371</v>
      </c>
      <c r="C1930">
        <v>1457</v>
      </c>
      <c r="D1930" s="1">
        <v>45783</v>
      </c>
      <c r="E1930" t="s">
        <v>24</v>
      </c>
      <c r="F1930" t="s">
        <v>321</v>
      </c>
      <c r="G1930" t="str">
        <f>_xlfn.XLOOKUP(TRIM(E1931),MedicineInfo!A:A,MedicineInfo!B:B,"Not Found")</f>
        <v>Multivitamin</v>
      </c>
      <c r="H1930" s="1" t="str" cm="1">
        <f t="array" ref="H1930">_xlfn.IFS(
OR(E1930="Type 2 Diabetes",E1930="Essential Hypertension",E1930="Angina Pectoris",E1930="Bronchial Asthma",E1930="Cardiac Arrhythmia"), D1930+30,
OR(E1930="Gastritis",E1930="Osteoarthritis",E1930="Bronchitis",E1930="Iron Deficiency Anemia"), D1930+14,
OR(E1930="Lumbar Strain",E1930="Migraine Headache"), D1930+7,
OR(E1930="Viral Fever",E1930="General Checkup","Routine Health Check"), "",
TRUE,""
)</f>
        <v/>
      </c>
      <c r="I1930" s="1" t="str">
        <f t="shared" si="60"/>
        <v>No Follow-up Required</v>
      </c>
      <c r="J1930" t="str">
        <f>TEXT(Table8[[#This Row],[visit_Date]],"DDDD")</f>
        <v>Tuesday</v>
      </c>
      <c r="K1930" t="str">
        <f>TEXT(Table8[[#This Row],[visit_Date]],"mmmm")</f>
        <v>May</v>
      </c>
      <c r="L1930" t="str">
        <f t="shared" si="61"/>
        <v>Summer</v>
      </c>
    </row>
    <row r="1931" spans="1:12" x14ac:dyDescent="0.25">
      <c r="A1931">
        <v>1930</v>
      </c>
      <c r="B1931">
        <v>1106</v>
      </c>
      <c r="C1931">
        <v>432</v>
      </c>
      <c r="D1931" s="1">
        <v>45783</v>
      </c>
      <c r="E1931" t="s">
        <v>24</v>
      </c>
      <c r="F1931" t="s">
        <v>321</v>
      </c>
      <c r="G1931" t="str">
        <f>_xlfn.XLOOKUP(TRIM(E1932),MedicineInfo!A:A,MedicineInfo!B:B,"Not Found")</f>
        <v>Multivitamin</v>
      </c>
      <c r="H1931" s="1" t="str" cm="1">
        <f t="array" ref="H1931">_xlfn.IFS(
OR(E1931="Type 2 Diabetes",E1931="Essential Hypertension",E1931="Angina Pectoris",E1931="Bronchial Asthma",E1931="Cardiac Arrhythmia"), D1931+30,
OR(E1931="Gastritis",E1931="Osteoarthritis",E1931="Bronchitis",E1931="Iron Deficiency Anemia"), D1931+14,
OR(E1931="Lumbar Strain",E1931="Migraine Headache"), D1931+7,
OR(E1931="Viral Fever",E1931="General Checkup","Routine Health Check"), "",
TRUE,""
)</f>
        <v/>
      </c>
      <c r="I1931" s="1" t="str">
        <f t="shared" si="60"/>
        <v>No Follow-up Required</v>
      </c>
      <c r="J1931" t="str">
        <f>TEXT(Table8[[#This Row],[visit_Date]],"DDDD")</f>
        <v>Tuesday</v>
      </c>
      <c r="K1931" t="str">
        <f>TEXT(Table8[[#This Row],[visit_Date]],"mmmm")</f>
        <v>May</v>
      </c>
      <c r="L1931" t="str">
        <f t="shared" si="61"/>
        <v>Summer</v>
      </c>
    </row>
    <row r="1932" spans="1:12" x14ac:dyDescent="0.25">
      <c r="A1932">
        <v>1931</v>
      </c>
      <c r="B1932">
        <v>1356</v>
      </c>
      <c r="C1932">
        <v>768</v>
      </c>
      <c r="D1932" s="1">
        <v>45853</v>
      </c>
      <c r="E1932" t="s">
        <v>24</v>
      </c>
      <c r="F1932" t="s">
        <v>321</v>
      </c>
      <c r="G1932" t="str">
        <f>_xlfn.XLOOKUP(TRIM(E1933),MedicineInfo!A:A,MedicineInfo!B:B,"Not Found")</f>
        <v>Multivitamin</v>
      </c>
      <c r="H1932" s="1" t="str" cm="1">
        <f t="array" ref="H1932">_xlfn.IFS(
OR(E1932="Type 2 Diabetes",E1932="Essential Hypertension",E1932="Angina Pectoris",E1932="Bronchial Asthma",E1932="Cardiac Arrhythmia"), D1932+30,
OR(E1932="Gastritis",E1932="Osteoarthritis",E1932="Bronchitis",E1932="Iron Deficiency Anemia"), D1932+14,
OR(E1932="Lumbar Strain",E1932="Migraine Headache"), D1932+7,
OR(E1932="Viral Fever",E1932="General Checkup","Routine Health Check"), "",
TRUE,""
)</f>
        <v/>
      </c>
      <c r="I1932" s="1" t="str">
        <f t="shared" si="60"/>
        <v>No Follow-up Required</v>
      </c>
      <c r="J1932" t="str">
        <f>TEXT(Table8[[#This Row],[visit_Date]],"DDDD")</f>
        <v>Tuesday</v>
      </c>
      <c r="K1932" t="str">
        <f>TEXT(Table8[[#This Row],[visit_Date]],"mmmm")</f>
        <v>July</v>
      </c>
      <c r="L1932" t="str">
        <f t="shared" si="61"/>
        <v>Monsoon</v>
      </c>
    </row>
    <row r="1933" spans="1:12" x14ac:dyDescent="0.25">
      <c r="A1933">
        <v>1932</v>
      </c>
      <c r="B1933">
        <v>1035</v>
      </c>
      <c r="C1933">
        <v>997</v>
      </c>
      <c r="D1933" s="1">
        <v>45790</v>
      </c>
      <c r="E1933" t="s">
        <v>24</v>
      </c>
      <c r="F1933" t="s">
        <v>321</v>
      </c>
      <c r="G1933" t="str">
        <f>_xlfn.XLOOKUP(TRIM(E1934),MedicineInfo!A:A,MedicineInfo!B:B,"Not Found")</f>
        <v>Multivitamin</v>
      </c>
      <c r="H1933" s="1" t="str" cm="1">
        <f t="array" ref="H1933">_xlfn.IFS(
OR(E1933="Type 2 Diabetes",E1933="Essential Hypertension",E1933="Angina Pectoris",E1933="Bronchial Asthma",E1933="Cardiac Arrhythmia"), D1933+30,
OR(E1933="Gastritis",E1933="Osteoarthritis",E1933="Bronchitis",E1933="Iron Deficiency Anemia"), D1933+14,
OR(E1933="Lumbar Strain",E1933="Migraine Headache"), D1933+7,
OR(E1933="Viral Fever",E1933="General Checkup","Routine Health Check"), "",
TRUE,""
)</f>
        <v/>
      </c>
      <c r="I1933" s="1" t="str">
        <f t="shared" si="60"/>
        <v>No Follow-up Required</v>
      </c>
      <c r="J1933" t="str">
        <f>TEXT(Table8[[#This Row],[visit_Date]],"DDDD")</f>
        <v>Tuesday</v>
      </c>
      <c r="K1933" t="str">
        <f>TEXT(Table8[[#This Row],[visit_Date]],"mmmm")</f>
        <v>May</v>
      </c>
      <c r="L1933" t="str">
        <f t="shared" si="61"/>
        <v>Summer</v>
      </c>
    </row>
    <row r="1934" spans="1:12" x14ac:dyDescent="0.25">
      <c r="A1934">
        <v>1933</v>
      </c>
      <c r="B1934">
        <v>1037</v>
      </c>
      <c r="C1934">
        <v>1102</v>
      </c>
      <c r="D1934" s="1">
        <v>45747</v>
      </c>
      <c r="E1934" t="s">
        <v>24</v>
      </c>
      <c r="F1934" t="s">
        <v>321</v>
      </c>
      <c r="G1934" t="str">
        <f>_xlfn.XLOOKUP(TRIM(E1935),MedicineInfo!A:A,MedicineInfo!B:B,"Not Found")</f>
        <v>Multivitamin</v>
      </c>
      <c r="H1934" s="1" t="str" cm="1">
        <f t="array" ref="H1934">_xlfn.IFS(
OR(E1934="Type 2 Diabetes",E1934="Essential Hypertension",E1934="Angina Pectoris",E1934="Bronchial Asthma",E1934="Cardiac Arrhythmia"), D1934+30,
OR(E1934="Gastritis",E1934="Osteoarthritis",E1934="Bronchitis",E1934="Iron Deficiency Anemia"), D1934+14,
OR(E1934="Lumbar Strain",E1934="Migraine Headache"), D1934+7,
OR(E1934="Viral Fever",E1934="General Checkup","Routine Health Check"), "",
TRUE,""
)</f>
        <v/>
      </c>
      <c r="I1934" s="1" t="str">
        <f t="shared" si="60"/>
        <v>No Follow-up Required</v>
      </c>
      <c r="J1934" t="str">
        <f>TEXT(Table8[[#This Row],[visit_Date]],"DDDD")</f>
        <v>Monday</v>
      </c>
      <c r="K1934" t="str">
        <f>TEXT(Table8[[#This Row],[visit_Date]],"mmmm")</f>
        <v>March</v>
      </c>
      <c r="L1934" t="str">
        <f t="shared" si="61"/>
        <v>Summer</v>
      </c>
    </row>
    <row r="1935" spans="1:12" x14ac:dyDescent="0.25">
      <c r="A1935">
        <v>1934</v>
      </c>
      <c r="B1935">
        <v>1210</v>
      </c>
      <c r="C1935">
        <v>465</v>
      </c>
      <c r="D1935" s="1">
        <v>45691</v>
      </c>
      <c r="E1935" t="s">
        <v>24</v>
      </c>
      <c r="F1935" t="s">
        <v>321</v>
      </c>
      <c r="G1935" t="str">
        <f>_xlfn.XLOOKUP(TRIM(E1936),MedicineInfo!A:A,MedicineInfo!B:B,"Not Found")</f>
        <v>Multivitamin</v>
      </c>
      <c r="H1935" s="1" t="str" cm="1">
        <f t="array" ref="H1935">_xlfn.IFS(
OR(E1935="Type 2 Diabetes",E1935="Essential Hypertension",E1935="Angina Pectoris",E1935="Bronchial Asthma",E1935="Cardiac Arrhythmia"), D1935+30,
OR(E1935="Gastritis",E1935="Osteoarthritis",E1935="Bronchitis",E1935="Iron Deficiency Anemia"), D1935+14,
OR(E1935="Lumbar Strain",E1935="Migraine Headache"), D1935+7,
OR(E1935="Viral Fever",E1935="General Checkup","Routine Health Check"), "",
TRUE,""
)</f>
        <v/>
      </c>
      <c r="I1935" s="1" t="str">
        <f t="shared" si="60"/>
        <v>No Follow-up Required</v>
      </c>
      <c r="J1935" t="str">
        <f>TEXT(Table8[[#This Row],[visit_Date]],"DDDD")</f>
        <v>Monday</v>
      </c>
      <c r="K1935" t="str">
        <f>TEXT(Table8[[#This Row],[visit_Date]],"mmmm")</f>
        <v>February</v>
      </c>
      <c r="L1935" t="str">
        <f t="shared" si="61"/>
        <v>Winter</v>
      </c>
    </row>
    <row r="1936" spans="1:12" x14ac:dyDescent="0.25">
      <c r="A1936">
        <v>1935</v>
      </c>
      <c r="B1936">
        <v>1140</v>
      </c>
      <c r="C1936">
        <v>552</v>
      </c>
      <c r="D1936" s="1">
        <v>45792</v>
      </c>
      <c r="E1936" t="s">
        <v>24</v>
      </c>
      <c r="F1936" t="s">
        <v>321</v>
      </c>
      <c r="G1936" t="str">
        <f>_xlfn.XLOOKUP(TRIM(E1937),MedicineInfo!A:A,MedicineInfo!B:B,"Not Found")</f>
        <v>Multivitamin</v>
      </c>
      <c r="H1936" s="1" t="str" cm="1">
        <f t="array" ref="H1936">_xlfn.IFS(
OR(E1936="Type 2 Diabetes",E1936="Essential Hypertension",E1936="Angina Pectoris",E1936="Bronchial Asthma",E1936="Cardiac Arrhythmia"), D1936+30,
OR(E1936="Gastritis",E1936="Osteoarthritis",E1936="Bronchitis",E1936="Iron Deficiency Anemia"), D1936+14,
OR(E1936="Lumbar Strain",E1936="Migraine Headache"), D1936+7,
OR(E1936="Viral Fever",E1936="General Checkup","Routine Health Check"), "",
TRUE,""
)</f>
        <v/>
      </c>
      <c r="I1936" s="1" t="str">
        <f t="shared" si="60"/>
        <v>No Follow-up Required</v>
      </c>
      <c r="J1936" t="str">
        <f>TEXT(Table8[[#This Row],[visit_Date]],"DDDD")</f>
        <v>Thursday</v>
      </c>
      <c r="K1936" t="str">
        <f>TEXT(Table8[[#This Row],[visit_Date]],"mmmm")</f>
        <v>May</v>
      </c>
      <c r="L1936" t="str">
        <f t="shared" si="61"/>
        <v>Summer</v>
      </c>
    </row>
    <row r="1937" spans="1:12" x14ac:dyDescent="0.25">
      <c r="A1937">
        <v>1936</v>
      </c>
      <c r="B1937">
        <v>1102</v>
      </c>
      <c r="C1937">
        <v>152</v>
      </c>
      <c r="D1937" s="1">
        <v>45733</v>
      </c>
      <c r="E1937" t="s">
        <v>24</v>
      </c>
      <c r="F1937" t="s">
        <v>321</v>
      </c>
      <c r="G1937" t="str">
        <f>_xlfn.XLOOKUP(TRIM(E1938),MedicineInfo!A:A,MedicineInfo!B:B,"Not Found")</f>
        <v>Multivitamin</v>
      </c>
      <c r="H1937" s="1" t="str" cm="1">
        <f t="array" ref="H1937">_xlfn.IFS(
OR(E1937="Type 2 Diabetes",E1937="Essential Hypertension",E1937="Angina Pectoris",E1937="Bronchial Asthma",E1937="Cardiac Arrhythmia"), D1937+30,
OR(E1937="Gastritis",E1937="Osteoarthritis",E1937="Bronchitis",E1937="Iron Deficiency Anemia"), D1937+14,
OR(E1937="Lumbar Strain",E1937="Migraine Headache"), D1937+7,
OR(E1937="Viral Fever",E1937="General Checkup","Routine Health Check"), "",
TRUE,""
)</f>
        <v/>
      </c>
      <c r="I1937" s="1" t="str">
        <f t="shared" si="60"/>
        <v>No Follow-up Required</v>
      </c>
      <c r="J1937" t="str">
        <f>TEXT(Table8[[#This Row],[visit_Date]],"DDDD")</f>
        <v>Monday</v>
      </c>
      <c r="K1937" t="str">
        <f>TEXT(Table8[[#This Row],[visit_Date]],"mmmm")</f>
        <v>March</v>
      </c>
      <c r="L1937" t="str">
        <f t="shared" si="61"/>
        <v>Summer</v>
      </c>
    </row>
    <row r="1938" spans="1:12" x14ac:dyDescent="0.25">
      <c r="A1938">
        <v>1937</v>
      </c>
      <c r="B1938">
        <v>1265</v>
      </c>
      <c r="C1938">
        <v>1272</v>
      </c>
      <c r="D1938" s="1">
        <v>45767</v>
      </c>
      <c r="E1938" t="s">
        <v>24</v>
      </c>
      <c r="F1938" t="s">
        <v>321</v>
      </c>
      <c r="G1938" t="str">
        <f>_xlfn.XLOOKUP(TRIM(E1939),MedicineInfo!A:A,MedicineInfo!B:B,"Not Found")</f>
        <v>Multivitamin</v>
      </c>
      <c r="H1938" s="1" t="str" cm="1">
        <f t="array" ref="H1938">_xlfn.IFS(
OR(E1938="Type 2 Diabetes",E1938="Essential Hypertension",E1938="Angina Pectoris",E1938="Bronchial Asthma",E1938="Cardiac Arrhythmia"), D1938+30,
OR(E1938="Gastritis",E1938="Osteoarthritis",E1938="Bronchitis",E1938="Iron Deficiency Anemia"), D1938+14,
OR(E1938="Lumbar Strain",E1938="Migraine Headache"), D1938+7,
OR(E1938="Viral Fever",E1938="General Checkup","Routine Health Check"), "",
TRUE,""
)</f>
        <v/>
      </c>
      <c r="I1938" s="1" t="str">
        <f t="shared" si="60"/>
        <v>No Follow-up Required</v>
      </c>
      <c r="J1938" t="str">
        <f>TEXT(Table8[[#This Row],[visit_Date]],"DDDD")</f>
        <v>Sunday</v>
      </c>
      <c r="K1938" t="str">
        <f>TEXT(Table8[[#This Row],[visit_Date]],"mmmm")</f>
        <v>April</v>
      </c>
      <c r="L1938" t="str">
        <f t="shared" si="61"/>
        <v>Summer</v>
      </c>
    </row>
    <row r="1939" spans="1:12" x14ac:dyDescent="0.25">
      <c r="A1939">
        <v>1938</v>
      </c>
      <c r="B1939">
        <v>1208</v>
      </c>
      <c r="C1939">
        <v>1358</v>
      </c>
      <c r="D1939" s="1">
        <v>45792</v>
      </c>
      <c r="E1939" t="s">
        <v>24</v>
      </c>
      <c r="F1939" t="s">
        <v>321</v>
      </c>
      <c r="G1939" t="str">
        <f>_xlfn.XLOOKUP(TRIM(E1940),MedicineInfo!A:A,MedicineInfo!B:B,"Not Found")</f>
        <v>Vitamin D3</v>
      </c>
      <c r="H1939" s="1" t="str" cm="1">
        <f t="array" ref="H1939">_xlfn.IFS(
OR(E1939="Type 2 Diabetes",E1939="Essential Hypertension",E1939="Angina Pectoris",E1939="Bronchial Asthma",E1939="Cardiac Arrhythmia"), D1939+30,
OR(E1939="Gastritis",E1939="Osteoarthritis",E1939="Bronchitis",E1939="Iron Deficiency Anemia"), D1939+14,
OR(E1939="Lumbar Strain",E1939="Migraine Headache"), D1939+7,
OR(E1939="Viral Fever",E1939="General Checkup","Routine Health Check"), "",
TRUE,""
)</f>
        <v/>
      </c>
      <c r="I1939" s="1" t="str">
        <f t="shared" si="60"/>
        <v>No Follow-up Required</v>
      </c>
      <c r="J1939" t="str">
        <f>TEXT(Table8[[#This Row],[visit_Date]],"DDDD")</f>
        <v>Thursday</v>
      </c>
      <c r="K1939" t="str">
        <f>TEXT(Table8[[#This Row],[visit_Date]],"mmmm")</f>
        <v>May</v>
      </c>
      <c r="L1939" t="str">
        <f t="shared" si="61"/>
        <v>Summer</v>
      </c>
    </row>
    <row r="1940" spans="1:12" x14ac:dyDescent="0.25">
      <c r="A1940">
        <v>1939</v>
      </c>
      <c r="B1940">
        <v>1167</v>
      </c>
      <c r="C1940">
        <v>338</v>
      </c>
      <c r="D1940" s="1">
        <v>45715</v>
      </c>
      <c r="E1940" t="s">
        <v>332</v>
      </c>
      <c r="F1940" t="s">
        <v>333</v>
      </c>
      <c r="G1940" t="str">
        <f>_xlfn.XLOOKUP(TRIM(E1941),MedicineInfo!A:A,MedicineInfo!B:B,"Not Found")</f>
        <v>Sumatriptan</v>
      </c>
      <c r="H1940" s="1" t="str" cm="1">
        <f t="array" ref="H1940">_xlfn.IFS(
OR(E1940="Type 2 Diabetes",E1940="Essential Hypertension",E1940="Angina Pectoris",E1940="Bronchial Asthma",E1940="Cardiac Arrhythmia"), D1940+30,
OR(E1940="Gastritis",E1940="Osteoarthritis",E1940="Bronchitis",E1940="Iron Deficiency Anemia"), D1940+14,
OR(E1940="Lumbar Strain",E1940="Migraine Headache"), D1940+7,
OR(E1940="Viral Fever",E1940="General Checkup","Routine Health Check"), "",
TRUE,""
)</f>
        <v/>
      </c>
      <c r="I1940" s="1" t="str">
        <f t="shared" si="60"/>
        <v>No Follow-up Required</v>
      </c>
      <c r="J1940" t="str">
        <f>TEXT(Table8[[#This Row],[visit_Date]],"DDDD")</f>
        <v>Thursday</v>
      </c>
      <c r="K1940" t="str">
        <f>TEXT(Table8[[#This Row],[visit_Date]],"mmmm")</f>
        <v>February</v>
      </c>
      <c r="L1940" t="str">
        <f t="shared" si="61"/>
        <v>Winter</v>
      </c>
    </row>
    <row r="1941" spans="1:12" x14ac:dyDescent="0.25">
      <c r="A1941">
        <v>1940</v>
      </c>
      <c r="B1941">
        <v>1047</v>
      </c>
      <c r="C1941">
        <v>1297</v>
      </c>
      <c r="D1941" s="1">
        <v>45691</v>
      </c>
      <c r="E1941" t="s">
        <v>315</v>
      </c>
      <c r="F1941" t="s">
        <v>316</v>
      </c>
      <c r="G1941" t="str">
        <f>_xlfn.XLOOKUP(TRIM(E1942),MedicineInfo!A:A,MedicineInfo!B:B,"Not Found")</f>
        <v>Multivitamin</v>
      </c>
      <c r="H1941" s="1" cm="1">
        <f t="array" ref="H1941">_xlfn.IFS(
OR(E1941="Type 2 Diabetes",E1941="Essential Hypertension",E1941="Angina Pectoris",E1941="Bronchial Asthma",E1941="Cardiac Arrhythmia"), D1941+30,
OR(E1941="Gastritis",E1941="Osteoarthritis",E1941="Bronchitis",E1941="Iron Deficiency Anemia"), D1941+14,
OR(E1941="Lumbar Strain",E1941="Migraine Headache"), D1941+7,
OR(E1941="Viral Fever",E1941="General Checkup","Routine Health Check"), "",
TRUE,""
)</f>
        <v>45698</v>
      </c>
      <c r="I1941" s="1" t="str">
        <f t="shared" si="60"/>
        <v>Follow-up Scheduled</v>
      </c>
      <c r="J1941" t="str">
        <f>TEXT(Table8[[#This Row],[visit_Date]],"DDDD")</f>
        <v>Monday</v>
      </c>
      <c r="K1941" t="str">
        <f>TEXT(Table8[[#This Row],[visit_Date]],"mmmm")</f>
        <v>February</v>
      </c>
      <c r="L1941" t="str">
        <f t="shared" si="61"/>
        <v>Winter</v>
      </c>
    </row>
    <row r="1942" spans="1:12" x14ac:dyDescent="0.25">
      <c r="A1942">
        <v>1941</v>
      </c>
      <c r="B1942">
        <v>1202</v>
      </c>
      <c r="C1942">
        <v>237</v>
      </c>
      <c r="D1942" s="1">
        <v>45765</v>
      </c>
      <c r="E1942" t="s">
        <v>24</v>
      </c>
      <c r="F1942" t="s">
        <v>321</v>
      </c>
      <c r="G1942" t="str">
        <f>_xlfn.XLOOKUP(TRIM(E1943),MedicineInfo!A:A,MedicineInfo!B:B,"Not Found")</f>
        <v>Multivitamin</v>
      </c>
      <c r="H1942" s="1" t="str" cm="1">
        <f t="array" ref="H1942">_xlfn.IFS(
OR(E1942="Type 2 Diabetes",E1942="Essential Hypertension",E1942="Angina Pectoris",E1942="Bronchial Asthma",E1942="Cardiac Arrhythmia"), D1942+30,
OR(E1942="Gastritis",E1942="Osteoarthritis",E1942="Bronchitis",E1942="Iron Deficiency Anemia"), D1942+14,
OR(E1942="Lumbar Strain",E1942="Migraine Headache"), D1942+7,
OR(E1942="Viral Fever",E1942="General Checkup","Routine Health Check"), "",
TRUE,""
)</f>
        <v/>
      </c>
      <c r="I1942" s="1" t="str">
        <f t="shared" si="60"/>
        <v>No Follow-up Required</v>
      </c>
      <c r="J1942" t="str">
        <f>TEXT(Table8[[#This Row],[visit_Date]],"DDDD")</f>
        <v>Friday</v>
      </c>
      <c r="K1942" t="str">
        <f>TEXT(Table8[[#This Row],[visit_Date]],"mmmm")</f>
        <v>April</v>
      </c>
      <c r="L1942" t="str">
        <f t="shared" si="61"/>
        <v>Summer</v>
      </c>
    </row>
    <row r="1943" spans="1:12" x14ac:dyDescent="0.25">
      <c r="A1943">
        <v>1942</v>
      </c>
      <c r="B1943">
        <v>1039</v>
      </c>
      <c r="C1943">
        <v>372</v>
      </c>
      <c r="D1943" s="1">
        <v>45857</v>
      </c>
      <c r="E1943" t="s">
        <v>24</v>
      </c>
      <c r="F1943" t="s">
        <v>321</v>
      </c>
      <c r="G1943" t="str">
        <f>_xlfn.XLOOKUP(TRIM(E1944),MedicineInfo!A:A,MedicineInfo!B:B,"Not Found")</f>
        <v>Multivitamin</v>
      </c>
      <c r="H1943" s="1" t="str" cm="1">
        <f t="array" ref="H1943">_xlfn.IFS(
OR(E1943="Type 2 Diabetes",E1943="Essential Hypertension",E1943="Angina Pectoris",E1943="Bronchial Asthma",E1943="Cardiac Arrhythmia"), D1943+30,
OR(E1943="Gastritis",E1943="Osteoarthritis",E1943="Bronchitis",E1943="Iron Deficiency Anemia"), D1943+14,
OR(E1943="Lumbar Strain",E1943="Migraine Headache"), D1943+7,
OR(E1943="Viral Fever",E1943="General Checkup","Routine Health Check"), "",
TRUE,""
)</f>
        <v/>
      </c>
      <c r="I1943" s="1" t="str">
        <f t="shared" si="60"/>
        <v>No Follow-up Required</v>
      </c>
      <c r="J1943" t="str">
        <f>TEXT(Table8[[#This Row],[visit_Date]],"DDDD")</f>
        <v>Saturday</v>
      </c>
      <c r="K1943" t="str">
        <f>TEXT(Table8[[#This Row],[visit_Date]],"mmmm")</f>
        <v>July</v>
      </c>
      <c r="L1943" t="str">
        <f t="shared" si="61"/>
        <v>Monsoon</v>
      </c>
    </row>
    <row r="1944" spans="1:12" x14ac:dyDescent="0.25">
      <c r="A1944">
        <v>1943</v>
      </c>
      <c r="B1944">
        <v>1313</v>
      </c>
      <c r="C1944">
        <v>850</v>
      </c>
      <c r="D1944" s="1">
        <v>45853</v>
      </c>
      <c r="E1944" t="s">
        <v>24</v>
      </c>
      <c r="F1944" t="s">
        <v>321</v>
      </c>
      <c r="G1944" t="str">
        <f>_xlfn.XLOOKUP(TRIM(E1945),MedicineInfo!A:A,MedicineInfo!B:B,"Not Found")</f>
        <v>Nitroglycerin</v>
      </c>
      <c r="H1944" s="1" t="str" cm="1">
        <f t="array" ref="H1944">_xlfn.IFS(
OR(E1944="Type 2 Diabetes",E1944="Essential Hypertension",E1944="Angina Pectoris",E1944="Bronchial Asthma",E1944="Cardiac Arrhythmia"), D1944+30,
OR(E1944="Gastritis",E1944="Osteoarthritis",E1944="Bronchitis",E1944="Iron Deficiency Anemia"), D1944+14,
OR(E1944="Lumbar Strain",E1944="Migraine Headache"), D1944+7,
OR(E1944="Viral Fever",E1944="General Checkup","Routine Health Check"), "",
TRUE,""
)</f>
        <v/>
      </c>
      <c r="I1944" s="1" t="str">
        <f t="shared" si="60"/>
        <v>No Follow-up Required</v>
      </c>
      <c r="J1944" t="str">
        <f>TEXT(Table8[[#This Row],[visit_Date]],"DDDD")</f>
        <v>Tuesday</v>
      </c>
      <c r="K1944" t="str">
        <f>TEXT(Table8[[#This Row],[visit_Date]],"mmmm")</f>
        <v>July</v>
      </c>
      <c r="L1944" t="str">
        <f t="shared" si="61"/>
        <v>Monsoon</v>
      </c>
    </row>
    <row r="1945" spans="1:12" x14ac:dyDescent="0.25">
      <c r="A1945">
        <v>1944</v>
      </c>
      <c r="B1945">
        <v>1356</v>
      </c>
      <c r="C1945">
        <v>473</v>
      </c>
      <c r="D1945" s="1">
        <v>45747</v>
      </c>
      <c r="E1945" t="s">
        <v>322</v>
      </c>
      <c r="F1945" t="s">
        <v>323</v>
      </c>
      <c r="G1945" t="str">
        <f>_xlfn.XLOOKUP(TRIM(E1946),MedicineInfo!A:A,MedicineInfo!B:B,"Not Found")</f>
        <v>Nitroglycerin</v>
      </c>
      <c r="H1945" s="1" cm="1">
        <f t="array" ref="H1945">_xlfn.IFS(
OR(E1945="Type 2 Diabetes",E1945="Essential Hypertension",E1945="Angina Pectoris",E1945="Bronchial Asthma",E1945="Cardiac Arrhythmia"), D1945+30,
OR(E1945="Gastritis",E1945="Osteoarthritis",E1945="Bronchitis",E1945="Iron Deficiency Anemia"), D1945+14,
OR(E1945="Lumbar Strain",E1945="Migraine Headache"), D1945+7,
OR(E1945="Viral Fever",E1945="General Checkup","Routine Health Check"), "",
TRUE,""
)</f>
        <v>45777</v>
      </c>
      <c r="I1945" s="1" t="str">
        <f t="shared" si="60"/>
        <v>Follow-up Scheduled</v>
      </c>
      <c r="J1945" t="str">
        <f>TEXT(Table8[[#This Row],[visit_Date]],"DDDD")</f>
        <v>Monday</v>
      </c>
      <c r="K1945" t="str">
        <f>TEXT(Table8[[#This Row],[visit_Date]],"mmmm")</f>
        <v>March</v>
      </c>
      <c r="L1945" t="str">
        <f t="shared" si="61"/>
        <v>Summer</v>
      </c>
    </row>
    <row r="1946" spans="1:12" x14ac:dyDescent="0.25">
      <c r="A1946">
        <v>1945</v>
      </c>
      <c r="B1946">
        <v>1319</v>
      </c>
      <c r="C1946">
        <v>698</v>
      </c>
      <c r="D1946" s="1">
        <v>45792</v>
      </c>
      <c r="E1946" t="s">
        <v>322</v>
      </c>
      <c r="F1946" t="s">
        <v>323</v>
      </c>
      <c r="G1946" t="str">
        <f>_xlfn.XLOOKUP(TRIM(E1947),MedicineInfo!A:A,MedicineInfo!B:B,"Not Found")</f>
        <v>Diclofenac</v>
      </c>
      <c r="H1946" s="1" cm="1">
        <f t="array" ref="H1946">_xlfn.IFS(
OR(E1946="Type 2 Diabetes",E1946="Essential Hypertension",E1946="Angina Pectoris",E1946="Bronchial Asthma",E1946="Cardiac Arrhythmia"), D1946+30,
OR(E1946="Gastritis",E1946="Osteoarthritis",E1946="Bronchitis",E1946="Iron Deficiency Anemia"), D1946+14,
OR(E1946="Lumbar Strain",E1946="Migraine Headache"), D1946+7,
OR(E1946="Viral Fever",E1946="General Checkup","Routine Health Check"), "",
TRUE,""
)</f>
        <v>45822</v>
      </c>
      <c r="I1946" s="1" t="str">
        <f t="shared" si="60"/>
        <v>Follow-up Scheduled</v>
      </c>
      <c r="J1946" t="str">
        <f>TEXT(Table8[[#This Row],[visit_Date]],"DDDD")</f>
        <v>Thursday</v>
      </c>
      <c r="K1946" t="str">
        <f>TEXT(Table8[[#This Row],[visit_Date]],"mmmm")</f>
        <v>May</v>
      </c>
      <c r="L1946" t="str">
        <f t="shared" si="61"/>
        <v>Summer</v>
      </c>
    </row>
    <row r="1947" spans="1:12" x14ac:dyDescent="0.25">
      <c r="A1947">
        <v>1946</v>
      </c>
      <c r="B1947">
        <v>1284</v>
      </c>
      <c r="C1947">
        <v>1399</v>
      </c>
      <c r="D1947" s="1">
        <v>45814</v>
      </c>
      <c r="E1947" t="s">
        <v>313</v>
      </c>
      <c r="F1947" t="s">
        <v>314</v>
      </c>
      <c r="G1947" t="str">
        <f>_xlfn.XLOOKUP(TRIM(E1948),MedicineInfo!A:A,MedicineInfo!B:B,"Not Found")</f>
        <v>Not Found</v>
      </c>
      <c r="H1947" s="1" cm="1">
        <f t="array" ref="H1947">_xlfn.IFS(
OR(E1947="Type 2 Diabetes",E1947="Essential Hypertension",E1947="Angina Pectoris",E1947="Bronchial Asthma",E1947="Cardiac Arrhythmia"), D1947+30,
OR(E1947="Gastritis",E1947="Osteoarthritis",E1947="Bronchitis",E1947="Iron Deficiency Anemia"), D1947+14,
OR(E1947="Lumbar Strain",E1947="Migraine Headache"), D1947+7,
OR(E1947="Viral Fever",E1947="General Checkup","Routine Health Check"), "",
TRUE,""
)</f>
        <v>45821</v>
      </c>
      <c r="I1947" s="1" t="str">
        <f t="shared" si="60"/>
        <v>Follow-up Scheduled</v>
      </c>
      <c r="J1947" t="str">
        <f>TEXT(Table8[[#This Row],[visit_Date]],"DDDD")</f>
        <v>Friday</v>
      </c>
      <c r="K1947" t="str">
        <f>TEXT(Table8[[#This Row],[visit_Date]],"mmmm")</f>
        <v>June</v>
      </c>
      <c r="L1947" t="str">
        <f t="shared" si="61"/>
        <v>Monsoon</v>
      </c>
    </row>
    <row r="1948" spans="1:12" x14ac:dyDescent="0.25">
      <c r="A1948">
        <v>1947</v>
      </c>
      <c r="B1948">
        <v>1080</v>
      </c>
      <c r="C1948">
        <v>1479</v>
      </c>
      <c r="D1948" s="1">
        <v>45747</v>
      </c>
      <c r="E1948" t="s">
        <v>340</v>
      </c>
      <c r="F1948" t="s">
        <v>341</v>
      </c>
      <c r="G1948" t="str">
        <f>_xlfn.XLOOKUP(TRIM(E1949),MedicineInfo!A:A,MedicineInfo!B:B,"Not Found")</f>
        <v>Multivitamin</v>
      </c>
      <c r="H1948" s="1" t="str" cm="1">
        <f t="array" ref="H1948">_xlfn.IFS(
OR(E1948="Type 2 Diabetes",E1948="Essential Hypertension",E1948="Angina Pectoris",E1948="Bronchial Asthma",E1948="Cardiac Arrhythmia"), D1948+30,
OR(E1948="Gastritis",E1948="Osteoarthritis",E1948="Bronchitis",E1948="Iron Deficiency Anemia"), D1948+14,
OR(E1948="Lumbar Strain",E1948="Migraine Headache"), D1948+7,
OR(E1948="Viral Fever",E1948="General Checkup","Routine Health Check"), "",
TRUE,""
)</f>
        <v/>
      </c>
      <c r="I1948" s="1" t="str">
        <f t="shared" si="60"/>
        <v>No Follow-up Required</v>
      </c>
      <c r="J1948" t="str">
        <f>TEXT(Table8[[#This Row],[visit_Date]],"DDDD")</f>
        <v>Monday</v>
      </c>
      <c r="K1948" t="str">
        <f>TEXT(Table8[[#This Row],[visit_Date]],"mmmm")</f>
        <v>March</v>
      </c>
      <c r="L1948" t="str">
        <f t="shared" si="61"/>
        <v>Summer</v>
      </c>
    </row>
    <row r="1949" spans="1:12" x14ac:dyDescent="0.25">
      <c r="A1949">
        <v>1948</v>
      </c>
      <c r="B1949">
        <v>1334</v>
      </c>
      <c r="C1949">
        <v>674</v>
      </c>
      <c r="D1949" s="1">
        <v>45789</v>
      </c>
      <c r="E1949" t="s">
        <v>24</v>
      </c>
      <c r="F1949" t="s">
        <v>321</v>
      </c>
      <c r="G1949" t="str">
        <f>_xlfn.XLOOKUP(TRIM(E1950),MedicineInfo!A:A,MedicineInfo!B:B,"Not Found")</f>
        <v>Multivitamin</v>
      </c>
      <c r="H1949" s="1" t="str" cm="1">
        <f t="array" ref="H1949">_xlfn.IFS(
OR(E1949="Type 2 Diabetes",E1949="Essential Hypertension",E1949="Angina Pectoris",E1949="Bronchial Asthma",E1949="Cardiac Arrhythmia"), D1949+30,
OR(E1949="Gastritis",E1949="Osteoarthritis",E1949="Bronchitis",E1949="Iron Deficiency Anemia"), D1949+14,
OR(E1949="Lumbar Strain",E1949="Migraine Headache"), D1949+7,
OR(E1949="Viral Fever",E1949="General Checkup","Routine Health Check"), "",
TRUE,""
)</f>
        <v/>
      </c>
      <c r="I1949" s="1" t="str">
        <f t="shared" si="60"/>
        <v>No Follow-up Required</v>
      </c>
      <c r="J1949" t="str">
        <f>TEXT(Table8[[#This Row],[visit_Date]],"DDDD")</f>
        <v>Monday</v>
      </c>
      <c r="K1949" t="str">
        <f>TEXT(Table8[[#This Row],[visit_Date]],"mmmm")</f>
        <v>May</v>
      </c>
      <c r="L1949" t="str">
        <f t="shared" si="61"/>
        <v>Summer</v>
      </c>
    </row>
    <row r="1950" spans="1:12" x14ac:dyDescent="0.25">
      <c r="A1950">
        <v>1949</v>
      </c>
      <c r="B1950">
        <v>1140</v>
      </c>
      <c r="C1950">
        <v>1275</v>
      </c>
      <c r="D1950" s="1">
        <v>45676</v>
      </c>
      <c r="E1950" t="s">
        <v>24</v>
      </c>
      <c r="F1950" t="s">
        <v>321</v>
      </c>
      <c r="G1950" t="str">
        <f>_xlfn.XLOOKUP(TRIM(E1951),MedicineInfo!A:A,MedicineInfo!B:B,"Not Found")</f>
        <v>Multivitamin</v>
      </c>
      <c r="H1950" s="1" t="str" cm="1">
        <f t="array" ref="H1950">_xlfn.IFS(
OR(E1950="Type 2 Diabetes",E1950="Essential Hypertension",E1950="Angina Pectoris",E1950="Bronchial Asthma",E1950="Cardiac Arrhythmia"), D1950+30,
OR(E1950="Gastritis",E1950="Osteoarthritis",E1950="Bronchitis",E1950="Iron Deficiency Anemia"), D1950+14,
OR(E1950="Lumbar Strain",E1950="Migraine Headache"), D1950+7,
OR(E1950="Viral Fever",E1950="General Checkup","Routine Health Check"), "",
TRUE,""
)</f>
        <v/>
      </c>
      <c r="I1950" s="1" t="str">
        <f t="shared" si="60"/>
        <v>No Follow-up Required</v>
      </c>
      <c r="J1950" t="str">
        <f>TEXT(Table8[[#This Row],[visit_Date]],"DDDD")</f>
        <v>Sunday</v>
      </c>
      <c r="K1950" t="str">
        <f>TEXT(Table8[[#This Row],[visit_Date]],"mmmm")</f>
        <v>January</v>
      </c>
      <c r="L1950" t="str">
        <f t="shared" si="61"/>
        <v>Winter</v>
      </c>
    </row>
    <row r="1951" spans="1:12" x14ac:dyDescent="0.25">
      <c r="A1951">
        <v>1950</v>
      </c>
      <c r="B1951">
        <v>1306</v>
      </c>
      <c r="C1951">
        <v>1259</v>
      </c>
      <c r="D1951" s="1">
        <v>45791</v>
      </c>
      <c r="E1951" t="s">
        <v>24</v>
      </c>
      <c r="F1951" t="s">
        <v>321</v>
      </c>
      <c r="G1951" t="str">
        <f>_xlfn.XLOOKUP(TRIM(E1952),MedicineInfo!A:A,MedicineInfo!B:B,"Not Found")</f>
        <v>Multivitamin</v>
      </c>
      <c r="H1951" s="1" t="str" cm="1">
        <f t="array" ref="H1951">_xlfn.IFS(
OR(E1951="Type 2 Diabetes",E1951="Essential Hypertension",E1951="Angina Pectoris",E1951="Bronchial Asthma",E1951="Cardiac Arrhythmia"), D1951+30,
OR(E1951="Gastritis",E1951="Osteoarthritis",E1951="Bronchitis",E1951="Iron Deficiency Anemia"), D1951+14,
OR(E1951="Lumbar Strain",E1951="Migraine Headache"), D1951+7,
OR(E1951="Viral Fever",E1951="General Checkup","Routine Health Check"), "",
TRUE,""
)</f>
        <v/>
      </c>
      <c r="I1951" s="1" t="str">
        <f t="shared" si="60"/>
        <v>No Follow-up Required</v>
      </c>
      <c r="J1951" t="str">
        <f>TEXT(Table8[[#This Row],[visit_Date]],"DDDD")</f>
        <v>Wednesday</v>
      </c>
      <c r="K1951" t="str">
        <f>TEXT(Table8[[#This Row],[visit_Date]],"mmmm")</f>
        <v>May</v>
      </c>
      <c r="L1951" t="str">
        <f t="shared" si="61"/>
        <v>Summer</v>
      </c>
    </row>
    <row r="1952" spans="1:12" x14ac:dyDescent="0.25">
      <c r="A1952">
        <v>1951</v>
      </c>
      <c r="B1952">
        <v>1058</v>
      </c>
      <c r="C1952">
        <v>1267</v>
      </c>
      <c r="D1952" s="1">
        <v>45767</v>
      </c>
      <c r="E1952" t="s">
        <v>24</v>
      </c>
      <c r="F1952" t="s">
        <v>321</v>
      </c>
      <c r="G1952" t="str">
        <f>_xlfn.XLOOKUP(TRIM(E1953),MedicineInfo!A:A,MedicineInfo!B:B,"Not Found")</f>
        <v>Multivitamin</v>
      </c>
      <c r="H1952" s="1" t="str" cm="1">
        <f t="array" ref="H1952">_xlfn.IFS(
OR(E1952="Type 2 Diabetes",E1952="Essential Hypertension",E1952="Angina Pectoris",E1952="Bronchial Asthma",E1952="Cardiac Arrhythmia"), D1952+30,
OR(E1952="Gastritis",E1952="Osteoarthritis",E1952="Bronchitis",E1952="Iron Deficiency Anemia"), D1952+14,
OR(E1952="Lumbar Strain",E1952="Migraine Headache"), D1952+7,
OR(E1952="Viral Fever",E1952="General Checkup","Routine Health Check"), "",
TRUE,""
)</f>
        <v/>
      </c>
      <c r="I1952" s="1" t="str">
        <f t="shared" si="60"/>
        <v>No Follow-up Required</v>
      </c>
      <c r="J1952" t="str">
        <f>TEXT(Table8[[#This Row],[visit_Date]],"DDDD")</f>
        <v>Sunday</v>
      </c>
      <c r="K1952" t="str">
        <f>TEXT(Table8[[#This Row],[visit_Date]],"mmmm")</f>
        <v>April</v>
      </c>
      <c r="L1952" t="str">
        <f t="shared" si="61"/>
        <v>Summer</v>
      </c>
    </row>
    <row r="1953" spans="1:12" x14ac:dyDescent="0.25">
      <c r="A1953">
        <v>1952</v>
      </c>
      <c r="B1953">
        <v>1122</v>
      </c>
      <c r="C1953">
        <v>1209</v>
      </c>
      <c r="D1953" s="1">
        <v>45792</v>
      </c>
      <c r="E1953" t="s">
        <v>24</v>
      </c>
      <c r="F1953" t="s">
        <v>321</v>
      </c>
      <c r="G1953" t="str">
        <f>_xlfn.XLOOKUP(TRIM(E1954),MedicineInfo!A:A,MedicineInfo!B:B,"Not Found")</f>
        <v>Multivitamin</v>
      </c>
      <c r="H1953" s="1" t="str" cm="1">
        <f t="array" ref="H1953">_xlfn.IFS(
OR(E1953="Type 2 Diabetes",E1953="Essential Hypertension",E1953="Angina Pectoris",E1953="Bronchial Asthma",E1953="Cardiac Arrhythmia"), D1953+30,
OR(E1953="Gastritis",E1953="Osteoarthritis",E1953="Bronchitis",E1953="Iron Deficiency Anemia"), D1953+14,
OR(E1953="Lumbar Strain",E1953="Migraine Headache"), D1953+7,
OR(E1953="Viral Fever",E1953="General Checkup","Routine Health Check"), "",
TRUE,""
)</f>
        <v/>
      </c>
      <c r="I1953" s="1" t="str">
        <f t="shared" si="60"/>
        <v>No Follow-up Required</v>
      </c>
      <c r="J1953" t="str">
        <f>TEXT(Table8[[#This Row],[visit_Date]],"DDDD")</f>
        <v>Thursday</v>
      </c>
      <c r="K1953" t="str">
        <f>TEXT(Table8[[#This Row],[visit_Date]],"mmmm")</f>
        <v>May</v>
      </c>
      <c r="L1953" t="str">
        <f t="shared" si="61"/>
        <v>Summer</v>
      </c>
    </row>
    <row r="1954" spans="1:12" x14ac:dyDescent="0.25">
      <c r="A1954">
        <v>1953</v>
      </c>
      <c r="B1954">
        <v>1385</v>
      </c>
      <c r="C1954">
        <v>957</v>
      </c>
      <c r="D1954" s="1">
        <v>45790</v>
      </c>
      <c r="E1954" t="s">
        <v>24</v>
      </c>
      <c r="F1954" t="s">
        <v>321</v>
      </c>
      <c r="G1954" t="str">
        <f>_xlfn.XLOOKUP(TRIM(E1955),MedicineInfo!A:A,MedicineInfo!B:B,"Not Found")</f>
        <v>Amoxicillin</v>
      </c>
      <c r="H1954" s="1" t="str" cm="1">
        <f t="array" ref="H1954">_xlfn.IFS(
OR(E1954="Type 2 Diabetes",E1954="Essential Hypertension",E1954="Angina Pectoris",E1954="Bronchial Asthma",E1954="Cardiac Arrhythmia"), D1954+30,
OR(E1954="Gastritis",E1954="Osteoarthritis",E1954="Bronchitis",E1954="Iron Deficiency Anemia"), D1954+14,
OR(E1954="Lumbar Strain",E1954="Migraine Headache"), D1954+7,
OR(E1954="Viral Fever",E1954="General Checkup","Routine Health Check"), "",
TRUE,""
)</f>
        <v/>
      </c>
      <c r="I1954" s="1" t="str">
        <f t="shared" si="60"/>
        <v>No Follow-up Required</v>
      </c>
      <c r="J1954" t="str">
        <f>TEXT(Table8[[#This Row],[visit_Date]],"DDDD")</f>
        <v>Tuesday</v>
      </c>
      <c r="K1954" t="str">
        <f>TEXT(Table8[[#This Row],[visit_Date]],"mmmm")</f>
        <v>May</v>
      </c>
      <c r="L1954" t="str">
        <f t="shared" si="61"/>
        <v>Summer</v>
      </c>
    </row>
    <row r="1955" spans="1:12" x14ac:dyDescent="0.25">
      <c r="A1955">
        <v>1954</v>
      </c>
      <c r="B1955">
        <v>1158</v>
      </c>
      <c r="C1955">
        <v>483</v>
      </c>
      <c r="D1955" s="1">
        <v>45694</v>
      </c>
      <c r="E1955" t="s">
        <v>346</v>
      </c>
      <c r="F1955" t="s">
        <v>347</v>
      </c>
      <c r="G1955" t="str">
        <f>_xlfn.XLOOKUP(TRIM(E1956),MedicineInfo!A:A,MedicineInfo!B:B,"Not Found")</f>
        <v>Multivitamin</v>
      </c>
      <c r="H1955" s="1" cm="1">
        <f t="array" ref="H1955">_xlfn.IFS(
OR(E1955="Type 2 Diabetes",E1955="Essential Hypertension",E1955="Angina Pectoris",E1955="Bronchial Asthma",E1955="Cardiac Arrhythmia"), D1955+30,
OR(E1955="Gastritis",E1955="Osteoarthritis",E1955="Bronchitis",E1955="Iron Deficiency Anemia"), D1955+14,
OR(E1955="Lumbar Strain",E1955="Migraine Headache"), D1955+7,
OR(E1955="Viral Fever",E1955="General Checkup","Routine Health Check"), "",
TRUE,""
)</f>
        <v>45708</v>
      </c>
      <c r="I1955" s="1" t="str">
        <f t="shared" si="60"/>
        <v>Follow-up Scheduled</v>
      </c>
      <c r="J1955" t="str">
        <f>TEXT(Table8[[#This Row],[visit_Date]],"DDDD")</f>
        <v>Thursday</v>
      </c>
      <c r="K1955" t="str">
        <f>TEXT(Table8[[#This Row],[visit_Date]],"mmmm")</f>
        <v>February</v>
      </c>
      <c r="L1955" t="str">
        <f t="shared" si="61"/>
        <v>Winter</v>
      </c>
    </row>
    <row r="1956" spans="1:12" x14ac:dyDescent="0.25">
      <c r="A1956">
        <v>1955</v>
      </c>
      <c r="B1956">
        <v>1267</v>
      </c>
      <c r="C1956">
        <v>145</v>
      </c>
      <c r="D1956" s="1">
        <v>45715</v>
      </c>
      <c r="E1956" t="s">
        <v>24</v>
      </c>
      <c r="F1956" t="s">
        <v>321</v>
      </c>
      <c r="G1956" t="str">
        <f>_xlfn.XLOOKUP(TRIM(E1957),MedicineInfo!A:A,MedicineInfo!B:B,"Not Found")</f>
        <v>Amlodipine</v>
      </c>
      <c r="H1956" s="1" t="str" cm="1">
        <f t="array" ref="H1956">_xlfn.IFS(
OR(E1956="Type 2 Diabetes",E1956="Essential Hypertension",E1956="Angina Pectoris",E1956="Bronchial Asthma",E1956="Cardiac Arrhythmia"), D1956+30,
OR(E1956="Gastritis",E1956="Osteoarthritis",E1956="Bronchitis",E1956="Iron Deficiency Anemia"), D1956+14,
OR(E1956="Lumbar Strain",E1956="Migraine Headache"), D1956+7,
OR(E1956="Viral Fever",E1956="General Checkup","Routine Health Check"), "",
TRUE,""
)</f>
        <v/>
      </c>
      <c r="I1956" s="1" t="str">
        <f t="shared" si="60"/>
        <v>No Follow-up Required</v>
      </c>
      <c r="J1956" t="str">
        <f>TEXT(Table8[[#This Row],[visit_Date]],"DDDD")</f>
        <v>Thursday</v>
      </c>
      <c r="K1956" t="str">
        <f>TEXT(Table8[[#This Row],[visit_Date]],"mmmm")</f>
        <v>February</v>
      </c>
      <c r="L1956" t="str">
        <f t="shared" si="61"/>
        <v>Winter</v>
      </c>
    </row>
    <row r="1957" spans="1:12" x14ac:dyDescent="0.25">
      <c r="A1957">
        <v>1956</v>
      </c>
      <c r="B1957">
        <v>1075</v>
      </c>
      <c r="C1957">
        <v>1419</v>
      </c>
      <c r="D1957" s="1">
        <v>45691</v>
      </c>
      <c r="E1957" t="s">
        <v>319</v>
      </c>
      <c r="F1957" t="s">
        <v>320</v>
      </c>
      <c r="G1957" t="str">
        <f>_xlfn.XLOOKUP(TRIM(E1958),MedicineInfo!A:A,MedicineInfo!B:B,"Not Found")</f>
        <v>Multivitamin</v>
      </c>
      <c r="H1957" s="1" cm="1">
        <f t="array" ref="H1957">_xlfn.IFS(
OR(E1957="Type 2 Diabetes",E1957="Essential Hypertension",E1957="Angina Pectoris",E1957="Bronchial Asthma",E1957="Cardiac Arrhythmia"), D1957+30,
OR(E1957="Gastritis",E1957="Osteoarthritis",E1957="Bronchitis",E1957="Iron Deficiency Anemia"), D1957+14,
OR(E1957="Lumbar Strain",E1957="Migraine Headache"), D1957+7,
OR(E1957="Viral Fever",E1957="General Checkup","Routine Health Check"), "",
TRUE,""
)</f>
        <v>45721</v>
      </c>
      <c r="I1957" s="1" t="str">
        <f t="shared" si="60"/>
        <v>Follow-up Scheduled</v>
      </c>
      <c r="J1957" t="str">
        <f>TEXT(Table8[[#This Row],[visit_Date]],"DDDD")</f>
        <v>Monday</v>
      </c>
      <c r="K1957" t="str">
        <f>TEXT(Table8[[#This Row],[visit_Date]],"mmmm")</f>
        <v>February</v>
      </c>
      <c r="L1957" t="str">
        <f t="shared" si="61"/>
        <v>Winter</v>
      </c>
    </row>
    <row r="1958" spans="1:12" x14ac:dyDescent="0.25">
      <c r="A1958">
        <v>1957</v>
      </c>
      <c r="B1958">
        <v>1149</v>
      </c>
      <c r="C1958">
        <v>876</v>
      </c>
      <c r="D1958" s="1">
        <v>45758</v>
      </c>
      <c r="E1958" t="s">
        <v>24</v>
      </c>
      <c r="F1958" t="s">
        <v>321</v>
      </c>
      <c r="G1958" t="str">
        <f>_xlfn.XLOOKUP(TRIM(E1959),MedicineInfo!A:A,MedicineInfo!B:B,"Not Found")</f>
        <v>Multivitamin</v>
      </c>
      <c r="H1958" s="1" t="str" cm="1">
        <f t="array" ref="H1958">_xlfn.IFS(
OR(E1958="Type 2 Diabetes",E1958="Essential Hypertension",E1958="Angina Pectoris",E1958="Bronchial Asthma",E1958="Cardiac Arrhythmia"), D1958+30,
OR(E1958="Gastritis",E1958="Osteoarthritis",E1958="Bronchitis",E1958="Iron Deficiency Anemia"), D1958+14,
OR(E1958="Lumbar Strain",E1958="Migraine Headache"), D1958+7,
OR(E1958="Viral Fever",E1958="General Checkup","Routine Health Check"), "",
TRUE,""
)</f>
        <v/>
      </c>
      <c r="I1958" s="1" t="str">
        <f t="shared" si="60"/>
        <v>No Follow-up Required</v>
      </c>
      <c r="J1958" t="str">
        <f>TEXT(Table8[[#This Row],[visit_Date]],"DDDD")</f>
        <v>Friday</v>
      </c>
      <c r="K1958" t="str">
        <f>TEXT(Table8[[#This Row],[visit_Date]],"mmmm")</f>
        <v>April</v>
      </c>
      <c r="L1958" t="str">
        <f t="shared" si="61"/>
        <v>Summer</v>
      </c>
    </row>
    <row r="1959" spans="1:12" x14ac:dyDescent="0.25">
      <c r="A1959">
        <v>1958</v>
      </c>
      <c r="B1959">
        <v>1059</v>
      </c>
      <c r="C1959">
        <v>570</v>
      </c>
      <c r="D1959" s="1">
        <v>45672</v>
      </c>
      <c r="E1959" t="s">
        <v>24</v>
      </c>
      <c r="F1959" t="s">
        <v>321</v>
      </c>
      <c r="G1959" t="str">
        <f>_xlfn.XLOOKUP(TRIM(E1960),MedicineInfo!A:A,MedicineInfo!B:B,"Not Found")</f>
        <v>Multivitamin</v>
      </c>
      <c r="H1959" s="1" t="str" cm="1">
        <f t="array" ref="H1959">_xlfn.IFS(
OR(E1959="Type 2 Diabetes",E1959="Essential Hypertension",E1959="Angina Pectoris",E1959="Bronchial Asthma",E1959="Cardiac Arrhythmia"), D1959+30,
OR(E1959="Gastritis",E1959="Osteoarthritis",E1959="Bronchitis",E1959="Iron Deficiency Anemia"), D1959+14,
OR(E1959="Lumbar Strain",E1959="Migraine Headache"), D1959+7,
OR(E1959="Viral Fever",E1959="General Checkup","Routine Health Check"), "",
TRUE,""
)</f>
        <v/>
      </c>
      <c r="I1959" s="1" t="str">
        <f t="shared" si="60"/>
        <v>No Follow-up Required</v>
      </c>
      <c r="J1959" t="str">
        <f>TEXT(Table8[[#This Row],[visit_Date]],"DDDD")</f>
        <v>Wednesday</v>
      </c>
      <c r="K1959" t="str">
        <f>TEXT(Table8[[#This Row],[visit_Date]],"mmmm")</f>
        <v>January</v>
      </c>
      <c r="L1959" t="str">
        <f t="shared" si="61"/>
        <v>Winter</v>
      </c>
    </row>
    <row r="1960" spans="1:12" x14ac:dyDescent="0.25">
      <c r="A1960">
        <v>1959</v>
      </c>
      <c r="B1960">
        <v>1370</v>
      </c>
      <c r="C1960">
        <v>922</v>
      </c>
      <c r="D1960" s="1">
        <v>45792</v>
      </c>
      <c r="E1960" t="s">
        <v>24</v>
      </c>
      <c r="F1960" t="s">
        <v>321</v>
      </c>
      <c r="G1960" t="str">
        <f>_xlfn.XLOOKUP(TRIM(E1961),MedicineInfo!A:A,MedicineInfo!B:B,"Not Found")</f>
        <v>Multivitamin</v>
      </c>
      <c r="H1960" s="1" t="str" cm="1">
        <f t="array" ref="H1960">_xlfn.IFS(
OR(E1960="Type 2 Diabetes",E1960="Essential Hypertension",E1960="Angina Pectoris",E1960="Bronchial Asthma",E1960="Cardiac Arrhythmia"), D1960+30,
OR(E1960="Gastritis",E1960="Osteoarthritis",E1960="Bronchitis",E1960="Iron Deficiency Anemia"), D1960+14,
OR(E1960="Lumbar Strain",E1960="Migraine Headache"), D1960+7,
OR(E1960="Viral Fever",E1960="General Checkup","Routine Health Check"), "",
TRUE,""
)</f>
        <v/>
      </c>
      <c r="I1960" s="1" t="str">
        <f t="shared" si="60"/>
        <v>No Follow-up Required</v>
      </c>
      <c r="J1960" t="str">
        <f>TEXT(Table8[[#This Row],[visit_Date]],"DDDD")</f>
        <v>Thursday</v>
      </c>
      <c r="K1960" t="str">
        <f>TEXT(Table8[[#This Row],[visit_Date]],"mmmm")</f>
        <v>May</v>
      </c>
      <c r="L1960" t="str">
        <f t="shared" si="61"/>
        <v>Summer</v>
      </c>
    </row>
    <row r="1961" spans="1:12" x14ac:dyDescent="0.25">
      <c r="A1961">
        <v>1960</v>
      </c>
      <c r="B1961">
        <v>1317</v>
      </c>
      <c r="C1961">
        <v>457</v>
      </c>
      <c r="D1961" s="1">
        <v>45669</v>
      </c>
      <c r="E1961" t="s">
        <v>24</v>
      </c>
      <c r="F1961" t="s">
        <v>321</v>
      </c>
      <c r="G1961" t="str">
        <f>_xlfn.XLOOKUP(TRIM(E1962),MedicineInfo!A:A,MedicineInfo!B:B,"Not Found")</f>
        <v>Multivitamin</v>
      </c>
      <c r="H1961" s="1" t="str" cm="1">
        <f t="array" ref="H1961">_xlfn.IFS(
OR(E1961="Type 2 Diabetes",E1961="Essential Hypertension",E1961="Angina Pectoris",E1961="Bronchial Asthma",E1961="Cardiac Arrhythmia"), D1961+30,
OR(E1961="Gastritis",E1961="Osteoarthritis",E1961="Bronchitis",E1961="Iron Deficiency Anemia"), D1961+14,
OR(E1961="Lumbar Strain",E1961="Migraine Headache"), D1961+7,
OR(E1961="Viral Fever",E1961="General Checkup","Routine Health Check"), "",
TRUE,""
)</f>
        <v/>
      </c>
      <c r="I1961" s="1" t="str">
        <f t="shared" si="60"/>
        <v>No Follow-up Required</v>
      </c>
      <c r="J1961" t="str">
        <f>TEXT(Table8[[#This Row],[visit_Date]],"DDDD")</f>
        <v>Sunday</v>
      </c>
      <c r="K1961" t="str">
        <f>TEXT(Table8[[#This Row],[visit_Date]],"mmmm")</f>
        <v>January</v>
      </c>
      <c r="L1961" t="str">
        <f t="shared" si="61"/>
        <v>Winter</v>
      </c>
    </row>
    <row r="1962" spans="1:12" x14ac:dyDescent="0.25">
      <c r="A1962">
        <v>1961</v>
      </c>
      <c r="B1962">
        <v>1294</v>
      </c>
      <c r="C1962">
        <v>1399</v>
      </c>
      <c r="D1962" s="1">
        <v>45783</v>
      </c>
      <c r="E1962" t="s">
        <v>24</v>
      </c>
      <c r="F1962" t="s">
        <v>321</v>
      </c>
      <c r="G1962" t="str">
        <f>_xlfn.XLOOKUP(TRIM(E1963),MedicineInfo!A:A,MedicineInfo!B:B,"Not Found")</f>
        <v>Multivitamin</v>
      </c>
      <c r="H1962" s="1" t="str" cm="1">
        <f t="array" ref="H1962">_xlfn.IFS(
OR(E1962="Type 2 Diabetes",E1962="Essential Hypertension",E1962="Angina Pectoris",E1962="Bronchial Asthma",E1962="Cardiac Arrhythmia"), D1962+30,
OR(E1962="Gastritis",E1962="Osteoarthritis",E1962="Bronchitis",E1962="Iron Deficiency Anemia"), D1962+14,
OR(E1962="Lumbar Strain",E1962="Migraine Headache"), D1962+7,
OR(E1962="Viral Fever",E1962="General Checkup","Routine Health Check"), "",
TRUE,""
)</f>
        <v/>
      </c>
      <c r="I1962" s="1" t="str">
        <f t="shared" si="60"/>
        <v>No Follow-up Required</v>
      </c>
      <c r="J1962" t="str">
        <f>TEXT(Table8[[#This Row],[visit_Date]],"DDDD")</f>
        <v>Tuesday</v>
      </c>
      <c r="K1962" t="str">
        <f>TEXT(Table8[[#This Row],[visit_Date]],"mmmm")</f>
        <v>May</v>
      </c>
      <c r="L1962" t="str">
        <f t="shared" si="61"/>
        <v>Summer</v>
      </c>
    </row>
    <row r="1963" spans="1:12" x14ac:dyDescent="0.25">
      <c r="A1963">
        <v>1962</v>
      </c>
      <c r="B1963">
        <v>1197</v>
      </c>
      <c r="C1963">
        <v>610</v>
      </c>
      <c r="D1963" s="1">
        <v>45803</v>
      </c>
      <c r="E1963" t="s">
        <v>24</v>
      </c>
      <c r="F1963" t="s">
        <v>321</v>
      </c>
      <c r="G1963" t="str">
        <f>_xlfn.XLOOKUP(TRIM(E1964),MedicineInfo!A:A,MedicineInfo!B:B,"Not Found")</f>
        <v>Multivitamin</v>
      </c>
      <c r="H1963" s="1" t="str" cm="1">
        <f t="array" ref="H1963">_xlfn.IFS(
OR(E1963="Type 2 Diabetes",E1963="Essential Hypertension",E1963="Angina Pectoris",E1963="Bronchial Asthma",E1963="Cardiac Arrhythmia"), D1963+30,
OR(E1963="Gastritis",E1963="Osteoarthritis",E1963="Bronchitis",E1963="Iron Deficiency Anemia"), D1963+14,
OR(E1963="Lumbar Strain",E1963="Migraine Headache"), D1963+7,
OR(E1963="Viral Fever",E1963="General Checkup","Routine Health Check"), "",
TRUE,""
)</f>
        <v/>
      </c>
      <c r="I1963" s="1" t="str">
        <f t="shared" si="60"/>
        <v>No Follow-up Required</v>
      </c>
      <c r="J1963" t="str">
        <f>TEXT(Table8[[#This Row],[visit_Date]],"DDDD")</f>
        <v>Monday</v>
      </c>
      <c r="K1963" t="str">
        <f>TEXT(Table8[[#This Row],[visit_Date]],"mmmm")</f>
        <v>May</v>
      </c>
      <c r="L1963" t="str">
        <f t="shared" si="61"/>
        <v>Summer</v>
      </c>
    </row>
    <row r="1964" spans="1:12" x14ac:dyDescent="0.25">
      <c r="A1964">
        <v>1963</v>
      </c>
      <c r="B1964">
        <v>1248</v>
      </c>
      <c r="C1964">
        <v>105</v>
      </c>
      <c r="D1964" s="1">
        <v>45790</v>
      </c>
      <c r="E1964" t="s">
        <v>24</v>
      </c>
      <c r="F1964" t="s">
        <v>321</v>
      </c>
      <c r="G1964" t="str">
        <f>_xlfn.XLOOKUP(TRIM(E1965),MedicineInfo!A:A,MedicineInfo!B:B,"Not Found")</f>
        <v>Multivitamin</v>
      </c>
      <c r="H1964" s="1" t="str" cm="1">
        <f t="array" ref="H1964">_xlfn.IFS(
OR(E1964="Type 2 Diabetes",E1964="Essential Hypertension",E1964="Angina Pectoris",E1964="Bronchial Asthma",E1964="Cardiac Arrhythmia"), D1964+30,
OR(E1964="Gastritis",E1964="Osteoarthritis",E1964="Bronchitis",E1964="Iron Deficiency Anemia"), D1964+14,
OR(E1964="Lumbar Strain",E1964="Migraine Headache"), D1964+7,
OR(E1964="Viral Fever",E1964="General Checkup","Routine Health Check"), "",
TRUE,""
)</f>
        <v/>
      </c>
      <c r="I1964" s="1" t="str">
        <f t="shared" si="60"/>
        <v>No Follow-up Required</v>
      </c>
      <c r="J1964" t="str">
        <f>TEXT(Table8[[#This Row],[visit_Date]],"DDDD")</f>
        <v>Tuesday</v>
      </c>
      <c r="K1964" t="str">
        <f>TEXT(Table8[[#This Row],[visit_Date]],"mmmm")</f>
        <v>May</v>
      </c>
      <c r="L1964" t="str">
        <f t="shared" si="61"/>
        <v>Summer</v>
      </c>
    </row>
    <row r="1965" spans="1:12" x14ac:dyDescent="0.25">
      <c r="A1965">
        <v>1964</v>
      </c>
      <c r="B1965">
        <v>1319</v>
      </c>
      <c r="C1965">
        <v>944</v>
      </c>
      <c r="D1965" s="1">
        <v>45758</v>
      </c>
      <c r="E1965" t="s">
        <v>24</v>
      </c>
      <c r="F1965" t="s">
        <v>321</v>
      </c>
      <c r="G1965" t="str">
        <f>_xlfn.XLOOKUP(TRIM(E1966),MedicineInfo!A:A,MedicineInfo!B:B,"Not Found")</f>
        <v>Multivitamin</v>
      </c>
      <c r="H1965" s="1" t="str" cm="1">
        <f t="array" ref="H1965">_xlfn.IFS(
OR(E1965="Type 2 Diabetes",E1965="Essential Hypertension",E1965="Angina Pectoris",E1965="Bronchial Asthma",E1965="Cardiac Arrhythmia"), D1965+30,
OR(E1965="Gastritis",E1965="Osteoarthritis",E1965="Bronchitis",E1965="Iron Deficiency Anemia"), D1965+14,
OR(E1965="Lumbar Strain",E1965="Migraine Headache"), D1965+7,
OR(E1965="Viral Fever",E1965="General Checkup","Routine Health Check"), "",
TRUE,""
)</f>
        <v/>
      </c>
      <c r="I1965" s="1" t="str">
        <f t="shared" si="60"/>
        <v>No Follow-up Required</v>
      </c>
      <c r="J1965" t="str">
        <f>TEXT(Table8[[#This Row],[visit_Date]],"DDDD")</f>
        <v>Friday</v>
      </c>
      <c r="K1965" t="str">
        <f>TEXT(Table8[[#This Row],[visit_Date]],"mmmm")</f>
        <v>April</v>
      </c>
      <c r="L1965" t="str">
        <f t="shared" si="61"/>
        <v>Summer</v>
      </c>
    </row>
    <row r="1966" spans="1:12" x14ac:dyDescent="0.25">
      <c r="A1966">
        <v>1965</v>
      </c>
      <c r="B1966">
        <v>1359</v>
      </c>
      <c r="C1966">
        <v>1551</v>
      </c>
      <c r="D1966" s="1">
        <v>45814</v>
      </c>
      <c r="E1966" t="s">
        <v>24</v>
      </c>
      <c r="F1966" t="s">
        <v>321</v>
      </c>
      <c r="G1966" t="str">
        <f>_xlfn.XLOOKUP(TRIM(E1967),MedicineInfo!A:A,MedicineInfo!B:B,"Not Found")</f>
        <v>Multivitamin</v>
      </c>
      <c r="H1966" s="1" t="str" cm="1">
        <f t="array" ref="H1966">_xlfn.IFS(
OR(E1966="Type 2 Diabetes",E1966="Essential Hypertension",E1966="Angina Pectoris",E1966="Bronchial Asthma",E1966="Cardiac Arrhythmia"), D1966+30,
OR(E1966="Gastritis",E1966="Osteoarthritis",E1966="Bronchitis",E1966="Iron Deficiency Anemia"), D1966+14,
OR(E1966="Lumbar Strain",E1966="Migraine Headache"), D1966+7,
OR(E1966="Viral Fever",E1966="General Checkup","Routine Health Check"), "",
TRUE,""
)</f>
        <v/>
      </c>
      <c r="I1966" s="1" t="str">
        <f t="shared" si="60"/>
        <v>No Follow-up Required</v>
      </c>
      <c r="J1966" t="str">
        <f>TEXT(Table8[[#This Row],[visit_Date]],"DDDD")</f>
        <v>Friday</v>
      </c>
      <c r="K1966" t="str">
        <f>TEXT(Table8[[#This Row],[visit_Date]],"mmmm")</f>
        <v>June</v>
      </c>
      <c r="L1966" t="str">
        <f t="shared" si="61"/>
        <v>Monsoon</v>
      </c>
    </row>
    <row r="1967" spans="1:12" x14ac:dyDescent="0.25">
      <c r="A1967">
        <v>1966</v>
      </c>
      <c r="B1967">
        <v>1243</v>
      </c>
      <c r="C1967">
        <v>1128</v>
      </c>
      <c r="D1967" s="1">
        <v>45792</v>
      </c>
      <c r="E1967" t="s">
        <v>24</v>
      </c>
      <c r="F1967" t="s">
        <v>321</v>
      </c>
      <c r="G1967" t="str">
        <f>_xlfn.XLOOKUP(TRIM(E1968),MedicineInfo!A:A,MedicineInfo!B:B,"Not Found")</f>
        <v>Amoxicillin</v>
      </c>
      <c r="H1967" s="1" t="str" cm="1">
        <f t="array" ref="H1967">_xlfn.IFS(
OR(E1967="Type 2 Diabetes",E1967="Essential Hypertension",E1967="Angina Pectoris",E1967="Bronchial Asthma",E1967="Cardiac Arrhythmia"), D1967+30,
OR(E1967="Gastritis",E1967="Osteoarthritis",E1967="Bronchitis",E1967="Iron Deficiency Anemia"), D1967+14,
OR(E1967="Lumbar Strain",E1967="Migraine Headache"), D1967+7,
OR(E1967="Viral Fever",E1967="General Checkup","Routine Health Check"), "",
TRUE,""
)</f>
        <v/>
      </c>
      <c r="I1967" s="1" t="str">
        <f t="shared" si="60"/>
        <v>No Follow-up Required</v>
      </c>
      <c r="J1967" t="str">
        <f>TEXT(Table8[[#This Row],[visit_Date]],"DDDD")</f>
        <v>Thursday</v>
      </c>
      <c r="K1967" t="str">
        <f>TEXT(Table8[[#This Row],[visit_Date]],"mmmm")</f>
        <v>May</v>
      </c>
      <c r="L1967" t="str">
        <f t="shared" si="61"/>
        <v>Summer</v>
      </c>
    </row>
    <row r="1968" spans="1:12" x14ac:dyDescent="0.25">
      <c r="A1968">
        <v>1967</v>
      </c>
      <c r="B1968">
        <v>1210</v>
      </c>
      <c r="C1968">
        <v>370</v>
      </c>
      <c r="D1968" s="1">
        <v>45723</v>
      </c>
      <c r="E1968" t="s">
        <v>346</v>
      </c>
      <c r="F1968" t="s">
        <v>347</v>
      </c>
      <c r="G1968" t="str">
        <f>_xlfn.XLOOKUP(TRIM(E1969),MedicineInfo!A:A,MedicineInfo!B:B,"Not Found")</f>
        <v>Multivitamin</v>
      </c>
      <c r="H1968" s="1" cm="1">
        <f t="array" ref="H1968">_xlfn.IFS(
OR(E1968="Type 2 Diabetes",E1968="Essential Hypertension",E1968="Angina Pectoris",E1968="Bronchial Asthma",E1968="Cardiac Arrhythmia"), D1968+30,
OR(E1968="Gastritis",E1968="Osteoarthritis",E1968="Bronchitis",E1968="Iron Deficiency Anemia"), D1968+14,
OR(E1968="Lumbar Strain",E1968="Migraine Headache"), D1968+7,
OR(E1968="Viral Fever",E1968="General Checkup","Routine Health Check"), "",
TRUE,""
)</f>
        <v>45737</v>
      </c>
      <c r="I1968" s="1" t="str">
        <f t="shared" si="60"/>
        <v>Follow-up Scheduled</v>
      </c>
      <c r="J1968" t="str">
        <f>TEXT(Table8[[#This Row],[visit_Date]],"DDDD")</f>
        <v>Friday</v>
      </c>
      <c r="K1968" t="str">
        <f>TEXT(Table8[[#This Row],[visit_Date]],"mmmm")</f>
        <v>March</v>
      </c>
      <c r="L1968" t="str">
        <f t="shared" si="61"/>
        <v>Summer</v>
      </c>
    </row>
    <row r="1969" spans="1:12" x14ac:dyDescent="0.25">
      <c r="A1969">
        <v>1968</v>
      </c>
      <c r="B1969">
        <v>1248</v>
      </c>
      <c r="C1969">
        <v>1041</v>
      </c>
      <c r="D1969" s="1">
        <v>45770</v>
      </c>
      <c r="E1969" t="s">
        <v>24</v>
      </c>
      <c r="F1969" t="s">
        <v>321</v>
      </c>
      <c r="G1969" t="str">
        <f>_xlfn.XLOOKUP(TRIM(E1970),MedicineInfo!A:A,MedicineInfo!B:B,"Not Found")</f>
        <v>Multivitamin</v>
      </c>
      <c r="H1969" s="1" t="str" cm="1">
        <f t="array" ref="H1969">_xlfn.IFS(
OR(E1969="Type 2 Diabetes",E1969="Essential Hypertension",E1969="Angina Pectoris",E1969="Bronchial Asthma",E1969="Cardiac Arrhythmia"), D1969+30,
OR(E1969="Gastritis",E1969="Osteoarthritis",E1969="Bronchitis",E1969="Iron Deficiency Anemia"), D1969+14,
OR(E1969="Lumbar Strain",E1969="Migraine Headache"), D1969+7,
OR(E1969="Viral Fever",E1969="General Checkup","Routine Health Check"), "",
TRUE,""
)</f>
        <v/>
      </c>
      <c r="I1969" s="1" t="str">
        <f t="shared" si="60"/>
        <v>No Follow-up Required</v>
      </c>
      <c r="J1969" t="str">
        <f>TEXT(Table8[[#This Row],[visit_Date]],"DDDD")</f>
        <v>Wednesday</v>
      </c>
      <c r="K1969" t="str">
        <f>TEXT(Table8[[#This Row],[visit_Date]],"mmmm")</f>
        <v>April</v>
      </c>
      <c r="L1969" t="str">
        <f t="shared" si="61"/>
        <v>Summer</v>
      </c>
    </row>
    <row r="1970" spans="1:12" x14ac:dyDescent="0.25">
      <c r="A1970">
        <v>1969</v>
      </c>
      <c r="B1970">
        <v>1242</v>
      </c>
      <c r="C1970">
        <v>389</v>
      </c>
      <c r="D1970" s="1">
        <v>45839</v>
      </c>
      <c r="E1970" t="s">
        <v>24</v>
      </c>
      <c r="F1970" t="s">
        <v>321</v>
      </c>
      <c r="G1970" t="str">
        <f>_xlfn.XLOOKUP(TRIM(E1971),MedicineInfo!A:A,MedicineInfo!B:B,"Not Found")</f>
        <v>Multivitamin</v>
      </c>
      <c r="H1970" s="1" t="str" cm="1">
        <f t="array" ref="H1970">_xlfn.IFS(
OR(E1970="Type 2 Diabetes",E1970="Essential Hypertension",E1970="Angina Pectoris",E1970="Bronchial Asthma",E1970="Cardiac Arrhythmia"), D1970+30,
OR(E1970="Gastritis",E1970="Osteoarthritis",E1970="Bronchitis",E1970="Iron Deficiency Anemia"), D1970+14,
OR(E1970="Lumbar Strain",E1970="Migraine Headache"), D1970+7,
OR(E1970="Viral Fever",E1970="General Checkup","Routine Health Check"), "",
TRUE,""
)</f>
        <v/>
      </c>
      <c r="I1970" s="1" t="str">
        <f t="shared" si="60"/>
        <v>No Follow-up Required</v>
      </c>
      <c r="J1970" t="str">
        <f>TEXT(Table8[[#This Row],[visit_Date]],"DDDD")</f>
        <v>Tuesday</v>
      </c>
      <c r="K1970" t="str">
        <f>TEXT(Table8[[#This Row],[visit_Date]],"mmmm")</f>
        <v>July</v>
      </c>
      <c r="L1970" t="str">
        <f t="shared" si="61"/>
        <v>Monsoon</v>
      </c>
    </row>
    <row r="1971" spans="1:12" x14ac:dyDescent="0.25">
      <c r="A1971">
        <v>1970</v>
      </c>
      <c r="B1971">
        <v>1007</v>
      </c>
      <c r="C1971">
        <v>1379</v>
      </c>
      <c r="D1971" s="1">
        <v>45758</v>
      </c>
      <c r="E1971" t="s">
        <v>24</v>
      </c>
      <c r="F1971" t="s">
        <v>321</v>
      </c>
      <c r="G1971" t="str">
        <f>_xlfn.XLOOKUP(TRIM(E1972),MedicineInfo!A:A,MedicineInfo!B:B,"Not Found")</f>
        <v>Multivitamin</v>
      </c>
      <c r="H1971" s="1" t="str" cm="1">
        <f t="array" ref="H1971">_xlfn.IFS(
OR(E1971="Type 2 Diabetes",E1971="Essential Hypertension",E1971="Angina Pectoris",E1971="Bronchial Asthma",E1971="Cardiac Arrhythmia"), D1971+30,
OR(E1971="Gastritis",E1971="Osteoarthritis",E1971="Bronchitis",E1971="Iron Deficiency Anemia"), D1971+14,
OR(E1971="Lumbar Strain",E1971="Migraine Headache"), D1971+7,
OR(E1971="Viral Fever",E1971="General Checkup","Routine Health Check"), "",
TRUE,""
)</f>
        <v/>
      </c>
      <c r="I1971" s="1" t="str">
        <f t="shared" si="60"/>
        <v>No Follow-up Required</v>
      </c>
      <c r="J1971" t="str">
        <f>TEXT(Table8[[#This Row],[visit_Date]],"DDDD")</f>
        <v>Friday</v>
      </c>
      <c r="K1971" t="str">
        <f>TEXT(Table8[[#This Row],[visit_Date]],"mmmm")</f>
        <v>April</v>
      </c>
      <c r="L1971" t="str">
        <f t="shared" si="61"/>
        <v>Summer</v>
      </c>
    </row>
    <row r="1972" spans="1:12" x14ac:dyDescent="0.25">
      <c r="A1972">
        <v>1971</v>
      </c>
      <c r="B1972">
        <v>1129</v>
      </c>
      <c r="C1972">
        <v>1466</v>
      </c>
      <c r="D1972" s="1">
        <v>45792</v>
      </c>
      <c r="E1972" t="s">
        <v>24</v>
      </c>
      <c r="F1972" t="s">
        <v>321</v>
      </c>
      <c r="G1972" t="str">
        <f>_xlfn.XLOOKUP(TRIM(E1973),MedicineInfo!A:A,MedicineInfo!B:B,"Not Found")</f>
        <v>Multivitamin</v>
      </c>
      <c r="H1972" s="1" t="str" cm="1">
        <f t="array" ref="H1972">_xlfn.IFS(
OR(E1972="Type 2 Diabetes",E1972="Essential Hypertension",E1972="Angina Pectoris",E1972="Bronchial Asthma",E1972="Cardiac Arrhythmia"), D1972+30,
OR(E1972="Gastritis",E1972="Osteoarthritis",E1972="Bronchitis",E1972="Iron Deficiency Anemia"), D1972+14,
OR(E1972="Lumbar Strain",E1972="Migraine Headache"), D1972+7,
OR(E1972="Viral Fever",E1972="General Checkup","Routine Health Check"), "",
TRUE,""
)</f>
        <v/>
      </c>
      <c r="I1972" s="1" t="str">
        <f t="shared" si="60"/>
        <v>No Follow-up Required</v>
      </c>
      <c r="J1972" t="str">
        <f>TEXT(Table8[[#This Row],[visit_Date]],"DDDD")</f>
        <v>Thursday</v>
      </c>
      <c r="K1972" t="str">
        <f>TEXT(Table8[[#This Row],[visit_Date]],"mmmm")</f>
        <v>May</v>
      </c>
      <c r="L1972" t="str">
        <f t="shared" si="61"/>
        <v>Summer</v>
      </c>
    </row>
    <row r="1973" spans="1:12" x14ac:dyDescent="0.25">
      <c r="A1973">
        <v>1972</v>
      </c>
      <c r="B1973">
        <v>1222</v>
      </c>
      <c r="C1973">
        <v>236</v>
      </c>
      <c r="D1973" s="1">
        <v>45694</v>
      </c>
      <c r="E1973" t="s">
        <v>24</v>
      </c>
      <c r="F1973" t="s">
        <v>321</v>
      </c>
      <c r="G1973" t="str">
        <f>_xlfn.XLOOKUP(TRIM(E1974),MedicineInfo!A:A,MedicineInfo!B:B,"Not Found")</f>
        <v>Levothyroxine</v>
      </c>
      <c r="H1973" s="1" t="str" cm="1">
        <f t="array" ref="H1973">_xlfn.IFS(
OR(E1973="Type 2 Diabetes",E1973="Essential Hypertension",E1973="Angina Pectoris",E1973="Bronchial Asthma",E1973="Cardiac Arrhythmia"), D1973+30,
OR(E1973="Gastritis",E1973="Osteoarthritis",E1973="Bronchitis",E1973="Iron Deficiency Anemia"), D1973+14,
OR(E1973="Lumbar Strain",E1973="Migraine Headache"), D1973+7,
OR(E1973="Viral Fever",E1973="General Checkup","Routine Health Check"), "",
TRUE,""
)</f>
        <v/>
      </c>
      <c r="I1973" s="1" t="str">
        <f t="shared" si="60"/>
        <v>No Follow-up Required</v>
      </c>
      <c r="J1973" t="str">
        <f>TEXT(Table8[[#This Row],[visit_Date]],"DDDD")</f>
        <v>Thursday</v>
      </c>
      <c r="K1973" t="str">
        <f>TEXT(Table8[[#This Row],[visit_Date]],"mmmm")</f>
        <v>February</v>
      </c>
      <c r="L1973" t="str">
        <f t="shared" si="61"/>
        <v>Winter</v>
      </c>
    </row>
    <row r="1974" spans="1:12" x14ac:dyDescent="0.25">
      <c r="A1974">
        <v>1973</v>
      </c>
      <c r="B1974">
        <v>1027</v>
      </c>
      <c r="C1974">
        <v>755</v>
      </c>
      <c r="D1974" s="1">
        <v>45819</v>
      </c>
      <c r="E1974" t="s">
        <v>360</v>
      </c>
      <c r="F1974" t="s">
        <v>361</v>
      </c>
      <c r="G1974" t="str">
        <f>_xlfn.XLOOKUP(TRIM(E1975),MedicineInfo!A:A,MedicineInfo!B:B,"Not Found")</f>
        <v>Multivitamin</v>
      </c>
      <c r="H1974" s="1" t="str" cm="1">
        <f t="array" ref="H1974">_xlfn.IFS(
OR(E1974="Type 2 Diabetes",E1974="Essential Hypertension",E1974="Angina Pectoris",E1974="Bronchial Asthma",E1974="Cardiac Arrhythmia"), D1974+30,
OR(E1974="Gastritis",E1974="Osteoarthritis",E1974="Bronchitis",E1974="Iron Deficiency Anemia"), D1974+14,
OR(E1974="Lumbar Strain",E1974="Migraine Headache"), D1974+7,
OR(E1974="Viral Fever",E1974="General Checkup","Routine Health Check"), "",
TRUE,""
)</f>
        <v/>
      </c>
      <c r="I1974" s="1" t="str">
        <f t="shared" si="60"/>
        <v>No Follow-up Required</v>
      </c>
      <c r="J1974" t="str">
        <f>TEXT(Table8[[#This Row],[visit_Date]],"DDDD")</f>
        <v>Wednesday</v>
      </c>
      <c r="K1974" t="str">
        <f>TEXT(Table8[[#This Row],[visit_Date]],"mmmm")</f>
        <v>June</v>
      </c>
      <c r="L1974" t="str">
        <f t="shared" si="61"/>
        <v>Monsoon</v>
      </c>
    </row>
    <row r="1975" spans="1:12" x14ac:dyDescent="0.25">
      <c r="A1975">
        <v>1974</v>
      </c>
      <c r="B1975">
        <v>1261</v>
      </c>
      <c r="C1975">
        <v>135</v>
      </c>
      <c r="D1975" s="1">
        <v>45792</v>
      </c>
      <c r="E1975" t="s">
        <v>24</v>
      </c>
      <c r="F1975" t="s">
        <v>321</v>
      </c>
      <c r="G1975" t="str">
        <f>_xlfn.XLOOKUP(TRIM(E1976),MedicineInfo!A:A,MedicineInfo!B:B,"Not Found")</f>
        <v>Multivitamin</v>
      </c>
      <c r="H1975" s="1" t="str" cm="1">
        <f t="array" ref="H1975">_xlfn.IFS(
OR(E1975="Type 2 Diabetes",E1975="Essential Hypertension",E1975="Angina Pectoris",E1975="Bronchial Asthma",E1975="Cardiac Arrhythmia"), D1975+30,
OR(E1975="Gastritis",E1975="Osteoarthritis",E1975="Bronchitis",E1975="Iron Deficiency Anemia"), D1975+14,
OR(E1975="Lumbar Strain",E1975="Migraine Headache"), D1975+7,
OR(E1975="Viral Fever",E1975="General Checkup","Routine Health Check"), "",
TRUE,""
)</f>
        <v/>
      </c>
      <c r="I1975" s="1" t="str">
        <f t="shared" si="60"/>
        <v>No Follow-up Required</v>
      </c>
      <c r="J1975" t="str">
        <f>TEXT(Table8[[#This Row],[visit_Date]],"DDDD")</f>
        <v>Thursday</v>
      </c>
      <c r="K1975" t="str">
        <f>TEXT(Table8[[#This Row],[visit_Date]],"mmmm")</f>
        <v>May</v>
      </c>
      <c r="L1975" t="str">
        <f t="shared" si="61"/>
        <v>Summer</v>
      </c>
    </row>
    <row r="1976" spans="1:12" x14ac:dyDescent="0.25">
      <c r="A1976">
        <v>1975</v>
      </c>
      <c r="B1976">
        <v>1065</v>
      </c>
      <c r="C1976">
        <v>795</v>
      </c>
      <c r="D1976" s="1">
        <v>45669</v>
      </c>
      <c r="E1976" t="s">
        <v>24</v>
      </c>
      <c r="F1976" t="s">
        <v>321</v>
      </c>
      <c r="G1976" t="str">
        <f>_xlfn.XLOOKUP(TRIM(E1977),MedicineInfo!A:A,MedicineInfo!B:B,"Not Found")</f>
        <v>Multivitamin</v>
      </c>
      <c r="H1976" s="1" t="str" cm="1">
        <f t="array" ref="H1976">_xlfn.IFS(
OR(E1976="Type 2 Diabetes",E1976="Essential Hypertension",E1976="Angina Pectoris",E1976="Bronchial Asthma",E1976="Cardiac Arrhythmia"), D1976+30,
OR(E1976="Gastritis",E1976="Osteoarthritis",E1976="Bronchitis",E1976="Iron Deficiency Anemia"), D1976+14,
OR(E1976="Lumbar Strain",E1976="Migraine Headache"), D1976+7,
OR(E1976="Viral Fever",E1976="General Checkup","Routine Health Check"), "",
TRUE,""
)</f>
        <v/>
      </c>
      <c r="I1976" s="1" t="str">
        <f t="shared" si="60"/>
        <v>No Follow-up Required</v>
      </c>
      <c r="J1976" t="str">
        <f>TEXT(Table8[[#This Row],[visit_Date]],"DDDD")</f>
        <v>Sunday</v>
      </c>
      <c r="K1976" t="str">
        <f>TEXT(Table8[[#This Row],[visit_Date]],"mmmm")</f>
        <v>January</v>
      </c>
      <c r="L1976" t="str">
        <f t="shared" si="61"/>
        <v>Winter</v>
      </c>
    </row>
    <row r="1977" spans="1:12" x14ac:dyDescent="0.25">
      <c r="A1977">
        <v>1976</v>
      </c>
      <c r="B1977">
        <v>1248</v>
      </c>
      <c r="C1977">
        <v>794</v>
      </c>
      <c r="D1977" s="1">
        <v>45672</v>
      </c>
      <c r="E1977" t="s">
        <v>24</v>
      </c>
      <c r="F1977" t="s">
        <v>321</v>
      </c>
      <c r="G1977" t="str">
        <f>_xlfn.XLOOKUP(TRIM(E1978),MedicineInfo!A:A,MedicineInfo!B:B,"Not Found")</f>
        <v>Multivitamin</v>
      </c>
      <c r="H1977" s="1" t="str" cm="1">
        <f t="array" ref="H1977">_xlfn.IFS(
OR(E1977="Type 2 Diabetes",E1977="Essential Hypertension",E1977="Angina Pectoris",E1977="Bronchial Asthma",E1977="Cardiac Arrhythmia"), D1977+30,
OR(E1977="Gastritis",E1977="Osteoarthritis",E1977="Bronchitis",E1977="Iron Deficiency Anemia"), D1977+14,
OR(E1977="Lumbar Strain",E1977="Migraine Headache"), D1977+7,
OR(E1977="Viral Fever",E1977="General Checkup","Routine Health Check"), "",
TRUE,""
)</f>
        <v/>
      </c>
      <c r="I1977" s="1" t="str">
        <f t="shared" si="60"/>
        <v>No Follow-up Required</v>
      </c>
      <c r="J1977" t="str">
        <f>TEXT(Table8[[#This Row],[visit_Date]],"DDDD")</f>
        <v>Wednesday</v>
      </c>
      <c r="K1977" t="str">
        <f>TEXT(Table8[[#This Row],[visit_Date]],"mmmm")</f>
        <v>January</v>
      </c>
      <c r="L1977" t="str">
        <f t="shared" si="61"/>
        <v>Winter</v>
      </c>
    </row>
    <row r="1978" spans="1:12" x14ac:dyDescent="0.25">
      <c r="A1978">
        <v>1977</v>
      </c>
      <c r="B1978">
        <v>1002</v>
      </c>
      <c r="C1978">
        <v>1477</v>
      </c>
      <c r="D1978" s="1">
        <v>45781</v>
      </c>
      <c r="E1978" t="s">
        <v>24</v>
      </c>
      <c r="F1978" t="s">
        <v>321</v>
      </c>
      <c r="G1978" t="str">
        <f>_xlfn.XLOOKUP(TRIM(E1979),MedicineInfo!A:A,MedicineInfo!B:B,"Not Found")</f>
        <v>Multivitamin</v>
      </c>
      <c r="H1978" s="1" t="str" cm="1">
        <f t="array" ref="H1978">_xlfn.IFS(
OR(E1978="Type 2 Diabetes",E1978="Essential Hypertension",E1978="Angina Pectoris",E1978="Bronchial Asthma",E1978="Cardiac Arrhythmia"), D1978+30,
OR(E1978="Gastritis",E1978="Osteoarthritis",E1978="Bronchitis",E1978="Iron Deficiency Anemia"), D1978+14,
OR(E1978="Lumbar Strain",E1978="Migraine Headache"), D1978+7,
OR(E1978="Viral Fever",E1978="General Checkup","Routine Health Check"), "",
TRUE,""
)</f>
        <v/>
      </c>
      <c r="I1978" s="1" t="str">
        <f t="shared" si="60"/>
        <v>No Follow-up Required</v>
      </c>
      <c r="J1978" t="str">
        <f>TEXT(Table8[[#This Row],[visit_Date]],"DDDD")</f>
        <v>Sunday</v>
      </c>
      <c r="K1978" t="str">
        <f>TEXT(Table8[[#This Row],[visit_Date]],"mmmm")</f>
        <v>May</v>
      </c>
      <c r="L1978" t="str">
        <f t="shared" si="61"/>
        <v>Summer</v>
      </c>
    </row>
    <row r="1979" spans="1:12" x14ac:dyDescent="0.25">
      <c r="A1979">
        <v>1978</v>
      </c>
      <c r="B1979">
        <v>1266</v>
      </c>
      <c r="C1979">
        <v>1258</v>
      </c>
      <c r="D1979" s="1">
        <v>45691</v>
      </c>
      <c r="E1979" t="s">
        <v>24</v>
      </c>
      <c r="F1979" t="s">
        <v>321</v>
      </c>
      <c r="G1979" t="str">
        <f>_xlfn.XLOOKUP(TRIM(E1980),MedicineInfo!A:A,MedicineInfo!B:B,"Not Found")</f>
        <v>Multivitamin</v>
      </c>
      <c r="H1979" s="1" t="str" cm="1">
        <f t="array" ref="H1979">_xlfn.IFS(
OR(E1979="Type 2 Diabetes",E1979="Essential Hypertension",E1979="Angina Pectoris",E1979="Bronchial Asthma",E1979="Cardiac Arrhythmia"), D1979+30,
OR(E1979="Gastritis",E1979="Osteoarthritis",E1979="Bronchitis",E1979="Iron Deficiency Anemia"), D1979+14,
OR(E1979="Lumbar Strain",E1979="Migraine Headache"), D1979+7,
OR(E1979="Viral Fever",E1979="General Checkup","Routine Health Check"), "",
TRUE,""
)</f>
        <v/>
      </c>
      <c r="I1979" s="1" t="str">
        <f t="shared" si="60"/>
        <v>No Follow-up Required</v>
      </c>
      <c r="J1979" t="str">
        <f>TEXT(Table8[[#This Row],[visit_Date]],"DDDD")</f>
        <v>Monday</v>
      </c>
      <c r="K1979" t="str">
        <f>TEXT(Table8[[#This Row],[visit_Date]],"mmmm")</f>
        <v>February</v>
      </c>
      <c r="L1979" t="str">
        <f t="shared" si="61"/>
        <v>Winter</v>
      </c>
    </row>
    <row r="1980" spans="1:12" x14ac:dyDescent="0.25">
      <c r="A1980">
        <v>1979</v>
      </c>
      <c r="B1980">
        <v>1325</v>
      </c>
      <c r="C1980">
        <v>164</v>
      </c>
      <c r="D1980" s="1">
        <v>45743</v>
      </c>
      <c r="E1980" t="s">
        <v>24</v>
      </c>
      <c r="F1980" t="s">
        <v>321</v>
      </c>
      <c r="G1980" t="str">
        <f>_xlfn.XLOOKUP(TRIM(E1981),MedicineInfo!A:A,MedicineInfo!B:B,"Not Found")</f>
        <v>Multivitamin</v>
      </c>
      <c r="H1980" s="1" t="str" cm="1">
        <f t="array" ref="H1980">_xlfn.IFS(
OR(E1980="Type 2 Diabetes",E1980="Essential Hypertension",E1980="Angina Pectoris",E1980="Bronchial Asthma",E1980="Cardiac Arrhythmia"), D1980+30,
OR(E1980="Gastritis",E1980="Osteoarthritis",E1980="Bronchitis",E1980="Iron Deficiency Anemia"), D1980+14,
OR(E1980="Lumbar Strain",E1980="Migraine Headache"), D1980+7,
OR(E1980="Viral Fever",E1980="General Checkup","Routine Health Check"), "",
TRUE,""
)</f>
        <v/>
      </c>
      <c r="I1980" s="1" t="str">
        <f t="shared" si="60"/>
        <v>No Follow-up Required</v>
      </c>
      <c r="J1980" t="str">
        <f>TEXT(Table8[[#This Row],[visit_Date]],"DDDD")</f>
        <v>Thursday</v>
      </c>
      <c r="K1980" t="str">
        <f>TEXT(Table8[[#This Row],[visit_Date]],"mmmm")</f>
        <v>March</v>
      </c>
      <c r="L1980" t="str">
        <f t="shared" si="61"/>
        <v>Summer</v>
      </c>
    </row>
    <row r="1981" spans="1:12" x14ac:dyDescent="0.25">
      <c r="A1981">
        <v>1980</v>
      </c>
      <c r="B1981">
        <v>1276</v>
      </c>
      <c r="C1981">
        <v>189</v>
      </c>
      <c r="D1981" s="1">
        <v>45732</v>
      </c>
      <c r="E1981" t="s">
        <v>24</v>
      </c>
      <c r="F1981" t="s">
        <v>321</v>
      </c>
      <c r="G1981" t="str">
        <f>_xlfn.XLOOKUP(TRIM(E1982),MedicineInfo!A:A,MedicineInfo!B:B,"Not Found")</f>
        <v>Multivitamin</v>
      </c>
      <c r="H1981" s="1" t="str" cm="1">
        <f t="array" ref="H1981">_xlfn.IFS(
OR(E1981="Type 2 Diabetes",E1981="Essential Hypertension",E1981="Angina Pectoris",E1981="Bronchial Asthma",E1981="Cardiac Arrhythmia"), D1981+30,
OR(E1981="Gastritis",E1981="Osteoarthritis",E1981="Bronchitis",E1981="Iron Deficiency Anemia"), D1981+14,
OR(E1981="Lumbar Strain",E1981="Migraine Headache"), D1981+7,
OR(E1981="Viral Fever",E1981="General Checkup","Routine Health Check"), "",
TRUE,""
)</f>
        <v/>
      </c>
      <c r="I1981" s="1" t="str">
        <f t="shared" si="60"/>
        <v>No Follow-up Required</v>
      </c>
      <c r="J1981" t="str">
        <f>TEXT(Table8[[#This Row],[visit_Date]],"DDDD")</f>
        <v>Sunday</v>
      </c>
      <c r="K1981" t="str">
        <f>TEXT(Table8[[#This Row],[visit_Date]],"mmmm")</f>
        <v>March</v>
      </c>
      <c r="L1981" t="str">
        <f t="shared" si="61"/>
        <v>Summer</v>
      </c>
    </row>
    <row r="1982" spans="1:12" x14ac:dyDescent="0.25">
      <c r="A1982">
        <v>1981</v>
      </c>
      <c r="B1982">
        <v>1144</v>
      </c>
      <c r="C1982">
        <v>740</v>
      </c>
      <c r="D1982" s="1">
        <v>45723</v>
      </c>
      <c r="E1982" t="s">
        <v>24</v>
      </c>
      <c r="F1982" t="s">
        <v>321</v>
      </c>
      <c r="G1982" t="str">
        <f>_xlfn.XLOOKUP(TRIM(E1983),MedicineInfo!A:A,MedicineInfo!B:B,"Not Found")</f>
        <v>Multivitamin</v>
      </c>
      <c r="H1982" s="1" t="str" cm="1">
        <f t="array" ref="H1982">_xlfn.IFS(
OR(E1982="Type 2 Diabetes",E1982="Essential Hypertension",E1982="Angina Pectoris",E1982="Bronchial Asthma",E1982="Cardiac Arrhythmia"), D1982+30,
OR(E1982="Gastritis",E1982="Osteoarthritis",E1982="Bronchitis",E1982="Iron Deficiency Anemia"), D1982+14,
OR(E1982="Lumbar Strain",E1982="Migraine Headache"), D1982+7,
OR(E1982="Viral Fever",E1982="General Checkup","Routine Health Check"), "",
TRUE,""
)</f>
        <v/>
      </c>
      <c r="I1982" s="1" t="str">
        <f t="shared" si="60"/>
        <v>No Follow-up Required</v>
      </c>
      <c r="J1982" t="str">
        <f>TEXT(Table8[[#This Row],[visit_Date]],"DDDD")</f>
        <v>Friday</v>
      </c>
      <c r="K1982" t="str">
        <f>TEXT(Table8[[#This Row],[visit_Date]],"mmmm")</f>
        <v>March</v>
      </c>
      <c r="L1982" t="str">
        <f t="shared" si="61"/>
        <v>Summer</v>
      </c>
    </row>
    <row r="1983" spans="1:12" x14ac:dyDescent="0.25">
      <c r="A1983">
        <v>1982</v>
      </c>
      <c r="B1983">
        <v>1400</v>
      </c>
      <c r="C1983">
        <v>1068</v>
      </c>
      <c r="D1983" s="1">
        <v>45775</v>
      </c>
      <c r="E1983" t="s">
        <v>24</v>
      </c>
      <c r="F1983" t="s">
        <v>321</v>
      </c>
      <c r="G1983" t="str">
        <f>_xlfn.XLOOKUP(TRIM(E1984),MedicineInfo!A:A,MedicineInfo!B:B,"Not Found")</f>
        <v>Multivitamin</v>
      </c>
      <c r="H1983" s="1" t="str" cm="1">
        <f t="array" ref="H1983">_xlfn.IFS(
OR(E1983="Type 2 Diabetes",E1983="Essential Hypertension",E1983="Angina Pectoris",E1983="Bronchial Asthma",E1983="Cardiac Arrhythmia"), D1983+30,
OR(E1983="Gastritis",E1983="Osteoarthritis",E1983="Bronchitis",E1983="Iron Deficiency Anemia"), D1983+14,
OR(E1983="Lumbar Strain",E1983="Migraine Headache"), D1983+7,
OR(E1983="Viral Fever",E1983="General Checkup","Routine Health Check"), "",
TRUE,""
)</f>
        <v/>
      </c>
      <c r="I1983" s="1" t="str">
        <f t="shared" si="60"/>
        <v>No Follow-up Required</v>
      </c>
      <c r="J1983" t="str">
        <f>TEXT(Table8[[#This Row],[visit_Date]],"DDDD")</f>
        <v>Monday</v>
      </c>
      <c r="K1983" t="str">
        <f>TEXT(Table8[[#This Row],[visit_Date]],"mmmm")</f>
        <v>April</v>
      </c>
      <c r="L1983" t="str">
        <f t="shared" si="61"/>
        <v>Summer</v>
      </c>
    </row>
    <row r="1984" spans="1:12" x14ac:dyDescent="0.25">
      <c r="A1984">
        <v>1983</v>
      </c>
      <c r="B1984">
        <v>1095</v>
      </c>
      <c r="C1984">
        <v>1332</v>
      </c>
      <c r="D1984" s="1">
        <v>45853</v>
      </c>
      <c r="E1984" t="s">
        <v>24</v>
      </c>
      <c r="F1984" t="s">
        <v>321</v>
      </c>
      <c r="G1984" t="str">
        <f>_xlfn.XLOOKUP(TRIM(E1985),MedicineInfo!A:A,MedicineInfo!B:B,"Not Found")</f>
        <v>Multivitamin</v>
      </c>
      <c r="H1984" s="1" t="str" cm="1">
        <f t="array" ref="H1984">_xlfn.IFS(
OR(E1984="Type 2 Diabetes",E1984="Essential Hypertension",E1984="Angina Pectoris",E1984="Bronchial Asthma",E1984="Cardiac Arrhythmia"), D1984+30,
OR(E1984="Gastritis",E1984="Osteoarthritis",E1984="Bronchitis",E1984="Iron Deficiency Anemia"), D1984+14,
OR(E1984="Lumbar Strain",E1984="Migraine Headache"), D1984+7,
OR(E1984="Viral Fever",E1984="General Checkup","Routine Health Check"), "",
TRUE,""
)</f>
        <v/>
      </c>
      <c r="I1984" s="1" t="str">
        <f t="shared" si="60"/>
        <v>No Follow-up Required</v>
      </c>
      <c r="J1984" t="str">
        <f>TEXT(Table8[[#This Row],[visit_Date]],"DDDD")</f>
        <v>Tuesday</v>
      </c>
      <c r="K1984" t="str">
        <f>TEXT(Table8[[#This Row],[visit_Date]],"mmmm")</f>
        <v>July</v>
      </c>
      <c r="L1984" t="str">
        <f t="shared" si="61"/>
        <v>Monsoon</v>
      </c>
    </row>
    <row r="1985" spans="1:12" x14ac:dyDescent="0.25">
      <c r="A1985">
        <v>1984</v>
      </c>
      <c r="B1985">
        <v>1268</v>
      </c>
      <c r="C1985">
        <v>424</v>
      </c>
      <c r="D1985" s="1">
        <v>45801</v>
      </c>
      <c r="E1985" t="s">
        <v>24</v>
      </c>
      <c r="F1985" t="s">
        <v>321</v>
      </c>
      <c r="G1985" t="str">
        <f>_xlfn.XLOOKUP(TRIM(E1986),MedicineInfo!A:A,MedicineInfo!B:B,"Not Found")</f>
        <v>Multivitamin</v>
      </c>
      <c r="H1985" s="1" t="str" cm="1">
        <f t="array" ref="H1985">_xlfn.IFS(
OR(E1985="Type 2 Diabetes",E1985="Essential Hypertension",E1985="Angina Pectoris",E1985="Bronchial Asthma",E1985="Cardiac Arrhythmia"), D1985+30,
OR(E1985="Gastritis",E1985="Osteoarthritis",E1985="Bronchitis",E1985="Iron Deficiency Anemia"), D1985+14,
OR(E1985="Lumbar Strain",E1985="Migraine Headache"), D1985+7,
OR(E1985="Viral Fever",E1985="General Checkup","Routine Health Check"), "",
TRUE,""
)</f>
        <v/>
      </c>
      <c r="I1985" s="1" t="str">
        <f t="shared" si="60"/>
        <v>No Follow-up Required</v>
      </c>
      <c r="J1985" t="str">
        <f>TEXT(Table8[[#This Row],[visit_Date]],"DDDD")</f>
        <v>Saturday</v>
      </c>
      <c r="K1985" t="str">
        <f>TEXT(Table8[[#This Row],[visit_Date]],"mmmm")</f>
        <v>May</v>
      </c>
      <c r="L1985" t="str">
        <f t="shared" si="61"/>
        <v>Summer</v>
      </c>
    </row>
    <row r="1986" spans="1:12" x14ac:dyDescent="0.25">
      <c r="A1986">
        <v>1985</v>
      </c>
      <c r="B1986">
        <v>1129</v>
      </c>
      <c r="C1986">
        <v>1076</v>
      </c>
      <c r="D1986" s="1">
        <v>45747</v>
      </c>
      <c r="E1986" t="s">
        <v>24</v>
      </c>
      <c r="F1986" t="s">
        <v>321</v>
      </c>
      <c r="G1986" t="str">
        <f>_xlfn.XLOOKUP(TRIM(E1987),MedicineInfo!A:A,MedicineInfo!B:B,"Not Found")</f>
        <v>Multivitamin</v>
      </c>
      <c r="H1986" s="1" t="str" cm="1">
        <f t="array" ref="H1986">_xlfn.IFS(
OR(E1986="Type 2 Diabetes",E1986="Essential Hypertension",E1986="Angina Pectoris",E1986="Bronchial Asthma",E1986="Cardiac Arrhythmia"), D1986+30,
OR(E1986="Gastritis",E1986="Osteoarthritis",E1986="Bronchitis",E1986="Iron Deficiency Anemia"), D1986+14,
OR(E1986="Lumbar Strain",E1986="Migraine Headache"), D1986+7,
OR(E1986="Viral Fever",E1986="General Checkup","Routine Health Check"), "",
TRUE,""
)</f>
        <v/>
      </c>
      <c r="I1986" s="1" t="str">
        <f t="shared" ref="I1986:I2049" si="62">IF(H1986="","No Follow-up Required","Follow-up Scheduled")</f>
        <v>No Follow-up Required</v>
      </c>
      <c r="J1986" t="str">
        <f>TEXT(Table8[[#This Row],[visit_Date]],"DDDD")</f>
        <v>Monday</v>
      </c>
      <c r="K1986" t="str">
        <f>TEXT(Table8[[#This Row],[visit_Date]],"mmmm")</f>
        <v>March</v>
      </c>
      <c r="L1986" t="str">
        <f t="shared" ref="L1986:L2049" si="63">IF(OR(MONTH(D1986)=12,MONTH(D1986)&lt;=2),"Winter",
IF(MONTH(D1986)&lt;=5,"Summer","Monsoon"))</f>
        <v>Summer</v>
      </c>
    </row>
    <row r="1987" spans="1:12" x14ac:dyDescent="0.25">
      <c r="A1987">
        <v>1986</v>
      </c>
      <c r="B1987">
        <v>1290</v>
      </c>
      <c r="C1987">
        <v>274</v>
      </c>
      <c r="D1987" s="1">
        <v>45738</v>
      </c>
      <c r="E1987" t="s">
        <v>24</v>
      </c>
      <c r="F1987" t="s">
        <v>321</v>
      </c>
      <c r="G1987" t="str">
        <f>_xlfn.XLOOKUP(TRIM(E1988),MedicineInfo!A:A,MedicineInfo!B:B,"Not Found")</f>
        <v>Multivitamin</v>
      </c>
      <c r="H1987" s="1" t="str" cm="1">
        <f t="array" ref="H1987">_xlfn.IFS(
OR(E1987="Type 2 Diabetes",E1987="Essential Hypertension",E1987="Angina Pectoris",E1987="Bronchial Asthma",E1987="Cardiac Arrhythmia"), D1987+30,
OR(E1987="Gastritis",E1987="Osteoarthritis",E1987="Bronchitis",E1987="Iron Deficiency Anemia"), D1987+14,
OR(E1987="Lumbar Strain",E1987="Migraine Headache"), D1987+7,
OR(E1987="Viral Fever",E1987="General Checkup","Routine Health Check"), "",
TRUE,""
)</f>
        <v/>
      </c>
      <c r="I1987" s="1" t="str">
        <f t="shared" si="62"/>
        <v>No Follow-up Required</v>
      </c>
      <c r="J1987" t="str">
        <f>TEXT(Table8[[#This Row],[visit_Date]],"DDDD")</f>
        <v>Saturday</v>
      </c>
      <c r="K1987" t="str">
        <f>TEXT(Table8[[#This Row],[visit_Date]],"mmmm")</f>
        <v>March</v>
      </c>
      <c r="L1987" t="str">
        <f t="shared" si="63"/>
        <v>Summer</v>
      </c>
    </row>
    <row r="1988" spans="1:12" x14ac:dyDescent="0.25">
      <c r="A1988">
        <v>1987</v>
      </c>
      <c r="B1988">
        <v>1260</v>
      </c>
      <c r="C1988">
        <v>1519</v>
      </c>
      <c r="D1988" s="1">
        <v>45819</v>
      </c>
      <c r="E1988" t="s">
        <v>24</v>
      </c>
      <c r="F1988" t="s">
        <v>321</v>
      </c>
      <c r="G1988" t="str">
        <f>_xlfn.XLOOKUP(TRIM(E1989),MedicineInfo!A:A,MedicineInfo!B:B,"Not Found")</f>
        <v>Multivitamin</v>
      </c>
      <c r="H1988" s="1" t="str" cm="1">
        <f t="array" ref="H1988">_xlfn.IFS(
OR(E1988="Type 2 Diabetes",E1988="Essential Hypertension",E1988="Angina Pectoris",E1988="Bronchial Asthma",E1988="Cardiac Arrhythmia"), D1988+30,
OR(E1988="Gastritis",E1988="Osteoarthritis",E1988="Bronchitis",E1988="Iron Deficiency Anemia"), D1988+14,
OR(E1988="Lumbar Strain",E1988="Migraine Headache"), D1988+7,
OR(E1988="Viral Fever",E1988="General Checkup","Routine Health Check"), "",
TRUE,""
)</f>
        <v/>
      </c>
      <c r="I1988" s="1" t="str">
        <f t="shared" si="62"/>
        <v>No Follow-up Required</v>
      </c>
      <c r="J1988" t="str">
        <f>TEXT(Table8[[#This Row],[visit_Date]],"DDDD")</f>
        <v>Wednesday</v>
      </c>
      <c r="K1988" t="str">
        <f>TEXT(Table8[[#This Row],[visit_Date]],"mmmm")</f>
        <v>June</v>
      </c>
      <c r="L1988" t="str">
        <f t="shared" si="63"/>
        <v>Monsoon</v>
      </c>
    </row>
    <row r="1989" spans="1:12" x14ac:dyDescent="0.25">
      <c r="A1989">
        <v>1988</v>
      </c>
      <c r="B1989">
        <v>1376</v>
      </c>
      <c r="C1989">
        <v>844</v>
      </c>
      <c r="D1989" s="1">
        <v>45691</v>
      </c>
      <c r="E1989" t="s">
        <v>24</v>
      </c>
      <c r="F1989" t="s">
        <v>321</v>
      </c>
      <c r="G1989" t="str">
        <f>_xlfn.XLOOKUP(TRIM(E1990),MedicineInfo!A:A,MedicineInfo!B:B,"Not Found")</f>
        <v>Multivitamin</v>
      </c>
      <c r="H1989" s="1" t="str" cm="1">
        <f t="array" ref="H1989">_xlfn.IFS(
OR(E1989="Type 2 Diabetes",E1989="Essential Hypertension",E1989="Angina Pectoris",E1989="Bronchial Asthma",E1989="Cardiac Arrhythmia"), D1989+30,
OR(E1989="Gastritis",E1989="Osteoarthritis",E1989="Bronchitis",E1989="Iron Deficiency Anemia"), D1989+14,
OR(E1989="Lumbar Strain",E1989="Migraine Headache"), D1989+7,
OR(E1989="Viral Fever",E1989="General Checkup","Routine Health Check"), "",
TRUE,""
)</f>
        <v/>
      </c>
      <c r="I1989" s="1" t="str">
        <f t="shared" si="62"/>
        <v>No Follow-up Required</v>
      </c>
      <c r="J1989" t="str">
        <f>TEXT(Table8[[#This Row],[visit_Date]],"DDDD")</f>
        <v>Monday</v>
      </c>
      <c r="K1989" t="str">
        <f>TEXT(Table8[[#This Row],[visit_Date]],"mmmm")</f>
        <v>February</v>
      </c>
      <c r="L1989" t="str">
        <f t="shared" si="63"/>
        <v>Winter</v>
      </c>
    </row>
    <row r="1990" spans="1:12" x14ac:dyDescent="0.25">
      <c r="A1990">
        <v>1989</v>
      </c>
      <c r="B1990">
        <v>1056</v>
      </c>
      <c r="C1990">
        <v>770</v>
      </c>
      <c r="D1990" s="1">
        <v>45799</v>
      </c>
      <c r="E1990" t="s">
        <v>24</v>
      </c>
      <c r="F1990" t="s">
        <v>321</v>
      </c>
      <c r="G1990" t="str">
        <f>_xlfn.XLOOKUP(TRIM(E1991),MedicineInfo!A:A,MedicineInfo!B:B,"Not Found")</f>
        <v>Multivitamin</v>
      </c>
      <c r="H1990" s="1" t="str" cm="1">
        <f t="array" ref="H1990">_xlfn.IFS(
OR(E1990="Type 2 Diabetes",E1990="Essential Hypertension",E1990="Angina Pectoris",E1990="Bronchial Asthma",E1990="Cardiac Arrhythmia"), D1990+30,
OR(E1990="Gastritis",E1990="Osteoarthritis",E1990="Bronchitis",E1990="Iron Deficiency Anemia"), D1990+14,
OR(E1990="Lumbar Strain",E1990="Migraine Headache"), D1990+7,
OR(E1990="Viral Fever",E1990="General Checkup","Routine Health Check"), "",
TRUE,""
)</f>
        <v/>
      </c>
      <c r="I1990" s="1" t="str">
        <f t="shared" si="62"/>
        <v>No Follow-up Required</v>
      </c>
      <c r="J1990" t="str">
        <f>TEXT(Table8[[#This Row],[visit_Date]],"DDDD")</f>
        <v>Thursday</v>
      </c>
      <c r="K1990" t="str">
        <f>TEXT(Table8[[#This Row],[visit_Date]],"mmmm")</f>
        <v>May</v>
      </c>
      <c r="L1990" t="str">
        <f t="shared" si="63"/>
        <v>Summer</v>
      </c>
    </row>
    <row r="1991" spans="1:12" x14ac:dyDescent="0.25">
      <c r="A1991">
        <v>1990</v>
      </c>
      <c r="B1991">
        <v>1088</v>
      </c>
      <c r="C1991">
        <v>277</v>
      </c>
      <c r="D1991" s="1">
        <v>45694</v>
      </c>
      <c r="E1991" t="s">
        <v>24</v>
      </c>
      <c r="F1991" t="s">
        <v>321</v>
      </c>
      <c r="G1991" t="str">
        <f>_xlfn.XLOOKUP(TRIM(E1992),MedicineInfo!A:A,MedicineInfo!B:B,"Not Found")</f>
        <v>Multivitamin</v>
      </c>
      <c r="H1991" s="1" t="str" cm="1">
        <f t="array" ref="H1991">_xlfn.IFS(
OR(E1991="Type 2 Diabetes",E1991="Essential Hypertension",E1991="Angina Pectoris",E1991="Bronchial Asthma",E1991="Cardiac Arrhythmia"), D1991+30,
OR(E1991="Gastritis",E1991="Osteoarthritis",E1991="Bronchitis",E1991="Iron Deficiency Anemia"), D1991+14,
OR(E1991="Lumbar Strain",E1991="Migraine Headache"), D1991+7,
OR(E1991="Viral Fever",E1991="General Checkup","Routine Health Check"), "",
TRUE,""
)</f>
        <v/>
      </c>
      <c r="I1991" s="1" t="str">
        <f t="shared" si="62"/>
        <v>No Follow-up Required</v>
      </c>
      <c r="J1991" t="str">
        <f>TEXT(Table8[[#This Row],[visit_Date]],"DDDD")</f>
        <v>Thursday</v>
      </c>
      <c r="K1991" t="str">
        <f>TEXT(Table8[[#This Row],[visit_Date]],"mmmm")</f>
        <v>February</v>
      </c>
      <c r="L1991" t="str">
        <f t="shared" si="63"/>
        <v>Winter</v>
      </c>
    </row>
    <row r="1992" spans="1:12" x14ac:dyDescent="0.25">
      <c r="A1992">
        <v>1991</v>
      </c>
      <c r="B1992">
        <v>1089</v>
      </c>
      <c r="C1992">
        <v>1263</v>
      </c>
      <c r="D1992" s="1">
        <v>45791</v>
      </c>
      <c r="E1992" t="s">
        <v>24</v>
      </c>
      <c r="F1992" t="s">
        <v>321</v>
      </c>
      <c r="G1992" t="str">
        <f>_xlfn.XLOOKUP(TRIM(E1993),MedicineInfo!A:A,MedicineInfo!B:B,"Not Found")</f>
        <v>Multivitamin</v>
      </c>
      <c r="H1992" s="1" t="str" cm="1">
        <f t="array" ref="H1992">_xlfn.IFS(
OR(E1992="Type 2 Diabetes",E1992="Essential Hypertension",E1992="Angina Pectoris",E1992="Bronchial Asthma",E1992="Cardiac Arrhythmia"), D1992+30,
OR(E1992="Gastritis",E1992="Osteoarthritis",E1992="Bronchitis",E1992="Iron Deficiency Anemia"), D1992+14,
OR(E1992="Lumbar Strain",E1992="Migraine Headache"), D1992+7,
OR(E1992="Viral Fever",E1992="General Checkup","Routine Health Check"), "",
TRUE,""
)</f>
        <v/>
      </c>
      <c r="I1992" s="1" t="str">
        <f t="shared" si="62"/>
        <v>No Follow-up Required</v>
      </c>
      <c r="J1992" t="str">
        <f>TEXT(Table8[[#This Row],[visit_Date]],"DDDD")</f>
        <v>Wednesday</v>
      </c>
      <c r="K1992" t="str">
        <f>TEXT(Table8[[#This Row],[visit_Date]],"mmmm")</f>
        <v>May</v>
      </c>
      <c r="L1992" t="str">
        <f t="shared" si="63"/>
        <v>Summer</v>
      </c>
    </row>
    <row r="1993" spans="1:12" x14ac:dyDescent="0.25">
      <c r="A1993">
        <v>1992</v>
      </c>
      <c r="B1993">
        <v>1019</v>
      </c>
      <c r="C1993">
        <v>881</v>
      </c>
      <c r="D1993" s="1">
        <v>45792</v>
      </c>
      <c r="E1993" t="s">
        <v>24</v>
      </c>
      <c r="F1993" t="s">
        <v>321</v>
      </c>
      <c r="G1993" t="str">
        <f>_xlfn.XLOOKUP(TRIM(E1994),MedicineInfo!A:A,MedicineInfo!B:B,"Not Found")</f>
        <v>Escitalopram</v>
      </c>
      <c r="H1993" s="1" t="str" cm="1">
        <f t="array" ref="H1993">_xlfn.IFS(
OR(E1993="Type 2 Diabetes",E1993="Essential Hypertension",E1993="Angina Pectoris",E1993="Bronchial Asthma",E1993="Cardiac Arrhythmia"), D1993+30,
OR(E1993="Gastritis",E1993="Osteoarthritis",E1993="Bronchitis",E1993="Iron Deficiency Anemia"), D1993+14,
OR(E1993="Lumbar Strain",E1993="Migraine Headache"), D1993+7,
OR(E1993="Viral Fever",E1993="General Checkup","Routine Health Check"), "",
TRUE,""
)</f>
        <v/>
      </c>
      <c r="I1993" s="1" t="str">
        <f t="shared" si="62"/>
        <v>No Follow-up Required</v>
      </c>
      <c r="J1993" t="str">
        <f>TEXT(Table8[[#This Row],[visit_Date]],"DDDD")</f>
        <v>Thursday</v>
      </c>
      <c r="K1993" t="str">
        <f>TEXT(Table8[[#This Row],[visit_Date]],"mmmm")</f>
        <v>May</v>
      </c>
      <c r="L1993" t="str">
        <f t="shared" si="63"/>
        <v>Summer</v>
      </c>
    </row>
    <row r="1994" spans="1:12" x14ac:dyDescent="0.25">
      <c r="A1994">
        <v>1993</v>
      </c>
      <c r="B1994">
        <v>1136</v>
      </c>
      <c r="C1994">
        <v>1172</v>
      </c>
      <c r="D1994" s="1">
        <v>45767</v>
      </c>
      <c r="E1994" t="s">
        <v>328</v>
      </c>
      <c r="F1994" t="s">
        <v>329</v>
      </c>
      <c r="G1994" t="str">
        <f>_xlfn.XLOOKUP(TRIM(E1995),MedicineInfo!A:A,MedicineInfo!B:B,"Not Found")</f>
        <v>Multivitamin</v>
      </c>
      <c r="H1994" s="1" t="str" cm="1">
        <f t="array" ref="H1994">_xlfn.IFS(
OR(E1994="Type 2 Diabetes",E1994="Essential Hypertension",E1994="Angina Pectoris",E1994="Bronchial Asthma",E1994="Cardiac Arrhythmia"), D1994+30,
OR(E1994="Gastritis",E1994="Osteoarthritis",E1994="Bronchitis",E1994="Iron Deficiency Anemia"), D1994+14,
OR(E1994="Lumbar Strain",E1994="Migraine Headache"), D1994+7,
OR(E1994="Viral Fever",E1994="General Checkup","Routine Health Check"), "",
TRUE,""
)</f>
        <v/>
      </c>
      <c r="I1994" s="1" t="str">
        <f t="shared" si="62"/>
        <v>No Follow-up Required</v>
      </c>
      <c r="J1994" t="str">
        <f>TEXT(Table8[[#This Row],[visit_Date]],"DDDD")</f>
        <v>Sunday</v>
      </c>
      <c r="K1994" t="str">
        <f>TEXT(Table8[[#This Row],[visit_Date]],"mmmm")</f>
        <v>April</v>
      </c>
      <c r="L1994" t="str">
        <f t="shared" si="63"/>
        <v>Summer</v>
      </c>
    </row>
    <row r="1995" spans="1:12" x14ac:dyDescent="0.25">
      <c r="A1995">
        <v>1994</v>
      </c>
      <c r="B1995">
        <v>1191</v>
      </c>
      <c r="C1995">
        <v>864</v>
      </c>
      <c r="D1995" s="1">
        <v>45758</v>
      </c>
      <c r="E1995" t="s">
        <v>24</v>
      </c>
      <c r="F1995" t="s">
        <v>321</v>
      </c>
      <c r="G1995" t="str">
        <f>_xlfn.XLOOKUP(TRIM(E1996),MedicineInfo!A:A,MedicineInfo!B:B,"Not Found")</f>
        <v>Levothyroxine</v>
      </c>
      <c r="H1995" s="1" t="str" cm="1">
        <f t="array" ref="H1995">_xlfn.IFS(
OR(E1995="Type 2 Diabetes",E1995="Essential Hypertension",E1995="Angina Pectoris",E1995="Bronchial Asthma",E1995="Cardiac Arrhythmia"), D1995+30,
OR(E1995="Gastritis",E1995="Osteoarthritis",E1995="Bronchitis",E1995="Iron Deficiency Anemia"), D1995+14,
OR(E1995="Lumbar Strain",E1995="Migraine Headache"), D1995+7,
OR(E1995="Viral Fever",E1995="General Checkup","Routine Health Check"), "",
TRUE,""
)</f>
        <v/>
      </c>
      <c r="I1995" s="1" t="str">
        <f t="shared" si="62"/>
        <v>No Follow-up Required</v>
      </c>
      <c r="J1995" t="str">
        <f>TEXT(Table8[[#This Row],[visit_Date]],"DDDD")</f>
        <v>Friday</v>
      </c>
      <c r="K1995" t="str">
        <f>TEXT(Table8[[#This Row],[visit_Date]],"mmmm")</f>
        <v>April</v>
      </c>
      <c r="L1995" t="str">
        <f t="shared" si="63"/>
        <v>Summer</v>
      </c>
    </row>
    <row r="1996" spans="1:12" x14ac:dyDescent="0.25">
      <c r="A1996">
        <v>1995</v>
      </c>
      <c r="B1996">
        <v>1118</v>
      </c>
      <c r="C1996">
        <v>134</v>
      </c>
      <c r="D1996" s="1">
        <v>45814</v>
      </c>
      <c r="E1996" t="s">
        <v>360</v>
      </c>
      <c r="F1996" t="s">
        <v>361</v>
      </c>
      <c r="G1996" t="str">
        <f>_xlfn.XLOOKUP(TRIM(E1997),MedicineInfo!A:A,MedicineInfo!B:B,"Not Found")</f>
        <v>Sodium Valproate</v>
      </c>
      <c r="H1996" s="1" t="str" cm="1">
        <f t="array" ref="H1996">_xlfn.IFS(
OR(E1996="Type 2 Diabetes",E1996="Essential Hypertension",E1996="Angina Pectoris",E1996="Bronchial Asthma",E1996="Cardiac Arrhythmia"), D1996+30,
OR(E1996="Gastritis",E1996="Osteoarthritis",E1996="Bronchitis",E1996="Iron Deficiency Anemia"), D1996+14,
OR(E1996="Lumbar Strain",E1996="Migraine Headache"), D1996+7,
OR(E1996="Viral Fever",E1996="General Checkup","Routine Health Check"), "",
TRUE,""
)</f>
        <v/>
      </c>
      <c r="I1996" s="1" t="str">
        <f t="shared" si="62"/>
        <v>No Follow-up Required</v>
      </c>
      <c r="J1996" t="str">
        <f>TEXT(Table8[[#This Row],[visit_Date]],"DDDD")</f>
        <v>Friday</v>
      </c>
      <c r="K1996" t="str">
        <f>TEXT(Table8[[#This Row],[visit_Date]],"mmmm")</f>
        <v>June</v>
      </c>
      <c r="L1996" t="str">
        <f t="shared" si="63"/>
        <v>Monsoon</v>
      </c>
    </row>
    <row r="1997" spans="1:12" x14ac:dyDescent="0.25">
      <c r="A1997">
        <v>1996</v>
      </c>
      <c r="B1997">
        <v>1230</v>
      </c>
      <c r="C1997">
        <v>1197</v>
      </c>
      <c r="D1997" s="1">
        <v>45777</v>
      </c>
      <c r="E1997" t="s">
        <v>352</v>
      </c>
      <c r="F1997" t="s">
        <v>353</v>
      </c>
      <c r="G1997" t="str">
        <f>_xlfn.XLOOKUP(TRIM(E1998),MedicineInfo!A:A,MedicineInfo!B:B,"Not Found")</f>
        <v>Escitalopram</v>
      </c>
      <c r="H1997" s="1" t="str" cm="1">
        <f t="array" ref="H1997">_xlfn.IFS(
OR(E1997="Type 2 Diabetes",E1997="Essential Hypertension",E1997="Angina Pectoris",E1997="Bronchial Asthma",E1997="Cardiac Arrhythmia"), D1997+30,
OR(E1997="Gastritis",E1997="Osteoarthritis",E1997="Bronchitis",E1997="Iron Deficiency Anemia"), D1997+14,
OR(E1997="Lumbar Strain",E1997="Migraine Headache"), D1997+7,
OR(E1997="Viral Fever",E1997="General Checkup","Routine Health Check"), "",
TRUE,""
)</f>
        <v/>
      </c>
      <c r="I1997" s="1" t="str">
        <f t="shared" si="62"/>
        <v>No Follow-up Required</v>
      </c>
      <c r="J1997" t="str">
        <f>TEXT(Table8[[#This Row],[visit_Date]],"DDDD")</f>
        <v>Wednesday</v>
      </c>
      <c r="K1997" t="str">
        <f>TEXT(Table8[[#This Row],[visit_Date]],"mmmm")</f>
        <v>April</v>
      </c>
      <c r="L1997" t="str">
        <f t="shared" si="63"/>
        <v>Summer</v>
      </c>
    </row>
    <row r="1998" spans="1:12" x14ac:dyDescent="0.25">
      <c r="A1998">
        <v>1997</v>
      </c>
      <c r="B1998">
        <v>1268</v>
      </c>
      <c r="C1998">
        <v>883</v>
      </c>
      <c r="D1998" s="1">
        <v>45814</v>
      </c>
      <c r="E1998" t="s">
        <v>328</v>
      </c>
      <c r="F1998" t="s">
        <v>329</v>
      </c>
      <c r="G1998" t="str">
        <f>_xlfn.XLOOKUP(TRIM(E1999),MedicineInfo!A:A,MedicineInfo!B:B,"Not Found")</f>
        <v>Diclofenac</v>
      </c>
      <c r="H1998" s="1" t="str" cm="1">
        <f t="array" ref="H1998">_xlfn.IFS(
OR(E1998="Type 2 Diabetes",E1998="Essential Hypertension",E1998="Angina Pectoris",E1998="Bronchial Asthma",E1998="Cardiac Arrhythmia"), D1998+30,
OR(E1998="Gastritis",E1998="Osteoarthritis",E1998="Bronchitis",E1998="Iron Deficiency Anemia"), D1998+14,
OR(E1998="Lumbar Strain",E1998="Migraine Headache"), D1998+7,
OR(E1998="Viral Fever",E1998="General Checkup","Routine Health Check"), "",
TRUE,""
)</f>
        <v/>
      </c>
      <c r="I1998" s="1" t="str">
        <f t="shared" si="62"/>
        <v>No Follow-up Required</v>
      </c>
      <c r="J1998" t="str">
        <f>TEXT(Table8[[#This Row],[visit_Date]],"DDDD")</f>
        <v>Friday</v>
      </c>
      <c r="K1998" t="str">
        <f>TEXT(Table8[[#This Row],[visit_Date]],"mmmm")</f>
        <v>June</v>
      </c>
      <c r="L1998" t="str">
        <f t="shared" si="63"/>
        <v>Monsoon</v>
      </c>
    </row>
    <row r="1999" spans="1:12" x14ac:dyDescent="0.25">
      <c r="A1999">
        <v>1998</v>
      </c>
      <c r="B1999">
        <v>1169</v>
      </c>
      <c r="C1999">
        <v>766</v>
      </c>
      <c r="D1999" s="1">
        <v>45767</v>
      </c>
      <c r="E1999" t="s">
        <v>313</v>
      </c>
      <c r="F1999" t="s">
        <v>314</v>
      </c>
      <c r="G1999" t="str">
        <f>_xlfn.XLOOKUP(TRIM(E2000),MedicineInfo!A:A,MedicineInfo!B:B,"Not Found")</f>
        <v>Multivitamin</v>
      </c>
      <c r="H1999" s="1" cm="1">
        <f t="array" ref="H1999">_xlfn.IFS(
OR(E1999="Type 2 Diabetes",E1999="Essential Hypertension",E1999="Angina Pectoris",E1999="Bronchial Asthma",E1999="Cardiac Arrhythmia"), D1999+30,
OR(E1999="Gastritis",E1999="Osteoarthritis",E1999="Bronchitis",E1999="Iron Deficiency Anemia"), D1999+14,
OR(E1999="Lumbar Strain",E1999="Migraine Headache"), D1999+7,
OR(E1999="Viral Fever",E1999="General Checkup","Routine Health Check"), "",
TRUE,""
)</f>
        <v>45774</v>
      </c>
      <c r="I1999" s="1" t="str">
        <f t="shared" si="62"/>
        <v>Follow-up Scheduled</v>
      </c>
      <c r="J1999" t="str">
        <f>TEXT(Table8[[#This Row],[visit_Date]],"DDDD")</f>
        <v>Sunday</v>
      </c>
      <c r="K1999" t="str">
        <f>TEXT(Table8[[#This Row],[visit_Date]],"mmmm")</f>
        <v>April</v>
      </c>
      <c r="L1999" t="str">
        <f t="shared" si="63"/>
        <v>Summer</v>
      </c>
    </row>
    <row r="2000" spans="1:12" x14ac:dyDescent="0.25">
      <c r="A2000">
        <v>1999</v>
      </c>
      <c r="B2000">
        <v>1032</v>
      </c>
      <c r="C2000">
        <v>225</v>
      </c>
      <c r="D2000" s="1">
        <v>45814</v>
      </c>
      <c r="E2000" t="s">
        <v>24</v>
      </c>
      <c r="F2000" t="s">
        <v>321</v>
      </c>
      <c r="G2000" t="str">
        <f>_xlfn.XLOOKUP(TRIM(E2001),MedicineInfo!A:A,MedicineInfo!B:B,"Not Found")</f>
        <v>Multivitamin</v>
      </c>
      <c r="H2000" s="1" t="str" cm="1">
        <f t="array" ref="H2000">_xlfn.IFS(
OR(E2000="Type 2 Diabetes",E2000="Essential Hypertension",E2000="Angina Pectoris",E2000="Bronchial Asthma",E2000="Cardiac Arrhythmia"), D2000+30,
OR(E2000="Gastritis",E2000="Osteoarthritis",E2000="Bronchitis",E2000="Iron Deficiency Anemia"), D2000+14,
OR(E2000="Lumbar Strain",E2000="Migraine Headache"), D2000+7,
OR(E2000="Viral Fever",E2000="General Checkup","Routine Health Check"), "",
TRUE,""
)</f>
        <v/>
      </c>
      <c r="I2000" s="1" t="str">
        <f t="shared" si="62"/>
        <v>No Follow-up Required</v>
      </c>
      <c r="J2000" t="str">
        <f>TEXT(Table8[[#This Row],[visit_Date]],"DDDD")</f>
        <v>Friday</v>
      </c>
      <c r="K2000" t="str">
        <f>TEXT(Table8[[#This Row],[visit_Date]],"mmmm")</f>
        <v>June</v>
      </c>
      <c r="L2000" t="str">
        <f t="shared" si="63"/>
        <v>Monsoon</v>
      </c>
    </row>
    <row r="2001" spans="1:12" x14ac:dyDescent="0.25">
      <c r="A2001">
        <v>2000</v>
      </c>
      <c r="B2001">
        <v>1098</v>
      </c>
      <c r="C2001">
        <v>402</v>
      </c>
      <c r="D2001" s="1">
        <v>45783</v>
      </c>
      <c r="E2001" t="s">
        <v>24</v>
      </c>
      <c r="F2001" t="s">
        <v>321</v>
      </c>
      <c r="G2001" t="str">
        <f>_xlfn.XLOOKUP(TRIM(E2002),MedicineInfo!A:A,MedicineInfo!B:B,"Not Found")</f>
        <v>Multivitamin</v>
      </c>
      <c r="H2001" s="1" t="str" cm="1">
        <f t="array" ref="H2001">_xlfn.IFS(
OR(E2001="Type 2 Diabetes",E2001="Essential Hypertension",E2001="Angina Pectoris",E2001="Bronchial Asthma",E2001="Cardiac Arrhythmia"), D2001+30,
OR(E2001="Gastritis",E2001="Osteoarthritis",E2001="Bronchitis",E2001="Iron Deficiency Anemia"), D2001+14,
OR(E2001="Lumbar Strain",E2001="Migraine Headache"), D2001+7,
OR(E2001="Viral Fever",E2001="General Checkup","Routine Health Check"), "",
TRUE,""
)</f>
        <v/>
      </c>
      <c r="I2001" s="1" t="str">
        <f t="shared" si="62"/>
        <v>No Follow-up Required</v>
      </c>
      <c r="J2001" t="str">
        <f>TEXT(Table8[[#This Row],[visit_Date]],"DDDD")</f>
        <v>Tuesday</v>
      </c>
      <c r="K2001" t="str">
        <f>TEXT(Table8[[#This Row],[visit_Date]],"mmmm")</f>
        <v>May</v>
      </c>
      <c r="L2001" t="str">
        <f t="shared" si="63"/>
        <v>Summer</v>
      </c>
    </row>
    <row r="2002" spans="1:12" x14ac:dyDescent="0.25">
      <c r="A2002">
        <v>2001</v>
      </c>
      <c r="B2002">
        <v>1169</v>
      </c>
      <c r="C2002">
        <v>1415</v>
      </c>
      <c r="D2002" s="1">
        <v>45810</v>
      </c>
      <c r="E2002" t="s">
        <v>24</v>
      </c>
      <c r="F2002" t="s">
        <v>321</v>
      </c>
      <c r="G2002" t="str">
        <f>_xlfn.XLOOKUP(TRIM(E2003),MedicineInfo!A:A,MedicineInfo!B:B,"Not Found")</f>
        <v>Multivitamin</v>
      </c>
      <c r="H2002" s="1" t="str" cm="1">
        <f t="array" ref="H2002">_xlfn.IFS(
OR(E2002="Type 2 Diabetes",E2002="Essential Hypertension",E2002="Angina Pectoris",E2002="Bronchial Asthma",E2002="Cardiac Arrhythmia"), D2002+30,
OR(E2002="Gastritis",E2002="Osteoarthritis",E2002="Bronchitis",E2002="Iron Deficiency Anemia"), D2002+14,
OR(E2002="Lumbar Strain",E2002="Migraine Headache"), D2002+7,
OR(E2002="Viral Fever",E2002="General Checkup","Routine Health Check"), "",
TRUE,""
)</f>
        <v/>
      </c>
      <c r="I2002" s="1" t="str">
        <f t="shared" si="62"/>
        <v>No Follow-up Required</v>
      </c>
      <c r="J2002" t="str">
        <f>TEXT(Table8[[#This Row],[visit_Date]],"DDDD")</f>
        <v>Monday</v>
      </c>
      <c r="K2002" t="str">
        <f>TEXT(Table8[[#This Row],[visit_Date]],"mmmm")</f>
        <v>June</v>
      </c>
      <c r="L2002" t="str">
        <f t="shared" si="63"/>
        <v>Monsoon</v>
      </c>
    </row>
    <row r="2003" spans="1:12" x14ac:dyDescent="0.25">
      <c r="A2003">
        <v>2002</v>
      </c>
      <c r="B2003">
        <v>1044</v>
      </c>
      <c r="C2003">
        <v>1522</v>
      </c>
      <c r="D2003" s="1">
        <v>45767</v>
      </c>
      <c r="E2003" t="s">
        <v>24</v>
      </c>
      <c r="F2003" t="s">
        <v>321</v>
      </c>
      <c r="G2003" t="str">
        <f>_xlfn.XLOOKUP(TRIM(E2004),MedicineInfo!A:A,MedicineInfo!B:B,"Not Found")</f>
        <v>Amlodipine</v>
      </c>
      <c r="H2003" s="1" t="str" cm="1">
        <f t="array" ref="H2003">_xlfn.IFS(
OR(E2003="Type 2 Diabetes",E2003="Essential Hypertension",E2003="Angina Pectoris",E2003="Bronchial Asthma",E2003="Cardiac Arrhythmia"), D2003+30,
OR(E2003="Gastritis",E2003="Osteoarthritis",E2003="Bronchitis",E2003="Iron Deficiency Anemia"), D2003+14,
OR(E2003="Lumbar Strain",E2003="Migraine Headache"), D2003+7,
OR(E2003="Viral Fever",E2003="General Checkup","Routine Health Check"), "",
TRUE,""
)</f>
        <v/>
      </c>
      <c r="I2003" s="1" t="str">
        <f t="shared" si="62"/>
        <v>No Follow-up Required</v>
      </c>
      <c r="J2003" t="str">
        <f>TEXT(Table8[[#This Row],[visit_Date]],"DDDD")</f>
        <v>Sunday</v>
      </c>
      <c r="K2003" t="str">
        <f>TEXT(Table8[[#This Row],[visit_Date]],"mmmm")</f>
        <v>April</v>
      </c>
      <c r="L2003" t="str">
        <f t="shared" si="63"/>
        <v>Summer</v>
      </c>
    </row>
    <row r="2004" spans="1:12" x14ac:dyDescent="0.25">
      <c r="A2004">
        <v>2003</v>
      </c>
      <c r="B2004">
        <v>1232</v>
      </c>
      <c r="C2004">
        <v>363</v>
      </c>
      <c r="D2004" s="1">
        <v>45767</v>
      </c>
      <c r="E2004" t="s">
        <v>319</v>
      </c>
      <c r="F2004" t="s">
        <v>320</v>
      </c>
      <c r="G2004" t="str">
        <f>_xlfn.XLOOKUP(TRIM(E2005),MedicineInfo!A:A,MedicineInfo!B:B,"Not Found")</f>
        <v>Multivitamin</v>
      </c>
      <c r="H2004" s="1" cm="1">
        <f t="array" ref="H2004">_xlfn.IFS(
OR(E2004="Type 2 Diabetes",E2004="Essential Hypertension",E2004="Angina Pectoris",E2004="Bronchial Asthma",E2004="Cardiac Arrhythmia"), D2004+30,
OR(E2004="Gastritis",E2004="Osteoarthritis",E2004="Bronchitis",E2004="Iron Deficiency Anemia"), D2004+14,
OR(E2004="Lumbar Strain",E2004="Migraine Headache"), D2004+7,
OR(E2004="Viral Fever",E2004="General Checkup","Routine Health Check"), "",
TRUE,""
)</f>
        <v>45797</v>
      </c>
      <c r="I2004" s="1" t="str">
        <f t="shared" si="62"/>
        <v>Follow-up Scheduled</v>
      </c>
      <c r="J2004" t="str">
        <f>TEXT(Table8[[#This Row],[visit_Date]],"DDDD")</f>
        <v>Sunday</v>
      </c>
      <c r="K2004" t="str">
        <f>TEXT(Table8[[#This Row],[visit_Date]],"mmmm")</f>
        <v>April</v>
      </c>
      <c r="L2004" t="str">
        <f t="shared" si="63"/>
        <v>Summer</v>
      </c>
    </row>
    <row r="2005" spans="1:12" x14ac:dyDescent="0.25">
      <c r="A2005">
        <v>2004</v>
      </c>
      <c r="B2005">
        <v>1105</v>
      </c>
      <c r="C2005">
        <v>427</v>
      </c>
      <c r="D2005" s="1">
        <v>45814</v>
      </c>
      <c r="E2005" t="s">
        <v>24</v>
      </c>
      <c r="F2005" t="s">
        <v>321</v>
      </c>
      <c r="G2005" t="str">
        <f>_xlfn.XLOOKUP(TRIM(E2006),MedicineInfo!A:A,MedicineInfo!B:B,"Not Found")</f>
        <v>Multivitamin</v>
      </c>
      <c r="H2005" s="1" t="str" cm="1">
        <f t="array" ref="H2005">_xlfn.IFS(
OR(E2005="Type 2 Diabetes",E2005="Essential Hypertension",E2005="Angina Pectoris",E2005="Bronchial Asthma",E2005="Cardiac Arrhythmia"), D2005+30,
OR(E2005="Gastritis",E2005="Osteoarthritis",E2005="Bronchitis",E2005="Iron Deficiency Anemia"), D2005+14,
OR(E2005="Lumbar Strain",E2005="Migraine Headache"), D2005+7,
OR(E2005="Viral Fever",E2005="General Checkup","Routine Health Check"), "",
TRUE,""
)</f>
        <v/>
      </c>
      <c r="I2005" s="1" t="str">
        <f t="shared" si="62"/>
        <v>No Follow-up Required</v>
      </c>
      <c r="J2005" t="str">
        <f>TEXT(Table8[[#This Row],[visit_Date]],"DDDD")</f>
        <v>Friday</v>
      </c>
      <c r="K2005" t="str">
        <f>TEXT(Table8[[#This Row],[visit_Date]],"mmmm")</f>
        <v>June</v>
      </c>
      <c r="L2005" t="str">
        <f t="shared" si="63"/>
        <v>Monsoon</v>
      </c>
    </row>
    <row r="2006" spans="1:12" x14ac:dyDescent="0.25">
      <c r="A2006">
        <v>2005</v>
      </c>
      <c r="B2006">
        <v>1110</v>
      </c>
      <c r="C2006">
        <v>472</v>
      </c>
      <c r="D2006" s="1">
        <v>45701</v>
      </c>
      <c r="E2006" t="s">
        <v>24</v>
      </c>
      <c r="F2006" t="s">
        <v>321</v>
      </c>
      <c r="G2006" t="str">
        <f>_xlfn.XLOOKUP(TRIM(E2007),MedicineInfo!A:A,MedicineInfo!B:B,"Not Found")</f>
        <v>Multivitamin</v>
      </c>
      <c r="H2006" s="1" t="str" cm="1">
        <f t="array" ref="H2006">_xlfn.IFS(
OR(E2006="Type 2 Diabetes",E2006="Essential Hypertension",E2006="Angina Pectoris",E2006="Bronchial Asthma",E2006="Cardiac Arrhythmia"), D2006+30,
OR(E2006="Gastritis",E2006="Osteoarthritis",E2006="Bronchitis",E2006="Iron Deficiency Anemia"), D2006+14,
OR(E2006="Lumbar Strain",E2006="Migraine Headache"), D2006+7,
OR(E2006="Viral Fever",E2006="General Checkup","Routine Health Check"), "",
TRUE,""
)</f>
        <v/>
      </c>
      <c r="I2006" s="1" t="str">
        <f t="shared" si="62"/>
        <v>No Follow-up Required</v>
      </c>
      <c r="J2006" t="str">
        <f>TEXT(Table8[[#This Row],[visit_Date]],"DDDD")</f>
        <v>Thursday</v>
      </c>
      <c r="K2006" t="str">
        <f>TEXT(Table8[[#This Row],[visit_Date]],"mmmm")</f>
        <v>February</v>
      </c>
      <c r="L2006" t="str">
        <f t="shared" si="63"/>
        <v>Winter</v>
      </c>
    </row>
    <row r="2007" spans="1:12" x14ac:dyDescent="0.25">
      <c r="A2007">
        <v>2006</v>
      </c>
      <c r="B2007">
        <v>1142</v>
      </c>
      <c r="C2007">
        <v>268</v>
      </c>
      <c r="D2007" s="1">
        <v>45791</v>
      </c>
      <c r="E2007" t="s">
        <v>24</v>
      </c>
      <c r="F2007" t="s">
        <v>321</v>
      </c>
      <c r="G2007" t="str">
        <f>_xlfn.XLOOKUP(TRIM(E2008),MedicineInfo!A:A,MedicineInfo!B:B,"Not Found")</f>
        <v>Multivitamin</v>
      </c>
      <c r="H2007" s="1" t="str" cm="1">
        <f t="array" ref="H2007">_xlfn.IFS(
OR(E2007="Type 2 Diabetes",E2007="Essential Hypertension",E2007="Angina Pectoris",E2007="Bronchial Asthma",E2007="Cardiac Arrhythmia"), D2007+30,
OR(E2007="Gastritis",E2007="Osteoarthritis",E2007="Bronchitis",E2007="Iron Deficiency Anemia"), D2007+14,
OR(E2007="Lumbar Strain",E2007="Migraine Headache"), D2007+7,
OR(E2007="Viral Fever",E2007="General Checkup","Routine Health Check"), "",
TRUE,""
)</f>
        <v/>
      </c>
      <c r="I2007" s="1" t="str">
        <f t="shared" si="62"/>
        <v>No Follow-up Required</v>
      </c>
      <c r="J2007" t="str">
        <f>TEXT(Table8[[#This Row],[visit_Date]],"DDDD")</f>
        <v>Wednesday</v>
      </c>
      <c r="K2007" t="str">
        <f>TEXT(Table8[[#This Row],[visit_Date]],"mmmm")</f>
        <v>May</v>
      </c>
      <c r="L2007" t="str">
        <f t="shared" si="63"/>
        <v>Summer</v>
      </c>
    </row>
    <row r="2008" spans="1:12" x14ac:dyDescent="0.25">
      <c r="A2008">
        <v>2007</v>
      </c>
      <c r="B2008">
        <v>1038</v>
      </c>
      <c r="C2008">
        <v>1369</v>
      </c>
      <c r="D2008" s="1">
        <v>45669</v>
      </c>
      <c r="E2008" t="s">
        <v>24</v>
      </c>
      <c r="F2008" t="s">
        <v>321</v>
      </c>
      <c r="G2008" t="str">
        <f>_xlfn.XLOOKUP(TRIM(E2009),MedicineInfo!A:A,MedicineInfo!B:B,"Not Found")</f>
        <v>Folic Acid</v>
      </c>
      <c r="H2008" s="1" t="str" cm="1">
        <f t="array" ref="H2008">_xlfn.IFS(
OR(E2008="Type 2 Diabetes",E2008="Essential Hypertension",E2008="Angina Pectoris",E2008="Bronchial Asthma",E2008="Cardiac Arrhythmia"), D2008+30,
OR(E2008="Gastritis",E2008="Osteoarthritis",E2008="Bronchitis",E2008="Iron Deficiency Anemia"), D2008+14,
OR(E2008="Lumbar Strain",E2008="Migraine Headache"), D2008+7,
OR(E2008="Viral Fever",E2008="General Checkup","Routine Health Check"), "",
TRUE,""
)</f>
        <v/>
      </c>
      <c r="I2008" s="1" t="str">
        <f t="shared" si="62"/>
        <v>No Follow-up Required</v>
      </c>
      <c r="J2008" t="str">
        <f>TEXT(Table8[[#This Row],[visit_Date]],"DDDD")</f>
        <v>Sunday</v>
      </c>
      <c r="K2008" t="str">
        <f>TEXT(Table8[[#This Row],[visit_Date]],"mmmm")</f>
        <v>January</v>
      </c>
      <c r="L2008" t="str">
        <f t="shared" si="63"/>
        <v>Winter</v>
      </c>
    </row>
    <row r="2009" spans="1:12" x14ac:dyDescent="0.25">
      <c r="A2009">
        <v>2008</v>
      </c>
      <c r="B2009">
        <v>1279</v>
      </c>
      <c r="C2009">
        <v>1058</v>
      </c>
      <c r="D2009" s="1">
        <v>45853</v>
      </c>
      <c r="E2009" t="s">
        <v>356</v>
      </c>
      <c r="F2009" t="s">
        <v>357</v>
      </c>
      <c r="G2009" t="str">
        <f>_xlfn.XLOOKUP(TRIM(E2010),MedicineInfo!A:A,MedicineInfo!B:B,"Not Found")</f>
        <v>Not Found</v>
      </c>
      <c r="H2009" s="1" t="str" cm="1">
        <f t="array" ref="H2009">_xlfn.IFS(
OR(E2009="Type 2 Diabetes",E2009="Essential Hypertension",E2009="Angina Pectoris",E2009="Bronchial Asthma",E2009="Cardiac Arrhythmia"), D2009+30,
OR(E2009="Gastritis",E2009="Osteoarthritis",E2009="Bronchitis",E2009="Iron Deficiency Anemia"), D2009+14,
OR(E2009="Lumbar Strain",E2009="Migraine Headache"), D2009+7,
OR(E2009="Viral Fever",E2009="General Checkup","Routine Health Check"), "",
TRUE,""
)</f>
        <v/>
      </c>
      <c r="I2009" s="1" t="str">
        <f t="shared" si="62"/>
        <v>No Follow-up Required</v>
      </c>
      <c r="J2009" t="str">
        <f>TEXT(Table8[[#This Row],[visit_Date]],"DDDD")</f>
        <v>Tuesday</v>
      </c>
      <c r="K2009" t="str">
        <f>TEXT(Table8[[#This Row],[visit_Date]],"mmmm")</f>
        <v>July</v>
      </c>
      <c r="L2009" t="str">
        <f t="shared" si="63"/>
        <v>Monsoon</v>
      </c>
    </row>
    <row r="2010" spans="1:12" x14ac:dyDescent="0.25">
      <c r="A2010">
        <v>2009</v>
      </c>
      <c r="B2010">
        <v>1080</v>
      </c>
      <c r="C2010">
        <v>288</v>
      </c>
      <c r="D2010" s="1">
        <v>45729</v>
      </c>
      <c r="E2010" t="s">
        <v>340</v>
      </c>
      <c r="F2010" t="s">
        <v>341</v>
      </c>
      <c r="G2010" t="str">
        <f>_xlfn.XLOOKUP(TRIM(E2011),MedicineInfo!A:A,MedicineInfo!B:B,"Not Found")</f>
        <v>Multivitamin</v>
      </c>
      <c r="H2010" s="1" t="str" cm="1">
        <f t="array" ref="H2010">_xlfn.IFS(
OR(E2010="Type 2 Diabetes",E2010="Essential Hypertension",E2010="Angina Pectoris",E2010="Bronchial Asthma",E2010="Cardiac Arrhythmia"), D2010+30,
OR(E2010="Gastritis",E2010="Osteoarthritis",E2010="Bronchitis",E2010="Iron Deficiency Anemia"), D2010+14,
OR(E2010="Lumbar Strain",E2010="Migraine Headache"), D2010+7,
OR(E2010="Viral Fever",E2010="General Checkup","Routine Health Check"), "",
TRUE,""
)</f>
        <v/>
      </c>
      <c r="I2010" s="1" t="str">
        <f t="shared" si="62"/>
        <v>No Follow-up Required</v>
      </c>
      <c r="J2010" t="str">
        <f>TEXT(Table8[[#This Row],[visit_Date]],"DDDD")</f>
        <v>Thursday</v>
      </c>
      <c r="K2010" t="str">
        <f>TEXT(Table8[[#This Row],[visit_Date]],"mmmm")</f>
        <v>March</v>
      </c>
      <c r="L2010" t="str">
        <f t="shared" si="63"/>
        <v>Summer</v>
      </c>
    </row>
    <row r="2011" spans="1:12" x14ac:dyDescent="0.25">
      <c r="A2011">
        <v>2010</v>
      </c>
      <c r="B2011">
        <v>1252</v>
      </c>
      <c r="C2011">
        <v>179</v>
      </c>
      <c r="D2011" s="1">
        <v>45709</v>
      </c>
      <c r="E2011" t="s">
        <v>24</v>
      </c>
      <c r="F2011" t="s">
        <v>321</v>
      </c>
      <c r="G2011" t="str">
        <f>_xlfn.XLOOKUP(TRIM(E2012),MedicineInfo!A:A,MedicineInfo!B:B,"Not Found")</f>
        <v>Diclofenac</v>
      </c>
      <c r="H2011" s="1" t="str" cm="1">
        <f t="array" ref="H2011">_xlfn.IFS(
OR(E2011="Type 2 Diabetes",E2011="Essential Hypertension",E2011="Angina Pectoris",E2011="Bronchial Asthma",E2011="Cardiac Arrhythmia"), D2011+30,
OR(E2011="Gastritis",E2011="Osteoarthritis",E2011="Bronchitis",E2011="Iron Deficiency Anemia"), D2011+14,
OR(E2011="Lumbar Strain",E2011="Migraine Headache"), D2011+7,
OR(E2011="Viral Fever",E2011="General Checkup","Routine Health Check"), "",
TRUE,""
)</f>
        <v/>
      </c>
      <c r="I2011" s="1" t="str">
        <f t="shared" si="62"/>
        <v>No Follow-up Required</v>
      </c>
      <c r="J2011" t="str">
        <f>TEXT(Table8[[#This Row],[visit_Date]],"DDDD")</f>
        <v>Friday</v>
      </c>
      <c r="K2011" t="str">
        <f>TEXT(Table8[[#This Row],[visit_Date]],"mmmm")</f>
        <v>February</v>
      </c>
      <c r="L2011" t="str">
        <f t="shared" si="63"/>
        <v>Winter</v>
      </c>
    </row>
    <row r="2012" spans="1:12" x14ac:dyDescent="0.25">
      <c r="A2012">
        <v>2011</v>
      </c>
      <c r="B2012">
        <v>1054</v>
      </c>
      <c r="C2012">
        <v>375</v>
      </c>
      <c r="D2012" s="1">
        <v>45791</v>
      </c>
      <c r="E2012" t="s">
        <v>313</v>
      </c>
      <c r="F2012" t="s">
        <v>314</v>
      </c>
      <c r="G2012" t="str">
        <f>_xlfn.XLOOKUP(TRIM(E2013),MedicineInfo!A:A,MedicineInfo!B:B,"Not Found")</f>
        <v>Nitroglycerin</v>
      </c>
      <c r="H2012" s="1" cm="1">
        <f t="array" ref="H2012">_xlfn.IFS(
OR(E2012="Type 2 Diabetes",E2012="Essential Hypertension",E2012="Angina Pectoris",E2012="Bronchial Asthma",E2012="Cardiac Arrhythmia"), D2012+30,
OR(E2012="Gastritis",E2012="Osteoarthritis",E2012="Bronchitis",E2012="Iron Deficiency Anemia"), D2012+14,
OR(E2012="Lumbar Strain",E2012="Migraine Headache"), D2012+7,
OR(E2012="Viral Fever",E2012="General Checkup","Routine Health Check"), "",
TRUE,""
)</f>
        <v>45798</v>
      </c>
      <c r="I2012" s="1" t="str">
        <f t="shared" si="62"/>
        <v>Follow-up Scheduled</v>
      </c>
      <c r="J2012" t="str">
        <f>TEXT(Table8[[#This Row],[visit_Date]],"DDDD")</f>
        <v>Wednesday</v>
      </c>
      <c r="K2012" t="str">
        <f>TEXT(Table8[[#This Row],[visit_Date]],"mmmm")</f>
        <v>May</v>
      </c>
      <c r="L2012" t="str">
        <f t="shared" si="63"/>
        <v>Summer</v>
      </c>
    </row>
    <row r="2013" spans="1:12" x14ac:dyDescent="0.25">
      <c r="A2013">
        <v>2012</v>
      </c>
      <c r="B2013">
        <v>1007</v>
      </c>
      <c r="C2013">
        <v>1266</v>
      </c>
      <c r="D2013" s="1">
        <v>45819</v>
      </c>
      <c r="E2013" t="s">
        <v>322</v>
      </c>
      <c r="F2013" t="s">
        <v>323</v>
      </c>
      <c r="G2013" t="str">
        <f>_xlfn.XLOOKUP(TRIM(E2014),MedicineInfo!A:A,MedicineInfo!B:B,"Not Found")</f>
        <v>Multivitamin</v>
      </c>
      <c r="H2013" s="1" cm="1">
        <f t="array" ref="H2013">_xlfn.IFS(
OR(E2013="Type 2 Diabetes",E2013="Essential Hypertension",E2013="Angina Pectoris",E2013="Bronchial Asthma",E2013="Cardiac Arrhythmia"), D2013+30,
OR(E2013="Gastritis",E2013="Osteoarthritis",E2013="Bronchitis",E2013="Iron Deficiency Anemia"), D2013+14,
OR(E2013="Lumbar Strain",E2013="Migraine Headache"), D2013+7,
OR(E2013="Viral Fever",E2013="General Checkup","Routine Health Check"), "",
TRUE,""
)</f>
        <v>45849</v>
      </c>
      <c r="I2013" s="1" t="str">
        <f t="shared" si="62"/>
        <v>Follow-up Scheduled</v>
      </c>
      <c r="J2013" t="str">
        <f>TEXT(Table8[[#This Row],[visit_Date]],"DDDD")</f>
        <v>Wednesday</v>
      </c>
      <c r="K2013" t="str">
        <f>TEXT(Table8[[#This Row],[visit_Date]],"mmmm")</f>
        <v>June</v>
      </c>
      <c r="L2013" t="str">
        <f t="shared" si="63"/>
        <v>Monsoon</v>
      </c>
    </row>
    <row r="2014" spans="1:12" x14ac:dyDescent="0.25">
      <c r="A2014">
        <v>2013</v>
      </c>
      <c r="B2014">
        <v>1394</v>
      </c>
      <c r="C2014">
        <v>378</v>
      </c>
      <c r="D2014" s="1">
        <v>45814</v>
      </c>
      <c r="E2014" t="s">
        <v>24</v>
      </c>
      <c r="F2014" t="s">
        <v>321</v>
      </c>
      <c r="G2014" t="str">
        <f>_xlfn.XLOOKUP(TRIM(E2015),MedicineInfo!A:A,MedicineInfo!B:B,"Not Found")</f>
        <v>Multivitamin</v>
      </c>
      <c r="H2014" s="1" t="str" cm="1">
        <f t="array" ref="H2014">_xlfn.IFS(
OR(E2014="Type 2 Diabetes",E2014="Essential Hypertension",E2014="Angina Pectoris",E2014="Bronchial Asthma",E2014="Cardiac Arrhythmia"), D2014+30,
OR(E2014="Gastritis",E2014="Osteoarthritis",E2014="Bronchitis",E2014="Iron Deficiency Anemia"), D2014+14,
OR(E2014="Lumbar Strain",E2014="Migraine Headache"), D2014+7,
OR(E2014="Viral Fever",E2014="General Checkup","Routine Health Check"), "",
TRUE,""
)</f>
        <v/>
      </c>
      <c r="I2014" s="1" t="str">
        <f t="shared" si="62"/>
        <v>No Follow-up Required</v>
      </c>
      <c r="J2014" t="str">
        <f>TEXT(Table8[[#This Row],[visit_Date]],"DDDD")</f>
        <v>Friday</v>
      </c>
      <c r="K2014" t="str">
        <f>TEXT(Table8[[#This Row],[visit_Date]],"mmmm")</f>
        <v>June</v>
      </c>
      <c r="L2014" t="str">
        <f t="shared" si="63"/>
        <v>Monsoon</v>
      </c>
    </row>
    <row r="2015" spans="1:12" x14ac:dyDescent="0.25">
      <c r="A2015">
        <v>2014</v>
      </c>
      <c r="B2015">
        <v>1190</v>
      </c>
      <c r="C2015">
        <v>860</v>
      </c>
      <c r="D2015" s="1">
        <v>45706</v>
      </c>
      <c r="E2015" t="s">
        <v>24</v>
      </c>
      <c r="F2015" t="s">
        <v>321</v>
      </c>
      <c r="G2015" t="str">
        <f>_xlfn.XLOOKUP(TRIM(E2016),MedicineInfo!A:A,MedicineInfo!B:B,"Not Found")</f>
        <v>Multivitamin</v>
      </c>
      <c r="H2015" s="1" t="str" cm="1">
        <f t="array" ref="H2015">_xlfn.IFS(
OR(E2015="Type 2 Diabetes",E2015="Essential Hypertension",E2015="Angina Pectoris",E2015="Bronchial Asthma",E2015="Cardiac Arrhythmia"), D2015+30,
OR(E2015="Gastritis",E2015="Osteoarthritis",E2015="Bronchitis",E2015="Iron Deficiency Anemia"), D2015+14,
OR(E2015="Lumbar Strain",E2015="Migraine Headache"), D2015+7,
OR(E2015="Viral Fever",E2015="General Checkup","Routine Health Check"), "",
TRUE,""
)</f>
        <v/>
      </c>
      <c r="I2015" s="1" t="str">
        <f t="shared" si="62"/>
        <v>No Follow-up Required</v>
      </c>
      <c r="J2015" t="str">
        <f>TEXT(Table8[[#This Row],[visit_Date]],"DDDD")</f>
        <v>Tuesday</v>
      </c>
      <c r="K2015" t="str">
        <f>TEXT(Table8[[#This Row],[visit_Date]],"mmmm")</f>
        <v>February</v>
      </c>
      <c r="L2015" t="str">
        <f t="shared" si="63"/>
        <v>Winter</v>
      </c>
    </row>
    <row r="2016" spans="1:12" x14ac:dyDescent="0.25">
      <c r="A2016">
        <v>2015</v>
      </c>
      <c r="B2016">
        <v>1044</v>
      </c>
      <c r="C2016">
        <v>674</v>
      </c>
      <c r="D2016" s="1">
        <v>45814</v>
      </c>
      <c r="E2016" t="s">
        <v>24</v>
      </c>
      <c r="F2016" t="s">
        <v>321</v>
      </c>
      <c r="G2016" t="str">
        <f>_xlfn.XLOOKUP(TRIM(E2017),MedicineInfo!A:A,MedicineInfo!B:B,"Not Found")</f>
        <v>Multivitamin</v>
      </c>
      <c r="H2016" s="1" t="str" cm="1">
        <f t="array" ref="H2016">_xlfn.IFS(
OR(E2016="Type 2 Diabetes",E2016="Essential Hypertension",E2016="Angina Pectoris",E2016="Bronchial Asthma",E2016="Cardiac Arrhythmia"), D2016+30,
OR(E2016="Gastritis",E2016="Osteoarthritis",E2016="Bronchitis",E2016="Iron Deficiency Anemia"), D2016+14,
OR(E2016="Lumbar Strain",E2016="Migraine Headache"), D2016+7,
OR(E2016="Viral Fever",E2016="General Checkup","Routine Health Check"), "",
TRUE,""
)</f>
        <v/>
      </c>
      <c r="I2016" s="1" t="str">
        <f t="shared" si="62"/>
        <v>No Follow-up Required</v>
      </c>
      <c r="J2016" t="str">
        <f>TEXT(Table8[[#This Row],[visit_Date]],"DDDD")</f>
        <v>Friday</v>
      </c>
      <c r="K2016" t="str">
        <f>TEXT(Table8[[#This Row],[visit_Date]],"mmmm")</f>
        <v>June</v>
      </c>
      <c r="L2016" t="str">
        <f t="shared" si="63"/>
        <v>Monsoon</v>
      </c>
    </row>
    <row r="2017" spans="1:12" x14ac:dyDescent="0.25">
      <c r="A2017">
        <v>2016</v>
      </c>
      <c r="B2017">
        <v>1126</v>
      </c>
      <c r="C2017">
        <v>887</v>
      </c>
      <c r="D2017" s="1">
        <v>45791</v>
      </c>
      <c r="E2017" t="s">
        <v>24</v>
      </c>
      <c r="F2017" t="s">
        <v>321</v>
      </c>
      <c r="G2017" t="str">
        <f>_xlfn.XLOOKUP(TRIM(E2018),MedicineInfo!A:A,MedicineInfo!B:B,"Not Found")</f>
        <v>Ferrous Sulfate</v>
      </c>
      <c r="H2017" s="1" t="str" cm="1">
        <f t="array" ref="H2017">_xlfn.IFS(
OR(E2017="Type 2 Diabetes",E2017="Essential Hypertension",E2017="Angina Pectoris",E2017="Bronchial Asthma",E2017="Cardiac Arrhythmia"), D2017+30,
OR(E2017="Gastritis",E2017="Osteoarthritis",E2017="Bronchitis",E2017="Iron Deficiency Anemia"), D2017+14,
OR(E2017="Lumbar Strain",E2017="Migraine Headache"), D2017+7,
OR(E2017="Viral Fever",E2017="General Checkup","Routine Health Check"), "",
TRUE,""
)</f>
        <v/>
      </c>
      <c r="I2017" s="1" t="str">
        <f t="shared" si="62"/>
        <v>No Follow-up Required</v>
      </c>
      <c r="J2017" t="str">
        <f>TEXT(Table8[[#This Row],[visit_Date]],"DDDD")</f>
        <v>Wednesday</v>
      </c>
      <c r="K2017" t="str">
        <f>TEXT(Table8[[#This Row],[visit_Date]],"mmmm")</f>
        <v>May</v>
      </c>
      <c r="L2017" t="str">
        <f t="shared" si="63"/>
        <v>Summer</v>
      </c>
    </row>
    <row r="2018" spans="1:12" x14ac:dyDescent="0.25">
      <c r="A2018">
        <v>2017</v>
      </c>
      <c r="B2018">
        <v>1136</v>
      </c>
      <c r="C2018">
        <v>947</v>
      </c>
      <c r="D2018" s="1">
        <v>45727</v>
      </c>
      <c r="E2018" t="s">
        <v>358</v>
      </c>
      <c r="F2018" t="s">
        <v>359</v>
      </c>
      <c r="G2018" t="str">
        <f>_xlfn.XLOOKUP(TRIM(E2019),MedicineInfo!A:A,MedicineInfo!B:B,"Not Found")</f>
        <v>Multivitamin</v>
      </c>
      <c r="H2018" s="1" cm="1">
        <f t="array" ref="H2018">_xlfn.IFS(
OR(E2018="Type 2 Diabetes",E2018="Essential Hypertension",E2018="Angina Pectoris",E2018="Bronchial Asthma",E2018="Cardiac Arrhythmia"), D2018+30,
OR(E2018="Gastritis",E2018="Osteoarthritis",E2018="Bronchitis",E2018="Iron Deficiency Anemia"), D2018+14,
OR(E2018="Lumbar Strain",E2018="Migraine Headache"), D2018+7,
OR(E2018="Viral Fever",E2018="General Checkup","Routine Health Check"), "",
TRUE,""
)</f>
        <v>45741</v>
      </c>
      <c r="I2018" s="1" t="str">
        <f t="shared" si="62"/>
        <v>Follow-up Scheduled</v>
      </c>
      <c r="J2018" t="str">
        <f>TEXT(Table8[[#This Row],[visit_Date]],"DDDD")</f>
        <v>Tuesday</v>
      </c>
      <c r="K2018" t="str">
        <f>TEXT(Table8[[#This Row],[visit_Date]],"mmmm")</f>
        <v>March</v>
      </c>
      <c r="L2018" t="str">
        <f t="shared" si="63"/>
        <v>Summer</v>
      </c>
    </row>
    <row r="2019" spans="1:12" x14ac:dyDescent="0.25">
      <c r="A2019">
        <v>2018</v>
      </c>
      <c r="B2019">
        <v>1106</v>
      </c>
      <c r="C2019">
        <v>1286</v>
      </c>
      <c r="D2019" s="1">
        <v>45738</v>
      </c>
      <c r="E2019" t="s">
        <v>24</v>
      </c>
      <c r="F2019" t="s">
        <v>321</v>
      </c>
      <c r="G2019" t="str">
        <f>_xlfn.XLOOKUP(TRIM(E2020),MedicineInfo!A:A,MedicineInfo!B:B,"Not Found")</f>
        <v>Multivitamin</v>
      </c>
      <c r="H2019" s="1" t="str" cm="1">
        <f t="array" ref="H2019">_xlfn.IFS(
OR(E2019="Type 2 Diabetes",E2019="Essential Hypertension",E2019="Angina Pectoris",E2019="Bronchial Asthma",E2019="Cardiac Arrhythmia"), D2019+30,
OR(E2019="Gastritis",E2019="Osteoarthritis",E2019="Bronchitis",E2019="Iron Deficiency Anemia"), D2019+14,
OR(E2019="Lumbar Strain",E2019="Migraine Headache"), D2019+7,
OR(E2019="Viral Fever",E2019="General Checkup","Routine Health Check"), "",
TRUE,""
)</f>
        <v/>
      </c>
      <c r="I2019" s="1" t="str">
        <f t="shared" si="62"/>
        <v>No Follow-up Required</v>
      </c>
      <c r="J2019" t="str">
        <f>TEXT(Table8[[#This Row],[visit_Date]],"DDDD")</f>
        <v>Saturday</v>
      </c>
      <c r="K2019" t="str">
        <f>TEXT(Table8[[#This Row],[visit_Date]],"mmmm")</f>
        <v>March</v>
      </c>
      <c r="L2019" t="str">
        <f t="shared" si="63"/>
        <v>Summer</v>
      </c>
    </row>
    <row r="2020" spans="1:12" x14ac:dyDescent="0.25">
      <c r="A2020">
        <v>2019</v>
      </c>
      <c r="B2020">
        <v>1399</v>
      </c>
      <c r="C2020">
        <v>1370</v>
      </c>
      <c r="D2020" s="1">
        <v>45819</v>
      </c>
      <c r="E2020" t="s">
        <v>24</v>
      </c>
      <c r="F2020" t="s">
        <v>321</v>
      </c>
      <c r="G2020" t="str">
        <f>_xlfn.XLOOKUP(TRIM(E2021),MedicineInfo!A:A,MedicineInfo!B:B,"Not Found")</f>
        <v>Multivitamin</v>
      </c>
      <c r="H2020" s="1" t="str" cm="1">
        <f t="array" ref="H2020">_xlfn.IFS(
OR(E2020="Type 2 Diabetes",E2020="Essential Hypertension",E2020="Angina Pectoris",E2020="Bronchial Asthma",E2020="Cardiac Arrhythmia"), D2020+30,
OR(E2020="Gastritis",E2020="Osteoarthritis",E2020="Bronchitis",E2020="Iron Deficiency Anemia"), D2020+14,
OR(E2020="Lumbar Strain",E2020="Migraine Headache"), D2020+7,
OR(E2020="Viral Fever",E2020="General Checkup","Routine Health Check"), "",
TRUE,""
)</f>
        <v/>
      </c>
      <c r="I2020" s="1" t="str">
        <f t="shared" si="62"/>
        <v>No Follow-up Required</v>
      </c>
      <c r="J2020" t="str">
        <f>TEXT(Table8[[#This Row],[visit_Date]],"DDDD")</f>
        <v>Wednesday</v>
      </c>
      <c r="K2020" t="str">
        <f>TEXT(Table8[[#This Row],[visit_Date]],"mmmm")</f>
        <v>June</v>
      </c>
      <c r="L2020" t="str">
        <f t="shared" si="63"/>
        <v>Monsoon</v>
      </c>
    </row>
    <row r="2021" spans="1:12" x14ac:dyDescent="0.25">
      <c r="A2021">
        <v>2020</v>
      </c>
      <c r="B2021">
        <v>1010</v>
      </c>
      <c r="C2021">
        <v>1599</v>
      </c>
      <c r="D2021" s="1">
        <v>45852</v>
      </c>
      <c r="E2021" t="s">
        <v>24</v>
      </c>
      <c r="F2021" t="s">
        <v>321</v>
      </c>
      <c r="G2021" t="str">
        <f>_xlfn.XLOOKUP(TRIM(E2022),MedicineInfo!A:A,MedicineInfo!B:B,"Not Found")</f>
        <v>Multivitamin</v>
      </c>
      <c r="H2021" s="1" t="str" cm="1">
        <f t="array" ref="H2021">_xlfn.IFS(
OR(E2021="Type 2 Diabetes",E2021="Essential Hypertension",E2021="Angina Pectoris",E2021="Bronchial Asthma",E2021="Cardiac Arrhythmia"), D2021+30,
OR(E2021="Gastritis",E2021="Osteoarthritis",E2021="Bronchitis",E2021="Iron Deficiency Anemia"), D2021+14,
OR(E2021="Lumbar Strain",E2021="Migraine Headache"), D2021+7,
OR(E2021="Viral Fever",E2021="General Checkup","Routine Health Check"), "",
TRUE,""
)</f>
        <v/>
      </c>
      <c r="I2021" s="1" t="str">
        <f t="shared" si="62"/>
        <v>No Follow-up Required</v>
      </c>
      <c r="J2021" t="str">
        <f>TEXT(Table8[[#This Row],[visit_Date]],"DDDD")</f>
        <v>Monday</v>
      </c>
      <c r="K2021" t="str">
        <f>TEXT(Table8[[#This Row],[visit_Date]],"mmmm")</f>
        <v>July</v>
      </c>
      <c r="L2021" t="str">
        <f t="shared" si="63"/>
        <v>Monsoon</v>
      </c>
    </row>
    <row r="2022" spans="1:12" x14ac:dyDescent="0.25">
      <c r="A2022">
        <v>2021</v>
      </c>
      <c r="B2022">
        <v>1036</v>
      </c>
      <c r="C2022">
        <v>1428</v>
      </c>
      <c r="D2022" s="1">
        <v>45672</v>
      </c>
      <c r="E2022" t="s">
        <v>24</v>
      </c>
      <c r="F2022" t="s">
        <v>321</v>
      </c>
      <c r="G2022" t="str">
        <f>_xlfn.XLOOKUP(TRIM(E2023),MedicineInfo!A:A,MedicineInfo!B:B,"Not Found")</f>
        <v>Multivitamin</v>
      </c>
      <c r="H2022" s="1" t="str" cm="1">
        <f t="array" ref="H2022">_xlfn.IFS(
OR(E2022="Type 2 Diabetes",E2022="Essential Hypertension",E2022="Angina Pectoris",E2022="Bronchial Asthma",E2022="Cardiac Arrhythmia"), D2022+30,
OR(E2022="Gastritis",E2022="Osteoarthritis",E2022="Bronchitis",E2022="Iron Deficiency Anemia"), D2022+14,
OR(E2022="Lumbar Strain",E2022="Migraine Headache"), D2022+7,
OR(E2022="Viral Fever",E2022="General Checkup","Routine Health Check"), "",
TRUE,""
)</f>
        <v/>
      </c>
      <c r="I2022" s="1" t="str">
        <f t="shared" si="62"/>
        <v>No Follow-up Required</v>
      </c>
      <c r="J2022" t="str">
        <f>TEXT(Table8[[#This Row],[visit_Date]],"DDDD")</f>
        <v>Wednesday</v>
      </c>
      <c r="K2022" t="str">
        <f>TEXT(Table8[[#This Row],[visit_Date]],"mmmm")</f>
        <v>January</v>
      </c>
      <c r="L2022" t="str">
        <f t="shared" si="63"/>
        <v>Winter</v>
      </c>
    </row>
    <row r="2023" spans="1:12" x14ac:dyDescent="0.25">
      <c r="A2023">
        <v>2022</v>
      </c>
      <c r="B2023">
        <v>1216</v>
      </c>
      <c r="C2023">
        <v>1164</v>
      </c>
      <c r="D2023" s="1">
        <v>45819</v>
      </c>
      <c r="E2023" t="s">
        <v>24</v>
      </c>
      <c r="F2023" t="s">
        <v>321</v>
      </c>
      <c r="G2023" t="str">
        <f>_xlfn.XLOOKUP(TRIM(E2024),MedicineInfo!A:A,MedicineInfo!B:B,"Not Found")</f>
        <v>Donepezil</v>
      </c>
      <c r="H2023" s="1" t="str" cm="1">
        <f t="array" ref="H2023">_xlfn.IFS(
OR(E2023="Type 2 Diabetes",E2023="Essential Hypertension",E2023="Angina Pectoris",E2023="Bronchial Asthma",E2023="Cardiac Arrhythmia"), D2023+30,
OR(E2023="Gastritis",E2023="Osteoarthritis",E2023="Bronchitis",E2023="Iron Deficiency Anemia"), D2023+14,
OR(E2023="Lumbar Strain",E2023="Migraine Headache"), D2023+7,
OR(E2023="Viral Fever",E2023="General Checkup","Routine Health Check"), "",
TRUE,""
)</f>
        <v/>
      </c>
      <c r="I2023" s="1" t="str">
        <f t="shared" si="62"/>
        <v>No Follow-up Required</v>
      </c>
      <c r="J2023" t="str">
        <f>TEXT(Table8[[#This Row],[visit_Date]],"DDDD")</f>
        <v>Wednesday</v>
      </c>
      <c r="K2023" t="str">
        <f>TEXT(Table8[[#This Row],[visit_Date]],"mmmm")</f>
        <v>June</v>
      </c>
      <c r="L2023" t="str">
        <f t="shared" si="63"/>
        <v>Monsoon</v>
      </c>
    </row>
    <row r="2024" spans="1:12" x14ac:dyDescent="0.25">
      <c r="A2024">
        <v>2023</v>
      </c>
      <c r="B2024">
        <v>1235</v>
      </c>
      <c r="C2024">
        <v>172</v>
      </c>
      <c r="D2024" s="1">
        <v>45814</v>
      </c>
      <c r="E2024" t="s">
        <v>350</v>
      </c>
      <c r="F2024" t="s">
        <v>351</v>
      </c>
      <c r="G2024" t="str">
        <f>_xlfn.XLOOKUP(TRIM(E2025),MedicineInfo!A:A,MedicineInfo!B:B,"Not Found")</f>
        <v>Multivitamin</v>
      </c>
      <c r="H2024" s="1" t="str" cm="1">
        <f t="array" ref="H2024">_xlfn.IFS(
OR(E2024="Type 2 Diabetes",E2024="Essential Hypertension",E2024="Angina Pectoris",E2024="Bronchial Asthma",E2024="Cardiac Arrhythmia"), D2024+30,
OR(E2024="Gastritis",E2024="Osteoarthritis",E2024="Bronchitis",E2024="Iron Deficiency Anemia"), D2024+14,
OR(E2024="Lumbar Strain",E2024="Migraine Headache"), D2024+7,
OR(E2024="Viral Fever",E2024="General Checkup","Routine Health Check"), "",
TRUE,""
)</f>
        <v/>
      </c>
      <c r="I2024" s="1" t="str">
        <f t="shared" si="62"/>
        <v>No Follow-up Required</v>
      </c>
      <c r="J2024" t="str">
        <f>TEXT(Table8[[#This Row],[visit_Date]],"DDDD")</f>
        <v>Friday</v>
      </c>
      <c r="K2024" t="str">
        <f>TEXT(Table8[[#This Row],[visit_Date]],"mmmm")</f>
        <v>June</v>
      </c>
      <c r="L2024" t="str">
        <f t="shared" si="63"/>
        <v>Monsoon</v>
      </c>
    </row>
    <row r="2025" spans="1:12" x14ac:dyDescent="0.25">
      <c r="A2025">
        <v>2024</v>
      </c>
      <c r="B2025">
        <v>1099</v>
      </c>
      <c r="C2025">
        <v>599</v>
      </c>
      <c r="D2025" s="1">
        <v>45684</v>
      </c>
      <c r="E2025" t="s">
        <v>24</v>
      </c>
      <c r="F2025" t="s">
        <v>321</v>
      </c>
      <c r="G2025" t="str">
        <f>_xlfn.XLOOKUP(TRIM(E2026),MedicineInfo!A:A,MedicineInfo!B:B,"Not Found")</f>
        <v>Calcium Supplement</v>
      </c>
      <c r="H2025" s="1" t="str" cm="1">
        <f t="array" ref="H2025">_xlfn.IFS(
OR(E2025="Type 2 Diabetes",E2025="Essential Hypertension",E2025="Angina Pectoris",E2025="Bronchial Asthma",E2025="Cardiac Arrhythmia"), D2025+30,
OR(E2025="Gastritis",E2025="Osteoarthritis",E2025="Bronchitis",E2025="Iron Deficiency Anemia"), D2025+14,
OR(E2025="Lumbar Strain",E2025="Migraine Headache"), D2025+7,
OR(E2025="Viral Fever",E2025="General Checkup","Routine Health Check"), "",
TRUE,""
)</f>
        <v/>
      </c>
      <c r="I2025" s="1" t="str">
        <f t="shared" si="62"/>
        <v>No Follow-up Required</v>
      </c>
      <c r="J2025" t="str">
        <f>TEXT(Table8[[#This Row],[visit_Date]],"DDDD")</f>
        <v>Monday</v>
      </c>
      <c r="K2025" t="str">
        <f>TEXT(Table8[[#This Row],[visit_Date]],"mmmm")</f>
        <v>January</v>
      </c>
      <c r="L2025" t="str">
        <f t="shared" si="63"/>
        <v>Winter</v>
      </c>
    </row>
    <row r="2026" spans="1:12" x14ac:dyDescent="0.25">
      <c r="A2026">
        <v>2025</v>
      </c>
      <c r="B2026">
        <v>1110</v>
      </c>
      <c r="C2026">
        <v>494</v>
      </c>
      <c r="D2026" s="1">
        <v>45792</v>
      </c>
      <c r="E2026" t="s">
        <v>336</v>
      </c>
      <c r="F2026" t="s">
        <v>337</v>
      </c>
      <c r="G2026" t="str">
        <f>_xlfn.XLOOKUP(TRIM(E2027),MedicineInfo!A:A,MedicineInfo!B:B,"Not Found")</f>
        <v>Multivitamin</v>
      </c>
      <c r="H2026" s="1" t="str" cm="1">
        <f t="array" ref="H2026">_xlfn.IFS(
OR(E2026="Type 2 Diabetes",E2026="Essential Hypertension",E2026="Angina Pectoris",E2026="Bronchial Asthma",E2026="Cardiac Arrhythmia"), D2026+30,
OR(E2026="Gastritis",E2026="Osteoarthritis",E2026="Bronchitis",E2026="Iron Deficiency Anemia"), D2026+14,
OR(E2026="Lumbar Strain",E2026="Migraine Headache"), D2026+7,
OR(E2026="Viral Fever",E2026="General Checkup","Routine Health Check"), "",
TRUE,""
)</f>
        <v/>
      </c>
      <c r="I2026" s="1" t="str">
        <f t="shared" si="62"/>
        <v>No Follow-up Required</v>
      </c>
      <c r="J2026" t="str">
        <f>TEXT(Table8[[#This Row],[visit_Date]],"DDDD")</f>
        <v>Thursday</v>
      </c>
      <c r="K2026" t="str">
        <f>TEXT(Table8[[#This Row],[visit_Date]],"mmmm")</f>
        <v>May</v>
      </c>
      <c r="L2026" t="str">
        <f t="shared" si="63"/>
        <v>Summer</v>
      </c>
    </row>
    <row r="2027" spans="1:12" x14ac:dyDescent="0.25">
      <c r="A2027">
        <v>2026</v>
      </c>
      <c r="B2027">
        <v>1278</v>
      </c>
      <c r="C2027">
        <v>783</v>
      </c>
      <c r="D2027" s="1">
        <v>45758</v>
      </c>
      <c r="E2027" t="s">
        <v>24</v>
      </c>
      <c r="F2027" t="s">
        <v>321</v>
      </c>
      <c r="G2027" t="str">
        <f>_xlfn.XLOOKUP(TRIM(E2028),MedicineInfo!A:A,MedicineInfo!B:B,"Not Found")</f>
        <v>Salbutamol Inhaler</v>
      </c>
      <c r="H2027" s="1" t="str" cm="1">
        <f t="array" ref="H2027">_xlfn.IFS(
OR(E2027="Type 2 Diabetes",E2027="Essential Hypertension",E2027="Angina Pectoris",E2027="Bronchial Asthma",E2027="Cardiac Arrhythmia"), D2027+30,
OR(E2027="Gastritis",E2027="Osteoarthritis",E2027="Bronchitis",E2027="Iron Deficiency Anemia"), D2027+14,
OR(E2027="Lumbar Strain",E2027="Migraine Headache"), D2027+7,
OR(E2027="Viral Fever",E2027="General Checkup","Routine Health Check"), "",
TRUE,""
)</f>
        <v/>
      </c>
      <c r="I2027" s="1" t="str">
        <f t="shared" si="62"/>
        <v>No Follow-up Required</v>
      </c>
      <c r="J2027" t="str">
        <f>TEXT(Table8[[#This Row],[visit_Date]],"DDDD")</f>
        <v>Friday</v>
      </c>
      <c r="K2027" t="str">
        <f>TEXT(Table8[[#This Row],[visit_Date]],"mmmm")</f>
        <v>April</v>
      </c>
      <c r="L2027" t="str">
        <f t="shared" si="63"/>
        <v>Summer</v>
      </c>
    </row>
    <row r="2028" spans="1:12" x14ac:dyDescent="0.25">
      <c r="A2028">
        <v>2027</v>
      </c>
      <c r="B2028">
        <v>1220</v>
      </c>
      <c r="C2028">
        <v>247</v>
      </c>
      <c r="D2028" s="1">
        <v>45712</v>
      </c>
      <c r="E2028" t="s">
        <v>324</v>
      </c>
      <c r="F2028" t="s">
        <v>325</v>
      </c>
      <c r="G2028" t="str">
        <f>_xlfn.XLOOKUP(TRIM(E2029),MedicineInfo!A:A,MedicineInfo!B:B,"Not Found")</f>
        <v>Multivitamin</v>
      </c>
      <c r="H2028" s="1" cm="1">
        <f t="array" ref="H2028">_xlfn.IFS(
OR(E2028="Type 2 Diabetes",E2028="Essential Hypertension",E2028="Angina Pectoris",E2028="Bronchial Asthma",E2028="Cardiac Arrhythmia"), D2028+30,
OR(E2028="Gastritis",E2028="Osteoarthritis",E2028="Bronchitis",E2028="Iron Deficiency Anemia"), D2028+14,
OR(E2028="Lumbar Strain",E2028="Migraine Headache"), D2028+7,
OR(E2028="Viral Fever",E2028="General Checkup","Routine Health Check"), "",
TRUE,""
)</f>
        <v>45742</v>
      </c>
      <c r="I2028" s="1" t="str">
        <f t="shared" si="62"/>
        <v>Follow-up Scheduled</v>
      </c>
      <c r="J2028" t="str">
        <f>TEXT(Table8[[#This Row],[visit_Date]],"DDDD")</f>
        <v>Monday</v>
      </c>
      <c r="K2028" t="str">
        <f>TEXT(Table8[[#This Row],[visit_Date]],"mmmm")</f>
        <v>February</v>
      </c>
      <c r="L2028" t="str">
        <f t="shared" si="63"/>
        <v>Winter</v>
      </c>
    </row>
    <row r="2029" spans="1:12" x14ac:dyDescent="0.25">
      <c r="A2029">
        <v>2028</v>
      </c>
      <c r="B2029">
        <v>1086</v>
      </c>
      <c r="C2029">
        <v>1390</v>
      </c>
      <c r="D2029" s="1">
        <v>45669</v>
      </c>
      <c r="E2029" t="s">
        <v>24</v>
      </c>
      <c r="F2029" t="s">
        <v>321</v>
      </c>
      <c r="G2029" t="str">
        <f>_xlfn.XLOOKUP(TRIM(E2030),MedicineInfo!A:A,MedicineInfo!B:B,"Not Found")</f>
        <v>Multivitamin</v>
      </c>
      <c r="H2029" s="1" t="str" cm="1">
        <f t="array" ref="H2029">_xlfn.IFS(
OR(E2029="Type 2 Diabetes",E2029="Essential Hypertension",E2029="Angina Pectoris",E2029="Bronchial Asthma",E2029="Cardiac Arrhythmia"), D2029+30,
OR(E2029="Gastritis",E2029="Osteoarthritis",E2029="Bronchitis",E2029="Iron Deficiency Anemia"), D2029+14,
OR(E2029="Lumbar Strain",E2029="Migraine Headache"), D2029+7,
OR(E2029="Viral Fever",E2029="General Checkup","Routine Health Check"), "",
TRUE,""
)</f>
        <v/>
      </c>
      <c r="I2029" s="1" t="str">
        <f t="shared" si="62"/>
        <v>No Follow-up Required</v>
      </c>
      <c r="J2029" t="str">
        <f>TEXT(Table8[[#This Row],[visit_Date]],"DDDD")</f>
        <v>Sunday</v>
      </c>
      <c r="K2029" t="str">
        <f>TEXT(Table8[[#This Row],[visit_Date]],"mmmm")</f>
        <v>January</v>
      </c>
      <c r="L2029" t="str">
        <f t="shared" si="63"/>
        <v>Winter</v>
      </c>
    </row>
    <row r="2030" spans="1:12" x14ac:dyDescent="0.25">
      <c r="A2030">
        <v>2029</v>
      </c>
      <c r="B2030">
        <v>1095</v>
      </c>
      <c r="C2030">
        <v>931</v>
      </c>
      <c r="D2030" s="1">
        <v>45686</v>
      </c>
      <c r="E2030" t="s">
        <v>24</v>
      </c>
      <c r="F2030" t="s">
        <v>321</v>
      </c>
      <c r="G2030" t="str">
        <f>_xlfn.XLOOKUP(TRIM(E2031),MedicineInfo!A:A,MedicineInfo!B:B,"Not Found")</f>
        <v>Multivitamin</v>
      </c>
      <c r="H2030" s="1" t="str" cm="1">
        <f t="array" ref="H2030">_xlfn.IFS(
OR(E2030="Type 2 Diabetes",E2030="Essential Hypertension",E2030="Angina Pectoris",E2030="Bronchial Asthma",E2030="Cardiac Arrhythmia"), D2030+30,
OR(E2030="Gastritis",E2030="Osteoarthritis",E2030="Bronchitis",E2030="Iron Deficiency Anemia"), D2030+14,
OR(E2030="Lumbar Strain",E2030="Migraine Headache"), D2030+7,
OR(E2030="Viral Fever",E2030="General Checkup","Routine Health Check"), "",
TRUE,""
)</f>
        <v/>
      </c>
      <c r="I2030" s="1" t="str">
        <f t="shared" si="62"/>
        <v>No Follow-up Required</v>
      </c>
      <c r="J2030" t="str">
        <f>TEXT(Table8[[#This Row],[visit_Date]],"DDDD")</f>
        <v>Wednesday</v>
      </c>
      <c r="K2030" t="str">
        <f>TEXT(Table8[[#This Row],[visit_Date]],"mmmm")</f>
        <v>January</v>
      </c>
      <c r="L2030" t="str">
        <f t="shared" si="63"/>
        <v>Winter</v>
      </c>
    </row>
    <row r="2031" spans="1:12" x14ac:dyDescent="0.25">
      <c r="A2031">
        <v>2030</v>
      </c>
      <c r="B2031">
        <v>1192</v>
      </c>
      <c r="C2031">
        <v>1099</v>
      </c>
      <c r="D2031" s="1">
        <v>45833</v>
      </c>
      <c r="E2031" t="s">
        <v>24</v>
      </c>
      <c r="F2031" t="s">
        <v>321</v>
      </c>
      <c r="G2031" t="str">
        <f>_xlfn.XLOOKUP(TRIM(E2032),MedicineInfo!A:A,MedicineInfo!B:B,"Not Found")</f>
        <v>Amoxicillin</v>
      </c>
      <c r="H2031" s="1" t="str" cm="1">
        <f t="array" ref="H2031">_xlfn.IFS(
OR(E2031="Type 2 Diabetes",E2031="Essential Hypertension",E2031="Angina Pectoris",E2031="Bronchial Asthma",E2031="Cardiac Arrhythmia"), D2031+30,
OR(E2031="Gastritis",E2031="Osteoarthritis",E2031="Bronchitis",E2031="Iron Deficiency Anemia"), D2031+14,
OR(E2031="Lumbar Strain",E2031="Migraine Headache"), D2031+7,
OR(E2031="Viral Fever",E2031="General Checkup","Routine Health Check"), "",
TRUE,""
)</f>
        <v/>
      </c>
      <c r="I2031" s="1" t="str">
        <f t="shared" si="62"/>
        <v>No Follow-up Required</v>
      </c>
      <c r="J2031" t="str">
        <f>TEXT(Table8[[#This Row],[visit_Date]],"DDDD")</f>
        <v>Wednesday</v>
      </c>
      <c r="K2031" t="str">
        <f>TEXT(Table8[[#This Row],[visit_Date]],"mmmm")</f>
        <v>June</v>
      </c>
      <c r="L2031" t="str">
        <f t="shared" si="63"/>
        <v>Monsoon</v>
      </c>
    </row>
    <row r="2032" spans="1:12" x14ac:dyDescent="0.25">
      <c r="A2032">
        <v>2031</v>
      </c>
      <c r="B2032">
        <v>1025</v>
      </c>
      <c r="C2032">
        <v>117</v>
      </c>
      <c r="D2032" s="1">
        <v>45691</v>
      </c>
      <c r="E2032" t="s">
        <v>346</v>
      </c>
      <c r="F2032" t="s">
        <v>347</v>
      </c>
      <c r="G2032" t="str">
        <f>_xlfn.XLOOKUP(TRIM(E2033),MedicineInfo!A:A,MedicineInfo!B:B,"Not Found")</f>
        <v>Amiodarone</v>
      </c>
      <c r="H2032" s="1" cm="1">
        <f t="array" ref="H2032">_xlfn.IFS(
OR(E2032="Type 2 Diabetes",E2032="Essential Hypertension",E2032="Angina Pectoris",E2032="Bronchial Asthma",E2032="Cardiac Arrhythmia"), D2032+30,
OR(E2032="Gastritis",E2032="Osteoarthritis",E2032="Bronchitis",E2032="Iron Deficiency Anemia"), D2032+14,
OR(E2032="Lumbar Strain",E2032="Migraine Headache"), D2032+7,
OR(E2032="Viral Fever",E2032="General Checkup","Routine Health Check"), "",
TRUE,""
)</f>
        <v>45705</v>
      </c>
      <c r="I2032" s="1" t="str">
        <f t="shared" si="62"/>
        <v>Follow-up Scheduled</v>
      </c>
      <c r="J2032" t="str">
        <f>TEXT(Table8[[#This Row],[visit_Date]],"DDDD")</f>
        <v>Monday</v>
      </c>
      <c r="K2032" t="str">
        <f>TEXT(Table8[[#This Row],[visit_Date]],"mmmm")</f>
        <v>February</v>
      </c>
      <c r="L2032" t="str">
        <f t="shared" si="63"/>
        <v>Winter</v>
      </c>
    </row>
    <row r="2033" spans="1:12" x14ac:dyDescent="0.25">
      <c r="A2033">
        <v>2032</v>
      </c>
      <c r="B2033">
        <v>1109</v>
      </c>
      <c r="C2033">
        <v>375</v>
      </c>
      <c r="D2033" s="1">
        <v>45709</v>
      </c>
      <c r="E2033" t="s">
        <v>330</v>
      </c>
      <c r="F2033" t="s">
        <v>331</v>
      </c>
      <c r="G2033" t="str">
        <f>_xlfn.XLOOKUP(TRIM(E2034),MedicineInfo!A:A,MedicineInfo!B:B,"Not Found")</f>
        <v>Multivitamin</v>
      </c>
      <c r="H2033" s="1" cm="1">
        <f t="array" ref="H2033">_xlfn.IFS(
OR(E2033="Type 2 Diabetes",E2033="Essential Hypertension",E2033="Angina Pectoris",E2033="Bronchial Asthma",E2033="Cardiac Arrhythmia"), D2033+30,
OR(E2033="Gastritis",E2033="Osteoarthritis",E2033="Bronchitis",E2033="Iron Deficiency Anemia"), D2033+14,
OR(E2033="Lumbar Strain",E2033="Migraine Headache"), D2033+7,
OR(E2033="Viral Fever",E2033="General Checkup","Routine Health Check"), "",
TRUE,""
)</f>
        <v>45739</v>
      </c>
      <c r="I2033" s="1" t="str">
        <f t="shared" si="62"/>
        <v>Follow-up Scheduled</v>
      </c>
      <c r="J2033" t="str">
        <f>TEXT(Table8[[#This Row],[visit_Date]],"DDDD")</f>
        <v>Friday</v>
      </c>
      <c r="K2033" t="str">
        <f>TEXT(Table8[[#This Row],[visit_Date]],"mmmm")</f>
        <v>February</v>
      </c>
      <c r="L2033" t="str">
        <f t="shared" si="63"/>
        <v>Winter</v>
      </c>
    </row>
    <row r="2034" spans="1:12" x14ac:dyDescent="0.25">
      <c r="A2034">
        <v>2033</v>
      </c>
      <c r="B2034">
        <v>1059</v>
      </c>
      <c r="C2034">
        <v>1433</v>
      </c>
      <c r="D2034" s="1">
        <v>45783</v>
      </c>
      <c r="E2034" t="s">
        <v>24</v>
      </c>
      <c r="F2034" t="s">
        <v>321</v>
      </c>
      <c r="G2034" t="str">
        <f>_xlfn.XLOOKUP(TRIM(E2035),MedicineInfo!A:A,MedicineInfo!B:B,"Not Found")</f>
        <v>Multivitamin</v>
      </c>
      <c r="H2034" s="1" t="str" cm="1">
        <f t="array" ref="H2034">_xlfn.IFS(
OR(E2034="Type 2 Diabetes",E2034="Essential Hypertension",E2034="Angina Pectoris",E2034="Bronchial Asthma",E2034="Cardiac Arrhythmia"), D2034+30,
OR(E2034="Gastritis",E2034="Osteoarthritis",E2034="Bronchitis",E2034="Iron Deficiency Anemia"), D2034+14,
OR(E2034="Lumbar Strain",E2034="Migraine Headache"), D2034+7,
OR(E2034="Viral Fever",E2034="General Checkup","Routine Health Check"), "",
TRUE,""
)</f>
        <v/>
      </c>
      <c r="I2034" s="1" t="str">
        <f t="shared" si="62"/>
        <v>No Follow-up Required</v>
      </c>
      <c r="J2034" t="str">
        <f>TEXT(Table8[[#This Row],[visit_Date]],"DDDD")</f>
        <v>Tuesday</v>
      </c>
      <c r="K2034" t="str">
        <f>TEXT(Table8[[#This Row],[visit_Date]],"mmmm")</f>
        <v>May</v>
      </c>
      <c r="L2034" t="str">
        <f t="shared" si="63"/>
        <v>Summer</v>
      </c>
    </row>
    <row r="2035" spans="1:12" x14ac:dyDescent="0.25">
      <c r="A2035">
        <v>2034</v>
      </c>
      <c r="B2035">
        <v>1021</v>
      </c>
      <c r="C2035">
        <v>769</v>
      </c>
      <c r="D2035" s="1">
        <v>45823</v>
      </c>
      <c r="E2035" t="s">
        <v>24</v>
      </c>
      <c r="F2035" t="s">
        <v>321</v>
      </c>
      <c r="G2035" t="str">
        <f>_xlfn.XLOOKUP(TRIM(E2036),MedicineInfo!A:A,MedicineInfo!B:B,"Not Found")</f>
        <v>Sumatriptan</v>
      </c>
      <c r="H2035" s="1" t="str" cm="1">
        <f t="array" ref="H2035">_xlfn.IFS(
OR(E2035="Type 2 Diabetes",E2035="Essential Hypertension",E2035="Angina Pectoris",E2035="Bronchial Asthma",E2035="Cardiac Arrhythmia"), D2035+30,
OR(E2035="Gastritis",E2035="Osteoarthritis",E2035="Bronchitis",E2035="Iron Deficiency Anemia"), D2035+14,
OR(E2035="Lumbar Strain",E2035="Migraine Headache"), D2035+7,
OR(E2035="Viral Fever",E2035="General Checkup","Routine Health Check"), "",
TRUE,""
)</f>
        <v/>
      </c>
      <c r="I2035" s="1" t="str">
        <f t="shared" si="62"/>
        <v>No Follow-up Required</v>
      </c>
      <c r="J2035" t="str">
        <f>TEXT(Table8[[#This Row],[visit_Date]],"DDDD")</f>
        <v>Sunday</v>
      </c>
      <c r="K2035" t="str">
        <f>TEXT(Table8[[#This Row],[visit_Date]],"mmmm")</f>
        <v>June</v>
      </c>
      <c r="L2035" t="str">
        <f t="shared" si="63"/>
        <v>Monsoon</v>
      </c>
    </row>
    <row r="2036" spans="1:12" x14ac:dyDescent="0.25">
      <c r="A2036">
        <v>2035</v>
      </c>
      <c r="B2036">
        <v>1387</v>
      </c>
      <c r="C2036">
        <v>403</v>
      </c>
      <c r="D2036" s="1">
        <v>45814</v>
      </c>
      <c r="E2036" t="s">
        <v>315</v>
      </c>
      <c r="F2036" t="s">
        <v>316</v>
      </c>
      <c r="G2036" t="str">
        <f>_xlfn.XLOOKUP(TRIM(E2037),MedicineInfo!A:A,MedicineInfo!B:B,"Not Found")</f>
        <v>Multivitamin</v>
      </c>
      <c r="H2036" s="1" cm="1">
        <f t="array" ref="H2036">_xlfn.IFS(
OR(E2036="Type 2 Diabetes",E2036="Essential Hypertension",E2036="Angina Pectoris",E2036="Bronchial Asthma",E2036="Cardiac Arrhythmia"), D2036+30,
OR(E2036="Gastritis",E2036="Osteoarthritis",E2036="Bronchitis",E2036="Iron Deficiency Anemia"), D2036+14,
OR(E2036="Lumbar Strain",E2036="Migraine Headache"), D2036+7,
OR(E2036="Viral Fever",E2036="General Checkup","Routine Health Check"), "",
TRUE,""
)</f>
        <v>45821</v>
      </c>
      <c r="I2036" s="1" t="str">
        <f t="shared" si="62"/>
        <v>Follow-up Scheduled</v>
      </c>
      <c r="J2036" t="str">
        <f>TEXT(Table8[[#This Row],[visit_Date]],"DDDD")</f>
        <v>Friday</v>
      </c>
      <c r="K2036" t="str">
        <f>TEXT(Table8[[#This Row],[visit_Date]],"mmmm")</f>
        <v>June</v>
      </c>
      <c r="L2036" t="str">
        <f t="shared" si="63"/>
        <v>Monsoon</v>
      </c>
    </row>
    <row r="2037" spans="1:12" x14ac:dyDescent="0.25">
      <c r="A2037">
        <v>2036</v>
      </c>
      <c r="B2037">
        <v>1137</v>
      </c>
      <c r="C2037">
        <v>1589</v>
      </c>
      <c r="D2037" s="1">
        <v>45777</v>
      </c>
      <c r="E2037" t="s">
        <v>24</v>
      </c>
      <c r="F2037" t="s">
        <v>321</v>
      </c>
      <c r="G2037" t="str">
        <f>_xlfn.XLOOKUP(TRIM(E2038),MedicineInfo!A:A,MedicineInfo!B:B,"Not Found")</f>
        <v>Multivitamin</v>
      </c>
      <c r="H2037" s="1" t="str" cm="1">
        <f t="array" ref="H2037">_xlfn.IFS(
OR(E2037="Type 2 Diabetes",E2037="Essential Hypertension",E2037="Angina Pectoris",E2037="Bronchial Asthma",E2037="Cardiac Arrhythmia"), D2037+30,
OR(E2037="Gastritis",E2037="Osteoarthritis",E2037="Bronchitis",E2037="Iron Deficiency Anemia"), D2037+14,
OR(E2037="Lumbar Strain",E2037="Migraine Headache"), D2037+7,
OR(E2037="Viral Fever",E2037="General Checkup","Routine Health Check"), "",
TRUE,""
)</f>
        <v/>
      </c>
      <c r="I2037" s="1" t="str">
        <f t="shared" si="62"/>
        <v>No Follow-up Required</v>
      </c>
      <c r="J2037" t="str">
        <f>TEXT(Table8[[#This Row],[visit_Date]],"DDDD")</f>
        <v>Wednesday</v>
      </c>
      <c r="K2037" t="str">
        <f>TEXT(Table8[[#This Row],[visit_Date]],"mmmm")</f>
        <v>April</v>
      </c>
      <c r="L2037" t="str">
        <f t="shared" si="63"/>
        <v>Summer</v>
      </c>
    </row>
    <row r="2038" spans="1:12" x14ac:dyDescent="0.25">
      <c r="A2038">
        <v>2037</v>
      </c>
      <c r="B2038">
        <v>1194</v>
      </c>
      <c r="C2038">
        <v>153</v>
      </c>
      <c r="D2038" s="1">
        <v>45669</v>
      </c>
      <c r="E2038" t="s">
        <v>24</v>
      </c>
      <c r="F2038" t="s">
        <v>321</v>
      </c>
      <c r="G2038" t="str">
        <f>_xlfn.XLOOKUP(TRIM(E2039),MedicineInfo!A:A,MedicineInfo!B:B,"Not Found")</f>
        <v>Multivitamin</v>
      </c>
      <c r="H2038" s="1" t="str" cm="1">
        <f t="array" ref="H2038">_xlfn.IFS(
OR(E2038="Type 2 Diabetes",E2038="Essential Hypertension",E2038="Angina Pectoris",E2038="Bronchial Asthma",E2038="Cardiac Arrhythmia"), D2038+30,
OR(E2038="Gastritis",E2038="Osteoarthritis",E2038="Bronchitis",E2038="Iron Deficiency Anemia"), D2038+14,
OR(E2038="Lumbar Strain",E2038="Migraine Headache"), D2038+7,
OR(E2038="Viral Fever",E2038="General Checkup","Routine Health Check"), "",
TRUE,""
)</f>
        <v/>
      </c>
      <c r="I2038" s="1" t="str">
        <f t="shared" si="62"/>
        <v>No Follow-up Required</v>
      </c>
      <c r="J2038" t="str">
        <f>TEXT(Table8[[#This Row],[visit_Date]],"DDDD")</f>
        <v>Sunday</v>
      </c>
      <c r="K2038" t="str">
        <f>TEXT(Table8[[#This Row],[visit_Date]],"mmmm")</f>
        <v>January</v>
      </c>
      <c r="L2038" t="str">
        <f t="shared" si="63"/>
        <v>Winter</v>
      </c>
    </row>
    <row r="2039" spans="1:12" x14ac:dyDescent="0.25">
      <c r="A2039">
        <v>2038</v>
      </c>
      <c r="B2039">
        <v>1350</v>
      </c>
      <c r="C2039">
        <v>327</v>
      </c>
      <c r="D2039" s="1">
        <v>45735</v>
      </c>
      <c r="E2039" t="s">
        <v>24</v>
      </c>
      <c r="F2039" t="s">
        <v>321</v>
      </c>
      <c r="G2039" t="str">
        <f>_xlfn.XLOOKUP(TRIM(E2040),MedicineInfo!A:A,MedicineInfo!B:B,"Not Found")</f>
        <v>Multivitamin</v>
      </c>
      <c r="H2039" s="1" t="str" cm="1">
        <f t="array" ref="H2039">_xlfn.IFS(
OR(E2039="Type 2 Diabetes",E2039="Essential Hypertension",E2039="Angina Pectoris",E2039="Bronchial Asthma",E2039="Cardiac Arrhythmia"), D2039+30,
OR(E2039="Gastritis",E2039="Osteoarthritis",E2039="Bronchitis",E2039="Iron Deficiency Anemia"), D2039+14,
OR(E2039="Lumbar Strain",E2039="Migraine Headache"), D2039+7,
OR(E2039="Viral Fever",E2039="General Checkup","Routine Health Check"), "",
TRUE,""
)</f>
        <v/>
      </c>
      <c r="I2039" s="1" t="str">
        <f t="shared" si="62"/>
        <v>No Follow-up Required</v>
      </c>
      <c r="J2039" t="str">
        <f>TEXT(Table8[[#This Row],[visit_Date]],"DDDD")</f>
        <v>Wednesday</v>
      </c>
      <c r="K2039" t="str">
        <f>TEXT(Table8[[#This Row],[visit_Date]],"mmmm")</f>
        <v>March</v>
      </c>
      <c r="L2039" t="str">
        <f t="shared" si="63"/>
        <v>Summer</v>
      </c>
    </row>
    <row r="2040" spans="1:12" x14ac:dyDescent="0.25">
      <c r="A2040">
        <v>2039</v>
      </c>
      <c r="B2040">
        <v>1298</v>
      </c>
      <c r="C2040">
        <v>1201</v>
      </c>
      <c r="D2040" s="1">
        <v>45674</v>
      </c>
      <c r="E2040" t="s">
        <v>24</v>
      </c>
      <c r="F2040" t="s">
        <v>321</v>
      </c>
      <c r="G2040" t="str">
        <f>_xlfn.XLOOKUP(TRIM(E2041),MedicineInfo!A:A,MedicineInfo!B:B,"Not Found")</f>
        <v>Multivitamin</v>
      </c>
      <c r="H2040" s="1" t="str" cm="1">
        <f t="array" ref="H2040">_xlfn.IFS(
OR(E2040="Type 2 Diabetes",E2040="Essential Hypertension",E2040="Angina Pectoris",E2040="Bronchial Asthma",E2040="Cardiac Arrhythmia"), D2040+30,
OR(E2040="Gastritis",E2040="Osteoarthritis",E2040="Bronchitis",E2040="Iron Deficiency Anemia"), D2040+14,
OR(E2040="Lumbar Strain",E2040="Migraine Headache"), D2040+7,
OR(E2040="Viral Fever",E2040="General Checkup","Routine Health Check"), "",
TRUE,""
)</f>
        <v/>
      </c>
      <c r="I2040" s="1" t="str">
        <f t="shared" si="62"/>
        <v>No Follow-up Required</v>
      </c>
      <c r="J2040" t="str">
        <f>TEXT(Table8[[#This Row],[visit_Date]],"DDDD")</f>
        <v>Friday</v>
      </c>
      <c r="K2040" t="str">
        <f>TEXT(Table8[[#This Row],[visit_Date]],"mmmm")</f>
        <v>January</v>
      </c>
      <c r="L2040" t="str">
        <f t="shared" si="63"/>
        <v>Winter</v>
      </c>
    </row>
    <row r="2041" spans="1:12" x14ac:dyDescent="0.25">
      <c r="A2041">
        <v>2040</v>
      </c>
      <c r="B2041">
        <v>1070</v>
      </c>
      <c r="C2041">
        <v>1355</v>
      </c>
      <c r="D2041" s="1">
        <v>45799</v>
      </c>
      <c r="E2041" t="s">
        <v>24</v>
      </c>
      <c r="F2041" t="s">
        <v>321</v>
      </c>
      <c r="G2041" t="str">
        <f>_xlfn.XLOOKUP(TRIM(E2042),MedicineInfo!A:A,MedicineInfo!B:B,"Not Found")</f>
        <v>Multivitamin</v>
      </c>
      <c r="H2041" s="1" t="str" cm="1">
        <f t="array" ref="H2041">_xlfn.IFS(
OR(E2041="Type 2 Diabetes",E2041="Essential Hypertension",E2041="Angina Pectoris",E2041="Bronchial Asthma",E2041="Cardiac Arrhythmia"), D2041+30,
OR(E2041="Gastritis",E2041="Osteoarthritis",E2041="Bronchitis",E2041="Iron Deficiency Anemia"), D2041+14,
OR(E2041="Lumbar Strain",E2041="Migraine Headache"), D2041+7,
OR(E2041="Viral Fever",E2041="General Checkup","Routine Health Check"), "",
TRUE,""
)</f>
        <v/>
      </c>
      <c r="I2041" s="1" t="str">
        <f t="shared" si="62"/>
        <v>No Follow-up Required</v>
      </c>
      <c r="J2041" t="str">
        <f>TEXT(Table8[[#This Row],[visit_Date]],"DDDD")</f>
        <v>Thursday</v>
      </c>
      <c r="K2041" t="str">
        <f>TEXT(Table8[[#This Row],[visit_Date]],"mmmm")</f>
        <v>May</v>
      </c>
      <c r="L2041" t="str">
        <f t="shared" si="63"/>
        <v>Summer</v>
      </c>
    </row>
    <row r="2042" spans="1:12" x14ac:dyDescent="0.25">
      <c r="A2042">
        <v>2041</v>
      </c>
      <c r="B2042">
        <v>1145</v>
      </c>
      <c r="C2042">
        <v>1098</v>
      </c>
      <c r="D2042" s="1">
        <v>45850</v>
      </c>
      <c r="E2042" t="s">
        <v>24</v>
      </c>
      <c r="F2042" t="s">
        <v>321</v>
      </c>
      <c r="G2042" t="str">
        <f>_xlfn.XLOOKUP(TRIM(E2043),MedicineInfo!A:A,MedicineInfo!B:B,"Not Found")</f>
        <v>Multivitamin</v>
      </c>
      <c r="H2042" s="1" t="str" cm="1">
        <f t="array" ref="H2042">_xlfn.IFS(
OR(E2042="Type 2 Diabetes",E2042="Essential Hypertension",E2042="Angina Pectoris",E2042="Bronchial Asthma",E2042="Cardiac Arrhythmia"), D2042+30,
OR(E2042="Gastritis",E2042="Osteoarthritis",E2042="Bronchitis",E2042="Iron Deficiency Anemia"), D2042+14,
OR(E2042="Lumbar Strain",E2042="Migraine Headache"), D2042+7,
OR(E2042="Viral Fever",E2042="General Checkup","Routine Health Check"), "",
TRUE,""
)</f>
        <v/>
      </c>
      <c r="I2042" s="1" t="str">
        <f t="shared" si="62"/>
        <v>No Follow-up Required</v>
      </c>
      <c r="J2042" t="str">
        <f>TEXT(Table8[[#This Row],[visit_Date]],"DDDD")</f>
        <v>Saturday</v>
      </c>
      <c r="K2042" t="str">
        <f>TEXT(Table8[[#This Row],[visit_Date]],"mmmm")</f>
        <v>July</v>
      </c>
      <c r="L2042" t="str">
        <f t="shared" si="63"/>
        <v>Monsoon</v>
      </c>
    </row>
    <row r="2043" spans="1:12" x14ac:dyDescent="0.25">
      <c r="A2043">
        <v>2042</v>
      </c>
      <c r="B2043">
        <v>1206</v>
      </c>
      <c r="C2043">
        <v>1459</v>
      </c>
      <c r="D2043" s="1">
        <v>45767</v>
      </c>
      <c r="E2043" t="s">
        <v>24</v>
      </c>
      <c r="F2043" t="s">
        <v>321</v>
      </c>
      <c r="G2043" t="str">
        <f>_xlfn.XLOOKUP(TRIM(E2044),MedicineInfo!A:A,MedicineInfo!B:B,"Not Found")</f>
        <v>Multivitamin</v>
      </c>
      <c r="H2043" s="1" t="str" cm="1">
        <f t="array" ref="H2043">_xlfn.IFS(
OR(E2043="Type 2 Diabetes",E2043="Essential Hypertension",E2043="Angina Pectoris",E2043="Bronchial Asthma",E2043="Cardiac Arrhythmia"), D2043+30,
OR(E2043="Gastritis",E2043="Osteoarthritis",E2043="Bronchitis",E2043="Iron Deficiency Anemia"), D2043+14,
OR(E2043="Lumbar Strain",E2043="Migraine Headache"), D2043+7,
OR(E2043="Viral Fever",E2043="General Checkup","Routine Health Check"), "",
TRUE,""
)</f>
        <v/>
      </c>
      <c r="I2043" s="1" t="str">
        <f t="shared" si="62"/>
        <v>No Follow-up Required</v>
      </c>
      <c r="J2043" t="str">
        <f>TEXT(Table8[[#This Row],[visit_Date]],"DDDD")</f>
        <v>Sunday</v>
      </c>
      <c r="K2043" t="str">
        <f>TEXT(Table8[[#This Row],[visit_Date]],"mmmm")</f>
        <v>April</v>
      </c>
      <c r="L2043" t="str">
        <f t="shared" si="63"/>
        <v>Summer</v>
      </c>
    </row>
    <row r="2044" spans="1:12" x14ac:dyDescent="0.25">
      <c r="A2044">
        <v>2043</v>
      </c>
      <c r="B2044">
        <v>1255</v>
      </c>
      <c r="C2044">
        <v>1538</v>
      </c>
      <c r="D2044" s="1">
        <v>45767</v>
      </c>
      <c r="E2044" t="s">
        <v>24</v>
      </c>
      <c r="F2044" t="s">
        <v>321</v>
      </c>
      <c r="G2044" t="str">
        <f>_xlfn.XLOOKUP(TRIM(E2045),MedicineInfo!A:A,MedicineInfo!B:B,"Not Found")</f>
        <v>Multivitamin</v>
      </c>
      <c r="H2044" s="1" t="str" cm="1">
        <f t="array" ref="H2044">_xlfn.IFS(
OR(E2044="Type 2 Diabetes",E2044="Essential Hypertension",E2044="Angina Pectoris",E2044="Bronchial Asthma",E2044="Cardiac Arrhythmia"), D2044+30,
OR(E2044="Gastritis",E2044="Osteoarthritis",E2044="Bronchitis",E2044="Iron Deficiency Anemia"), D2044+14,
OR(E2044="Lumbar Strain",E2044="Migraine Headache"), D2044+7,
OR(E2044="Viral Fever",E2044="General Checkup","Routine Health Check"), "",
TRUE,""
)</f>
        <v/>
      </c>
      <c r="I2044" s="1" t="str">
        <f t="shared" si="62"/>
        <v>No Follow-up Required</v>
      </c>
      <c r="J2044" t="str">
        <f>TEXT(Table8[[#This Row],[visit_Date]],"DDDD")</f>
        <v>Sunday</v>
      </c>
      <c r="K2044" t="str">
        <f>TEXT(Table8[[#This Row],[visit_Date]],"mmmm")</f>
        <v>April</v>
      </c>
      <c r="L2044" t="str">
        <f t="shared" si="63"/>
        <v>Summer</v>
      </c>
    </row>
    <row r="2045" spans="1:12" x14ac:dyDescent="0.25">
      <c r="A2045">
        <v>2044</v>
      </c>
      <c r="B2045">
        <v>1230</v>
      </c>
      <c r="C2045">
        <v>690</v>
      </c>
      <c r="D2045" s="1">
        <v>45694</v>
      </c>
      <c r="E2045" t="s">
        <v>24</v>
      </c>
      <c r="F2045" t="s">
        <v>321</v>
      </c>
      <c r="G2045" t="str">
        <f>_xlfn.XLOOKUP(TRIM(E2046),MedicineInfo!A:A,MedicineInfo!B:B,"Not Found")</f>
        <v>Multivitamin</v>
      </c>
      <c r="H2045" s="1" t="str" cm="1">
        <f t="array" ref="H2045">_xlfn.IFS(
OR(E2045="Type 2 Diabetes",E2045="Essential Hypertension",E2045="Angina Pectoris",E2045="Bronchial Asthma",E2045="Cardiac Arrhythmia"), D2045+30,
OR(E2045="Gastritis",E2045="Osteoarthritis",E2045="Bronchitis",E2045="Iron Deficiency Anemia"), D2045+14,
OR(E2045="Lumbar Strain",E2045="Migraine Headache"), D2045+7,
OR(E2045="Viral Fever",E2045="General Checkup","Routine Health Check"), "",
TRUE,""
)</f>
        <v/>
      </c>
      <c r="I2045" s="1" t="str">
        <f t="shared" si="62"/>
        <v>No Follow-up Required</v>
      </c>
      <c r="J2045" t="str">
        <f>TEXT(Table8[[#This Row],[visit_Date]],"DDDD")</f>
        <v>Thursday</v>
      </c>
      <c r="K2045" t="str">
        <f>TEXT(Table8[[#This Row],[visit_Date]],"mmmm")</f>
        <v>February</v>
      </c>
      <c r="L2045" t="str">
        <f t="shared" si="63"/>
        <v>Winter</v>
      </c>
    </row>
    <row r="2046" spans="1:12" x14ac:dyDescent="0.25">
      <c r="A2046">
        <v>2045</v>
      </c>
      <c r="B2046">
        <v>1155</v>
      </c>
      <c r="C2046">
        <v>164</v>
      </c>
      <c r="D2046" s="1">
        <v>45664</v>
      </c>
      <c r="E2046" t="s">
        <v>24</v>
      </c>
      <c r="F2046" t="s">
        <v>321</v>
      </c>
      <c r="G2046" t="str">
        <f>_xlfn.XLOOKUP(TRIM(E2047),MedicineInfo!A:A,MedicineInfo!B:B,"Not Found")</f>
        <v>Multivitamin</v>
      </c>
      <c r="H2046" s="1" t="str" cm="1">
        <f t="array" ref="H2046">_xlfn.IFS(
OR(E2046="Type 2 Diabetes",E2046="Essential Hypertension",E2046="Angina Pectoris",E2046="Bronchial Asthma",E2046="Cardiac Arrhythmia"), D2046+30,
OR(E2046="Gastritis",E2046="Osteoarthritis",E2046="Bronchitis",E2046="Iron Deficiency Anemia"), D2046+14,
OR(E2046="Lumbar Strain",E2046="Migraine Headache"), D2046+7,
OR(E2046="Viral Fever",E2046="General Checkup","Routine Health Check"), "",
TRUE,""
)</f>
        <v/>
      </c>
      <c r="I2046" s="1" t="str">
        <f t="shared" si="62"/>
        <v>No Follow-up Required</v>
      </c>
      <c r="J2046" t="str">
        <f>TEXT(Table8[[#This Row],[visit_Date]],"DDDD")</f>
        <v>Tuesday</v>
      </c>
      <c r="K2046" t="str">
        <f>TEXT(Table8[[#This Row],[visit_Date]],"mmmm")</f>
        <v>January</v>
      </c>
      <c r="L2046" t="str">
        <f t="shared" si="63"/>
        <v>Winter</v>
      </c>
    </row>
    <row r="2047" spans="1:12" x14ac:dyDescent="0.25">
      <c r="A2047">
        <v>2046</v>
      </c>
      <c r="B2047">
        <v>1151</v>
      </c>
      <c r="C2047">
        <v>1485</v>
      </c>
      <c r="D2047" s="1">
        <v>45863</v>
      </c>
      <c r="E2047" t="s">
        <v>24</v>
      </c>
      <c r="F2047" t="s">
        <v>321</v>
      </c>
      <c r="G2047" t="str">
        <f>_xlfn.XLOOKUP(TRIM(E2048),MedicineInfo!A:A,MedicineInfo!B:B,"Not Found")</f>
        <v>Neuro Vitamins</v>
      </c>
      <c r="H2047" s="1" t="str" cm="1">
        <f t="array" ref="H2047">_xlfn.IFS(
OR(E2047="Type 2 Diabetes",E2047="Essential Hypertension",E2047="Angina Pectoris",E2047="Bronchial Asthma",E2047="Cardiac Arrhythmia"), D2047+30,
OR(E2047="Gastritis",E2047="Osteoarthritis",E2047="Bronchitis",E2047="Iron Deficiency Anemia"), D2047+14,
OR(E2047="Lumbar Strain",E2047="Migraine Headache"), D2047+7,
OR(E2047="Viral Fever",E2047="General Checkup","Routine Health Check"), "",
TRUE,""
)</f>
        <v/>
      </c>
      <c r="I2047" s="1" t="str">
        <f t="shared" si="62"/>
        <v>No Follow-up Required</v>
      </c>
      <c r="J2047" t="str">
        <f>TEXT(Table8[[#This Row],[visit_Date]],"DDDD")</f>
        <v>Friday</v>
      </c>
      <c r="K2047" t="str">
        <f>TEXT(Table8[[#This Row],[visit_Date]],"mmmm")</f>
        <v>July</v>
      </c>
      <c r="L2047" t="str">
        <f t="shared" si="63"/>
        <v>Monsoon</v>
      </c>
    </row>
    <row r="2048" spans="1:12" x14ac:dyDescent="0.25">
      <c r="A2048">
        <v>2047</v>
      </c>
      <c r="B2048">
        <v>1135</v>
      </c>
      <c r="C2048">
        <v>788</v>
      </c>
      <c r="D2048" s="1">
        <v>45662</v>
      </c>
      <c r="E2048" t="s">
        <v>342</v>
      </c>
      <c r="F2048" t="s">
        <v>343</v>
      </c>
      <c r="G2048" t="str">
        <f>_xlfn.XLOOKUP(TRIM(E2049),MedicineInfo!A:A,MedicineInfo!B:B,"Not Found")</f>
        <v>Multivitamin</v>
      </c>
      <c r="H2048" s="1" t="str" cm="1">
        <f t="array" ref="H2048">_xlfn.IFS(
OR(E2048="Type 2 Diabetes",E2048="Essential Hypertension",E2048="Angina Pectoris",E2048="Bronchial Asthma",E2048="Cardiac Arrhythmia"), D2048+30,
OR(E2048="Gastritis",E2048="Osteoarthritis",E2048="Bronchitis",E2048="Iron Deficiency Anemia"), D2048+14,
OR(E2048="Lumbar Strain",E2048="Migraine Headache"), D2048+7,
OR(E2048="Viral Fever",E2048="General Checkup","Routine Health Check"), "",
TRUE,""
)</f>
        <v/>
      </c>
      <c r="I2048" s="1" t="str">
        <f t="shared" si="62"/>
        <v>No Follow-up Required</v>
      </c>
      <c r="J2048" t="str">
        <f>TEXT(Table8[[#This Row],[visit_Date]],"DDDD")</f>
        <v>Sunday</v>
      </c>
      <c r="K2048" t="str">
        <f>TEXT(Table8[[#This Row],[visit_Date]],"mmmm")</f>
        <v>January</v>
      </c>
      <c r="L2048" t="str">
        <f t="shared" si="63"/>
        <v>Winter</v>
      </c>
    </row>
    <row r="2049" spans="1:12" x14ac:dyDescent="0.25">
      <c r="A2049">
        <v>2048</v>
      </c>
      <c r="B2049">
        <v>1045</v>
      </c>
      <c r="C2049">
        <v>1457</v>
      </c>
      <c r="D2049" s="1">
        <v>45672</v>
      </c>
      <c r="E2049" t="s">
        <v>24</v>
      </c>
      <c r="F2049" t="s">
        <v>321</v>
      </c>
      <c r="G2049" t="str">
        <f>_xlfn.XLOOKUP(TRIM(E2050),MedicineInfo!A:A,MedicineInfo!B:B,"Not Found")</f>
        <v>Multivitamin</v>
      </c>
      <c r="H2049" s="1" t="str" cm="1">
        <f t="array" ref="H2049">_xlfn.IFS(
OR(E2049="Type 2 Diabetes",E2049="Essential Hypertension",E2049="Angina Pectoris",E2049="Bronchial Asthma",E2049="Cardiac Arrhythmia"), D2049+30,
OR(E2049="Gastritis",E2049="Osteoarthritis",E2049="Bronchitis",E2049="Iron Deficiency Anemia"), D2049+14,
OR(E2049="Lumbar Strain",E2049="Migraine Headache"), D2049+7,
OR(E2049="Viral Fever",E2049="General Checkup","Routine Health Check"), "",
TRUE,""
)</f>
        <v/>
      </c>
      <c r="I2049" s="1" t="str">
        <f t="shared" si="62"/>
        <v>No Follow-up Required</v>
      </c>
      <c r="J2049" t="str">
        <f>TEXT(Table8[[#This Row],[visit_Date]],"DDDD")</f>
        <v>Wednesday</v>
      </c>
      <c r="K2049" t="str">
        <f>TEXT(Table8[[#This Row],[visit_Date]],"mmmm")</f>
        <v>January</v>
      </c>
      <c r="L2049" t="str">
        <f t="shared" si="63"/>
        <v>Winter</v>
      </c>
    </row>
    <row r="2050" spans="1:12" x14ac:dyDescent="0.25">
      <c r="A2050">
        <v>2049</v>
      </c>
      <c r="B2050">
        <v>1027</v>
      </c>
      <c r="C2050">
        <v>553</v>
      </c>
      <c r="D2050" s="1">
        <v>45845</v>
      </c>
      <c r="E2050" t="s">
        <v>24</v>
      </c>
      <c r="F2050" t="s">
        <v>321</v>
      </c>
      <c r="G2050" t="str">
        <f>_xlfn.XLOOKUP(TRIM(E2051),MedicineInfo!A:A,MedicineInfo!B:B,"Not Found")</f>
        <v>Multivitamin</v>
      </c>
      <c r="H2050" s="1" t="str" cm="1">
        <f t="array" ref="H2050">_xlfn.IFS(
OR(E2050="Type 2 Diabetes",E2050="Essential Hypertension",E2050="Angina Pectoris",E2050="Bronchial Asthma",E2050="Cardiac Arrhythmia"), D2050+30,
OR(E2050="Gastritis",E2050="Osteoarthritis",E2050="Bronchitis",E2050="Iron Deficiency Anemia"), D2050+14,
OR(E2050="Lumbar Strain",E2050="Migraine Headache"), D2050+7,
OR(E2050="Viral Fever",E2050="General Checkup","Routine Health Check"), "",
TRUE,""
)</f>
        <v/>
      </c>
      <c r="I2050" s="1" t="str">
        <f t="shared" ref="I2050:I2113" si="64">IF(H2050="","No Follow-up Required","Follow-up Scheduled")</f>
        <v>No Follow-up Required</v>
      </c>
      <c r="J2050" t="str">
        <f>TEXT(Table8[[#This Row],[visit_Date]],"DDDD")</f>
        <v>Monday</v>
      </c>
      <c r="K2050" t="str">
        <f>TEXT(Table8[[#This Row],[visit_Date]],"mmmm")</f>
        <v>July</v>
      </c>
      <c r="L2050" t="str">
        <f t="shared" ref="L2050:L2113" si="65">IF(OR(MONTH(D2050)=12,MONTH(D2050)&lt;=2),"Winter",
IF(MONTH(D2050)&lt;=5,"Summer","Monsoon"))</f>
        <v>Monsoon</v>
      </c>
    </row>
    <row r="2051" spans="1:12" x14ac:dyDescent="0.25">
      <c r="A2051">
        <v>2050</v>
      </c>
      <c r="B2051">
        <v>1365</v>
      </c>
      <c r="C2051">
        <v>674</v>
      </c>
      <c r="D2051" s="1">
        <v>45795</v>
      </c>
      <c r="E2051" t="s">
        <v>24</v>
      </c>
      <c r="F2051" t="s">
        <v>321</v>
      </c>
      <c r="G2051" t="str">
        <f>_xlfn.XLOOKUP(TRIM(E2052),MedicineInfo!A:A,MedicineInfo!B:B,"Not Found")</f>
        <v>Multivitamin</v>
      </c>
      <c r="H2051" s="1" t="str" cm="1">
        <f t="array" ref="H2051">_xlfn.IFS(
OR(E2051="Type 2 Diabetes",E2051="Essential Hypertension",E2051="Angina Pectoris",E2051="Bronchial Asthma",E2051="Cardiac Arrhythmia"), D2051+30,
OR(E2051="Gastritis",E2051="Osteoarthritis",E2051="Bronchitis",E2051="Iron Deficiency Anemia"), D2051+14,
OR(E2051="Lumbar Strain",E2051="Migraine Headache"), D2051+7,
OR(E2051="Viral Fever",E2051="General Checkup","Routine Health Check"), "",
TRUE,""
)</f>
        <v/>
      </c>
      <c r="I2051" s="1" t="str">
        <f t="shared" si="64"/>
        <v>No Follow-up Required</v>
      </c>
      <c r="J2051" t="str">
        <f>TEXT(Table8[[#This Row],[visit_Date]],"DDDD")</f>
        <v>Sunday</v>
      </c>
      <c r="K2051" t="str">
        <f>TEXT(Table8[[#This Row],[visit_Date]],"mmmm")</f>
        <v>May</v>
      </c>
      <c r="L2051" t="str">
        <f t="shared" si="65"/>
        <v>Summer</v>
      </c>
    </row>
    <row r="2052" spans="1:12" x14ac:dyDescent="0.25">
      <c r="A2052">
        <v>2051</v>
      </c>
      <c r="B2052">
        <v>1080</v>
      </c>
      <c r="C2052">
        <v>641</v>
      </c>
      <c r="D2052" s="1">
        <v>45694</v>
      </c>
      <c r="E2052" t="s">
        <v>24</v>
      </c>
      <c r="F2052" t="s">
        <v>321</v>
      </c>
      <c r="G2052" t="str">
        <f>_xlfn.XLOOKUP(TRIM(E2053),MedicineInfo!A:A,MedicineInfo!B:B,"Not Found")</f>
        <v>Multivitamin</v>
      </c>
      <c r="H2052" s="1" t="str" cm="1">
        <f t="array" ref="H2052">_xlfn.IFS(
OR(E2052="Type 2 Diabetes",E2052="Essential Hypertension",E2052="Angina Pectoris",E2052="Bronchial Asthma",E2052="Cardiac Arrhythmia"), D2052+30,
OR(E2052="Gastritis",E2052="Osteoarthritis",E2052="Bronchitis",E2052="Iron Deficiency Anemia"), D2052+14,
OR(E2052="Lumbar Strain",E2052="Migraine Headache"), D2052+7,
OR(E2052="Viral Fever",E2052="General Checkup","Routine Health Check"), "",
TRUE,""
)</f>
        <v/>
      </c>
      <c r="I2052" s="1" t="str">
        <f t="shared" si="64"/>
        <v>No Follow-up Required</v>
      </c>
      <c r="J2052" t="str">
        <f>TEXT(Table8[[#This Row],[visit_Date]],"DDDD")</f>
        <v>Thursday</v>
      </c>
      <c r="K2052" t="str">
        <f>TEXT(Table8[[#This Row],[visit_Date]],"mmmm")</f>
        <v>February</v>
      </c>
      <c r="L2052" t="str">
        <f t="shared" si="65"/>
        <v>Winter</v>
      </c>
    </row>
    <row r="2053" spans="1:12" x14ac:dyDescent="0.25">
      <c r="A2053">
        <v>2052</v>
      </c>
      <c r="B2053">
        <v>1196</v>
      </c>
      <c r="C2053">
        <v>249</v>
      </c>
      <c r="D2053" s="1">
        <v>45866</v>
      </c>
      <c r="E2053" t="s">
        <v>24</v>
      </c>
      <c r="F2053" t="s">
        <v>321</v>
      </c>
      <c r="G2053" t="str">
        <f>_xlfn.XLOOKUP(TRIM(E2054),MedicineInfo!A:A,MedicineInfo!B:B,"Not Found")</f>
        <v>Multivitamin</v>
      </c>
      <c r="H2053" s="1" t="str" cm="1">
        <f t="array" ref="H2053">_xlfn.IFS(
OR(E2053="Type 2 Diabetes",E2053="Essential Hypertension",E2053="Angina Pectoris",E2053="Bronchial Asthma",E2053="Cardiac Arrhythmia"), D2053+30,
OR(E2053="Gastritis",E2053="Osteoarthritis",E2053="Bronchitis",E2053="Iron Deficiency Anemia"), D2053+14,
OR(E2053="Lumbar Strain",E2053="Migraine Headache"), D2053+7,
OR(E2053="Viral Fever",E2053="General Checkup","Routine Health Check"), "",
TRUE,""
)</f>
        <v/>
      </c>
      <c r="I2053" s="1" t="str">
        <f t="shared" si="64"/>
        <v>No Follow-up Required</v>
      </c>
      <c r="J2053" t="str">
        <f>TEXT(Table8[[#This Row],[visit_Date]],"DDDD")</f>
        <v>Monday</v>
      </c>
      <c r="K2053" t="str">
        <f>TEXT(Table8[[#This Row],[visit_Date]],"mmmm")</f>
        <v>July</v>
      </c>
      <c r="L2053" t="str">
        <f t="shared" si="65"/>
        <v>Monsoon</v>
      </c>
    </row>
    <row r="2054" spans="1:12" x14ac:dyDescent="0.25">
      <c r="A2054">
        <v>2053</v>
      </c>
      <c r="B2054">
        <v>1226</v>
      </c>
      <c r="C2054">
        <v>610</v>
      </c>
      <c r="D2054" s="1">
        <v>45687</v>
      </c>
      <c r="E2054" t="s">
        <v>24</v>
      </c>
      <c r="F2054" t="s">
        <v>321</v>
      </c>
      <c r="G2054" t="str">
        <f>_xlfn.XLOOKUP(TRIM(E2055),MedicineInfo!A:A,MedicineInfo!B:B,"Not Found")</f>
        <v>Multivitamin</v>
      </c>
      <c r="H2054" s="1" t="str" cm="1">
        <f t="array" ref="H2054">_xlfn.IFS(
OR(E2054="Type 2 Diabetes",E2054="Essential Hypertension",E2054="Angina Pectoris",E2054="Bronchial Asthma",E2054="Cardiac Arrhythmia"), D2054+30,
OR(E2054="Gastritis",E2054="Osteoarthritis",E2054="Bronchitis",E2054="Iron Deficiency Anemia"), D2054+14,
OR(E2054="Lumbar Strain",E2054="Migraine Headache"), D2054+7,
OR(E2054="Viral Fever",E2054="General Checkup","Routine Health Check"), "",
TRUE,""
)</f>
        <v/>
      </c>
      <c r="I2054" s="1" t="str">
        <f t="shared" si="64"/>
        <v>No Follow-up Required</v>
      </c>
      <c r="J2054" t="str">
        <f>TEXT(Table8[[#This Row],[visit_Date]],"DDDD")</f>
        <v>Thursday</v>
      </c>
      <c r="K2054" t="str">
        <f>TEXT(Table8[[#This Row],[visit_Date]],"mmmm")</f>
        <v>January</v>
      </c>
      <c r="L2054" t="str">
        <f t="shared" si="65"/>
        <v>Winter</v>
      </c>
    </row>
    <row r="2055" spans="1:12" x14ac:dyDescent="0.25">
      <c r="A2055">
        <v>2054</v>
      </c>
      <c r="B2055">
        <v>1016</v>
      </c>
      <c r="C2055">
        <v>1132</v>
      </c>
      <c r="D2055" s="1">
        <v>45669</v>
      </c>
      <c r="E2055" t="s">
        <v>24</v>
      </c>
      <c r="F2055" t="s">
        <v>321</v>
      </c>
      <c r="G2055" t="str">
        <f>_xlfn.XLOOKUP(TRIM(E2056),MedicineInfo!A:A,MedicineInfo!B:B,"Not Found")</f>
        <v>Multivitamin</v>
      </c>
      <c r="H2055" s="1" t="str" cm="1">
        <f t="array" ref="H2055">_xlfn.IFS(
OR(E2055="Type 2 Diabetes",E2055="Essential Hypertension",E2055="Angina Pectoris",E2055="Bronchial Asthma",E2055="Cardiac Arrhythmia"), D2055+30,
OR(E2055="Gastritis",E2055="Osteoarthritis",E2055="Bronchitis",E2055="Iron Deficiency Anemia"), D2055+14,
OR(E2055="Lumbar Strain",E2055="Migraine Headache"), D2055+7,
OR(E2055="Viral Fever",E2055="General Checkup","Routine Health Check"), "",
TRUE,""
)</f>
        <v/>
      </c>
      <c r="I2055" s="1" t="str">
        <f t="shared" si="64"/>
        <v>No Follow-up Required</v>
      </c>
      <c r="J2055" t="str">
        <f>TEXT(Table8[[#This Row],[visit_Date]],"DDDD")</f>
        <v>Sunday</v>
      </c>
      <c r="K2055" t="str">
        <f>TEXT(Table8[[#This Row],[visit_Date]],"mmmm")</f>
        <v>January</v>
      </c>
      <c r="L2055" t="str">
        <f t="shared" si="65"/>
        <v>Winter</v>
      </c>
    </row>
    <row r="2056" spans="1:12" x14ac:dyDescent="0.25">
      <c r="A2056">
        <v>2055</v>
      </c>
      <c r="B2056">
        <v>1095</v>
      </c>
      <c r="C2056">
        <v>1002</v>
      </c>
      <c r="D2056" s="1">
        <v>45767</v>
      </c>
      <c r="E2056" t="s">
        <v>24</v>
      </c>
      <c r="F2056" t="s">
        <v>321</v>
      </c>
      <c r="G2056" t="str">
        <f>_xlfn.XLOOKUP(TRIM(E2057),MedicineInfo!A:A,MedicineInfo!B:B,"Not Found")</f>
        <v>Multivitamin</v>
      </c>
      <c r="H2056" s="1" t="str" cm="1">
        <f t="array" ref="H2056">_xlfn.IFS(
OR(E2056="Type 2 Diabetes",E2056="Essential Hypertension",E2056="Angina Pectoris",E2056="Bronchial Asthma",E2056="Cardiac Arrhythmia"), D2056+30,
OR(E2056="Gastritis",E2056="Osteoarthritis",E2056="Bronchitis",E2056="Iron Deficiency Anemia"), D2056+14,
OR(E2056="Lumbar Strain",E2056="Migraine Headache"), D2056+7,
OR(E2056="Viral Fever",E2056="General Checkup","Routine Health Check"), "",
TRUE,""
)</f>
        <v/>
      </c>
      <c r="I2056" s="1" t="str">
        <f t="shared" si="64"/>
        <v>No Follow-up Required</v>
      </c>
      <c r="J2056" t="str">
        <f>TEXT(Table8[[#This Row],[visit_Date]],"DDDD")</f>
        <v>Sunday</v>
      </c>
      <c r="K2056" t="str">
        <f>TEXT(Table8[[#This Row],[visit_Date]],"mmmm")</f>
        <v>April</v>
      </c>
      <c r="L2056" t="str">
        <f t="shared" si="65"/>
        <v>Summer</v>
      </c>
    </row>
    <row r="2057" spans="1:12" x14ac:dyDescent="0.25">
      <c r="A2057">
        <v>2056</v>
      </c>
      <c r="B2057">
        <v>1296</v>
      </c>
      <c r="C2057">
        <v>893</v>
      </c>
      <c r="D2057" s="1">
        <v>45780</v>
      </c>
      <c r="E2057" t="s">
        <v>24</v>
      </c>
      <c r="F2057" t="s">
        <v>321</v>
      </c>
      <c r="G2057" t="str">
        <f>_xlfn.XLOOKUP(TRIM(E2058),MedicineInfo!A:A,MedicineInfo!B:B,"Not Found")</f>
        <v>Multivitamin</v>
      </c>
      <c r="H2057" s="1" t="str" cm="1">
        <f t="array" ref="H2057">_xlfn.IFS(
OR(E2057="Type 2 Diabetes",E2057="Essential Hypertension",E2057="Angina Pectoris",E2057="Bronchial Asthma",E2057="Cardiac Arrhythmia"), D2057+30,
OR(E2057="Gastritis",E2057="Osteoarthritis",E2057="Bronchitis",E2057="Iron Deficiency Anemia"), D2057+14,
OR(E2057="Lumbar Strain",E2057="Migraine Headache"), D2057+7,
OR(E2057="Viral Fever",E2057="General Checkup","Routine Health Check"), "",
TRUE,""
)</f>
        <v/>
      </c>
      <c r="I2057" s="1" t="str">
        <f t="shared" si="64"/>
        <v>No Follow-up Required</v>
      </c>
      <c r="J2057" t="str">
        <f>TEXT(Table8[[#This Row],[visit_Date]],"DDDD")</f>
        <v>Saturday</v>
      </c>
      <c r="K2057" t="str">
        <f>TEXT(Table8[[#This Row],[visit_Date]],"mmmm")</f>
        <v>May</v>
      </c>
      <c r="L2057" t="str">
        <f t="shared" si="65"/>
        <v>Summer</v>
      </c>
    </row>
    <row r="2058" spans="1:12" x14ac:dyDescent="0.25">
      <c r="A2058">
        <v>2057</v>
      </c>
      <c r="B2058">
        <v>1089</v>
      </c>
      <c r="C2058">
        <v>343</v>
      </c>
      <c r="D2058" s="1">
        <v>45758</v>
      </c>
      <c r="E2058" t="s">
        <v>24</v>
      </c>
      <c r="F2058" t="s">
        <v>321</v>
      </c>
      <c r="G2058" t="str">
        <f>_xlfn.XLOOKUP(TRIM(E2059),MedicineInfo!A:A,MedicineInfo!B:B,"Not Found")</f>
        <v>Multivitamin</v>
      </c>
      <c r="H2058" s="1" t="str" cm="1">
        <f t="array" ref="H2058">_xlfn.IFS(
OR(E2058="Type 2 Diabetes",E2058="Essential Hypertension",E2058="Angina Pectoris",E2058="Bronchial Asthma",E2058="Cardiac Arrhythmia"), D2058+30,
OR(E2058="Gastritis",E2058="Osteoarthritis",E2058="Bronchitis",E2058="Iron Deficiency Anemia"), D2058+14,
OR(E2058="Lumbar Strain",E2058="Migraine Headache"), D2058+7,
OR(E2058="Viral Fever",E2058="General Checkup","Routine Health Check"), "",
TRUE,""
)</f>
        <v/>
      </c>
      <c r="I2058" s="1" t="str">
        <f t="shared" si="64"/>
        <v>No Follow-up Required</v>
      </c>
      <c r="J2058" t="str">
        <f>TEXT(Table8[[#This Row],[visit_Date]],"DDDD")</f>
        <v>Friday</v>
      </c>
      <c r="K2058" t="str">
        <f>TEXT(Table8[[#This Row],[visit_Date]],"mmmm")</f>
        <v>April</v>
      </c>
      <c r="L2058" t="str">
        <f t="shared" si="65"/>
        <v>Summer</v>
      </c>
    </row>
    <row r="2059" spans="1:12" x14ac:dyDescent="0.25">
      <c r="A2059">
        <v>2058</v>
      </c>
      <c r="B2059">
        <v>1394</v>
      </c>
      <c r="C2059">
        <v>1139</v>
      </c>
      <c r="D2059" s="1">
        <v>45694</v>
      </c>
      <c r="E2059" t="s">
        <v>24</v>
      </c>
      <c r="F2059" t="s">
        <v>321</v>
      </c>
      <c r="G2059" t="str">
        <f>_xlfn.XLOOKUP(TRIM(E2060),MedicineInfo!A:A,MedicineInfo!B:B,"Not Found")</f>
        <v>Multivitamin</v>
      </c>
      <c r="H2059" s="1" t="str" cm="1">
        <f t="array" ref="H2059">_xlfn.IFS(
OR(E2059="Type 2 Diabetes",E2059="Essential Hypertension",E2059="Angina Pectoris",E2059="Bronchial Asthma",E2059="Cardiac Arrhythmia"), D2059+30,
OR(E2059="Gastritis",E2059="Osteoarthritis",E2059="Bronchitis",E2059="Iron Deficiency Anemia"), D2059+14,
OR(E2059="Lumbar Strain",E2059="Migraine Headache"), D2059+7,
OR(E2059="Viral Fever",E2059="General Checkup","Routine Health Check"), "",
TRUE,""
)</f>
        <v/>
      </c>
      <c r="I2059" s="1" t="str">
        <f t="shared" si="64"/>
        <v>No Follow-up Required</v>
      </c>
      <c r="J2059" t="str">
        <f>TEXT(Table8[[#This Row],[visit_Date]],"DDDD")</f>
        <v>Thursday</v>
      </c>
      <c r="K2059" t="str">
        <f>TEXT(Table8[[#This Row],[visit_Date]],"mmmm")</f>
        <v>February</v>
      </c>
      <c r="L2059" t="str">
        <f t="shared" si="65"/>
        <v>Winter</v>
      </c>
    </row>
    <row r="2060" spans="1:12" x14ac:dyDescent="0.25">
      <c r="A2060">
        <v>2059</v>
      </c>
      <c r="B2060">
        <v>1283</v>
      </c>
      <c r="C2060">
        <v>274</v>
      </c>
      <c r="D2060" s="1">
        <v>45681</v>
      </c>
      <c r="E2060" t="s">
        <v>24</v>
      </c>
      <c r="F2060" t="s">
        <v>321</v>
      </c>
      <c r="G2060" t="str">
        <f>_xlfn.XLOOKUP(TRIM(E2061),MedicineInfo!A:A,MedicineInfo!B:B,"Not Found")</f>
        <v>Multivitamin</v>
      </c>
      <c r="H2060" s="1" t="str" cm="1">
        <f t="array" ref="H2060">_xlfn.IFS(
OR(E2060="Type 2 Diabetes",E2060="Essential Hypertension",E2060="Angina Pectoris",E2060="Bronchial Asthma",E2060="Cardiac Arrhythmia"), D2060+30,
OR(E2060="Gastritis",E2060="Osteoarthritis",E2060="Bronchitis",E2060="Iron Deficiency Anemia"), D2060+14,
OR(E2060="Lumbar Strain",E2060="Migraine Headache"), D2060+7,
OR(E2060="Viral Fever",E2060="General Checkup","Routine Health Check"), "",
TRUE,""
)</f>
        <v/>
      </c>
      <c r="I2060" s="1" t="str">
        <f t="shared" si="64"/>
        <v>No Follow-up Required</v>
      </c>
      <c r="J2060" t="str">
        <f>TEXT(Table8[[#This Row],[visit_Date]],"DDDD")</f>
        <v>Friday</v>
      </c>
      <c r="K2060" t="str">
        <f>TEXT(Table8[[#This Row],[visit_Date]],"mmmm")</f>
        <v>January</v>
      </c>
      <c r="L2060" t="str">
        <f t="shared" si="65"/>
        <v>Winter</v>
      </c>
    </row>
    <row r="2061" spans="1:12" x14ac:dyDescent="0.25">
      <c r="A2061">
        <v>2060</v>
      </c>
      <c r="B2061">
        <v>1278</v>
      </c>
      <c r="C2061">
        <v>1168</v>
      </c>
      <c r="D2061" s="1">
        <v>45814</v>
      </c>
      <c r="E2061" t="s">
        <v>24</v>
      </c>
      <c r="F2061" t="s">
        <v>321</v>
      </c>
      <c r="G2061" t="str">
        <f>_xlfn.XLOOKUP(TRIM(E2062),MedicineInfo!A:A,MedicineInfo!B:B,"Not Found")</f>
        <v>Multivitamin</v>
      </c>
      <c r="H2061" s="1" t="str" cm="1">
        <f t="array" ref="H2061">_xlfn.IFS(
OR(E2061="Type 2 Diabetes",E2061="Essential Hypertension",E2061="Angina Pectoris",E2061="Bronchial Asthma",E2061="Cardiac Arrhythmia"), D2061+30,
OR(E2061="Gastritis",E2061="Osteoarthritis",E2061="Bronchitis",E2061="Iron Deficiency Anemia"), D2061+14,
OR(E2061="Lumbar Strain",E2061="Migraine Headache"), D2061+7,
OR(E2061="Viral Fever",E2061="General Checkup","Routine Health Check"), "",
TRUE,""
)</f>
        <v/>
      </c>
      <c r="I2061" s="1" t="str">
        <f t="shared" si="64"/>
        <v>No Follow-up Required</v>
      </c>
      <c r="J2061" t="str">
        <f>TEXT(Table8[[#This Row],[visit_Date]],"DDDD")</f>
        <v>Friday</v>
      </c>
      <c r="K2061" t="str">
        <f>TEXT(Table8[[#This Row],[visit_Date]],"mmmm")</f>
        <v>June</v>
      </c>
      <c r="L2061" t="str">
        <f t="shared" si="65"/>
        <v>Monsoon</v>
      </c>
    </row>
    <row r="2062" spans="1:12" x14ac:dyDescent="0.25">
      <c r="A2062">
        <v>2061</v>
      </c>
      <c r="B2062">
        <v>1278</v>
      </c>
      <c r="C2062">
        <v>188</v>
      </c>
      <c r="D2062" s="1">
        <v>45790</v>
      </c>
      <c r="E2062" t="s">
        <v>24</v>
      </c>
      <c r="F2062" t="s">
        <v>321</v>
      </c>
      <c r="G2062" t="str">
        <f>_xlfn.XLOOKUP(TRIM(E2063),MedicineInfo!A:A,MedicineInfo!B:B,"Not Found")</f>
        <v>Multivitamin</v>
      </c>
      <c r="H2062" s="1" t="str" cm="1">
        <f t="array" ref="H2062">_xlfn.IFS(
OR(E2062="Type 2 Diabetes",E2062="Essential Hypertension",E2062="Angina Pectoris",E2062="Bronchial Asthma",E2062="Cardiac Arrhythmia"), D2062+30,
OR(E2062="Gastritis",E2062="Osteoarthritis",E2062="Bronchitis",E2062="Iron Deficiency Anemia"), D2062+14,
OR(E2062="Lumbar Strain",E2062="Migraine Headache"), D2062+7,
OR(E2062="Viral Fever",E2062="General Checkup","Routine Health Check"), "",
TRUE,""
)</f>
        <v/>
      </c>
      <c r="I2062" s="1" t="str">
        <f t="shared" si="64"/>
        <v>No Follow-up Required</v>
      </c>
      <c r="J2062" t="str">
        <f>TEXT(Table8[[#This Row],[visit_Date]],"DDDD")</f>
        <v>Tuesday</v>
      </c>
      <c r="K2062" t="str">
        <f>TEXT(Table8[[#This Row],[visit_Date]],"mmmm")</f>
        <v>May</v>
      </c>
      <c r="L2062" t="str">
        <f t="shared" si="65"/>
        <v>Summer</v>
      </c>
    </row>
    <row r="2063" spans="1:12" x14ac:dyDescent="0.25">
      <c r="A2063">
        <v>2062</v>
      </c>
      <c r="B2063">
        <v>1173</v>
      </c>
      <c r="C2063">
        <v>292</v>
      </c>
      <c r="D2063" s="1">
        <v>45669</v>
      </c>
      <c r="E2063" t="s">
        <v>24</v>
      </c>
      <c r="F2063" t="s">
        <v>321</v>
      </c>
      <c r="G2063" t="str">
        <f>_xlfn.XLOOKUP(TRIM(E2064),MedicineInfo!A:A,MedicineInfo!B:B,"Not Found")</f>
        <v>Aceclofenac</v>
      </c>
      <c r="H2063" s="1" t="str" cm="1">
        <f t="array" ref="H2063">_xlfn.IFS(
OR(E2063="Type 2 Diabetes",E2063="Essential Hypertension",E2063="Angina Pectoris",E2063="Bronchial Asthma",E2063="Cardiac Arrhythmia"), D2063+30,
OR(E2063="Gastritis",E2063="Osteoarthritis",E2063="Bronchitis",E2063="Iron Deficiency Anemia"), D2063+14,
OR(E2063="Lumbar Strain",E2063="Migraine Headache"), D2063+7,
OR(E2063="Viral Fever",E2063="General Checkup","Routine Health Check"), "",
TRUE,""
)</f>
        <v/>
      </c>
      <c r="I2063" s="1" t="str">
        <f t="shared" si="64"/>
        <v>No Follow-up Required</v>
      </c>
      <c r="J2063" t="str">
        <f>TEXT(Table8[[#This Row],[visit_Date]],"DDDD")</f>
        <v>Sunday</v>
      </c>
      <c r="K2063" t="str">
        <f>TEXT(Table8[[#This Row],[visit_Date]],"mmmm")</f>
        <v>January</v>
      </c>
      <c r="L2063" t="str">
        <f t="shared" si="65"/>
        <v>Winter</v>
      </c>
    </row>
    <row r="2064" spans="1:12" x14ac:dyDescent="0.25">
      <c r="A2064">
        <v>2063</v>
      </c>
      <c r="B2064">
        <v>1188</v>
      </c>
      <c r="C2064">
        <v>779</v>
      </c>
      <c r="D2064" s="1">
        <v>45669</v>
      </c>
      <c r="E2064" t="s">
        <v>348</v>
      </c>
      <c r="F2064" t="s">
        <v>349</v>
      </c>
      <c r="G2064" t="str">
        <f>_xlfn.XLOOKUP(TRIM(E2065),MedicineInfo!A:A,MedicineInfo!B:B,"Not Found")</f>
        <v>Amlodipine</v>
      </c>
      <c r="H2064" s="1" cm="1">
        <f t="array" ref="H2064">_xlfn.IFS(
OR(E2064="Type 2 Diabetes",E2064="Essential Hypertension",E2064="Angina Pectoris",E2064="Bronchial Asthma",E2064="Cardiac Arrhythmia"), D2064+30,
OR(E2064="Gastritis",E2064="Osteoarthritis",E2064="Bronchitis",E2064="Iron Deficiency Anemia"), D2064+14,
OR(E2064="Lumbar Strain",E2064="Migraine Headache"), D2064+7,
OR(E2064="Viral Fever",E2064="General Checkup","Routine Health Check"), "",
TRUE,""
)</f>
        <v>45683</v>
      </c>
      <c r="I2064" s="1" t="str">
        <f t="shared" si="64"/>
        <v>Follow-up Scheduled</v>
      </c>
      <c r="J2064" t="str">
        <f>TEXT(Table8[[#This Row],[visit_Date]],"DDDD")</f>
        <v>Sunday</v>
      </c>
      <c r="K2064" t="str">
        <f>TEXT(Table8[[#This Row],[visit_Date]],"mmmm")</f>
        <v>January</v>
      </c>
      <c r="L2064" t="str">
        <f t="shared" si="65"/>
        <v>Winter</v>
      </c>
    </row>
    <row r="2065" spans="1:12" x14ac:dyDescent="0.25">
      <c r="A2065">
        <v>2064</v>
      </c>
      <c r="B2065">
        <v>1155</v>
      </c>
      <c r="C2065">
        <v>1003</v>
      </c>
      <c r="D2065" s="1">
        <v>45672</v>
      </c>
      <c r="E2065" t="s">
        <v>319</v>
      </c>
      <c r="F2065" t="s">
        <v>320</v>
      </c>
      <c r="G2065" t="str">
        <f>_xlfn.XLOOKUP(TRIM(E2066),MedicineInfo!A:A,MedicineInfo!B:B,"Not Found")</f>
        <v>Multivitamin</v>
      </c>
      <c r="H2065" s="1" cm="1">
        <f t="array" ref="H2065">_xlfn.IFS(
OR(E2065="Type 2 Diabetes",E2065="Essential Hypertension",E2065="Angina Pectoris",E2065="Bronchial Asthma",E2065="Cardiac Arrhythmia"), D2065+30,
OR(E2065="Gastritis",E2065="Osteoarthritis",E2065="Bronchitis",E2065="Iron Deficiency Anemia"), D2065+14,
OR(E2065="Lumbar Strain",E2065="Migraine Headache"), D2065+7,
OR(E2065="Viral Fever",E2065="General Checkup","Routine Health Check"), "",
TRUE,""
)</f>
        <v>45702</v>
      </c>
      <c r="I2065" s="1" t="str">
        <f t="shared" si="64"/>
        <v>Follow-up Scheduled</v>
      </c>
      <c r="J2065" t="str">
        <f>TEXT(Table8[[#This Row],[visit_Date]],"DDDD")</f>
        <v>Wednesday</v>
      </c>
      <c r="K2065" t="str">
        <f>TEXT(Table8[[#This Row],[visit_Date]],"mmmm")</f>
        <v>January</v>
      </c>
      <c r="L2065" t="str">
        <f t="shared" si="65"/>
        <v>Winter</v>
      </c>
    </row>
    <row r="2066" spans="1:12" x14ac:dyDescent="0.25">
      <c r="A2066">
        <v>2065</v>
      </c>
      <c r="B2066">
        <v>1354</v>
      </c>
      <c r="C2066">
        <v>862</v>
      </c>
      <c r="D2066" s="1">
        <v>45758</v>
      </c>
      <c r="E2066" t="s">
        <v>24</v>
      </c>
      <c r="F2066" t="s">
        <v>321</v>
      </c>
      <c r="G2066" t="str">
        <f>_xlfn.XLOOKUP(TRIM(E2067),MedicineInfo!A:A,MedicineInfo!B:B,"Not Found")</f>
        <v>Diclofenac</v>
      </c>
      <c r="H2066" s="1" t="str" cm="1">
        <f t="array" ref="H2066">_xlfn.IFS(
OR(E2066="Type 2 Diabetes",E2066="Essential Hypertension",E2066="Angina Pectoris",E2066="Bronchial Asthma",E2066="Cardiac Arrhythmia"), D2066+30,
OR(E2066="Gastritis",E2066="Osteoarthritis",E2066="Bronchitis",E2066="Iron Deficiency Anemia"), D2066+14,
OR(E2066="Lumbar Strain",E2066="Migraine Headache"), D2066+7,
OR(E2066="Viral Fever",E2066="General Checkup","Routine Health Check"), "",
TRUE,""
)</f>
        <v/>
      </c>
      <c r="I2066" s="1" t="str">
        <f t="shared" si="64"/>
        <v>No Follow-up Required</v>
      </c>
      <c r="J2066" t="str">
        <f>TEXT(Table8[[#This Row],[visit_Date]],"DDDD")</f>
        <v>Friday</v>
      </c>
      <c r="K2066" t="str">
        <f>TEXT(Table8[[#This Row],[visit_Date]],"mmmm")</f>
        <v>April</v>
      </c>
      <c r="L2066" t="str">
        <f t="shared" si="65"/>
        <v>Summer</v>
      </c>
    </row>
    <row r="2067" spans="1:12" x14ac:dyDescent="0.25">
      <c r="A2067">
        <v>2066</v>
      </c>
      <c r="B2067">
        <v>1166</v>
      </c>
      <c r="C2067">
        <v>596</v>
      </c>
      <c r="D2067" s="1">
        <v>45864</v>
      </c>
      <c r="E2067" t="s">
        <v>313</v>
      </c>
      <c r="F2067" t="s">
        <v>314</v>
      </c>
      <c r="G2067" t="str">
        <f>_xlfn.XLOOKUP(TRIM(E2068),MedicineInfo!A:A,MedicineInfo!B:B,"Not Found")</f>
        <v>Hydrocortisone Cream</v>
      </c>
      <c r="H2067" s="1" cm="1">
        <f t="array" ref="H2067">_xlfn.IFS(
OR(E2067="Type 2 Diabetes",E2067="Essential Hypertension",E2067="Angina Pectoris",E2067="Bronchial Asthma",E2067="Cardiac Arrhythmia"), D2067+30,
OR(E2067="Gastritis",E2067="Osteoarthritis",E2067="Bronchitis",E2067="Iron Deficiency Anemia"), D2067+14,
OR(E2067="Lumbar Strain",E2067="Migraine Headache"), D2067+7,
OR(E2067="Viral Fever",E2067="General Checkup","Routine Health Check"), "",
TRUE,""
)</f>
        <v>45871</v>
      </c>
      <c r="I2067" s="1" t="str">
        <f t="shared" si="64"/>
        <v>Follow-up Scheduled</v>
      </c>
      <c r="J2067" t="str">
        <f>TEXT(Table8[[#This Row],[visit_Date]],"DDDD")</f>
        <v>Saturday</v>
      </c>
      <c r="K2067" t="str">
        <f>TEXT(Table8[[#This Row],[visit_Date]],"mmmm")</f>
        <v>July</v>
      </c>
      <c r="L2067" t="str">
        <f t="shared" si="65"/>
        <v>Monsoon</v>
      </c>
    </row>
    <row r="2068" spans="1:12" x14ac:dyDescent="0.25">
      <c r="A2068">
        <v>2067</v>
      </c>
      <c r="B2068">
        <v>1169</v>
      </c>
      <c r="C2068">
        <v>953</v>
      </c>
      <c r="D2068" s="1">
        <v>45819</v>
      </c>
      <c r="E2068" t="s">
        <v>338</v>
      </c>
      <c r="F2068" t="s">
        <v>339</v>
      </c>
      <c r="G2068" t="str">
        <f>_xlfn.XLOOKUP(TRIM(E2069),MedicineInfo!A:A,MedicineInfo!B:B,"Not Found")</f>
        <v>Multivitamin</v>
      </c>
      <c r="H2068" s="1" t="str" cm="1">
        <f t="array" ref="H2068">_xlfn.IFS(
OR(E2068="Type 2 Diabetes",E2068="Essential Hypertension",E2068="Angina Pectoris",E2068="Bronchial Asthma",E2068="Cardiac Arrhythmia"), D2068+30,
OR(E2068="Gastritis",E2068="Osteoarthritis",E2068="Bronchitis",E2068="Iron Deficiency Anemia"), D2068+14,
OR(E2068="Lumbar Strain",E2068="Migraine Headache"), D2068+7,
OR(E2068="Viral Fever",E2068="General Checkup","Routine Health Check"), "",
TRUE,""
)</f>
        <v/>
      </c>
      <c r="I2068" s="1" t="str">
        <f t="shared" si="64"/>
        <v>No Follow-up Required</v>
      </c>
      <c r="J2068" t="str">
        <f>TEXT(Table8[[#This Row],[visit_Date]],"DDDD")</f>
        <v>Wednesday</v>
      </c>
      <c r="K2068" t="str">
        <f>TEXT(Table8[[#This Row],[visit_Date]],"mmmm")</f>
        <v>June</v>
      </c>
      <c r="L2068" t="str">
        <f t="shared" si="65"/>
        <v>Monsoon</v>
      </c>
    </row>
    <row r="2069" spans="1:12" x14ac:dyDescent="0.25">
      <c r="A2069">
        <v>2068</v>
      </c>
      <c r="B2069">
        <v>1365</v>
      </c>
      <c r="C2069">
        <v>1238</v>
      </c>
      <c r="D2069" s="1">
        <v>45814</v>
      </c>
      <c r="E2069" t="s">
        <v>24</v>
      </c>
      <c r="F2069" t="s">
        <v>321</v>
      </c>
      <c r="G2069" t="str">
        <f>_xlfn.XLOOKUP(TRIM(E2070),MedicineInfo!A:A,MedicineInfo!B:B,"Not Found")</f>
        <v>Multivitamin</v>
      </c>
      <c r="H2069" s="1" t="str" cm="1">
        <f t="array" ref="H2069">_xlfn.IFS(
OR(E2069="Type 2 Diabetes",E2069="Essential Hypertension",E2069="Angina Pectoris",E2069="Bronchial Asthma",E2069="Cardiac Arrhythmia"), D2069+30,
OR(E2069="Gastritis",E2069="Osteoarthritis",E2069="Bronchitis",E2069="Iron Deficiency Anemia"), D2069+14,
OR(E2069="Lumbar Strain",E2069="Migraine Headache"), D2069+7,
OR(E2069="Viral Fever",E2069="General Checkup","Routine Health Check"), "",
TRUE,""
)</f>
        <v/>
      </c>
      <c r="I2069" s="1" t="str">
        <f t="shared" si="64"/>
        <v>No Follow-up Required</v>
      </c>
      <c r="J2069" t="str">
        <f>TEXT(Table8[[#This Row],[visit_Date]],"DDDD")</f>
        <v>Friday</v>
      </c>
      <c r="K2069" t="str">
        <f>TEXT(Table8[[#This Row],[visit_Date]],"mmmm")</f>
        <v>June</v>
      </c>
      <c r="L2069" t="str">
        <f t="shared" si="65"/>
        <v>Monsoon</v>
      </c>
    </row>
    <row r="2070" spans="1:12" x14ac:dyDescent="0.25">
      <c r="A2070">
        <v>2069</v>
      </c>
      <c r="B2070">
        <v>1384</v>
      </c>
      <c r="C2070">
        <v>1415</v>
      </c>
      <c r="D2070" s="1">
        <v>45694</v>
      </c>
      <c r="E2070" t="s">
        <v>24</v>
      </c>
      <c r="F2070" t="s">
        <v>321</v>
      </c>
      <c r="G2070" t="str">
        <f>_xlfn.XLOOKUP(TRIM(E2071),MedicineInfo!A:A,MedicineInfo!B:B,"Not Found")</f>
        <v>Multivitamin</v>
      </c>
      <c r="H2070" s="1" t="str" cm="1">
        <f t="array" ref="H2070">_xlfn.IFS(
OR(E2070="Type 2 Diabetes",E2070="Essential Hypertension",E2070="Angina Pectoris",E2070="Bronchial Asthma",E2070="Cardiac Arrhythmia"), D2070+30,
OR(E2070="Gastritis",E2070="Osteoarthritis",E2070="Bronchitis",E2070="Iron Deficiency Anemia"), D2070+14,
OR(E2070="Lumbar Strain",E2070="Migraine Headache"), D2070+7,
OR(E2070="Viral Fever",E2070="General Checkup","Routine Health Check"), "",
TRUE,""
)</f>
        <v/>
      </c>
      <c r="I2070" s="1" t="str">
        <f t="shared" si="64"/>
        <v>No Follow-up Required</v>
      </c>
      <c r="J2070" t="str">
        <f>TEXT(Table8[[#This Row],[visit_Date]],"DDDD")</f>
        <v>Thursday</v>
      </c>
      <c r="K2070" t="str">
        <f>TEXT(Table8[[#This Row],[visit_Date]],"mmmm")</f>
        <v>February</v>
      </c>
      <c r="L2070" t="str">
        <f t="shared" si="65"/>
        <v>Winter</v>
      </c>
    </row>
    <row r="2071" spans="1:12" x14ac:dyDescent="0.25">
      <c r="A2071">
        <v>2070</v>
      </c>
      <c r="B2071">
        <v>1242</v>
      </c>
      <c r="C2071">
        <v>1411</v>
      </c>
      <c r="D2071" s="1">
        <v>45689</v>
      </c>
      <c r="E2071" t="s">
        <v>24</v>
      </c>
      <c r="F2071" t="s">
        <v>321</v>
      </c>
      <c r="G2071" t="str">
        <f>_xlfn.XLOOKUP(TRIM(E2072),MedicineInfo!A:A,MedicineInfo!B:B,"Not Found")</f>
        <v>Multivitamin</v>
      </c>
      <c r="H2071" s="1" t="str" cm="1">
        <f t="array" ref="H2071">_xlfn.IFS(
OR(E2071="Type 2 Diabetes",E2071="Essential Hypertension",E2071="Angina Pectoris",E2071="Bronchial Asthma",E2071="Cardiac Arrhythmia"), D2071+30,
OR(E2071="Gastritis",E2071="Osteoarthritis",E2071="Bronchitis",E2071="Iron Deficiency Anemia"), D2071+14,
OR(E2071="Lumbar Strain",E2071="Migraine Headache"), D2071+7,
OR(E2071="Viral Fever",E2071="General Checkup","Routine Health Check"), "",
TRUE,""
)</f>
        <v/>
      </c>
      <c r="I2071" s="1" t="str">
        <f t="shared" si="64"/>
        <v>No Follow-up Required</v>
      </c>
      <c r="J2071" t="str">
        <f>TEXT(Table8[[#This Row],[visit_Date]],"DDDD")</f>
        <v>Saturday</v>
      </c>
      <c r="K2071" t="str">
        <f>TEXT(Table8[[#This Row],[visit_Date]],"mmmm")</f>
        <v>February</v>
      </c>
      <c r="L2071" t="str">
        <f t="shared" si="65"/>
        <v>Winter</v>
      </c>
    </row>
    <row r="2072" spans="1:12" x14ac:dyDescent="0.25">
      <c r="A2072">
        <v>2071</v>
      </c>
      <c r="B2072">
        <v>1187</v>
      </c>
      <c r="C2072">
        <v>795</v>
      </c>
      <c r="D2072" s="1">
        <v>45791</v>
      </c>
      <c r="E2072" t="s">
        <v>24</v>
      </c>
      <c r="F2072" t="s">
        <v>321</v>
      </c>
      <c r="G2072" t="str">
        <f>_xlfn.XLOOKUP(TRIM(E2073),MedicineInfo!A:A,MedicineInfo!B:B,"Not Found")</f>
        <v>Multivitamin</v>
      </c>
      <c r="H2072" s="1" t="str" cm="1">
        <f t="array" ref="H2072">_xlfn.IFS(
OR(E2072="Type 2 Diabetes",E2072="Essential Hypertension",E2072="Angina Pectoris",E2072="Bronchial Asthma",E2072="Cardiac Arrhythmia"), D2072+30,
OR(E2072="Gastritis",E2072="Osteoarthritis",E2072="Bronchitis",E2072="Iron Deficiency Anemia"), D2072+14,
OR(E2072="Lumbar Strain",E2072="Migraine Headache"), D2072+7,
OR(E2072="Viral Fever",E2072="General Checkup","Routine Health Check"), "",
TRUE,""
)</f>
        <v/>
      </c>
      <c r="I2072" s="1" t="str">
        <f t="shared" si="64"/>
        <v>No Follow-up Required</v>
      </c>
      <c r="J2072" t="str">
        <f>TEXT(Table8[[#This Row],[visit_Date]],"DDDD")</f>
        <v>Wednesday</v>
      </c>
      <c r="K2072" t="str">
        <f>TEXT(Table8[[#This Row],[visit_Date]],"mmmm")</f>
        <v>May</v>
      </c>
      <c r="L2072" t="str">
        <f t="shared" si="65"/>
        <v>Summer</v>
      </c>
    </row>
    <row r="2073" spans="1:12" x14ac:dyDescent="0.25">
      <c r="A2073">
        <v>2072</v>
      </c>
      <c r="B2073">
        <v>1219</v>
      </c>
      <c r="C2073">
        <v>1317</v>
      </c>
      <c r="D2073" s="1">
        <v>45799</v>
      </c>
      <c r="E2073" t="s">
        <v>24</v>
      </c>
      <c r="F2073" t="s">
        <v>321</v>
      </c>
      <c r="G2073" t="str">
        <f>_xlfn.XLOOKUP(TRIM(E2074),MedicineInfo!A:A,MedicineInfo!B:B,"Not Found")</f>
        <v>Multivitamin</v>
      </c>
      <c r="H2073" s="1" t="str" cm="1">
        <f t="array" ref="H2073">_xlfn.IFS(
OR(E2073="Type 2 Diabetes",E2073="Essential Hypertension",E2073="Angina Pectoris",E2073="Bronchial Asthma",E2073="Cardiac Arrhythmia"), D2073+30,
OR(E2073="Gastritis",E2073="Osteoarthritis",E2073="Bronchitis",E2073="Iron Deficiency Anemia"), D2073+14,
OR(E2073="Lumbar Strain",E2073="Migraine Headache"), D2073+7,
OR(E2073="Viral Fever",E2073="General Checkup","Routine Health Check"), "",
TRUE,""
)</f>
        <v/>
      </c>
      <c r="I2073" s="1" t="str">
        <f t="shared" si="64"/>
        <v>No Follow-up Required</v>
      </c>
      <c r="J2073" t="str">
        <f>TEXT(Table8[[#This Row],[visit_Date]],"DDDD")</f>
        <v>Thursday</v>
      </c>
      <c r="K2073" t="str">
        <f>TEXT(Table8[[#This Row],[visit_Date]],"mmmm")</f>
        <v>May</v>
      </c>
      <c r="L2073" t="str">
        <f t="shared" si="65"/>
        <v>Summer</v>
      </c>
    </row>
    <row r="2074" spans="1:12" x14ac:dyDescent="0.25">
      <c r="A2074">
        <v>2073</v>
      </c>
      <c r="B2074">
        <v>1098</v>
      </c>
      <c r="C2074">
        <v>1226</v>
      </c>
      <c r="D2074" s="1">
        <v>45783</v>
      </c>
      <c r="E2074" t="s">
        <v>24</v>
      </c>
      <c r="F2074" t="s">
        <v>321</v>
      </c>
      <c r="G2074" t="str">
        <f>_xlfn.XLOOKUP(TRIM(E2075),MedicineInfo!A:A,MedicineInfo!B:B,"Not Found")</f>
        <v>Multivitamin</v>
      </c>
      <c r="H2074" s="1" t="str" cm="1">
        <f t="array" ref="H2074">_xlfn.IFS(
OR(E2074="Type 2 Diabetes",E2074="Essential Hypertension",E2074="Angina Pectoris",E2074="Bronchial Asthma",E2074="Cardiac Arrhythmia"), D2074+30,
OR(E2074="Gastritis",E2074="Osteoarthritis",E2074="Bronchitis",E2074="Iron Deficiency Anemia"), D2074+14,
OR(E2074="Lumbar Strain",E2074="Migraine Headache"), D2074+7,
OR(E2074="Viral Fever",E2074="General Checkup","Routine Health Check"), "",
TRUE,""
)</f>
        <v/>
      </c>
      <c r="I2074" s="1" t="str">
        <f t="shared" si="64"/>
        <v>No Follow-up Required</v>
      </c>
      <c r="J2074" t="str">
        <f>TEXT(Table8[[#This Row],[visit_Date]],"DDDD")</f>
        <v>Tuesday</v>
      </c>
      <c r="K2074" t="str">
        <f>TEXT(Table8[[#This Row],[visit_Date]],"mmmm")</f>
        <v>May</v>
      </c>
      <c r="L2074" t="str">
        <f t="shared" si="65"/>
        <v>Summer</v>
      </c>
    </row>
    <row r="2075" spans="1:12" x14ac:dyDescent="0.25">
      <c r="A2075">
        <v>2074</v>
      </c>
      <c r="B2075">
        <v>1264</v>
      </c>
      <c r="C2075">
        <v>492</v>
      </c>
      <c r="D2075" s="1">
        <v>45694</v>
      </c>
      <c r="E2075" t="s">
        <v>24</v>
      </c>
      <c r="F2075" t="s">
        <v>321</v>
      </c>
      <c r="G2075" t="str">
        <f>_xlfn.XLOOKUP(TRIM(E2076),MedicineInfo!A:A,MedicineInfo!B:B,"Not Found")</f>
        <v>Multivitamin</v>
      </c>
      <c r="H2075" s="1" t="str" cm="1">
        <f t="array" ref="H2075">_xlfn.IFS(
OR(E2075="Type 2 Diabetes",E2075="Essential Hypertension",E2075="Angina Pectoris",E2075="Bronchial Asthma",E2075="Cardiac Arrhythmia"), D2075+30,
OR(E2075="Gastritis",E2075="Osteoarthritis",E2075="Bronchitis",E2075="Iron Deficiency Anemia"), D2075+14,
OR(E2075="Lumbar Strain",E2075="Migraine Headache"), D2075+7,
OR(E2075="Viral Fever",E2075="General Checkup","Routine Health Check"), "",
TRUE,""
)</f>
        <v/>
      </c>
      <c r="I2075" s="1" t="str">
        <f t="shared" si="64"/>
        <v>No Follow-up Required</v>
      </c>
      <c r="J2075" t="str">
        <f>TEXT(Table8[[#This Row],[visit_Date]],"DDDD")</f>
        <v>Thursday</v>
      </c>
      <c r="K2075" t="str">
        <f>TEXT(Table8[[#This Row],[visit_Date]],"mmmm")</f>
        <v>February</v>
      </c>
      <c r="L2075" t="str">
        <f t="shared" si="65"/>
        <v>Winter</v>
      </c>
    </row>
    <row r="2076" spans="1:12" x14ac:dyDescent="0.25">
      <c r="A2076">
        <v>2075</v>
      </c>
      <c r="B2076">
        <v>1287</v>
      </c>
      <c r="C2076">
        <v>808</v>
      </c>
      <c r="D2076" s="1">
        <v>45812</v>
      </c>
      <c r="E2076" t="s">
        <v>24</v>
      </c>
      <c r="F2076" t="s">
        <v>321</v>
      </c>
      <c r="G2076" t="str">
        <f>_xlfn.XLOOKUP(TRIM(E2077),MedicineInfo!A:A,MedicineInfo!B:B,"Not Found")</f>
        <v>Multivitamin</v>
      </c>
      <c r="H2076" s="1" t="str" cm="1">
        <f t="array" ref="H2076">_xlfn.IFS(
OR(E2076="Type 2 Diabetes",E2076="Essential Hypertension",E2076="Angina Pectoris",E2076="Bronchial Asthma",E2076="Cardiac Arrhythmia"), D2076+30,
OR(E2076="Gastritis",E2076="Osteoarthritis",E2076="Bronchitis",E2076="Iron Deficiency Anemia"), D2076+14,
OR(E2076="Lumbar Strain",E2076="Migraine Headache"), D2076+7,
OR(E2076="Viral Fever",E2076="General Checkup","Routine Health Check"), "",
TRUE,""
)</f>
        <v/>
      </c>
      <c r="I2076" s="1" t="str">
        <f t="shared" si="64"/>
        <v>No Follow-up Required</v>
      </c>
      <c r="J2076" t="str">
        <f>TEXT(Table8[[#This Row],[visit_Date]],"DDDD")</f>
        <v>Wednesday</v>
      </c>
      <c r="K2076" t="str">
        <f>TEXT(Table8[[#This Row],[visit_Date]],"mmmm")</f>
        <v>June</v>
      </c>
      <c r="L2076" t="str">
        <f t="shared" si="65"/>
        <v>Monsoon</v>
      </c>
    </row>
    <row r="2077" spans="1:12" x14ac:dyDescent="0.25">
      <c r="A2077">
        <v>2076</v>
      </c>
      <c r="B2077">
        <v>1351</v>
      </c>
      <c r="C2077">
        <v>213</v>
      </c>
      <c r="D2077" s="1">
        <v>45814</v>
      </c>
      <c r="E2077" t="s">
        <v>24</v>
      </c>
      <c r="F2077" t="s">
        <v>321</v>
      </c>
      <c r="G2077" t="str">
        <f>_xlfn.XLOOKUP(TRIM(E2078),MedicineInfo!A:A,MedicineInfo!B:B,"Not Found")</f>
        <v>Multivitamin</v>
      </c>
      <c r="H2077" s="1" t="str" cm="1">
        <f t="array" ref="H2077">_xlfn.IFS(
OR(E2077="Type 2 Diabetes",E2077="Essential Hypertension",E2077="Angina Pectoris",E2077="Bronchial Asthma",E2077="Cardiac Arrhythmia"), D2077+30,
OR(E2077="Gastritis",E2077="Osteoarthritis",E2077="Bronchitis",E2077="Iron Deficiency Anemia"), D2077+14,
OR(E2077="Lumbar Strain",E2077="Migraine Headache"), D2077+7,
OR(E2077="Viral Fever",E2077="General Checkup","Routine Health Check"), "",
TRUE,""
)</f>
        <v/>
      </c>
      <c r="I2077" s="1" t="str">
        <f t="shared" si="64"/>
        <v>No Follow-up Required</v>
      </c>
      <c r="J2077" t="str">
        <f>TEXT(Table8[[#This Row],[visit_Date]],"DDDD")</f>
        <v>Friday</v>
      </c>
      <c r="K2077" t="str">
        <f>TEXT(Table8[[#This Row],[visit_Date]],"mmmm")</f>
        <v>June</v>
      </c>
      <c r="L2077" t="str">
        <f t="shared" si="65"/>
        <v>Monsoon</v>
      </c>
    </row>
    <row r="2078" spans="1:12" x14ac:dyDescent="0.25">
      <c r="A2078">
        <v>2077</v>
      </c>
      <c r="B2078">
        <v>1383</v>
      </c>
      <c r="C2078">
        <v>889</v>
      </c>
      <c r="D2078" s="1">
        <v>45694</v>
      </c>
      <c r="E2078" t="s">
        <v>24</v>
      </c>
      <c r="F2078" t="s">
        <v>321</v>
      </c>
      <c r="G2078" t="str">
        <f>_xlfn.XLOOKUP(TRIM(E2079),MedicineInfo!A:A,MedicineInfo!B:B,"Not Found")</f>
        <v>Amoxicillin</v>
      </c>
      <c r="H2078" s="1" t="str" cm="1">
        <f t="array" ref="H2078">_xlfn.IFS(
OR(E2078="Type 2 Diabetes",E2078="Essential Hypertension",E2078="Angina Pectoris",E2078="Bronchial Asthma",E2078="Cardiac Arrhythmia"), D2078+30,
OR(E2078="Gastritis",E2078="Osteoarthritis",E2078="Bronchitis",E2078="Iron Deficiency Anemia"), D2078+14,
OR(E2078="Lumbar Strain",E2078="Migraine Headache"), D2078+7,
OR(E2078="Viral Fever",E2078="General Checkup","Routine Health Check"), "",
TRUE,""
)</f>
        <v/>
      </c>
      <c r="I2078" s="1" t="str">
        <f t="shared" si="64"/>
        <v>No Follow-up Required</v>
      </c>
      <c r="J2078" t="str">
        <f>TEXT(Table8[[#This Row],[visit_Date]],"DDDD")</f>
        <v>Thursday</v>
      </c>
      <c r="K2078" t="str">
        <f>TEXT(Table8[[#This Row],[visit_Date]],"mmmm")</f>
        <v>February</v>
      </c>
      <c r="L2078" t="str">
        <f t="shared" si="65"/>
        <v>Winter</v>
      </c>
    </row>
    <row r="2079" spans="1:12" x14ac:dyDescent="0.25">
      <c r="A2079">
        <v>2078</v>
      </c>
      <c r="B2079">
        <v>1216</v>
      </c>
      <c r="C2079">
        <v>1245</v>
      </c>
      <c r="D2079" s="1">
        <v>45669</v>
      </c>
      <c r="E2079" t="s">
        <v>346</v>
      </c>
      <c r="F2079" t="s">
        <v>347</v>
      </c>
      <c r="G2079" t="str">
        <f>_xlfn.XLOOKUP(TRIM(E2080),MedicineInfo!A:A,MedicineInfo!B:B,"Not Found")</f>
        <v>Multivitamin</v>
      </c>
      <c r="H2079" s="1" cm="1">
        <f t="array" ref="H2079">_xlfn.IFS(
OR(E2079="Type 2 Diabetes",E2079="Essential Hypertension",E2079="Angina Pectoris",E2079="Bronchial Asthma",E2079="Cardiac Arrhythmia"), D2079+30,
OR(E2079="Gastritis",E2079="Osteoarthritis",E2079="Bronchitis",E2079="Iron Deficiency Anemia"), D2079+14,
OR(E2079="Lumbar Strain",E2079="Migraine Headache"), D2079+7,
OR(E2079="Viral Fever",E2079="General Checkup","Routine Health Check"), "",
TRUE,""
)</f>
        <v>45683</v>
      </c>
      <c r="I2079" s="1" t="str">
        <f t="shared" si="64"/>
        <v>Follow-up Scheduled</v>
      </c>
      <c r="J2079" t="str">
        <f>TEXT(Table8[[#This Row],[visit_Date]],"DDDD")</f>
        <v>Sunday</v>
      </c>
      <c r="K2079" t="str">
        <f>TEXT(Table8[[#This Row],[visit_Date]],"mmmm")</f>
        <v>January</v>
      </c>
      <c r="L2079" t="str">
        <f t="shared" si="65"/>
        <v>Winter</v>
      </c>
    </row>
    <row r="2080" spans="1:12" x14ac:dyDescent="0.25">
      <c r="A2080">
        <v>2079</v>
      </c>
      <c r="B2080">
        <v>1239</v>
      </c>
      <c r="C2080">
        <v>1080</v>
      </c>
      <c r="D2080" s="1">
        <v>45767</v>
      </c>
      <c r="E2080" t="s">
        <v>24</v>
      </c>
      <c r="F2080" t="s">
        <v>321</v>
      </c>
      <c r="G2080" t="str">
        <f>_xlfn.XLOOKUP(TRIM(E2081),MedicineInfo!A:A,MedicineInfo!B:B,"Not Found")</f>
        <v>Folic Acid</v>
      </c>
      <c r="H2080" s="1" t="str" cm="1">
        <f t="array" ref="H2080">_xlfn.IFS(
OR(E2080="Type 2 Diabetes",E2080="Essential Hypertension",E2080="Angina Pectoris",E2080="Bronchial Asthma",E2080="Cardiac Arrhythmia"), D2080+30,
OR(E2080="Gastritis",E2080="Osteoarthritis",E2080="Bronchitis",E2080="Iron Deficiency Anemia"), D2080+14,
OR(E2080="Lumbar Strain",E2080="Migraine Headache"), D2080+7,
OR(E2080="Viral Fever",E2080="General Checkup","Routine Health Check"), "",
TRUE,""
)</f>
        <v/>
      </c>
      <c r="I2080" s="1" t="str">
        <f t="shared" si="64"/>
        <v>No Follow-up Required</v>
      </c>
      <c r="J2080" t="str">
        <f>TEXT(Table8[[#This Row],[visit_Date]],"DDDD")</f>
        <v>Sunday</v>
      </c>
      <c r="K2080" t="str">
        <f>TEXT(Table8[[#This Row],[visit_Date]],"mmmm")</f>
        <v>April</v>
      </c>
      <c r="L2080" t="str">
        <f t="shared" si="65"/>
        <v>Summer</v>
      </c>
    </row>
    <row r="2081" spans="1:12" x14ac:dyDescent="0.25">
      <c r="A2081">
        <v>2080</v>
      </c>
      <c r="B2081">
        <v>1053</v>
      </c>
      <c r="C2081">
        <v>490</v>
      </c>
      <c r="D2081" s="1">
        <v>45691</v>
      </c>
      <c r="E2081" t="s">
        <v>356</v>
      </c>
      <c r="F2081" t="s">
        <v>357</v>
      </c>
      <c r="G2081" t="str">
        <f>_xlfn.XLOOKUP(TRIM(E2082),MedicineInfo!A:A,MedicineInfo!B:B,"Not Found")</f>
        <v>Nitroglycerin</v>
      </c>
      <c r="H2081" s="1" t="str" cm="1">
        <f t="array" ref="H2081">_xlfn.IFS(
OR(E2081="Type 2 Diabetes",E2081="Essential Hypertension",E2081="Angina Pectoris",E2081="Bronchial Asthma",E2081="Cardiac Arrhythmia"), D2081+30,
OR(E2081="Gastritis",E2081="Osteoarthritis",E2081="Bronchitis",E2081="Iron Deficiency Anemia"), D2081+14,
OR(E2081="Lumbar Strain",E2081="Migraine Headache"), D2081+7,
OR(E2081="Viral Fever",E2081="General Checkup","Routine Health Check"), "",
TRUE,""
)</f>
        <v/>
      </c>
      <c r="I2081" s="1" t="str">
        <f t="shared" si="64"/>
        <v>No Follow-up Required</v>
      </c>
      <c r="J2081" t="str">
        <f>TEXT(Table8[[#This Row],[visit_Date]],"DDDD")</f>
        <v>Monday</v>
      </c>
      <c r="K2081" t="str">
        <f>TEXT(Table8[[#This Row],[visit_Date]],"mmmm")</f>
        <v>February</v>
      </c>
      <c r="L2081" t="str">
        <f t="shared" si="65"/>
        <v>Winter</v>
      </c>
    </row>
    <row r="2082" spans="1:12" x14ac:dyDescent="0.25">
      <c r="A2082">
        <v>2081</v>
      </c>
      <c r="B2082">
        <v>1173</v>
      </c>
      <c r="C2082">
        <v>377</v>
      </c>
      <c r="D2082" s="1">
        <v>45817</v>
      </c>
      <c r="E2082" t="s">
        <v>322</v>
      </c>
      <c r="F2082" t="s">
        <v>323</v>
      </c>
      <c r="G2082" t="str">
        <f>_xlfn.XLOOKUP(TRIM(E2083),MedicineInfo!A:A,MedicineInfo!B:B,"Not Found")</f>
        <v>Multivitamin</v>
      </c>
      <c r="H2082" s="1" cm="1">
        <f t="array" ref="H2082">_xlfn.IFS(
OR(E2082="Type 2 Diabetes",E2082="Essential Hypertension",E2082="Angina Pectoris",E2082="Bronchial Asthma",E2082="Cardiac Arrhythmia"), D2082+30,
OR(E2082="Gastritis",E2082="Osteoarthritis",E2082="Bronchitis",E2082="Iron Deficiency Anemia"), D2082+14,
OR(E2082="Lumbar Strain",E2082="Migraine Headache"), D2082+7,
OR(E2082="Viral Fever",E2082="General Checkup","Routine Health Check"), "",
TRUE,""
)</f>
        <v>45847</v>
      </c>
      <c r="I2082" s="1" t="str">
        <f t="shared" si="64"/>
        <v>Follow-up Scheduled</v>
      </c>
      <c r="J2082" t="str">
        <f>TEXT(Table8[[#This Row],[visit_Date]],"DDDD")</f>
        <v>Monday</v>
      </c>
      <c r="K2082" t="str">
        <f>TEXT(Table8[[#This Row],[visit_Date]],"mmmm")</f>
        <v>June</v>
      </c>
      <c r="L2082" t="str">
        <f t="shared" si="65"/>
        <v>Monsoon</v>
      </c>
    </row>
    <row r="2083" spans="1:12" x14ac:dyDescent="0.25">
      <c r="A2083">
        <v>2082</v>
      </c>
      <c r="B2083">
        <v>1023</v>
      </c>
      <c r="C2083">
        <v>1167</v>
      </c>
      <c r="D2083" s="1">
        <v>45764</v>
      </c>
      <c r="E2083" t="s">
        <v>24</v>
      </c>
      <c r="F2083" t="s">
        <v>321</v>
      </c>
      <c r="G2083" t="str">
        <f>_xlfn.XLOOKUP(TRIM(E2084),MedicineInfo!A:A,MedicineInfo!B:B,"Not Found")</f>
        <v>Multivitamin</v>
      </c>
      <c r="H2083" s="1" t="str" cm="1">
        <f t="array" ref="H2083">_xlfn.IFS(
OR(E2083="Type 2 Diabetes",E2083="Essential Hypertension",E2083="Angina Pectoris",E2083="Bronchial Asthma",E2083="Cardiac Arrhythmia"), D2083+30,
OR(E2083="Gastritis",E2083="Osteoarthritis",E2083="Bronchitis",E2083="Iron Deficiency Anemia"), D2083+14,
OR(E2083="Lumbar Strain",E2083="Migraine Headache"), D2083+7,
OR(E2083="Viral Fever",E2083="General Checkup","Routine Health Check"), "",
TRUE,""
)</f>
        <v/>
      </c>
      <c r="I2083" s="1" t="str">
        <f t="shared" si="64"/>
        <v>No Follow-up Required</v>
      </c>
      <c r="J2083" t="str">
        <f>TEXT(Table8[[#This Row],[visit_Date]],"DDDD")</f>
        <v>Thursday</v>
      </c>
      <c r="K2083" t="str">
        <f>TEXT(Table8[[#This Row],[visit_Date]],"mmmm")</f>
        <v>April</v>
      </c>
      <c r="L2083" t="str">
        <f t="shared" si="65"/>
        <v>Summer</v>
      </c>
    </row>
    <row r="2084" spans="1:12" x14ac:dyDescent="0.25">
      <c r="A2084">
        <v>2083</v>
      </c>
      <c r="B2084">
        <v>1213</v>
      </c>
      <c r="C2084">
        <v>528</v>
      </c>
      <c r="D2084" s="1">
        <v>45768</v>
      </c>
      <c r="E2084" t="s">
        <v>24</v>
      </c>
      <c r="F2084" t="s">
        <v>321</v>
      </c>
      <c r="G2084" t="str">
        <f>_xlfn.XLOOKUP(TRIM(E2085),MedicineInfo!A:A,MedicineInfo!B:B,"Not Found")</f>
        <v>Multivitamin</v>
      </c>
      <c r="H2084" s="1" t="str" cm="1">
        <f t="array" ref="H2084">_xlfn.IFS(
OR(E2084="Type 2 Diabetes",E2084="Essential Hypertension",E2084="Angina Pectoris",E2084="Bronchial Asthma",E2084="Cardiac Arrhythmia"), D2084+30,
OR(E2084="Gastritis",E2084="Osteoarthritis",E2084="Bronchitis",E2084="Iron Deficiency Anemia"), D2084+14,
OR(E2084="Lumbar Strain",E2084="Migraine Headache"), D2084+7,
OR(E2084="Viral Fever",E2084="General Checkup","Routine Health Check"), "",
TRUE,""
)</f>
        <v/>
      </c>
      <c r="I2084" s="1" t="str">
        <f t="shared" si="64"/>
        <v>No Follow-up Required</v>
      </c>
      <c r="J2084" t="str">
        <f>TEXT(Table8[[#This Row],[visit_Date]],"DDDD")</f>
        <v>Monday</v>
      </c>
      <c r="K2084" t="str">
        <f>TEXT(Table8[[#This Row],[visit_Date]],"mmmm")</f>
        <v>April</v>
      </c>
      <c r="L2084" t="str">
        <f t="shared" si="65"/>
        <v>Summer</v>
      </c>
    </row>
    <row r="2085" spans="1:12" x14ac:dyDescent="0.25">
      <c r="A2085">
        <v>2084</v>
      </c>
      <c r="B2085">
        <v>1100</v>
      </c>
      <c r="C2085">
        <v>801</v>
      </c>
      <c r="D2085" s="1">
        <v>45731</v>
      </c>
      <c r="E2085" t="s">
        <v>24</v>
      </c>
      <c r="F2085" t="s">
        <v>321</v>
      </c>
      <c r="G2085" t="str">
        <f>_xlfn.XLOOKUP(TRIM(E2086),MedicineInfo!A:A,MedicineInfo!B:B,"Not Found")</f>
        <v>Multivitamin</v>
      </c>
      <c r="H2085" s="1" t="str" cm="1">
        <f t="array" ref="H2085">_xlfn.IFS(
OR(E2085="Type 2 Diabetes",E2085="Essential Hypertension",E2085="Angina Pectoris",E2085="Bronchial Asthma",E2085="Cardiac Arrhythmia"), D2085+30,
OR(E2085="Gastritis",E2085="Osteoarthritis",E2085="Bronchitis",E2085="Iron Deficiency Anemia"), D2085+14,
OR(E2085="Lumbar Strain",E2085="Migraine Headache"), D2085+7,
OR(E2085="Viral Fever",E2085="General Checkup","Routine Health Check"), "",
TRUE,""
)</f>
        <v/>
      </c>
      <c r="I2085" s="1" t="str">
        <f t="shared" si="64"/>
        <v>No Follow-up Required</v>
      </c>
      <c r="J2085" t="str">
        <f>TEXT(Table8[[#This Row],[visit_Date]],"DDDD")</f>
        <v>Saturday</v>
      </c>
      <c r="K2085" t="str">
        <f>TEXT(Table8[[#This Row],[visit_Date]],"mmmm")</f>
        <v>March</v>
      </c>
      <c r="L2085" t="str">
        <f t="shared" si="65"/>
        <v>Summer</v>
      </c>
    </row>
    <row r="2086" spans="1:12" x14ac:dyDescent="0.25">
      <c r="A2086">
        <v>2085</v>
      </c>
      <c r="B2086">
        <v>1182</v>
      </c>
      <c r="C2086">
        <v>456</v>
      </c>
      <c r="D2086" s="1">
        <v>45762</v>
      </c>
      <c r="E2086" t="s">
        <v>24</v>
      </c>
      <c r="F2086" t="s">
        <v>321</v>
      </c>
      <c r="G2086" t="str">
        <f>_xlfn.XLOOKUP(TRIM(E2087),MedicineInfo!A:A,MedicineInfo!B:B,"Not Found")</f>
        <v>Multivitamin</v>
      </c>
      <c r="H2086" s="1" t="str" cm="1">
        <f t="array" ref="H2086">_xlfn.IFS(
OR(E2086="Type 2 Diabetes",E2086="Essential Hypertension",E2086="Angina Pectoris",E2086="Bronchial Asthma",E2086="Cardiac Arrhythmia"), D2086+30,
OR(E2086="Gastritis",E2086="Osteoarthritis",E2086="Bronchitis",E2086="Iron Deficiency Anemia"), D2086+14,
OR(E2086="Lumbar Strain",E2086="Migraine Headache"), D2086+7,
OR(E2086="Viral Fever",E2086="General Checkup","Routine Health Check"), "",
TRUE,""
)</f>
        <v/>
      </c>
      <c r="I2086" s="1" t="str">
        <f t="shared" si="64"/>
        <v>No Follow-up Required</v>
      </c>
      <c r="J2086" t="str">
        <f>TEXT(Table8[[#This Row],[visit_Date]],"DDDD")</f>
        <v>Tuesday</v>
      </c>
      <c r="K2086" t="str">
        <f>TEXT(Table8[[#This Row],[visit_Date]],"mmmm")</f>
        <v>April</v>
      </c>
      <c r="L2086" t="str">
        <f t="shared" si="65"/>
        <v>Summer</v>
      </c>
    </row>
    <row r="2087" spans="1:12" x14ac:dyDescent="0.25">
      <c r="A2087">
        <v>2086</v>
      </c>
      <c r="B2087">
        <v>1196</v>
      </c>
      <c r="C2087">
        <v>313</v>
      </c>
      <c r="D2087" s="1">
        <v>45751</v>
      </c>
      <c r="E2087" t="s">
        <v>24</v>
      </c>
      <c r="F2087" t="s">
        <v>321</v>
      </c>
      <c r="G2087" t="str">
        <f>_xlfn.XLOOKUP(TRIM(E2088),MedicineInfo!A:A,MedicineInfo!B:B,"Not Found")</f>
        <v>Multivitamin</v>
      </c>
      <c r="H2087" s="1" t="str" cm="1">
        <f t="array" ref="H2087">_xlfn.IFS(
OR(E2087="Type 2 Diabetes",E2087="Essential Hypertension",E2087="Angina Pectoris",E2087="Bronchial Asthma",E2087="Cardiac Arrhythmia"), D2087+30,
OR(E2087="Gastritis",E2087="Osteoarthritis",E2087="Bronchitis",E2087="Iron Deficiency Anemia"), D2087+14,
OR(E2087="Lumbar Strain",E2087="Migraine Headache"), D2087+7,
OR(E2087="Viral Fever",E2087="General Checkup","Routine Health Check"), "",
TRUE,""
)</f>
        <v/>
      </c>
      <c r="I2087" s="1" t="str">
        <f t="shared" si="64"/>
        <v>No Follow-up Required</v>
      </c>
      <c r="J2087" t="str">
        <f>TEXT(Table8[[#This Row],[visit_Date]],"DDDD")</f>
        <v>Friday</v>
      </c>
      <c r="K2087" t="str">
        <f>TEXT(Table8[[#This Row],[visit_Date]],"mmmm")</f>
        <v>April</v>
      </c>
      <c r="L2087" t="str">
        <f t="shared" si="65"/>
        <v>Summer</v>
      </c>
    </row>
    <row r="2088" spans="1:12" x14ac:dyDescent="0.25">
      <c r="A2088">
        <v>2087</v>
      </c>
      <c r="B2088">
        <v>1321</v>
      </c>
      <c r="C2088">
        <v>105</v>
      </c>
      <c r="D2088" s="1">
        <v>45747</v>
      </c>
      <c r="E2088" t="s">
        <v>24</v>
      </c>
      <c r="F2088" t="s">
        <v>321</v>
      </c>
      <c r="G2088" t="str">
        <f>_xlfn.XLOOKUP(TRIM(E2089),MedicineInfo!A:A,MedicineInfo!B:B,"Not Found")</f>
        <v>Nitroglycerin</v>
      </c>
      <c r="H2088" s="1" t="str" cm="1">
        <f t="array" ref="H2088">_xlfn.IFS(
OR(E2088="Type 2 Diabetes",E2088="Essential Hypertension",E2088="Angina Pectoris",E2088="Bronchial Asthma",E2088="Cardiac Arrhythmia"), D2088+30,
OR(E2088="Gastritis",E2088="Osteoarthritis",E2088="Bronchitis",E2088="Iron Deficiency Anemia"), D2088+14,
OR(E2088="Lumbar Strain",E2088="Migraine Headache"), D2088+7,
OR(E2088="Viral Fever",E2088="General Checkup","Routine Health Check"), "",
TRUE,""
)</f>
        <v/>
      </c>
      <c r="I2088" s="1" t="str">
        <f t="shared" si="64"/>
        <v>No Follow-up Required</v>
      </c>
      <c r="J2088" t="str">
        <f>TEXT(Table8[[#This Row],[visit_Date]],"DDDD")</f>
        <v>Monday</v>
      </c>
      <c r="K2088" t="str">
        <f>TEXT(Table8[[#This Row],[visit_Date]],"mmmm")</f>
        <v>March</v>
      </c>
      <c r="L2088" t="str">
        <f t="shared" si="65"/>
        <v>Summer</v>
      </c>
    </row>
    <row r="2089" spans="1:12" x14ac:dyDescent="0.25">
      <c r="A2089">
        <v>2088</v>
      </c>
      <c r="B2089">
        <v>1397</v>
      </c>
      <c r="C2089">
        <v>1370</v>
      </c>
      <c r="D2089" s="1">
        <v>45713</v>
      </c>
      <c r="E2089" t="s">
        <v>322</v>
      </c>
      <c r="F2089" t="s">
        <v>323</v>
      </c>
      <c r="G2089" t="str">
        <f>_xlfn.XLOOKUP(TRIM(E2090),MedicineInfo!A:A,MedicineInfo!B:B,"Not Found")</f>
        <v>Multivitamin</v>
      </c>
      <c r="H2089" s="1" cm="1">
        <f t="array" ref="H2089">_xlfn.IFS(
OR(E2089="Type 2 Diabetes",E2089="Essential Hypertension",E2089="Angina Pectoris",E2089="Bronchial Asthma",E2089="Cardiac Arrhythmia"), D2089+30,
OR(E2089="Gastritis",E2089="Osteoarthritis",E2089="Bronchitis",E2089="Iron Deficiency Anemia"), D2089+14,
OR(E2089="Lumbar Strain",E2089="Migraine Headache"), D2089+7,
OR(E2089="Viral Fever",E2089="General Checkup","Routine Health Check"), "",
TRUE,""
)</f>
        <v>45743</v>
      </c>
      <c r="I2089" s="1" t="str">
        <f t="shared" si="64"/>
        <v>Follow-up Scheduled</v>
      </c>
      <c r="J2089" t="str">
        <f>TEXT(Table8[[#This Row],[visit_Date]],"DDDD")</f>
        <v>Tuesday</v>
      </c>
      <c r="K2089" t="str">
        <f>TEXT(Table8[[#This Row],[visit_Date]],"mmmm")</f>
        <v>February</v>
      </c>
      <c r="L2089" t="str">
        <f t="shared" si="65"/>
        <v>Winter</v>
      </c>
    </row>
    <row r="2090" spans="1:12" x14ac:dyDescent="0.25">
      <c r="A2090">
        <v>2089</v>
      </c>
      <c r="B2090">
        <v>1097</v>
      </c>
      <c r="C2090">
        <v>574</v>
      </c>
      <c r="D2090" s="1">
        <v>45680</v>
      </c>
      <c r="E2090" t="s">
        <v>24</v>
      </c>
      <c r="F2090" t="s">
        <v>321</v>
      </c>
      <c r="G2090" t="str">
        <f>_xlfn.XLOOKUP(TRIM(E2091),MedicineInfo!A:A,MedicineInfo!B:B,"Not Found")</f>
        <v>Multivitamin</v>
      </c>
      <c r="H2090" s="1" t="str" cm="1">
        <f t="array" ref="H2090">_xlfn.IFS(
OR(E2090="Type 2 Diabetes",E2090="Essential Hypertension",E2090="Angina Pectoris",E2090="Bronchial Asthma",E2090="Cardiac Arrhythmia"), D2090+30,
OR(E2090="Gastritis",E2090="Osteoarthritis",E2090="Bronchitis",E2090="Iron Deficiency Anemia"), D2090+14,
OR(E2090="Lumbar Strain",E2090="Migraine Headache"), D2090+7,
OR(E2090="Viral Fever",E2090="General Checkup","Routine Health Check"), "",
TRUE,""
)</f>
        <v/>
      </c>
      <c r="I2090" s="1" t="str">
        <f t="shared" si="64"/>
        <v>No Follow-up Required</v>
      </c>
      <c r="J2090" t="str">
        <f>TEXT(Table8[[#This Row],[visit_Date]],"DDDD")</f>
        <v>Thursday</v>
      </c>
      <c r="K2090" t="str">
        <f>TEXT(Table8[[#This Row],[visit_Date]],"mmmm")</f>
        <v>January</v>
      </c>
      <c r="L2090" t="str">
        <f t="shared" si="65"/>
        <v>Winter</v>
      </c>
    </row>
    <row r="2091" spans="1:12" x14ac:dyDescent="0.25">
      <c r="A2091">
        <v>2090</v>
      </c>
      <c r="B2091">
        <v>1319</v>
      </c>
      <c r="C2091">
        <v>512</v>
      </c>
      <c r="D2091" s="1">
        <v>45799</v>
      </c>
      <c r="E2091" t="s">
        <v>24</v>
      </c>
      <c r="F2091" t="s">
        <v>321</v>
      </c>
      <c r="G2091" t="str">
        <f>_xlfn.XLOOKUP(TRIM(E2092),MedicineInfo!A:A,MedicineInfo!B:B,"Not Found")</f>
        <v>Multivitamin</v>
      </c>
      <c r="H2091" s="1" t="str" cm="1">
        <f t="array" ref="H2091">_xlfn.IFS(
OR(E2091="Type 2 Diabetes",E2091="Essential Hypertension",E2091="Angina Pectoris",E2091="Bronchial Asthma",E2091="Cardiac Arrhythmia"), D2091+30,
OR(E2091="Gastritis",E2091="Osteoarthritis",E2091="Bronchitis",E2091="Iron Deficiency Anemia"), D2091+14,
OR(E2091="Lumbar Strain",E2091="Migraine Headache"), D2091+7,
OR(E2091="Viral Fever",E2091="General Checkup","Routine Health Check"), "",
TRUE,""
)</f>
        <v/>
      </c>
      <c r="I2091" s="1" t="str">
        <f t="shared" si="64"/>
        <v>No Follow-up Required</v>
      </c>
      <c r="J2091" t="str">
        <f>TEXT(Table8[[#This Row],[visit_Date]],"DDDD")</f>
        <v>Thursday</v>
      </c>
      <c r="K2091" t="str">
        <f>TEXT(Table8[[#This Row],[visit_Date]],"mmmm")</f>
        <v>May</v>
      </c>
      <c r="L2091" t="str">
        <f t="shared" si="65"/>
        <v>Summer</v>
      </c>
    </row>
    <row r="2092" spans="1:12" x14ac:dyDescent="0.25">
      <c r="A2092">
        <v>2091</v>
      </c>
      <c r="B2092">
        <v>1054</v>
      </c>
      <c r="C2092">
        <v>837</v>
      </c>
      <c r="D2092" s="1">
        <v>45718</v>
      </c>
      <c r="E2092" t="s">
        <v>24</v>
      </c>
      <c r="F2092" t="s">
        <v>321</v>
      </c>
      <c r="G2092" t="str">
        <f>_xlfn.XLOOKUP(TRIM(E2093),MedicineInfo!A:A,MedicineInfo!B:B,"Not Found")</f>
        <v>Multivitamin</v>
      </c>
      <c r="H2092" s="1" t="str" cm="1">
        <f t="array" ref="H2092">_xlfn.IFS(
OR(E2092="Type 2 Diabetes",E2092="Essential Hypertension",E2092="Angina Pectoris",E2092="Bronchial Asthma",E2092="Cardiac Arrhythmia"), D2092+30,
OR(E2092="Gastritis",E2092="Osteoarthritis",E2092="Bronchitis",E2092="Iron Deficiency Anemia"), D2092+14,
OR(E2092="Lumbar Strain",E2092="Migraine Headache"), D2092+7,
OR(E2092="Viral Fever",E2092="General Checkup","Routine Health Check"), "",
TRUE,""
)</f>
        <v/>
      </c>
      <c r="I2092" s="1" t="str">
        <f t="shared" si="64"/>
        <v>No Follow-up Required</v>
      </c>
      <c r="J2092" t="str">
        <f>TEXT(Table8[[#This Row],[visit_Date]],"DDDD")</f>
        <v>Sunday</v>
      </c>
      <c r="K2092" t="str">
        <f>TEXT(Table8[[#This Row],[visit_Date]],"mmmm")</f>
        <v>March</v>
      </c>
      <c r="L2092" t="str">
        <f t="shared" si="65"/>
        <v>Summer</v>
      </c>
    </row>
    <row r="2093" spans="1:12" x14ac:dyDescent="0.25">
      <c r="A2093">
        <v>2092</v>
      </c>
      <c r="B2093">
        <v>1302</v>
      </c>
      <c r="C2093">
        <v>665</v>
      </c>
      <c r="D2093" s="1">
        <v>45843</v>
      </c>
      <c r="E2093" t="s">
        <v>24</v>
      </c>
      <c r="F2093" t="s">
        <v>321</v>
      </c>
      <c r="G2093" t="str">
        <f>_xlfn.XLOOKUP(TRIM(E2094),MedicineInfo!A:A,MedicineInfo!B:B,"Not Found")</f>
        <v>Not Found</v>
      </c>
      <c r="H2093" s="1" t="str" cm="1">
        <f t="array" ref="H2093">_xlfn.IFS(
OR(E2093="Type 2 Diabetes",E2093="Essential Hypertension",E2093="Angina Pectoris",E2093="Bronchial Asthma",E2093="Cardiac Arrhythmia"), D2093+30,
OR(E2093="Gastritis",E2093="Osteoarthritis",E2093="Bronchitis",E2093="Iron Deficiency Anemia"), D2093+14,
OR(E2093="Lumbar Strain",E2093="Migraine Headache"), D2093+7,
OR(E2093="Viral Fever",E2093="General Checkup","Routine Health Check"), "",
TRUE,""
)</f>
        <v/>
      </c>
      <c r="I2093" s="1" t="str">
        <f t="shared" si="64"/>
        <v>No Follow-up Required</v>
      </c>
      <c r="J2093" t="str">
        <f>TEXT(Table8[[#This Row],[visit_Date]],"DDDD")</f>
        <v>Saturday</v>
      </c>
      <c r="K2093" t="str">
        <f>TEXT(Table8[[#This Row],[visit_Date]],"mmmm")</f>
        <v>July</v>
      </c>
      <c r="L2093" t="str">
        <f t="shared" si="65"/>
        <v>Monsoon</v>
      </c>
    </row>
    <row r="2094" spans="1:12" x14ac:dyDescent="0.25">
      <c r="A2094">
        <v>2093</v>
      </c>
      <c r="B2094">
        <v>1277</v>
      </c>
      <c r="C2094">
        <v>635</v>
      </c>
      <c r="D2094" s="1">
        <v>45691</v>
      </c>
      <c r="E2094" t="s">
        <v>340</v>
      </c>
      <c r="F2094" t="s">
        <v>341</v>
      </c>
      <c r="G2094" t="str">
        <f>_xlfn.XLOOKUP(TRIM(E2095),MedicineInfo!A:A,MedicineInfo!B:B,"Not Found")</f>
        <v>Multivitamin</v>
      </c>
      <c r="H2094" s="1" t="str" cm="1">
        <f t="array" ref="H2094">_xlfn.IFS(
OR(E2094="Type 2 Diabetes",E2094="Essential Hypertension",E2094="Angina Pectoris",E2094="Bronchial Asthma",E2094="Cardiac Arrhythmia"), D2094+30,
OR(E2094="Gastritis",E2094="Osteoarthritis",E2094="Bronchitis",E2094="Iron Deficiency Anemia"), D2094+14,
OR(E2094="Lumbar Strain",E2094="Migraine Headache"), D2094+7,
OR(E2094="Viral Fever",E2094="General Checkup","Routine Health Check"), "",
TRUE,""
)</f>
        <v/>
      </c>
      <c r="I2094" s="1" t="str">
        <f t="shared" si="64"/>
        <v>No Follow-up Required</v>
      </c>
      <c r="J2094" t="str">
        <f>TEXT(Table8[[#This Row],[visit_Date]],"DDDD")</f>
        <v>Monday</v>
      </c>
      <c r="K2094" t="str">
        <f>TEXT(Table8[[#This Row],[visit_Date]],"mmmm")</f>
        <v>February</v>
      </c>
      <c r="L2094" t="str">
        <f t="shared" si="65"/>
        <v>Winter</v>
      </c>
    </row>
    <row r="2095" spans="1:12" x14ac:dyDescent="0.25">
      <c r="A2095">
        <v>2094</v>
      </c>
      <c r="B2095">
        <v>1238</v>
      </c>
      <c r="C2095">
        <v>194</v>
      </c>
      <c r="D2095" s="1">
        <v>45814</v>
      </c>
      <c r="E2095" t="s">
        <v>24</v>
      </c>
      <c r="F2095" t="s">
        <v>321</v>
      </c>
      <c r="G2095" t="str">
        <f>_xlfn.XLOOKUP(TRIM(E2096),MedicineInfo!A:A,MedicineInfo!B:B,"Not Found")</f>
        <v>Multivitamin</v>
      </c>
      <c r="H2095" s="1" t="str" cm="1">
        <f t="array" ref="H2095">_xlfn.IFS(
OR(E2095="Type 2 Diabetes",E2095="Essential Hypertension",E2095="Angina Pectoris",E2095="Bronchial Asthma",E2095="Cardiac Arrhythmia"), D2095+30,
OR(E2095="Gastritis",E2095="Osteoarthritis",E2095="Bronchitis",E2095="Iron Deficiency Anemia"), D2095+14,
OR(E2095="Lumbar Strain",E2095="Migraine Headache"), D2095+7,
OR(E2095="Viral Fever",E2095="General Checkup","Routine Health Check"), "",
TRUE,""
)</f>
        <v/>
      </c>
      <c r="I2095" s="1" t="str">
        <f t="shared" si="64"/>
        <v>No Follow-up Required</v>
      </c>
      <c r="J2095" t="str">
        <f>TEXT(Table8[[#This Row],[visit_Date]],"DDDD")</f>
        <v>Friday</v>
      </c>
      <c r="K2095" t="str">
        <f>TEXT(Table8[[#This Row],[visit_Date]],"mmmm")</f>
        <v>June</v>
      </c>
      <c r="L2095" t="str">
        <f t="shared" si="65"/>
        <v>Monsoon</v>
      </c>
    </row>
    <row r="2096" spans="1:12" x14ac:dyDescent="0.25">
      <c r="A2096">
        <v>2095</v>
      </c>
      <c r="B2096">
        <v>1087</v>
      </c>
      <c r="C2096">
        <v>1186</v>
      </c>
      <c r="D2096" s="1">
        <v>45782</v>
      </c>
      <c r="E2096" t="s">
        <v>24</v>
      </c>
      <c r="F2096" t="s">
        <v>321</v>
      </c>
      <c r="G2096" t="str">
        <f>_xlfn.XLOOKUP(TRIM(E2097),MedicineInfo!A:A,MedicineInfo!B:B,"Not Found")</f>
        <v>Cefixime</v>
      </c>
      <c r="H2096" s="1" t="str" cm="1">
        <f t="array" ref="H2096">_xlfn.IFS(
OR(E2096="Type 2 Diabetes",E2096="Essential Hypertension",E2096="Angina Pectoris",E2096="Bronchial Asthma",E2096="Cardiac Arrhythmia"), D2096+30,
OR(E2096="Gastritis",E2096="Osteoarthritis",E2096="Bronchitis",E2096="Iron Deficiency Anemia"), D2096+14,
OR(E2096="Lumbar Strain",E2096="Migraine Headache"), D2096+7,
OR(E2096="Viral Fever",E2096="General Checkup","Routine Health Check"), "",
TRUE,""
)</f>
        <v/>
      </c>
      <c r="I2096" s="1" t="str">
        <f t="shared" si="64"/>
        <v>No Follow-up Required</v>
      </c>
      <c r="J2096" t="str">
        <f>TEXT(Table8[[#This Row],[visit_Date]],"DDDD")</f>
        <v>Monday</v>
      </c>
      <c r="K2096" t="str">
        <f>TEXT(Table8[[#This Row],[visit_Date]],"mmmm")</f>
        <v>May</v>
      </c>
      <c r="L2096" t="str">
        <f t="shared" si="65"/>
        <v>Summer</v>
      </c>
    </row>
    <row r="2097" spans="1:12" x14ac:dyDescent="0.25">
      <c r="A2097">
        <v>2096</v>
      </c>
      <c r="B2097">
        <v>1130</v>
      </c>
      <c r="C2097">
        <v>1002</v>
      </c>
      <c r="D2097" s="1">
        <v>45792</v>
      </c>
      <c r="E2097" t="s">
        <v>354</v>
      </c>
      <c r="F2097" t="s">
        <v>355</v>
      </c>
      <c r="G2097" t="str">
        <f>_xlfn.XLOOKUP(TRIM(E2098),MedicineInfo!A:A,MedicineInfo!B:B,"Not Found")</f>
        <v>Multivitamin</v>
      </c>
      <c r="H2097" s="1" t="str" cm="1">
        <f t="array" ref="H2097">_xlfn.IFS(
OR(E2097="Type 2 Diabetes",E2097="Essential Hypertension",E2097="Angina Pectoris",E2097="Bronchial Asthma",E2097="Cardiac Arrhythmia"), D2097+30,
OR(E2097="Gastritis",E2097="Osteoarthritis",E2097="Bronchitis",E2097="Iron Deficiency Anemia"), D2097+14,
OR(E2097="Lumbar Strain",E2097="Migraine Headache"), D2097+7,
OR(E2097="Viral Fever",E2097="General Checkup","Routine Health Check"), "",
TRUE,""
)</f>
        <v/>
      </c>
      <c r="I2097" s="1" t="str">
        <f t="shared" si="64"/>
        <v>No Follow-up Required</v>
      </c>
      <c r="J2097" t="str">
        <f>TEXT(Table8[[#This Row],[visit_Date]],"DDDD")</f>
        <v>Thursday</v>
      </c>
      <c r="K2097" t="str">
        <f>TEXT(Table8[[#This Row],[visit_Date]],"mmmm")</f>
        <v>May</v>
      </c>
      <c r="L2097" t="str">
        <f t="shared" si="65"/>
        <v>Summer</v>
      </c>
    </row>
    <row r="2098" spans="1:12" x14ac:dyDescent="0.25">
      <c r="A2098">
        <v>2097</v>
      </c>
      <c r="B2098">
        <v>1223</v>
      </c>
      <c r="C2098">
        <v>106</v>
      </c>
      <c r="D2098" s="1">
        <v>45783</v>
      </c>
      <c r="E2098" t="s">
        <v>24</v>
      </c>
      <c r="F2098" t="s">
        <v>321</v>
      </c>
      <c r="G2098" t="str">
        <f>_xlfn.XLOOKUP(TRIM(E2099),MedicineInfo!A:A,MedicineInfo!B:B,"Not Found")</f>
        <v>Multivitamin</v>
      </c>
      <c r="H2098" s="1" t="str" cm="1">
        <f t="array" ref="H2098">_xlfn.IFS(
OR(E2098="Type 2 Diabetes",E2098="Essential Hypertension",E2098="Angina Pectoris",E2098="Bronchial Asthma",E2098="Cardiac Arrhythmia"), D2098+30,
OR(E2098="Gastritis",E2098="Osteoarthritis",E2098="Bronchitis",E2098="Iron Deficiency Anemia"), D2098+14,
OR(E2098="Lumbar Strain",E2098="Migraine Headache"), D2098+7,
OR(E2098="Viral Fever",E2098="General Checkup","Routine Health Check"), "",
TRUE,""
)</f>
        <v/>
      </c>
      <c r="I2098" s="1" t="str">
        <f t="shared" si="64"/>
        <v>No Follow-up Required</v>
      </c>
      <c r="J2098" t="str">
        <f>TEXT(Table8[[#This Row],[visit_Date]],"DDDD")</f>
        <v>Tuesday</v>
      </c>
      <c r="K2098" t="str">
        <f>TEXT(Table8[[#This Row],[visit_Date]],"mmmm")</f>
        <v>May</v>
      </c>
      <c r="L2098" t="str">
        <f t="shared" si="65"/>
        <v>Summer</v>
      </c>
    </row>
    <row r="2099" spans="1:12" x14ac:dyDescent="0.25">
      <c r="A2099">
        <v>2098</v>
      </c>
      <c r="B2099">
        <v>1351</v>
      </c>
      <c r="C2099">
        <v>121</v>
      </c>
      <c r="D2099" s="1">
        <v>45843</v>
      </c>
      <c r="E2099" t="s">
        <v>24</v>
      </c>
      <c r="F2099" t="s">
        <v>321</v>
      </c>
      <c r="G2099" t="str">
        <f>_xlfn.XLOOKUP(TRIM(E2100),MedicineInfo!A:A,MedicineInfo!B:B,"Not Found")</f>
        <v>Calcium Supplement</v>
      </c>
      <c r="H2099" s="1" t="str" cm="1">
        <f t="array" ref="H2099">_xlfn.IFS(
OR(E2099="Type 2 Diabetes",E2099="Essential Hypertension",E2099="Angina Pectoris",E2099="Bronchial Asthma",E2099="Cardiac Arrhythmia"), D2099+30,
OR(E2099="Gastritis",E2099="Osteoarthritis",E2099="Bronchitis",E2099="Iron Deficiency Anemia"), D2099+14,
OR(E2099="Lumbar Strain",E2099="Migraine Headache"), D2099+7,
OR(E2099="Viral Fever",E2099="General Checkup","Routine Health Check"), "",
TRUE,""
)</f>
        <v/>
      </c>
      <c r="I2099" s="1" t="str">
        <f t="shared" si="64"/>
        <v>No Follow-up Required</v>
      </c>
      <c r="J2099" t="str">
        <f>TEXT(Table8[[#This Row],[visit_Date]],"DDDD")</f>
        <v>Saturday</v>
      </c>
      <c r="K2099" t="str">
        <f>TEXT(Table8[[#This Row],[visit_Date]],"mmmm")</f>
        <v>July</v>
      </c>
      <c r="L2099" t="str">
        <f t="shared" si="65"/>
        <v>Monsoon</v>
      </c>
    </row>
    <row r="2100" spans="1:12" x14ac:dyDescent="0.25">
      <c r="A2100">
        <v>2099</v>
      </c>
      <c r="B2100">
        <v>1345</v>
      </c>
      <c r="C2100">
        <v>361</v>
      </c>
      <c r="D2100" s="1">
        <v>45792</v>
      </c>
      <c r="E2100" t="s">
        <v>336</v>
      </c>
      <c r="F2100" t="s">
        <v>337</v>
      </c>
      <c r="G2100" t="str">
        <f>_xlfn.XLOOKUP(TRIM(E2101),MedicineInfo!A:A,MedicineInfo!B:B,"Not Found")</f>
        <v>Multivitamin</v>
      </c>
      <c r="H2100" s="1" t="str" cm="1">
        <f t="array" ref="H2100">_xlfn.IFS(
OR(E2100="Type 2 Diabetes",E2100="Essential Hypertension",E2100="Angina Pectoris",E2100="Bronchial Asthma",E2100="Cardiac Arrhythmia"), D2100+30,
OR(E2100="Gastritis",E2100="Osteoarthritis",E2100="Bronchitis",E2100="Iron Deficiency Anemia"), D2100+14,
OR(E2100="Lumbar Strain",E2100="Migraine Headache"), D2100+7,
OR(E2100="Viral Fever",E2100="General Checkup","Routine Health Check"), "",
TRUE,""
)</f>
        <v/>
      </c>
      <c r="I2100" s="1" t="str">
        <f t="shared" si="64"/>
        <v>No Follow-up Required</v>
      </c>
      <c r="J2100" t="str">
        <f>TEXT(Table8[[#This Row],[visit_Date]],"DDDD")</f>
        <v>Thursday</v>
      </c>
      <c r="K2100" t="str">
        <f>TEXT(Table8[[#This Row],[visit_Date]],"mmmm")</f>
        <v>May</v>
      </c>
      <c r="L2100" t="str">
        <f t="shared" si="65"/>
        <v>Summer</v>
      </c>
    </row>
    <row r="2101" spans="1:12" x14ac:dyDescent="0.25">
      <c r="A2101">
        <v>2100</v>
      </c>
      <c r="B2101">
        <v>1031</v>
      </c>
      <c r="C2101">
        <v>700</v>
      </c>
      <c r="D2101" s="1">
        <v>45823</v>
      </c>
      <c r="E2101" t="s">
        <v>24</v>
      </c>
      <c r="F2101" t="s">
        <v>321</v>
      </c>
      <c r="G2101" t="str">
        <f>_xlfn.XLOOKUP(TRIM(E2102),MedicineInfo!A:A,MedicineInfo!B:B,"Not Found")</f>
        <v>Multivitamin</v>
      </c>
      <c r="H2101" s="1" t="str" cm="1">
        <f t="array" ref="H2101">_xlfn.IFS(
OR(E2101="Type 2 Diabetes",E2101="Essential Hypertension",E2101="Angina Pectoris",E2101="Bronchial Asthma",E2101="Cardiac Arrhythmia"), D2101+30,
OR(E2101="Gastritis",E2101="Osteoarthritis",E2101="Bronchitis",E2101="Iron Deficiency Anemia"), D2101+14,
OR(E2101="Lumbar Strain",E2101="Migraine Headache"), D2101+7,
OR(E2101="Viral Fever",E2101="General Checkup","Routine Health Check"), "",
TRUE,""
)</f>
        <v/>
      </c>
      <c r="I2101" s="1" t="str">
        <f t="shared" si="64"/>
        <v>No Follow-up Required</v>
      </c>
      <c r="J2101" t="str">
        <f>TEXT(Table8[[#This Row],[visit_Date]],"DDDD")</f>
        <v>Sunday</v>
      </c>
      <c r="K2101" t="str">
        <f>TEXT(Table8[[#This Row],[visit_Date]],"mmmm")</f>
        <v>June</v>
      </c>
      <c r="L2101" t="str">
        <f t="shared" si="65"/>
        <v>Monsoon</v>
      </c>
    </row>
    <row r="2102" spans="1:12" x14ac:dyDescent="0.25">
      <c r="A2102">
        <v>2101</v>
      </c>
      <c r="B2102">
        <v>1375</v>
      </c>
      <c r="C2102">
        <v>1087</v>
      </c>
      <c r="D2102" s="1">
        <v>45777</v>
      </c>
      <c r="E2102" t="s">
        <v>24</v>
      </c>
      <c r="F2102" t="s">
        <v>321</v>
      </c>
      <c r="G2102" t="str">
        <f>_xlfn.XLOOKUP(TRIM(E2103),MedicineInfo!A:A,MedicineInfo!B:B,"Not Found")</f>
        <v>Multivitamin</v>
      </c>
      <c r="H2102" s="1" t="str" cm="1">
        <f t="array" ref="H2102">_xlfn.IFS(
OR(E2102="Type 2 Diabetes",E2102="Essential Hypertension",E2102="Angina Pectoris",E2102="Bronchial Asthma",E2102="Cardiac Arrhythmia"), D2102+30,
OR(E2102="Gastritis",E2102="Osteoarthritis",E2102="Bronchitis",E2102="Iron Deficiency Anemia"), D2102+14,
OR(E2102="Lumbar Strain",E2102="Migraine Headache"), D2102+7,
OR(E2102="Viral Fever",E2102="General Checkup","Routine Health Check"), "",
TRUE,""
)</f>
        <v/>
      </c>
      <c r="I2102" s="1" t="str">
        <f t="shared" si="64"/>
        <v>No Follow-up Required</v>
      </c>
      <c r="J2102" t="str">
        <f>TEXT(Table8[[#This Row],[visit_Date]],"DDDD")</f>
        <v>Wednesday</v>
      </c>
      <c r="K2102" t="str">
        <f>TEXT(Table8[[#This Row],[visit_Date]],"mmmm")</f>
        <v>April</v>
      </c>
      <c r="L2102" t="str">
        <f t="shared" si="65"/>
        <v>Summer</v>
      </c>
    </row>
    <row r="2103" spans="1:12" x14ac:dyDescent="0.25">
      <c r="A2103">
        <v>2102</v>
      </c>
      <c r="B2103">
        <v>1093</v>
      </c>
      <c r="C2103">
        <v>1257</v>
      </c>
      <c r="D2103" s="1">
        <v>45672</v>
      </c>
      <c r="E2103" t="s">
        <v>24</v>
      </c>
      <c r="F2103" t="s">
        <v>321</v>
      </c>
      <c r="G2103" t="str">
        <f>_xlfn.XLOOKUP(TRIM(E2104),MedicineInfo!A:A,MedicineInfo!B:B,"Not Found")</f>
        <v>Multivitamin</v>
      </c>
      <c r="H2103" s="1" t="str" cm="1">
        <f t="array" ref="H2103">_xlfn.IFS(
OR(E2103="Type 2 Diabetes",E2103="Essential Hypertension",E2103="Angina Pectoris",E2103="Bronchial Asthma",E2103="Cardiac Arrhythmia"), D2103+30,
OR(E2103="Gastritis",E2103="Osteoarthritis",E2103="Bronchitis",E2103="Iron Deficiency Anemia"), D2103+14,
OR(E2103="Lumbar Strain",E2103="Migraine Headache"), D2103+7,
OR(E2103="Viral Fever",E2103="General Checkup","Routine Health Check"), "",
TRUE,""
)</f>
        <v/>
      </c>
      <c r="I2103" s="1" t="str">
        <f t="shared" si="64"/>
        <v>No Follow-up Required</v>
      </c>
      <c r="J2103" t="str">
        <f>TEXT(Table8[[#This Row],[visit_Date]],"DDDD")</f>
        <v>Wednesday</v>
      </c>
      <c r="K2103" t="str">
        <f>TEXT(Table8[[#This Row],[visit_Date]],"mmmm")</f>
        <v>January</v>
      </c>
      <c r="L2103" t="str">
        <f t="shared" si="65"/>
        <v>Winter</v>
      </c>
    </row>
    <row r="2104" spans="1:12" x14ac:dyDescent="0.25">
      <c r="A2104">
        <v>2103</v>
      </c>
      <c r="B2104">
        <v>1200</v>
      </c>
      <c r="C2104">
        <v>146</v>
      </c>
      <c r="D2104" s="1">
        <v>45756</v>
      </c>
      <c r="E2104" t="s">
        <v>24</v>
      </c>
      <c r="F2104" t="s">
        <v>321</v>
      </c>
      <c r="G2104" t="str">
        <f>_xlfn.XLOOKUP(TRIM(E2105),MedicineInfo!A:A,MedicineInfo!B:B,"Not Found")</f>
        <v>Sertraline</v>
      </c>
      <c r="H2104" s="1" t="str" cm="1">
        <f t="array" ref="H2104">_xlfn.IFS(
OR(E2104="Type 2 Diabetes",E2104="Essential Hypertension",E2104="Angina Pectoris",E2104="Bronchial Asthma",E2104="Cardiac Arrhythmia"), D2104+30,
OR(E2104="Gastritis",E2104="Osteoarthritis",E2104="Bronchitis",E2104="Iron Deficiency Anemia"), D2104+14,
OR(E2104="Lumbar Strain",E2104="Migraine Headache"), D2104+7,
OR(E2104="Viral Fever",E2104="General Checkup","Routine Health Check"), "",
TRUE,""
)</f>
        <v/>
      </c>
      <c r="I2104" s="1" t="str">
        <f t="shared" si="64"/>
        <v>No Follow-up Required</v>
      </c>
      <c r="J2104" t="str">
        <f>TEXT(Table8[[#This Row],[visit_Date]],"DDDD")</f>
        <v>Wednesday</v>
      </c>
      <c r="K2104" t="str">
        <f>TEXT(Table8[[#This Row],[visit_Date]],"mmmm")</f>
        <v>April</v>
      </c>
      <c r="L2104" t="str">
        <f t="shared" si="65"/>
        <v>Summer</v>
      </c>
    </row>
    <row r="2105" spans="1:12" x14ac:dyDescent="0.25">
      <c r="A2105">
        <v>2104</v>
      </c>
      <c r="B2105">
        <v>1212</v>
      </c>
      <c r="C2105">
        <v>868</v>
      </c>
      <c r="D2105" s="1">
        <v>45792</v>
      </c>
      <c r="E2105" t="s">
        <v>334</v>
      </c>
      <c r="F2105" t="s">
        <v>335</v>
      </c>
      <c r="G2105" t="str">
        <f>_xlfn.XLOOKUP(TRIM(E2106),MedicineInfo!A:A,MedicineInfo!B:B,"Not Found")</f>
        <v>Multivitamin</v>
      </c>
      <c r="H2105" s="1" t="str" cm="1">
        <f t="array" ref="H2105">_xlfn.IFS(
OR(E2105="Type 2 Diabetes",E2105="Essential Hypertension",E2105="Angina Pectoris",E2105="Bronchial Asthma",E2105="Cardiac Arrhythmia"), D2105+30,
OR(E2105="Gastritis",E2105="Osteoarthritis",E2105="Bronchitis",E2105="Iron Deficiency Anemia"), D2105+14,
OR(E2105="Lumbar Strain",E2105="Migraine Headache"), D2105+7,
OR(E2105="Viral Fever",E2105="General Checkup","Routine Health Check"), "",
TRUE,""
)</f>
        <v/>
      </c>
      <c r="I2105" s="1" t="str">
        <f t="shared" si="64"/>
        <v>No Follow-up Required</v>
      </c>
      <c r="J2105" t="str">
        <f>TEXT(Table8[[#This Row],[visit_Date]],"DDDD")</f>
        <v>Thursday</v>
      </c>
      <c r="K2105" t="str">
        <f>TEXT(Table8[[#This Row],[visit_Date]],"mmmm")</f>
        <v>May</v>
      </c>
      <c r="L2105" t="str">
        <f t="shared" si="65"/>
        <v>Summer</v>
      </c>
    </row>
    <row r="2106" spans="1:12" x14ac:dyDescent="0.25">
      <c r="A2106">
        <v>2105</v>
      </c>
      <c r="B2106">
        <v>1269</v>
      </c>
      <c r="C2106">
        <v>1312</v>
      </c>
      <c r="D2106" s="1">
        <v>45823</v>
      </c>
      <c r="E2106" t="s">
        <v>24</v>
      </c>
      <c r="F2106" t="s">
        <v>321</v>
      </c>
      <c r="G2106" t="str">
        <f>_xlfn.XLOOKUP(TRIM(E2107),MedicineInfo!A:A,MedicineInfo!B:B,"Not Found")</f>
        <v>Folic Acid</v>
      </c>
      <c r="H2106" s="1" t="str" cm="1">
        <f t="array" ref="H2106">_xlfn.IFS(
OR(E2106="Type 2 Diabetes",E2106="Essential Hypertension",E2106="Angina Pectoris",E2106="Bronchial Asthma",E2106="Cardiac Arrhythmia"), D2106+30,
OR(E2106="Gastritis",E2106="Osteoarthritis",E2106="Bronchitis",E2106="Iron Deficiency Anemia"), D2106+14,
OR(E2106="Lumbar Strain",E2106="Migraine Headache"), D2106+7,
OR(E2106="Viral Fever",E2106="General Checkup","Routine Health Check"), "",
TRUE,""
)</f>
        <v/>
      </c>
      <c r="I2106" s="1" t="str">
        <f t="shared" si="64"/>
        <v>No Follow-up Required</v>
      </c>
      <c r="J2106" t="str">
        <f>TEXT(Table8[[#This Row],[visit_Date]],"DDDD")</f>
        <v>Sunday</v>
      </c>
      <c r="K2106" t="str">
        <f>TEXT(Table8[[#This Row],[visit_Date]],"mmmm")</f>
        <v>June</v>
      </c>
      <c r="L2106" t="str">
        <f t="shared" si="65"/>
        <v>Monsoon</v>
      </c>
    </row>
    <row r="2107" spans="1:12" x14ac:dyDescent="0.25">
      <c r="A2107">
        <v>2106</v>
      </c>
      <c r="B2107">
        <v>1324</v>
      </c>
      <c r="C2107">
        <v>1459</v>
      </c>
      <c r="D2107" s="1">
        <v>45792</v>
      </c>
      <c r="E2107" t="s">
        <v>356</v>
      </c>
      <c r="F2107" t="s">
        <v>357</v>
      </c>
      <c r="G2107" t="str">
        <f>_xlfn.XLOOKUP(TRIM(E2108),MedicineInfo!A:A,MedicineInfo!B:B,"Not Found")</f>
        <v>Multivitamin</v>
      </c>
      <c r="H2107" s="1" t="str" cm="1">
        <f t="array" ref="H2107">_xlfn.IFS(
OR(E2107="Type 2 Diabetes",E2107="Essential Hypertension",E2107="Angina Pectoris",E2107="Bronchial Asthma",E2107="Cardiac Arrhythmia"), D2107+30,
OR(E2107="Gastritis",E2107="Osteoarthritis",E2107="Bronchitis",E2107="Iron Deficiency Anemia"), D2107+14,
OR(E2107="Lumbar Strain",E2107="Migraine Headache"), D2107+7,
OR(E2107="Viral Fever",E2107="General Checkup","Routine Health Check"), "",
TRUE,""
)</f>
        <v/>
      </c>
      <c r="I2107" s="1" t="str">
        <f t="shared" si="64"/>
        <v>No Follow-up Required</v>
      </c>
      <c r="J2107" t="str">
        <f>TEXT(Table8[[#This Row],[visit_Date]],"DDDD")</f>
        <v>Thursday</v>
      </c>
      <c r="K2107" t="str">
        <f>TEXT(Table8[[#This Row],[visit_Date]],"mmmm")</f>
        <v>May</v>
      </c>
      <c r="L2107" t="str">
        <f t="shared" si="65"/>
        <v>Summer</v>
      </c>
    </row>
    <row r="2108" spans="1:12" x14ac:dyDescent="0.25">
      <c r="A2108">
        <v>2107</v>
      </c>
      <c r="B2108">
        <v>1394</v>
      </c>
      <c r="C2108">
        <v>720</v>
      </c>
      <c r="D2108" s="1">
        <v>45859</v>
      </c>
      <c r="E2108" t="s">
        <v>24</v>
      </c>
      <c r="F2108" t="s">
        <v>321</v>
      </c>
      <c r="G2108" t="str">
        <f>_xlfn.XLOOKUP(TRIM(E2109),MedicineInfo!A:A,MedicineInfo!B:B,"Not Found")</f>
        <v>Multivitamin</v>
      </c>
      <c r="H2108" s="1" t="str" cm="1">
        <f t="array" ref="H2108">_xlfn.IFS(
OR(E2108="Type 2 Diabetes",E2108="Essential Hypertension",E2108="Angina Pectoris",E2108="Bronchial Asthma",E2108="Cardiac Arrhythmia"), D2108+30,
OR(E2108="Gastritis",E2108="Osteoarthritis",E2108="Bronchitis",E2108="Iron Deficiency Anemia"), D2108+14,
OR(E2108="Lumbar Strain",E2108="Migraine Headache"), D2108+7,
OR(E2108="Viral Fever",E2108="General Checkup","Routine Health Check"), "",
TRUE,""
)</f>
        <v/>
      </c>
      <c r="I2108" s="1" t="str">
        <f t="shared" si="64"/>
        <v>No Follow-up Required</v>
      </c>
      <c r="J2108" t="str">
        <f>TEXT(Table8[[#This Row],[visit_Date]],"DDDD")</f>
        <v>Monday</v>
      </c>
      <c r="K2108" t="str">
        <f>TEXT(Table8[[#This Row],[visit_Date]],"mmmm")</f>
        <v>July</v>
      </c>
      <c r="L2108" t="str">
        <f t="shared" si="65"/>
        <v>Monsoon</v>
      </c>
    </row>
    <row r="2109" spans="1:12" x14ac:dyDescent="0.25">
      <c r="A2109">
        <v>2108</v>
      </c>
      <c r="B2109">
        <v>1060</v>
      </c>
      <c r="C2109">
        <v>599</v>
      </c>
      <c r="D2109" s="1">
        <v>45721</v>
      </c>
      <c r="E2109" t="s">
        <v>24</v>
      </c>
      <c r="F2109" t="s">
        <v>321</v>
      </c>
      <c r="G2109" t="str">
        <f>_xlfn.XLOOKUP(TRIM(E2110),MedicineInfo!A:A,MedicineInfo!B:B,"Not Found")</f>
        <v>Paracetamol</v>
      </c>
      <c r="H2109" s="1" t="str" cm="1">
        <f t="array" ref="H2109">_xlfn.IFS(
OR(E2109="Type 2 Diabetes",E2109="Essential Hypertension",E2109="Angina Pectoris",E2109="Bronchial Asthma",E2109="Cardiac Arrhythmia"), D2109+30,
OR(E2109="Gastritis",E2109="Osteoarthritis",E2109="Bronchitis",E2109="Iron Deficiency Anemia"), D2109+14,
OR(E2109="Lumbar Strain",E2109="Migraine Headache"), D2109+7,
OR(E2109="Viral Fever",E2109="General Checkup","Routine Health Check"), "",
TRUE,""
)</f>
        <v/>
      </c>
      <c r="I2109" s="1" t="str">
        <f t="shared" si="64"/>
        <v>No Follow-up Required</v>
      </c>
      <c r="J2109" t="str">
        <f>TEXT(Table8[[#This Row],[visit_Date]],"DDDD")</f>
        <v>Wednesday</v>
      </c>
      <c r="K2109" t="str">
        <f>TEXT(Table8[[#This Row],[visit_Date]],"mmmm")</f>
        <v>March</v>
      </c>
      <c r="L2109" t="str">
        <f t="shared" si="65"/>
        <v>Summer</v>
      </c>
    </row>
    <row r="2110" spans="1:12" x14ac:dyDescent="0.25">
      <c r="A2110">
        <v>2109</v>
      </c>
      <c r="B2110">
        <v>1193</v>
      </c>
      <c r="C2110">
        <v>517</v>
      </c>
      <c r="D2110" s="1">
        <v>45700</v>
      </c>
      <c r="E2110" t="s">
        <v>326</v>
      </c>
      <c r="F2110" t="s">
        <v>327</v>
      </c>
      <c r="G2110" t="str">
        <f>_xlfn.XLOOKUP(TRIM(E2111),MedicineInfo!A:A,MedicineInfo!B:B,"Not Found")</f>
        <v>Nitroglycerin</v>
      </c>
      <c r="H2110" s="1" t="str" cm="1">
        <f t="array" ref="H2110">_xlfn.IFS(
OR(E2110="Type 2 Diabetes",E2110="Essential Hypertension",E2110="Angina Pectoris",E2110="Bronchial Asthma",E2110="Cardiac Arrhythmia"), D2110+30,
OR(E2110="Gastritis",E2110="Osteoarthritis",E2110="Bronchitis",E2110="Iron Deficiency Anemia"), D2110+14,
OR(E2110="Lumbar Strain",E2110="Migraine Headache"), D2110+7,
OR(E2110="Viral Fever",E2110="General Checkup","Routine Health Check"), "",
TRUE,""
)</f>
        <v/>
      </c>
      <c r="I2110" s="1" t="str">
        <f t="shared" si="64"/>
        <v>No Follow-up Required</v>
      </c>
      <c r="J2110" t="str">
        <f>TEXT(Table8[[#This Row],[visit_Date]],"DDDD")</f>
        <v>Wednesday</v>
      </c>
      <c r="K2110" t="str">
        <f>TEXT(Table8[[#This Row],[visit_Date]],"mmmm")</f>
        <v>February</v>
      </c>
      <c r="L2110" t="str">
        <f t="shared" si="65"/>
        <v>Winter</v>
      </c>
    </row>
    <row r="2111" spans="1:12" x14ac:dyDescent="0.25">
      <c r="A2111">
        <v>2110</v>
      </c>
      <c r="B2111">
        <v>1200</v>
      </c>
      <c r="C2111">
        <v>469</v>
      </c>
      <c r="D2111" s="1">
        <v>45688</v>
      </c>
      <c r="E2111" t="s">
        <v>322</v>
      </c>
      <c r="F2111" t="s">
        <v>323</v>
      </c>
      <c r="G2111" t="str">
        <f>_xlfn.XLOOKUP(TRIM(E2112),MedicineInfo!A:A,MedicineInfo!B:B,"Not Found")</f>
        <v>Multivitamin</v>
      </c>
      <c r="H2111" s="1" cm="1">
        <f t="array" ref="H2111">_xlfn.IFS(
OR(E2111="Type 2 Diabetes",E2111="Essential Hypertension",E2111="Angina Pectoris",E2111="Bronchial Asthma",E2111="Cardiac Arrhythmia"), D2111+30,
OR(E2111="Gastritis",E2111="Osteoarthritis",E2111="Bronchitis",E2111="Iron Deficiency Anemia"), D2111+14,
OR(E2111="Lumbar Strain",E2111="Migraine Headache"), D2111+7,
OR(E2111="Viral Fever",E2111="General Checkup","Routine Health Check"), "",
TRUE,""
)</f>
        <v>45718</v>
      </c>
      <c r="I2111" s="1" t="str">
        <f t="shared" si="64"/>
        <v>Follow-up Scheduled</v>
      </c>
      <c r="J2111" t="str">
        <f>TEXT(Table8[[#This Row],[visit_Date]],"DDDD")</f>
        <v>Friday</v>
      </c>
      <c r="K2111" t="str">
        <f>TEXT(Table8[[#This Row],[visit_Date]],"mmmm")</f>
        <v>January</v>
      </c>
      <c r="L2111" t="str">
        <f t="shared" si="65"/>
        <v>Winter</v>
      </c>
    </row>
    <row r="2112" spans="1:12" x14ac:dyDescent="0.25">
      <c r="A2112">
        <v>2111</v>
      </c>
      <c r="B2112">
        <v>1030</v>
      </c>
      <c r="C2112">
        <v>352</v>
      </c>
      <c r="D2112" s="1">
        <v>45823</v>
      </c>
      <c r="E2112" t="s">
        <v>24</v>
      </c>
      <c r="F2112" t="s">
        <v>321</v>
      </c>
      <c r="G2112" t="str">
        <f>_xlfn.XLOOKUP(TRIM(E2113),MedicineInfo!A:A,MedicineInfo!B:B,"Not Found")</f>
        <v>Multivitamin</v>
      </c>
      <c r="H2112" s="1" t="str" cm="1">
        <f t="array" ref="H2112">_xlfn.IFS(
OR(E2112="Type 2 Diabetes",E2112="Essential Hypertension",E2112="Angina Pectoris",E2112="Bronchial Asthma",E2112="Cardiac Arrhythmia"), D2112+30,
OR(E2112="Gastritis",E2112="Osteoarthritis",E2112="Bronchitis",E2112="Iron Deficiency Anemia"), D2112+14,
OR(E2112="Lumbar Strain",E2112="Migraine Headache"), D2112+7,
OR(E2112="Viral Fever",E2112="General Checkup","Routine Health Check"), "",
TRUE,""
)</f>
        <v/>
      </c>
      <c r="I2112" s="1" t="str">
        <f t="shared" si="64"/>
        <v>No Follow-up Required</v>
      </c>
      <c r="J2112" t="str">
        <f>TEXT(Table8[[#This Row],[visit_Date]],"DDDD")</f>
        <v>Sunday</v>
      </c>
      <c r="K2112" t="str">
        <f>TEXT(Table8[[#This Row],[visit_Date]],"mmmm")</f>
        <v>June</v>
      </c>
      <c r="L2112" t="str">
        <f t="shared" si="65"/>
        <v>Monsoon</v>
      </c>
    </row>
    <row r="2113" spans="1:12" x14ac:dyDescent="0.25">
      <c r="A2113">
        <v>2112</v>
      </c>
      <c r="B2113">
        <v>1221</v>
      </c>
      <c r="C2113">
        <v>1006</v>
      </c>
      <c r="D2113" s="1">
        <v>45724</v>
      </c>
      <c r="E2113" t="s">
        <v>24</v>
      </c>
      <c r="F2113" t="s">
        <v>321</v>
      </c>
      <c r="G2113" t="str">
        <f>_xlfn.XLOOKUP(TRIM(E2114),MedicineInfo!A:A,MedicineInfo!B:B,"Not Found")</f>
        <v>Multivitamin</v>
      </c>
      <c r="H2113" s="1" t="str" cm="1">
        <f t="array" ref="H2113">_xlfn.IFS(
OR(E2113="Type 2 Diabetes",E2113="Essential Hypertension",E2113="Angina Pectoris",E2113="Bronchial Asthma",E2113="Cardiac Arrhythmia"), D2113+30,
OR(E2113="Gastritis",E2113="Osteoarthritis",E2113="Bronchitis",E2113="Iron Deficiency Anemia"), D2113+14,
OR(E2113="Lumbar Strain",E2113="Migraine Headache"), D2113+7,
OR(E2113="Viral Fever",E2113="General Checkup","Routine Health Check"), "",
TRUE,""
)</f>
        <v/>
      </c>
      <c r="I2113" s="1" t="str">
        <f t="shared" si="64"/>
        <v>No Follow-up Required</v>
      </c>
      <c r="J2113" t="str">
        <f>TEXT(Table8[[#This Row],[visit_Date]],"DDDD")</f>
        <v>Saturday</v>
      </c>
      <c r="K2113" t="str">
        <f>TEXT(Table8[[#This Row],[visit_Date]],"mmmm")</f>
        <v>March</v>
      </c>
      <c r="L2113" t="str">
        <f t="shared" si="65"/>
        <v>Summer</v>
      </c>
    </row>
    <row r="2114" spans="1:12" x14ac:dyDescent="0.25">
      <c r="A2114">
        <v>2113</v>
      </c>
      <c r="B2114">
        <v>1057</v>
      </c>
      <c r="C2114">
        <v>736</v>
      </c>
      <c r="D2114" s="1">
        <v>45700</v>
      </c>
      <c r="E2114" t="s">
        <v>24</v>
      </c>
      <c r="F2114" t="s">
        <v>321</v>
      </c>
      <c r="G2114" t="str">
        <f>_xlfn.XLOOKUP(TRIM(E2115),MedicineInfo!A:A,MedicineInfo!B:B,"Not Found")</f>
        <v>Multivitamin</v>
      </c>
      <c r="H2114" s="1" t="str" cm="1">
        <f t="array" ref="H2114">_xlfn.IFS(
OR(E2114="Type 2 Diabetes",E2114="Essential Hypertension",E2114="Angina Pectoris",E2114="Bronchial Asthma",E2114="Cardiac Arrhythmia"), D2114+30,
OR(E2114="Gastritis",E2114="Osteoarthritis",E2114="Bronchitis",E2114="Iron Deficiency Anemia"), D2114+14,
OR(E2114="Lumbar Strain",E2114="Migraine Headache"), D2114+7,
OR(E2114="Viral Fever",E2114="General Checkup","Routine Health Check"), "",
TRUE,""
)</f>
        <v/>
      </c>
      <c r="I2114" s="1" t="str">
        <f t="shared" ref="I2114:I2177" si="66">IF(H2114="","No Follow-up Required","Follow-up Scheduled")</f>
        <v>No Follow-up Required</v>
      </c>
      <c r="J2114" t="str">
        <f>TEXT(Table8[[#This Row],[visit_Date]],"DDDD")</f>
        <v>Wednesday</v>
      </c>
      <c r="K2114" t="str">
        <f>TEXT(Table8[[#This Row],[visit_Date]],"mmmm")</f>
        <v>February</v>
      </c>
      <c r="L2114" t="str">
        <f t="shared" ref="L2114:L2177" si="67">IF(OR(MONTH(D2114)=12,MONTH(D2114)&lt;=2),"Winter",
IF(MONTH(D2114)&lt;=5,"Summer","Monsoon"))</f>
        <v>Winter</v>
      </c>
    </row>
    <row r="2115" spans="1:12" x14ac:dyDescent="0.25">
      <c r="A2115">
        <v>2114</v>
      </c>
      <c r="B2115">
        <v>1151</v>
      </c>
      <c r="C2115">
        <v>385</v>
      </c>
      <c r="D2115" s="1">
        <v>45819</v>
      </c>
      <c r="E2115" t="s">
        <v>24</v>
      </c>
      <c r="F2115" t="s">
        <v>321</v>
      </c>
      <c r="G2115" t="str">
        <f>_xlfn.XLOOKUP(TRIM(E2116),MedicineInfo!A:A,MedicineInfo!B:B,"Not Found")</f>
        <v>Diclofenac</v>
      </c>
      <c r="H2115" s="1" t="str" cm="1">
        <f t="array" ref="H2115">_xlfn.IFS(
OR(E2115="Type 2 Diabetes",E2115="Essential Hypertension",E2115="Angina Pectoris",E2115="Bronchial Asthma",E2115="Cardiac Arrhythmia"), D2115+30,
OR(E2115="Gastritis",E2115="Osteoarthritis",E2115="Bronchitis",E2115="Iron Deficiency Anemia"), D2115+14,
OR(E2115="Lumbar Strain",E2115="Migraine Headache"), D2115+7,
OR(E2115="Viral Fever",E2115="General Checkup","Routine Health Check"), "",
TRUE,""
)</f>
        <v/>
      </c>
      <c r="I2115" s="1" t="str">
        <f t="shared" si="66"/>
        <v>No Follow-up Required</v>
      </c>
      <c r="J2115" t="str">
        <f>TEXT(Table8[[#This Row],[visit_Date]],"DDDD")</f>
        <v>Wednesday</v>
      </c>
      <c r="K2115" t="str">
        <f>TEXT(Table8[[#This Row],[visit_Date]],"mmmm")</f>
        <v>June</v>
      </c>
      <c r="L2115" t="str">
        <f t="shared" si="67"/>
        <v>Monsoon</v>
      </c>
    </row>
    <row r="2116" spans="1:12" x14ac:dyDescent="0.25">
      <c r="A2116">
        <v>2115</v>
      </c>
      <c r="B2116">
        <v>1336</v>
      </c>
      <c r="C2116">
        <v>893</v>
      </c>
      <c r="D2116" s="1">
        <v>45672</v>
      </c>
      <c r="E2116" t="s">
        <v>313</v>
      </c>
      <c r="F2116" t="s">
        <v>314</v>
      </c>
      <c r="G2116" t="str">
        <f>_xlfn.XLOOKUP(TRIM(E2117),MedicineInfo!A:A,MedicineInfo!B:B,"Not Found")</f>
        <v>Amlodipine</v>
      </c>
      <c r="H2116" s="1" cm="1">
        <f t="array" ref="H2116">_xlfn.IFS(
OR(E2116="Type 2 Diabetes",E2116="Essential Hypertension",E2116="Angina Pectoris",E2116="Bronchial Asthma",E2116="Cardiac Arrhythmia"), D2116+30,
OR(E2116="Gastritis",E2116="Osteoarthritis",E2116="Bronchitis",E2116="Iron Deficiency Anemia"), D2116+14,
OR(E2116="Lumbar Strain",E2116="Migraine Headache"), D2116+7,
OR(E2116="Viral Fever",E2116="General Checkup","Routine Health Check"), "",
TRUE,""
)</f>
        <v>45679</v>
      </c>
      <c r="I2116" s="1" t="str">
        <f t="shared" si="66"/>
        <v>Follow-up Scheduled</v>
      </c>
      <c r="J2116" t="str">
        <f>TEXT(Table8[[#This Row],[visit_Date]],"DDDD")</f>
        <v>Wednesday</v>
      </c>
      <c r="K2116" t="str">
        <f>TEXT(Table8[[#This Row],[visit_Date]],"mmmm")</f>
        <v>January</v>
      </c>
      <c r="L2116" t="str">
        <f t="shared" si="67"/>
        <v>Winter</v>
      </c>
    </row>
    <row r="2117" spans="1:12" x14ac:dyDescent="0.25">
      <c r="A2117">
        <v>2116</v>
      </c>
      <c r="B2117">
        <v>1183</v>
      </c>
      <c r="C2117">
        <v>1523</v>
      </c>
      <c r="D2117" s="1">
        <v>45792</v>
      </c>
      <c r="E2117" t="s">
        <v>319</v>
      </c>
      <c r="F2117" t="s">
        <v>320</v>
      </c>
      <c r="G2117" t="str">
        <f>_xlfn.XLOOKUP(TRIM(E2118),MedicineInfo!A:A,MedicineInfo!B:B,"Not Found")</f>
        <v>Multivitamin</v>
      </c>
      <c r="H2117" s="1" cm="1">
        <f t="array" ref="H2117">_xlfn.IFS(
OR(E2117="Type 2 Diabetes",E2117="Essential Hypertension",E2117="Angina Pectoris",E2117="Bronchial Asthma",E2117="Cardiac Arrhythmia"), D2117+30,
OR(E2117="Gastritis",E2117="Osteoarthritis",E2117="Bronchitis",E2117="Iron Deficiency Anemia"), D2117+14,
OR(E2117="Lumbar Strain",E2117="Migraine Headache"), D2117+7,
OR(E2117="Viral Fever",E2117="General Checkup","Routine Health Check"), "",
TRUE,""
)</f>
        <v>45822</v>
      </c>
      <c r="I2117" s="1" t="str">
        <f t="shared" si="66"/>
        <v>Follow-up Scheduled</v>
      </c>
      <c r="J2117" t="str">
        <f>TEXT(Table8[[#This Row],[visit_Date]],"DDDD")</f>
        <v>Thursday</v>
      </c>
      <c r="K2117" t="str">
        <f>TEXT(Table8[[#This Row],[visit_Date]],"mmmm")</f>
        <v>May</v>
      </c>
      <c r="L2117" t="str">
        <f t="shared" si="67"/>
        <v>Summer</v>
      </c>
    </row>
    <row r="2118" spans="1:12" x14ac:dyDescent="0.25">
      <c r="A2118">
        <v>2117</v>
      </c>
      <c r="B2118">
        <v>1238</v>
      </c>
      <c r="C2118">
        <v>157</v>
      </c>
      <c r="D2118" s="1">
        <v>45747</v>
      </c>
      <c r="E2118" t="s">
        <v>24</v>
      </c>
      <c r="F2118" t="s">
        <v>321</v>
      </c>
      <c r="G2118" t="str">
        <f>_xlfn.XLOOKUP(TRIM(E2119),MedicineInfo!A:A,MedicineInfo!B:B,"Not Found")</f>
        <v>Multivitamin</v>
      </c>
      <c r="H2118" s="1" t="str" cm="1">
        <f t="array" ref="H2118">_xlfn.IFS(
OR(E2118="Type 2 Diabetes",E2118="Essential Hypertension",E2118="Angina Pectoris",E2118="Bronchial Asthma",E2118="Cardiac Arrhythmia"), D2118+30,
OR(E2118="Gastritis",E2118="Osteoarthritis",E2118="Bronchitis",E2118="Iron Deficiency Anemia"), D2118+14,
OR(E2118="Lumbar Strain",E2118="Migraine Headache"), D2118+7,
OR(E2118="Viral Fever",E2118="General Checkup","Routine Health Check"), "",
TRUE,""
)</f>
        <v/>
      </c>
      <c r="I2118" s="1" t="str">
        <f t="shared" si="66"/>
        <v>No Follow-up Required</v>
      </c>
      <c r="J2118" t="str">
        <f>TEXT(Table8[[#This Row],[visit_Date]],"DDDD")</f>
        <v>Monday</v>
      </c>
      <c r="K2118" t="str">
        <f>TEXT(Table8[[#This Row],[visit_Date]],"mmmm")</f>
        <v>March</v>
      </c>
      <c r="L2118" t="str">
        <f t="shared" si="67"/>
        <v>Summer</v>
      </c>
    </row>
    <row r="2119" spans="1:12" x14ac:dyDescent="0.25">
      <c r="A2119">
        <v>2118</v>
      </c>
      <c r="B2119">
        <v>1370</v>
      </c>
      <c r="C2119">
        <v>105</v>
      </c>
      <c r="D2119" s="1">
        <v>45777</v>
      </c>
      <c r="E2119" t="s">
        <v>24</v>
      </c>
      <c r="F2119" t="s">
        <v>321</v>
      </c>
      <c r="G2119" t="str">
        <f>_xlfn.XLOOKUP(TRIM(E2120),MedicineInfo!A:A,MedicineInfo!B:B,"Not Found")</f>
        <v>Multivitamin</v>
      </c>
      <c r="H2119" s="1" t="str" cm="1">
        <f t="array" ref="H2119">_xlfn.IFS(
OR(E2119="Type 2 Diabetes",E2119="Essential Hypertension",E2119="Angina Pectoris",E2119="Bronchial Asthma",E2119="Cardiac Arrhythmia"), D2119+30,
OR(E2119="Gastritis",E2119="Osteoarthritis",E2119="Bronchitis",E2119="Iron Deficiency Anemia"), D2119+14,
OR(E2119="Lumbar Strain",E2119="Migraine Headache"), D2119+7,
OR(E2119="Viral Fever",E2119="General Checkup","Routine Health Check"), "",
TRUE,""
)</f>
        <v/>
      </c>
      <c r="I2119" s="1" t="str">
        <f t="shared" si="66"/>
        <v>No Follow-up Required</v>
      </c>
      <c r="J2119" t="str">
        <f>TEXT(Table8[[#This Row],[visit_Date]],"DDDD")</f>
        <v>Wednesday</v>
      </c>
      <c r="K2119" t="str">
        <f>TEXT(Table8[[#This Row],[visit_Date]],"mmmm")</f>
        <v>April</v>
      </c>
      <c r="L2119" t="str">
        <f t="shared" si="67"/>
        <v>Summer</v>
      </c>
    </row>
    <row r="2120" spans="1:12" x14ac:dyDescent="0.25">
      <c r="A2120">
        <v>2119</v>
      </c>
      <c r="B2120">
        <v>1258</v>
      </c>
      <c r="C2120">
        <v>704</v>
      </c>
      <c r="D2120" s="1">
        <v>45747</v>
      </c>
      <c r="E2120" t="s">
        <v>24</v>
      </c>
      <c r="F2120" t="s">
        <v>321</v>
      </c>
      <c r="G2120" t="str">
        <f>_xlfn.XLOOKUP(TRIM(E2121),MedicineInfo!A:A,MedicineInfo!B:B,"Not Found")</f>
        <v>Multivitamin</v>
      </c>
      <c r="H2120" s="1" t="str" cm="1">
        <f t="array" ref="H2120">_xlfn.IFS(
OR(E2120="Type 2 Diabetes",E2120="Essential Hypertension",E2120="Angina Pectoris",E2120="Bronchial Asthma",E2120="Cardiac Arrhythmia"), D2120+30,
OR(E2120="Gastritis",E2120="Osteoarthritis",E2120="Bronchitis",E2120="Iron Deficiency Anemia"), D2120+14,
OR(E2120="Lumbar Strain",E2120="Migraine Headache"), D2120+7,
OR(E2120="Viral Fever",E2120="General Checkup","Routine Health Check"), "",
TRUE,""
)</f>
        <v/>
      </c>
      <c r="I2120" s="1" t="str">
        <f t="shared" si="66"/>
        <v>No Follow-up Required</v>
      </c>
      <c r="J2120" t="str">
        <f>TEXT(Table8[[#This Row],[visit_Date]],"DDDD")</f>
        <v>Monday</v>
      </c>
      <c r="K2120" t="str">
        <f>TEXT(Table8[[#This Row],[visit_Date]],"mmmm")</f>
        <v>March</v>
      </c>
      <c r="L2120" t="str">
        <f t="shared" si="67"/>
        <v>Summer</v>
      </c>
    </row>
    <row r="2121" spans="1:12" x14ac:dyDescent="0.25">
      <c r="A2121">
        <v>2120</v>
      </c>
      <c r="B2121">
        <v>1060</v>
      </c>
      <c r="C2121">
        <v>146</v>
      </c>
      <c r="D2121" s="1">
        <v>45669</v>
      </c>
      <c r="E2121" t="s">
        <v>24</v>
      </c>
      <c r="F2121" t="s">
        <v>321</v>
      </c>
      <c r="G2121" t="str">
        <f>_xlfn.XLOOKUP(TRIM(E2122),MedicineInfo!A:A,MedicineInfo!B:B,"Not Found")</f>
        <v>Multivitamin</v>
      </c>
      <c r="H2121" s="1" t="str" cm="1">
        <f t="array" ref="H2121">_xlfn.IFS(
OR(E2121="Type 2 Diabetes",E2121="Essential Hypertension",E2121="Angina Pectoris",E2121="Bronchial Asthma",E2121="Cardiac Arrhythmia"), D2121+30,
OR(E2121="Gastritis",E2121="Osteoarthritis",E2121="Bronchitis",E2121="Iron Deficiency Anemia"), D2121+14,
OR(E2121="Lumbar Strain",E2121="Migraine Headache"), D2121+7,
OR(E2121="Viral Fever",E2121="General Checkup","Routine Health Check"), "",
TRUE,""
)</f>
        <v/>
      </c>
      <c r="I2121" s="1" t="str">
        <f t="shared" si="66"/>
        <v>No Follow-up Required</v>
      </c>
      <c r="J2121" t="str">
        <f>TEXT(Table8[[#This Row],[visit_Date]],"DDDD")</f>
        <v>Sunday</v>
      </c>
      <c r="K2121" t="str">
        <f>TEXT(Table8[[#This Row],[visit_Date]],"mmmm")</f>
        <v>January</v>
      </c>
      <c r="L2121" t="str">
        <f t="shared" si="67"/>
        <v>Winter</v>
      </c>
    </row>
    <row r="2122" spans="1:12" x14ac:dyDescent="0.25">
      <c r="A2122">
        <v>2121</v>
      </c>
      <c r="B2122">
        <v>1122</v>
      </c>
      <c r="C2122">
        <v>395</v>
      </c>
      <c r="D2122" s="1">
        <v>45747</v>
      </c>
      <c r="E2122" t="s">
        <v>24</v>
      </c>
      <c r="F2122" t="s">
        <v>321</v>
      </c>
      <c r="G2122" t="str">
        <f>_xlfn.XLOOKUP(TRIM(E2123),MedicineInfo!A:A,MedicineInfo!B:B,"Not Found")</f>
        <v>Multivitamin</v>
      </c>
      <c r="H2122" s="1" t="str" cm="1">
        <f t="array" ref="H2122">_xlfn.IFS(
OR(E2122="Type 2 Diabetes",E2122="Essential Hypertension",E2122="Angina Pectoris",E2122="Bronchial Asthma",E2122="Cardiac Arrhythmia"), D2122+30,
OR(E2122="Gastritis",E2122="Osteoarthritis",E2122="Bronchitis",E2122="Iron Deficiency Anemia"), D2122+14,
OR(E2122="Lumbar Strain",E2122="Migraine Headache"), D2122+7,
OR(E2122="Viral Fever",E2122="General Checkup","Routine Health Check"), "",
TRUE,""
)</f>
        <v/>
      </c>
      <c r="I2122" s="1" t="str">
        <f t="shared" si="66"/>
        <v>No Follow-up Required</v>
      </c>
      <c r="J2122" t="str">
        <f>TEXT(Table8[[#This Row],[visit_Date]],"DDDD")</f>
        <v>Monday</v>
      </c>
      <c r="K2122" t="str">
        <f>TEXT(Table8[[#This Row],[visit_Date]],"mmmm")</f>
        <v>March</v>
      </c>
      <c r="L2122" t="str">
        <f t="shared" si="67"/>
        <v>Summer</v>
      </c>
    </row>
    <row r="2123" spans="1:12" x14ac:dyDescent="0.25">
      <c r="A2123">
        <v>2122</v>
      </c>
      <c r="B2123">
        <v>1020</v>
      </c>
      <c r="C2123">
        <v>591</v>
      </c>
      <c r="D2123" s="1">
        <v>45747</v>
      </c>
      <c r="E2123" t="s">
        <v>24</v>
      </c>
      <c r="F2123" t="s">
        <v>321</v>
      </c>
      <c r="G2123" t="str">
        <f>_xlfn.XLOOKUP(TRIM(E2124),MedicineInfo!A:A,MedicineInfo!B:B,"Not Found")</f>
        <v>Neuro Vitamins</v>
      </c>
      <c r="H2123" s="1" t="str" cm="1">
        <f t="array" ref="H2123">_xlfn.IFS(
OR(E2123="Type 2 Diabetes",E2123="Essential Hypertension",E2123="Angina Pectoris",E2123="Bronchial Asthma",E2123="Cardiac Arrhythmia"), D2123+30,
OR(E2123="Gastritis",E2123="Osteoarthritis",E2123="Bronchitis",E2123="Iron Deficiency Anemia"), D2123+14,
OR(E2123="Lumbar Strain",E2123="Migraine Headache"), D2123+7,
OR(E2123="Viral Fever",E2123="General Checkup","Routine Health Check"), "",
TRUE,""
)</f>
        <v/>
      </c>
      <c r="I2123" s="1" t="str">
        <f t="shared" si="66"/>
        <v>No Follow-up Required</v>
      </c>
      <c r="J2123" t="str">
        <f>TEXT(Table8[[#This Row],[visit_Date]],"DDDD")</f>
        <v>Monday</v>
      </c>
      <c r="K2123" t="str">
        <f>TEXT(Table8[[#This Row],[visit_Date]],"mmmm")</f>
        <v>March</v>
      </c>
      <c r="L2123" t="str">
        <f t="shared" si="67"/>
        <v>Summer</v>
      </c>
    </row>
    <row r="2124" spans="1:12" x14ac:dyDescent="0.25">
      <c r="A2124">
        <v>2123</v>
      </c>
      <c r="B2124">
        <v>1299</v>
      </c>
      <c r="C2124">
        <v>505</v>
      </c>
      <c r="D2124" s="1">
        <v>45783</v>
      </c>
      <c r="E2124" t="s">
        <v>342</v>
      </c>
      <c r="F2124" t="s">
        <v>343</v>
      </c>
      <c r="G2124" t="str">
        <f>_xlfn.XLOOKUP(TRIM(E2125),MedicineInfo!A:A,MedicineInfo!B:B,"Not Found")</f>
        <v>Multivitamin</v>
      </c>
      <c r="H2124" s="1" t="str" cm="1">
        <f t="array" ref="H2124">_xlfn.IFS(
OR(E2124="Type 2 Diabetes",E2124="Essential Hypertension",E2124="Angina Pectoris",E2124="Bronchial Asthma",E2124="Cardiac Arrhythmia"), D2124+30,
OR(E2124="Gastritis",E2124="Osteoarthritis",E2124="Bronchitis",E2124="Iron Deficiency Anemia"), D2124+14,
OR(E2124="Lumbar Strain",E2124="Migraine Headache"), D2124+7,
OR(E2124="Viral Fever",E2124="General Checkup","Routine Health Check"), "",
TRUE,""
)</f>
        <v/>
      </c>
      <c r="I2124" s="1" t="str">
        <f t="shared" si="66"/>
        <v>No Follow-up Required</v>
      </c>
      <c r="J2124" t="str">
        <f>TEXT(Table8[[#This Row],[visit_Date]],"DDDD")</f>
        <v>Tuesday</v>
      </c>
      <c r="K2124" t="str">
        <f>TEXT(Table8[[#This Row],[visit_Date]],"mmmm")</f>
        <v>May</v>
      </c>
      <c r="L2124" t="str">
        <f t="shared" si="67"/>
        <v>Summer</v>
      </c>
    </row>
    <row r="2125" spans="1:12" x14ac:dyDescent="0.25">
      <c r="A2125">
        <v>2124</v>
      </c>
      <c r="B2125">
        <v>1311</v>
      </c>
      <c r="C2125">
        <v>1352</v>
      </c>
      <c r="D2125" s="1">
        <v>45694</v>
      </c>
      <c r="E2125" t="s">
        <v>24</v>
      </c>
      <c r="F2125" t="s">
        <v>321</v>
      </c>
      <c r="G2125" t="str">
        <f>_xlfn.XLOOKUP(TRIM(E2126),MedicineInfo!A:A,MedicineInfo!B:B,"Not Found")</f>
        <v>Ferrous Sulfate</v>
      </c>
      <c r="H2125" s="1" t="str" cm="1">
        <f t="array" ref="H2125">_xlfn.IFS(
OR(E2125="Type 2 Diabetes",E2125="Essential Hypertension",E2125="Angina Pectoris",E2125="Bronchial Asthma",E2125="Cardiac Arrhythmia"), D2125+30,
OR(E2125="Gastritis",E2125="Osteoarthritis",E2125="Bronchitis",E2125="Iron Deficiency Anemia"), D2125+14,
OR(E2125="Lumbar Strain",E2125="Migraine Headache"), D2125+7,
OR(E2125="Viral Fever",E2125="General Checkup","Routine Health Check"), "",
TRUE,""
)</f>
        <v/>
      </c>
      <c r="I2125" s="1" t="str">
        <f t="shared" si="66"/>
        <v>No Follow-up Required</v>
      </c>
      <c r="J2125" t="str">
        <f>TEXT(Table8[[#This Row],[visit_Date]],"DDDD")</f>
        <v>Thursday</v>
      </c>
      <c r="K2125" t="str">
        <f>TEXT(Table8[[#This Row],[visit_Date]],"mmmm")</f>
        <v>February</v>
      </c>
      <c r="L2125" t="str">
        <f t="shared" si="67"/>
        <v>Winter</v>
      </c>
    </row>
    <row r="2126" spans="1:12" x14ac:dyDescent="0.25">
      <c r="A2126">
        <v>2125</v>
      </c>
      <c r="B2126">
        <v>1335</v>
      </c>
      <c r="C2126">
        <v>771</v>
      </c>
      <c r="D2126" s="1">
        <v>45853</v>
      </c>
      <c r="E2126" t="s">
        <v>358</v>
      </c>
      <c r="F2126" t="s">
        <v>359</v>
      </c>
      <c r="G2126" t="str">
        <f>_xlfn.XLOOKUP(TRIM(E2127),MedicineInfo!A:A,MedicineInfo!B:B,"Not Found")</f>
        <v>Diclofenac</v>
      </c>
      <c r="H2126" s="1" cm="1">
        <f t="array" ref="H2126">_xlfn.IFS(
OR(E2126="Type 2 Diabetes",E2126="Essential Hypertension",E2126="Angina Pectoris",E2126="Bronchial Asthma",E2126="Cardiac Arrhythmia"), D2126+30,
OR(E2126="Gastritis",E2126="Osteoarthritis",E2126="Bronchitis",E2126="Iron Deficiency Anemia"), D2126+14,
OR(E2126="Lumbar Strain",E2126="Migraine Headache"), D2126+7,
OR(E2126="Viral Fever",E2126="General Checkup","Routine Health Check"), "",
TRUE,""
)</f>
        <v>45867</v>
      </c>
      <c r="I2126" s="1" t="str">
        <f t="shared" si="66"/>
        <v>Follow-up Scheduled</v>
      </c>
      <c r="J2126" t="str">
        <f>TEXT(Table8[[#This Row],[visit_Date]],"DDDD")</f>
        <v>Tuesday</v>
      </c>
      <c r="K2126" t="str">
        <f>TEXT(Table8[[#This Row],[visit_Date]],"mmmm")</f>
        <v>July</v>
      </c>
      <c r="L2126" t="str">
        <f t="shared" si="67"/>
        <v>Monsoon</v>
      </c>
    </row>
    <row r="2127" spans="1:12" x14ac:dyDescent="0.25">
      <c r="A2127">
        <v>2126</v>
      </c>
      <c r="B2127">
        <v>1330</v>
      </c>
      <c r="C2127">
        <v>1058</v>
      </c>
      <c r="D2127" s="1">
        <v>45659</v>
      </c>
      <c r="E2127" t="s">
        <v>313</v>
      </c>
      <c r="F2127" t="s">
        <v>314</v>
      </c>
      <c r="G2127" t="str">
        <f>_xlfn.XLOOKUP(TRIM(E2128),MedicineInfo!A:A,MedicineInfo!B:B,"Not Found")</f>
        <v>Multivitamin</v>
      </c>
      <c r="H2127" s="1" cm="1">
        <f t="array" ref="H2127">_xlfn.IFS(
OR(E2127="Type 2 Diabetes",E2127="Essential Hypertension",E2127="Angina Pectoris",E2127="Bronchial Asthma",E2127="Cardiac Arrhythmia"), D2127+30,
OR(E2127="Gastritis",E2127="Osteoarthritis",E2127="Bronchitis",E2127="Iron Deficiency Anemia"), D2127+14,
OR(E2127="Lumbar Strain",E2127="Migraine Headache"), D2127+7,
OR(E2127="Viral Fever",E2127="General Checkup","Routine Health Check"), "",
TRUE,""
)</f>
        <v>45666</v>
      </c>
      <c r="I2127" s="1" t="str">
        <f t="shared" si="66"/>
        <v>Follow-up Scheduled</v>
      </c>
      <c r="J2127" t="str">
        <f>TEXT(Table8[[#This Row],[visit_Date]],"DDDD")</f>
        <v>Thursday</v>
      </c>
      <c r="K2127" t="str">
        <f>TEXT(Table8[[#This Row],[visit_Date]],"mmmm")</f>
        <v>January</v>
      </c>
      <c r="L2127" t="str">
        <f t="shared" si="67"/>
        <v>Winter</v>
      </c>
    </row>
    <row r="2128" spans="1:12" x14ac:dyDescent="0.25">
      <c r="A2128">
        <v>2127</v>
      </c>
      <c r="B2128">
        <v>1389</v>
      </c>
      <c r="C2128">
        <v>655</v>
      </c>
      <c r="D2128" s="1">
        <v>45746</v>
      </c>
      <c r="E2128" t="s">
        <v>24</v>
      </c>
      <c r="F2128" t="s">
        <v>321</v>
      </c>
      <c r="G2128" t="str">
        <f>_xlfn.XLOOKUP(TRIM(E2129),MedicineInfo!A:A,MedicineInfo!B:B,"Not Found")</f>
        <v>Multivitamin</v>
      </c>
      <c r="H2128" s="1" t="str" cm="1">
        <f t="array" ref="H2128">_xlfn.IFS(
OR(E2128="Type 2 Diabetes",E2128="Essential Hypertension",E2128="Angina Pectoris",E2128="Bronchial Asthma",E2128="Cardiac Arrhythmia"), D2128+30,
OR(E2128="Gastritis",E2128="Osteoarthritis",E2128="Bronchitis",E2128="Iron Deficiency Anemia"), D2128+14,
OR(E2128="Lumbar Strain",E2128="Migraine Headache"), D2128+7,
OR(E2128="Viral Fever",E2128="General Checkup","Routine Health Check"), "",
TRUE,""
)</f>
        <v/>
      </c>
      <c r="I2128" s="1" t="str">
        <f t="shared" si="66"/>
        <v>No Follow-up Required</v>
      </c>
      <c r="J2128" t="str">
        <f>TEXT(Table8[[#This Row],[visit_Date]],"DDDD")</f>
        <v>Sunday</v>
      </c>
      <c r="K2128" t="str">
        <f>TEXT(Table8[[#This Row],[visit_Date]],"mmmm")</f>
        <v>March</v>
      </c>
      <c r="L2128" t="str">
        <f t="shared" si="67"/>
        <v>Summer</v>
      </c>
    </row>
    <row r="2129" spans="1:12" x14ac:dyDescent="0.25">
      <c r="A2129">
        <v>2128</v>
      </c>
      <c r="B2129">
        <v>1158</v>
      </c>
      <c r="C2129">
        <v>693</v>
      </c>
      <c r="D2129" s="1">
        <v>45767</v>
      </c>
      <c r="E2129" t="s">
        <v>24</v>
      </c>
      <c r="F2129" t="s">
        <v>321</v>
      </c>
      <c r="G2129" t="str">
        <f>_xlfn.XLOOKUP(TRIM(E2130),MedicineInfo!A:A,MedicineInfo!B:B,"Not Found")</f>
        <v>Multivitamin</v>
      </c>
      <c r="H2129" s="1" t="str" cm="1">
        <f t="array" ref="H2129">_xlfn.IFS(
OR(E2129="Type 2 Diabetes",E2129="Essential Hypertension",E2129="Angina Pectoris",E2129="Bronchial Asthma",E2129="Cardiac Arrhythmia"), D2129+30,
OR(E2129="Gastritis",E2129="Osteoarthritis",E2129="Bronchitis",E2129="Iron Deficiency Anemia"), D2129+14,
OR(E2129="Lumbar Strain",E2129="Migraine Headache"), D2129+7,
OR(E2129="Viral Fever",E2129="General Checkup","Routine Health Check"), "",
TRUE,""
)</f>
        <v/>
      </c>
      <c r="I2129" s="1" t="str">
        <f t="shared" si="66"/>
        <v>No Follow-up Required</v>
      </c>
      <c r="J2129" t="str">
        <f>TEXT(Table8[[#This Row],[visit_Date]],"DDDD")</f>
        <v>Sunday</v>
      </c>
      <c r="K2129" t="str">
        <f>TEXT(Table8[[#This Row],[visit_Date]],"mmmm")</f>
        <v>April</v>
      </c>
      <c r="L2129" t="str">
        <f t="shared" si="67"/>
        <v>Summer</v>
      </c>
    </row>
    <row r="2130" spans="1:12" x14ac:dyDescent="0.25">
      <c r="A2130">
        <v>2129</v>
      </c>
      <c r="B2130">
        <v>1060</v>
      </c>
      <c r="C2130">
        <v>962</v>
      </c>
      <c r="D2130" s="1">
        <v>45704</v>
      </c>
      <c r="E2130" t="s">
        <v>24</v>
      </c>
      <c r="F2130" t="s">
        <v>321</v>
      </c>
      <c r="G2130" t="str">
        <f>_xlfn.XLOOKUP(TRIM(E2131),MedicineInfo!A:A,MedicineInfo!B:B,"Not Found")</f>
        <v>Multivitamin</v>
      </c>
      <c r="H2130" s="1" t="str" cm="1">
        <f t="array" ref="H2130">_xlfn.IFS(
OR(E2130="Type 2 Diabetes",E2130="Essential Hypertension",E2130="Angina Pectoris",E2130="Bronchial Asthma",E2130="Cardiac Arrhythmia"), D2130+30,
OR(E2130="Gastritis",E2130="Osteoarthritis",E2130="Bronchitis",E2130="Iron Deficiency Anemia"), D2130+14,
OR(E2130="Lumbar Strain",E2130="Migraine Headache"), D2130+7,
OR(E2130="Viral Fever",E2130="General Checkup","Routine Health Check"), "",
TRUE,""
)</f>
        <v/>
      </c>
      <c r="I2130" s="1" t="str">
        <f t="shared" si="66"/>
        <v>No Follow-up Required</v>
      </c>
      <c r="J2130" t="str">
        <f>TEXT(Table8[[#This Row],[visit_Date]],"DDDD")</f>
        <v>Sunday</v>
      </c>
      <c r="K2130" t="str">
        <f>TEXT(Table8[[#This Row],[visit_Date]],"mmmm")</f>
        <v>February</v>
      </c>
      <c r="L2130" t="str">
        <f t="shared" si="67"/>
        <v>Winter</v>
      </c>
    </row>
    <row r="2131" spans="1:12" x14ac:dyDescent="0.25">
      <c r="A2131">
        <v>2130</v>
      </c>
      <c r="B2131">
        <v>1249</v>
      </c>
      <c r="C2131">
        <v>757</v>
      </c>
      <c r="D2131" s="1">
        <v>45799</v>
      </c>
      <c r="E2131" t="s">
        <v>24</v>
      </c>
      <c r="F2131" t="s">
        <v>321</v>
      </c>
      <c r="G2131" t="str">
        <f>_xlfn.XLOOKUP(TRIM(E2132),MedicineInfo!A:A,MedicineInfo!B:B,"Not Found")</f>
        <v>Multivitamin</v>
      </c>
      <c r="H2131" s="1" t="str" cm="1">
        <f t="array" ref="H2131">_xlfn.IFS(
OR(E2131="Type 2 Diabetes",E2131="Essential Hypertension",E2131="Angina Pectoris",E2131="Bronchial Asthma",E2131="Cardiac Arrhythmia"), D2131+30,
OR(E2131="Gastritis",E2131="Osteoarthritis",E2131="Bronchitis",E2131="Iron Deficiency Anemia"), D2131+14,
OR(E2131="Lumbar Strain",E2131="Migraine Headache"), D2131+7,
OR(E2131="Viral Fever",E2131="General Checkup","Routine Health Check"), "",
TRUE,""
)</f>
        <v/>
      </c>
      <c r="I2131" s="1" t="str">
        <f t="shared" si="66"/>
        <v>No Follow-up Required</v>
      </c>
      <c r="J2131" t="str">
        <f>TEXT(Table8[[#This Row],[visit_Date]],"DDDD")</f>
        <v>Thursday</v>
      </c>
      <c r="K2131" t="str">
        <f>TEXT(Table8[[#This Row],[visit_Date]],"mmmm")</f>
        <v>May</v>
      </c>
      <c r="L2131" t="str">
        <f t="shared" si="67"/>
        <v>Summer</v>
      </c>
    </row>
    <row r="2132" spans="1:12" x14ac:dyDescent="0.25">
      <c r="A2132">
        <v>2131</v>
      </c>
      <c r="B2132">
        <v>1253</v>
      </c>
      <c r="C2132">
        <v>657</v>
      </c>
      <c r="D2132" s="1">
        <v>45686</v>
      </c>
      <c r="E2132" t="s">
        <v>24</v>
      </c>
      <c r="F2132" t="s">
        <v>321</v>
      </c>
      <c r="G2132" t="str">
        <f>_xlfn.XLOOKUP(TRIM(E2133),MedicineInfo!A:A,MedicineInfo!B:B,"Not Found")</f>
        <v>Multivitamin</v>
      </c>
      <c r="H2132" s="1" t="str" cm="1">
        <f t="array" ref="H2132">_xlfn.IFS(
OR(E2132="Type 2 Diabetes",E2132="Essential Hypertension",E2132="Angina Pectoris",E2132="Bronchial Asthma",E2132="Cardiac Arrhythmia"), D2132+30,
OR(E2132="Gastritis",E2132="Osteoarthritis",E2132="Bronchitis",E2132="Iron Deficiency Anemia"), D2132+14,
OR(E2132="Lumbar Strain",E2132="Migraine Headache"), D2132+7,
OR(E2132="Viral Fever",E2132="General Checkup","Routine Health Check"), "",
TRUE,""
)</f>
        <v/>
      </c>
      <c r="I2132" s="1" t="str">
        <f t="shared" si="66"/>
        <v>No Follow-up Required</v>
      </c>
      <c r="J2132" t="str">
        <f>TEXT(Table8[[#This Row],[visit_Date]],"DDDD")</f>
        <v>Wednesday</v>
      </c>
      <c r="K2132" t="str">
        <f>TEXT(Table8[[#This Row],[visit_Date]],"mmmm")</f>
        <v>January</v>
      </c>
      <c r="L2132" t="str">
        <f t="shared" si="67"/>
        <v>Winter</v>
      </c>
    </row>
    <row r="2133" spans="1:12" x14ac:dyDescent="0.25">
      <c r="A2133">
        <v>2132</v>
      </c>
      <c r="B2133">
        <v>1203</v>
      </c>
      <c r="C2133">
        <v>430</v>
      </c>
      <c r="D2133" s="1">
        <v>45819</v>
      </c>
      <c r="E2133" t="s">
        <v>24</v>
      </c>
      <c r="F2133" t="s">
        <v>321</v>
      </c>
      <c r="G2133" t="str">
        <f>_xlfn.XLOOKUP(TRIM(E2134),MedicineInfo!A:A,MedicineInfo!B:B,"Not Found")</f>
        <v>Multivitamin</v>
      </c>
      <c r="H2133" s="1" t="str" cm="1">
        <f t="array" ref="H2133">_xlfn.IFS(
OR(E2133="Type 2 Diabetes",E2133="Essential Hypertension",E2133="Angina Pectoris",E2133="Bronchial Asthma",E2133="Cardiac Arrhythmia"), D2133+30,
OR(E2133="Gastritis",E2133="Osteoarthritis",E2133="Bronchitis",E2133="Iron Deficiency Anemia"), D2133+14,
OR(E2133="Lumbar Strain",E2133="Migraine Headache"), D2133+7,
OR(E2133="Viral Fever",E2133="General Checkup","Routine Health Check"), "",
TRUE,""
)</f>
        <v/>
      </c>
      <c r="I2133" s="1" t="str">
        <f t="shared" si="66"/>
        <v>No Follow-up Required</v>
      </c>
      <c r="J2133" t="str">
        <f>TEXT(Table8[[#This Row],[visit_Date]],"DDDD")</f>
        <v>Wednesday</v>
      </c>
      <c r="K2133" t="str">
        <f>TEXT(Table8[[#This Row],[visit_Date]],"mmmm")</f>
        <v>June</v>
      </c>
      <c r="L2133" t="str">
        <f t="shared" si="67"/>
        <v>Monsoon</v>
      </c>
    </row>
    <row r="2134" spans="1:12" x14ac:dyDescent="0.25">
      <c r="A2134">
        <v>2133</v>
      </c>
      <c r="B2134">
        <v>1123</v>
      </c>
      <c r="C2134">
        <v>1131</v>
      </c>
      <c r="D2134" s="1">
        <v>45792</v>
      </c>
      <c r="E2134" t="s">
        <v>24</v>
      </c>
      <c r="F2134" t="s">
        <v>321</v>
      </c>
      <c r="G2134" t="str">
        <f>_xlfn.XLOOKUP(TRIM(E2135),MedicineInfo!A:A,MedicineInfo!B:B,"Not Found")</f>
        <v>Multivitamin</v>
      </c>
      <c r="H2134" s="1" t="str" cm="1">
        <f t="array" ref="H2134">_xlfn.IFS(
OR(E2134="Type 2 Diabetes",E2134="Essential Hypertension",E2134="Angina Pectoris",E2134="Bronchial Asthma",E2134="Cardiac Arrhythmia"), D2134+30,
OR(E2134="Gastritis",E2134="Osteoarthritis",E2134="Bronchitis",E2134="Iron Deficiency Anemia"), D2134+14,
OR(E2134="Lumbar Strain",E2134="Migraine Headache"), D2134+7,
OR(E2134="Viral Fever",E2134="General Checkup","Routine Health Check"), "",
TRUE,""
)</f>
        <v/>
      </c>
      <c r="I2134" s="1" t="str">
        <f t="shared" si="66"/>
        <v>No Follow-up Required</v>
      </c>
      <c r="J2134" t="str">
        <f>TEXT(Table8[[#This Row],[visit_Date]],"DDDD")</f>
        <v>Thursday</v>
      </c>
      <c r="K2134" t="str">
        <f>TEXT(Table8[[#This Row],[visit_Date]],"mmmm")</f>
        <v>May</v>
      </c>
      <c r="L2134" t="str">
        <f t="shared" si="67"/>
        <v>Summer</v>
      </c>
    </row>
    <row r="2135" spans="1:12" x14ac:dyDescent="0.25">
      <c r="A2135">
        <v>2134</v>
      </c>
      <c r="B2135">
        <v>1006</v>
      </c>
      <c r="C2135">
        <v>545</v>
      </c>
      <c r="D2135" s="1">
        <v>45861</v>
      </c>
      <c r="E2135" t="s">
        <v>24</v>
      </c>
      <c r="F2135" t="s">
        <v>321</v>
      </c>
      <c r="G2135" t="str">
        <f>_xlfn.XLOOKUP(TRIM(E2136),MedicineInfo!A:A,MedicineInfo!B:B,"Not Found")</f>
        <v>Multivitamin</v>
      </c>
      <c r="H2135" s="1" t="str" cm="1">
        <f t="array" ref="H2135">_xlfn.IFS(
OR(E2135="Type 2 Diabetes",E2135="Essential Hypertension",E2135="Angina Pectoris",E2135="Bronchial Asthma",E2135="Cardiac Arrhythmia"), D2135+30,
OR(E2135="Gastritis",E2135="Osteoarthritis",E2135="Bronchitis",E2135="Iron Deficiency Anemia"), D2135+14,
OR(E2135="Lumbar Strain",E2135="Migraine Headache"), D2135+7,
OR(E2135="Viral Fever",E2135="General Checkup","Routine Health Check"), "",
TRUE,""
)</f>
        <v/>
      </c>
      <c r="I2135" s="1" t="str">
        <f t="shared" si="66"/>
        <v>No Follow-up Required</v>
      </c>
      <c r="J2135" t="str">
        <f>TEXT(Table8[[#This Row],[visit_Date]],"DDDD")</f>
        <v>Wednesday</v>
      </c>
      <c r="K2135" t="str">
        <f>TEXT(Table8[[#This Row],[visit_Date]],"mmmm")</f>
        <v>July</v>
      </c>
      <c r="L2135" t="str">
        <f t="shared" si="67"/>
        <v>Monsoon</v>
      </c>
    </row>
    <row r="2136" spans="1:12" x14ac:dyDescent="0.25">
      <c r="A2136">
        <v>2135</v>
      </c>
      <c r="B2136">
        <v>1188</v>
      </c>
      <c r="C2136">
        <v>819</v>
      </c>
      <c r="D2136" s="1">
        <v>45823</v>
      </c>
      <c r="E2136" t="s">
        <v>24</v>
      </c>
      <c r="F2136" t="s">
        <v>321</v>
      </c>
      <c r="G2136" t="str">
        <f>_xlfn.XLOOKUP(TRIM(E2137),MedicineInfo!A:A,MedicineInfo!B:B,"Not Found")</f>
        <v>Multivitamin</v>
      </c>
      <c r="H2136" s="1" t="str" cm="1">
        <f t="array" ref="H2136">_xlfn.IFS(
OR(E2136="Type 2 Diabetes",E2136="Essential Hypertension",E2136="Angina Pectoris",E2136="Bronchial Asthma",E2136="Cardiac Arrhythmia"), D2136+30,
OR(E2136="Gastritis",E2136="Osteoarthritis",E2136="Bronchitis",E2136="Iron Deficiency Anemia"), D2136+14,
OR(E2136="Lumbar Strain",E2136="Migraine Headache"), D2136+7,
OR(E2136="Viral Fever",E2136="General Checkup","Routine Health Check"), "",
TRUE,""
)</f>
        <v/>
      </c>
      <c r="I2136" s="1" t="str">
        <f t="shared" si="66"/>
        <v>No Follow-up Required</v>
      </c>
      <c r="J2136" t="str">
        <f>TEXT(Table8[[#This Row],[visit_Date]],"DDDD")</f>
        <v>Sunday</v>
      </c>
      <c r="K2136" t="str">
        <f>TEXT(Table8[[#This Row],[visit_Date]],"mmmm")</f>
        <v>June</v>
      </c>
      <c r="L2136" t="str">
        <f t="shared" si="67"/>
        <v>Monsoon</v>
      </c>
    </row>
    <row r="2137" spans="1:12" x14ac:dyDescent="0.25">
      <c r="A2137">
        <v>2136</v>
      </c>
      <c r="B2137">
        <v>1028</v>
      </c>
      <c r="C2137">
        <v>1232</v>
      </c>
      <c r="D2137" s="1">
        <v>45808</v>
      </c>
      <c r="E2137" t="s">
        <v>24</v>
      </c>
      <c r="F2137" t="s">
        <v>321</v>
      </c>
      <c r="G2137" t="str">
        <f>_xlfn.XLOOKUP(TRIM(E2138),MedicineInfo!A:A,MedicineInfo!B:B,"Not Found")</f>
        <v>Multivitamin</v>
      </c>
      <c r="H2137" s="1" t="str" cm="1">
        <f t="array" ref="H2137">_xlfn.IFS(
OR(E2137="Type 2 Diabetes",E2137="Essential Hypertension",E2137="Angina Pectoris",E2137="Bronchial Asthma",E2137="Cardiac Arrhythmia"), D2137+30,
OR(E2137="Gastritis",E2137="Osteoarthritis",E2137="Bronchitis",E2137="Iron Deficiency Anemia"), D2137+14,
OR(E2137="Lumbar Strain",E2137="Migraine Headache"), D2137+7,
OR(E2137="Viral Fever",E2137="General Checkup","Routine Health Check"), "",
TRUE,""
)</f>
        <v/>
      </c>
      <c r="I2137" s="1" t="str">
        <f t="shared" si="66"/>
        <v>No Follow-up Required</v>
      </c>
      <c r="J2137" t="str">
        <f>TEXT(Table8[[#This Row],[visit_Date]],"DDDD")</f>
        <v>Saturday</v>
      </c>
      <c r="K2137" t="str">
        <f>TEXT(Table8[[#This Row],[visit_Date]],"mmmm")</f>
        <v>May</v>
      </c>
      <c r="L2137" t="str">
        <f t="shared" si="67"/>
        <v>Summer</v>
      </c>
    </row>
    <row r="2138" spans="1:12" x14ac:dyDescent="0.25">
      <c r="A2138">
        <v>2137</v>
      </c>
      <c r="B2138">
        <v>1206</v>
      </c>
      <c r="C2138">
        <v>1294</v>
      </c>
      <c r="D2138" s="1">
        <v>45791</v>
      </c>
      <c r="E2138" t="s">
        <v>24</v>
      </c>
      <c r="F2138" t="s">
        <v>321</v>
      </c>
      <c r="G2138" t="str">
        <f>_xlfn.XLOOKUP(TRIM(E2139),MedicineInfo!A:A,MedicineInfo!B:B,"Not Found")</f>
        <v>Multivitamin</v>
      </c>
      <c r="H2138" s="1" t="str" cm="1">
        <f t="array" ref="H2138">_xlfn.IFS(
OR(E2138="Type 2 Diabetes",E2138="Essential Hypertension",E2138="Angina Pectoris",E2138="Bronchial Asthma",E2138="Cardiac Arrhythmia"), D2138+30,
OR(E2138="Gastritis",E2138="Osteoarthritis",E2138="Bronchitis",E2138="Iron Deficiency Anemia"), D2138+14,
OR(E2138="Lumbar Strain",E2138="Migraine Headache"), D2138+7,
OR(E2138="Viral Fever",E2138="General Checkup","Routine Health Check"), "",
TRUE,""
)</f>
        <v/>
      </c>
      <c r="I2138" s="1" t="str">
        <f t="shared" si="66"/>
        <v>No Follow-up Required</v>
      </c>
      <c r="J2138" t="str">
        <f>TEXT(Table8[[#This Row],[visit_Date]],"DDDD")</f>
        <v>Wednesday</v>
      </c>
      <c r="K2138" t="str">
        <f>TEXT(Table8[[#This Row],[visit_Date]],"mmmm")</f>
        <v>May</v>
      </c>
      <c r="L2138" t="str">
        <f t="shared" si="67"/>
        <v>Summer</v>
      </c>
    </row>
    <row r="2139" spans="1:12" x14ac:dyDescent="0.25">
      <c r="A2139">
        <v>2138</v>
      </c>
      <c r="B2139">
        <v>1213</v>
      </c>
      <c r="C2139">
        <v>763</v>
      </c>
      <c r="D2139" s="1">
        <v>45676</v>
      </c>
      <c r="E2139" t="s">
        <v>24</v>
      </c>
      <c r="F2139" t="s">
        <v>321</v>
      </c>
      <c r="G2139" t="str">
        <f>_xlfn.XLOOKUP(TRIM(E2140),MedicineInfo!A:A,MedicineInfo!B:B,"Not Found")</f>
        <v>Multivitamin</v>
      </c>
      <c r="H2139" s="1" t="str" cm="1">
        <f t="array" ref="H2139">_xlfn.IFS(
OR(E2139="Type 2 Diabetes",E2139="Essential Hypertension",E2139="Angina Pectoris",E2139="Bronchial Asthma",E2139="Cardiac Arrhythmia"), D2139+30,
OR(E2139="Gastritis",E2139="Osteoarthritis",E2139="Bronchitis",E2139="Iron Deficiency Anemia"), D2139+14,
OR(E2139="Lumbar Strain",E2139="Migraine Headache"), D2139+7,
OR(E2139="Viral Fever",E2139="General Checkup","Routine Health Check"), "",
TRUE,""
)</f>
        <v/>
      </c>
      <c r="I2139" s="1" t="str">
        <f t="shared" si="66"/>
        <v>No Follow-up Required</v>
      </c>
      <c r="J2139" t="str">
        <f>TEXT(Table8[[#This Row],[visit_Date]],"DDDD")</f>
        <v>Sunday</v>
      </c>
      <c r="K2139" t="str">
        <f>TEXT(Table8[[#This Row],[visit_Date]],"mmmm")</f>
        <v>January</v>
      </c>
      <c r="L2139" t="str">
        <f t="shared" si="67"/>
        <v>Winter</v>
      </c>
    </row>
    <row r="2140" spans="1:12" x14ac:dyDescent="0.25">
      <c r="A2140">
        <v>2139</v>
      </c>
      <c r="B2140">
        <v>1377</v>
      </c>
      <c r="C2140">
        <v>712</v>
      </c>
      <c r="D2140" s="1">
        <v>45751</v>
      </c>
      <c r="E2140" t="s">
        <v>24</v>
      </c>
      <c r="F2140" t="s">
        <v>321</v>
      </c>
      <c r="G2140" t="str">
        <f>_xlfn.XLOOKUP(TRIM(E2141),MedicineInfo!A:A,MedicineInfo!B:B,"Not Found")</f>
        <v>Multivitamin</v>
      </c>
      <c r="H2140" s="1" t="str" cm="1">
        <f t="array" ref="H2140">_xlfn.IFS(
OR(E2140="Type 2 Diabetes",E2140="Essential Hypertension",E2140="Angina Pectoris",E2140="Bronchial Asthma",E2140="Cardiac Arrhythmia"), D2140+30,
OR(E2140="Gastritis",E2140="Osteoarthritis",E2140="Bronchitis",E2140="Iron Deficiency Anemia"), D2140+14,
OR(E2140="Lumbar Strain",E2140="Migraine Headache"), D2140+7,
OR(E2140="Viral Fever",E2140="General Checkup","Routine Health Check"), "",
TRUE,""
)</f>
        <v/>
      </c>
      <c r="I2140" s="1" t="str">
        <f t="shared" si="66"/>
        <v>No Follow-up Required</v>
      </c>
      <c r="J2140" t="str">
        <f>TEXT(Table8[[#This Row],[visit_Date]],"DDDD")</f>
        <v>Friday</v>
      </c>
      <c r="K2140" t="str">
        <f>TEXT(Table8[[#This Row],[visit_Date]],"mmmm")</f>
        <v>April</v>
      </c>
      <c r="L2140" t="str">
        <f t="shared" si="67"/>
        <v>Summer</v>
      </c>
    </row>
    <row r="2141" spans="1:12" x14ac:dyDescent="0.25">
      <c r="A2141">
        <v>2140</v>
      </c>
      <c r="B2141">
        <v>1377</v>
      </c>
      <c r="C2141">
        <v>1334</v>
      </c>
      <c r="D2141" s="1">
        <v>45660</v>
      </c>
      <c r="E2141" t="s">
        <v>24</v>
      </c>
      <c r="F2141" t="s">
        <v>321</v>
      </c>
      <c r="G2141" t="str">
        <f>_xlfn.XLOOKUP(TRIM(E2142),MedicineInfo!A:A,MedicineInfo!B:B,"Not Found")</f>
        <v>Multivitamin</v>
      </c>
      <c r="H2141" s="1" t="str" cm="1">
        <f t="array" ref="H2141">_xlfn.IFS(
OR(E2141="Type 2 Diabetes",E2141="Essential Hypertension",E2141="Angina Pectoris",E2141="Bronchial Asthma",E2141="Cardiac Arrhythmia"), D2141+30,
OR(E2141="Gastritis",E2141="Osteoarthritis",E2141="Bronchitis",E2141="Iron Deficiency Anemia"), D2141+14,
OR(E2141="Lumbar Strain",E2141="Migraine Headache"), D2141+7,
OR(E2141="Viral Fever",E2141="General Checkup","Routine Health Check"), "",
TRUE,""
)</f>
        <v/>
      </c>
      <c r="I2141" s="1" t="str">
        <f t="shared" si="66"/>
        <v>No Follow-up Required</v>
      </c>
      <c r="J2141" t="str">
        <f>TEXT(Table8[[#This Row],[visit_Date]],"DDDD")</f>
        <v>Friday</v>
      </c>
      <c r="K2141" t="str">
        <f>TEXT(Table8[[#This Row],[visit_Date]],"mmmm")</f>
        <v>January</v>
      </c>
      <c r="L2141" t="str">
        <f t="shared" si="67"/>
        <v>Winter</v>
      </c>
    </row>
    <row r="2142" spans="1:12" x14ac:dyDescent="0.25">
      <c r="A2142">
        <v>2141</v>
      </c>
      <c r="B2142">
        <v>1141</v>
      </c>
      <c r="C2142">
        <v>961</v>
      </c>
      <c r="D2142" s="1">
        <v>45799</v>
      </c>
      <c r="E2142" t="s">
        <v>24</v>
      </c>
      <c r="F2142" t="s">
        <v>321</v>
      </c>
      <c r="G2142" t="str">
        <f>_xlfn.XLOOKUP(TRIM(E2143),MedicineInfo!A:A,MedicineInfo!B:B,"Not Found")</f>
        <v>Multivitamin</v>
      </c>
      <c r="H2142" s="1" t="str" cm="1">
        <f t="array" ref="H2142">_xlfn.IFS(
OR(E2142="Type 2 Diabetes",E2142="Essential Hypertension",E2142="Angina Pectoris",E2142="Bronchial Asthma",E2142="Cardiac Arrhythmia"), D2142+30,
OR(E2142="Gastritis",E2142="Osteoarthritis",E2142="Bronchitis",E2142="Iron Deficiency Anemia"), D2142+14,
OR(E2142="Lumbar Strain",E2142="Migraine Headache"), D2142+7,
OR(E2142="Viral Fever",E2142="General Checkup","Routine Health Check"), "",
TRUE,""
)</f>
        <v/>
      </c>
      <c r="I2142" s="1" t="str">
        <f t="shared" si="66"/>
        <v>No Follow-up Required</v>
      </c>
      <c r="J2142" t="str">
        <f>TEXT(Table8[[#This Row],[visit_Date]],"DDDD")</f>
        <v>Thursday</v>
      </c>
      <c r="K2142" t="str">
        <f>TEXT(Table8[[#This Row],[visit_Date]],"mmmm")</f>
        <v>May</v>
      </c>
      <c r="L2142" t="str">
        <f t="shared" si="67"/>
        <v>Summer</v>
      </c>
    </row>
    <row r="2143" spans="1:12" x14ac:dyDescent="0.25">
      <c r="A2143">
        <v>2142</v>
      </c>
      <c r="B2143">
        <v>1170</v>
      </c>
      <c r="C2143">
        <v>1412</v>
      </c>
      <c r="D2143" s="1">
        <v>45814</v>
      </c>
      <c r="E2143" t="s">
        <v>24</v>
      </c>
      <c r="F2143" t="s">
        <v>321</v>
      </c>
      <c r="G2143" t="str">
        <f>_xlfn.XLOOKUP(TRIM(E2144),MedicineInfo!A:A,MedicineInfo!B:B,"Not Found")</f>
        <v>Multivitamin</v>
      </c>
      <c r="H2143" s="1" t="str" cm="1">
        <f t="array" ref="H2143">_xlfn.IFS(
OR(E2143="Type 2 Diabetes",E2143="Essential Hypertension",E2143="Angina Pectoris",E2143="Bronchial Asthma",E2143="Cardiac Arrhythmia"), D2143+30,
OR(E2143="Gastritis",E2143="Osteoarthritis",E2143="Bronchitis",E2143="Iron Deficiency Anemia"), D2143+14,
OR(E2143="Lumbar Strain",E2143="Migraine Headache"), D2143+7,
OR(E2143="Viral Fever",E2143="General Checkup","Routine Health Check"), "",
TRUE,""
)</f>
        <v/>
      </c>
      <c r="I2143" s="1" t="str">
        <f t="shared" si="66"/>
        <v>No Follow-up Required</v>
      </c>
      <c r="J2143" t="str">
        <f>TEXT(Table8[[#This Row],[visit_Date]],"DDDD")</f>
        <v>Friday</v>
      </c>
      <c r="K2143" t="str">
        <f>TEXT(Table8[[#This Row],[visit_Date]],"mmmm")</f>
        <v>June</v>
      </c>
      <c r="L2143" t="str">
        <f t="shared" si="67"/>
        <v>Monsoon</v>
      </c>
    </row>
    <row r="2144" spans="1:12" x14ac:dyDescent="0.25">
      <c r="A2144">
        <v>2143</v>
      </c>
      <c r="B2144">
        <v>1370</v>
      </c>
      <c r="C2144">
        <v>608</v>
      </c>
      <c r="D2144" s="1">
        <v>45823</v>
      </c>
      <c r="E2144" t="s">
        <v>24</v>
      </c>
      <c r="F2144" t="s">
        <v>321</v>
      </c>
      <c r="G2144" t="str">
        <f>_xlfn.XLOOKUP(TRIM(E2145),MedicineInfo!A:A,MedicineInfo!B:B,"Not Found")</f>
        <v>Hydrocortisone Cream</v>
      </c>
      <c r="H2144" s="1" t="str" cm="1">
        <f t="array" ref="H2144">_xlfn.IFS(
OR(E2144="Type 2 Diabetes",E2144="Essential Hypertension",E2144="Angina Pectoris",E2144="Bronchial Asthma",E2144="Cardiac Arrhythmia"), D2144+30,
OR(E2144="Gastritis",E2144="Osteoarthritis",E2144="Bronchitis",E2144="Iron Deficiency Anemia"), D2144+14,
OR(E2144="Lumbar Strain",E2144="Migraine Headache"), D2144+7,
OR(E2144="Viral Fever",E2144="General Checkup","Routine Health Check"), "",
TRUE,""
)</f>
        <v/>
      </c>
      <c r="I2144" s="1" t="str">
        <f t="shared" si="66"/>
        <v>No Follow-up Required</v>
      </c>
      <c r="J2144" t="str">
        <f>TEXT(Table8[[#This Row],[visit_Date]],"DDDD")</f>
        <v>Sunday</v>
      </c>
      <c r="K2144" t="str">
        <f>TEXT(Table8[[#This Row],[visit_Date]],"mmmm")</f>
        <v>June</v>
      </c>
      <c r="L2144" t="str">
        <f t="shared" si="67"/>
        <v>Monsoon</v>
      </c>
    </row>
    <row r="2145" spans="1:12" x14ac:dyDescent="0.25">
      <c r="A2145">
        <v>2144</v>
      </c>
      <c r="B2145">
        <v>1045</v>
      </c>
      <c r="C2145">
        <v>446</v>
      </c>
      <c r="D2145" s="1">
        <v>45761</v>
      </c>
      <c r="E2145" t="s">
        <v>338</v>
      </c>
      <c r="F2145" t="s">
        <v>339</v>
      </c>
      <c r="G2145" t="str">
        <f>_xlfn.XLOOKUP(TRIM(E2146),MedicineInfo!A:A,MedicineInfo!B:B,"Not Found")</f>
        <v>Multivitamin</v>
      </c>
      <c r="H2145" s="1" t="str" cm="1">
        <f t="array" ref="H2145">_xlfn.IFS(
OR(E2145="Type 2 Diabetes",E2145="Essential Hypertension",E2145="Angina Pectoris",E2145="Bronchial Asthma",E2145="Cardiac Arrhythmia"), D2145+30,
OR(E2145="Gastritis",E2145="Osteoarthritis",E2145="Bronchitis",E2145="Iron Deficiency Anemia"), D2145+14,
OR(E2145="Lumbar Strain",E2145="Migraine Headache"), D2145+7,
OR(E2145="Viral Fever",E2145="General Checkup","Routine Health Check"), "",
TRUE,""
)</f>
        <v/>
      </c>
      <c r="I2145" s="1" t="str">
        <f t="shared" si="66"/>
        <v>No Follow-up Required</v>
      </c>
      <c r="J2145" t="str">
        <f>TEXT(Table8[[#This Row],[visit_Date]],"DDDD")</f>
        <v>Monday</v>
      </c>
      <c r="K2145" t="str">
        <f>TEXT(Table8[[#This Row],[visit_Date]],"mmmm")</f>
        <v>April</v>
      </c>
      <c r="L2145" t="str">
        <f t="shared" si="67"/>
        <v>Summer</v>
      </c>
    </row>
    <row r="2146" spans="1:12" x14ac:dyDescent="0.25">
      <c r="A2146">
        <v>2145</v>
      </c>
      <c r="B2146">
        <v>1167</v>
      </c>
      <c r="C2146">
        <v>1298</v>
      </c>
      <c r="D2146" s="1">
        <v>45737</v>
      </c>
      <c r="E2146" t="s">
        <v>24</v>
      </c>
      <c r="F2146" t="s">
        <v>321</v>
      </c>
      <c r="G2146" t="str">
        <f>_xlfn.XLOOKUP(TRIM(E2147),MedicineInfo!A:A,MedicineInfo!B:B,"Not Found")</f>
        <v>Multivitamin</v>
      </c>
      <c r="H2146" s="1" t="str" cm="1">
        <f t="array" ref="H2146">_xlfn.IFS(
OR(E2146="Type 2 Diabetes",E2146="Essential Hypertension",E2146="Angina Pectoris",E2146="Bronchial Asthma",E2146="Cardiac Arrhythmia"), D2146+30,
OR(E2146="Gastritis",E2146="Osteoarthritis",E2146="Bronchitis",E2146="Iron Deficiency Anemia"), D2146+14,
OR(E2146="Lumbar Strain",E2146="Migraine Headache"), D2146+7,
OR(E2146="Viral Fever",E2146="General Checkup","Routine Health Check"), "",
TRUE,""
)</f>
        <v/>
      </c>
      <c r="I2146" s="1" t="str">
        <f t="shared" si="66"/>
        <v>No Follow-up Required</v>
      </c>
      <c r="J2146" t="str">
        <f>TEXT(Table8[[#This Row],[visit_Date]],"DDDD")</f>
        <v>Friday</v>
      </c>
      <c r="K2146" t="str">
        <f>TEXT(Table8[[#This Row],[visit_Date]],"mmmm")</f>
        <v>March</v>
      </c>
      <c r="L2146" t="str">
        <f t="shared" si="67"/>
        <v>Summer</v>
      </c>
    </row>
    <row r="2147" spans="1:12" x14ac:dyDescent="0.25">
      <c r="A2147">
        <v>2146</v>
      </c>
      <c r="B2147">
        <v>1273</v>
      </c>
      <c r="C2147">
        <v>1387</v>
      </c>
      <c r="D2147" s="1">
        <v>45797</v>
      </c>
      <c r="E2147" t="s">
        <v>24</v>
      </c>
      <c r="F2147" t="s">
        <v>321</v>
      </c>
      <c r="G2147" t="str">
        <f>_xlfn.XLOOKUP(TRIM(E2148),MedicineInfo!A:A,MedicineInfo!B:B,"Not Found")</f>
        <v>Multivitamin</v>
      </c>
      <c r="H2147" s="1" t="str" cm="1">
        <f t="array" ref="H2147">_xlfn.IFS(
OR(E2147="Type 2 Diabetes",E2147="Essential Hypertension",E2147="Angina Pectoris",E2147="Bronchial Asthma",E2147="Cardiac Arrhythmia"), D2147+30,
OR(E2147="Gastritis",E2147="Osteoarthritis",E2147="Bronchitis",E2147="Iron Deficiency Anemia"), D2147+14,
OR(E2147="Lumbar Strain",E2147="Migraine Headache"), D2147+7,
OR(E2147="Viral Fever",E2147="General Checkup","Routine Health Check"), "",
TRUE,""
)</f>
        <v/>
      </c>
      <c r="I2147" s="1" t="str">
        <f t="shared" si="66"/>
        <v>No Follow-up Required</v>
      </c>
      <c r="J2147" t="str">
        <f>TEXT(Table8[[#This Row],[visit_Date]],"DDDD")</f>
        <v>Tuesday</v>
      </c>
      <c r="K2147" t="str">
        <f>TEXT(Table8[[#This Row],[visit_Date]],"mmmm")</f>
        <v>May</v>
      </c>
      <c r="L2147" t="str">
        <f t="shared" si="67"/>
        <v>Summer</v>
      </c>
    </row>
    <row r="2148" spans="1:12" x14ac:dyDescent="0.25">
      <c r="A2148">
        <v>2147</v>
      </c>
      <c r="B2148">
        <v>1177</v>
      </c>
      <c r="C2148">
        <v>730</v>
      </c>
      <c r="D2148" s="1">
        <v>45767</v>
      </c>
      <c r="E2148" t="s">
        <v>24</v>
      </c>
      <c r="F2148" t="s">
        <v>321</v>
      </c>
      <c r="G2148" t="str">
        <f>_xlfn.XLOOKUP(TRIM(E2149),MedicineInfo!A:A,MedicineInfo!B:B,"Not Found")</f>
        <v>Diclofenac</v>
      </c>
      <c r="H2148" s="1" t="str" cm="1">
        <f t="array" ref="H2148">_xlfn.IFS(
OR(E2148="Type 2 Diabetes",E2148="Essential Hypertension",E2148="Angina Pectoris",E2148="Bronchial Asthma",E2148="Cardiac Arrhythmia"), D2148+30,
OR(E2148="Gastritis",E2148="Osteoarthritis",E2148="Bronchitis",E2148="Iron Deficiency Anemia"), D2148+14,
OR(E2148="Lumbar Strain",E2148="Migraine Headache"), D2148+7,
OR(E2148="Viral Fever",E2148="General Checkup","Routine Health Check"), "",
TRUE,""
)</f>
        <v/>
      </c>
      <c r="I2148" s="1" t="str">
        <f t="shared" si="66"/>
        <v>No Follow-up Required</v>
      </c>
      <c r="J2148" t="str">
        <f>TEXT(Table8[[#This Row],[visit_Date]],"DDDD")</f>
        <v>Sunday</v>
      </c>
      <c r="K2148" t="str">
        <f>TEXT(Table8[[#This Row],[visit_Date]],"mmmm")</f>
        <v>April</v>
      </c>
      <c r="L2148" t="str">
        <f t="shared" si="67"/>
        <v>Summer</v>
      </c>
    </row>
    <row r="2149" spans="1:12" x14ac:dyDescent="0.25">
      <c r="A2149">
        <v>2148</v>
      </c>
      <c r="B2149">
        <v>1375</v>
      </c>
      <c r="C2149">
        <v>1352</v>
      </c>
      <c r="D2149" s="1">
        <v>45741</v>
      </c>
      <c r="E2149" t="s">
        <v>313</v>
      </c>
      <c r="F2149" t="s">
        <v>314</v>
      </c>
      <c r="G2149" t="str">
        <f>_xlfn.XLOOKUP(TRIM(E2150),MedicineInfo!A:A,MedicineInfo!B:B,"Not Found")</f>
        <v>Multivitamin</v>
      </c>
      <c r="H2149" s="1" cm="1">
        <f t="array" ref="H2149">_xlfn.IFS(
OR(E2149="Type 2 Diabetes",E2149="Essential Hypertension",E2149="Angina Pectoris",E2149="Bronchial Asthma",E2149="Cardiac Arrhythmia"), D2149+30,
OR(E2149="Gastritis",E2149="Osteoarthritis",E2149="Bronchitis",E2149="Iron Deficiency Anemia"), D2149+14,
OR(E2149="Lumbar Strain",E2149="Migraine Headache"), D2149+7,
OR(E2149="Viral Fever",E2149="General Checkup","Routine Health Check"), "",
TRUE,""
)</f>
        <v>45748</v>
      </c>
      <c r="I2149" s="1" t="str">
        <f t="shared" si="66"/>
        <v>Follow-up Scheduled</v>
      </c>
      <c r="J2149" t="str">
        <f>TEXT(Table8[[#This Row],[visit_Date]],"DDDD")</f>
        <v>Tuesday</v>
      </c>
      <c r="K2149" t="str">
        <f>TEXT(Table8[[#This Row],[visit_Date]],"mmmm")</f>
        <v>March</v>
      </c>
      <c r="L2149" t="str">
        <f t="shared" si="67"/>
        <v>Summer</v>
      </c>
    </row>
    <row r="2150" spans="1:12" x14ac:dyDescent="0.25">
      <c r="A2150">
        <v>2149</v>
      </c>
      <c r="B2150">
        <v>1015</v>
      </c>
      <c r="C2150">
        <v>1370</v>
      </c>
      <c r="D2150" s="1">
        <v>45672</v>
      </c>
      <c r="E2150" t="s">
        <v>24</v>
      </c>
      <c r="F2150" t="s">
        <v>321</v>
      </c>
      <c r="G2150" t="str">
        <f>_xlfn.XLOOKUP(TRIM(E2151),MedicineInfo!A:A,MedicineInfo!B:B,"Not Found")</f>
        <v>Multivitamin</v>
      </c>
      <c r="H2150" s="1" t="str" cm="1">
        <f t="array" ref="H2150">_xlfn.IFS(
OR(E2150="Type 2 Diabetes",E2150="Essential Hypertension",E2150="Angina Pectoris",E2150="Bronchial Asthma",E2150="Cardiac Arrhythmia"), D2150+30,
OR(E2150="Gastritis",E2150="Osteoarthritis",E2150="Bronchitis",E2150="Iron Deficiency Anemia"), D2150+14,
OR(E2150="Lumbar Strain",E2150="Migraine Headache"), D2150+7,
OR(E2150="Viral Fever",E2150="General Checkup","Routine Health Check"), "",
TRUE,""
)</f>
        <v/>
      </c>
      <c r="I2150" s="1" t="str">
        <f t="shared" si="66"/>
        <v>No Follow-up Required</v>
      </c>
      <c r="J2150" t="str">
        <f>TEXT(Table8[[#This Row],[visit_Date]],"DDDD")</f>
        <v>Wednesday</v>
      </c>
      <c r="K2150" t="str">
        <f>TEXT(Table8[[#This Row],[visit_Date]],"mmmm")</f>
        <v>January</v>
      </c>
      <c r="L2150" t="str">
        <f t="shared" si="67"/>
        <v>Winter</v>
      </c>
    </row>
    <row r="2151" spans="1:12" x14ac:dyDescent="0.25">
      <c r="A2151">
        <v>2150</v>
      </c>
      <c r="B2151">
        <v>1295</v>
      </c>
      <c r="C2151">
        <v>107</v>
      </c>
      <c r="D2151" s="1">
        <v>45694</v>
      </c>
      <c r="E2151" t="s">
        <v>24</v>
      </c>
      <c r="F2151" t="s">
        <v>321</v>
      </c>
      <c r="G2151" t="str">
        <f>_xlfn.XLOOKUP(TRIM(E2152),MedicineInfo!A:A,MedicineInfo!B:B,"Not Found")</f>
        <v>Multivitamin</v>
      </c>
      <c r="H2151" s="1" t="str" cm="1">
        <f t="array" ref="H2151">_xlfn.IFS(
OR(E2151="Type 2 Diabetes",E2151="Essential Hypertension",E2151="Angina Pectoris",E2151="Bronchial Asthma",E2151="Cardiac Arrhythmia"), D2151+30,
OR(E2151="Gastritis",E2151="Osteoarthritis",E2151="Bronchitis",E2151="Iron Deficiency Anemia"), D2151+14,
OR(E2151="Lumbar Strain",E2151="Migraine Headache"), D2151+7,
OR(E2151="Viral Fever",E2151="General Checkup","Routine Health Check"), "",
TRUE,""
)</f>
        <v/>
      </c>
      <c r="I2151" s="1" t="str">
        <f t="shared" si="66"/>
        <v>No Follow-up Required</v>
      </c>
      <c r="J2151" t="str">
        <f>TEXT(Table8[[#This Row],[visit_Date]],"DDDD")</f>
        <v>Thursday</v>
      </c>
      <c r="K2151" t="str">
        <f>TEXT(Table8[[#This Row],[visit_Date]],"mmmm")</f>
        <v>February</v>
      </c>
      <c r="L2151" t="str">
        <f t="shared" si="67"/>
        <v>Winter</v>
      </c>
    </row>
    <row r="2152" spans="1:12" x14ac:dyDescent="0.25">
      <c r="A2152">
        <v>2151</v>
      </c>
      <c r="B2152">
        <v>1222</v>
      </c>
      <c r="C2152">
        <v>131</v>
      </c>
      <c r="D2152" s="1">
        <v>45790</v>
      </c>
      <c r="E2152" t="s">
        <v>24</v>
      </c>
      <c r="F2152" t="s">
        <v>321</v>
      </c>
      <c r="G2152" t="str">
        <f>_xlfn.XLOOKUP(TRIM(E2153),MedicineInfo!A:A,MedicineInfo!B:B,"Not Found")</f>
        <v>Multivitamin</v>
      </c>
      <c r="H2152" s="1" t="str" cm="1">
        <f t="array" ref="H2152">_xlfn.IFS(
OR(E2152="Type 2 Diabetes",E2152="Essential Hypertension",E2152="Angina Pectoris",E2152="Bronchial Asthma",E2152="Cardiac Arrhythmia"), D2152+30,
OR(E2152="Gastritis",E2152="Osteoarthritis",E2152="Bronchitis",E2152="Iron Deficiency Anemia"), D2152+14,
OR(E2152="Lumbar Strain",E2152="Migraine Headache"), D2152+7,
OR(E2152="Viral Fever",E2152="General Checkup","Routine Health Check"), "",
TRUE,""
)</f>
        <v/>
      </c>
      <c r="I2152" s="1" t="str">
        <f t="shared" si="66"/>
        <v>No Follow-up Required</v>
      </c>
      <c r="J2152" t="str">
        <f>TEXT(Table8[[#This Row],[visit_Date]],"DDDD")</f>
        <v>Tuesday</v>
      </c>
      <c r="K2152" t="str">
        <f>TEXT(Table8[[#This Row],[visit_Date]],"mmmm")</f>
        <v>May</v>
      </c>
      <c r="L2152" t="str">
        <f t="shared" si="67"/>
        <v>Summer</v>
      </c>
    </row>
    <row r="2153" spans="1:12" x14ac:dyDescent="0.25">
      <c r="A2153">
        <v>2152</v>
      </c>
      <c r="B2153">
        <v>1302</v>
      </c>
      <c r="C2153">
        <v>581</v>
      </c>
      <c r="D2153" s="1">
        <v>45791</v>
      </c>
      <c r="E2153" t="s">
        <v>24</v>
      </c>
      <c r="F2153" t="s">
        <v>321</v>
      </c>
      <c r="G2153" t="str">
        <f>_xlfn.XLOOKUP(TRIM(E2154),MedicineInfo!A:A,MedicineInfo!B:B,"Not Found")</f>
        <v>Multivitamin</v>
      </c>
      <c r="H2153" s="1" t="str" cm="1">
        <f t="array" ref="H2153">_xlfn.IFS(
OR(E2153="Type 2 Diabetes",E2153="Essential Hypertension",E2153="Angina Pectoris",E2153="Bronchial Asthma",E2153="Cardiac Arrhythmia"), D2153+30,
OR(E2153="Gastritis",E2153="Osteoarthritis",E2153="Bronchitis",E2153="Iron Deficiency Anemia"), D2153+14,
OR(E2153="Lumbar Strain",E2153="Migraine Headache"), D2153+7,
OR(E2153="Viral Fever",E2153="General Checkup","Routine Health Check"), "",
TRUE,""
)</f>
        <v/>
      </c>
      <c r="I2153" s="1" t="str">
        <f t="shared" si="66"/>
        <v>No Follow-up Required</v>
      </c>
      <c r="J2153" t="str">
        <f>TEXT(Table8[[#This Row],[visit_Date]],"DDDD")</f>
        <v>Wednesday</v>
      </c>
      <c r="K2153" t="str">
        <f>TEXT(Table8[[#This Row],[visit_Date]],"mmmm")</f>
        <v>May</v>
      </c>
      <c r="L2153" t="str">
        <f t="shared" si="67"/>
        <v>Summer</v>
      </c>
    </row>
    <row r="2154" spans="1:12" x14ac:dyDescent="0.25">
      <c r="A2154">
        <v>2153</v>
      </c>
      <c r="B2154">
        <v>1146</v>
      </c>
      <c r="C2154">
        <v>870</v>
      </c>
      <c r="D2154" s="1">
        <v>45697</v>
      </c>
      <c r="E2154" t="s">
        <v>24</v>
      </c>
      <c r="F2154" t="s">
        <v>321</v>
      </c>
      <c r="G2154" t="str">
        <f>_xlfn.XLOOKUP(TRIM(E2155),MedicineInfo!A:A,MedicineInfo!B:B,"Not Found")</f>
        <v>Neuro Vitamins</v>
      </c>
      <c r="H2154" s="1" t="str" cm="1">
        <f t="array" ref="H2154">_xlfn.IFS(
OR(E2154="Type 2 Diabetes",E2154="Essential Hypertension",E2154="Angina Pectoris",E2154="Bronchial Asthma",E2154="Cardiac Arrhythmia"), D2154+30,
OR(E2154="Gastritis",E2154="Osteoarthritis",E2154="Bronchitis",E2154="Iron Deficiency Anemia"), D2154+14,
OR(E2154="Lumbar Strain",E2154="Migraine Headache"), D2154+7,
OR(E2154="Viral Fever",E2154="General Checkup","Routine Health Check"), "",
TRUE,""
)</f>
        <v/>
      </c>
      <c r="I2154" s="1" t="str">
        <f t="shared" si="66"/>
        <v>No Follow-up Required</v>
      </c>
      <c r="J2154" t="str">
        <f>TEXT(Table8[[#This Row],[visit_Date]],"DDDD")</f>
        <v>Sunday</v>
      </c>
      <c r="K2154" t="str">
        <f>TEXT(Table8[[#This Row],[visit_Date]],"mmmm")</f>
        <v>February</v>
      </c>
      <c r="L2154" t="str">
        <f t="shared" si="67"/>
        <v>Winter</v>
      </c>
    </row>
    <row r="2155" spans="1:12" x14ac:dyDescent="0.25">
      <c r="A2155">
        <v>2154</v>
      </c>
      <c r="B2155">
        <v>1150</v>
      </c>
      <c r="C2155">
        <v>1016</v>
      </c>
      <c r="D2155" s="1">
        <v>45669</v>
      </c>
      <c r="E2155" t="s">
        <v>342</v>
      </c>
      <c r="F2155" t="s">
        <v>343</v>
      </c>
      <c r="G2155" t="str">
        <f>_xlfn.XLOOKUP(TRIM(E2156),MedicineInfo!A:A,MedicineInfo!B:B,"Not Found")</f>
        <v>Multivitamin</v>
      </c>
      <c r="H2155" s="1" t="str" cm="1">
        <f t="array" ref="H2155">_xlfn.IFS(
OR(E2155="Type 2 Diabetes",E2155="Essential Hypertension",E2155="Angina Pectoris",E2155="Bronchial Asthma",E2155="Cardiac Arrhythmia"), D2155+30,
OR(E2155="Gastritis",E2155="Osteoarthritis",E2155="Bronchitis",E2155="Iron Deficiency Anemia"), D2155+14,
OR(E2155="Lumbar Strain",E2155="Migraine Headache"), D2155+7,
OR(E2155="Viral Fever",E2155="General Checkup","Routine Health Check"), "",
TRUE,""
)</f>
        <v/>
      </c>
      <c r="I2155" s="1" t="str">
        <f t="shared" si="66"/>
        <v>No Follow-up Required</v>
      </c>
      <c r="J2155" t="str">
        <f>TEXT(Table8[[#This Row],[visit_Date]],"DDDD")</f>
        <v>Sunday</v>
      </c>
      <c r="K2155" t="str">
        <f>TEXT(Table8[[#This Row],[visit_Date]],"mmmm")</f>
        <v>January</v>
      </c>
      <c r="L2155" t="str">
        <f t="shared" si="67"/>
        <v>Winter</v>
      </c>
    </row>
    <row r="2156" spans="1:12" x14ac:dyDescent="0.25">
      <c r="A2156">
        <v>2155</v>
      </c>
      <c r="B2156">
        <v>1284</v>
      </c>
      <c r="C2156">
        <v>866</v>
      </c>
      <c r="D2156" s="1">
        <v>45767</v>
      </c>
      <c r="E2156" t="s">
        <v>24</v>
      </c>
      <c r="F2156" t="s">
        <v>321</v>
      </c>
      <c r="G2156" t="str">
        <f>_xlfn.XLOOKUP(TRIM(E2157),MedicineInfo!A:A,MedicineInfo!B:B,"Not Found")</f>
        <v>Multivitamin</v>
      </c>
      <c r="H2156" s="1" t="str" cm="1">
        <f t="array" ref="H2156">_xlfn.IFS(
OR(E2156="Type 2 Diabetes",E2156="Essential Hypertension",E2156="Angina Pectoris",E2156="Bronchial Asthma",E2156="Cardiac Arrhythmia"), D2156+30,
OR(E2156="Gastritis",E2156="Osteoarthritis",E2156="Bronchitis",E2156="Iron Deficiency Anemia"), D2156+14,
OR(E2156="Lumbar Strain",E2156="Migraine Headache"), D2156+7,
OR(E2156="Viral Fever",E2156="General Checkup","Routine Health Check"), "",
TRUE,""
)</f>
        <v/>
      </c>
      <c r="I2156" s="1" t="str">
        <f t="shared" si="66"/>
        <v>No Follow-up Required</v>
      </c>
      <c r="J2156" t="str">
        <f>TEXT(Table8[[#This Row],[visit_Date]],"DDDD")</f>
        <v>Sunday</v>
      </c>
      <c r="K2156" t="str">
        <f>TEXT(Table8[[#This Row],[visit_Date]],"mmmm")</f>
        <v>April</v>
      </c>
      <c r="L2156" t="str">
        <f t="shared" si="67"/>
        <v>Summer</v>
      </c>
    </row>
    <row r="2157" spans="1:12" x14ac:dyDescent="0.25">
      <c r="A2157">
        <v>2156</v>
      </c>
      <c r="B2157">
        <v>1295</v>
      </c>
      <c r="C2157">
        <v>1321</v>
      </c>
      <c r="D2157" s="1">
        <v>45814</v>
      </c>
      <c r="E2157" t="s">
        <v>24</v>
      </c>
      <c r="F2157" t="s">
        <v>321</v>
      </c>
      <c r="G2157" t="str">
        <f>_xlfn.XLOOKUP(TRIM(E2158),MedicineInfo!A:A,MedicineInfo!B:B,"Not Found")</f>
        <v>Multivitamin</v>
      </c>
      <c r="H2157" s="1" t="str" cm="1">
        <f t="array" ref="H2157">_xlfn.IFS(
OR(E2157="Type 2 Diabetes",E2157="Essential Hypertension",E2157="Angina Pectoris",E2157="Bronchial Asthma",E2157="Cardiac Arrhythmia"), D2157+30,
OR(E2157="Gastritis",E2157="Osteoarthritis",E2157="Bronchitis",E2157="Iron Deficiency Anemia"), D2157+14,
OR(E2157="Lumbar Strain",E2157="Migraine Headache"), D2157+7,
OR(E2157="Viral Fever",E2157="General Checkup","Routine Health Check"), "",
TRUE,""
)</f>
        <v/>
      </c>
      <c r="I2157" s="1" t="str">
        <f t="shared" si="66"/>
        <v>No Follow-up Required</v>
      </c>
      <c r="J2157" t="str">
        <f>TEXT(Table8[[#This Row],[visit_Date]],"DDDD")</f>
        <v>Friday</v>
      </c>
      <c r="K2157" t="str">
        <f>TEXT(Table8[[#This Row],[visit_Date]],"mmmm")</f>
        <v>June</v>
      </c>
      <c r="L2157" t="str">
        <f t="shared" si="67"/>
        <v>Monsoon</v>
      </c>
    </row>
    <row r="2158" spans="1:12" x14ac:dyDescent="0.25">
      <c r="A2158">
        <v>2157</v>
      </c>
      <c r="B2158">
        <v>1080</v>
      </c>
      <c r="C2158">
        <v>668</v>
      </c>
      <c r="D2158" s="1">
        <v>45814</v>
      </c>
      <c r="E2158" t="s">
        <v>24</v>
      </c>
      <c r="F2158" t="s">
        <v>321</v>
      </c>
      <c r="G2158" t="str">
        <f>_xlfn.XLOOKUP(TRIM(E2159),MedicineInfo!A:A,MedicineInfo!B:B,"Not Found")</f>
        <v>Multivitamin</v>
      </c>
      <c r="H2158" s="1" t="str" cm="1">
        <f t="array" ref="H2158">_xlfn.IFS(
OR(E2158="Type 2 Diabetes",E2158="Essential Hypertension",E2158="Angina Pectoris",E2158="Bronchial Asthma",E2158="Cardiac Arrhythmia"), D2158+30,
OR(E2158="Gastritis",E2158="Osteoarthritis",E2158="Bronchitis",E2158="Iron Deficiency Anemia"), D2158+14,
OR(E2158="Lumbar Strain",E2158="Migraine Headache"), D2158+7,
OR(E2158="Viral Fever",E2158="General Checkup","Routine Health Check"), "",
TRUE,""
)</f>
        <v/>
      </c>
      <c r="I2158" s="1" t="str">
        <f t="shared" si="66"/>
        <v>No Follow-up Required</v>
      </c>
      <c r="J2158" t="str">
        <f>TEXT(Table8[[#This Row],[visit_Date]],"DDDD")</f>
        <v>Friday</v>
      </c>
      <c r="K2158" t="str">
        <f>TEXT(Table8[[#This Row],[visit_Date]],"mmmm")</f>
        <v>June</v>
      </c>
      <c r="L2158" t="str">
        <f t="shared" si="67"/>
        <v>Monsoon</v>
      </c>
    </row>
    <row r="2159" spans="1:12" x14ac:dyDescent="0.25">
      <c r="A2159">
        <v>2158</v>
      </c>
      <c r="B2159">
        <v>1027</v>
      </c>
      <c r="C2159">
        <v>554</v>
      </c>
      <c r="D2159" s="1">
        <v>45697</v>
      </c>
      <c r="E2159" t="s">
        <v>24</v>
      </c>
      <c r="F2159" t="s">
        <v>321</v>
      </c>
      <c r="G2159" t="str">
        <f>_xlfn.XLOOKUP(TRIM(E2160),MedicineInfo!A:A,MedicineInfo!B:B,"Not Found")</f>
        <v>Vitamin D3</v>
      </c>
      <c r="H2159" s="1" t="str" cm="1">
        <f t="array" ref="H2159">_xlfn.IFS(
OR(E2159="Type 2 Diabetes",E2159="Essential Hypertension",E2159="Angina Pectoris",E2159="Bronchial Asthma",E2159="Cardiac Arrhythmia"), D2159+30,
OR(E2159="Gastritis",E2159="Osteoarthritis",E2159="Bronchitis",E2159="Iron Deficiency Anemia"), D2159+14,
OR(E2159="Lumbar Strain",E2159="Migraine Headache"), D2159+7,
OR(E2159="Viral Fever",E2159="General Checkup","Routine Health Check"), "",
TRUE,""
)</f>
        <v/>
      </c>
      <c r="I2159" s="1" t="str">
        <f t="shared" si="66"/>
        <v>No Follow-up Required</v>
      </c>
      <c r="J2159" t="str">
        <f>TEXT(Table8[[#This Row],[visit_Date]],"DDDD")</f>
        <v>Sunday</v>
      </c>
      <c r="K2159" t="str">
        <f>TEXT(Table8[[#This Row],[visit_Date]],"mmmm")</f>
        <v>February</v>
      </c>
      <c r="L2159" t="str">
        <f t="shared" si="67"/>
        <v>Winter</v>
      </c>
    </row>
    <row r="2160" spans="1:12" x14ac:dyDescent="0.25">
      <c r="A2160">
        <v>2159</v>
      </c>
      <c r="B2160">
        <v>1027</v>
      </c>
      <c r="C2160">
        <v>1201</v>
      </c>
      <c r="D2160" s="1">
        <v>45708</v>
      </c>
      <c r="E2160" t="s">
        <v>332</v>
      </c>
      <c r="F2160" t="s">
        <v>333</v>
      </c>
      <c r="G2160" t="str">
        <f>_xlfn.XLOOKUP(TRIM(E2161),MedicineInfo!A:A,MedicineInfo!B:B,"Not Found")</f>
        <v>Multivitamin</v>
      </c>
      <c r="H2160" s="1" t="str" cm="1">
        <f t="array" ref="H2160">_xlfn.IFS(
OR(E2160="Type 2 Diabetes",E2160="Essential Hypertension",E2160="Angina Pectoris",E2160="Bronchial Asthma",E2160="Cardiac Arrhythmia"), D2160+30,
OR(E2160="Gastritis",E2160="Osteoarthritis",E2160="Bronchitis",E2160="Iron Deficiency Anemia"), D2160+14,
OR(E2160="Lumbar Strain",E2160="Migraine Headache"), D2160+7,
OR(E2160="Viral Fever",E2160="General Checkup","Routine Health Check"), "",
TRUE,""
)</f>
        <v/>
      </c>
      <c r="I2160" s="1" t="str">
        <f t="shared" si="66"/>
        <v>No Follow-up Required</v>
      </c>
      <c r="J2160" t="str">
        <f>TEXT(Table8[[#This Row],[visit_Date]],"DDDD")</f>
        <v>Thursday</v>
      </c>
      <c r="K2160" t="str">
        <f>TEXT(Table8[[#This Row],[visit_Date]],"mmmm")</f>
        <v>February</v>
      </c>
      <c r="L2160" t="str">
        <f t="shared" si="67"/>
        <v>Winter</v>
      </c>
    </row>
    <row r="2161" spans="1:12" x14ac:dyDescent="0.25">
      <c r="A2161">
        <v>2160</v>
      </c>
      <c r="B2161">
        <v>1145</v>
      </c>
      <c r="C2161">
        <v>1022</v>
      </c>
      <c r="D2161" s="1">
        <v>45747</v>
      </c>
      <c r="E2161" t="s">
        <v>24</v>
      </c>
      <c r="F2161" t="s">
        <v>321</v>
      </c>
      <c r="G2161" t="str">
        <f>_xlfn.XLOOKUP(TRIM(E2162),MedicineInfo!A:A,MedicineInfo!B:B,"Not Found")</f>
        <v>Aceclofenac</v>
      </c>
      <c r="H2161" s="1" t="str" cm="1">
        <f t="array" ref="H2161">_xlfn.IFS(
OR(E2161="Type 2 Diabetes",E2161="Essential Hypertension",E2161="Angina Pectoris",E2161="Bronchial Asthma",E2161="Cardiac Arrhythmia"), D2161+30,
OR(E2161="Gastritis",E2161="Osteoarthritis",E2161="Bronchitis",E2161="Iron Deficiency Anemia"), D2161+14,
OR(E2161="Lumbar Strain",E2161="Migraine Headache"), D2161+7,
OR(E2161="Viral Fever",E2161="General Checkup","Routine Health Check"), "",
TRUE,""
)</f>
        <v/>
      </c>
      <c r="I2161" s="1" t="str">
        <f t="shared" si="66"/>
        <v>No Follow-up Required</v>
      </c>
      <c r="J2161" t="str">
        <f>TEXT(Table8[[#This Row],[visit_Date]],"DDDD")</f>
        <v>Monday</v>
      </c>
      <c r="K2161" t="str">
        <f>TEXT(Table8[[#This Row],[visit_Date]],"mmmm")</f>
        <v>March</v>
      </c>
      <c r="L2161" t="str">
        <f t="shared" si="67"/>
        <v>Summer</v>
      </c>
    </row>
    <row r="2162" spans="1:12" x14ac:dyDescent="0.25">
      <c r="A2162">
        <v>2161</v>
      </c>
      <c r="B2162">
        <v>1054</v>
      </c>
      <c r="C2162">
        <v>138</v>
      </c>
      <c r="D2162" s="1">
        <v>45777</v>
      </c>
      <c r="E2162" t="s">
        <v>348</v>
      </c>
      <c r="F2162" t="s">
        <v>349</v>
      </c>
      <c r="G2162" t="str">
        <f>_xlfn.XLOOKUP(TRIM(E2163),MedicineInfo!A:A,MedicineInfo!B:B,"Not Found")</f>
        <v>Multivitamin</v>
      </c>
      <c r="H2162" s="1" cm="1">
        <f t="array" ref="H2162">_xlfn.IFS(
OR(E2162="Type 2 Diabetes",E2162="Essential Hypertension",E2162="Angina Pectoris",E2162="Bronchial Asthma",E2162="Cardiac Arrhythmia"), D2162+30,
OR(E2162="Gastritis",E2162="Osteoarthritis",E2162="Bronchitis",E2162="Iron Deficiency Anemia"), D2162+14,
OR(E2162="Lumbar Strain",E2162="Migraine Headache"), D2162+7,
OR(E2162="Viral Fever",E2162="General Checkup","Routine Health Check"), "",
TRUE,""
)</f>
        <v>45791</v>
      </c>
      <c r="I2162" s="1" t="str">
        <f t="shared" si="66"/>
        <v>Follow-up Scheduled</v>
      </c>
      <c r="J2162" t="str">
        <f>TEXT(Table8[[#This Row],[visit_Date]],"DDDD")</f>
        <v>Wednesday</v>
      </c>
      <c r="K2162" t="str">
        <f>TEXT(Table8[[#This Row],[visit_Date]],"mmmm")</f>
        <v>April</v>
      </c>
      <c r="L2162" t="str">
        <f t="shared" si="67"/>
        <v>Summer</v>
      </c>
    </row>
    <row r="2163" spans="1:12" x14ac:dyDescent="0.25">
      <c r="A2163">
        <v>2162</v>
      </c>
      <c r="B2163">
        <v>1105</v>
      </c>
      <c r="C2163">
        <v>1090</v>
      </c>
      <c r="D2163" s="1">
        <v>45767</v>
      </c>
      <c r="E2163" t="s">
        <v>24</v>
      </c>
      <c r="F2163" t="s">
        <v>321</v>
      </c>
      <c r="G2163" t="str">
        <f>_xlfn.XLOOKUP(TRIM(E2164),MedicineInfo!A:A,MedicineInfo!B:B,"Not Found")</f>
        <v>Hydrocortisone Cream</v>
      </c>
      <c r="H2163" s="1" t="str" cm="1">
        <f t="array" ref="H2163">_xlfn.IFS(
OR(E2163="Type 2 Diabetes",E2163="Essential Hypertension",E2163="Angina Pectoris",E2163="Bronchial Asthma",E2163="Cardiac Arrhythmia"), D2163+30,
OR(E2163="Gastritis",E2163="Osteoarthritis",E2163="Bronchitis",E2163="Iron Deficiency Anemia"), D2163+14,
OR(E2163="Lumbar Strain",E2163="Migraine Headache"), D2163+7,
OR(E2163="Viral Fever",E2163="General Checkup","Routine Health Check"), "",
TRUE,""
)</f>
        <v/>
      </c>
      <c r="I2163" s="1" t="str">
        <f t="shared" si="66"/>
        <v>No Follow-up Required</v>
      </c>
      <c r="J2163" t="str">
        <f>TEXT(Table8[[#This Row],[visit_Date]],"DDDD")</f>
        <v>Sunday</v>
      </c>
      <c r="K2163" t="str">
        <f>TEXT(Table8[[#This Row],[visit_Date]],"mmmm")</f>
        <v>April</v>
      </c>
      <c r="L2163" t="str">
        <f t="shared" si="67"/>
        <v>Summer</v>
      </c>
    </row>
    <row r="2164" spans="1:12" x14ac:dyDescent="0.25">
      <c r="A2164">
        <v>2163</v>
      </c>
      <c r="B2164">
        <v>1278</v>
      </c>
      <c r="C2164">
        <v>776</v>
      </c>
      <c r="D2164" s="1">
        <v>45838</v>
      </c>
      <c r="E2164" t="s">
        <v>338</v>
      </c>
      <c r="F2164" t="s">
        <v>339</v>
      </c>
      <c r="G2164" t="str">
        <f>_xlfn.XLOOKUP(TRIM(E2165),MedicineInfo!A:A,MedicineInfo!B:B,"Not Found")</f>
        <v>Multivitamin</v>
      </c>
      <c r="H2164" s="1" t="str" cm="1">
        <f t="array" ref="H2164">_xlfn.IFS(
OR(E2164="Type 2 Diabetes",E2164="Essential Hypertension",E2164="Angina Pectoris",E2164="Bronchial Asthma",E2164="Cardiac Arrhythmia"), D2164+30,
OR(E2164="Gastritis",E2164="Osteoarthritis",E2164="Bronchitis",E2164="Iron Deficiency Anemia"), D2164+14,
OR(E2164="Lumbar Strain",E2164="Migraine Headache"), D2164+7,
OR(E2164="Viral Fever",E2164="General Checkup","Routine Health Check"), "",
TRUE,""
)</f>
        <v/>
      </c>
      <c r="I2164" s="1" t="str">
        <f t="shared" si="66"/>
        <v>No Follow-up Required</v>
      </c>
      <c r="J2164" t="str">
        <f>TEXT(Table8[[#This Row],[visit_Date]],"DDDD")</f>
        <v>Monday</v>
      </c>
      <c r="K2164" t="str">
        <f>TEXT(Table8[[#This Row],[visit_Date]],"mmmm")</f>
        <v>June</v>
      </c>
      <c r="L2164" t="str">
        <f t="shared" si="67"/>
        <v>Monsoon</v>
      </c>
    </row>
    <row r="2165" spans="1:12" x14ac:dyDescent="0.25">
      <c r="A2165">
        <v>2164</v>
      </c>
      <c r="B2165">
        <v>1261</v>
      </c>
      <c r="C2165">
        <v>836</v>
      </c>
      <c r="D2165" s="1">
        <v>45804</v>
      </c>
      <c r="E2165" t="s">
        <v>24</v>
      </c>
      <c r="F2165" t="s">
        <v>321</v>
      </c>
      <c r="G2165" t="str">
        <f>_xlfn.XLOOKUP(TRIM(E2166),MedicineInfo!A:A,MedicineInfo!B:B,"Not Found")</f>
        <v>Nitroglycerin</v>
      </c>
      <c r="H2165" s="1" t="str" cm="1">
        <f t="array" ref="H2165">_xlfn.IFS(
OR(E2165="Type 2 Diabetes",E2165="Essential Hypertension",E2165="Angina Pectoris",E2165="Bronchial Asthma",E2165="Cardiac Arrhythmia"), D2165+30,
OR(E2165="Gastritis",E2165="Osteoarthritis",E2165="Bronchitis",E2165="Iron Deficiency Anemia"), D2165+14,
OR(E2165="Lumbar Strain",E2165="Migraine Headache"), D2165+7,
OR(E2165="Viral Fever",E2165="General Checkup","Routine Health Check"), "",
TRUE,""
)</f>
        <v/>
      </c>
      <c r="I2165" s="1" t="str">
        <f t="shared" si="66"/>
        <v>No Follow-up Required</v>
      </c>
      <c r="J2165" t="str">
        <f>TEXT(Table8[[#This Row],[visit_Date]],"DDDD")</f>
        <v>Tuesday</v>
      </c>
      <c r="K2165" t="str">
        <f>TEXT(Table8[[#This Row],[visit_Date]],"mmmm")</f>
        <v>May</v>
      </c>
      <c r="L2165" t="str">
        <f t="shared" si="67"/>
        <v>Summer</v>
      </c>
    </row>
    <row r="2166" spans="1:12" x14ac:dyDescent="0.25">
      <c r="A2166">
        <v>2165</v>
      </c>
      <c r="B2166">
        <v>1187</v>
      </c>
      <c r="C2166">
        <v>745</v>
      </c>
      <c r="D2166" s="1">
        <v>45831</v>
      </c>
      <c r="E2166" t="s">
        <v>322</v>
      </c>
      <c r="F2166" t="s">
        <v>323</v>
      </c>
      <c r="G2166" t="str">
        <f>_xlfn.XLOOKUP(TRIM(E2167),MedicineInfo!A:A,MedicineInfo!B:B,"Not Found")</f>
        <v>Multivitamin</v>
      </c>
      <c r="H2166" s="1" cm="1">
        <f t="array" ref="H2166">_xlfn.IFS(
OR(E2166="Type 2 Diabetes",E2166="Essential Hypertension",E2166="Angina Pectoris",E2166="Bronchial Asthma",E2166="Cardiac Arrhythmia"), D2166+30,
OR(E2166="Gastritis",E2166="Osteoarthritis",E2166="Bronchitis",E2166="Iron Deficiency Anemia"), D2166+14,
OR(E2166="Lumbar Strain",E2166="Migraine Headache"), D2166+7,
OR(E2166="Viral Fever",E2166="General Checkup","Routine Health Check"), "",
TRUE,""
)</f>
        <v>45861</v>
      </c>
      <c r="I2166" s="1" t="str">
        <f t="shared" si="66"/>
        <v>Follow-up Scheduled</v>
      </c>
      <c r="J2166" t="str">
        <f>TEXT(Table8[[#This Row],[visit_Date]],"DDDD")</f>
        <v>Monday</v>
      </c>
      <c r="K2166" t="str">
        <f>TEXT(Table8[[#This Row],[visit_Date]],"mmmm")</f>
        <v>June</v>
      </c>
      <c r="L2166" t="str">
        <f t="shared" si="67"/>
        <v>Monsoon</v>
      </c>
    </row>
    <row r="2167" spans="1:12" x14ac:dyDescent="0.25">
      <c r="A2167">
        <v>2166</v>
      </c>
      <c r="B2167">
        <v>1240</v>
      </c>
      <c r="C2167">
        <v>651</v>
      </c>
      <c r="D2167" s="1">
        <v>45819</v>
      </c>
      <c r="E2167" t="s">
        <v>24</v>
      </c>
      <c r="F2167" t="s">
        <v>321</v>
      </c>
      <c r="G2167" t="str">
        <f>_xlfn.XLOOKUP(TRIM(E2168),MedicineInfo!A:A,MedicineInfo!B:B,"Not Found")</f>
        <v>Multivitamin</v>
      </c>
      <c r="H2167" s="1" t="str" cm="1">
        <f t="array" ref="H2167">_xlfn.IFS(
OR(E2167="Type 2 Diabetes",E2167="Essential Hypertension",E2167="Angina Pectoris",E2167="Bronchial Asthma",E2167="Cardiac Arrhythmia"), D2167+30,
OR(E2167="Gastritis",E2167="Osteoarthritis",E2167="Bronchitis",E2167="Iron Deficiency Anemia"), D2167+14,
OR(E2167="Lumbar Strain",E2167="Migraine Headache"), D2167+7,
OR(E2167="Viral Fever",E2167="General Checkup","Routine Health Check"), "",
TRUE,""
)</f>
        <v/>
      </c>
      <c r="I2167" s="1" t="str">
        <f t="shared" si="66"/>
        <v>No Follow-up Required</v>
      </c>
      <c r="J2167" t="str">
        <f>TEXT(Table8[[#This Row],[visit_Date]],"DDDD")</f>
        <v>Wednesday</v>
      </c>
      <c r="K2167" t="str">
        <f>TEXT(Table8[[#This Row],[visit_Date]],"mmmm")</f>
        <v>June</v>
      </c>
      <c r="L2167" t="str">
        <f t="shared" si="67"/>
        <v>Monsoon</v>
      </c>
    </row>
    <row r="2168" spans="1:12" x14ac:dyDescent="0.25">
      <c r="A2168">
        <v>2167</v>
      </c>
      <c r="B2168">
        <v>1257</v>
      </c>
      <c r="C2168">
        <v>1566</v>
      </c>
      <c r="D2168" s="1">
        <v>45691</v>
      </c>
      <c r="E2168" t="s">
        <v>24</v>
      </c>
      <c r="F2168" t="s">
        <v>321</v>
      </c>
      <c r="G2168" t="str">
        <f>_xlfn.XLOOKUP(TRIM(E2169),MedicineInfo!A:A,MedicineInfo!B:B,"Not Found")</f>
        <v>Neuro Vitamins</v>
      </c>
      <c r="H2168" s="1" t="str" cm="1">
        <f t="array" ref="H2168">_xlfn.IFS(
OR(E2168="Type 2 Diabetes",E2168="Essential Hypertension",E2168="Angina Pectoris",E2168="Bronchial Asthma",E2168="Cardiac Arrhythmia"), D2168+30,
OR(E2168="Gastritis",E2168="Osteoarthritis",E2168="Bronchitis",E2168="Iron Deficiency Anemia"), D2168+14,
OR(E2168="Lumbar Strain",E2168="Migraine Headache"), D2168+7,
OR(E2168="Viral Fever",E2168="General Checkup","Routine Health Check"), "",
TRUE,""
)</f>
        <v/>
      </c>
      <c r="I2168" s="1" t="str">
        <f t="shared" si="66"/>
        <v>No Follow-up Required</v>
      </c>
      <c r="J2168" t="str">
        <f>TEXT(Table8[[#This Row],[visit_Date]],"DDDD")</f>
        <v>Monday</v>
      </c>
      <c r="K2168" t="str">
        <f>TEXT(Table8[[#This Row],[visit_Date]],"mmmm")</f>
        <v>February</v>
      </c>
      <c r="L2168" t="str">
        <f t="shared" si="67"/>
        <v>Winter</v>
      </c>
    </row>
    <row r="2169" spans="1:12" x14ac:dyDescent="0.25">
      <c r="A2169">
        <v>2168</v>
      </c>
      <c r="B2169">
        <v>1140</v>
      </c>
      <c r="C2169">
        <v>546</v>
      </c>
      <c r="D2169" s="1">
        <v>45842</v>
      </c>
      <c r="E2169" t="s">
        <v>342</v>
      </c>
      <c r="F2169" t="s">
        <v>343</v>
      </c>
      <c r="G2169" t="str">
        <f>_xlfn.XLOOKUP(TRIM(E2170),MedicineInfo!A:A,MedicineInfo!B:B,"Not Found")</f>
        <v>Multivitamin</v>
      </c>
      <c r="H2169" s="1" t="str" cm="1">
        <f t="array" ref="H2169">_xlfn.IFS(
OR(E2169="Type 2 Diabetes",E2169="Essential Hypertension",E2169="Angina Pectoris",E2169="Bronchial Asthma",E2169="Cardiac Arrhythmia"), D2169+30,
OR(E2169="Gastritis",E2169="Osteoarthritis",E2169="Bronchitis",E2169="Iron Deficiency Anemia"), D2169+14,
OR(E2169="Lumbar Strain",E2169="Migraine Headache"), D2169+7,
OR(E2169="Viral Fever",E2169="General Checkup","Routine Health Check"), "",
TRUE,""
)</f>
        <v/>
      </c>
      <c r="I2169" s="1" t="str">
        <f t="shared" si="66"/>
        <v>No Follow-up Required</v>
      </c>
      <c r="J2169" t="str">
        <f>TEXT(Table8[[#This Row],[visit_Date]],"DDDD")</f>
        <v>Friday</v>
      </c>
      <c r="K2169" t="str">
        <f>TEXT(Table8[[#This Row],[visit_Date]],"mmmm")</f>
        <v>July</v>
      </c>
      <c r="L2169" t="str">
        <f t="shared" si="67"/>
        <v>Monsoon</v>
      </c>
    </row>
    <row r="2170" spans="1:12" x14ac:dyDescent="0.25">
      <c r="A2170">
        <v>2169</v>
      </c>
      <c r="B2170">
        <v>1122</v>
      </c>
      <c r="C2170">
        <v>566</v>
      </c>
      <c r="D2170" s="1">
        <v>45790</v>
      </c>
      <c r="E2170" t="s">
        <v>24</v>
      </c>
      <c r="F2170" t="s">
        <v>321</v>
      </c>
      <c r="G2170" t="str">
        <f>_xlfn.XLOOKUP(TRIM(E2171),MedicineInfo!A:A,MedicineInfo!B:B,"Not Found")</f>
        <v>Multivitamin</v>
      </c>
      <c r="H2170" s="1" t="str" cm="1">
        <f t="array" ref="H2170">_xlfn.IFS(
OR(E2170="Type 2 Diabetes",E2170="Essential Hypertension",E2170="Angina Pectoris",E2170="Bronchial Asthma",E2170="Cardiac Arrhythmia"), D2170+30,
OR(E2170="Gastritis",E2170="Osteoarthritis",E2170="Bronchitis",E2170="Iron Deficiency Anemia"), D2170+14,
OR(E2170="Lumbar Strain",E2170="Migraine Headache"), D2170+7,
OR(E2170="Viral Fever",E2170="General Checkup","Routine Health Check"), "",
TRUE,""
)</f>
        <v/>
      </c>
      <c r="I2170" s="1" t="str">
        <f t="shared" si="66"/>
        <v>No Follow-up Required</v>
      </c>
      <c r="J2170" t="str">
        <f>TEXT(Table8[[#This Row],[visit_Date]],"DDDD")</f>
        <v>Tuesday</v>
      </c>
      <c r="K2170" t="str">
        <f>TEXT(Table8[[#This Row],[visit_Date]],"mmmm")</f>
        <v>May</v>
      </c>
      <c r="L2170" t="str">
        <f t="shared" si="67"/>
        <v>Summer</v>
      </c>
    </row>
    <row r="2171" spans="1:12" x14ac:dyDescent="0.25">
      <c r="A2171">
        <v>2170</v>
      </c>
      <c r="B2171">
        <v>1125</v>
      </c>
      <c r="C2171">
        <v>736</v>
      </c>
      <c r="D2171" s="1">
        <v>45791</v>
      </c>
      <c r="E2171" t="s">
        <v>24</v>
      </c>
      <c r="F2171" t="s">
        <v>321</v>
      </c>
      <c r="G2171" t="str">
        <f>_xlfn.XLOOKUP(TRIM(E2172),MedicineInfo!A:A,MedicineInfo!B:B,"Not Found")</f>
        <v>Multivitamin</v>
      </c>
      <c r="H2171" s="1" t="str" cm="1">
        <f t="array" ref="H2171">_xlfn.IFS(
OR(E2171="Type 2 Diabetes",E2171="Essential Hypertension",E2171="Angina Pectoris",E2171="Bronchial Asthma",E2171="Cardiac Arrhythmia"), D2171+30,
OR(E2171="Gastritis",E2171="Osteoarthritis",E2171="Bronchitis",E2171="Iron Deficiency Anemia"), D2171+14,
OR(E2171="Lumbar Strain",E2171="Migraine Headache"), D2171+7,
OR(E2171="Viral Fever",E2171="General Checkup","Routine Health Check"), "",
TRUE,""
)</f>
        <v/>
      </c>
      <c r="I2171" s="1" t="str">
        <f t="shared" si="66"/>
        <v>No Follow-up Required</v>
      </c>
      <c r="J2171" t="str">
        <f>TEXT(Table8[[#This Row],[visit_Date]],"DDDD")</f>
        <v>Wednesday</v>
      </c>
      <c r="K2171" t="str">
        <f>TEXT(Table8[[#This Row],[visit_Date]],"mmmm")</f>
        <v>May</v>
      </c>
      <c r="L2171" t="str">
        <f t="shared" si="67"/>
        <v>Summer</v>
      </c>
    </row>
    <row r="2172" spans="1:12" x14ac:dyDescent="0.25">
      <c r="A2172">
        <v>2171</v>
      </c>
      <c r="B2172">
        <v>1045</v>
      </c>
      <c r="C2172">
        <v>705</v>
      </c>
      <c r="D2172" s="1">
        <v>45844</v>
      </c>
      <c r="E2172" t="s">
        <v>24</v>
      </c>
      <c r="F2172" t="s">
        <v>321</v>
      </c>
      <c r="G2172" t="str">
        <f>_xlfn.XLOOKUP(TRIM(E2173),MedicineInfo!A:A,MedicineInfo!B:B,"Not Found")</f>
        <v>Multivitamin</v>
      </c>
      <c r="H2172" s="1" t="str" cm="1">
        <f t="array" ref="H2172">_xlfn.IFS(
OR(E2172="Type 2 Diabetes",E2172="Essential Hypertension",E2172="Angina Pectoris",E2172="Bronchial Asthma",E2172="Cardiac Arrhythmia"), D2172+30,
OR(E2172="Gastritis",E2172="Osteoarthritis",E2172="Bronchitis",E2172="Iron Deficiency Anemia"), D2172+14,
OR(E2172="Lumbar Strain",E2172="Migraine Headache"), D2172+7,
OR(E2172="Viral Fever",E2172="General Checkup","Routine Health Check"), "",
TRUE,""
)</f>
        <v/>
      </c>
      <c r="I2172" s="1" t="str">
        <f t="shared" si="66"/>
        <v>No Follow-up Required</v>
      </c>
      <c r="J2172" t="str">
        <f>TEXT(Table8[[#This Row],[visit_Date]],"DDDD")</f>
        <v>Sunday</v>
      </c>
      <c r="K2172" t="str">
        <f>TEXT(Table8[[#This Row],[visit_Date]],"mmmm")</f>
        <v>July</v>
      </c>
      <c r="L2172" t="str">
        <f t="shared" si="67"/>
        <v>Monsoon</v>
      </c>
    </row>
    <row r="2173" spans="1:12" x14ac:dyDescent="0.25">
      <c r="A2173">
        <v>2172</v>
      </c>
      <c r="B2173">
        <v>1252</v>
      </c>
      <c r="C2173">
        <v>1500</v>
      </c>
      <c r="D2173" s="1">
        <v>45814</v>
      </c>
      <c r="E2173" t="s">
        <v>24</v>
      </c>
      <c r="F2173" t="s">
        <v>321</v>
      </c>
      <c r="G2173" t="str">
        <f>_xlfn.XLOOKUP(TRIM(E2174),MedicineInfo!A:A,MedicineInfo!B:B,"Not Found")</f>
        <v>Multivitamin</v>
      </c>
      <c r="H2173" s="1" t="str" cm="1">
        <f t="array" ref="H2173">_xlfn.IFS(
OR(E2173="Type 2 Diabetes",E2173="Essential Hypertension",E2173="Angina Pectoris",E2173="Bronchial Asthma",E2173="Cardiac Arrhythmia"), D2173+30,
OR(E2173="Gastritis",E2173="Osteoarthritis",E2173="Bronchitis",E2173="Iron Deficiency Anemia"), D2173+14,
OR(E2173="Lumbar Strain",E2173="Migraine Headache"), D2173+7,
OR(E2173="Viral Fever",E2173="General Checkup","Routine Health Check"), "",
TRUE,""
)</f>
        <v/>
      </c>
      <c r="I2173" s="1" t="str">
        <f t="shared" si="66"/>
        <v>No Follow-up Required</v>
      </c>
      <c r="J2173" t="str">
        <f>TEXT(Table8[[#This Row],[visit_Date]],"DDDD")</f>
        <v>Friday</v>
      </c>
      <c r="K2173" t="str">
        <f>TEXT(Table8[[#This Row],[visit_Date]],"mmmm")</f>
        <v>June</v>
      </c>
      <c r="L2173" t="str">
        <f t="shared" si="67"/>
        <v>Monsoon</v>
      </c>
    </row>
    <row r="2174" spans="1:12" x14ac:dyDescent="0.25">
      <c r="A2174">
        <v>2173</v>
      </c>
      <c r="B2174">
        <v>1268</v>
      </c>
      <c r="C2174">
        <v>855</v>
      </c>
      <c r="D2174" s="1">
        <v>45799</v>
      </c>
      <c r="E2174" t="s">
        <v>24</v>
      </c>
      <c r="F2174" t="s">
        <v>321</v>
      </c>
      <c r="G2174" t="str">
        <f>_xlfn.XLOOKUP(TRIM(E2175),MedicineInfo!A:A,MedicineInfo!B:B,"Not Found")</f>
        <v>Cefixime</v>
      </c>
      <c r="H2174" s="1" t="str" cm="1">
        <f t="array" ref="H2174">_xlfn.IFS(
OR(E2174="Type 2 Diabetes",E2174="Essential Hypertension",E2174="Angina Pectoris",E2174="Bronchial Asthma",E2174="Cardiac Arrhythmia"), D2174+30,
OR(E2174="Gastritis",E2174="Osteoarthritis",E2174="Bronchitis",E2174="Iron Deficiency Anemia"), D2174+14,
OR(E2174="Lumbar Strain",E2174="Migraine Headache"), D2174+7,
OR(E2174="Viral Fever",E2174="General Checkup","Routine Health Check"), "",
TRUE,""
)</f>
        <v/>
      </c>
      <c r="I2174" s="1" t="str">
        <f t="shared" si="66"/>
        <v>No Follow-up Required</v>
      </c>
      <c r="J2174" t="str">
        <f>TEXT(Table8[[#This Row],[visit_Date]],"DDDD")</f>
        <v>Thursday</v>
      </c>
      <c r="K2174" t="str">
        <f>TEXT(Table8[[#This Row],[visit_Date]],"mmmm")</f>
        <v>May</v>
      </c>
      <c r="L2174" t="str">
        <f t="shared" si="67"/>
        <v>Summer</v>
      </c>
    </row>
    <row r="2175" spans="1:12" x14ac:dyDescent="0.25">
      <c r="A2175">
        <v>2174</v>
      </c>
      <c r="B2175">
        <v>1392</v>
      </c>
      <c r="C2175">
        <v>510</v>
      </c>
      <c r="D2175" s="1">
        <v>45686</v>
      </c>
      <c r="E2175" t="s">
        <v>354</v>
      </c>
      <c r="F2175" t="s">
        <v>355</v>
      </c>
      <c r="G2175" t="str">
        <f>_xlfn.XLOOKUP(TRIM(E2176),MedicineInfo!A:A,MedicineInfo!B:B,"Not Found")</f>
        <v>Multivitamin</v>
      </c>
      <c r="H2175" s="1" t="str" cm="1">
        <f t="array" ref="H2175">_xlfn.IFS(
OR(E2175="Type 2 Diabetes",E2175="Essential Hypertension",E2175="Angina Pectoris",E2175="Bronchial Asthma",E2175="Cardiac Arrhythmia"), D2175+30,
OR(E2175="Gastritis",E2175="Osteoarthritis",E2175="Bronchitis",E2175="Iron Deficiency Anemia"), D2175+14,
OR(E2175="Lumbar Strain",E2175="Migraine Headache"), D2175+7,
OR(E2175="Viral Fever",E2175="General Checkup","Routine Health Check"), "",
TRUE,""
)</f>
        <v/>
      </c>
      <c r="I2175" s="1" t="str">
        <f t="shared" si="66"/>
        <v>No Follow-up Required</v>
      </c>
      <c r="J2175" t="str">
        <f>TEXT(Table8[[#This Row],[visit_Date]],"DDDD")</f>
        <v>Wednesday</v>
      </c>
      <c r="K2175" t="str">
        <f>TEXT(Table8[[#This Row],[visit_Date]],"mmmm")</f>
        <v>January</v>
      </c>
      <c r="L2175" t="str">
        <f t="shared" si="67"/>
        <v>Winter</v>
      </c>
    </row>
    <row r="2176" spans="1:12" x14ac:dyDescent="0.25">
      <c r="A2176">
        <v>2175</v>
      </c>
      <c r="B2176">
        <v>1021</v>
      </c>
      <c r="C2176">
        <v>1259</v>
      </c>
      <c r="D2176" s="1">
        <v>45752</v>
      </c>
      <c r="E2176" t="s">
        <v>24</v>
      </c>
      <c r="F2176" t="s">
        <v>321</v>
      </c>
      <c r="G2176" t="str">
        <f>_xlfn.XLOOKUP(TRIM(E2177),MedicineInfo!A:A,MedicineInfo!B:B,"Not Found")</f>
        <v>Multivitamin</v>
      </c>
      <c r="H2176" s="1" t="str" cm="1">
        <f t="array" ref="H2176">_xlfn.IFS(
OR(E2176="Type 2 Diabetes",E2176="Essential Hypertension",E2176="Angina Pectoris",E2176="Bronchial Asthma",E2176="Cardiac Arrhythmia"), D2176+30,
OR(E2176="Gastritis",E2176="Osteoarthritis",E2176="Bronchitis",E2176="Iron Deficiency Anemia"), D2176+14,
OR(E2176="Lumbar Strain",E2176="Migraine Headache"), D2176+7,
OR(E2176="Viral Fever",E2176="General Checkup","Routine Health Check"), "",
TRUE,""
)</f>
        <v/>
      </c>
      <c r="I2176" s="1" t="str">
        <f t="shared" si="66"/>
        <v>No Follow-up Required</v>
      </c>
      <c r="J2176" t="str">
        <f>TEXT(Table8[[#This Row],[visit_Date]],"DDDD")</f>
        <v>Saturday</v>
      </c>
      <c r="K2176" t="str">
        <f>TEXT(Table8[[#This Row],[visit_Date]],"mmmm")</f>
        <v>April</v>
      </c>
      <c r="L2176" t="str">
        <f t="shared" si="67"/>
        <v>Summer</v>
      </c>
    </row>
    <row r="2177" spans="1:12" x14ac:dyDescent="0.25">
      <c r="A2177">
        <v>2176</v>
      </c>
      <c r="B2177">
        <v>1039</v>
      </c>
      <c r="C2177">
        <v>1451</v>
      </c>
      <c r="D2177" s="1">
        <v>45792</v>
      </c>
      <c r="E2177" t="s">
        <v>24</v>
      </c>
      <c r="F2177" t="s">
        <v>321</v>
      </c>
      <c r="G2177" t="str">
        <f>_xlfn.XLOOKUP(TRIM(E2178),MedicineInfo!A:A,MedicineInfo!B:B,"Not Found")</f>
        <v>Aceclofenac</v>
      </c>
      <c r="H2177" s="1" t="str" cm="1">
        <f t="array" ref="H2177">_xlfn.IFS(
OR(E2177="Type 2 Diabetes",E2177="Essential Hypertension",E2177="Angina Pectoris",E2177="Bronchial Asthma",E2177="Cardiac Arrhythmia"), D2177+30,
OR(E2177="Gastritis",E2177="Osteoarthritis",E2177="Bronchitis",E2177="Iron Deficiency Anemia"), D2177+14,
OR(E2177="Lumbar Strain",E2177="Migraine Headache"), D2177+7,
OR(E2177="Viral Fever",E2177="General Checkup","Routine Health Check"), "",
TRUE,""
)</f>
        <v/>
      </c>
      <c r="I2177" s="1" t="str">
        <f t="shared" si="66"/>
        <v>No Follow-up Required</v>
      </c>
      <c r="J2177" t="str">
        <f>TEXT(Table8[[#This Row],[visit_Date]],"DDDD")</f>
        <v>Thursday</v>
      </c>
      <c r="K2177" t="str">
        <f>TEXT(Table8[[#This Row],[visit_Date]],"mmmm")</f>
        <v>May</v>
      </c>
      <c r="L2177" t="str">
        <f t="shared" si="67"/>
        <v>Summer</v>
      </c>
    </row>
    <row r="2178" spans="1:12" x14ac:dyDescent="0.25">
      <c r="A2178">
        <v>2177</v>
      </c>
      <c r="B2178">
        <v>1264</v>
      </c>
      <c r="C2178">
        <v>660</v>
      </c>
      <c r="D2178" s="1">
        <v>45680</v>
      </c>
      <c r="E2178" t="s">
        <v>348</v>
      </c>
      <c r="F2178" t="s">
        <v>349</v>
      </c>
      <c r="G2178" t="str">
        <f>_xlfn.XLOOKUP(TRIM(E2179),MedicineInfo!A:A,MedicineInfo!B:B,"Not Found")</f>
        <v>Multivitamin</v>
      </c>
      <c r="H2178" s="1" cm="1">
        <f t="array" ref="H2178">_xlfn.IFS(
OR(E2178="Type 2 Diabetes",E2178="Essential Hypertension",E2178="Angina Pectoris",E2178="Bronchial Asthma",E2178="Cardiac Arrhythmia"), D2178+30,
OR(E2178="Gastritis",E2178="Osteoarthritis",E2178="Bronchitis",E2178="Iron Deficiency Anemia"), D2178+14,
OR(E2178="Lumbar Strain",E2178="Migraine Headache"), D2178+7,
OR(E2178="Viral Fever",E2178="General Checkup","Routine Health Check"), "",
TRUE,""
)</f>
        <v>45694</v>
      </c>
      <c r="I2178" s="1" t="str">
        <f t="shared" ref="I2178:I2241" si="68">IF(H2178="","No Follow-up Required","Follow-up Scheduled")</f>
        <v>Follow-up Scheduled</v>
      </c>
      <c r="J2178" t="str">
        <f>TEXT(Table8[[#This Row],[visit_Date]],"DDDD")</f>
        <v>Thursday</v>
      </c>
      <c r="K2178" t="str">
        <f>TEXT(Table8[[#This Row],[visit_Date]],"mmmm")</f>
        <v>January</v>
      </c>
      <c r="L2178" t="str">
        <f t="shared" ref="L2178:L2241" si="69">IF(OR(MONTH(D2178)=12,MONTH(D2178)&lt;=2),"Winter",
IF(MONTH(D2178)&lt;=5,"Summer","Monsoon"))</f>
        <v>Winter</v>
      </c>
    </row>
    <row r="2179" spans="1:12" x14ac:dyDescent="0.25">
      <c r="A2179">
        <v>2178</v>
      </c>
      <c r="B2179">
        <v>1314</v>
      </c>
      <c r="C2179">
        <v>1263</v>
      </c>
      <c r="D2179" s="1">
        <v>45814</v>
      </c>
      <c r="E2179" t="s">
        <v>24</v>
      </c>
      <c r="F2179" t="s">
        <v>321</v>
      </c>
      <c r="G2179" t="str">
        <f>_xlfn.XLOOKUP(TRIM(E2180),MedicineInfo!A:A,MedicineInfo!B:B,"Not Found")</f>
        <v>Multivitamin</v>
      </c>
      <c r="H2179" s="1" t="str" cm="1">
        <f t="array" ref="H2179">_xlfn.IFS(
OR(E2179="Type 2 Diabetes",E2179="Essential Hypertension",E2179="Angina Pectoris",E2179="Bronchial Asthma",E2179="Cardiac Arrhythmia"), D2179+30,
OR(E2179="Gastritis",E2179="Osteoarthritis",E2179="Bronchitis",E2179="Iron Deficiency Anemia"), D2179+14,
OR(E2179="Lumbar Strain",E2179="Migraine Headache"), D2179+7,
OR(E2179="Viral Fever",E2179="General Checkup","Routine Health Check"), "",
TRUE,""
)</f>
        <v/>
      </c>
      <c r="I2179" s="1" t="str">
        <f t="shared" si="68"/>
        <v>No Follow-up Required</v>
      </c>
      <c r="J2179" t="str">
        <f>TEXT(Table8[[#This Row],[visit_Date]],"DDDD")</f>
        <v>Friday</v>
      </c>
      <c r="K2179" t="str">
        <f>TEXT(Table8[[#This Row],[visit_Date]],"mmmm")</f>
        <v>June</v>
      </c>
      <c r="L2179" t="str">
        <f t="shared" si="69"/>
        <v>Monsoon</v>
      </c>
    </row>
    <row r="2180" spans="1:12" x14ac:dyDescent="0.25">
      <c r="A2180">
        <v>2179</v>
      </c>
      <c r="B2180">
        <v>1152</v>
      </c>
      <c r="C2180">
        <v>311</v>
      </c>
      <c r="D2180" s="1">
        <v>45799</v>
      </c>
      <c r="E2180" t="s">
        <v>24</v>
      </c>
      <c r="F2180" t="s">
        <v>321</v>
      </c>
      <c r="G2180" t="str">
        <f>_xlfn.XLOOKUP(TRIM(E2181),MedicineInfo!A:A,MedicineInfo!B:B,"Not Found")</f>
        <v>Multivitamin</v>
      </c>
      <c r="H2180" s="1" t="str" cm="1">
        <f t="array" ref="H2180">_xlfn.IFS(
OR(E2180="Type 2 Diabetes",E2180="Essential Hypertension",E2180="Angina Pectoris",E2180="Bronchial Asthma",E2180="Cardiac Arrhythmia"), D2180+30,
OR(E2180="Gastritis",E2180="Osteoarthritis",E2180="Bronchitis",E2180="Iron Deficiency Anemia"), D2180+14,
OR(E2180="Lumbar Strain",E2180="Migraine Headache"), D2180+7,
OR(E2180="Viral Fever",E2180="General Checkup","Routine Health Check"), "",
TRUE,""
)</f>
        <v/>
      </c>
      <c r="I2180" s="1" t="str">
        <f t="shared" si="68"/>
        <v>No Follow-up Required</v>
      </c>
      <c r="J2180" t="str">
        <f>TEXT(Table8[[#This Row],[visit_Date]],"DDDD")</f>
        <v>Thursday</v>
      </c>
      <c r="K2180" t="str">
        <f>TEXT(Table8[[#This Row],[visit_Date]],"mmmm")</f>
        <v>May</v>
      </c>
      <c r="L2180" t="str">
        <f t="shared" si="69"/>
        <v>Summer</v>
      </c>
    </row>
    <row r="2181" spans="1:12" x14ac:dyDescent="0.25">
      <c r="A2181">
        <v>2180</v>
      </c>
      <c r="B2181">
        <v>1035</v>
      </c>
      <c r="C2181">
        <v>689</v>
      </c>
      <c r="D2181" s="1">
        <v>45686</v>
      </c>
      <c r="E2181" t="s">
        <v>24</v>
      </c>
      <c r="F2181" t="s">
        <v>321</v>
      </c>
      <c r="G2181" t="str">
        <f>_xlfn.XLOOKUP(TRIM(E2182),MedicineInfo!A:A,MedicineInfo!B:B,"Not Found")</f>
        <v>Multivitamin</v>
      </c>
      <c r="H2181" s="1" t="str" cm="1">
        <f t="array" ref="H2181">_xlfn.IFS(
OR(E2181="Type 2 Diabetes",E2181="Essential Hypertension",E2181="Angina Pectoris",E2181="Bronchial Asthma",E2181="Cardiac Arrhythmia"), D2181+30,
OR(E2181="Gastritis",E2181="Osteoarthritis",E2181="Bronchitis",E2181="Iron Deficiency Anemia"), D2181+14,
OR(E2181="Lumbar Strain",E2181="Migraine Headache"), D2181+7,
OR(E2181="Viral Fever",E2181="General Checkup","Routine Health Check"), "",
TRUE,""
)</f>
        <v/>
      </c>
      <c r="I2181" s="1" t="str">
        <f t="shared" si="68"/>
        <v>No Follow-up Required</v>
      </c>
      <c r="J2181" t="str">
        <f>TEXT(Table8[[#This Row],[visit_Date]],"DDDD")</f>
        <v>Wednesday</v>
      </c>
      <c r="K2181" t="str">
        <f>TEXT(Table8[[#This Row],[visit_Date]],"mmmm")</f>
        <v>January</v>
      </c>
      <c r="L2181" t="str">
        <f t="shared" si="69"/>
        <v>Winter</v>
      </c>
    </row>
    <row r="2182" spans="1:12" x14ac:dyDescent="0.25">
      <c r="A2182">
        <v>2181</v>
      </c>
      <c r="B2182">
        <v>1230</v>
      </c>
      <c r="C2182">
        <v>756</v>
      </c>
      <c r="D2182" s="1">
        <v>45694</v>
      </c>
      <c r="E2182" t="s">
        <v>24</v>
      </c>
      <c r="F2182" t="s">
        <v>321</v>
      </c>
      <c r="G2182" t="str">
        <f>_xlfn.XLOOKUP(TRIM(E2183),MedicineInfo!A:A,MedicineInfo!B:B,"Not Found")</f>
        <v>Multivitamin</v>
      </c>
      <c r="H2182" s="1" t="str" cm="1">
        <f t="array" ref="H2182">_xlfn.IFS(
OR(E2182="Type 2 Diabetes",E2182="Essential Hypertension",E2182="Angina Pectoris",E2182="Bronchial Asthma",E2182="Cardiac Arrhythmia"), D2182+30,
OR(E2182="Gastritis",E2182="Osteoarthritis",E2182="Bronchitis",E2182="Iron Deficiency Anemia"), D2182+14,
OR(E2182="Lumbar Strain",E2182="Migraine Headache"), D2182+7,
OR(E2182="Viral Fever",E2182="General Checkup","Routine Health Check"), "",
TRUE,""
)</f>
        <v/>
      </c>
      <c r="I2182" s="1" t="str">
        <f t="shared" si="68"/>
        <v>No Follow-up Required</v>
      </c>
      <c r="J2182" t="str">
        <f>TEXT(Table8[[#This Row],[visit_Date]],"DDDD")</f>
        <v>Thursday</v>
      </c>
      <c r="K2182" t="str">
        <f>TEXT(Table8[[#This Row],[visit_Date]],"mmmm")</f>
        <v>February</v>
      </c>
      <c r="L2182" t="str">
        <f t="shared" si="69"/>
        <v>Winter</v>
      </c>
    </row>
    <row r="2183" spans="1:12" x14ac:dyDescent="0.25">
      <c r="A2183">
        <v>2182</v>
      </c>
      <c r="B2183">
        <v>1110</v>
      </c>
      <c r="C2183">
        <v>557</v>
      </c>
      <c r="D2183" s="1">
        <v>45672</v>
      </c>
      <c r="E2183" t="s">
        <v>24</v>
      </c>
      <c r="F2183" t="s">
        <v>321</v>
      </c>
      <c r="G2183" t="str">
        <f>_xlfn.XLOOKUP(TRIM(E2184),MedicineInfo!A:A,MedicineInfo!B:B,"Not Found")</f>
        <v>Pantoprazole</v>
      </c>
      <c r="H2183" s="1" t="str" cm="1">
        <f t="array" ref="H2183">_xlfn.IFS(
OR(E2183="Type 2 Diabetes",E2183="Essential Hypertension",E2183="Angina Pectoris",E2183="Bronchial Asthma",E2183="Cardiac Arrhythmia"), D2183+30,
OR(E2183="Gastritis",E2183="Osteoarthritis",E2183="Bronchitis",E2183="Iron Deficiency Anemia"), D2183+14,
OR(E2183="Lumbar Strain",E2183="Migraine Headache"), D2183+7,
OR(E2183="Viral Fever",E2183="General Checkup","Routine Health Check"), "",
TRUE,""
)</f>
        <v/>
      </c>
      <c r="I2183" s="1" t="str">
        <f t="shared" si="68"/>
        <v>No Follow-up Required</v>
      </c>
      <c r="J2183" t="str">
        <f>TEXT(Table8[[#This Row],[visit_Date]],"DDDD")</f>
        <v>Wednesday</v>
      </c>
      <c r="K2183" t="str">
        <f>TEXT(Table8[[#This Row],[visit_Date]],"mmmm")</f>
        <v>January</v>
      </c>
      <c r="L2183" t="str">
        <f t="shared" si="69"/>
        <v>Winter</v>
      </c>
    </row>
    <row r="2184" spans="1:12" x14ac:dyDescent="0.25">
      <c r="A2184">
        <v>2183</v>
      </c>
      <c r="B2184">
        <v>1339</v>
      </c>
      <c r="C2184">
        <v>1015</v>
      </c>
      <c r="D2184" s="1">
        <v>45694</v>
      </c>
      <c r="E2184" t="s">
        <v>344</v>
      </c>
      <c r="F2184" t="s">
        <v>345</v>
      </c>
      <c r="G2184" t="str">
        <f>_xlfn.XLOOKUP(TRIM(E2185),MedicineInfo!A:A,MedicineInfo!B:B,"Not Found")</f>
        <v>Multivitamin</v>
      </c>
      <c r="H2184" s="1" cm="1">
        <f t="array" ref="H2184">_xlfn.IFS(
OR(E2184="Type 2 Diabetes",E2184="Essential Hypertension",E2184="Angina Pectoris",E2184="Bronchial Asthma",E2184="Cardiac Arrhythmia"), D2184+30,
OR(E2184="Gastritis",E2184="Osteoarthritis",E2184="Bronchitis",E2184="Iron Deficiency Anemia"), D2184+14,
OR(E2184="Lumbar Strain",E2184="Migraine Headache"), D2184+7,
OR(E2184="Viral Fever",E2184="General Checkup","Routine Health Check"), "",
TRUE,""
)</f>
        <v>45708</v>
      </c>
      <c r="I2184" s="1" t="str">
        <f t="shared" si="68"/>
        <v>Follow-up Scheduled</v>
      </c>
      <c r="J2184" t="str">
        <f>TEXT(Table8[[#This Row],[visit_Date]],"DDDD")</f>
        <v>Thursday</v>
      </c>
      <c r="K2184" t="str">
        <f>TEXT(Table8[[#This Row],[visit_Date]],"mmmm")</f>
        <v>February</v>
      </c>
      <c r="L2184" t="str">
        <f t="shared" si="69"/>
        <v>Winter</v>
      </c>
    </row>
    <row r="2185" spans="1:12" x14ac:dyDescent="0.25">
      <c r="A2185">
        <v>2184</v>
      </c>
      <c r="B2185">
        <v>1065</v>
      </c>
      <c r="C2185">
        <v>759</v>
      </c>
      <c r="D2185" s="1">
        <v>45777</v>
      </c>
      <c r="E2185" t="s">
        <v>24</v>
      </c>
      <c r="F2185" t="s">
        <v>321</v>
      </c>
      <c r="G2185" t="str">
        <f>_xlfn.XLOOKUP(TRIM(E2186),MedicineInfo!A:A,MedicineInfo!B:B,"Not Found")</f>
        <v>Multivitamin</v>
      </c>
      <c r="H2185" s="1" t="str" cm="1">
        <f t="array" ref="H2185">_xlfn.IFS(
OR(E2185="Type 2 Diabetes",E2185="Essential Hypertension",E2185="Angina Pectoris",E2185="Bronchial Asthma",E2185="Cardiac Arrhythmia"), D2185+30,
OR(E2185="Gastritis",E2185="Osteoarthritis",E2185="Bronchitis",E2185="Iron Deficiency Anemia"), D2185+14,
OR(E2185="Lumbar Strain",E2185="Migraine Headache"), D2185+7,
OR(E2185="Viral Fever",E2185="General Checkup","Routine Health Check"), "",
TRUE,""
)</f>
        <v/>
      </c>
      <c r="I2185" s="1" t="str">
        <f t="shared" si="68"/>
        <v>No Follow-up Required</v>
      </c>
      <c r="J2185" t="str">
        <f>TEXT(Table8[[#This Row],[visit_Date]],"DDDD")</f>
        <v>Wednesday</v>
      </c>
      <c r="K2185" t="str">
        <f>TEXT(Table8[[#This Row],[visit_Date]],"mmmm")</f>
        <v>April</v>
      </c>
      <c r="L2185" t="str">
        <f t="shared" si="69"/>
        <v>Summer</v>
      </c>
    </row>
    <row r="2186" spans="1:12" x14ac:dyDescent="0.25">
      <c r="A2186">
        <v>2185</v>
      </c>
      <c r="B2186">
        <v>1193</v>
      </c>
      <c r="C2186">
        <v>1071</v>
      </c>
      <c r="D2186" s="1">
        <v>45792</v>
      </c>
      <c r="E2186" t="s">
        <v>24</v>
      </c>
      <c r="F2186" t="s">
        <v>321</v>
      </c>
      <c r="G2186" t="str">
        <f>_xlfn.XLOOKUP(TRIM(E2187),MedicineInfo!A:A,MedicineInfo!B:B,"Not Found")</f>
        <v>Multivitamin</v>
      </c>
      <c r="H2186" s="1" t="str" cm="1">
        <f t="array" ref="H2186">_xlfn.IFS(
OR(E2186="Type 2 Diabetes",E2186="Essential Hypertension",E2186="Angina Pectoris",E2186="Bronchial Asthma",E2186="Cardiac Arrhythmia"), D2186+30,
OR(E2186="Gastritis",E2186="Osteoarthritis",E2186="Bronchitis",E2186="Iron Deficiency Anemia"), D2186+14,
OR(E2186="Lumbar Strain",E2186="Migraine Headache"), D2186+7,
OR(E2186="Viral Fever",E2186="General Checkup","Routine Health Check"), "",
TRUE,""
)</f>
        <v/>
      </c>
      <c r="I2186" s="1" t="str">
        <f t="shared" si="68"/>
        <v>No Follow-up Required</v>
      </c>
      <c r="J2186" t="str">
        <f>TEXT(Table8[[#This Row],[visit_Date]],"DDDD")</f>
        <v>Thursday</v>
      </c>
      <c r="K2186" t="str">
        <f>TEXT(Table8[[#This Row],[visit_Date]],"mmmm")</f>
        <v>May</v>
      </c>
      <c r="L2186" t="str">
        <f t="shared" si="69"/>
        <v>Summer</v>
      </c>
    </row>
    <row r="2187" spans="1:12" x14ac:dyDescent="0.25">
      <c r="A2187">
        <v>2186</v>
      </c>
      <c r="B2187">
        <v>1266</v>
      </c>
      <c r="C2187">
        <v>1055</v>
      </c>
      <c r="D2187" s="1">
        <v>45799</v>
      </c>
      <c r="E2187" t="s">
        <v>24</v>
      </c>
      <c r="F2187" t="s">
        <v>321</v>
      </c>
      <c r="G2187" t="str">
        <f>_xlfn.XLOOKUP(TRIM(E2188),MedicineInfo!A:A,MedicineInfo!B:B,"Not Found")</f>
        <v>Amoxicillin</v>
      </c>
      <c r="H2187" s="1" t="str" cm="1">
        <f t="array" ref="H2187">_xlfn.IFS(
OR(E2187="Type 2 Diabetes",E2187="Essential Hypertension",E2187="Angina Pectoris",E2187="Bronchial Asthma",E2187="Cardiac Arrhythmia"), D2187+30,
OR(E2187="Gastritis",E2187="Osteoarthritis",E2187="Bronchitis",E2187="Iron Deficiency Anemia"), D2187+14,
OR(E2187="Lumbar Strain",E2187="Migraine Headache"), D2187+7,
OR(E2187="Viral Fever",E2187="General Checkup","Routine Health Check"), "",
TRUE,""
)</f>
        <v/>
      </c>
      <c r="I2187" s="1" t="str">
        <f t="shared" si="68"/>
        <v>No Follow-up Required</v>
      </c>
      <c r="J2187" t="str">
        <f>TEXT(Table8[[#This Row],[visit_Date]],"DDDD")</f>
        <v>Thursday</v>
      </c>
      <c r="K2187" t="str">
        <f>TEXT(Table8[[#This Row],[visit_Date]],"mmmm")</f>
        <v>May</v>
      </c>
      <c r="L2187" t="str">
        <f t="shared" si="69"/>
        <v>Summer</v>
      </c>
    </row>
    <row r="2188" spans="1:12" x14ac:dyDescent="0.25">
      <c r="A2188">
        <v>2187</v>
      </c>
      <c r="B2188">
        <v>1233</v>
      </c>
      <c r="C2188">
        <v>1117</v>
      </c>
      <c r="D2188" s="1">
        <v>45814</v>
      </c>
      <c r="E2188" t="s">
        <v>346</v>
      </c>
      <c r="F2188" t="s">
        <v>347</v>
      </c>
      <c r="G2188" t="str">
        <f>_xlfn.XLOOKUP(TRIM(E2189),MedicineInfo!A:A,MedicineInfo!B:B,"Not Found")</f>
        <v>Multivitamin</v>
      </c>
      <c r="H2188" s="1" cm="1">
        <f t="array" ref="H2188">_xlfn.IFS(
OR(E2188="Type 2 Diabetes",E2188="Essential Hypertension",E2188="Angina Pectoris",E2188="Bronchial Asthma",E2188="Cardiac Arrhythmia"), D2188+30,
OR(E2188="Gastritis",E2188="Osteoarthritis",E2188="Bronchitis",E2188="Iron Deficiency Anemia"), D2188+14,
OR(E2188="Lumbar Strain",E2188="Migraine Headache"), D2188+7,
OR(E2188="Viral Fever",E2188="General Checkup","Routine Health Check"), "",
TRUE,""
)</f>
        <v>45828</v>
      </c>
      <c r="I2188" s="1" t="str">
        <f t="shared" si="68"/>
        <v>Follow-up Scheduled</v>
      </c>
      <c r="J2188" t="str">
        <f>TEXT(Table8[[#This Row],[visit_Date]],"DDDD")</f>
        <v>Friday</v>
      </c>
      <c r="K2188" t="str">
        <f>TEXT(Table8[[#This Row],[visit_Date]],"mmmm")</f>
        <v>June</v>
      </c>
      <c r="L2188" t="str">
        <f t="shared" si="69"/>
        <v>Monsoon</v>
      </c>
    </row>
    <row r="2189" spans="1:12" x14ac:dyDescent="0.25">
      <c r="A2189">
        <v>2188</v>
      </c>
      <c r="B2189">
        <v>1247</v>
      </c>
      <c r="C2189">
        <v>1442</v>
      </c>
      <c r="D2189" s="1">
        <v>45777</v>
      </c>
      <c r="E2189" t="s">
        <v>24</v>
      </c>
      <c r="F2189" t="s">
        <v>321</v>
      </c>
      <c r="G2189" t="str">
        <f>_xlfn.XLOOKUP(TRIM(E2190),MedicineInfo!A:A,MedicineInfo!B:B,"Not Found")</f>
        <v>Multivitamin</v>
      </c>
      <c r="H2189" s="1" t="str" cm="1">
        <f t="array" ref="H2189">_xlfn.IFS(
OR(E2189="Type 2 Diabetes",E2189="Essential Hypertension",E2189="Angina Pectoris",E2189="Bronchial Asthma",E2189="Cardiac Arrhythmia"), D2189+30,
OR(E2189="Gastritis",E2189="Osteoarthritis",E2189="Bronchitis",E2189="Iron Deficiency Anemia"), D2189+14,
OR(E2189="Lumbar Strain",E2189="Migraine Headache"), D2189+7,
OR(E2189="Viral Fever",E2189="General Checkup","Routine Health Check"), "",
TRUE,""
)</f>
        <v/>
      </c>
      <c r="I2189" s="1" t="str">
        <f t="shared" si="68"/>
        <v>No Follow-up Required</v>
      </c>
      <c r="J2189" t="str">
        <f>TEXT(Table8[[#This Row],[visit_Date]],"DDDD")</f>
        <v>Wednesday</v>
      </c>
      <c r="K2189" t="str">
        <f>TEXT(Table8[[#This Row],[visit_Date]],"mmmm")</f>
        <v>April</v>
      </c>
      <c r="L2189" t="str">
        <f t="shared" si="69"/>
        <v>Summer</v>
      </c>
    </row>
    <row r="2190" spans="1:12" x14ac:dyDescent="0.25">
      <c r="A2190">
        <v>2189</v>
      </c>
      <c r="B2190">
        <v>1142</v>
      </c>
      <c r="C2190">
        <v>1307</v>
      </c>
      <c r="D2190" s="1">
        <v>45691</v>
      </c>
      <c r="E2190" t="s">
        <v>24</v>
      </c>
      <c r="F2190" t="s">
        <v>321</v>
      </c>
      <c r="G2190" t="str">
        <f>_xlfn.XLOOKUP(TRIM(E2191),MedicineInfo!A:A,MedicineInfo!B:B,"Not Found")</f>
        <v>Sumatriptan</v>
      </c>
      <c r="H2190" s="1" t="str" cm="1">
        <f t="array" ref="H2190">_xlfn.IFS(
OR(E2190="Type 2 Diabetes",E2190="Essential Hypertension",E2190="Angina Pectoris",E2190="Bronchial Asthma",E2190="Cardiac Arrhythmia"), D2190+30,
OR(E2190="Gastritis",E2190="Osteoarthritis",E2190="Bronchitis",E2190="Iron Deficiency Anemia"), D2190+14,
OR(E2190="Lumbar Strain",E2190="Migraine Headache"), D2190+7,
OR(E2190="Viral Fever",E2190="General Checkup","Routine Health Check"), "",
TRUE,""
)</f>
        <v/>
      </c>
      <c r="I2190" s="1" t="str">
        <f t="shared" si="68"/>
        <v>No Follow-up Required</v>
      </c>
      <c r="J2190" t="str">
        <f>TEXT(Table8[[#This Row],[visit_Date]],"DDDD")</f>
        <v>Monday</v>
      </c>
      <c r="K2190" t="str">
        <f>TEXT(Table8[[#This Row],[visit_Date]],"mmmm")</f>
        <v>February</v>
      </c>
      <c r="L2190" t="str">
        <f t="shared" si="69"/>
        <v>Winter</v>
      </c>
    </row>
    <row r="2191" spans="1:12" x14ac:dyDescent="0.25">
      <c r="A2191">
        <v>2190</v>
      </c>
      <c r="B2191">
        <v>1257</v>
      </c>
      <c r="C2191">
        <v>114</v>
      </c>
      <c r="D2191" s="1">
        <v>45814</v>
      </c>
      <c r="E2191" t="s">
        <v>315</v>
      </c>
      <c r="F2191" t="s">
        <v>316</v>
      </c>
      <c r="G2191" t="str">
        <f>_xlfn.XLOOKUP(TRIM(E2192),MedicineInfo!A:A,MedicineInfo!B:B,"Not Found")</f>
        <v>Multivitamin</v>
      </c>
      <c r="H2191" s="1" cm="1">
        <f t="array" ref="H2191">_xlfn.IFS(
OR(E2191="Type 2 Diabetes",E2191="Essential Hypertension",E2191="Angina Pectoris",E2191="Bronchial Asthma",E2191="Cardiac Arrhythmia"), D2191+30,
OR(E2191="Gastritis",E2191="Osteoarthritis",E2191="Bronchitis",E2191="Iron Deficiency Anemia"), D2191+14,
OR(E2191="Lumbar Strain",E2191="Migraine Headache"), D2191+7,
OR(E2191="Viral Fever",E2191="General Checkup","Routine Health Check"), "",
TRUE,""
)</f>
        <v>45821</v>
      </c>
      <c r="I2191" s="1" t="str">
        <f t="shared" si="68"/>
        <v>Follow-up Scheduled</v>
      </c>
      <c r="J2191" t="str">
        <f>TEXT(Table8[[#This Row],[visit_Date]],"DDDD")</f>
        <v>Friday</v>
      </c>
      <c r="K2191" t="str">
        <f>TEXT(Table8[[#This Row],[visit_Date]],"mmmm")</f>
        <v>June</v>
      </c>
      <c r="L2191" t="str">
        <f t="shared" si="69"/>
        <v>Monsoon</v>
      </c>
    </row>
    <row r="2192" spans="1:12" x14ac:dyDescent="0.25">
      <c r="A2192">
        <v>2191</v>
      </c>
      <c r="B2192">
        <v>1374</v>
      </c>
      <c r="C2192">
        <v>341</v>
      </c>
      <c r="D2192" s="1">
        <v>45747</v>
      </c>
      <c r="E2192" t="s">
        <v>24</v>
      </c>
      <c r="F2192" t="s">
        <v>321</v>
      </c>
      <c r="G2192" t="str">
        <f>_xlfn.XLOOKUP(TRIM(E2193),MedicineInfo!A:A,MedicineInfo!B:B,"Not Found")</f>
        <v>Multivitamin</v>
      </c>
      <c r="H2192" s="1" t="str" cm="1">
        <f t="array" ref="H2192">_xlfn.IFS(
OR(E2192="Type 2 Diabetes",E2192="Essential Hypertension",E2192="Angina Pectoris",E2192="Bronchial Asthma",E2192="Cardiac Arrhythmia"), D2192+30,
OR(E2192="Gastritis",E2192="Osteoarthritis",E2192="Bronchitis",E2192="Iron Deficiency Anemia"), D2192+14,
OR(E2192="Lumbar Strain",E2192="Migraine Headache"), D2192+7,
OR(E2192="Viral Fever",E2192="General Checkup","Routine Health Check"), "",
TRUE,""
)</f>
        <v/>
      </c>
      <c r="I2192" s="1" t="str">
        <f t="shared" si="68"/>
        <v>No Follow-up Required</v>
      </c>
      <c r="J2192" t="str">
        <f>TEXT(Table8[[#This Row],[visit_Date]],"DDDD")</f>
        <v>Monday</v>
      </c>
      <c r="K2192" t="str">
        <f>TEXT(Table8[[#This Row],[visit_Date]],"mmmm")</f>
        <v>March</v>
      </c>
      <c r="L2192" t="str">
        <f t="shared" si="69"/>
        <v>Summer</v>
      </c>
    </row>
    <row r="2193" spans="1:12" x14ac:dyDescent="0.25">
      <c r="A2193">
        <v>2192</v>
      </c>
      <c r="B2193">
        <v>1148</v>
      </c>
      <c r="C2193">
        <v>174</v>
      </c>
      <c r="D2193" s="1">
        <v>45799</v>
      </c>
      <c r="E2193" t="s">
        <v>24</v>
      </c>
      <c r="F2193" t="s">
        <v>321</v>
      </c>
      <c r="G2193" t="str">
        <f>_xlfn.XLOOKUP(TRIM(E2194),MedicineInfo!A:A,MedicineInfo!B:B,"Not Found")</f>
        <v>Aceclofenac</v>
      </c>
      <c r="H2193" s="1" t="str" cm="1">
        <f t="array" ref="H2193">_xlfn.IFS(
OR(E2193="Type 2 Diabetes",E2193="Essential Hypertension",E2193="Angina Pectoris",E2193="Bronchial Asthma",E2193="Cardiac Arrhythmia"), D2193+30,
OR(E2193="Gastritis",E2193="Osteoarthritis",E2193="Bronchitis",E2193="Iron Deficiency Anemia"), D2193+14,
OR(E2193="Lumbar Strain",E2193="Migraine Headache"), D2193+7,
OR(E2193="Viral Fever",E2193="General Checkup","Routine Health Check"), "",
TRUE,""
)</f>
        <v/>
      </c>
      <c r="I2193" s="1" t="str">
        <f t="shared" si="68"/>
        <v>No Follow-up Required</v>
      </c>
      <c r="J2193" t="str">
        <f>TEXT(Table8[[#This Row],[visit_Date]],"DDDD")</f>
        <v>Thursday</v>
      </c>
      <c r="K2193" t="str">
        <f>TEXT(Table8[[#This Row],[visit_Date]],"mmmm")</f>
        <v>May</v>
      </c>
      <c r="L2193" t="str">
        <f t="shared" si="69"/>
        <v>Summer</v>
      </c>
    </row>
    <row r="2194" spans="1:12" x14ac:dyDescent="0.25">
      <c r="A2194">
        <v>2193</v>
      </c>
      <c r="B2194">
        <v>1213</v>
      </c>
      <c r="C2194">
        <v>862</v>
      </c>
      <c r="D2194" s="1">
        <v>45810</v>
      </c>
      <c r="E2194" t="s">
        <v>348</v>
      </c>
      <c r="F2194" t="s">
        <v>349</v>
      </c>
      <c r="G2194" t="str">
        <f>_xlfn.XLOOKUP(TRIM(E2195),MedicineInfo!A:A,MedicineInfo!B:B,"Not Found")</f>
        <v>Multivitamin</v>
      </c>
      <c r="H2194" s="1" cm="1">
        <f t="array" ref="H2194">_xlfn.IFS(
OR(E2194="Type 2 Diabetes",E2194="Essential Hypertension",E2194="Angina Pectoris",E2194="Bronchial Asthma",E2194="Cardiac Arrhythmia"), D2194+30,
OR(E2194="Gastritis",E2194="Osteoarthritis",E2194="Bronchitis",E2194="Iron Deficiency Anemia"), D2194+14,
OR(E2194="Lumbar Strain",E2194="Migraine Headache"), D2194+7,
OR(E2194="Viral Fever",E2194="General Checkup","Routine Health Check"), "",
TRUE,""
)</f>
        <v>45824</v>
      </c>
      <c r="I2194" s="1" t="str">
        <f t="shared" si="68"/>
        <v>Follow-up Scheduled</v>
      </c>
      <c r="J2194" t="str">
        <f>TEXT(Table8[[#This Row],[visit_Date]],"DDDD")</f>
        <v>Monday</v>
      </c>
      <c r="K2194" t="str">
        <f>TEXT(Table8[[#This Row],[visit_Date]],"mmmm")</f>
        <v>June</v>
      </c>
      <c r="L2194" t="str">
        <f t="shared" si="69"/>
        <v>Monsoon</v>
      </c>
    </row>
    <row r="2195" spans="1:12" x14ac:dyDescent="0.25">
      <c r="A2195">
        <v>2194</v>
      </c>
      <c r="B2195">
        <v>1288</v>
      </c>
      <c r="C2195">
        <v>1446</v>
      </c>
      <c r="D2195" s="1">
        <v>45730</v>
      </c>
      <c r="E2195" t="s">
        <v>24</v>
      </c>
      <c r="F2195" t="s">
        <v>321</v>
      </c>
      <c r="G2195" t="str">
        <f>_xlfn.XLOOKUP(TRIM(E2196),MedicineInfo!A:A,MedicineInfo!B:B,"Not Found")</f>
        <v>Paracetamol</v>
      </c>
      <c r="H2195" s="1" t="str" cm="1">
        <f t="array" ref="H2195">_xlfn.IFS(
OR(E2195="Type 2 Diabetes",E2195="Essential Hypertension",E2195="Angina Pectoris",E2195="Bronchial Asthma",E2195="Cardiac Arrhythmia"), D2195+30,
OR(E2195="Gastritis",E2195="Osteoarthritis",E2195="Bronchitis",E2195="Iron Deficiency Anemia"), D2195+14,
OR(E2195="Lumbar Strain",E2195="Migraine Headache"), D2195+7,
OR(E2195="Viral Fever",E2195="General Checkup","Routine Health Check"), "",
TRUE,""
)</f>
        <v/>
      </c>
      <c r="I2195" s="1" t="str">
        <f t="shared" si="68"/>
        <v>No Follow-up Required</v>
      </c>
      <c r="J2195" t="str">
        <f>TEXT(Table8[[#This Row],[visit_Date]],"DDDD")</f>
        <v>Friday</v>
      </c>
      <c r="K2195" t="str">
        <f>TEXT(Table8[[#This Row],[visit_Date]],"mmmm")</f>
        <v>March</v>
      </c>
      <c r="L2195" t="str">
        <f t="shared" si="69"/>
        <v>Summer</v>
      </c>
    </row>
    <row r="2196" spans="1:12" x14ac:dyDescent="0.25">
      <c r="A2196">
        <v>2195</v>
      </c>
      <c r="B2196">
        <v>1352</v>
      </c>
      <c r="C2196">
        <v>1012</v>
      </c>
      <c r="D2196" s="1">
        <v>45790</v>
      </c>
      <c r="E2196" t="s">
        <v>326</v>
      </c>
      <c r="F2196" t="s">
        <v>327</v>
      </c>
      <c r="G2196" t="str">
        <f>_xlfn.XLOOKUP(TRIM(E2197),MedicineInfo!A:A,MedicineInfo!B:B,"Not Found")</f>
        <v>Multivitamin</v>
      </c>
      <c r="H2196" s="1" t="str" cm="1">
        <f t="array" ref="H2196">_xlfn.IFS(
OR(E2196="Type 2 Diabetes",E2196="Essential Hypertension",E2196="Angina Pectoris",E2196="Bronchial Asthma",E2196="Cardiac Arrhythmia"), D2196+30,
OR(E2196="Gastritis",E2196="Osteoarthritis",E2196="Bronchitis",E2196="Iron Deficiency Anemia"), D2196+14,
OR(E2196="Lumbar Strain",E2196="Migraine Headache"), D2196+7,
OR(E2196="Viral Fever",E2196="General Checkup","Routine Health Check"), "",
TRUE,""
)</f>
        <v/>
      </c>
      <c r="I2196" s="1" t="str">
        <f t="shared" si="68"/>
        <v>No Follow-up Required</v>
      </c>
      <c r="J2196" t="str">
        <f>TEXT(Table8[[#This Row],[visit_Date]],"DDDD")</f>
        <v>Tuesday</v>
      </c>
      <c r="K2196" t="str">
        <f>TEXT(Table8[[#This Row],[visit_Date]],"mmmm")</f>
        <v>May</v>
      </c>
      <c r="L2196" t="str">
        <f t="shared" si="69"/>
        <v>Summer</v>
      </c>
    </row>
    <row r="2197" spans="1:12" x14ac:dyDescent="0.25">
      <c r="A2197">
        <v>2196</v>
      </c>
      <c r="B2197">
        <v>1082</v>
      </c>
      <c r="C2197">
        <v>1403</v>
      </c>
      <c r="D2197" s="1">
        <v>45819</v>
      </c>
      <c r="E2197" t="s">
        <v>24</v>
      </c>
      <c r="F2197" t="s">
        <v>321</v>
      </c>
      <c r="G2197" t="str">
        <f>_xlfn.XLOOKUP(TRIM(E2198),MedicineInfo!A:A,MedicineInfo!B:B,"Not Found")</f>
        <v>Multivitamin</v>
      </c>
      <c r="H2197" s="1" t="str" cm="1">
        <f t="array" ref="H2197">_xlfn.IFS(
OR(E2197="Type 2 Diabetes",E2197="Essential Hypertension",E2197="Angina Pectoris",E2197="Bronchial Asthma",E2197="Cardiac Arrhythmia"), D2197+30,
OR(E2197="Gastritis",E2197="Osteoarthritis",E2197="Bronchitis",E2197="Iron Deficiency Anemia"), D2197+14,
OR(E2197="Lumbar Strain",E2197="Migraine Headache"), D2197+7,
OR(E2197="Viral Fever",E2197="General Checkup","Routine Health Check"), "",
TRUE,""
)</f>
        <v/>
      </c>
      <c r="I2197" s="1" t="str">
        <f t="shared" si="68"/>
        <v>No Follow-up Required</v>
      </c>
      <c r="J2197" t="str">
        <f>TEXT(Table8[[#This Row],[visit_Date]],"DDDD")</f>
        <v>Wednesday</v>
      </c>
      <c r="K2197" t="str">
        <f>TEXT(Table8[[#This Row],[visit_Date]],"mmmm")</f>
        <v>June</v>
      </c>
      <c r="L2197" t="str">
        <f t="shared" si="69"/>
        <v>Monsoon</v>
      </c>
    </row>
    <row r="2198" spans="1:12" x14ac:dyDescent="0.25">
      <c r="A2198">
        <v>2197</v>
      </c>
      <c r="B2198">
        <v>1229</v>
      </c>
      <c r="C2198">
        <v>164</v>
      </c>
      <c r="D2198" s="1">
        <v>45791</v>
      </c>
      <c r="E2198" t="s">
        <v>24</v>
      </c>
      <c r="F2198" t="s">
        <v>321</v>
      </c>
      <c r="G2198" t="str">
        <f>_xlfn.XLOOKUP(TRIM(E2199),MedicineInfo!A:A,MedicineInfo!B:B,"Not Found")</f>
        <v>Multivitamin</v>
      </c>
      <c r="H2198" s="1" t="str" cm="1">
        <f t="array" ref="H2198">_xlfn.IFS(
OR(E2198="Type 2 Diabetes",E2198="Essential Hypertension",E2198="Angina Pectoris",E2198="Bronchial Asthma",E2198="Cardiac Arrhythmia"), D2198+30,
OR(E2198="Gastritis",E2198="Osteoarthritis",E2198="Bronchitis",E2198="Iron Deficiency Anemia"), D2198+14,
OR(E2198="Lumbar Strain",E2198="Migraine Headache"), D2198+7,
OR(E2198="Viral Fever",E2198="General Checkup","Routine Health Check"), "",
TRUE,""
)</f>
        <v/>
      </c>
      <c r="I2198" s="1" t="str">
        <f t="shared" si="68"/>
        <v>No Follow-up Required</v>
      </c>
      <c r="J2198" t="str">
        <f>TEXT(Table8[[#This Row],[visit_Date]],"DDDD")</f>
        <v>Wednesday</v>
      </c>
      <c r="K2198" t="str">
        <f>TEXT(Table8[[#This Row],[visit_Date]],"mmmm")</f>
        <v>May</v>
      </c>
      <c r="L2198" t="str">
        <f t="shared" si="69"/>
        <v>Summer</v>
      </c>
    </row>
    <row r="2199" spans="1:12" x14ac:dyDescent="0.25">
      <c r="A2199">
        <v>2198</v>
      </c>
      <c r="B2199">
        <v>1241</v>
      </c>
      <c r="C2199">
        <v>975</v>
      </c>
      <c r="D2199" s="1">
        <v>45710</v>
      </c>
      <c r="E2199" t="s">
        <v>24</v>
      </c>
      <c r="F2199" t="s">
        <v>321</v>
      </c>
      <c r="G2199" t="str">
        <f>_xlfn.XLOOKUP(TRIM(E2200),MedicineInfo!A:A,MedicineInfo!B:B,"Not Found")</f>
        <v>Multivitamin</v>
      </c>
      <c r="H2199" s="1" t="str" cm="1">
        <f t="array" ref="H2199">_xlfn.IFS(
OR(E2199="Type 2 Diabetes",E2199="Essential Hypertension",E2199="Angina Pectoris",E2199="Bronchial Asthma",E2199="Cardiac Arrhythmia"), D2199+30,
OR(E2199="Gastritis",E2199="Osteoarthritis",E2199="Bronchitis",E2199="Iron Deficiency Anemia"), D2199+14,
OR(E2199="Lumbar Strain",E2199="Migraine Headache"), D2199+7,
OR(E2199="Viral Fever",E2199="General Checkup","Routine Health Check"), "",
TRUE,""
)</f>
        <v/>
      </c>
      <c r="I2199" s="1" t="str">
        <f t="shared" si="68"/>
        <v>No Follow-up Required</v>
      </c>
      <c r="J2199" t="str">
        <f>TEXT(Table8[[#This Row],[visit_Date]],"DDDD")</f>
        <v>Saturday</v>
      </c>
      <c r="K2199" t="str">
        <f>TEXT(Table8[[#This Row],[visit_Date]],"mmmm")</f>
        <v>February</v>
      </c>
      <c r="L2199" t="str">
        <f t="shared" si="69"/>
        <v>Winter</v>
      </c>
    </row>
    <row r="2200" spans="1:12" x14ac:dyDescent="0.25">
      <c r="A2200">
        <v>2199</v>
      </c>
      <c r="B2200">
        <v>1221</v>
      </c>
      <c r="C2200">
        <v>459</v>
      </c>
      <c r="D2200" s="1">
        <v>45819</v>
      </c>
      <c r="E2200" t="s">
        <v>24</v>
      </c>
      <c r="F2200" t="s">
        <v>321</v>
      </c>
      <c r="G2200" t="str">
        <f>_xlfn.XLOOKUP(TRIM(E2201),MedicineInfo!A:A,MedicineInfo!B:B,"Not Found")</f>
        <v>Multivitamin</v>
      </c>
      <c r="H2200" s="1" t="str" cm="1">
        <f t="array" ref="H2200">_xlfn.IFS(
OR(E2200="Type 2 Diabetes",E2200="Essential Hypertension",E2200="Angina Pectoris",E2200="Bronchial Asthma",E2200="Cardiac Arrhythmia"), D2200+30,
OR(E2200="Gastritis",E2200="Osteoarthritis",E2200="Bronchitis",E2200="Iron Deficiency Anemia"), D2200+14,
OR(E2200="Lumbar Strain",E2200="Migraine Headache"), D2200+7,
OR(E2200="Viral Fever",E2200="General Checkup","Routine Health Check"), "",
TRUE,""
)</f>
        <v/>
      </c>
      <c r="I2200" s="1" t="str">
        <f t="shared" si="68"/>
        <v>No Follow-up Required</v>
      </c>
      <c r="J2200" t="str">
        <f>TEXT(Table8[[#This Row],[visit_Date]],"DDDD")</f>
        <v>Wednesday</v>
      </c>
      <c r="K2200" t="str">
        <f>TEXT(Table8[[#This Row],[visit_Date]],"mmmm")</f>
        <v>June</v>
      </c>
      <c r="L2200" t="str">
        <f t="shared" si="69"/>
        <v>Monsoon</v>
      </c>
    </row>
    <row r="2201" spans="1:12" x14ac:dyDescent="0.25">
      <c r="A2201">
        <v>2200</v>
      </c>
      <c r="B2201">
        <v>1199</v>
      </c>
      <c r="C2201">
        <v>1229</v>
      </c>
      <c r="D2201" s="1">
        <v>45796</v>
      </c>
      <c r="E2201" t="s">
        <v>24</v>
      </c>
      <c r="F2201" t="s">
        <v>321</v>
      </c>
      <c r="G2201" t="str">
        <f>_xlfn.XLOOKUP(TRIM(E2202),MedicineInfo!A:A,MedicineInfo!B:B,"Not Found")</f>
        <v>Multivitamin</v>
      </c>
      <c r="H2201" s="1" t="str" cm="1">
        <f t="array" ref="H2201">_xlfn.IFS(
OR(E2201="Type 2 Diabetes",E2201="Essential Hypertension",E2201="Angina Pectoris",E2201="Bronchial Asthma",E2201="Cardiac Arrhythmia"), D2201+30,
OR(E2201="Gastritis",E2201="Osteoarthritis",E2201="Bronchitis",E2201="Iron Deficiency Anemia"), D2201+14,
OR(E2201="Lumbar Strain",E2201="Migraine Headache"), D2201+7,
OR(E2201="Viral Fever",E2201="General Checkup","Routine Health Check"), "",
TRUE,""
)</f>
        <v/>
      </c>
      <c r="I2201" s="1" t="str">
        <f t="shared" si="68"/>
        <v>No Follow-up Required</v>
      </c>
      <c r="J2201" t="str">
        <f>TEXT(Table8[[#This Row],[visit_Date]],"DDDD")</f>
        <v>Monday</v>
      </c>
      <c r="K2201" t="str">
        <f>TEXT(Table8[[#This Row],[visit_Date]],"mmmm")</f>
        <v>May</v>
      </c>
      <c r="L2201" t="str">
        <f t="shared" si="69"/>
        <v>Summer</v>
      </c>
    </row>
    <row r="2202" spans="1:12" x14ac:dyDescent="0.25">
      <c r="A2202">
        <v>2201</v>
      </c>
      <c r="B2202">
        <v>1235</v>
      </c>
      <c r="C2202">
        <v>1417</v>
      </c>
      <c r="D2202" s="1">
        <v>45742</v>
      </c>
      <c r="E2202" t="s">
        <v>24</v>
      </c>
      <c r="F2202" t="s">
        <v>321</v>
      </c>
      <c r="G2202" t="str">
        <f>_xlfn.XLOOKUP(TRIM(E2203),MedicineInfo!A:A,MedicineInfo!B:B,"Not Found")</f>
        <v>Multivitamin</v>
      </c>
      <c r="H2202" s="1" t="str" cm="1">
        <f t="array" ref="H2202">_xlfn.IFS(
OR(E2202="Type 2 Diabetes",E2202="Essential Hypertension",E2202="Angina Pectoris",E2202="Bronchial Asthma",E2202="Cardiac Arrhythmia"), D2202+30,
OR(E2202="Gastritis",E2202="Osteoarthritis",E2202="Bronchitis",E2202="Iron Deficiency Anemia"), D2202+14,
OR(E2202="Lumbar Strain",E2202="Migraine Headache"), D2202+7,
OR(E2202="Viral Fever",E2202="General Checkup","Routine Health Check"), "",
TRUE,""
)</f>
        <v/>
      </c>
      <c r="I2202" s="1" t="str">
        <f t="shared" si="68"/>
        <v>No Follow-up Required</v>
      </c>
      <c r="J2202" t="str">
        <f>TEXT(Table8[[#This Row],[visit_Date]],"DDDD")</f>
        <v>Wednesday</v>
      </c>
      <c r="K2202" t="str">
        <f>TEXT(Table8[[#This Row],[visit_Date]],"mmmm")</f>
        <v>March</v>
      </c>
      <c r="L2202" t="str">
        <f t="shared" si="69"/>
        <v>Summer</v>
      </c>
    </row>
    <row r="2203" spans="1:12" x14ac:dyDescent="0.25">
      <c r="A2203">
        <v>2202</v>
      </c>
      <c r="B2203">
        <v>1123</v>
      </c>
      <c r="C2203">
        <v>604</v>
      </c>
      <c r="D2203" s="1">
        <v>45774</v>
      </c>
      <c r="E2203" t="s">
        <v>24</v>
      </c>
      <c r="F2203" t="s">
        <v>321</v>
      </c>
      <c r="G2203" t="str">
        <f>_xlfn.XLOOKUP(TRIM(E2204),MedicineInfo!A:A,MedicineInfo!B:B,"Not Found")</f>
        <v>Multivitamin</v>
      </c>
      <c r="H2203" s="1" t="str" cm="1">
        <f t="array" ref="H2203">_xlfn.IFS(
OR(E2203="Type 2 Diabetes",E2203="Essential Hypertension",E2203="Angina Pectoris",E2203="Bronchial Asthma",E2203="Cardiac Arrhythmia"), D2203+30,
OR(E2203="Gastritis",E2203="Osteoarthritis",E2203="Bronchitis",E2203="Iron Deficiency Anemia"), D2203+14,
OR(E2203="Lumbar Strain",E2203="Migraine Headache"), D2203+7,
OR(E2203="Viral Fever",E2203="General Checkup","Routine Health Check"), "",
TRUE,""
)</f>
        <v/>
      </c>
      <c r="I2203" s="1" t="str">
        <f t="shared" si="68"/>
        <v>No Follow-up Required</v>
      </c>
      <c r="J2203" t="str">
        <f>TEXT(Table8[[#This Row],[visit_Date]],"DDDD")</f>
        <v>Sunday</v>
      </c>
      <c r="K2203" t="str">
        <f>TEXT(Table8[[#This Row],[visit_Date]],"mmmm")</f>
        <v>April</v>
      </c>
      <c r="L2203" t="str">
        <f t="shared" si="69"/>
        <v>Summer</v>
      </c>
    </row>
    <row r="2204" spans="1:12" x14ac:dyDescent="0.25">
      <c r="A2204">
        <v>2203</v>
      </c>
      <c r="B2204">
        <v>1280</v>
      </c>
      <c r="C2204">
        <v>500</v>
      </c>
      <c r="D2204" s="1">
        <v>45669</v>
      </c>
      <c r="E2204" t="s">
        <v>24</v>
      </c>
      <c r="F2204" t="s">
        <v>321</v>
      </c>
      <c r="G2204" t="str">
        <f>_xlfn.XLOOKUP(TRIM(E2205),MedicineInfo!A:A,MedicineInfo!B:B,"Not Found")</f>
        <v>Levothyroxine</v>
      </c>
      <c r="H2204" s="1" t="str" cm="1">
        <f t="array" ref="H2204">_xlfn.IFS(
OR(E2204="Type 2 Diabetes",E2204="Essential Hypertension",E2204="Angina Pectoris",E2204="Bronchial Asthma",E2204="Cardiac Arrhythmia"), D2204+30,
OR(E2204="Gastritis",E2204="Osteoarthritis",E2204="Bronchitis",E2204="Iron Deficiency Anemia"), D2204+14,
OR(E2204="Lumbar Strain",E2204="Migraine Headache"), D2204+7,
OR(E2204="Viral Fever",E2204="General Checkup","Routine Health Check"), "",
TRUE,""
)</f>
        <v/>
      </c>
      <c r="I2204" s="1" t="str">
        <f t="shared" si="68"/>
        <v>No Follow-up Required</v>
      </c>
      <c r="J2204" t="str">
        <f>TEXT(Table8[[#This Row],[visit_Date]],"DDDD")</f>
        <v>Sunday</v>
      </c>
      <c r="K2204" t="str">
        <f>TEXT(Table8[[#This Row],[visit_Date]],"mmmm")</f>
        <v>January</v>
      </c>
      <c r="L2204" t="str">
        <f t="shared" si="69"/>
        <v>Winter</v>
      </c>
    </row>
    <row r="2205" spans="1:12" x14ac:dyDescent="0.25">
      <c r="A2205">
        <v>2204</v>
      </c>
      <c r="B2205">
        <v>1258</v>
      </c>
      <c r="C2205">
        <v>423</v>
      </c>
      <c r="D2205" s="1">
        <v>45659</v>
      </c>
      <c r="E2205" t="s">
        <v>360</v>
      </c>
      <c r="F2205" t="s">
        <v>361</v>
      </c>
      <c r="G2205" t="str">
        <f>_xlfn.XLOOKUP(TRIM(E2206),MedicineInfo!A:A,MedicineInfo!B:B,"Not Found")</f>
        <v>Multivitamin</v>
      </c>
      <c r="H2205" s="1" t="str" cm="1">
        <f t="array" ref="H2205">_xlfn.IFS(
OR(E2205="Type 2 Diabetes",E2205="Essential Hypertension",E2205="Angina Pectoris",E2205="Bronchial Asthma",E2205="Cardiac Arrhythmia"), D2205+30,
OR(E2205="Gastritis",E2205="Osteoarthritis",E2205="Bronchitis",E2205="Iron Deficiency Anemia"), D2205+14,
OR(E2205="Lumbar Strain",E2205="Migraine Headache"), D2205+7,
OR(E2205="Viral Fever",E2205="General Checkup","Routine Health Check"), "",
TRUE,""
)</f>
        <v/>
      </c>
      <c r="I2205" s="1" t="str">
        <f t="shared" si="68"/>
        <v>No Follow-up Required</v>
      </c>
      <c r="J2205" t="str">
        <f>TEXT(Table8[[#This Row],[visit_Date]],"DDDD")</f>
        <v>Thursday</v>
      </c>
      <c r="K2205" t="str">
        <f>TEXT(Table8[[#This Row],[visit_Date]],"mmmm")</f>
        <v>January</v>
      </c>
      <c r="L2205" t="str">
        <f t="shared" si="69"/>
        <v>Winter</v>
      </c>
    </row>
    <row r="2206" spans="1:12" x14ac:dyDescent="0.25">
      <c r="A2206">
        <v>2205</v>
      </c>
      <c r="B2206">
        <v>1065</v>
      </c>
      <c r="C2206">
        <v>251</v>
      </c>
      <c r="D2206" s="1">
        <v>45819</v>
      </c>
      <c r="E2206" t="s">
        <v>24</v>
      </c>
      <c r="F2206" t="s">
        <v>321</v>
      </c>
      <c r="G2206" t="str">
        <f>_xlfn.XLOOKUP(TRIM(E2207),MedicineInfo!A:A,MedicineInfo!B:B,"Not Found")</f>
        <v>Multivitamin</v>
      </c>
      <c r="H2206" s="1" t="str" cm="1">
        <f t="array" ref="H2206">_xlfn.IFS(
OR(E2206="Type 2 Diabetes",E2206="Essential Hypertension",E2206="Angina Pectoris",E2206="Bronchial Asthma",E2206="Cardiac Arrhythmia"), D2206+30,
OR(E2206="Gastritis",E2206="Osteoarthritis",E2206="Bronchitis",E2206="Iron Deficiency Anemia"), D2206+14,
OR(E2206="Lumbar Strain",E2206="Migraine Headache"), D2206+7,
OR(E2206="Viral Fever",E2206="General Checkup","Routine Health Check"), "",
TRUE,""
)</f>
        <v/>
      </c>
      <c r="I2206" s="1" t="str">
        <f t="shared" si="68"/>
        <v>No Follow-up Required</v>
      </c>
      <c r="J2206" t="str">
        <f>TEXT(Table8[[#This Row],[visit_Date]],"DDDD")</f>
        <v>Wednesday</v>
      </c>
      <c r="K2206" t="str">
        <f>TEXT(Table8[[#This Row],[visit_Date]],"mmmm")</f>
        <v>June</v>
      </c>
      <c r="L2206" t="str">
        <f t="shared" si="69"/>
        <v>Monsoon</v>
      </c>
    </row>
    <row r="2207" spans="1:12" x14ac:dyDescent="0.25">
      <c r="A2207">
        <v>2206</v>
      </c>
      <c r="B2207">
        <v>1069</v>
      </c>
      <c r="C2207">
        <v>395</v>
      </c>
      <c r="D2207" s="1">
        <v>45783</v>
      </c>
      <c r="E2207" t="s">
        <v>24</v>
      </c>
      <c r="F2207" t="s">
        <v>321</v>
      </c>
      <c r="G2207" t="str">
        <f>_xlfn.XLOOKUP(TRIM(E2208),MedicineInfo!A:A,MedicineInfo!B:B,"Not Found")</f>
        <v>Amiodarone</v>
      </c>
      <c r="H2207" s="1" t="str" cm="1">
        <f t="array" ref="H2207">_xlfn.IFS(
OR(E2207="Type 2 Diabetes",E2207="Essential Hypertension",E2207="Angina Pectoris",E2207="Bronchial Asthma",E2207="Cardiac Arrhythmia"), D2207+30,
OR(E2207="Gastritis",E2207="Osteoarthritis",E2207="Bronchitis",E2207="Iron Deficiency Anemia"), D2207+14,
OR(E2207="Lumbar Strain",E2207="Migraine Headache"), D2207+7,
OR(E2207="Viral Fever",E2207="General Checkup","Routine Health Check"), "",
TRUE,""
)</f>
        <v/>
      </c>
      <c r="I2207" s="1" t="str">
        <f t="shared" si="68"/>
        <v>No Follow-up Required</v>
      </c>
      <c r="J2207" t="str">
        <f>TEXT(Table8[[#This Row],[visit_Date]],"DDDD")</f>
        <v>Tuesday</v>
      </c>
      <c r="K2207" t="str">
        <f>TEXT(Table8[[#This Row],[visit_Date]],"mmmm")</f>
        <v>May</v>
      </c>
      <c r="L2207" t="str">
        <f t="shared" si="69"/>
        <v>Summer</v>
      </c>
    </row>
    <row r="2208" spans="1:12" x14ac:dyDescent="0.25">
      <c r="A2208">
        <v>2207</v>
      </c>
      <c r="B2208">
        <v>1245</v>
      </c>
      <c r="C2208">
        <v>399</v>
      </c>
      <c r="D2208" s="1">
        <v>45844</v>
      </c>
      <c r="E2208" t="s">
        <v>330</v>
      </c>
      <c r="F2208" t="s">
        <v>331</v>
      </c>
      <c r="G2208" t="str">
        <f>_xlfn.XLOOKUP(TRIM(E2209),MedicineInfo!A:A,MedicineInfo!B:B,"Not Found")</f>
        <v>Multivitamin</v>
      </c>
      <c r="H2208" s="1" cm="1">
        <f t="array" ref="H2208">_xlfn.IFS(
OR(E2208="Type 2 Diabetes",E2208="Essential Hypertension",E2208="Angina Pectoris",E2208="Bronchial Asthma",E2208="Cardiac Arrhythmia"), D2208+30,
OR(E2208="Gastritis",E2208="Osteoarthritis",E2208="Bronchitis",E2208="Iron Deficiency Anemia"), D2208+14,
OR(E2208="Lumbar Strain",E2208="Migraine Headache"), D2208+7,
OR(E2208="Viral Fever",E2208="General Checkup","Routine Health Check"), "",
TRUE,""
)</f>
        <v>45874</v>
      </c>
      <c r="I2208" s="1" t="str">
        <f t="shared" si="68"/>
        <v>Follow-up Scheduled</v>
      </c>
      <c r="J2208" t="str">
        <f>TEXT(Table8[[#This Row],[visit_Date]],"DDDD")</f>
        <v>Sunday</v>
      </c>
      <c r="K2208" t="str">
        <f>TEXT(Table8[[#This Row],[visit_Date]],"mmmm")</f>
        <v>July</v>
      </c>
      <c r="L2208" t="str">
        <f t="shared" si="69"/>
        <v>Monsoon</v>
      </c>
    </row>
    <row r="2209" spans="1:12" x14ac:dyDescent="0.25">
      <c r="A2209">
        <v>2208</v>
      </c>
      <c r="B2209">
        <v>1369</v>
      </c>
      <c r="C2209">
        <v>983</v>
      </c>
      <c r="D2209" s="1">
        <v>45747</v>
      </c>
      <c r="E2209" t="s">
        <v>24</v>
      </c>
      <c r="F2209" t="s">
        <v>321</v>
      </c>
      <c r="G2209" t="str">
        <f>_xlfn.XLOOKUP(TRIM(E2210),MedicineInfo!A:A,MedicineInfo!B:B,"Not Found")</f>
        <v>Multivitamin</v>
      </c>
      <c r="H2209" s="1" t="str" cm="1">
        <f t="array" ref="H2209">_xlfn.IFS(
OR(E2209="Type 2 Diabetes",E2209="Essential Hypertension",E2209="Angina Pectoris",E2209="Bronchial Asthma",E2209="Cardiac Arrhythmia"), D2209+30,
OR(E2209="Gastritis",E2209="Osteoarthritis",E2209="Bronchitis",E2209="Iron Deficiency Anemia"), D2209+14,
OR(E2209="Lumbar Strain",E2209="Migraine Headache"), D2209+7,
OR(E2209="Viral Fever",E2209="General Checkup","Routine Health Check"), "",
TRUE,""
)</f>
        <v/>
      </c>
      <c r="I2209" s="1" t="str">
        <f t="shared" si="68"/>
        <v>No Follow-up Required</v>
      </c>
      <c r="J2209" t="str">
        <f>TEXT(Table8[[#This Row],[visit_Date]],"DDDD")</f>
        <v>Monday</v>
      </c>
      <c r="K2209" t="str">
        <f>TEXT(Table8[[#This Row],[visit_Date]],"mmmm")</f>
        <v>March</v>
      </c>
      <c r="L2209" t="str">
        <f t="shared" si="69"/>
        <v>Summer</v>
      </c>
    </row>
    <row r="2210" spans="1:12" x14ac:dyDescent="0.25">
      <c r="A2210">
        <v>2209</v>
      </c>
      <c r="B2210">
        <v>1174</v>
      </c>
      <c r="C2210">
        <v>734</v>
      </c>
      <c r="D2210" s="1">
        <v>45659</v>
      </c>
      <c r="E2210" t="s">
        <v>24</v>
      </c>
      <c r="F2210" t="s">
        <v>321</v>
      </c>
      <c r="G2210" t="str">
        <f>_xlfn.XLOOKUP(TRIM(E2211),MedicineInfo!A:A,MedicineInfo!B:B,"Not Found")</f>
        <v>Multivitamin</v>
      </c>
      <c r="H2210" s="1" t="str" cm="1">
        <f t="array" ref="H2210">_xlfn.IFS(
OR(E2210="Type 2 Diabetes",E2210="Essential Hypertension",E2210="Angina Pectoris",E2210="Bronchial Asthma",E2210="Cardiac Arrhythmia"), D2210+30,
OR(E2210="Gastritis",E2210="Osteoarthritis",E2210="Bronchitis",E2210="Iron Deficiency Anemia"), D2210+14,
OR(E2210="Lumbar Strain",E2210="Migraine Headache"), D2210+7,
OR(E2210="Viral Fever",E2210="General Checkup","Routine Health Check"), "",
TRUE,""
)</f>
        <v/>
      </c>
      <c r="I2210" s="1" t="str">
        <f t="shared" si="68"/>
        <v>No Follow-up Required</v>
      </c>
      <c r="J2210" t="str">
        <f>TEXT(Table8[[#This Row],[visit_Date]],"DDDD")</f>
        <v>Thursday</v>
      </c>
      <c r="K2210" t="str">
        <f>TEXT(Table8[[#This Row],[visit_Date]],"mmmm")</f>
        <v>January</v>
      </c>
      <c r="L2210" t="str">
        <f t="shared" si="69"/>
        <v>Winter</v>
      </c>
    </row>
    <row r="2211" spans="1:12" x14ac:dyDescent="0.25">
      <c r="A2211">
        <v>2210</v>
      </c>
      <c r="B2211">
        <v>1231</v>
      </c>
      <c r="C2211">
        <v>834</v>
      </c>
      <c r="D2211" s="1">
        <v>45758</v>
      </c>
      <c r="E2211" t="s">
        <v>24</v>
      </c>
      <c r="F2211" t="s">
        <v>321</v>
      </c>
      <c r="G2211" t="str">
        <f>_xlfn.XLOOKUP(TRIM(E2212),MedicineInfo!A:A,MedicineInfo!B:B,"Not Found")</f>
        <v>Calcium Supplement</v>
      </c>
      <c r="H2211" s="1" t="str" cm="1">
        <f t="array" ref="H2211">_xlfn.IFS(
OR(E2211="Type 2 Diabetes",E2211="Essential Hypertension",E2211="Angina Pectoris",E2211="Bronchial Asthma",E2211="Cardiac Arrhythmia"), D2211+30,
OR(E2211="Gastritis",E2211="Osteoarthritis",E2211="Bronchitis",E2211="Iron Deficiency Anemia"), D2211+14,
OR(E2211="Lumbar Strain",E2211="Migraine Headache"), D2211+7,
OR(E2211="Viral Fever",E2211="General Checkup","Routine Health Check"), "",
TRUE,""
)</f>
        <v/>
      </c>
      <c r="I2211" s="1" t="str">
        <f t="shared" si="68"/>
        <v>No Follow-up Required</v>
      </c>
      <c r="J2211" t="str">
        <f>TEXT(Table8[[#This Row],[visit_Date]],"DDDD")</f>
        <v>Friday</v>
      </c>
      <c r="K2211" t="str">
        <f>TEXT(Table8[[#This Row],[visit_Date]],"mmmm")</f>
        <v>April</v>
      </c>
      <c r="L2211" t="str">
        <f t="shared" si="69"/>
        <v>Summer</v>
      </c>
    </row>
    <row r="2212" spans="1:12" x14ac:dyDescent="0.25">
      <c r="A2212">
        <v>2211</v>
      </c>
      <c r="B2212">
        <v>1080</v>
      </c>
      <c r="C2212">
        <v>574</v>
      </c>
      <c r="D2212" s="1">
        <v>45760</v>
      </c>
      <c r="E2212" t="s">
        <v>336</v>
      </c>
      <c r="F2212" t="s">
        <v>337</v>
      </c>
      <c r="G2212" t="str">
        <f>_xlfn.XLOOKUP(TRIM(E2213),MedicineInfo!A:A,MedicineInfo!B:B,"Not Found")</f>
        <v>Nitroglycerin</v>
      </c>
      <c r="H2212" s="1" t="str" cm="1">
        <f t="array" ref="H2212">_xlfn.IFS(
OR(E2212="Type 2 Diabetes",E2212="Essential Hypertension",E2212="Angina Pectoris",E2212="Bronchial Asthma",E2212="Cardiac Arrhythmia"), D2212+30,
OR(E2212="Gastritis",E2212="Osteoarthritis",E2212="Bronchitis",E2212="Iron Deficiency Anemia"), D2212+14,
OR(E2212="Lumbar Strain",E2212="Migraine Headache"), D2212+7,
OR(E2212="Viral Fever",E2212="General Checkup","Routine Health Check"), "",
TRUE,""
)</f>
        <v/>
      </c>
      <c r="I2212" s="1" t="str">
        <f t="shared" si="68"/>
        <v>No Follow-up Required</v>
      </c>
      <c r="J2212" t="str">
        <f>TEXT(Table8[[#This Row],[visit_Date]],"DDDD")</f>
        <v>Sunday</v>
      </c>
      <c r="K2212" t="str">
        <f>TEXT(Table8[[#This Row],[visit_Date]],"mmmm")</f>
        <v>April</v>
      </c>
      <c r="L2212" t="str">
        <f t="shared" si="69"/>
        <v>Summer</v>
      </c>
    </row>
    <row r="2213" spans="1:12" x14ac:dyDescent="0.25">
      <c r="A2213">
        <v>2212</v>
      </c>
      <c r="B2213">
        <v>1357</v>
      </c>
      <c r="C2213">
        <v>1191</v>
      </c>
      <c r="D2213" s="1">
        <v>45819</v>
      </c>
      <c r="E2213" t="s">
        <v>322</v>
      </c>
      <c r="F2213" t="s">
        <v>323</v>
      </c>
      <c r="G2213" t="str">
        <f>_xlfn.XLOOKUP(TRIM(E2214),MedicineInfo!A:A,MedicineInfo!B:B,"Not Found")</f>
        <v>Multivitamin</v>
      </c>
      <c r="H2213" s="1" cm="1">
        <f t="array" ref="H2213">_xlfn.IFS(
OR(E2213="Type 2 Diabetes",E2213="Essential Hypertension",E2213="Angina Pectoris",E2213="Bronchial Asthma",E2213="Cardiac Arrhythmia"), D2213+30,
OR(E2213="Gastritis",E2213="Osteoarthritis",E2213="Bronchitis",E2213="Iron Deficiency Anemia"), D2213+14,
OR(E2213="Lumbar Strain",E2213="Migraine Headache"), D2213+7,
OR(E2213="Viral Fever",E2213="General Checkup","Routine Health Check"), "",
TRUE,""
)</f>
        <v>45849</v>
      </c>
      <c r="I2213" s="1" t="str">
        <f t="shared" si="68"/>
        <v>Follow-up Scheduled</v>
      </c>
      <c r="J2213" t="str">
        <f>TEXT(Table8[[#This Row],[visit_Date]],"DDDD")</f>
        <v>Wednesday</v>
      </c>
      <c r="K2213" t="str">
        <f>TEXT(Table8[[#This Row],[visit_Date]],"mmmm")</f>
        <v>June</v>
      </c>
      <c r="L2213" t="str">
        <f t="shared" si="69"/>
        <v>Monsoon</v>
      </c>
    </row>
    <row r="2214" spans="1:12" x14ac:dyDescent="0.25">
      <c r="A2214">
        <v>2213</v>
      </c>
      <c r="B2214">
        <v>1297</v>
      </c>
      <c r="C2214">
        <v>519</v>
      </c>
      <c r="D2214" s="1">
        <v>45792</v>
      </c>
      <c r="E2214" t="s">
        <v>24</v>
      </c>
      <c r="F2214" t="s">
        <v>321</v>
      </c>
      <c r="G2214" t="str">
        <f>_xlfn.XLOOKUP(TRIM(E2215),MedicineInfo!A:A,MedicineInfo!B:B,"Not Found")</f>
        <v>Multivitamin</v>
      </c>
      <c r="H2214" s="1" t="str" cm="1">
        <f t="array" ref="H2214">_xlfn.IFS(
OR(E2214="Type 2 Diabetes",E2214="Essential Hypertension",E2214="Angina Pectoris",E2214="Bronchial Asthma",E2214="Cardiac Arrhythmia"), D2214+30,
OR(E2214="Gastritis",E2214="Osteoarthritis",E2214="Bronchitis",E2214="Iron Deficiency Anemia"), D2214+14,
OR(E2214="Lumbar Strain",E2214="Migraine Headache"), D2214+7,
OR(E2214="Viral Fever",E2214="General Checkup","Routine Health Check"), "",
TRUE,""
)</f>
        <v/>
      </c>
      <c r="I2214" s="1" t="str">
        <f t="shared" si="68"/>
        <v>No Follow-up Required</v>
      </c>
      <c r="J2214" t="str">
        <f>TEXT(Table8[[#This Row],[visit_Date]],"DDDD")</f>
        <v>Thursday</v>
      </c>
      <c r="K2214" t="str">
        <f>TEXT(Table8[[#This Row],[visit_Date]],"mmmm")</f>
        <v>May</v>
      </c>
      <c r="L2214" t="str">
        <f t="shared" si="69"/>
        <v>Summer</v>
      </c>
    </row>
    <row r="2215" spans="1:12" x14ac:dyDescent="0.25">
      <c r="A2215">
        <v>2214</v>
      </c>
      <c r="B2215">
        <v>1165</v>
      </c>
      <c r="C2215">
        <v>597</v>
      </c>
      <c r="D2215" s="1">
        <v>45865</v>
      </c>
      <c r="E2215" t="s">
        <v>24</v>
      </c>
      <c r="F2215" t="s">
        <v>321</v>
      </c>
      <c r="G2215" t="str">
        <f>_xlfn.XLOOKUP(TRIM(E2216),MedicineInfo!A:A,MedicineInfo!B:B,"Not Found")</f>
        <v>Multivitamin</v>
      </c>
      <c r="H2215" s="1" t="str" cm="1">
        <f t="array" ref="H2215">_xlfn.IFS(
OR(E2215="Type 2 Diabetes",E2215="Essential Hypertension",E2215="Angina Pectoris",E2215="Bronchial Asthma",E2215="Cardiac Arrhythmia"), D2215+30,
OR(E2215="Gastritis",E2215="Osteoarthritis",E2215="Bronchitis",E2215="Iron Deficiency Anemia"), D2215+14,
OR(E2215="Lumbar Strain",E2215="Migraine Headache"), D2215+7,
OR(E2215="Viral Fever",E2215="General Checkup","Routine Health Check"), "",
TRUE,""
)</f>
        <v/>
      </c>
      <c r="I2215" s="1" t="str">
        <f t="shared" si="68"/>
        <v>No Follow-up Required</v>
      </c>
      <c r="J2215" t="str">
        <f>TEXT(Table8[[#This Row],[visit_Date]],"DDDD")</f>
        <v>Sunday</v>
      </c>
      <c r="K2215" t="str">
        <f>TEXT(Table8[[#This Row],[visit_Date]],"mmmm")</f>
        <v>July</v>
      </c>
      <c r="L2215" t="str">
        <f t="shared" si="69"/>
        <v>Monsoon</v>
      </c>
    </row>
    <row r="2216" spans="1:12" x14ac:dyDescent="0.25">
      <c r="A2216">
        <v>2215</v>
      </c>
      <c r="B2216">
        <v>1366</v>
      </c>
      <c r="C2216">
        <v>1080</v>
      </c>
      <c r="D2216" s="1">
        <v>45814</v>
      </c>
      <c r="E2216" t="s">
        <v>24</v>
      </c>
      <c r="F2216" t="s">
        <v>321</v>
      </c>
      <c r="G2216" t="str">
        <f>_xlfn.XLOOKUP(TRIM(E2217),MedicineInfo!A:A,MedicineInfo!B:B,"Not Found")</f>
        <v>Multivitamin</v>
      </c>
      <c r="H2216" s="1" t="str" cm="1">
        <f t="array" ref="H2216">_xlfn.IFS(
OR(E2216="Type 2 Diabetes",E2216="Essential Hypertension",E2216="Angina Pectoris",E2216="Bronchial Asthma",E2216="Cardiac Arrhythmia"), D2216+30,
OR(E2216="Gastritis",E2216="Osteoarthritis",E2216="Bronchitis",E2216="Iron Deficiency Anemia"), D2216+14,
OR(E2216="Lumbar Strain",E2216="Migraine Headache"), D2216+7,
OR(E2216="Viral Fever",E2216="General Checkup","Routine Health Check"), "",
TRUE,""
)</f>
        <v/>
      </c>
      <c r="I2216" s="1" t="str">
        <f t="shared" si="68"/>
        <v>No Follow-up Required</v>
      </c>
      <c r="J2216" t="str">
        <f>TEXT(Table8[[#This Row],[visit_Date]],"DDDD")</f>
        <v>Friday</v>
      </c>
      <c r="K2216" t="str">
        <f>TEXT(Table8[[#This Row],[visit_Date]],"mmmm")</f>
        <v>June</v>
      </c>
      <c r="L2216" t="str">
        <f t="shared" si="69"/>
        <v>Monsoon</v>
      </c>
    </row>
    <row r="2217" spans="1:12" x14ac:dyDescent="0.25">
      <c r="A2217">
        <v>2216</v>
      </c>
      <c r="B2217">
        <v>1333</v>
      </c>
      <c r="C2217">
        <v>504</v>
      </c>
      <c r="D2217" s="1">
        <v>45767</v>
      </c>
      <c r="E2217" t="s">
        <v>24</v>
      </c>
      <c r="F2217" t="s">
        <v>321</v>
      </c>
      <c r="G2217" t="str">
        <f>_xlfn.XLOOKUP(TRIM(E2218),MedicineInfo!A:A,MedicineInfo!B:B,"Not Found")</f>
        <v>Sumatriptan</v>
      </c>
      <c r="H2217" s="1" t="str" cm="1">
        <f t="array" ref="H2217">_xlfn.IFS(
OR(E2217="Type 2 Diabetes",E2217="Essential Hypertension",E2217="Angina Pectoris",E2217="Bronchial Asthma",E2217="Cardiac Arrhythmia"), D2217+30,
OR(E2217="Gastritis",E2217="Osteoarthritis",E2217="Bronchitis",E2217="Iron Deficiency Anemia"), D2217+14,
OR(E2217="Lumbar Strain",E2217="Migraine Headache"), D2217+7,
OR(E2217="Viral Fever",E2217="General Checkup","Routine Health Check"), "",
TRUE,""
)</f>
        <v/>
      </c>
      <c r="I2217" s="1" t="str">
        <f t="shared" si="68"/>
        <v>No Follow-up Required</v>
      </c>
      <c r="J2217" t="str">
        <f>TEXT(Table8[[#This Row],[visit_Date]],"DDDD")</f>
        <v>Sunday</v>
      </c>
      <c r="K2217" t="str">
        <f>TEXT(Table8[[#This Row],[visit_Date]],"mmmm")</f>
        <v>April</v>
      </c>
      <c r="L2217" t="str">
        <f t="shared" si="69"/>
        <v>Summer</v>
      </c>
    </row>
    <row r="2218" spans="1:12" x14ac:dyDescent="0.25">
      <c r="A2218">
        <v>2217</v>
      </c>
      <c r="B2218">
        <v>1146</v>
      </c>
      <c r="C2218">
        <v>548</v>
      </c>
      <c r="D2218" s="1">
        <v>45767</v>
      </c>
      <c r="E2218" t="s">
        <v>315</v>
      </c>
      <c r="F2218" t="s">
        <v>316</v>
      </c>
      <c r="G2218" t="str">
        <f>_xlfn.XLOOKUP(TRIM(E2219),MedicineInfo!A:A,MedicineInfo!B:B,"Not Found")</f>
        <v>Multivitamin</v>
      </c>
      <c r="H2218" s="1" cm="1">
        <f t="array" ref="H2218">_xlfn.IFS(
OR(E2218="Type 2 Diabetes",E2218="Essential Hypertension",E2218="Angina Pectoris",E2218="Bronchial Asthma",E2218="Cardiac Arrhythmia"), D2218+30,
OR(E2218="Gastritis",E2218="Osteoarthritis",E2218="Bronchitis",E2218="Iron Deficiency Anemia"), D2218+14,
OR(E2218="Lumbar Strain",E2218="Migraine Headache"), D2218+7,
OR(E2218="Viral Fever",E2218="General Checkup","Routine Health Check"), "",
TRUE,""
)</f>
        <v>45774</v>
      </c>
      <c r="I2218" s="1" t="str">
        <f t="shared" si="68"/>
        <v>Follow-up Scheduled</v>
      </c>
      <c r="J2218" t="str">
        <f>TEXT(Table8[[#This Row],[visit_Date]],"DDDD")</f>
        <v>Sunday</v>
      </c>
      <c r="K2218" t="str">
        <f>TEXT(Table8[[#This Row],[visit_Date]],"mmmm")</f>
        <v>April</v>
      </c>
      <c r="L2218" t="str">
        <f t="shared" si="69"/>
        <v>Summer</v>
      </c>
    </row>
    <row r="2219" spans="1:12" x14ac:dyDescent="0.25">
      <c r="A2219">
        <v>2218</v>
      </c>
      <c r="B2219">
        <v>1080</v>
      </c>
      <c r="C2219">
        <v>569</v>
      </c>
      <c r="D2219" s="1">
        <v>45783</v>
      </c>
      <c r="E2219" t="s">
        <v>24</v>
      </c>
      <c r="F2219" t="s">
        <v>321</v>
      </c>
      <c r="G2219" t="str">
        <f>_xlfn.XLOOKUP(TRIM(E2220),MedicineInfo!A:A,MedicineInfo!B:B,"Not Found")</f>
        <v>Multivitamin</v>
      </c>
      <c r="H2219" s="1" t="str" cm="1">
        <f t="array" ref="H2219">_xlfn.IFS(
OR(E2219="Type 2 Diabetes",E2219="Essential Hypertension",E2219="Angina Pectoris",E2219="Bronchial Asthma",E2219="Cardiac Arrhythmia"), D2219+30,
OR(E2219="Gastritis",E2219="Osteoarthritis",E2219="Bronchitis",E2219="Iron Deficiency Anemia"), D2219+14,
OR(E2219="Lumbar Strain",E2219="Migraine Headache"), D2219+7,
OR(E2219="Viral Fever",E2219="General Checkup","Routine Health Check"), "",
TRUE,""
)</f>
        <v/>
      </c>
      <c r="I2219" s="1" t="str">
        <f t="shared" si="68"/>
        <v>No Follow-up Required</v>
      </c>
      <c r="J2219" t="str">
        <f>TEXT(Table8[[#This Row],[visit_Date]],"DDDD")</f>
        <v>Tuesday</v>
      </c>
      <c r="K2219" t="str">
        <f>TEXT(Table8[[#This Row],[visit_Date]],"mmmm")</f>
        <v>May</v>
      </c>
      <c r="L2219" t="str">
        <f t="shared" si="69"/>
        <v>Summer</v>
      </c>
    </row>
    <row r="2220" spans="1:12" x14ac:dyDescent="0.25">
      <c r="A2220">
        <v>2219</v>
      </c>
      <c r="B2220">
        <v>1201</v>
      </c>
      <c r="C2220">
        <v>1574</v>
      </c>
      <c r="D2220" s="1">
        <v>45783</v>
      </c>
      <c r="E2220" t="s">
        <v>24</v>
      </c>
      <c r="F2220" t="s">
        <v>321</v>
      </c>
      <c r="G2220" t="str">
        <f>_xlfn.XLOOKUP(TRIM(E2221),MedicineInfo!A:A,MedicineInfo!B:B,"Not Found")</f>
        <v>Multivitamin</v>
      </c>
      <c r="H2220" s="1" t="str" cm="1">
        <f t="array" ref="H2220">_xlfn.IFS(
OR(E2220="Type 2 Diabetes",E2220="Essential Hypertension",E2220="Angina Pectoris",E2220="Bronchial Asthma",E2220="Cardiac Arrhythmia"), D2220+30,
OR(E2220="Gastritis",E2220="Osteoarthritis",E2220="Bronchitis",E2220="Iron Deficiency Anemia"), D2220+14,
OR(E2220="Lumbar Strain",E2220="Migraine Headache"), D2220+7,
OR(E2220="Viral Fever",E2220="General Checkup","Routine Health Check"), "",
TRUE,""
)</f>
        <v/>
      </c>
      <c r="I2220" s="1" t="str">
        <f t="shared" si="68"/>
        <v>No Follow-up Required</v>
      </c>
      <c r="J2220" t="str">
        <f>TEXT(Table8[[#This Row],[visit_Date]],"DDDD")</f>
        <v>Tuesday</v>
      </c>
      <c r="K2220" t="str">
        <f>TEXT(Table8[[#This Row],[visit_Date]],"mmmm")</f>
        <v>May</v>
      </c>
      <c r="L2220" t="str">
        <f t="shared" si="69"/>
        <v>Summer</v>
      </c>
    </row>
    <row r="2221" spans="1:12" x14ac:dyDescent="0.25">
      <c r="A2221">
        <v>2220</v>
      </c>
      <c r="B2221">
        <v>1011</v>
      </c>
      <c r="C2221">
        <v>1017</v>
      </c>
      <c r="D2221" s="1">
        <v>45694</v>
      </c>
      <c r="E2221" t="s">
        <v>24</v>
      </c>
      <c r="F2221" t="s">
        <v>321</v>
      </c>
      <c r="G2221" t="str">
        <f>_xlfn.XLOOKUP(TRIM(E2222),MedicineInfo!A:A,MedicineInfo!B:B,"Not Found")</f>
        <v>Multivitamin</v>
      </c>
      <c r="H2221" s="1" t="str" cm="1">
        <f t="array" ref="H2221">_xlfn.IFS(
OR(E2221="Type 2 Diabetes",E2221="Essential Hypertension",E2221="Angina Pectoris",E2221="Bronchial Asthma",E2221="Cardiac Arrhythmia"), D2221+30,
OR(E2221="Gastritis",E2221="Osteoarthritis",E2221="Bronchitis",E2221="Iron Deficiency Anemia"), D2221+14,
OR(E2221="Lumbar Strain",E2221="Migraine Headache"), D2221+7,
OR(E2221="Viral Fever",E2221="General Checkup","Routine Health Check"), "",
TRUE,""
)</f>
        <v/>
      </c>
      <c r="I2221" s="1" t="str">
        <f t="shared" si="68"/>
        <v>No Follow-up Required</v>
      </c>
      <c r="J2221" t="str">
        <f>TEXT(Table8[[#This Row],[visit_Date]],"DDDD")</f>
        <v>Thursday</v>
      </c>
      <c r="K2221" t="str">
        <f>TEXT(Table8[[#This Row],[visit_Date]],"mmmm")</f>
        <v>February</v>
      </c>
      <c r="L2221" t="str">
        <f t="shared" si="69"/>
        <v>Winter</v>
      </c>
    </row>
    <row r="2222" spans="1:12" x14ac:dyDescent="0.25">
      <c r="A2222">
        <v>2221</v>
      </c>
      <c r="B2222">
        <v>1113</v>
      </c>
      <c r="C2222">
        <v>1334</v>
      </c>
      <c r="D2222" s="1">
        <v>45735</v>
      </c>
      <c r="E2222" t="s">
        <v>24</v>
      </c>
      <c r="F2222" t="s">
        <v>321</v>
      </c>
      <c r="G2222" t="str">
        <f>_xlfn.XLOOKUP(TRIM(E2223),MedicineInfo!A:A,MedicineInfo!B:B,"Not Found")</f>
        <v>Multivitamin</v>
      </c>
      <c r="H2222" s="1" t="str" cm="1">
        <f t="array" ref="H2222">_xlfn.IFS(
OR(E2222="Type 2 Diabetes",E2222="Essential Hypertension",E2222="Angina Pectoris",E2222="Bronchial Asthma",E2222="Cardiac Arrhythmia"), D2222+30,
OR(E2222="Gastritis",E2222="Osteoarthritis",E2222="Bronchitis",E2222="Iron Deficiency Anemia"), D2222+14,
OR(E2222="Lumbar Strain",E2222="Migraine Headache"), D2222+7,
OR(E2222="Viral Fever",E2222="General Checkup","Routine Health Check"), "",
TRUE,""
)</f>
        <v/>
      </c>
      <c r="I2222" s="1" t="str">
        <f t="shared" si="68"/>
        <v>No Follow-up Required</v>
      </c>
      <c r="J2222" t="str">
        <f>TEXT(Table8[[#This Row],[visit_Date]],"DDDD")</f>
        <v>Wednesday</v>
      </c>
      <c r="K2222" t="str">
        <f>TEXT(Table8[[#This Row],[visit_Date]],"mmmm")</f>
        <v>March</v>
      </c>
      <c r="L2222" t="str">
        <f t="shared" si="69"/>
        <v>Summer</v>
      </c>
    </row>
    <row r="2223" spans="1:12" x14ac:dyDescent="0.25">
      <c r="A2223">
        <v>2222</v>
      </c>
      <c r="B2223">
        <v>1330</v>
      </c>
      <c r="C2223">
        <v>444</v>
      </c>
      <c r="D2223" s="1">
        <v>45693</v>
      </c>
      <c r="E2223" t="s">
        <v>24</v>
      </c>
      <c r="F2223" t="s">
        <v>321</v>
      </c>
      <c r="G2223" t="str">
        <f>_xlfn.XLOOKUP(TRIM(E2224),MedicineInfo!A:A,MedicineInfo!B:B,"Not Found")</f>
        <v>Multivitamin</v>
      </c>
      <c r="H2223" s="1" t="str" cm="1">
        <f t="array" ref="H2223">_xlfn.IFS(
OR(E2223="Type 2 Diabetes",E2223="Essential Hypertension",E2223="Angina Pectoris",E2223="Bronchial Asthma",E2223="Cardiac Arrhythmia"), D2223+30,
OR(E2223="Gastritis",E2223="Osteoarthritis",E2223="Bronchitis",E2223="Iron Deficiency Anemia"), D2223+14,
OR(E2223="Lumbar Strain",E2223="Migraine Headache"), D2223+7,
OR(E2223="Viral Fever",E2223="General Checkup","Routine Health Check"), "",
TRUE,""
)</f>
        <v/>
      </c>
      <c r="I2223" s="1" t="str">
        <f t="shared" si="68"/>
        <v>No Follow-up Required</v>
      </c>
      <c r="J2223" t="str">
        <f>TEXT(Table8[[#This Row],[visit_Date]],"DDDD")</f>
        <v>Wednesday</v>
      </c>
      <c r="K2223" t="str">
        <f>TEXT(Table8[[#This Row],[visit_Date]],"mmmm")</f>
        <v>February</v>
      </c>
      <c r="L2223" t="str">
        <f t="shared" si="69"/>
        <v>Winter</v>
      </c>
    </row>
    <row r="2224" spans="1:12" x14ac:dyDescent="0.25">
      <c r="A2224">
        <v>2223</v>
      </c>
      <c r="B2224">
        <v>1263</v>
      </c>
      <c r="C2224">
        <v>1258</v>
      </c>
      <c r="D2224" s="1">
        <v>45672</v>
      </c>
      <c r="E2224" t="s">
        <v>24</v>
      </c>
      <c r="F2224" t="s">
        <v>321</v>
      </c>
      <c r="G2224" t="str">
        <f>_xlfn.XLOOKUP(TRIM(E2225),MedicineInfo!A:A,MedicineInfo!B:B,"Not Found")</f>
        <v>Multivitamin</v>
      </c>
      <c r="H2224" s="1" t="str" cm="1">
        <f t="array" ref="H2224">_xlfn.IFS(
OR(E2224="Type 2 Diabetes",E2224="Essential Hypertension",E2224="Angina Pectoris",E2224="Bronchial Asthma",E2224="Cardiac Arrhythmia"), D2224+30,
OR(E2224="Gastritis",E2224="Osteoarthritis",E2224="Bronchitis",E2224="Iron Deficiency Anemia"), D2224+14,
OR(E2224="Lumbar Strain",E2224="Migraine Headache"), D2224+7,
OR(E2224="Viral Fever",E2224="General Checkup","Routine Health Check"), "",
TRUE,""
)</f>
        <v/>
      </c>
      <c r="I2224" s="1" t="str">
        <f t="shared" si="68"/>
        <v>No Follow-up Required</v>
      </c>
      <c r="J2224" t="str">
        <f>TEXT(Table8[[#This Row],[visit_Date]],"DDDD")</f>
        <v>Wednesday</v>
      </c>
      <c r="K2224" t="str">
        <f>TEXT(Table8[[#This Row],[visit_Date]],"mmmm")</f>
        <v>January</v>
      </c>
      <c r="L2224" t="str">
        <f t="shared" si="69"/>
        <v>Winter</v>
      </c>
    </row>
    <row r="2225" spans="1:12" x14ac:dyDescent="0.25">
      <c r="A2225">
        <v>2224</v>
      </c>
      <c r="B2225">
        <v>1117</v>
      </c>
      <c r="C2225">
        <v>254</v>
      </c>
      <c r="D2225" s="1">
        <v>45686</v>
      </c>
      <c r="E2225" t="s">
        <v>24</v>
      </c>
      <c r="F2225" t="s">
        <v>321</v>
      </c>
      <c r="G2225" t="str">
        <f>_xlfn.XLOOKUP(TRIM(E2226),MedicineInfo!A:A,MedicineInfo!B:B,"Not Found")</f>
        <v>Multivitamin</v>
      </c>
      <c r="H2225" s="1" t="str" cm="1">
        <f t="array" ref="H2225">_xlfn.IFS(
OR(E2225="Type 2 Diabetes",E2225="Essential Hypertension",E2225="Angina Pectoris",E2225="Bronchial Asthma",E2225="Cardiac Arrhythmia"), D2225+30,
OR(E2225="Gastritis",E2225="Osteoarthritis",E2225="Bronchitis",E2225="Iron Deficiency Anemia"), D2225+14,
OR(E2225="Lumbar Strain",E2225="Migraine Headache"), D2225+7,
OR(E2225="Viral Fever",E2225="General Checkup","Routine Health Check"), "",
TRUE,""
)</f>
        <v/>
      </c>
      <c r="I2225" s="1" t="str">
        <f t="shared" si="68"/>
        <v>No Follow-up Required</v>
      </c>
      <c r="J2225" t="str">
        <f>TEXT(Table8[[#This Row],[visit_Date]],"DDDD")</f>
        <v>Wednesday</v>
      </c>
      <c r="K2225" t="str">
        <f>TEXT(Table8[[#This Row],[visit_Date]],"mmmm")</f>
        <v>January</v>
      </c>
      <c r="L2225" t="str">
        <f t="shared" si="69"/>
        <v>Winter</v>
      </c>
    </row>
    <row r="2226" spans="1:12" x14ac:dyDescent="0.25">
      <c r="A2226">
        <v>2225</v>
      </c>
      <c r="B2226">
        <v>1016</v>
      </c>
      <c r="C2226">
        <v>696</v>
      </c>
      <c r="D2226" s="1">
        <v>45686</v>
      </c>
      <c r="E2226" t="s">
        <v>24</v>
      </c>
      <c r="F2226" t="s">
        <v>321</v>
      </c>
      <c r="G2226" t="str">
        <f>_xlfn.XLOOKUP(TRIM(E2227),MedicineInfo!A:A,MedicineInfo!B:B,"Not Found")</f>
        <v>Hydrocortisone Cream</v>
      </c>
      <c r="H2226" s="1" t="str" cm="1">
        <f t="array" ref="H2226">_xlfn.IFS(
OR(E2226="Type 2 Diabetes",E2226="Essential Hypertension",E2226="Angina Pectoris",E2226="Bronchial Asthma",E2226="Cardiac Arrhythmia"), D2226+30,
OR(E2226="Gastritis",E2226="Osteoarthritis",E2226="Bronchitis",E2226="Iron Deficiency Anemia"), D2226+14,
OR(E2226="Lumbar Strain",E2226="Migraine Headache"), D2226+7,
OR(E2226="Viral Fever",E2226="General Checkup","Routine Health Check"), "",
TRUE,""
)</f>
        <v/>
      </c>
      <c r="I2226" s="1" t="str">
        <f t="shared" si="68"/>
        <v>No Follow-up Required</v>
      </c>
      <c r="J2226" t="str">
        <f>TEXT(Table8[[#This Row],[visit_Date]],"DDDD")</f>
        <v>Wednesday</v>
      </c>
      <c r="K2226" t="str">
        <f>TEXT(Table8[[#This Row],[visit_Date]],"mmmm")</f>
        <v>January</v>
      </c>
      <c r="L2226" t="str">
        <f t="shared" si="69"/>
        <v>Winter</v>
      </c>
    </row>
    <row r="2227" spans="1:12" x14ac:dyDescent="0.25">
      <c r="A2227">
        <v>2226</v>
      </c>
      <c r="B2227">
        <v>1267</v>
      </c>
      <c r="C2227">
        <v>1180</v>
      </c>
      <c r="D2227" s="1">
        <v>45763</v>
      </c>
      <c r="E2227" t="s">
        <v>338</v>
      </c>
      <c r="F2227" t="s">
        <v>339</v>
      </c>
      <c r="G2227" t="str">
        <f>_xlfn.XLOOKUP(TRIM(E2228),MedicineInfo!A:A,MedicineInfo!B:B,"Not Found")</f>
        <v>Amoxicillin</v>
      </c>
      <c r="H2227" s="1" t="str" cm="1">
        <f t="array" ref="H2227">_xlfn.IFS(
OR(E2227="Type 2 Diabetes",E2227="Essential Hypertension",E2227="Angina Pectoris",E2227="Bronchial Asthma",E2227="Cardiac Arrhythmia"), D2227+30,
OR(E2227="Gastritis",E2227="Osteoarthritis",E2227="Bronchitis",E2227="Iron Deficiency Anemia"), D2227+14,
OR(E2227="Lumbar Strain",E2227="Migraine Headache"), D2227+7,
OR(E2227="Viral Fever",E2227="General Checkup","Routine Health Check"), "",
TRUE,""
)</f>
        <v/>
      </c>
      <c r="I2227" s="1" t="str">
        <f t="shared" si="68"/>
        <v>No Follow-up Required</v>
      </c>
      <c r="J2227" t="str">
        <f>TEXT(Table8[[#This Row],[visit_Date]],"DDDD")</f>
        <v>Wednesday</v>
      </c>
      <c r="K2227" t="str">
        <f>TEXT(Table8[[#This Row],[visit_Date]],"mmmm")</f>
        <v>April</v>
      </c>
      <c r="L2227" t="str">
        <f t="shared" si="69"/>
        <v>Summer</v>
      </c>
    </row>
    <row r="2228" spans="1:12" x14ac:dyDescent="0.25">
      <c r="A2228">
        <v>2227</v>
      </c>
      <c r="B2228">
        <v>1361</v>
      </c>
      <c r="C2228">
        <v>1150</v>
      </c>
      <c r="D2228" s="1">
        <v>45747</v>
      </c>
      <c r="E2228" t="s">
        <v>346</v>
      </c>
      <c r="F2228" t="s">
        <v>347</v>
      </c>
      <c r="G2228" t="str">
        <f>_xlfn.XLOOKUP(TRIM(E2229),MedicineInfo!A:A,MedicineInfo!B:B,"Not Found")</f>
        <v>Multivitamin</v>
      </c>
      <c r="H2228" s="1" cm="1">
        <f t="array" ref="H2228">_xlfn.IFS(
OR(E2228="Type 2 Diabetes",E2228="Essential Hypertension",E2228="Angina Pectoris",E2228="Bronchial Asthma",E2228="Cardiac Arrhythmia"), D2228+30,
OR(E2228="Gastritis",E2228="Osteoarthritis",E2228="Bronchitis",E2228="Iron Deficiency Anemia"), D2228+14,
OR(E2228="Lumbar Strain",E2228="Migraine Headache"), D2228+7,
OR(E2228="Viral Fever",E2228="General Checkup","Routine Health Check"), "",
TRUE,""
)</f>
        <v>45761</v>
      </c>
      <c r="I2228" s="1" t="str">
        <f t="shared" si="68"/>
        <v>Follow-up Scheduled</v>
      </c>
      <c r="J2228" t="str">
        <f>TEXT(Table8[[#This Row],[visit_Date]],"DDDD")</f>
        <v>Monday</v>
      </c>
      <c r="K2228" t="str">
        <f>TEXT(Table8[[#This Row],[visit_Date]],"mmmm")</f>
        <v>March</v>
      </c>
      <c r="L2228" t="str">
        <f t="shared" si="69"/>
        <v>Summer</v>
      </c>
    </row>
    <row r="2229" spans="1:12" x14ac:dyDescent="0.25">
      <c r="A2229">
        <v>2228</v>
      </c>
      <c r="B2229">
        <v>1275</v>
      </c>
      <c r="C2229">
        <v>888</v>
      </c>
      <c r="D2229" s="1">
        <v>45853</v>
      </c>
      <c r="E2229" t="s">
        <v>24</v>
      </c>
      <c r="F2229" t="s">
        <v>321</v>
      </c>
      <c r="G2229" t="str">
        <f>_xlfn.XLOOKUP(TRIM(E2230),MedicineInfo!A:A,MedicineInfo!B:B,"Not Found")</f>
        <v>Multivitamin</v>
      </c>
      <c r="H2229" s="1" t="str" cm="1">
        <f t="array" ref="H2229">_xlfn.IFS(
OR(E2229="Type 2 Diabetes",E2229="Essential Hypertension",E2229="Angina Pectoris",E2229="Bronchial Asthma",E2229="Cardiac Arrhythmia"), D2229+30,
OR(E2229="Gastritis",E2229="Osteoarthritis",E2229="Bronchitis",E2229="Iron Deficiency Anemia"), D2229+14,
OR(E2229="Lumbar Strain",E2229="Migraine Headache"), D2229+7,
OR(E2229="Viral Fever",E2229="General Checkup","Routine Health Check"), "",
TRUE,""
)</f>
        <v/>
      </c>
      <c r="I2229" s="1" t="str">
        <f t="shared" si="68"/>
        <v>No Follow-up Required</v>
      </c>
      <c r="J2229" t="str">
        <f>TEXT(Table8[[#This Row],[visit_Date]],"DDDD")</f>
        <v>Tuesday</v>
      </c>
      <c r="K2229" t="str">
        <f>TEXT(Table8[[#This Row],[visit_Date]],"mmmm")</f>
        <v>July</v>
      </c>
      <c r="L2229" t="str">
        <f t="shared" si="69"/>
        <v>Monsoon</v>
      </c>
    </row>
    <row r="2230" spans="1:12" x14ac:dyDescent="0.25">
      <c r="A2230">
        <v>2229</v>
      </c>
      <c r="B2230">
        <v>1153</v>
      </c>
      <c r="C2230">
        <v>532</v>
      </c>
      <c r="D2230" s="1">
        <v>45762</v>
      </c>
      <c r="E2230" t="s">
        <v>24</v>
      </c>
      <c r="F2230" t="s">
        <v>321</v>
      </c>
      <c r="G2230" t="str">
        <f>_xlfn.XLOOKUP(TRIM(E2231),MedicineInfo!A:A,MedicineInfo!B:B,"Not Found")</f>
        <v>Multivitamin</v>
      </c>
      <c r="H2230" s="1" t="str" cm="1">
        <f t="array" ref="H2230">_xlfn.IFS(
OR(E2230="Type 2 Diabetes",E2230="Essential Hypertension",E2230="Angina Pectoris",E2230="Bronchial Asthma",E2230="Cardiac Arrhythmia"), D2230+30,
OR(E2230="Gastritis",E2230="Osteoarthritis",E2230="Bronchitis",E2230="Iron Deficiency Anemia"), D2230+14,
OR(E2230="Lumbar Strain",E2230="Migraine Headache"), D2230+7,
OR(E2230="Viral Fever",E2230="General Checkup","Routine Health Check"), "",
TRUE,""
)</f>
        <v/>
      </c>
      <c r="I2230" s="1" t="str">
        <f t="shared" si="68"/>
        <v>No Follow-up Required</v>
      </c>
      <c r="J2230" t="str">
        <f>TEXT(Table8[[#This Row],[visit_Date]],"DDDD")</f>
        <v>Tuesday</v>
      </c>
      <c r="K2230" t="str">
        <f>TEXT(Table8[[#This Row],[visit_Date]],"mmmm")</f>
        <v>April</v>
      </c>
      <c r="L2230" t="str">
        <f t="shared" si="69"/>
        <v>Summer</v>
      </c>
    </row>
    <row r="2231" spans="1:12" x14ac:dyDescent="0.25">
      <c r="A2231">
        <v>2230</v>
      </c>
      <c r="B2231">
        <v>1092</v>
      </c>
      <c r="C2231">
        <v>1267</v>
      </c>
      <c r="D2231" s="1">
        <v>45669</v>
      </c>
      <c r="E2231" t="s">
        <v>24</v>
      </c>
      <c r="F2231" t="s">
        <v>321</v>
      </c>
      <c r="G2231" t="str">
        <f>_xlfn.XLOOKUP(TRIM(E2232),MedicineInfo!A:A,MedicineInfo!B:B,"Not Found")</f>
        <v>Multivitamin</v>
      </c>
      <c r="H2231" s="1" t="str" cm="1">
        <f t="array" ref="H2231">_xlfn.IFS(
OR(E2231="Type 2 Diabetes",E2231="Essential Hypertension",E2231="Angina Pectoris",E2231="Bronchial Asthma",E2231="Cardiac Arrhythmia"), D2231+30,
OR(E2231="Gastritis",E2231="Osteoarthritis",E2231="Bronchitis",E2231="Iron Deficiency Anemia"), D2231+14,
OR(E2231="Lumbar Strain",E2231="Migraine Headache"), D2231+7,
OR(E2231="Viral Fever",E2231="General Checkup","Routine Health Check"), "",
TRUE,""
)</f>
        <v/>
      </c>
      <c r="I2231" s="1" t="str">
        <f t="shared" si="68"/>
        <v>No Follow-up Required</v>
      </c>
      <c r="J2231" t="str">
        <f>TEXT(Table8[[#This Row],[visit_Date]],"DDDD")</f>
        <v>Sunday</v>
      </c>
      <c r="K2231" t="str">
        <f>TEXT(Table8[[#This Row],[visit_Date]],"mmmm")</f>
        <v>January</v>
      </c>
      <c r="L2231" t="str">
        <f t="shared" si="69"/>
        <v>Winter</v>
      </c>
    </row>
    <row r="2232" spans="1:12" x14ac:dyDescent="0.25">
      <c r="A2232">
        <v>2231</v>
      </c>
      <c r="B2232">
        <v>1027</v>
      </c>
      <c r="C2232">
        <v>1006</v>
      </c>
      <c r="D2232" s="1">
        <v>45672</v>
      </c>
      <c r="E2232" t="s">
        <v>24</v>
      </c>
      <c r="F2232" t="s">
        <v>321</v>
      </c>
      <c r="G2232" t="str">
        <f>_xlfn.XLOOKUP(TRIM(E2233),MedicineInfo!A:A,MedicineInfo!B:B,"Not Found")</f>
        <v>Multivitamin</v>
      </c>
      <c r="H2232" s="1" t="str" cm="1">
        <f t="array" ref="H2232">_xlfn.IFS(
OR(E2232="Type 2 Diabetes",E2232="Essential Hypertension",E2232="Angina Pectoris",E2232="Bronchial Asthma",E2232="Cardiac Arrhythmia"), D2232+30,
OR(E2232="Gastritis",E2232="Osteoarthritis",E2232="Bronchitis",E2232="Iron Deficiency Anemia"), D2232+14,
OR(E2232="Lumbar Strain",E2232="Migraine Headache"), D2232+7,
OR(E2232="Viral Fever",E2232="General Checkup","Routine Health Check"), "",
TRUE,""
)</f>
        <v/>
      </c>
      <c r="I2232" s="1" t="str">
        <f t="shared" si="68"/>
        <v>No Follow-up Required</v>
      </c>
      <c r="J2232" t="str">
        <f>TEXT(Table8[[#This Row],[visit_Date]],"DDDD")</f>
        <v>Wednesday</v>
      </c>
      <c r="K2232" t="str">
        <f>TEXT(Table8[[#This Row],[visit_Date]],"mmmm")</f>
        <v>January</v>
      </c>
      <c r="L2232" t="str">
        <f t="shared" si="69"/>
        <v>Winter</v>
      </c>
    </row>
    <row r="2233" spans="1:12" x14ac:dyDescent="0.25">
      <c r="A2233">
        <v>2232</v>
      </c>
      <c r="B2233">
        <v>1195</v>
      </c>
      <c r="C2233">
        <v>355</v>
      </c>
      <c r="D2233" s="1">
        <v>45758</v>
      </c>
      <c r="E2233" t="s">
        <v>24</v>
      </c>
      <c r="F2233" t="s">
        <v>321</v>
      </c>
      <c r="G2233" t="str">
        <f>_xlfn.XLOOKUP(TRIM(E2234),MedicineInfo!A:A,MedicineInfo!B:B,"Not Found")</f>
        <v>Multivitamin</v>
      </c>
      <c r="H2233" s="1" t="str" cm="1">
        <f t="array" ref="H2233">_xlfn.IFS(
OR(E2233="Type 2 Diabetes",E2233="Essential Hypertension",E2233="Angina Pectoris",E2233="Bronchial Asthma",E2233="Cardiac Arrhythmia"), D2233+30,
OR(E2233="Gastritis",E2233="Osteoarthritis",E2233="Bronchitis",E2233="Iron Deficiency Anemia"), D2233+14,
OR(E2233="Lumbar Strain",E2233="Migraine Headache"), D2233+7,
OR(E2233="Viral Fever",E2233="General Checkup","Routine Health Check"), "",
TRUE,""
)</f>
        <v/>
      </c>
      <c r="I2233" s="1" t="str">
        <f t="shared" si="68"/>
        <v>No Follow-up Required</v>
      </c>
      <c r="J2233" t="str">
        <f>TEXT(Table8[[#This Row],[visit_Date]],"DDDD")</f>
        <v>Friday</v>
      </c>
      <c r="K2233" t="str">
        <f>TEXT(Table8[[#This Row],[visit_Date]],"mmmm")</f>
        <v>April</v>
      </c>
      <c r="L2233" t="str">
        <f t="shared" si="69"/>
        <v>Summer</v>
      </c>
    </row>
    <row r="2234" spans="1:12" x14ac:dyDescent="0.25">
      <c r="A2234">
        <v>2233</v>
      </c>
      <c r="B2234">
        <v>1375</v>
      </c>
      <c r="C2234">
        <v>977</v>
      </c>
      <c r="D2234" s="1">
        <v>45691</v>
      </c>
      <c r="E2234" t="s">
        <v>24</v>
      </c>
      <c r="F2234" t="s">
        <v>321</v>
      </c>
      <c r="G2234" t="str">
        <f>_xlfn.XLOOKUP(TRIM(E2235),MedicineInfo!A:A,MedicineInfo!B:B,"Not Found")</f>
        <v>Multivitamin</v>
      </c>
      <c r="H2234" s="1" t="str" cm="1">
        <f t="array" ref="H2234">_xlfn.IFS(
OR(E2234="Type 2 Diabetes",E2234="Essential Hypertension",E2234="Angina Pectoris",E2234="Bronchial Asthma",E2234="Cardiac Arrhythmia"), D2234+30,
OR(E2234="Gastritis",E2234="Osteoarthritis",E2234="Bronchitis",E2234="Iron Deficiency Anemia"), D2234+14,
OR(E2234="Lumbar Strain",E2234="Migraine Headache"), D2234+7,
OR(E2234="Viral Fever",E2234="General Checkup","Routine Health Check"), "",
TRUE,""
)</f>
        <v/>
      </c>
      <c r="I2234" s="1" t="str">
        <f t="shared" si="68"/>
        <v>No Follow-up Required</v>
      </c>
      <c r="J2234" t="str">
        <f>TEXT(Table8[[#This Row],[visit_Date]],"DDDD")</f>
        <v>Monday</v>
      </c>
      <c r="K2234" t="str">
        <f>TEXT(Table8[[#This Row],[visit_Date]],"mmmm")</f>
        <v>February</v>
      </c>
      <c r="L2234" t="str">
        <f t="shared" si="69"/>
        <v>Winter</v>
      </c>
    </row>
    <row r="2235" spans="1:12" x14ac:dyDescent="0.25">
      <c r="A2235">
        <v>2234</v>
      </c>
      <c r="B2235">
        <v>1165</v>
      </c>
      <c r="C2235">
        <v>931</v>
      </c>
      <c r="D2235" s="1">
        <v>45819</v>
      </c>
      <c r="E2235" t="s">
        <v>24</v>
      </c>
      <c r="F2235" t="s">
        <v>321</v>
      </c>
      <c r="G2235" t="str">
        <f>_xlfn.XLOOKUP(TRIM(E2236),MedicineInfo!A:A,MedicineInfo!B:B,"Not Found")</f>
        <v>Multivitamin</v>
      </c>
      <c r="H2235" s="1" t="str" cm="1">
        <f t="array" ref="H2235">_xlfn.IFS(
OR(E2235="Type 2 Diabetes",E2235="Essential Hypertension",E2235="Angina Pectoris",E2235="Bronchial Asthma",E2235="Cardiac Arrhythmia"), D2235+30,
OR(E2235="Gastritis",E2235="Osteoarthritis",E2235="Bronchitis",E2235="Iron Deficiency Anemia"), D2235+14,
OR(E2235="Lumbar Strain",E2235="Migraine Headache"), D2235+7,
OR(E2235="Viral Fever",E2235="General Checkup","Routine Health Check"), "",
TRUE,""
)</f>
        <v/>
      </c>
      <c r="I2235" s="1" t="str">
        <f t="shared" si="68"/>
        <v>No Follow-up Required</v>
      </c>
      <c r="J2235" t="str">
        <f>TEXT(Table8[[#This Row],[visit_Date]],"DDDD")</f>
        <v>Wednesday</v>
      </c>
      <c r="K2235" t="str">
        <f>TEXT(Table8[[#This Row],[visit_Date]],"mmmm")</f>
        <v>June</v>
      </c>
      <c r="L2235" t="str">
        <f t="shared" si="69"/>
        <v>Monsoon</v>
      </c>
    </row>
    <row r="2236" spans="1:12" x14ac:dyDescent="0.25">
      <c r="A2236">
        <v>2235</v>
      </c>
      <c r="B2236">
        <v>1387</v>
      </c>
      <c r="C2236">
        <v>565</v>
      </c>
      <c r="D2236" s="1">
        <v>45790</v>
      </c>
      <c r="E2236" t="s">
        <v>24</v>
      </c>
      <c r="F2236" t="s">
        <v>321</v>
      </c>
      <c r="G2236" t="str">
        <f>_xlfn.XLOOKUP(TRIM(E2237),MedicineInfo!A:A,MedicineInfo!B:B,"Not Found")</f>
        <v>Multivitamin</v>
      </c>
      <c r="H2236" s="1" t="str" cm="1">
        <f t="array" ref="H2236">_xlfn.IFS(
OR(E2236="Type 2 Diabetes",E2236="Essential Hypertension",E2236="Angina Pectoris",E2236="Bronchial Asthma",E2236="Cardiac Arrhythmia"), D2236+30,
OR(E2236="Gastritis",E2236="Osteoarthritis",E2236="Bronchitis",E2236="Iron Deficiency Anemia"), D2236+14,
OR(E2236="Lumbar Strain",E2236="Migraine Headache"), D2236+7,
OR(E2236="Viral Fever",E2236="General Checkup","Routine Health Check"), "",
TRUE,""
)</f>
        <v/>
      </c>
      <c r="I2236" s="1" t="str">
        <f t="shared" si="68"/>
        <v>No Follow-up Required</v>
      </c>
      <c r="J2236" t="str">
        <f>TEXT(Table8[[#This Row],[visit_Date]],"DDDD")</f>
        <v>Tuesday</v>
      </c>
      <c r="K2236" t="str">
        <f>TEXT(Table8[[#This Row],[visit_Date]],"mmmm")</f>
        <v>May</v>
      </c>
      <c r="L2236" t="str">
        <f t="shared" si="69"/>
        <v>Summer</v>
      </c>
    </row>
    <row r="2237" spans="1:12" x14ac:dyDescent="0.25">
      <c r="A2237">
        <v>2236</v>
      </c>
      <c r="B2237">
        <v>1130</v>
      </c>
      <c r="C2237">
        <v>630</v>
      </c>
      <c r="D2237" s="1">
        <v>45708</v>
      </c>
      <c r="E2237" t="s">
        <v>24</v>
      </c>
      <c r="F2237" t="s">
        <v>321</v>
      </c>
      <c r="G2237" t="str">
        <f>_xlfn.XLOOKUP(TRIM(E2238),MedicineInfo!A:A,MedicineInfo!B:B,"Not Found")</f>
        <v>Multivitamin</v>
      </c>
      <c r="H2237" s="1" t="str" cm="1">
        <f t="array" ref="H2237">_xlfn.IFS(
OR(E2237="Type 2 Diabetes",E2237="Essential Hypertension",E2237="Angina Pectoris",E2237="Bronchial Asthma",E2237="Cardiac Arrhythmia"), D2237+30,
OR(E2237="Gastritis",E2237="Osteoarthritis",E2237="Bronchitis",E2237="Iron Deficiency Anemia"), D2237+14,
OR(E2237="Lumbar Strain",E2237="Migraine Headache"), D2237+7,
OR(E2237="Viral Fever",E2237="General Checkup","Routine Health Check"), "",
TRUE,""
)</f>
        <v/>
      </c>
      <c r="I2237" s="1" t="str">
        <f t="shared" si="68"/>
        <v>No Follow-up Required</v>
      </c>
      <c r="J2237" t="str">
        <f>TEXT(Table8[[#This Row],[visit_Date]],"DDDD")</f>
        <v>Thursday</v>
      </c>
      <c r="K2237" t="str">
        <f>TEXT(Table8[[#This Row],[visit_Date]],"mmmm")</f>
        <v>February</v>
      </c>
      <c r="L2237" t="str">
        <f t="shared" si="69"/>
        <v>Winter</v>
      </c>
    </row>
    <row r="2238" spans="1:12" x14ac:dyDescent="0.25">
      <c r="A2238">
        <v>2237</v>
      </c>
      <c r="B2238">
        <v>1269</v>
      </c>
      <c r="C2238">
        <v>274</v>
      </c>
      <c r="D2238" s="1">
        <v>45799</v>
      </c>
      <c r="E2238" t="s">
        <v>24</v>
      </c>
      <c r="F2238" t="s">
        <v>321</v>
      </c>
      <c r="G2238" t="str">
        <f>_xlfn.XLOOKUP(TRIM(E2239),MedicineInfo!A:A,MedicineInfo!B:B,"Not Found")</f>
        <v>Multivitamin</v>
      </c>
      <c r="H2238" s="1" t="str" cm="1">
        <f t="array" ref="H2238">_xlfn.IFS(
OR(E2238="Type 2 Diabetes",E2238="Essential Hypertension",E2238="Angina Pectoris",E2238="Bronchial Asthma",E2238="Cardiac Arrhythmia"), D2238+30,
OR(E2238="Gastritis",E2238="Osteoarthritis",E2238="Bronchitis",E2238="Iron Deficiency Anemia"), D2238+14,
OR(E2238="Lumbar Strain",E2238="Migraine Headache"), D2238+7,
OR(E2238="Viral Fever",E2238="General Checkup","Routine Health Check"), "",
TRUE,""
)</f>
        <v/>
      </c>
      <c r="I2238" s="1" t="str">
        <f t="shared" si="68"/>
        <v>No Follow-up Required</v>
      </c>
      <c r="J2238" t="str">
        <f>TEXT(Table8[[#This Row],[visit_Date]],"DDDD")</f>
        <v>Thursday</v>
      </c>
      <c r="K2238" t="str">
        <f>TEXT(Table8[[#This Row],[visit_Date]],"mmmm")</f>
        <v>May</v>
      </c>
      <c r="L2238" t="str">
        <f t="shared" si="69"/>
        <v>Summer</v>
      </c>
    </row>
    <row r="2239" spans="1:12" x14ac:dyDescent="0.25">
      <c r="A2239">
        <v>2238</v>
      </c>
      <c r="B2239">
        <v>1015</v>
      </c>
      <c r="C2239">
        <v>792</v>
      </c>
      <c r="D2239" s="1">
        <v>45747</v>
      </c>
      <c r="E2239" t="s">
        <v>24</v>
      </c>
      <c r="F2239" t="s">
        <v>321</v>
      </c>
      <c r="G2239" t="str">
        <f>_xlfn.XLOOKUP(TRIM(E2240),MedicineInfo!A:A,MedicineInfo!B:B,"Not Found")</f>
        <v>Multivitamin</v>
      </c>
      <c r="H2239" s="1" t="str" cm="1">
        <f t="array" ref="H2239">_xlfn.IFS(
OR(E2239="Type 2 Diabetes",E2239="Essential Hypertension",E2239="Angina Pectoris",E2239="Bronchial Asthma",E2239="Cardiac Arrhythmia"), D2239+30,
OR(E2239="Gastritis",E2239="Osteoarthritis",E2239="Bronchitis",E2239="Iron Deficiency Anemia"), D2239+14,
OR(E2239="Lumbar Strain",E2239="Migraine Headache"), D2239+7,
OR(E2239="Viral Fever",E2239="General Checkup","Routine Health Check"), "",
TRUE,""
)</f>
        <v/>
      </c>
      <c r="I2239" s="1" t="str">
        <f t="shared" si="68"/>
        <v>No Follow-up Required</v>
      </c>
      <c r="J2239" t="str">
        <f>TEXT(Table8[[#This Row],[visit_Date]],"DDDD")</f>
        <v>Monday</v>
      </c>
      <c r="K2239" t="str">
        <f>TEXT(Table8[[#This Row],[visit_Date]],"mmmm")</f>
        <v>March</v>
      </c>
      <c r="L2239" t="str">
        <f t="shared" si="69"/>
        <v>Summer</v>
      </c>
    </row>
    <row r="2240" spans="1:12" x14ac:dyDescent="0.25">
      <c r="A2240">
        <v>2239</v>
      </c>
      <c r="B2240">
        <v>1050</v>
      </c>
      <c r="C2240">
        <v>1060</v>
      </c>
      <c r="D2240" s="1">
        <v>45667</v>
      </c>
      <c r="E2240" t="s">
        <v>24</v>
      </c>
      <c r="F2240" t="s">
        <v>321</v>
      </c>
      <c r="G2240" t="str">
        <f>_xlfn.XLOOKUP(TRIM(E2241),MedicineInfo!A:A,MedicineInfo!B:B,"Not Found")</f>
        <v>Multivitamin</v>
      </c>
      <c r="H2240" s="1" t="str" cm="1">
        <f t="array" ref="H2240">_xlfn.IFS(
OR(E2240="Type 2 Diabetes",E2240="Essential Hypertension",E2240="Angina Pectoris",E2240="Bronchial Asthma",E2240="Cardiac Arrhythmia"), D2240+30,
OR(E2240="Gastritis",E2240="Osteoarthritis",E2240="Bronchitis",E2240="Iron Deficiency Anemia"), D2240+14,
OR(E2240="Lumbar Strain",E2240="Migraine Headache"), D2240+7,
OR(E2240="Viral Fever",E2240="General Checkup","Routine Health Check"), "",
TRUE,""
)</f>
        <v/>
      </c>
      <c r="I2240" s="1" t="str">
        <f t="shared" si="68"/>
        <v>No Follow-up Required</v>
      </c>
      <c r="J2240" t="str">
        <f>TEXT(Table8[[#This Row],[visit_Date]],"DDDD")</f>
        <v>Friday</v>
      </c>
      <c r="K2240" t="str">
        <f>TEXT(Table8[[#This Row],[visit_Date]],"mmmm")</f>
        <v>January</v>
      </c>
      <c r="L2240" t="str">
        <f t="shared" si="69"/>
        <v>Winter</v>
      </c>
    </row>
    <row r="2241" spans="1:12" x14ac:dyDescent="0.25">
      <c r="A2241">
        <v>2240</v>
      </c>
      <c r="B2241">
        <v>1050</v>
      </c>
      <c r="C2241">
        <v>1574</v>
      </c>
      <c r="D2241" s="1">
        <v>45777</v>
      </c>
      <c r="E2241" t="s">
        <v>24</v>
      </c>
      <c r="F2241" t="s">
        <v>321</v>
      </c>
      <c r="G2241" t="str">
        <f>_xlfn.XLOOKUP(TRIM(E2242),MedicineInfo!A:A,MedicineInfo!B:B,"Not Found")</f>
        <v>Multivitamin</v>
      </c>
      <c r="H2241" s="1" t="str" cm="1">
        <f t="array" ref="H2241">_xlfn.IFS(
OR(E2241="Type 2 Diabetes",E2241="Essential Hypertension",E2241="Angina Pectoris",E2241="Bronchial Asthma",E2241="Cardiac Arrhythmia"), D2241+30,
OR(E2241="Gastritis",E2241="Osteoarthritis",E2241="Bronchitis",E2241="Iron Deficiency Anemia"), D2241+14,
OR(E2241="Lumbar Strain",E2241="Migraine Headache"), D2241+7,
OR(E2241="Viral Fever",E2241="General Checkup","Routine Health Check"), "",
TRUE,""
)</f>
        <v/>
      </c>
      <c r="I2241" s="1" t="str">
        <f t="shared" si="68"/>
        <v>No Follow-up Required</v>
      </c>
      <c r="J2241" t="str">
        <f>TEXT(Table8[[#This Row],[visit_Date]],"DDDD")</f>
        <v>Wednesday</v>
      </c>
      <c r="K2241" t="str">
        <f>TEXT(Table8[[#This Row],[visit_Date]],"mmmm")</f>
        <v>April</v>
      </c>
      <c r="L2241" t="str">
        <f t="shared" si="69"/>
        <v>Summer</v>
      </c>
    </row>
    <row r="2242" spans="1:12" x14ac:dyDescent="0.25">
      <c r="A2242">
        <v>2241</v>
      </c>
      <c r="B2242">
        <v>1063</v>
      </c>
      <c r="C2242">
        <v>868</v>
      </c>
      <c r="D2242" s="1">
        <v>45790</v>
      </c>
      <c r="E2242" t="s">
        <v>24</v>
      </c>
      <c r="F2242" t="s">
        <v>321</v>
      </c>
      <c r="G2242" t="str">
        <f>_xlfn.XLOOKUP(TRIM(E2243),MedicineInfo!A:A,MedicineInfo!B:B,"Not Found")</f>
        <v>Multivitamin</v>
      </c>
      <c r="H2242" s="1" t="str" cm="1">
        <f t="array" ref="H2242">_xlfn.IFS(
OR(E2242="Type 2 Diabetes",E2242="Essential Hypertension",E2242="Angina Pectoris",E2242="Bronchial Asthma",E2242="Cardiac Arrhythmia"), D2242+30,
OR(E2242="Gastritis",E2242="Osteoarthritis",E2242="Bronchitis",E2242="Iron Deficiency Anemia"), D2242+14,
OR(E2242="Lumbar Strain",E2242="Migraine Headache"), D2242+7,
OR(E2242="Viral Fever",E2242="General Checkup","Routine Health Check"), "",
TRUE,""
)</f>
        <v/>
      </c>
      <c r="I2242" s="1" t="str">
        <f t="shared" ref="I2242:I2305" si="70">IF(H2242="","No Follow-up Required","Follow-up Scheduled")</f>
        <v>No Follow-up Required</v>
      </c>
      <c r="J2242" t="str">
        <f>TEXT(Table8[[#This Row],[visit_Date]],"DDDD")</f>
        <v>Tuesday</v>
      </c>
      <c r="K2242" t="str">
        <f>TEXT(Table8[[#This Row],[visit_Date]],"mmmm")</f>
        <v>May</v>
      </c>
      <c r="L2242" t="str">
        <f t="shared" ref="L2242:L2305" si="71">IF(OR(MONTH(D2242)=12,MONTH(D2242)&lt;=2),"Winter",
IF(MONTH(D2242)&lt;=5,"Summer","Monsoon"))</f>
        <v>Summer</v>
      </c>
    </row>
    <row r="2243" spans="1:12" x14ac:dyDescent="0.25">
      <c r="A2243">
        <v>2242</v>
      </c>
      <c r="B2243">
        <v>1044</v>
      </c>
      <c r="C2243">
        <v>1289</v>
      </c>
      <c r="D2243" s="1">
        <v>45792</v>
      </c>
      <c r="E2243" t="s">
        <v>24</v>
      </c>
      <c r="F2243" t="s">
        <v>321</v>
      </c>
      <c r="G2243" t="str">
        <f>_xlfn.XLOOKUP(TRIM(E2244),MedicineInfo!A:A,MedicineInfo!B:B,"Not Found")</f>
        <v>Multivitamin</v>
      </c>
      <c r="H2243" s="1" t="str" cm="1">
        <f t="array" ref="H2243">_xlfn.IFS(
OR(E2243="Type 2 Diabetes",E2243="Essential Hypertension",E2243="Angina Pectoris",E2243="Bronchial Asthma",E2243="Cardiac Arrhythmia"), D2243+30,
OR(E2243="Gastritis",E2243="Osteoarthritis",E2243="Bronchitis",E2243="Iron Deficiency Anemia"), D2243+14,
OR(E2243="Lumbar Strain",E2243="Migraine Headache"), D2243+7,
OR(E2243="Viral Fever",E2243="General Checkup","Routine Health Check"), "",
TRUE,""
)</f>
        <v/>
      </c>
      <c r="I2243" s="1" t="str">
        <f t="shared" si="70"/>
        <v>No Follow-up Required</v>
      </c>
      <c r="J2243" t="str">
        <f>TEXT(Table8[[#This Row],[visit_Date]],"DDDD")</f>
        <v>Thursday</v>
      </c>
      <c r="K2243" t="str">
        <f>TEXT(Table8[[#This Row],[visit_Date]],"mmmm")</f>
        <v>May</v>
      </c>
      <c r="L2243" t="str">
        <f t="shared" si="71"/>
        <v>Summer</v>
      </c>
    </row>
    <row r="2244" spans="1:12" x14ac:dyDescent="0.25">
      <c r="A2244">
        <v>2243</v>
      </c>
      <c r="B2244">
        <v>1236</v>
      </c>
      <c r="C2244">
        <v>349</v>
      </c>
      <c r="D2244" s="1">
        <v>45861</v>
      </c>
      <c r="E2244" t="s">
        <v>24</v>
      </c>
      <c r="F2244" t="s">
        <v>321</v>
      </c>
      <c r="G2244" t="str">
        <f>_xlfn.XLOOKUP(TRIM(E2245),MedicineInfo!A:A,MedicineInfo!B:B,"Not Found")</f>
        <v>Folic Acid</v>
      </c>
      <c r="H2244" s="1" t="str" cm="1">
        <f t="array" ref="H2244">_xlfn.IFS(
OR(E2244="Type 2 Diabetes",E2244="Essential Hypertension",E2244="Angina Pectoris",E2244="Bronchial Asthma",E2244="Cardiac Arrhythmia"), D2244+30,
OR(E2244="Gastritis",E2244="Osteoarthritis",E2244="Bronchitis",E2244="Iron Deficiency Anemia"), D2244+14,
OR(E2244="Lumbar Strain",E2244="Migraine Headache"), D2244+7,
OR(E2244="Viral Fever",E2244="General Checkup","Routine Health Check"), "",
TRUE,""
)</f>
        <v/>
      </c>
      <c r="I2244" s="1" t="str">
        <f t="shared" si="70"/>
        <v>No Follow-up Required</v>
      </c>
      <c r="J2244" t="str">
        <f>TEXT(Table8[[#This Row],[visit_Date]],"DDDD")</f>
        <v>Wednesday</v>
      </c>
      <c r="K2244" t="str">
        <f>TEXT(Table8[[#This Row],[visit_Date]],"mmmm")</f>
        <v>July</v>
      </c>
      <c r="L2244" t="str">
        <f t="shared" si="71"/>
        <v>Monsoon</v>
      </c>
    </row>
    <row r="2245" spans="1:12" x14ac:dyDescent="0.25">
      <c r="A2245">
        <v>2244</v>
      </c>
      <c r="B2245">
        <v>1268</v>
      </c>
      <c r="C2245">
        <v>1516</v>
      </c>
      <c r="D2245" s="1">
        <v>45758</v>
      </c>
      <c r="E2245" t="s">
        <v>356</v>
      </c>
      <c r="F2245" t="s">
        <v>357</v>
      </c>
      <c r="G2245" t="str">
        <f>_xlfn.XLOOKUP(TRIM(E2246),MedicineInfo!A:A,MedicineInfo!B:B,"Not Found")</f>
        <v>Multivitamin</v>
      </c>
      <c r="H2245" s="1" t="str" cm="1">
        <f t="array" ref="H2245">_xlfn.IFS(
OR(E2245="Type 2 Diabetes",E2245="Essential Hypertension",E2245="Angina Pectoris",E2245="Bronchial Asthma",E2245="Cardiac Arrhythmia"), D2245+30,
OR(E2245="Gastritis",E2245="Osteoarthritis",E2245="Bronchitis",E2245="Iron Deficiency Anemia"), D2245+14,
OR(E2245="Lumbar Strain",E2245="Migraine Headache"), D2245+7,
OR(E2245="Viral Fever",E2245="General Checkup","Routine Health Check"), "",
TRUE,""
)</f>
        <v/>
      </c>
      <c r="I2245" s="1" t="str">
        <f t="shared" si="70"/>
        <v>No Follow-up Required</v>
      </c>
      <c r="J2245" t="str">
        <f>TEXT(Table8[[#This Row],[visit_Date]],"DDDD")</f>
        <v>Friday</v>
      </c>
      <c r="K2245" t="str">
        <f>TEXT(Table8[[#This Row],[visit_Date]],"mmmm")</f>
        <v>April</v>
      </c>
      <c r="L2245" t="str">
        <f t="shared" si="71"/>
        <v>Summer</v>
      </c>
    </row>
    <row r="2246" spans="1:12" x14ac:dyDescent="0.25">
      <c r="A2246">
        <v>2245</v>
      </c>
      <c r="B2246">
        <v>1055</v>
      </c>
      <c r="C2246">
        <v>180</v>
      </c>
      <c r="D2246" s="1">
        <v>45829</v>
      </c>
      <c r="E2246" t="s">
        <v>24</v>
      </c>
      <c r="F2246" t="s">
        <v>321</v>
      </c>
      <c r="G2246" t="str">
        <f>_xlfn.XLOOKUP(TRIM(E2247),MedicineInfo!A:A,MedicineInfo!B:B,"Not Found")</f>
        <v>Multivitamin</v>
      </c>
      <c r="H2246" s="1" t="str" cm="1">
        <f t="array" ref="H2246">_xlfn.IFS(
OR(E2246="Type 2 Diabetes",E2246="Essential Hypertension",E2246="Angina Pectoris",E2246="Bronchial Asthma",E2246="Cardiac Arrhythmia"), D2246+30,
OR(E2246="Gastritis",E2246="Osteoarthritis",E2246="Bronchitis",E2246="Iron Deficiency Anemia"), D2246+14,
OR(E2246="Lumbar Strain",E2246="Migraine Headache"), D2246+7,
OR(E2246="Viral Fever",E2246="General Checkup","Routine Health Check"), "",
TRUE,""
)</f>
        <v/>
      </c>
      <c r="I2246" s="1" t="str">
        <f t="shared" si="70"/>
        <v>No Follow-up Required</v>
      </c>
      <c r="J2246" t="str">
        <f>TEXT(Table8[[#This Row],[visit_Date]],"DDDD")</f>
        <v>Saturday</v>
      </c>
      <c r="K2246" t="str">
        <f>TEXT(Table8[[#This Row],[visit_Date]],"mmmm")</f>
        <v>June</v>
      </c>
      <c r="L2246" t="str">
        <f t="shared" si="71"/>
        <v>Monsoon</v>
      </c>
    </row>
    <row r="2247" spans="1:12" x14ac:dyDescent="0.25">
      <c r="A2247">
        <v>2246</v>
      </c>
      <c r="B2247">
        <v>1357</v>
      </c>
      <c r="C2247">
        <v>235</v>
      </c>
      <c r="D2247" s="1">
        <v>45791</v>
      </c>
      <c r="E2247" t="s">
        <v>24</v>
      </c>
      <c r="F2247" t="s">
        <v>321</v>
      </c>
      <c r="G2247" t="str">
        <f>_xlfn.XLOOKUP(TRIM(E2248),MedicineInfo!A:A,MedicineInfo!B:B,"Not Found")</f>
        <v>Multivitamin</v>
      </c>
      <c r="H2247" s="1" t="str" cm="1">
        <f t="array" ref="H2247">_xlfn.IFS(
OR(E2247="Type 2 Diabetes",E2247="Essential Hypertension",E2247="Angina Pectoris",E2247="Bronchial Asthma",E2247="Cardiac Arrhythmia"), D2247+30,
OR(E2247="Gastritis",E2247="Osteoarthritis",E2247="Bronchitis",E2247="Iron Deficiency Anemia"), D2247+14,
OR(E2247="Lumbar Strain",E2247="Migraine Headache"), D2247+7,
OR(E2247="Viral Fever",E2247="General Checkup","Routine Health Check"), "",
TRUE,""
)</f>
        <v/>
      </c>
      <c r="I2247" s="1" t="str">
        <f t="shared" si="70"/>
        <v>No Follow-up Required</v>
      </c>
      <c r="J2247" t="str">
        <f>TEXT(Table8[[#This Row],[visit_Date]],"DDDD")</f>
        <v>Wednesday</v>
      </c>
      <c r="K2247" t="str">
        <f>TEXT(Table8[[#This Row],[visit_Date]],"mmmm")</f>
        <v>May</v>
      </c>
      <c r="L2247" t="str">
        <f t="shared" si="71"/>
        <v>Summer</v>
      </c>
    </row>
    <row r="2248" spans="1:12" x14ac:dyDescent="0.25">
      <c r="A2248">
        <v>2247</v>
      </c>
      <c r="B2248">
        <v>1169</v>
      </c>
      <c r="C2248">
        <v>813</v>
      </c>
      <c r="D2248" s="1">
        <v>45724</v>
      </c>
      <c r="E2248" t="s">
        <v>24</v>
      </c>
      <c r="F2248" t="s">
        <v>321</v>
      </c>
      <c r="G2248" t="str">
        <f>_xlfn.XLOOKUP(TRIM(E2249),MedicineInfo!A:A,MedicineInfo!B:B,"Not Found")</f>
        <v>Multivitamin</v>
      </c>
      <c r="H2248" s="1" t="str" cm="1">
        <f t="array" ref="H2248">_xlfn.IFS(
OR(E2248="Type 2 Diabetes",E2248="Essential Hypertension",E2248="Angina Pectoris",E2248="Bronchial Asthma",E2248="Cardiac Arrhythmia"), D2248+30,
OR(E2248="Gastritis",E2248="Osteoarthritis",E2248="Bronchitis",E2248="Iron Deficiency Anemia"), D2248+14,
OR(E2248="Lumbar Strain",E2248="Migraine Headache"), D2248+7,
OR(E2248="Viral Fever",E2248="General Checkup","Routine Health Check"), "",
TRUE,""
)</f>
        <v/>
      </c>
      <c r="I2248" s="1" t="str">
        <f t="shared" si="70"/>
        <v>No Follow-up Required</v>
      </c>
      <c r="J2248" t="str">
        <f>TEXT(Table8[[#This Row],[visit_Date]],"DDDD")</f>
        <v>Saturday</v>
      </c>
      <c r="K2248" t="str">
        <f>TEXT(Table8[[#This Row],[visit_Date]],"mmmm")</f>
        <v>March</v>
      </c>
      <c r="L2248" t="str">
        <f t="shared" si="71"/>
        <v>Summer</v>
      </c>
    </row>
    <row r="2249" spans="1:12" x14ac:dyDescent="0.25">
      <c r="A2249">
        <v>2248</v>
      </c>
      <c r="B2249">
        <v>1213</v>
      </c>
      <c r="C2249">
        <v>911</v>
      </c>
      <c r="D2249" s="1">
        <v>45777</v>
      </c>
      <c r="E2249" t="s">
        <v>24</v>
      </c>
      <c r="F2249" t="s">
        <v>321</v>
      </c>
      <c r="G2249" t="str">
        <f>_xlfn.XLOOKUP(TRIM(E2250),MedicineInfo!A:A,MedicineInfo!B:B,"Not Found")</f>
        <v>Multivitamin</v>
      </c>
      <c r="H2249" s="1" t="str" cm="1">
        <f t="array" ref="H2249">_xlfn.IFS(
OR(E2249="Type 2 Diabetes",E2249="Essential Hypertension",E2249="Angina Pectoris",E2249="Bronchial Asthma",E2249="Cardiac Arrhythmia"), D2249+30,
OR(E2249="Gastritis",E2249="Osteoarthritis",E2249="Bronchitis",E2249="Iron Deficiency Anemia"), D2249+14,
OR(E2249="Lumbar Strain",E2249="Migraine Headache"), D2249+7,
OR(E2249="Viral Fever",E2249="General Checkup","Routine Health Check"), "",
TRUE,""
)</f>
        <v/>
      </c>
      <c r="I2249" s="1" t="str">
        <f t="shared" si="70"/>
        <v>No Follow-up Required</v>
      </c>
      <c r="J2249" t="str">
        <f>TEXT(Table8[[#This Row],[visit_Date]],"DDDD")</f>
        <v>Wednesday</v>
      </c>
      <c r="K2249" t="str">
        <f>TEXT(Table8[[#This Row],[visit_Date]],"mmmm")</f>
        <v>April</v>
      </c>
      <c r="L2249" t="str">
        <f t="shared" si="71"/>
        <v>Summer</v>
      </c>
    </row>
    <row r="2250" spans="1:12" x14ac:dyDescent="0.25">
      <c r="A2250">
        <v>2249</v>
      </c>
      <c r="B2250">
        <v>1234</v>
      </c>
      <c r="C2250">
        <v>1219</v>
      </c>
      <c r="D2250" s="1">
        <v>45814</v>
      </c>
      <c r="E2250" t="s">
        <v>24</v>
      </c>
      <c r="F2250" t="s">
        <v>321</v>
      </c>
      <c r="G2250" t="str">
        <f>_xlfn.XLOOKUP(TRIM(E2251),MedicineInfo!A:A,MedicineInfo!B:B,"Not Found")</f>
        <v>Multivitamin</v>
      </c>
      <c r="H2250" s="1" t="str" cm="1">
        <f t="array" ref="H2250">_xlfn.IFS(
OR(E2250="Type 2 Diabetes",E2250="Essential Hypertension",E2250="Angina Pectoris",E2250="Bronchial Asthma",E2250="Cardiac Arrhythmia"), D2250+30,
OR(E2250="Gastritis",E2250="Osteoarthritis",E2250="Bronchitis",E2250="Iron Deficiency Anemia"), D2250+14,
OR(E2250="Lumbar Strain",E2250="Migraine Headache"), D2250+7,
OR(E2250="Viral Fever",E2250="General Checkup","Routine Health Check"), "",
TRUE,""
)</f>
        <v/>
      </c>
      <c r="I2250" s="1" t="str">
        <f t="shared" si="70"/>
        <v>No Follow-up Required</v>
      </c>
      <c r="J2250" t="str">
        <f>TEXT(Table8[[#This Row],[visit_Date]],"DDDD")</f>
        <v>Friday</v>
      </c>
      <c r="K2250" t="str">
        <f>TEXT(Table8[[#This Row],[visit_Date]],"mmmm")</f>
        <v>June</v>
      </c>
      <c r="L2250" t="str">
        <f t="shared" si="71"/>
        <v>Monsoon</v>
      </c>
    </row>
    <row r="2251" spans="1:12" x14ac:dyDescent="0.25">
      <c r="A2251">
        <v>2250</v>
      </c>
      <c r="B2251">
        <v>1178</v>
      </c>
      <c r="C2251">
        <v>1138</v>
      </c>
      <c r="D2251" s="1">
        <v>45819</v>
      </c>
      <c r="E2251" t="s">
        <v>24</v>
      </c>
      <c r="F2251" t="s">
        <v>321</v>
      </c>
      <c r="G2251" t="str">
        <f>_xlfn.XLOOKUP(TRIM(E2252),MedicineInfo!A:A,MedicineInfo!B:B,"Not Found")</f>
        <v>Multivitamin</v>
      </c>
      <c r="H2251" s="1" t="str" cm="1">
        <f t="array" ref="H2251">_xlfn.IFS(
OR(E2251="Type 2 Diabetes",E2251="Essential Hypertension",E2251="Angina Pectoris",E2251="Bronchial Asthma",E2251="Cardiac Arrhythmia"), D2251+30,
OR(E2251="Gastritis",E2251="Osteoarthritis",E2251="Bronchitis",E2251="Iron Deficiency Anemia"), D2251+14,
OR(E2251="Lumbar Strain",E2251="Migraine Headache"), D2251+7,
OR(E2251="Viral Fever",E2251="General Checkup","Routine Health Check"), "",
TRUE,""
)</f>
        <v/>
      </c>
      <c r="I2251" s="1" t="str">
        <f t="shared" si="70"/>
        <v>No Follow-up Required</v>
      </c>
      <c r="J2251" t="str">
        <f>TEXT(Table8[[#This Row],[visit_Date]],"DDDD")</f>
        <v>Wednesday</v>
      </c>
      <c r="K2251" t="str">
        <f>TEXT(Table8[[#This Row],[visit_Date]],"mmmm")</f>
        <v>June</v>
      </c>
      <c r="L2251" t="str">
        <f t="shared" si="71"/>
        <v>Monsoon</v>
      </c>
    </row>
    <row r="2252" spans="1:12" x14ac:dyDescent="0.25">
      <c r="A2252">
        <v>2251</v>
      </c>
      <c r="B2252">
        <v>1132</v>
      </c>
      <c r="C2252">
        <v>120</v>
      </c>
      <c r="D2252" s="1">
        <v>45694</v>
      </c>
      <c r="E2252" t="s">
        <v>24</v>
      </c>
      <c r="F2252" t="s">
        <v>321</v>
      </c>
      <c r="G2252" t="str">
        <f>_xlfn.XLOOKUP(TRIM(E2253),MedicineInfo!A:A,MedicineInfo!B:B,"Not Found")</f>
        <v>Multivitamin</v>
      </c>
      <c r="H2252" s="1" t="str" cm="1">
        <f t="array" ref="H2252">_xlfn.IFS(
OR(E2252="Type 2 Diabetes",E2252="Essential Hypertension",E2252="Angina Pectoris",E2252="Bronchial Asthma",E2252="Cardiac Arrhythmia"), D2252+30,
OR(E2252="Gastritis",E2252="Osteoarthritis",E2252="Bronchitis",E2252="Iron Deficiency Anemia"), D2252+14,
OR(E2252="Lumbar Strain",E2252="Migraine Headache"), D2252+7,
OR(E2252="Viral Fever",E2252="General Checkup","Routine Health Check"), "",
TRUE,""
)</f>
        <v/>
      </c>
      <c r="I2252" s="1" t="str">
        <f t="shared" si="70"/>
        <v>No Follow-up Required</v>
      </c>
      <c r="J2252" t="str">
        <f>TEXT(Table8[[#This Row],[visit_Date]],"DDDD")</f>
        <v>Thursday</v>
      </c>
      <c r="K2252" t="str">
        <f>TEXT(Table8[[#This Row],[visit_Date]],"mmmm")</f>
        <v>February</v>
      </c>
      <c r="L2252" t="str">
        <f t="shared" si="71"/>
        <v>Winter</v>
      </c>
    </row>
    <row r="2253" spans="1:12" x14ac:dyDescent="0.25">
      <c r="A2253">
        <v>2252</v>
      </c>
      <c r="B2253">
        <v>1014</v>
      </c>
      <c r="C2253">
        <v>1519</v>
      </c>
      <c r="D2253" s="1">
        <v>45791</v>
      </c>
      <c r="E2253" t="s">
        <v>24</v>
      </c>
      <c r="F2253" t="s">
        <v>321</v>
      </c>
      <c r="G2253" t="str">
        <f>_xlfn.XLOOKUP(TRIM(E2254),MedicineInfo!A:A,MedicineInfo!B:B,"Not Found")</f>
        <v>Multivitamin</v>
      </c>
      <c r="H2253" s="1" t="str" cm="1">
        <f t="array" ref="H2253">_xlfn.IFS(
OR(E2253="Type 2 Diabetes",E2253="Essential Hypertension",E2253="Angina Pectoris",E2253="Bronchial Asthma",E2253="Cardiac Arrhythmia"), D2253+30,
OR(E2253="Gastritis",E2253="Osteoarthritis",E2253="Bronchitis",E2253="Iron Deficiency Anemia"), D2253+14,
OR(E2253="Lumbar Strain",E2253="Migraine Headache"), D2253+7,
OR(E2253="Viral Fever",E2253="General Checkup","Routine Health Check"), "",
TRUE,""
)</f>
        <v/>
      </c>
      <c r="I2253" s="1" t="str">
        <f t="shared" si="70"/>
        <v>No Follow-up Required</v>
      </c>
      <c r="J2253" t="str">
        <f>TEXT(Table8[[#This Row],[visit_Date]],"DDDD")</f>
        <v>Wednesday</v>
      </c>
      <c r="K2253" t="str">
        <f>TEXT(Table8[[#This Row],[visit_Date]],"mmmm")</f>
        <v>May</v>
      </c>
      <c r="L2253" t="str">
        <f t="shared" si="71"/>
        <v>Summer</v>
      </c>
    </row>
    <row r="2254" spans="1:12" x14ac:dyDescent="0.25">
      <c r="A2254">
        <v>2253</v>
      </c>
      <c r="B2254">
        <v>1002</v>
      </c>
      <c r="C2254">
        <v>167</v>
      </c>
      <c r="D2254" s="1">
        <v>45767</v>
      </c>
      <c r="E2254" t="s">
        <v>24</v>
      </c>
      <c r="F2254" t="s">
        <v>321</v>
      </c>
      <c r="G2254" t="str">
        <f>_xlfn.XLOOKUP(TRIM(E2255),MedicineInfo!A:A,MedicineInfo!B:B,"Not Found")</f>
        <v>Multivitamin</v>
      </c>
      <c r="H2254" s="1" t="str" cm="1">
        <f t="array" ref="H2254">_xlfn.IFS(
OR(E2254="Type 2 Diabetes",E2254="Essential Hypertension",E2254="Angina Pectoris",E2254="Bronchial Asthma",E2254="Cardiac Arrhythmia"), D2254+30,
OR(E2254="Gastritis",E2254="Osteoarthritis",E2254="Bronchitis",E2254="Iron Deficiency Anemia"), D2254+14,
OR(E2254="Lumbar Strain",E2254="Migraine Headache"), D2254+7,
OR(E2254="Viral Fever",E2254="General Checkup","Routine Health Check"), "",
TRUE,""
)</f>
        <v/>
      </c>
      <c r="I2254" s="1" t="str">
        <f t="shared" si="70"/>
        <v>No Follow-up Required</v>
      </c>
      <c r="J2254" t="str">
        <f>TEXT(Table8[[#This Row],[visit_Date]],"DDDD")</f>
        <v>Sunday</v>
      </c>
      <c r="K2254" t="str">
        <f>TEXT(Table8[[#This Row],[visit_Date]],"mmmm")</f>
        <v>April</v>
      </c>
      <c r="L2254" t="str">
        <f t="shared" si="71"/>
        <v>Summer</v>
      </c>
    </row>
    <row r="2255" spans="1:12" x14ac:dyDescent="0.25">
      <c r="A2255">
        <v>2254</v>
      </c>
      <c r="B2255">
        <v>1386</v>
      </c>
      <c r="C2255">
        <v>1495</v>
      </c>
      <c r="D2255" s="1">
        <v>45851</v>
      </c>
      <c r="E2255" t="s">
        <v>24</v>
      </c>
      <c r="F2255" t="s">
        <v>321</v>
      </c>
      <c r="G2255" t="str">
        <f>_xlfn.XLOOKUP(TRIM(E2256),MedicineInfo!A:A,MedicineInfo!B:B,"Not Found")</f>
        <v>Multivitamin</v>
      </c>
      <c r="H2255" s="1" t="str" cm="1">
        <f t="array" ref="H2255">_xlfn.IFS(
OR(E2255="Type 2 Diabetes",E2255="Essential Hypertension",E2255="Angina Pectoris",E2255="Bronchial Asthma",E2255="Cardiac Arrhythmia"), D2255+30,
OR(E2255="Gastritis",E2255="Osteoarthritis",E2255="Bronchitis",E2255="Iron Deficiency Anemia"), D2255+14,
OR(E2255="Lumbar Strain",E2255="Migraine Headache"), D2255+7,
OR(E2255="Viral Fever",E2255="General Checkup","Routine Health Check"), "",
TRUE,""
)</f>
        <v/>
      </c>
      <c r="I2255" s="1" t="str">
        <f t="shared" si="70"/>
        <v>No Follow-up Required</v>
      </c>
      <c r="J2255" t="str">
        <f>TEXT(Table8[[#This Row],[visit_Date]],"DDDD")</f>
        <v>Sunday</v>
      </c>
      <c r="K2255" t="str">
        <f>TEXT(Table8[[#This Row],[visit_Date]],"mmmm")</f>
        <v>July</v>
      </c>
      <c r="L2255" t="str">
        <f t="shared" si="71"/>
        <v>Monsoon</v>
      </c>
    </row>
    <row r="2256" spans="1:12" x14ac:dyDescent="0.25">
      <c r="A2256">
        <v>2255</v>
      </c>
      <c r="B2256">
        <v>1206</v>
      </c>
      <c r="C2256">
        <v>832</v>
      </c>
      <c r="D2256" s="1">
        <v>45746</v>
      </c>
      <c r="E2256" t="s">
        <v>24</v>
      </c>
      <c r="F2256" t="s">
        <v>321</v>
      </c>
      <c r="G2256" t="str">
        <f>_xlfn.XLOOKUP(TRIM(E2257),MedicineInfo!A:A,MedicineInfo!B:B,"Not Found")</f>
        <v>Multivitamin</v>
      </c>
      <c r="H2256" s="1" t="str" cm="1">
        <f t="array" ref="H2256">_xlfn.IFS(
OR(E2256="Type 2 Diabetes",E2256="Essential Hypertension",E2256="Angina Pectoris",E2256="Bronchial Asthma",E2256="Cardiac Arrhythmia"), D2256+30,
OR(E2256="Gastritis",E2256="Osteoarthritis",E2256="Bronchitis",E2256="Iron Deficiency Anemia"), D2256+14,
OR(E2256="Lumbar Strain",E2256="Migraine Headache"), D2256+7,
OR(E2256="Viral Fever",E2256="General Checkup","Routine Health Check"), "",
TRUE,""
)</f>
        <v/>
      </c>
      <c r="I2256" s="1" t="str">
        <f t="shared" si="70"/>
        <v>No Follow-up Required</v>
      </c>
      <c r="J2256" t="str">
        <f>TEXT(Table8[[#This Row],[visit_Date]],"DDDD")</f>
        <v>Sunday</v>
      </c>
      <c r="K2256" t="str">
        <f>TEXT(Table8[[#This Row],[visit_Date]],"mmmm")</f>
        <v>March</v>
      </c>
      <c r="L2256" t="str">
        <f t="shared" si="71"/>
        <v>Summer</v>
      </c>
    </row>
    <row r="2257" spans="1:12" x14ac:dyDescent="0.25">
      <c r="A2257">
        <v>2256</v>
      </c>
      <c r="B2257">
        <v>1055</v>
      </c>
      <c r="C2257">
        <v>604</v>
      </c>
      <c r="D2257" s="1">
        <v>45689</v>
      </c>
      <c r="E2257" t="s">
        <v>24</v>
      </c>
      <c r="F2257" t="s">
        <v>321</v>
      </c>
      <c r="G2257" t="str">
        <f>_xlfn.XLOOKUP(TRIM(E2258),MedicineInfo!A:A,MedicineInfo!B:B,"Not Found")</f>
        <v>Multivitamin</v>
      </c>
      <c r="H2257" s="1" t="str" cm="1">
        <f t="array" ref="H2257">_xlfn.IFS(
OR(E2257="Type 2 Diabetes",E2257="Essential Hypertension",E2257="Angina Pectoris",E2257="Bronchial Asthma",E2257="Cardiac Arrhythmia"), D2257+30,
OR(E2257="Gastritis",E2257="Osteoarthritis",E2257="Bronchitis",E2257="Iron Deficiency Anemia"), D2257+14,
OR(E2257="Lumbar Strain",E2257="Migraine Headache"), D2257+7,
OR(E2257="Viral Fever",E2257="General Checkup","Routine Health Check"), "",
TRUE,""
)</f>
        <v/>
      </c>
      <c r="I2257" s="1" t="str">
        <f t="shared" si="70"/>
        <v>No Follow-up Required</v>
      </c>
      <c r="J2257" t="str">
        <f>TEXT(Table8[[#This Row],[visit_Date]],"DDDD")</f>
        <v>Saturday</v>
      </c>
      <c r="K2257" t="str">
        <f>TEXT(Table8[[#This Row],[visit_Date]],"mmmm")</f>
        <v>February</v>
      </c>
      <c r="L2257" t="str">
        <f t="shared" si="71"/>
        <v>Winter</v>
      </c>
    </row>
    <row r="2258" spans="1:12" x14ac:dyDescent="0.25">
      <c r="A2258">
        <v>2257</v>
      </c>
      <c r="B2258">
        <v>1285</v>
      </c>
      <c r="C2258">
        <v>1069</v>
      </c>
      <c r="D2258" s="1">
        <v>45824</v>
      </c>
      <c r="E2258" t="s">
        <v>24</v>
      </c>
      <c r="F2258" t="s">
        <v>321</v>
      </c>
      <c r="G2258" t="str">
        <f>_xlfn.XLOOKUP(TRIM(E2259),MedicineInfo!A:A,MedicineInfo!B:B,"Not Found")</f>
        <v>Folic Acid</v>
      </c>
      <c r="H2258" s="1" t="str" cm="1">
        <f t="array" ref="H2258">_xlfn.IFS(
OR(E2258="Type 2 Diabetes",E2258="Essential Hypertension",E2258="Angina Pectoris",E2258="Bronchial Asthma",E2258="Cardiac Arrhythmia"), D2258+30,
OR(E2258="Gastritis",E2258="Osteoarthritis",E2258="Bronchitis",E2258="Iron Deficiency Anemia"), D2258+14,
OR(E2258="Lumbar Strain",E2258="Migraine Headache"), D2258+7,
OR(E2258="Viral Fever",E2258="General Checkup","Routine Health Check"), "",
TRUE,""
)</f>
        <v/>
      </c>
      <c r="I2258" s="1" t="str">
        <f t="shared" si="70"/>
        <v>No Follow-up Required</v>
      </c>
      <c r="J2258" t="str">
        <f>TEXT(Table8[[#This Row],[visit_Date]],"DDDD")</f>
        <v>Monday</v>
      </c>
      <c r="K2258" t="str">
        <f>TEXT(Table8[[#This Row],[visit_Date]],"mmmm")</f>
        <v>June</v>
      </c>
      <c r="L2258" t="str">
        <f t="shared" si="71"/>
        <v>Monsoon</v>
      </c>
    </row>
    <row r="2259" spans="1:12" x14ac:dyDescent="0.25">
      <c r="A2259">
        <v>2258</v>
      </c>
      <c r="B2259">
        <v>1244</v>
      </c>
      <c r="C2259">
        <v>114</v>
      </c>
      <c r="D2259" s="1">
        <v>45691</v>
      </c>
      <c r="E2259" t="s">
        <v>356</v>
      </c>
      <c r="F2259" t="s">
        <v>357</v>
      </c>
      <c r="G2259" t="str">
        <f>_xlfn.XLOOKUP(TRIM(E2260),MedicineInfo!A:A,MedicineInfo!B:B,"Not Found")</f>
        <v>Multivitamin</v>
      </c>
      <c r="H2259" s="1" t="str" cm="1">
        <f t="array" ref="H2259">_xlfn.IFS(
OR(E2259="Type 2 Diabetes",E2259="Essential Hypertension",E2259="Angina Pectoris",E2259="Bronchial Asthma",E2259="Cardiac Arrhythmia"), D2259+30,
OR(E2259="Gastritis",E2259="Osteoarthritis",E2259="Bronchitis",E2259="Iron Deficiency Anemia"), D2259+14,
OR(E2259="Lumbar Strain",E2259="Migraine Headache"), D2259+7,
OR(E2259="Viral Fever",E2259="General Checkup","Routine Health Check"), "",
TRUE,""
)</f>
        <v/>
      </c>
      <c r="I2259" s="1" t="str">
        <f t="shared" si="70"/>
        <v>No Follow-up Required</v>
      </c>
      <c r="J2259" t="str">
        <f>TEXT(Table8[[#This Row],[visit_Date]],"DDDD")</f>
        <v>Monday</v>
      </c>
      <c r="K2259" t="str">
        <f>TEXT(Table8[[#This Row],[visit_Date]],"mmmm")</f>
        <v>February</v>
      </c>
      <c r="L2259" t="str">
        <f t="shared" si="71"/>
        <v>Winter</v>
      </c>
    </row>
    <row r="2260" spans="1:12" x14ac:dyDescent="0.25">
      <c r="A2260">
        <v>2259</v>
      </c>
      <c r="B2260">
        <v>1325</v>
      </c>
      <c r="C2260">
        <v>650</v>
      </c>
      <c r="D2260" s="1">
        <v>45783</v>
      </c>
      <c r="E2260" t="s">
        <v>24</v>
      </c>
      <c r="F2260" t="s">
        <v>321</v>
      </c>
      <c r="G2260" t="str">
        <f>_xlfn.XLOOKUP(TRIM(E2261),MedicineInfo!A:A,MedicineInfo!B:B,"Not Found")</f>
        <v>Vitamin D3</v>
      </c>
      <c r="H2260" s="1" t="str" cm="1">
        <f t="array" ref="H2260">_xlfn.IFS(
OR(E2260="Type 2 Diabetes",E2260="Essential Hypertension",E2260="Angina Pectoris",E2260="Bronchial Asthma",E2260="Cardiac Arrhythmia"), D2260+30,
OR(E2260="Gastritis",E2260="Osteoarthritis",E2260="Bronchitis",E2260="Iron Deficiency Anemia"), D2260+14,
OR(E2260="Lumbar Strain",E2260="Migraine Headache"), D2260+7,
OR(E2260="Viral Fever",E2260="General Checkup","Routine Health Check"), "",
TRUE,""
)</f>
        <v/>
      </c>
      <c r="I2260" s="1" t="str">
        <f t="shared" si="70"/>
        <v>No Follow-up Required</v>
      </c>
      <c r="J2260" t="str">
        <f>TEXT(Table8[[#This Row],[visit_Date]],"DDDD")</f>
        <v>Tuesday</v>
      </c>
      <c r="K2260" t="str">
        <f>TEXT(Table8[[#This Row],[visit_Date]],"mmmm")</f>
        <v>May</v>
      </c>
      <c r="L2260" t="str">
        <f t="shared" si="71"/>
        <v>Summer</v>
      </c>
    </row>
    <row r="2261" spans="1:12" x14ac:dyDescent="0.25">
      <c r="A2261">
        <v>2260</v>
      </c>
      <c r="B2261">
        <v>1387</v>
      </c>
      <c r="C2261">
        <v>284</v>
      </c>
      <c r="D2261" s="1">
        <v>45853</v>
      </c>
      <c r="E2261" t="s">
        <v>332</v>
      </c>
      <c r="F2261" t="s">
        <v>333</v>
      </c>
      <c r="G2261" t="str">
        <f>_xlfn.XLOOKUP(TRIM(E2262),MedicineInfo!A:A,MedicineInfo!B:B,"Not Found")</f>
        <v>Multivitamin</v>
      </c>
      <c r="H2261" s="1" t="str" cm="1">
        <f t="array" ref="H2261">_xlfn.IFS(
OR(E2261="Type 2 Diabetes",E2261="Essential Hypertension",E2261="Angina Pectoris",E2261="Bronchial Asthma",E2261="Cardiac Arrhythmia"), D2261+30,
OR(E2261="Gastritis",E2261="Osteoarthritis",E2261="Bronchitis",E2261="Iron Deficiency Anemia"), D2261+14,
OR(E2261="Lumbar Strain",E2261="Migraine Headache"), D2261+7,
OR(E2261="Viral Fever",E2261="General Checkup","Routine Health Check"), "",
TRUE,""
)</f>
        <v/>
      </c>
      <c r="I2261" s="1" t="str">
        <f t="shared" si="70"/>
        <v>No Follow-up Required</v>
      </c>
      <c r="J2261" t="str">
        <f>TEXT(Table8[[#This Row],[visit_Date]],"DDDD")</f>
        <v>Tuesday</v>
      </c>
      <c r="K2261" t="str">
        <f>TEXT(Table8[[#This Row],[visit_Date]],"mmmm")</f>
        <v>July</v>
      </c>
      <c r="L2261" t="str">
        <f t="shared" si="71"/>
        <v>Monsoon</v>
      </c>
    </row>
    <row r="2262" spans="1:12" x14ac:dyDescent="0.25">
      <c r="A2262">
        <v>2261</v>
      </c>
      <c r="B2262">
        <v>1035</v>
      </c>
      <c r="C2262">
        <v>279</v>
      </c>
      <c r="D2262" s="1">
        <v>45691</v>
      </c>
      <c r="E2262" t="s">
        <v>24</v>
      </c>
      <c r="F2262" t="s">
        <v>321</v>
      </c>
      <c r="G2262" t="str">
        <f>_xlfn.XLOOKUP(TRIM(E2263),MedicineInfo!A:A,MedicineInfo!B:B,"Not Found")</f>
        <v>Aceclofenac</v>
      </c>
      <c r="H2262" s="1" t="str" cm="1">
        <f t="array" ref="H2262">_xlfn.IFS(
OR(E2262="Type 2 Diabetes",E2262="Essential Hypertension",E2262="Angina Pectoris",E2262="Bronchial Asthma",E2262="Cardiac Arrhythmia"), D2262+30,
OR(E2262="Gastritis",E2262="Osteoarthritis",E2262="Bronchitis",E2262="Iron Deficiency Anemia"), D2262+14,
OR(E2262="Lumbar Strain",E2262="Migraine Headache"), D2262+7,
OR(E2262="Viral Fever",E2262="General Checkup","Routine Health Check"), "",
TRUE,""
)</f>
        <v/>
      </c>
      <c r="I2262" s="1" t="str">
        <f t="shared" si="70"/>
        <v>No Follow-up Required</v>
      </c>
      <c r="J2262" t="str">
        <f>TEXT(Table8[[#This Row],[visit_Date]],"DDDD")</f>
        <v>Monday</v>
      </c>
      <c r="K2262" t="str">
        <f>TEXT(Table8[[#This Row],[visit_Date]],"mmmm")</f>
        <v>February</v>
      </c>
      <c r="L2262" t="str">
        <f t="shared" si="71"/>
        <v>Winter</v>
      </c>
    </row>
    <row r="2263" spans="1:12" x14ac:dyDescent="0.25">
      <c r="A2263">
        <v>2262</v>
      </c>
      <c r="B2263">
        <v>1023</v>
      </c>
      <c r="C2263">
        <v>550</v>
      </c>
      <c r="D2263" s="1">
        <v>45750</v>
      </c>
      <c r="E2263" t="s">
        <v>348</v>
      </c>
      <c r="F2263" t="s">
        <v>349</v>
      </c>
      <c r="G2263" t="str">
        <f>_xlfn.XLOOKUP(TRIM(E2264),MedicineInfo!A:A,MedicineInfo!B:B,"Not Found")</f>
        <v>Multivitamin</v>
      </c>
      <c r="H2263" s="1" cm="1">
        <f t="array" ref="H2263">_xlfn.IFS(
OR(E2263="Type 2 Diabetes",E2263="Essential Hypertension",E2263="Angina Pectoris",E2263="Bronchial Asthma",E2263="Cardiac Arrhythmia"), D2263+30,
OR(E2263="Gastritis",E2263="Osteoarthritis",E2263="Bronchitis",E2263="Iron Deficiency Anemia"), D2263+14,
OR(E2263="Lumbar Strain",E2263="Migraine Headache"), D2263+7,
OR(E2263="Viral Fever",E2263="General Checkup","Routine Health Check"), "",
TRUE,""
)</f>
        <v>45764</v>
      </c>
      <c r="I2263" s="1" t="str">
        <f t="shared" si="70"/>
        <v>Follow-up Scheduled</v>
      </c>
      <c r="J2263" t="str">
        <f>TEXT(Table8[[#This Row],[visit_Date]],"DDDD")</f>
        <v>Thursday</v>
      </c>
      <c r="K2263" t="str">
        <f>TEXT(Table8[[#This Row],[visit_Date]],"mmmm")</f>
        <v>April</v>
      </c>
      <c r="L2263" t="str">
        <f t="shared" si="71"/>
        <v>Summer</v>
      </c>
    </row>
    <row r="2264" spans="1:12" x14ac:dyDescent="0.25">
      <c r="A2264">
        <v>2263</v>
      </c>
      <c r="B2264">
        <v>1368</v>
      </c>
      <c r="C2264">
        <v>1356</v>
      </c>
      <c r="D2264" s="1">
        <v>45747</v>
      </c>
      <c r="E2264" t="s">
        <v>24</v>
      </c>
      <c r="F2264" t="s">
        <v>321</v>
      </c>
      <c r="G2264" t="str">
        <f>_xlfn.XLOOKUP(TRIM(E2265),MedicineInfo!A:A,MedicineInfo!B:B,"Not Found")</f>
        <v>Multivitamin</v>
      </c>
      <c r="H2264" s="1" t="str" cm="1">
        <f t="array" ref="H2264">_xlfn.IFS(
OR(E2264="Type 2 Diabetes",E2264="Essential Hypertension",E2264="Angina Pectoris",E2264="Bronchial Asthma",E2264="Cardiac Arrhythmia"), D2264+30,
OR(E2264="Gastritis",E2264="Osteoarthritis",E2264="Bronchitis",E2264="Iron Deficiency Anemia"), D2264+14,
OR(E2264="Lumbar Strain",E2264="Migraine Headache"), D2264+7,
OR(E2264="Viral Fever",E2264="General Checkup","Routine Health Check"), "",
TRUE,""
)</f>
        <v/>
      </c>
      <c r="I2264" s="1" t="str">
        <f t="shared" si="70"/>
        <v>No Follow-up Required</v>
      </c>
      <c r="J2264" t="str">
        <f>TEXT(Table8[[#This Row],[visit_Date]],"DDDD")</f>
        <v>Monday</v>
      </c>
      <c r="K2264" t="str">
        <f>TEXT(Table8[[#This Row],[visit_Date]],"mmmm")</f>
        <v>March</v>
      </c>
      <c r="L2264" t="str">
        <f t="shared" si="71"/>
        <v>Summer</v>
      </c>
    </row>
    <row r="2265" spans="1:12" x14ac:dyDescent="0.25">
      <c r="A2265">
        <v>2264</v>
      </c>
      <c r="B2265">
        <v>1121</v>
      </c>
      <c r="C2265">
        <v>893</v>
      </c>
      <c r="D2265" s="1">
        <v>45799</v>
      </c>
      <c r="E2265" t="s">
        <v>24</v>
      </c>
      <c r="F2265" t="s">
        <v>321</v>
      </c>
      <c r="G2265" t="str">
        <f>_xlfn.XLOOKUP(TRIM(E2266),MedicineInfo!A:A,MedicineInfo!B:B,"Not Found")</f>
        <v>Multivitamin</v>
      </c>
      <c r="H2265" s="1" t="str" cm="1">
        <f t="array" ref="H2265">_xlfn.IFS(
OR(E2265="Type 2 Diabetes",E2265="Essential Hypertension",E2265="Angina Pectoris",E2265="Bronchial Asthma",E2265="Cardiac Arrhythmia"), D2265+30,
OR(E2265="Gastritis",E2265="Osteoarthritis",E2265="Bronchitis",E2265="Iron Deficiency Anemia"), D2265+14,
OR(E2265="Lumbar Strain",E2265="Migraine Headache"), D2265+7,
OR(E2265="Viral Fever",E2265="General Checkup","Routine Health Check"), "",
TRUE,""
)</f>
        <v/>
      </c>
      <c r="I2265" s="1" t="str">
        <f t="shared" si="70"/>
        <v>No Follow-up Required</v>
      </c>
      <c r="J2265" t="str">
        <f>TEXT(Table8[[#This Row],[visit_Date]],"DDDD")</f>
        <v>Thursday</v>
      </c>
      <c r="K2265" t="str">
        <f>TEXT(Table8[[#This Row],[visit_Date]],"mmmm")</f>
        <v>May</v>
      </c>
      <c r="L2265" t="str">
        <f t="shared" si="71"/>
        <v>Summer</v>
      </c>
    </row>
    <row r="2266" spans="1:12" x14ac:dyDescent="0.25">
      <c r="A2266">
        <v>2265</v>
      </c>
      <c r="B2266">
        <v>1070</v>
      </c>
      <c r="C2266">
        <v>1495</v>
      </c>
      <c r="D2266" s="1">
        <v>45867</v>
      </c>
      <c r="E2266" t="s">
        <v>24</v>
      </c>
      <c r="F2266" t="s">
        <v>321</v>
      </c>
      <c r="G2266" t="str">
        <f>_xlfn.XLOOKUP(TRIM(E2267),MedicineInfo!A:A,MedicineInfo!B:B,"Not Found")</f>
        <v>Multivitamin</v>
      </c>
      <c r="H2266" s="1" t="str" cm="1">
        <f t="array" ref="H2266">_xlfn.IFS(
OR(E2266="Type 2 Diabetes",E2266="Essential Hypertension",E2266="Angina Pectoris",E2266="Bronchial Asthma",E2266="Cardiac Arrhythmia"), D2266+30,
OR(E2266="Gastritis",E2266="Osteoarthritis",E2266="Bronchitis",E2266="Iron Deficiency Anemia"), D2266+14,
OR(E2266="Lumbar Strain",E2266="Migraine Headache"), D2266+7,
OR(E2266="Viral Fever",E2266="General Checkup","Routine Health Check"), "",
TRUE,""
)</f>
        <v/>
      </c>
      <c r="I2266" s="1" t="str">
        <f t="shared" si="70"/>
        <v>No Follow-up Required</v>
      </c>
      <c r="J2266" t="str">
        <f>TEXT(Table8[[#This Row],[visit_Date]],"DDDD")</f>
        <v>Tuesday</v>
      </c>
      <c r="K2266" t="str">
        <f>TEXT(Table8[[#This Row],[visit_Date]],"mmmm")</f>
        <v>July</v>
      </c>
      <c r="L2266" t="str">
        <f t="shared" si="71"/>
        <v>Monsoon</v>
      </c>
    </row>
    <row r="2267" spans="1:12" x14ac:dyDescent="0.25">
      <c r="A2267">
        <v>2266</v>
      </c>
      <c r="B2267">
        <v>1177</v>
      </c>
      <c r="C2267">
        <v>1093</v>
      </c>
      <c r="D2267" s="1">
        <v>45792</v>
      </c>
      <c r="E2267" t="s">
        <v>24</v>
      </c>
      <c r="F2267" t="s">
        <v>321</v>
      </c>
      <c r="G2267" t="str">
        <f>_xlfn.XLOOKUP(TRIM(E2268),MedicineInfo!A:A,MedicineInfo!B:B,"Not Found")</f>
        <v>Multivitamin</v>
      </c>
      <c r="H2267" s="1" t="str" cm="1">
        <f t="array" ref="H2267">_xlfn.IFS(
OR(E2267="Type 2 Diabetes",E2267="Essential Hypertension",E2267="Angina Pectoris",E2267="Bronchial Asthma",E2267="Cardiac Arrhythmia"), D2267+30,
OR(E2267="Gastritis",E2267="Osteoarthritis",E2267="Bronchitis",E2267="Iron Deficiency Anemia"), D2267+14,
OR(E2267="Lumbar Strain",E2267="Migraine Headache"), D2267+7,
OR(E2267="Viral Fever",E2267="General Checkup","Routine Health Check"), "",
TRUE,""
)</f>
        <v/>
      </c>
      <c r="I2267" s="1" t="str">
        <f t="shared" si="70"/>
        <v>No Follow-up Required</v>
      </c>
      <c r="J2267" t="str">
        <f>TEXT(Table8[[#This Row],[visit_Date]],"DDDD")</f>
        <v>Thursday</v>
      </c>
      <c r="K2267" t="str">
        <f>TEXT(Table8[[#This Row],[visit_Date]],"mmmm")</f>
        <v>May</v>
      </c>
      <c r="L2267" t="str">
        <f t="shared" si="71"/>
        <v>Summer</v>
      </c>
    </row>
    <row r="2268" spans="1:12" x14ac:dyDescent="0.25">
      <c r="A2268">
        <v>2267</v>
      </c>
      <c r="B2268">
        <v>1314</v>
      </c>
      <c r="C2268">
        <v>479</v>
      </c>
      <c r="D2268" s="1">
        <v>45799</v>
      </c>
      <c r="E2268" t="s">
        <v>24</v>
      </c>
      <c r="F2268" t="s">
        <v>321</v>
      </c>
      <c r="G2268" t="str">
        <f>_xlfn.XLOOKUP(TRIM(E2269),MedicineInfo!A:A,MedicineInfo!B:B,"Not Found")</f>
        <v>Multivitamin</v>
      </c>
      <c r="H2268" s="1" t="str" cm="1">
        <f t="array" ref="H2268">_xlfn.IFS(
OR(E2268="Type 2 Diabetes",E2268="Essential Hypertension",E2268="Angina Pectoris",E2268="Bronchial Asthma",E2268="Cardiac Arrhythmia"), D2268+30,
OR(E2268="Gastritis",E2268="Osteoarthritis",E2268="Bronchitis",E2268="Iron Deficiency Anemia"), D2268+14,
OR(E2268="Lumbar Strain",E2268="Migraine Headache"), D2268+7,
OR(E2268="Viral Fever",E2268="General Checkup","Routine Health Check"), "",
TRUE,""
)</f>
        <v/>
      </c>
      <c r="I2268" s="1" t="str">
        <f t="shared" si="70"/>
        <v>No Follow-up Required</v>
      </c>
      <c r="J2268" t="str">
        <f>TEXT(Table8[[#This Row],[visit_Date]],"DDDD")</f>
        <v>Thursday</v>
      </c>
      <c r="K2268" t="str">
        <f>TEXT(Table8[[#This Row],[visit_Date]],"mmmm")</f>
        <v>May</v>
      </c>
      <c r="L2268" t="str">
        <f t="shared" si="71"/>
        <v>Summer</v>
      </c>
    </row>
    <row r="2269" spans="1:12" x14ac:dyDescent="0.25">
      <c r="A2269">
        <v>2268</v>
      </c>
      <c r="B2269">
        <v>1365</v>
      </c>
      <c r="C2269">
        <v>679</v>
      </c>
      <c r="D2269" s="1">
        <v>45783</v>
      </c>
      <c r="E2269" t="s">
        <v>24</v>
      </c>
      <c r="F2269" t="s">
        <v>321</v>
      </c>
      <c r="G2269" t="str">
        <f>_xlfn.XLOOKUP(TRIM(E2270),MedicineInfo!A:A,MedicineInfo!B:B,"Not Found")</f>
        <v>Multivitamin</v>
      </c>
      <c r="H2269" s="1" t="str" cm="1">
        <f t="array" ref="H2269">_xlfn.IFS(
OR(E2269="Type 2 Diabetes",E2269="Essential Hypertension",E2269="Angina Pectoris",E2269="Bronchial Asthma",E2269="Cardiac Arrhythmia"), D2269+30,
OR(E2269="Gastritis",E2269="Osteoarthritis",E2269="Bronchitis",E2269="Iron Deficiency Anemia"), D2269+14,
OR(E2269="Lumbar Strain",E2269="Migraine Headache"), D2269+7,
OR(E2269="Viral Fever",E2269="General Checkup","Routine Health Check"), "",
TRUE,""
)</f>
        <v/>
      </c>
      <c r="I2269" s="1" t="str">
        <f t="shared" si="70"/>
        <v>No Follow-up Required</v>
      </c>
      <c r="J2269" t="str">
        <f>TEXT(Table8[[#This Row],[visit_Date]],"DDDD")</f>
        <v>Tuesday</v>
      </c>
      <c r="K2269" t="str">
        <f>TEXT(Table8[[#This Row],[visit_Date]],"mmmm")</f>
        <v>May</v>
      </c>
      <c r="L2269" t="str">
        <f t="shared" si="71"/>
        <v>Summer</v>
      </c>
    </row>
    <row r="2270" spans="1:12" x14ac:dyDescent="0.25">
      <c r="A2270">
        <v>2269</v>
      </c>
      <c r="B2270">
        <v>1306</v>
      </c>
      <c r="C2270">
        <v>824</v>
      </c>
      <c r="D2270" s="1">
        <v>45787</v>
      </c>
      <c r="E2270" t="s">
        <v>24</v>
      </c>
      <c r="F2270" t="s">
        <v>321</v>
      </c>
      <c r="G2270" t="str">
        <f>_xlfn.XLOOKUP(TRIM(E2271),MedicineInfo!A:A,MedicineInfo!B:B,"Not Found")</f>
        <v>Sodium Valproate</v>
      </c>
      <c r="H2270" s="1" t="str" cm="1">
        <f t="array" ref="H2270">_xlfn.IFS(
OR(E2270="Type 2 Diabetes",E2270="Essential Hypertension",E2270="Angina Pectoris",E2270="Bronchial Asthma",E2270="Cardiac Arrhythmia"), D2270+30,
OR(E2270="Gastritis",E2270="Osteoarthritis",E2270="Bronchitis",E2270="Iron Deficiency Anemia"), D2270+14,
OR(E2270="Lumbar Strain",E2270="Migraine Headache"), D2270+7,
OR(E2270="Viral Fever",E2270="General Checkup","Routine Health Check"), "",
TRUE,""
)</f>
        <v/>
      </c>
      <c r="I2270" s="1" t="str">
        <f t="shared" si="70"/>
        <v>No Follow-up Required</v>
      </c>
      <c r="J2270" t="str">
        <f>TEXT(Table8[[#This Row],[visit_Date]],"DDDD")</f>
        <v>Saturday</v>
      </c>
      <c r="K2270" t="str">
        <f>TEXT(Table8[[#This Row],[visit_Date]],"mmmm")</f>
        <v>May</v>
      </c>
      <c r="L2270" t="str">
        <f t="shared" si="71"/>
        <v>Summer</v>
      </c>
    </row>
    <row r="2271" spans="1:12" x14ac:dyDescent="0.25">
      <c r="A2271">
        <v>2270</v>
      </c>
      <c r="B2271">
        <v>1257</v>
      </c>
      <c r="C2271">
        <v>1145</v>
      </c>
      <c r="D2271" s="1">
        <v>45819</v>
      </c>
      <c r="E2271" t="s">
        <v>352</v>
      </c>
      <c r="F2271" t="s">
        <v>353</v>
      </c>
      <c r="G2271" t="str">
        <f>_xlfn.XLOOKUP(TRIM(E2272),MedicineInfo!A:A,MedicineInfo!B:B,"Not Found")</f>
        <v>Multivitamin</v>
      </c>
      <c r="H2271" s="1" t="str" cm="1">
        <f t="array" ref="H2271">_xlfn.IFS(
OR(E2271="Type 2 Diabetes",E2271="Essential Hypertension",E2271="Angina Pectoris",E2271="Bronchial Asthma",E2271="Cardiac Arrhythmia"), D2271+30,
OR(E2271="Gastritis",E2271="Osteoarthritis",E2271="Bronchitis",E2271="Iron Deficiency Anemia"), D2271+14,
OR(E2271="Lumbar Strain",E2271="Migraine Headache"), D2271+7,
OR(E2271="Viral Fever",E2271="General Checkup","Routine Health Check"), "",
TRUE,""
)</f>
        <v/>
      </c>
      <c r="I2271" s="1" t="str">
        <f t="shared" si="70"/>
        <v>No Follow-up Required</v>
      </c>
      <c r="J2271" t="str">
        <f>TEXT(Table8[[#This Row],[visit_Date]],"DDDD")</f>
        <v>Wednesday</v>
      </c>
      <c r="K2271" t="str">
        <f>TEXT(Table8[[#This Row],[visit_Date]],"mmmm")</f>
        <v>June</v>
      </c>
      <c r="L2271" t="str">
        <f t="shared" si="71"/>
        <v>Monsoon</v>
      </c>
    </row>
    <row r="2272" spans="1:12" x14ac:dyDescent="0.25">
      <c r="A2272">
        <v>2271</v>
      </c>
      <c r="B2272">
        <v>1121</v>
      </c>
      <c r="C2272">
        <v>296</v>
      </c>
      <c r="D2272" s="1">
        <v>45747</v>
      </c>
      <c r="E2272" t="s">
        <v>24</v>
      </c>
      <c r="F2272" t="s">
        <v>321</v>
      </c>
      <c r="G2272" t="str">
        <f>_xlfn.XLOOKUP(TRIM(E2273),MedicineInfo!A:A,MedicineInfo!B:B,"Not Found")</f>
        <v>Multivitamin</v>
      </c>
      <c r="H2272" s="1" t="str" cm="1">
        <f t="array" ref="H2272">_xlfn.IFS(
OR(E2272="Type 2 Diabetes",E2272="Essential Hypertension",E2272="Angina Pectoris",E2272="Bronchial Asthma",E2272="Cardiac Arrhythmia"), D2272+30,
OR(E2272="Gastritis",E2272="Osteoarthritis",E2272="Bronchitis",E2272="Iron Deficiency Anemia"), D2272+14,
OR(E2272="Lumbar Strain",E2272="Migraine Headache"), D2272+7,
OR(E2272="Viral Fever",E2272="General Checkup","Routine Health Check"), "",
TRUE,""
)</f>
        <v/>
      </c>
      <c r="I2272" s="1" t="str">
        <f t="shared" si="70"/>
        <v>No Follow-up Required</v>
      </c>
      <c r="J2272" t="str">
        <f>TEXT(Table8[[#This Row],[visit_Date]],"DDDD")</f>
        <v>Monday</v>
      </c>
      <c r="K2272" t="str">
        <f>TEXT(Table8[[#This Row],[visit_Date]],"mmmm")</f>
        <v>March</v>
      </c>
      <c r="L2272" t="str">
        <f t="shared" si="71"/>
        <v>Summer</v>
      </c>
    </row>
    <row r="2273" spans="1:12" x14ac:dyDescent="0.25">
      <c r="A2273">
        <v>2272</v>
      </c>
      <c r="B2273">
        <v>1194</v>
      </c>
      <c r="C2273">
        <v>246</v>
      </c>
      <c r="D2273" s="1">
        <v>45833</v>
      </c>
      <c r="E2273" t="s">
        <v>24</v>
      </c>
      <c r="F2273" t="s">
        <v>321</v>
      </c>
      <c r="G2273" t="str">
        <f>_xlfn.XLOOKUP(TRIM(E2274),MedicineInfo!A:A,MedicineInfo!B:B,"Not Found")</f>
        <v>Multivitamin</v>
      </c>
      <c r="H2273" s="1" t="str" cm="1">
        <f t="array" ref="H2273">_xlfn.IFS(
OR(E2273="Type 2 Diabetes",E2273="Essential Hypertension",E2273="Angina Pectoris",E2273="Bronchial Asthma",E2273="Cardiac Arrhythmia"), D2273+30,
OR(E2273="Gastritis",E2273="Osteoarthritis",E2273="Bronchitis",E2273="Iron Deficiency Anemia"), D2273+14,
OR(E2273="Lumbar Strain",E2273="Migraine Headache"), D2273+7,
OR(E2273="Viral Fever",E2273="General Checkup","Routine Health Check"), "",
TRUE,""
)</f>
        <v/>
      </c>
      <c r="I2273" s="1" t="str">
        <f t="shared" si="70"/>
        <v>No Follow-up Required</v>
      </c>
      <c r="J2273" t="str">
        <f>TEXT(Table8[[#This Row],[visit_Date]],"DDDD")</f>
        <v>Wednesday</v>
      </c>
      <c r="K2273" t="str">
        <f>TEXT(Table8[[#This Row],[visit_Date]],"mmmm")</f>
        <v>June</v>
      </c>
      <c r="L2273" t="str">
        <f t="shared" si="71"/>
        <v>Monsoon</v>
      </c>
    </row>
    <row r="2274" spans="1:12" x14ac:dyDescent="0.25">
      <c r="A2274">
        <v>2273</v>
      </c>
      <c r="B2274">
        <v>1051</v>
      </c>
      <c r="C2274">
        <v>371</v>
      </c>
      <c r="D2274" s="1">
        <v>45789</v>
      </c>
      <c r="E2274" t="s">
        <v>24</v>
      </c>
      <c r="F2274" t="s">
        <v>321</v>
      </c>
      <c r="G2274" t="str">
        <f>_xlfn.XLOOKUP(TRIM(E2275),MedicineInfo!A:A,MedicineInfo!B:B,"Not Found")</f>
        <v>Nitroglycerin</v>
      </c>
      <c r="H2274" s="1" t="str" cm="1">
        <f t="array" ref="H2274">_xlfn.IFS(
OR(E2274="Type 2 Diabetes",E2274="Essential Hypertension",E2274="Angina Pectoris",E2274="Bronchial Asthma",E2274="Cardiac Arrhythmia"), D2274+30,
OR(E2274="Gastritis",E2274="Osteoarthritis",E2274="Bronchitis",E2274="Iron Deficiency Anemia"), D2274+14,
OR(E2274="Lumbar Strain",E2274="Migraine Headache"), D2274+7,
OR(E2274="Viral Fever",E2274="General Checkup","Routine Health Check"), "",
TRUE,""
)</f>
        <v/>
      </c>
      <c r="I2274" s="1" t="str">
        <f t="shared" si="70"/>
        <v>No Follow-up Required</v>
      </c>
      <c r="J2274" t="str">
        <f>TEXT(Table8[[#This Row],[visit_Date]],"DDDD")</f>
        <v>Monday</v>
      </c>
      <c r="K2274" t="str">
        <f>TEXT(Table8[[#This Row],[visit_Date]],"mmmm")</f>
        <v>May</v>
      </c>
      <c r="L2274" t="str">
        <f t="shared" si="71"/>
        <v>Summer</v>
      </c>
    </row>
    <row r="2275" spans="1:12" x14ac:dyDescent="0.25">
      <c r="A2275">
        <v>2274</v>
      </c>
      <c r="B2275">
        <v>1153</v>
      </c>
      <c r="C2275">
        <v>610</v>
      </c>
      <c r="D2275" s="1">
        <v>45726</v>
      </c>
      <c r="E2275" t="s">
        <v>322</v>
      </c>
      <c r="F2275" t="s">
        <v>323</v>
      </c>
      <c r="G2275" t="str">
        <f>_xlfn.XLOOKUP(TRIM(E2276),MedicineInfo!A:A,MedicineInfo!B:B,"Not Found")</f>
        <v>Escitalopram</v>
      </c>
      <c r="H2275" s="1" cm="1">
        <f t="array" ref="H2275">_xlfn.IFS(
OR(E2275="Type 2 Diabetes",E2275="Essential Hypertension",E2275="Angina Pectoris",E2275="Bronchial Asthma",E2275="Cardiac Arrhythmia"), D2275+30,
OR(E2275="Gastritis",E2275="Osteoarthritis",E2275="Bronchitis",E2275="Iron Deficiency Anemia"), D2275+14,
OR(E2275="Lumbar Strain",E2275="Migraine Headache"), D2275+7,
OR(E2275="Viral Fever",E2275="General Checkup","Routine Health Check"), "",
TRUE,""
)</f>
        <v>45756</v>
      </c>
      <c r="I2275" s="1" t="str">
        <f t="shared" si="70"/>
        <v>Follow-up Scheduled</v>
      </c>
      <c r="J2275" t="str">
        <f>TEXT(Table8[[#This Row],[visit_Date]],"DDDD")</f>
        <v>Monday</v>
      </c>
      <c r="K2275" t="str">
        <f>TEXT(Table8[[#This Row],[visit_Date]],"mmmm")</f>
        <v>March</v>
      </c>
      <c r="L2275" t="str">
        <f t="shared" si="71"/>
        <v>Summer</v>
      </c>
    </row>
    <row r="2276" spans="1:12" x14ac:dyDescent="0.25">
      <c r="A2276">
        <v>2275</v>
      </c>
      <c r="B2276">
        <v>1357</v>
      </c>
      <c r="C2276">
        <v>437</v>
      </c>
      <c r="D2276" s="1">
        <v>45691</v>
      </c>
      <c r="E2276" t="s">
        <v>328</v>
      </c>
      <c r="F2276" t="s">
        <v>329</v>
      </c>
      <c r="G2276" t="str">
        <f>_xlfn.XLOOKUP(TRIM(E2277),MedicineInfo!A:A,MedicineInfo!B:B,"Not Found")</f>
        <v>Hydrocortisone Cream</v>
      </c>
      <c r="H2276" s="1" t="str" cm="1">
        <f t="array" ref="H2276">_xlfn.IFS(
OR(E2276="Type 2 Diabetes",E2276="Essential Hypertension",E2276="Angina Pectoris",E2276="Bronchial Asthma",E2276="Cardiac Arrhythmia"), D2276+30,
OR(E2276="Gastritis",E2276="Osteoarthritis",E2276="Bronchitis",E2276="Iron Deficiency Anemia"), D2276+14,
OR(E2276="Lumbar Strain",E2276="Migraine Headache"), D2276+7,
OR(E2276="Viral Fever",E2276="General Checkup","Routine Health Check"), "",
TRUE,""
)</f>
        <v/>
      </c>
      <c r="I2276" s="1" t="str">
        <f t="shared" si="70"/>
        <v>No Follow-up Required</v>
      </c>
      <c r="J2276" t="str">
        <f>TEXT(Table8[[#This Row],[visit_Date]],"DDDD")</f>
        <v>Monday</v>
      </c>
      <c r="K2276" t="str">
        <f>TEXT(Table8[[#This Row],[visit_Date]],"mmmm")</f>
        <v>February</v>
      </c>
      <c r="L2276" t="str">
        <f t="shared" si="71"/>
        <v>Winter</v>
      </c>
    </row>
    <row r="2277" spans="1:12" x14ac:dyDescent="0.25">
      <c r="A2277">
        <v>2276</v>
      </c>
      <c r="B2277">
        <v>1102</v>
      </c>
      <c r="C2277">
        <v>1179</v>
      </c>
      <c r="D2277" s="1">
        <v>45734</v>
      </c>
      <c r="E2277" t="s">
        <v>338</v>
      </c>
      <c r="F2277" t="s">
        <v>339</v>
      </c>
      <c r="G2277" t="str">
        <f>_xlfn.XLOOKUP(TRIM(E2278),MedicineInfo!A:A,MedicineInfo!B:B,"Not Found")</f>
        <v>Multivitamin</v>
      </c>
      <c r="H2277" s="1" t="str" cm="1">
        <f t="array" ref="H2277">_xlfn.IFS(
OR(E2277="Type 2 Diabetes",E2277="Essential Hypertension",E2277="Angina Pectoris",E2277="Bronchial Asthma",E2277="Cardiac Arrhythmia"), D2277+30,
OR(E2277="Gastritis",E2277="Osteoarthritis",E2277="Bronchitis",E2277="Iron Deficiency Anemia"), D2277+14,
OR(E2277="Lumbar Strain",E2277="Migraine Headache"), D2277+7,
OR(E2277="Viral Fever",E2277="General Checkup","Routine Health Check"), "",
TRUE,""
)</f>
        <v/>
      </c>
      <c r="I2277" s="1" t="str">
        <f t="shared" si="70"/>
        <v>No Follow-up Required</v>
      </c>
      <c r="J2277" t="str">
        <f>TEXT(Table8[[#This Row],[visit_Date]],"DDDD")</f>
        <v>Tuesday</v>
      </c>
      <c r="K2277" t="str">
        <f>TEXT(Table8[[#This Row],[visit_Date]],"mmmm")</f>
        <v>March</v>
      </c>
      <c r="L2277" t="str">
        <f t="shared" si="71"/>
        <v>Summer</v>
      </c>
    </row>
    <row r="2278" spans="1:12" x14ac:dyDescent="0.25">
      <c r="A2278">
        <v>2277</v>
      </c>
      <c r="B2278">
        <v>1116</v>
      </c>
      <c r="C2278">
        <v>917</v>
      </c>
      <c r="D2278" s="1">
        <v>45754</v>
      </c>
      <c r="E2278" t="s">
        <v>24</v>
      </c>
      <c r="F2278" t="s">
        <v>321</v>
      </c>
      <c r="G2278" t="str">
        <f>_xlfn.XLOOKUP(TRIM(E2279),MedicineInfo!A:A,MedicineInfo!B:B,"Not Found")</f>
        <v>Multivitamin</v>
      </c>
      <c r="H2278" s="1" t="str" cm="1">
        <f t="array" ref="H2278">_xlfn.IFS(
OR(E2278="Type 2 Diabetes",E2278="Essential Hypertension",E2278="Angina Pectoris",E2278="Bronchial Asthma",E2278="Cardiac Arrhythmia"), D2278+30,
OR(E2278="Gastritis",E2278="Osteoarthritis",E2278="Bronchitis",E2278="Iron Deficiency Anemia"), D2278+14,
OR(E2278="Lumbar Strain",E2278="Migraine Headache"), D2278+7,
OR(E2278="Viral Fever",E2278="General Checkup","Routine Health Check"), "",
TRUE,""
)</f>
        <v/>
      </c>
      <c r="I2278" s="1" t="str">
        <f t="shared" si="70"/>
        <v>No Follow-up Required</v>
      </c>
      <c r="J2278" t="str">
        <f>TEXT(Table8[[#This Row],[visit_Date]],"DDDD")</f>
        <v>Monday</v>
      </c>
      <c r="K2278" t="str">
        <f>TEXT(Table8[[#This Row],[visit_Date]],"mmmm")</f>
        <v>April</v>
      </c>
      <c r="L2278" t="str">
        <f t="shared" si="71"/>
        <v>Summer</v>
      </c>
    </row>
    <row r="2279" spans="1:12" x14ac:dyDescent="0.25">
      <c r="A2279">
        <v>2278</v>
      </c>
      <c r="B2279">
        <v>1169</v>
      </c>
      <c r="C2279">
        <v>791</v>
      </c>
      <c r="D2279" s="1">
        <v>45792</v>
      </c>
      <c r="E2279" t="s">
        <v>24</v>
      </c>
      <c r="F2279" t="s">
        <v>321</v>
      </c>
      <c r="G2279" t="str">
        <f>_xlfn.XLOOKUP(TRIM(E2280),MedicineInfo!A:A,MedicineInfo!B:B,"Not Found")</f>
        <v>Multivitamin</v>
      </c>
      <c r="H2279" s="1" t="str" cm="1">
        <f t="array" ref="H2279">_xlfn.IFS(
OR(E2279="Type 2 Diabetes",E2279="Essential Hypertension",E2279="Angina Pectoris",E2279="Bronchial Asthma",E2279="Cardiac Arrhythmia"), D2279+30,
OR(E2279="Gastritis",E2279="Osteoarthritis",E2279="Bronchitis",E2279="Iron Deficiency Anemia"), D2279+14,
OR(E2279="Lumbar Strain",E2279="Migraine Headache"), D2279+7,
OR(E2279="Viral Fever",E2279="General Checkup","Routine Health Check"), "",
TRUE,""
)</f>
        <v/>
      </c>
      <c r="I2279" s="1" t="str">
        <f t="shared" si="70"/>
        <v>No Follow-up Required</v>
      </c>
      <c r="J2279" t="str">
        <f>TEXT(Table8[[#This Row],[visit_Date]],"DDDD")</f>
        <v>Thursday</v>
      </c>
      <c r="K2279" t="str">
        <f>TEXT(Table8[[#This Row],[visit_Date]],"mmmm")</f>
        <v>May</v>
      </c>
      <c r="L2279" t="str">
        <f t="shared" si="71"/>
        <v>Summer</v>
      </c>
    </row>
    <row r="2280" spans="1:12" x14ac:dyDescent="0.25">
      <c r="A2280">
        <v>2279</v>
      </c>
      <c r="B2280">
        <v>1171</v>
      </c>
      <c r="C2280">
        <v>474</v>
      </c>
      <c r="D2280" s="1">
        <v>45671</v>
      </c>
      <c r="E2280" t="s">
        <v>24</v>
      </c>
      <c r="F2280" t="s">
        <v>321</v>
      </c>
      <c r="G2280" t="str">
        <f>_xlfn.XLOOKUP(TRIM(E2281),MedicineInfo!A:A,MedicineInfo!B:B,"Not Found")</f>
        <v>Multivitamin</v>
      </c>
      <c r="H2280" s="1" t="str" cm="1">
        <f t="array" ref="H2280">_xlfn.IFS(
OR(E2280="Type 2 Diabetes",E2280="Essential Hypertension",E2280="Angina Pectoris",E2280="Bronchial Asthma",E2280="Cardiac Arrhythmia"), D2280+30,
OR(E2280="Gastritis",E2280="Osteoarthritis",E2280="Bronchitis",E2280="Iron Deficiency Anemia"), D2280+14,
OR(E2280="Lumbar Strain",E2280="Migraine Headache"), D2280+7,
OR(E2280="Viral Fever",E2280="General Checkup","Routine Health Check"), "",
TRUE,""
)</f>
        <v/>
      </c>
      <c r="I2280" s="1" t="str">
        <f t="shared" si="70"/>
        <v>No Follow-up Required</v>
      </c>
      <c r="J2280" t="str">
        <f>TEXT(Table8[[#This Row],[visit_Date]],"DDDD")</f>
        <v>Tuesday</v>
      </c>
      <c r="K2280" t="str">
        <f>TEXT(Table8[[#This Row],[visit_Date]],"mmmm")</f>
        <v>January</v>
      </c>
      <c r="L2280" t="str">
        <f t="shared" si="71"/>
        <v>Winter</v>
      </c>
    </row>
    <row r="2281" spans="1:12" x14ac:dyDescent="0.25">
      <c r="A2281">
        <v>2280</v>
      </c>
      <c r="B2281">
        <v>1238</v>
      </c>
      <c r="C2281">
        <v>815</v>
      </c>
      <c r="D2281" s="1">
        <v>45858</v>
      </c>
      <c r="E2281" t="s">
        <v>24</v>
      </c>
      <c r="F2281" t="s">
        <v>321</v>
      </c>
      <c r="G2281" t="str">
        <f>_xlfn.XLOOKUP(TRIM(E2282),MedicineInfo!A:A,MedicineInfo!B:B,"Not Found")</f>
        <v>Multivitamin</v>
      </c>
      <c r="H2281" s="1" t="str" cm="1">
        <f t="array" ref="H2281">_xlfn.IFS(
OR(E2281="Type 2 Diabetes",E2281="Essential Hypertension",E2281="Angina Pectoris",E2281="Bronchial Asthma",E2281="Cardiac Arrhythmia"), D2281+30,
OR(E2281="Gastritis",E2281="Osteoarthritis",E2281="Bronchitis",E2281="Iron Deficiency Anemia"), D2281+14,
OR(E2281="Lumbar Strain",E2281="Migraine Headache"), D2281+7,
OR(E2281="Viral Fever",E2281="General Checkup","Routine Health Check"), "",
TRUE,""
)</f>
        <v/>
      </c>
      <c r="I2281" s="1" t="str">
        <f t="shared" si="70"/>
        <v>No Follow-up Required</v>
      </c>
      <c r="J2281" t="str">
        <f>TEXT(Table8[[#This Row],[visit_Date]],"DDDD")</f>
        <v>Sunday</v>
      </c>
      <c r="K2281" t="str">
        <f>TEXT(Table8[[#This Row],[visit_Date]],"mmmm")</f>
        <v>July</v>
      </c>
      <c r="L2281" t="str">
        <f t="shared" si="71"/>
        <v>Monsoon</v>
      </c>
    </row>
    <row r="2282" spans="1:12" x14ac:dyDescent="0.25">
      <c r="A2282">
        <v>2281</v>
      </c>
      <c r="B2282">
        <v>1079</v>
      </c>
      <c r="C2282">
        <v>312</v>
      </c>
      <c r="D2282" s="1">
        <v>45768</v>
      </c>
      <c r="E2282" t="s">
        <v>24</v>
      </c>
      <c r="F2282" t="s">
        <v>321</v>
      </c>
      <c r="G2282" t="str">
        <f>_xlfn.XLOOKUP(TRIM(E2283),MedicineInfo!A:A,MedicineInfo!B:B,"Not Found")</f>
        <v>Multivitamin</v>
      </c>
      <c r="H2282" s="1" t="str" cm="1">
        <f t="array" ref="H2282">_xlfn.IFS(
OR(E2282="Type 2 Diabetes",E2282="Essential Hypertension",E2282="Angina Pectoris",E2282="Bronchial Asthma",E2282="Cardiac Arrhythmia"), D2282+30,
OR(E2282="Gastritis",E2282="Osteoarthritis",E2282="Bronchitis",E2282="Iron Deficiency Anemia"), D2282+14,
OR(E2282="Lumbar Strain",E2282="Migraine Headache"), D2282+7,
OR(E2282="Viral Fever",E2282="General Checkup","Routine Health Check"), "",
TRUE,""
)</f>
        <v/>
      </c>
      <c r="I2282" s="1" t="str">
        <f t="shared" si="70"/>
        <v>No Follow-up Required</v>
      </c>
      <c r="J2282" t="str">
        <f>TEXT(Table8[[#This Row],[visit_Date]],"DDDD")</f>
        <v>Monday</v>
      </c>
      <c r="K2282" t="str">
        <f>TEXT(Table8[[#This Row],[visit_Date]],"mmmm")</f>
        <v>April</v>
      </c>
      <c r="L2282" t="str">
        <f t="shared" si="71"/>
        <v>Summer</v>
      </c>
    </row>
    <row r="2283" spans="1:12" x14ac:dyDescent="0.25">
      <c r="A2283">
        <v>2282</v>
      </c>
      <c r="B2283">
        <v>1149</v>
      </c>
      <c r="C2283">
        <v>309</v>
      </c>
      <c r="D2283" s="1">
        <v>45783</v>
      </c>
      <c r="E2283" t="s">
        <v>24</v>
      </c>
      <c r="F2283" t="s">
        <v>321</v>
      </c>
      <c r="G2283" t="str">
        <f>_xlfn.XLOOKUP(TRIM(E2284),MedicineInfo!A:A,MedicineInfo!B:B,"Not Found")</f>
        <v>Multivitamin</v>
      </c>
      <c r="H2283" s="1" t="str" cm="1">
        <f t="array" ref="H2283">_xlfn.IFS(
OR(E2283="Type 2 Diabetes",E2283="Essential Hypertension",E2283="Angina Pectoris",E2283="Bronchial Asthma",E2283="Cardiac Arrhythmia"), D2283+30,
OR(E2283="Gastritis",E2283="Osteoarthritis",E2283="Bronchitis",E2283="Iron Deficiency Anemia"), D2283+14,
OR(E2283="Lumbar Strain",E2283="Migraine Headache"), D2283+7,
OR(E2283="Viral Fever",E2283="General Checkup","Routine Health Check"), "",
TRUE,""
)</f>
        <v/>
      </c>
      <c r="I2283" s="1" t="str">
        <f t="shared" si="70"/>
        <v>No Follow-up Required</v>
      </c>
      <c r="J2283" t="str">
        <f>TEXT(Table8[[#This Row],[visit_Date]],"DDDD")</f>
        <v>Tuesday</v>
      </c>
      <c r="K2283" t="str">
        <f>TEXT(Table8[[#This Row],[visit_Date]],"mmmm")</f>
        <v>May</v>
      </c>
      <c r="L2283" t="str">
        <f t="shared" si="71"/>
        <v>Summer</v>
      </c>
    </row>
    <row r="2284" spans="1:12" x14ac:dyDescent="0.25">
      <c r="A2284">
        <v>2283</v>
      </c>
      <c r="B2284">
        <v>1113</v>
      </c>
      <c r="C2284">
        <v>847</v>
      </c>
      <c r="D2284" s="1">
        <v>45777</v>
      </c>
      <c r="E2284" t="s">
        <v>24</v>
      </c>
      <c r="F2284" t="s">
        <v>321</v>
      </c>
      <c r="G2284" t="str">
        <f>_xlfn.XLOOKUP(TRIM(E2285),MedicineInfo!A:A,MedicineInfo!B:B,"Not Found")</f>
        <v>Multivitamin</v>
      </c>
      <c r="H2284" s="1" t="str" cm="1">
        <f t="array" ref="H2284">_xlfn.IFS(
OR(E2284="Type 2 Diabetes",E2284="Essential Hypertension",E2284="Angina Pectoris",E2284="Bronchial Asthma",E2284="Cardiac Arrhythmia"), D2284+30,
OR(E2284="Gastritis",E2284="Osteoarthritis",E2284="Bronchitis",E2284="Iron Deficiency Anemia"), D2284+14,
OR(E2284="Lumbar Strain",E2284="Migraine Headache"), D2284+7,
OR(E2284="Viral Fever",E2284="General Checkup","Routine Health Check"), "",
TRUE,""
)</f>
        <v/>
      </c>
      <c r="I2284" s="1" t="str">
        <f t="shared" si="70"/>
        <v>No Follow-up Required</v>
      </c>
      <c r="J2284" t="str">
        <f>TEXT(Table8[[#This Row],[visit_Date]],"DDDD")</f>
        <v>Wednesday</v>
      </c>
      <c r="K2284" t="str">
        <f>TEXT(Table8[[#This Row],[visit_Date]],"mmmm")</f>
        <v>April</v>
      </c>
      <c r="L2284" t="str">
        <f t="shared" si="71"/>
        <v>Summer</v>
      </c>
    </row>
    <row r="2285" spans="1:12" x14ac:dyDescent="0.25">
      <c r="A2285">
        <v>2284</v>
      </c>
      <c r="B2285">
        <v>1282</v>
      </c>
      <c r="C2285">
        <v>992</v>
      </c>
      <c r="D2285" s="1">
        <v>45853</v>
      </c>
      <c r="E2285" t="s">
        <v>24</v>
      </c>
      <c r="F2285" t="s">
        <v>321</v>
      </c>
      <c r="G2285" t="str">
        <f>_xlfn.XLOOKUP(TRIM(E2286),MedicineInfo!A:A,MedicineInfo!B:B,"Not Found")</f>
        <v>Multivitamin</v>
      </c>
      <c r="H2285" s="1" t="str" cm="1">
        <f t="array" ref="H2285">_xlfn.IFS(
OR(E2285="Type 2 Diabetes",E2285="Essential Hypertension",E2285="Angina Pectoris",E2285="Bronchial Asthma",E2285="Cardiac Arrhythmia"), D2285+30,
OR(E2285="Gastritis",E2285="Osteoarthritis",E2285="Bronchitis",E2285="Iron Deficiency Anemia"), D2285+14,
OR(E2285="Lumbar Strain",E2285="Migraine Headache"), D2285+7,
OR(E2285="Viral Fever",E2285="General Checkup","Routine Health Check"), "",
TRUE,""
)</f>
        <v/>
      </c>
      <c r="I2285" s="1" t="str">
        <f t="shared" si="70"/>
        <v>No Follow-up Required</v>
      </c>
      <c r="J2285" t="str">
        <f>TEXT(Table8[[#This Row],[visit_Date]],"DDDD")</f>
        <v>Tuesday</v>
      </c>
      <c r="K2285" t="str">
        <f>TEXT(Table8[[#This Row],[visit_Date]],"mmmm")</f>
        <v>July</v>
      </c>
      <c r="L2285" t="str">
        <f t="shared" si="71"/>
        <v>Monsoon</v>
      </c>
    </row>
    <row r="2286" spans="1:12" x14ac:dyDescent="0.25">
      <c r="A2286">
        <v>2285</v>
      </c>
      <c r="B2286">
        <v>1083</v>
      </c>
      <c r="C2286">
        <v>1371</v>
      </c>
      <c r="D2286" s="1">
        <v>45819</v>
      </c>
      <c r="E2286" t="s">
        <v>24</v>
      </c>
      <c r="F2286" t="s">
        <v>321</v>
      </c>
      <c r="G2286" t="str">
        <f>_xlfn.XLOOKUP(TRIM(E2287),MedicineInfo!A:A,MedicineInfo!B:B,"Not Found")</f>
        <v>Amlodipine</v>
      </c>
      <c r="H2286" s="1" t="str" cm="1">
        <f t="array" ref="H2286">_xlfn.IFS(
OR(E2286="Type 2 Diabetes",E2286="Essential Hypertension",E2286="Angina Pectoris",E2286="Bronchial Asthma",E2286="Cardiac Arrhythmia"), D2286+30,
OR(E2286="Gastritis",E2286="Osteoarthritis",E2286="Bronchitis",E2286="Iron Deficiency Anemia"), D2286+14,
OR(E2286="Lumbar Strain",E2286="Migraine Headache"), D2286+7,
OR(E2286="Viral Fever",E2286="General Checkup","Routine Health Check"), "",
TRUE,""
)</f>
        <v/>
      </c>
      <c r="I2286" s="1" t="str">
        <f t="shared" si="70"/>
        <v>No Follow-up Required</v>
      </c>
      <c r="J2286" t="str">
        <f>TEXT(Table8[[#This Row],[visit_Date]],"DDDD")</f>
        <v>Wednesday</v>
      </c>
      <c r="K2286" t="str">
        <f>TEXT(Table8[[#This Row],[visit_Date]],"mmmm")</f>
        <v>June</v>
      </c>
      <c r="L2286" t="str">
        <f t="shared" si="71"/>
        <v>Monsoon</v>
      </c>
    </row>
    <row r="2287" spans="1:12" x14ac:dyDescent="0.25">
      <c r="A2287">
        <v>2286</v>
      </c>
      <c r="B2287">
        <v>1070</v>
      </c>
      <c r="C2287">
        <v>862</v>
      </c>
      <c r="D2287" s="1">
        <v>45814</v>
      </c>
      <c r="E2287" t="s">
        <v>319</v>
      </c>
      <c r="F2287" t="s">
        <v>320</v>
      </c>
      <c r="G2287" t="str">
        <f>_xlfn.XLOOKUP(TRIM(E2288),MedicineInfo!A:A,MedicineInfo!B:B,"Not Found")</f>
        <v>Pantoprazole</v>
      </c>
      <c r="H2287" s="1" cm="1">
        <f t="array" ref="H2287">_xlfn.IFS(
OR(E2287="Type 2 Diabetes",E2287="Essential Hypertension",E2287="Angina Pectoris",E2287="Bronchial Asthma",E2287="Cardiac Arrhythmia"), D2287+30,
OR(E2287="Gastritis",E2287="Osteoarthritis",E2287="Bronchitis",E2287="Iron Deficiency Anemia"), D2287+14,
OR(E2287="Lumbar Strain",E2287="Migraine Headache"), D2287+7,
OR(E2287="Viral Fever",E2287="General Checkup","Routine Health Check"), "",
TRUE,""
)</f>
        <v>45844</v>
      </c>
      <c r="I2287" s="1" t="str">
        <f t="shared" si="70"/>
        <v>Follow-up Scheduled</v>
      </c>
      <c r="J2287" t="str">
        <f>TEXT(Table8[[#This Row],[visit_Date]],"DDDD")</f>
        <v>Friday</v>
      </c>
      <c r="K2287" t="str">
        <f>TEXT(Table8[[#This Row],[visit_Date]],"mmmm")</f>
        <v>June</v>
      </c>
      <c r="L2287" t="str">
        <f t="shared" si="71"/>
        <v>Monsoon</v>
      </c>
    </row>
    <row r="2288" spans="1:12" x14ac:dyDescent="0.25">
      <c r="A2288">
        <v>2287</v>
      </c>
      <c r="B2288">
        <v>1355</v>
      </c>
      <c r="C2288">
        <v>996</v>
      </c>
      <c r="D2288" s="1">
        <v>45694</v>
      </c>
      <c r="E2288" t="s">
        <v>344</v>
      </c>
      <c r="F2288" t="s">
        <v>345</v>
      </c>
      <c r="G2288" t="str">
        <f>_xlfn.XLOOKUP(TRIM(E2289),MedicineInfo!A:A,MedicineInfo!B:B,"Not Found")</f>
        <v>Multivitamin</v>
      </c>
      <c r="H2288" s="1" cm="1">
        <f t="array" ref="H2288">_xlfn.IFS(
OR(E2288="Type 2 Diabetes",E2288="Essential Hypertension",E2288="Angina Pectoris",E2288="Bronchial Asthma",E2288="Cardiac Arrhythmia"), D2288+30,
OR(E2288="Gastritis",E2288="Osteoarthritis",E2288="Bronchitis",E2288="Iron Deficiency Anemia"), D2288+14,
OR(E2288="Lumbar Strain",E2288="Migraine Headache"), D2288+7,
OR(E2288="Viral Fever",E2288="General Checkup","Routine Health Check"), "",
TRUE,""
)</f>
        <v>45708</v>
      </c>
      <c r="I2288" s="1" t="str">
        <f t="shared" si="70"/>
        <v>Follow-up Scheduled</v>
      </c>
      <c r="J2288" t="str">
        <f>TEXT(Table8[[#This Row],[visit_Date]],"DDDD")</f>
        <v>Thursday</v>
      </c>
      <c r="K2288" t="str">
        <f>TEXT(Table8[[#This Row],[visit_Date]],"mmmm")</f>
        <v>February</v>
      </c>
      <c r="L2288" t="str">
        <f t="shared" si="71"/>
        <v>Winter</v>
      </c>
    </row>
    <row r="2289" spans="1:12" x14ac:dyDescent="0.25">
      <c r="A2289">
        <v>2288</v>
      </c>
      <c r="B2289">
        <v>1270</v>
      </c>
      <c r="C2289">
        <v>1354</v>
      </c>
      <c r="D2289" s="1">
        <v>45792</v>
      </c>
      <c r="E2289" t="s">
        <v>24</v>
      </c>
      <c r="F2289" t="s">
        <v>321</v>
      </c>
      <c r="G2289" t="str">
        <f>_xlfn.XLOOKUP(TRIM(E2290),MedicineInfo!A:A,MedicineInfo!B:B,"Not Found")</f>
        <v>Sertraline</v>
      </c>
      <c r="H2289" s="1" t="str" cm="1">
        <f t="array" ref="H2289">_xlfn.IFS(
OR(E2289="Type 2 Diabetes",E2289="Essential Hypertension",E2289="Angina Pectoris",E2289="Bronchial Asthma",E2289="Cardiac Arrhythmia"), D2289+30,
OR(E2289="Gastritis",E2289="Osteoarthritis",E2289="Bronchitis",E2289="Iron Deficiency Anemia"), D2289+14,
OR(E2289="Lumbar Strain",E2289="Migraine Headache"), D2289+7,
OR(E2289="Viral Fever",E2289="General Checkup","Routine Health Check"), "",
TRUE,""
)</f>
        <v/>
      </c>
      <c r="I2289" s="1" t="str">
        <f t="shared" si="70"/>
        <v>No Follow-up Required</v>
      </c>
      <c r="J2289" t="str">
        <f>TEXT(Table8[[#This Row],[visit_Date]],"DDDD")</f>
        <v>Thursday</v>
      </c>
      <c r="K2289" t="str">
        <f>TEXT(Table8[[#This Row],[visit_Date]],"mmmm")</f>
        <v>May</v>
      </c>
      <c r="L2289" t="str">
        <f t="shared" si="71"/>
        <v>Summer</v>
      </c>
    </row>
    <row r="2290" spans="1:12" x14ac:dyDescent="0.25">
      <c r="A2290">
        <v>2289</v>
      </c>
      <c r="B2290">
        <v>1139</v>
      </c>
      <c r="C2290">
        <v>170</v>
      </c>
      <c r="D2290" s="1">
        <v>45758</v>
      </c>
      <c r="E2290" t="s">
        <v>334</v>
      </c>
      <c r="F2290" t="s">
        <v>335</v>
      </c>
      <c r="G2290" t="str">
        <f>_xlfn.XLOOKUP(TRIM(E2291),MedicineInfo!A:A,MedicineInfo!B:B,"Not Found")</f>
        <v>Multivitamin</v>
      </c>
      <c r="H2290" s="1" t="str" cm="1">
        <f t="array" ref="H2290">_xlfn.IFS(
OR(E2290="Type 2 Diabetes",E2290="Essential Hypertension",E2290="Angina Pectoris",E2290="Bronchial Asthma",E2290="Cardiac Arrhythmia"), D2290+30,
OR(E2290="Gastritis",E2290="Osteoarthritis",E2290="Bronchitis",E2290="Iron Deficiency Anemia"), D2290+14,
OR(E2290="Lumbar Strain",E2290="Migraine Headache"), D2290+7,
OR(E2290="Viral Fever",E2290="General Checkup","Routine Health Check"), "",
TRUE,""
)</f>
        <v/>
      </c>
      <c r="I2290" s="1" t="str">
        <f t="shared" si="70"/>
        <v>No Follow-up Required</v>
      </c>
      <c r="J2290" t="str">
        <f>TEXT(Table8[[#This Row],[visit_Date]],"DDDD")</f>
        <v>Friday</v>
      </c>
      <c r="K2290" t="str">
        <f>TEXT(Table8[[#This Row],[visit_Date]],"mmmm")</f>
        <v>April</v>
      </c>
      <c r="L2290" t="str">
        <f t="shared" si="71"/>
        <v>Summer</v>
      </c>
    </row>
    <row r="2291" spans="1:12" x14ac:dyDescent="0.25">
      <c r="A2291">
        <v>2290</v>
      </c>
      <c r="B2291">
        <v>1294</v>
      </c>
      <c r="C2291">
        <v>1442</v>
      </c>
      <c r="D2291" s="1">
        <v>45795</v>
      </c>
      <c r="E2291" t="s">
        <v>24</v>
      </c>
      <c r="F2291" t="s">
        <v>321</v>
      </c>
      <c r="G2291" t="str">
        <f>_xlfn.XLOOKUP(TRIM(E2292),MedicineInfo!A:A,MedicineInfo!B:B,"Not Found")</f>
        <v>Aceclofenac</v>
      </c>
      <c r="H2291" s="1" t="str" cm="1">
        <f t="array" ref="H2291">_xlfn.IFS(
OR(E2291="Type 2 Diabetes",E2291="Essential Hypertension",E2291="Angina Pectoris",E2291="Bronchial Asthma",E2291="Cardiac Arrhythmia"), D2291+30,
OR(E2291="Gastritis",E2291="Osteoarthritis",E2291="Bronchitis",E2291="Iron Deficiency Anemia"), D2291+14,
OR(E2291="Lumbar Strain",E2291="Migraine Headache"), D2291+7,
OR(E2291="Viral Fever",E2291="General Checkup","Routine Health Check"), "",
TRUE,""
)</f>
        <v/>
      </c>
      <c r="I2291" s="1" t="str">
        <f t="shared" si="70"/>
        <v>No Follow-up Required</v>
      </c>
      <c r="J2291" t="str">
        <f>TEXT(Table8[[#This Row],[visit_Date]],"DDDD")</f>
        <v>Sunday</v>
      </c>
      <c r="K2291" t="str">
        <f>TEXT(Table8[[#This Row],[visit_Date]],"mmmm")</f>
        <v>May</v>
      </c>
      <c r="L2291" t="str">
        <f t="shared" si="71"/>
        <v>Summer</v>
      </c>
    </row>
    <row r="2292" spans="1:12" x14ac:dyDescent="0.25">
      <c r="A2292">
        <v>2291</v>
      </c>
      <c r="B2292">
        <v>1386</v>
      </c>
      <c r="C2292">
        <v>653</v>
      </c>
      <c r="D2292" s="1">
        <v>45838</v>
      </c>
      <c r="E2292" t="s">
        <v>348</v>
      </c>
      <c r="F2292" t="s">
        <v>349</v>
      </c>
      <c r="G2292" t="str">
        <f>_xlfn.XLOOKUP(TRIM(E2293),MedicineInfo!A:A,MedicineInfo!B:B,"Not Found")</f>
        <v>Multivitamin</v>
      </c>
      <c r="H2292" s="1" cm="1">
        <f t="array" ref="H2292">_xlfn.IFS(
OR(E2292="Type 2 Diabetes",E2292="Essential Hypertension",E2292="Angina Pectoris",E2292="Bronchial Asthma",E2292="Cardiac Arrhythmia"), D2292+30,
OR(E2292="Gastritis",E2292="Osteoarthritis",E2292="Bronchitis",E2292="Iron Deficiency Anemia"), D2292+14,
OR(E2292="Lumbar Strain",E2292="Migraine Headache"), D2292+7,
OR(E2292="Viral Fever",E2292="General Checkup","Routine Health Check"), "",
TRUE,""
)</f>
        <v>45852</v>
      </c>
      <c r="I2292" s="1" t="str">
        <f t="shared" si="70"/>
        <v>Follow-up Scheduled</v>
      </c>
      <c r="J2292" t="str">
        <f>TEXT(Table8[[#This Row],[visit_Date]],"DDDD")</f>
        <v>Monday</v>
      </c>
      <c r="K2292" t="str">
        <f>TEXT(Table8[[#This Row],[visit_Date]],"mmmm")</f>
        <v>June</v>
      </c>
      <c r="L2292" t="str">
        <f t="shared" si="71"/>
        <v>Monsoon</v>
      </c>
    </row>
    <row r="2293" spans="1:12" x14ac:dyDescent="0.25">
      <c r="A2293">
        <v>2292</v>
      </c>
      <c r="B2293">
        <v>1265</v>
      </c>
      <c r="C2293">
        <v>403</v>
      </c>
      <c r="D2293" s="1">
        <v>45686</v>
      </c>
      <c r="E2293" t="s">
        <v>24</v>
      </c>
      <c r="F2293" t="s">
        <v>321</v>
      </c>
      <c r="G2293" t="str">
        <f>_xlfn.XLOOKUP(TRIM(E2294),MedicineInfo!A:A,MedicineInfo!B:B,"Not Found")</f>
        <v>Multivitamin</v>
      </c>
      <c r="H2293" s="1" t="str" cm="1">
        <f t="array" ref="H2293">_xlfn.IFS(
OR(E2293="Type 2 Diabetes",E2293="Essential Hypertension",E2293="Angina Pectoris",E2293="Bronchial Asthma",E2293="Cardiac Arrhythmia"), D2293+30,
OR(E2293="Gastritis",E2293="Osteoarthritis",E2293="Bronchitis",E2293="Iron Deficiency Anemia"), D2293+14,
OR(E2293="Lumbar Strain",E2293="Migraine Headache"), D2293+7,
OR(E2293="Viral Fever",E2293="General Checkup","Routine Health Check"), "",
TRUE,""
)</f>
        <v/>
      </c>
      <c r="I2293" s="1" t="str">
        <f t="shared" si="70"/>
        <v>No Follow-up Required</v>
      </c>
      <c r="J2293" t="str">
        <f>TEXT(Table8[[#This Row],[visit_Date]],"DDDD")</f>
        <v>Wednesday</v>
      </c>
      <c r="K2293" t="str">
        <f>TEXT(Table8[[#This Row],[visit_Date]],"mmmm")</f>
        <v>January</v>
      </c>
      <c r="L2293" t="str">
        <f t="shared" si="71"/>
        <v>Winter</v>
      </c>
    </row>
    <row r="2294" spans="1:12" x14ac:dyDescent="0.25">
      <c r="A2294">
        <v>2293</v>
      </c>
      <c r="B2294">
        <v>1321</v>
      </c>
      <c r="C2294">
        <v>1466</v>
      </c>
      <c r="D2294" s="1">
        <v>45661</v>
      </c>
      <c r="E2294" t="s">
        <v>24</v>
      </c>
      <c r="F2294" t="s">
        <v>321</v>
      </c>
      <c r="G2294" t="str">
        <f>_xlfn.XLOOKUP(TRIM(E2295),MedicineInfo!A:A,MedicineInfo!B:B,"Not Found")</f>
        <v>Multivitamin</v>
      </c>
      <c r="H2294" s="1" t="str" cm="1">
        <f t="array" ref="H2294">_xlfn.IFS(
OR(E2294="Type 2 Diabetes",E2294="Essential Hypertension",E2294="Angina Pectoris",E2294="Bronchial Asthma",E2294="Cardiac Arrhythmia"), D2294+30,
OR(E2294="Gastritis",E2294="Osteoarthritis",E2294="Bronchitis",E2294="Iron Deficiency Anemia"), D2294+14,
OR(E2294="Lumbar Strain",E2294="Migraine Headache"), D2294+7,
OR(E2294="Viral Fever",E2294="General Checkup","Routine Health Check"), "",
TRUE,""
)</f>
        <v/>
      </c>
      <c r="I2294" s="1" t="str">
        <f t="shared" si="70"/>
        <v>No Follow-up Required</v>
      </c>
      <c r="J2294" t="str">
        <f>TEXT(Table8[[#This Row],[visit_Date]],"DDDD")</f>
        <v>Saturday</v>
      </c>
      <c r="K2294" t="str">
        <f>TEXT(Table8[[#This Row],[visit_Date]],"mmmm")</f>
        <v>January</v>
      </c>
      <c r="L2294" t="str">
        <f t="shared" si="71"/>
        <v>Winter</v>
      </c>
    </row>
    <row r="2295" spans="1:12" x14ac:dyDescent="0.25">
      <c r="A2295">
        <v>2294</v>
      </c>
      <c r="B2295">
        <v>1295</v>
      </c>
      <c r="C2295">
        <v>699</v>
      </c>
      <c r="D2295" s="1">
        <v>45694</v>
      </c>
      <c r="E2295" t="s">
        <v>24</v>
      </c>
      <c r="F2295" t="s">
        <v>321</v>
      </c>
      <c r="G2295" t="str">
        <f>_xlfn.XLOOKUP(TRIM(E2296),MedicineInfo!A:A,MedicineInfo!B:B,"Not Found")</f>
        <v>Multivitamin</v>
      </c>
      <c r="H2295" s="1" t="str" cm="1">
        <f t="array" ref="H2295">_xlfn.IFS(
OR(E2295="Type 2 Diabetes",E2295="Essential Hypertension",E2295="Angina Pectoris",E2295="Bronchial Asthma",E2295="Cardiac Arrhythmia"), D2295+30,
OR(E2295="Gastritis",E2295="Osteoarthritis",E2295="Bronchitis",E2295="Iron Deficiency Anemia"), D2295+14,
OR(E2295="Lumbar Strain",E2295="Migraine Headache"), D2295+7,
OR(E2295="Viral Fever",E2295="General Checkup","Routine Health Check"), "",
TRUE,""
)</f>
        <v/>
      </c>
      <c r="I2295" s="1" t="str">
        <f t="shared" si="70"/>
        <v>No Follow-up Required</v>
      </c>
      <c r="J2295" t="str">
        <f>TEXT(Table8[[#This Row],[visit_Date]],"DDDD")</f>
        <v>Thursday</v>
      </c>
      <c r="K2295" t="str">
        <f>TEXT(Table8[[#This Row],[visit_Date]],"mmmm")</f>
        <v>February</v>
      </c>
      <c r="L2295" t="str">
        <f t="shared" si="71"/>
        <v>Winter</v>
      </c>
    </row>
    <row r="2296" spans="1:12" x14ac:dyDescent="0.25">
      <c r="A2296">
        <v>2295</v>
      </c>
      <c r="B2296">
        <v>1119</v>
      </c>
      <c r="C2296">
        <v>1176</v>
      </c>
      <c r="D2296" s="1">
        <v>45701</v>
      </c>
      <c r="E2296" t="s">
        <v>24</v>
      </c>
      <c r="F2296" t="s">
        <v>321</v>
      </c>
      <c r="G2296" t="str">
        <f>_xlfn.XLOOKUP(TRIM(E2297),MedicineInfo!A:A,MedicineInfo!B:B,"Not Found")</f>
        <v>Multivitamin</v>
      </c>
      <c r="H2296" s="1" t="str" cm="1">
        <f t="array" ref="H2296">_xlfn.IFS(
OR(E2296="Type 2 Diabetes",E2296="Essential Hypertension",E2296="Angina Pectoris",E2296="Bronchial Asthma",E2296="Cardiac Arrhythmia"), D2296+30,
OR(E2296="Gastritis",E2296="Osteoarthritis",E2296="Bronchitis",E2296="Iron Deficiency Anemia"), D2296+14,
OR(E2296="Lumbar Strain",E2296="Migraine Headache"), D2296+7,
OR(E2296="Viral Fever",E2296="General Checkup","Routine Health Check"), "",
TRUE,""
)</f>
        <v/>
      </c>
      <c r="I2296" s="1" t="str">
        <f t="shared" si="70"/>
        <v>No Follow-up Required</v>
      </c>
      <c r="J2296" t="str">
        <f>TEXT(Table8[[#This Row],[visit_Date]],"DDDD")</f>
        <v>Thursday</v>
      </c>
      <c r="K2296" t="str">
        <f>TEXT(Table8[[#This Row],[visit_Date]],"mmmm")</f>
        <v>February</v>
      </c>
      <c r="L2296" t="str">
        <f t="shared" si="71"/>
        <v>Winter</v>
      </c>
    </row>
    <row r="2297" spans="1:12" x14ac:dyDescent="0.25">
      <c r="A2297">
        <v>2296</v>
      </c>
      <c r="B2297">
        <v>1299</v>
      </c>
      <c r="C2297">
        <v>487</v>
      </c>
      <c r="D2297" s="1">
        <v>45799</v>
      </c>
      <c r="E2297" t="s">
        <v>24</v>
      </c>
      <c r="F2297" t="s">
        <v>321</v>
      </c>
      <c r="G2297" t="str">
        <f>_xlfn.XLOOKUP(TRIM(E2298),MedicineInfo!A:A,MedicineInfo!B:B,"Not Found")</f>
        <v>Multivitamin</v>
      </c>
      <c r="H2297" s="1" t="str" cm="1">
        <f t="array" ref="H2297">_xlfn.IFS(
OR(E2297="Type 2 Diabetes",E2297="Essential Hypertension",E2297="Angina Pectoris",E2297="Bronchial Asthma",E2297="Cardiac Arrhythmia"), D2297+30,
OR(E2297="Gastritis",E2297="Osteoarthritis",E2297="Bronchitis",E2297="Iron Deficiency Anemia"), D2297+14,
OR(E2297="Lumbar Strain",E2297="Migraine Headache"), D2297+7,
OR(E2297="Viral Fever",E2297="General Checkup","Routine Health Check"), "",
TRUE,""
)</f>
        <v/>
      </c>
      <c r="I2297" s="1" t="str">
        <f t="shared" si="70"/>
        <v>No Follow-up Required</v>
      </c>
      <c r="J2297" t="str">
        <f>TEXT(Table8[[#This Row],[visit_Date]],"DDDD")</f>
        <v>Thursday</v>
      </c>
      <c r="K2297" t="str">
        <f>TEXT(Table8[[#This Row],[visit_Date]],"mmmm")</f>
        <v>May</v>
      </c>
      <c r="L2297" t="str">
        <f t="shared" si="71"/>
        <v>Summer</v>
      </c>
    </row>
    <row r="2298" spans="1:12" x14ac:dyDescent="0.25">
      <c r="A2298">
        <v>2297</v>
      </c>
      <c r="B2298">
        <v>1113</v>
      </c>
      <c r="C2298">
        <v>901</v>
      </c>
      <c r="D2298" s="1">
        <v>45691</v>
      </c>
      <c r="E2298" t="s">
        <v>24</v>
      </c>
      <c r="F2298" t="s">
        <v>321</v>
      </c>
      <c r="G2298" t="str">
        <f>_xlfn.XLOOKUP(TRIM(E2299),MedicineInfo!A:A,MedicineInfo!B:B,"Not Found")</f>
        <v>Paracetamol</v>
      </c>
      <c r="H2298" s="1" t="str" cm="1">
        <f t="array" ref="H2298">_xlfn.IFS(
OR(E2298="Type 2 Diabetes",E2298="Essential Hypertension",E2298="Angina Pectoris",E2298="Bronchial Asthma",E2298="Cardiac Arrhythmia"), D2298+30,
OR(E2298="Gastritis",E2298="Osteoarthritis",E2298="Bronchitis",E2298="Iron Deficiency Anemia"), D2298+14,
OR(E2298="Lumbar Strain",E2298="Migraine Headache"), D2298+7,
OR(E2298="Viral Fever",E2298="General Checkup","Routine Health Check"), "",
TRUE,""
)</f>
        <v/>
      </c>
      <c r="I2298" s="1" t="str">
        <f t="shared" si="70"/>
        <v>No Follow-up Required</v>
      </c>
      <c r="J2298" t="str">
        <f>TEXT(Table8[[#This Row],[visit_Date]],"DDDD")</f>
        <v>Monday</v>
      </c>
      <c r="K2298" t="str">
        <f>TEXT(Table8[[#This Row],[visit_Date]],"mmmm")</f>
        <v>February</v>
      </c>
      <c r="L2298" t="str">
        <f t="shared" si="71"/>
        <v>Winter</v>
      </c>
    </row>
    <row r="2299" spans="1:12" x14ac:dyDescent="0.25">
      <c r="A2299">
        <v>2298</v>
      </c>
      <c r="B2299">
        <v>1303</v>
      </c>
      <c r="C2299">
        <v>443</v>
      </c>
      <c r="D2299" s="1">
        <v>45802</v>
      </c>
      <c r="E2299" t="s">
        <v>326</v>
      </c>
      <c r="F2299" t="s">
        <v>327</v>
      </c>
      <c r="G2299" t="str">
        <f>_xlfn.XLOOKUP(TRIM(E2300),MedicineInfo!A:A,MedicineInfo!B:B,"Not Found")</f>
        <v>Escitalopram</v>
      </c>
      <c r="H2299" s="1" t="str" cm="1">
        <f t="array" ref="H2299">_xlfn.IFS(
OR(E2299="Type 2 Diabetes",E2299="Essential Hypertension",E2299="Angina Pectoris",E2299="Bronchial Asthma",E2299="Cardiac Arrhythmia"), D2299+30,
OR(E2299="Gastritis",E2299="Osteoarthritis",E2299="Bronchitis",E2299="Iron Deficiency Anemia"), D2299+14,
OR(E2299="Lumbar Strain",E2299="Migraine Headache"), D2299+7,
OR(E2299="Viral Fever",E2299="General Checkup","Routine Health Check"), "",
TRUE,""
)</f>
        <v/>
      </c>
      <c r="I2299" s="1" t="str">
        <f t="shared" si="70"/>
        <v>No Follow-up Required</v>
      </c>
      <c r="J2299" t="str">
        <f>TEXT(Table8[[#This Row],[visit_Date]],"DDDD")</f>
        <v>Sunday</v>
      </c>
      <c r="K2299" t="str">
        <f>TEXT(Table8[[#This Row],[visit_Date]],"mmmm")</f>
        <v>May</v>
      </c>
      <c r="L2299" t="str">
        <f t="shared" si="71"/>
        <v>Summer</v>
      </c>
    </row>
    <row r="2300" spans="1:12" x14ac:dyDescent="0.25">
      <c r="A2300">
        <v>2299</v>
      </c>
      <c r="B2300">
        <v>1307</v>
      </c>
      <c r="C2300">
        <v>584</v>
      </c>
      <c r="D2300" s="1">
        <v>45819</v>
      </c>
      <c r="E2300" t="s">
        <v>328</v>
      </c>
      <c r="F2300" t="s">
        <v>329</v>
      </c>
      <c r="G2300" t="str">
        <f>_xlfn.XLOOKUP(TRIM(E2301),MedicineInfo!A:A,MedicineInfo!B:B,"Not Found")</f>
        <v>Multivitamin</v>
      </c>
      <c r="H2300" s="1" t="str" cm="1">
        <f t="array" ref="H2300">_xlfn.IFS(
OR(E2300="Type 2 Diabetes",E2300="Essential Hypertension",E2300="Angina Pectoris",E2300="Bronchial Asthma",E2300="Cardiac Arrhythmia"), D2300+30,
OR(E2300="Gastritis",E2300="Osteoarthritis",E2300="Bronchitis",E2300="Iron Deficiency Anemia"), D2300+14,
OR(E2300="Lumbar Strain",E2300="Migraine Headache"), D2300+7,
OR(E2300="Viral Fever",E2300="General Checkup","Routine Health Check"), "",
TRUE,""
)</f>
        <v/>
      </c>
      <c r="I2300" s="1" t="str">
        <f t="shared" si="70"/>
        <v>No Follow-up Required</v>
      </c>
      <c r="J2300" t="str">
        <f>TEXT(Table8[[#This Row],[visit_Date]],"DDDD")</f>
        <v>Wednesday</v>
      </c>
      <c r="K2300" t="str">
        <f>TEXT(Table8[[#This Row],[visit_Date]],"mmmm")</f>
        <v>June</v>
      </c>
      <c r="L2300" t="str">
        <f t="shared" si="71"/>
        <v>Monsoon</v>
      </c>
    </row>
    <row r="2301" spans="1:12" x14ac:dyDescent="0.25">
      <c r="A2301">
        <v>2300</v>
      </c>
      <c r="B2301">
        <v>1240</v>
      </c>
      <c r="C2301">
        <v>610</v>
      </c>
      <c r="D2301" s="1">
        <v>45750</v>
      </c>
      <c r="E2301" t="s">
        <v>24</v>
      </c>
      <c r="F2301" t="s">
        <v>321</v>
      </c>
      <c r="G2301" t="str">
        <f>_xlfn.XLOOKUP(TRIM(E2302),MedicineInfo!A:A,MedicineInfo!B:B,"Not Found")</f>
        <v>Multivitamin</v>
      </c>
      <c r="H2301" s="1" t="str" cm="1">
        <f t="array" ref="H2301">_xlfn.IFS(
OR(E2301="Type 2 Diabetes",E2301="Essential Hypertension",E2301="Angina Pectoris",E2301="Bronchial Asthma",E2301="Cardiac Arrhythmia"), D2301+30,
OR(E2301="Gastritis",E2301="Osteoarthritis",E2301="Bronchitis",E2301="Iron Deficiency Anemia"), D2301+14,
OR(E2301="Lumbar Strain",E2301="Migraine Headache"), D2301+7,
OR(E2301="Viral Fever",E2301="General Checkup","Routine Health Check"), "",
TRUE,""
)</f>
        <v/>
      </c>
      <c r="I2301" s="1" t="str">
        <f t="shared" si="70"/>
        <v>No Follow-up Required</v>
      </c>
      <c r="J2301" t="str">
        <f>TEXT(Table8[[#This Row],[visit_Date]],"DDDD")</f>
        <v>Thursday</v>
      </c>
      <c r="K2301" t="str">
        <f>TEXT(Table8[[#This Row],[visit_Date]],"mmmm")</f>
        <v>April</v>
      </c>
      <c r="L2301" t="str">
        <f t="shared" si="71"/>
        <v>Summer</v>
      </c>
    </row>
    <row r="2302" spans="1:12" x14ac:dyDescent="0.25">
      <c r="A2302">
        <v>2301</v>
      </c>
      <c r="B2302">
        <v>1093</v>
      </c>
      <c r="C2302">
        <v>1240</v>
      </c>
      <c r="D2302" s="1">
        <v>45767</v>
      </c>
      <c r="E2302" t="s">
        <v>24</v>
      </c>
      <c r="F2302" t="s">
        <v>321</v>
      </c>
      <c r="G2302" t="str">
        <f>_xlfn.XLOOKUP(TRIM(E2303),MedicineInfo!A:A,MedicineInfo!B:B,"Not Found")</f>
        <v>Multivitamin</v>
      </c>
      <c r="H2302" s="1" t="str" cm="1">
        <f t="array" ref="H2302">_xlfn.IFS(
OR(E2302="Type 2 Diabetes",E2302="Essential Hypertension",E2302="Angina Pectoris",E2302="Bronchial Asthma",E2302="Cardiac Arrhythmia"), D2302+30,
OR(E2302="Gastritis",E2302="Osteoarthritis",E2302="Bronchitis",E2302="Iron Deficiency Anemia"), D2302+14,
OR(E2302="Lumbar Strain",E2302="Migraine Headache"), D2302+7,
OR(E2302="Viral Fever",E2302="General Checkup","Routine Health Check"), "",
TRUE,""
)</f>
        <v/>
      </c>
      <c r="I2302" s="1" t="str">
        <f t="shared" si="70"/>
        <v>No Follow-up Required</v>
      </c>
      <c r="J2302" t="str">
        <f>TEXT(Table8[[#This Row],[visit_Date]],"DDDD")</f>
        <v>Sunday</v>
      </c>
      <c r="K2302" t="str">
        <f>TEXT(Table8[[#This Row],[visit_Date]],"mmmm")</f>
        <v>April</v>
      </c>
      <c r="L2302" t="str">
        <f t="shared" si="71"/>
        <v>Summer</v>
      </c>
    </row>
    <row r="2303" spans="1:12" x14ac:dyDescent="0.25">
      <c r="A2303">
        <v>2302</v>
      </c>
      <c r="B2303">
        <v>1057</v>
      </c>
      <c r="C2303">
        <v>239</v>
      </c>
      <c r="D2303" s="1">
        <v>45726</v>
      </c>
      <c r="E2303" t="s">
        <v>24</v>
      </c>
      <c r="F2303" t="s">
        <v>321</v>
      </c>
      <c r="G2303" t="str">
        <f>_xlfn.XLOOKUP(TRIM(E2304),MedicineInfo!A:A,MedicineInfo!B:B,"Not Found")</f>
        <v>Multivitamin</v>
      </c>
      <c r="H2303" s="1" t="str" cm="1">
        <f t="array" ref="H2303">_xlfn.IFS(
OR(E2303="Type 2 Diabetes",E2303="Essential Hypertension",E2303="Angina Pectoris",E2303="Bronchial Asthma",E2303="Cardiac Arrhythmia"), D2303+30,
OR(E2303="Gastritis",E2303="Osteoarthritis",E2303="Bronchitis",E2303="Iron Deficiency Anemia"), D2303+14,
OR(E2303="Lumbar Strain",E2303="Migraine Headache"), D2303+7,
OR(E2303="Viral Fever",E2303="General Checkup","Routine Health Check"), "",
TRUE,""
)</f>
        <v/>
      </c>
      <c r="I2303" s="1" t="str">
        <f t="shared" si="70"/>
        <v>No Follow-up Required</v>
      </c>
      <c r="J2303" t="str">
        <f>TEXT(Table8[[#This Row],[visit_Date]],"DDDD")</f>
        <v>Monday</v>
      </c>
      <c r="K2303" t="str">
        <f>TEXT(Table8[[#This Row],[visit_Date]],"mmmm")</f>
        <v>March</v>
      </c>
      <c r="L2303" t="str">
        <f t="shared" si="71"/>
        <v>Summer</v>
      </c>
    </row>
    <row r="2304" spans="1:12" x14ac:dyDescent="0.25">
      <c r="A2304">
        <v>2303</v>
      </c>
      <c r="B2304">
        <v>1255</v>
      </c>
      <c r="C2304">
        <v>595</v>
      </c>
      <c r="D2304" s="1">
        <v>45803</v>
      </c>
      <c r="E2304" t="s">
        <v>24</v>
      </c>
      <c r="F2304" t="s">
        <v>321</v>
      </c>
      <c r="G2304" t="str">
        <f>_xlfn.XLOOKUP(TRIM(E2305),MedicineInfo!A:A,MedicineInfo!B:B,"Not Found")</f>
        <v>Amiodarone</v>
      </c>
      <c r="H2304" s="1" t="str" cm="1">
        <f t="array" ref="H2304">_xlfn.IFS(
OR(E2304="Type 2 Diabetes",E2304="Essential Hypertension",E2304="Angina Pectoris",E2304="Bronchial Asthma",E2304="Cardiac Arrhythmia"), D2304+30,
OR(E2304="Gastritis",E2304="Osteoarthritis",E2304="Bronchitis",E2304="Iron Deficiency Anemia"), D2304+14,
OR(E2304="Lumbar Strain",E2304="Migraine Headache"), D2304+7,
OR(E2304="Viral Fever",E2304="General Checkup","Routine Health Check"), "",
TRUE,""
)</f>
        <v/>
      </c>
      <c r="I2304" s="1" t="str">
        <f t="shared" si="70"/>
        <v>No Follow-up Required</v>
      </c>
      <c r="J2304" t="str">
        <f>TEXT(Table8[[#This Row],[visit_Date]],"DDDD")</f>
        <v>Monday</v>
      </c>
      <c r="K2304" t="str">
        <f>TEXT(Table8[[#This Row],[visit_Date]],"mmmm")</f>
        <v>May</v>
      </c>
      <c r="L2304" t="str">
        <f t="shared" si="71"/>
        <v>Summer</v>
      </c>
    </row>
    <row r="2305" spans="1:12" x14ac:dyDescent="0.25">
      <c r="A2305">
        <v>2304</v>
      </c>
      <c r="B2305">
        <v>1121</v>
      </c>
      <c r="C2305">
        <v>762</v>
      </c>
      <c r="D2305" s="1">
        <v>45849</v>
      </c>
      <c r="E2305" t="s">
        <v>330</v>
      </c>
      <c r="F2305" t="s">
        <v>331</v>
      </c>
      <c r="G2305" t="str">
        <f>_xlfn.XLOOKUP(TRIM(E2306),MedicineInfo!A:A,MedicineInfo!B:B,"Not Found")</f>
        <v>Multivitamin</v>
      </c>
      <c r="H2305" s="1" cm="1">
        <f t="array" ref="H2305">_xlfn.IFS(
OR(E2305="Type 2 Diabetes",E2305="Essential Hypertension",E2305="Angina Pectoris",E2305="Bronchial Asthma",E2305="Cardiac Arrhythmia"), D2305+30,
OR(E2305="Gastritis",E2305="Osteoarthritis",E2305="Bronchitis",E2305="Iron Deficiency Anemia"), D2305+14,
OR(E2305="Lumbar Strain",E2305="Migraine Headache"), D2305+7,
OR(E2305="Viral Fever",E2305="General Checkup","Routine Health Check"), "",
TRUE,""
)</f>
        <v>45879</v>
      </c>
      <c r="I2305" s="1" t="str">
        <f t="shared" si="70"/>
        <v>Follow-up Scheduled</v>
      </c>
      <c r="J2305" t="str">
        <f>TEXT(Table8[[#This Row],[visit_Date]],"DDDD")</f>
        <v>Friday</v>
      </c>
      <c r="K2305" t="str">
        <f>TEXT(Table8[[#This Row],[visit_Date]],"mmmm")</f>
        <v>July</v>
      </c>
      <c r="L2305" t="str">
        <f t="shared" si="71"/>
        <v>Monsoon</v>
      </c>
    </row>
    <row r="2306" spans="1:12" x14ac:dyDescent="0.25">
      <c r="A2306">
        <v>2305</v>
      </c>
      <c r="B2306">
        <v>1293</v>
      </c>
      <c r="C2306">
        <v>1473</v>
      </c>
      <c r="D2306" s="1">
        <v>45814</v>
      </c>
      <c r="E2306" t="s">
        <v>24</v>
      </c>
      <c r="F2306" t="s">
        <v>321</v>
      </c>
      <c r="G2306" t="str">
        <f>_xlfn.XLOOKUP(TRIM(E2307),MedicineInfo!A:A,MedicineInfo!B:B,"Not Found")</f>
        <v>Multivitamin</v>
      </c>
      <c r="H2306" s="1" t="str" cm="1">
        <f t="array" ref="H2306">_xlfn.IFS(
OR(E2306="Type 2 Diabetes",E2306="Essential Hypertension",E2306="Angina Pectoris",E2306="Bronchial Asthma",E2306="Cardiac Arrhythmia"), D2306+30,
OR(E2306="Gastritis",E2306="Osteoarthritis",E2306="Bronchitis",E2306="Iron Deficiency Anemia"), D2306+14,
OR(E2306="Lumbar Strain",E2306="Migraine Headache"), D2306+7,
OR(E2306="Viral Fever",E2306="General Checkup","Routine Health Check"), "",
TRUE,""
)</f>
        <v/>
      </c>
      <c r="I2306" s="1" t="str">
        <f t="shared" ref="I2306:I2369" si="72">IF(H2306="","No Follow-up Required","Follow-up Scheduled")</f>
        <v>No Follow-up Required</v>
      </c>
      <c r="J2306" t="str">
        <f>TEXT(Table8[[#This Row],[visit_Date]],"DDDD")</f>
        <v>Friday</v>
      </c>
      <c r="K2306" t="str">
        <f>TEXT(Table8[[#This Row],[visit_Date]],"mmmm")</f>
        <v>June</v>
      </c>
      <c r="L2306" t="str">
        <f t="shared" ref="L2306:L2369" si="73">IF(OR(MONTH(D2306)=12,MONTH(D2306)&lt;=2),"Winter",
IF(MONTH(D2306)&lt;=5,"Summer","Monsoon"))</f>
        <v>Monsoon</v>
      </c>
    </row>
    <row r="2307" spans="1:12" x14ac:dyDescent="0.25">
      <c r="A2307">
        <v>2306</v>
      </c>
      <c r="B2307">
        <v>1160</v>
      </c>
      <c r="C2307">
        <v>614</v>
      </c>
      <c r="D2307" s="1">
        <v>45747</v>
      </c>
      <c r="E2307" t="s">
        <v>24</v>
      </c>
      <c r="F2307" t="s">
        <v>321</v>
      </c>
      <c r="G2307" t="str">
        <f>_xlfn.XLOOKUP(TRIM(E2308),MedicineInfo!A:A,MedicineInfo!B:B,"Not Found")</f>
        <v>Multivitamin</v>
      </c>
      <c r="H2307" s="1" t="str" cm="1">
        <f t="array" ref="H2307">_xlfn.IFS(
OR(E2307="Type 2 Diabetes",E2307="Essential Hypertension",E2307="Angina Pectoris",E2307="Bronchial Asthma",E2307="Cardiac Arrhythmia"), D2307+30,
OR(E2307="Gastritis",E2307="Osteoarthritis",E2307="Bronchitis",E2307="Iron Deficiency Anemia"), D2307+14,
OR(E2307="Lumbar Strain",E2307="Migraine Headache"), D2307+7,
OR(E2307="Viral Fever",E2307="General Checkup","Routine Health Check"), "",
TRUE,""
)</f>
        <v/>
      </c>
      <c r="I2307" s="1" t="str">
        <f t="shared" si="72"/>
        <v>No Follow-up Required</v>
      </c>
      <c r="J2307" t="str">
        <f>TEXT(Table8[[#This Row],[visit_Date]],"DDDD")</f>
        <v>Monday</v>
      </c>
      <c r="K2307" t="str">
        <f>TEXT(Table8[[#This Row],[visit_Date]],"mmmm")</f>
        <v>March</v>
      </c>
      <c r="L2307" t="str">
        <f t="shared" si="73"/>
        <v>Summer</v>
      </c>
    </row>
    <row r="2308" spans="1:12" x14ac:dyDescent="0.25">
      <c r="A2308">
        <v>2307</v>
      </c>
      <c r="B2308">
        <v>1251</v>
      </c>
      <c r="C2308">
        <v>524</v>
      </c>
      <c r="D2308" s="1">
        <v>45742</v>
      </c>
      <c r="E2308" t="s">
        <v>24</v>
      </c>
      <c r="F2308" t="s">
        <v>321</v>
      </c>
      <c r="G2308" t="str">
        <f>_xlfn.XLOOKUP(TRIM(E2309),MedicineInfo!A:A,MedicineInfo!B:B,"Not Found")</f>
        <v>Multivitamin</v>
      </c>
      <c r="H2308" s="1" t="str" cm="1">
        <f t="array" ref="H2308">_xlfn.IFS(
OR(E2308="Type 2 Diabetes",E2308="Essential Hypertension",E2308="Angina Pectoris",E2308="Bronchial Asthma",E2308="Cardiac Arrhythmia"), D2308+30,
OR(E2308="Gastritis",E2308="Osteoarthritis",E2308="Bronchitis",E2308="Iron Deficiency Anemia"), D2308+14,
OR(E2308="Lumbar Strain",E2308="Migraine Headache"), D2308+7,
OR(E2308="Viral Fever",E2308="General Checkup","Routine Health Check"), "",
TRUE,""
)</f>
        <v/>
      </c>
      <c r="I2308" s="1" t="str">
        <f t="shared" si="72"/>
        <v>No Follow-up Required</v>
      </c>
      <c r="J2308" t="str">
        <f>TEXT(Table8[[#This Row],[visit_Date]],"DDDD")</f>
        <v>Wednesday</v>
      </c>
      <c r="K2308" t="str">
        <f>TEXT(Table8[[#This Row],[visit_Date]],"mmmm")</f>
        <v>March</v>
      </c>
      <c r="L2308" t="str">
        <f t="shared" si="73"/>
        <v>Summer</v>
      </c>
    </row>
    <row r="2309" spans="1:12" x14ac:dyDescent="0.25">
      <c r="A2309">
        <v>2308</v>
      </c>
      <c r="B2309">
        <v>1148</v>
      </c>
      <c r="C2309">
        <v>213</v>
      </c>
      <c r="D2309" s="1">
        <v>45758</v>
      </c>
      <c r="E2309" t="s">
        <v>24</v>
      </c>
      <c r="F2309" t="s">
        <v>321</v>
      </c>
      <c r="G2309" t="str">
        <f>_xlfn.XLOOKUP(TRIM(E2310),MedicineInfo!A:A,MedicineInfo!B:B,"Not Found")</f>
        <v>Multivitamin</v>
      </c>
      <c r="H2309" s="1" t="str" cm="1">
        <f t="array" ref="H2309">_xlfn.IFS(
OR(E2309="Type 2 Diabetes",E2309="Essential Hypertension",E2309="Angina Pectoris",E2309="Bronchial Asthma",E2309="Cardiac Arrhythmia"), D2309+30,
OR(E2309="Gastritis",E2309="Osteoarthritis",E2309="Bronchitis",E2309="Iron Deficiency Anemia"), D2309+14,
OR(E2309="Lumbar Strain",E2309="Migraine Headache"), D2309+7,
OR(E2309="Viral Fever",E2309="General Checkup","Routine Health Check"), "",
TRUE,""
)</f>
        <v/>
      </c>
      <c r="I2309" s="1" t="str">
        <f t="shared" si="72"/>
        <v>No Follow-up Required</v>
      </c>
      <c r="J2309" t="str">
        <f>TEXT(Table8[[#This Row],[visit_Date]],"DDDD")</f>
        <v>Friday</v>
      </c>
      <c r="K2309" t="str">
        <f>TEXT(Table8[[#This Row],[visit_Date]],"mmmm")</f>
        <v>April</v>
      </c>
      <c r="L2309" t="str">
        <f t="shared" si="73"/>
        <v>Summer</v>
      </c>
    </row>
    <row r="2310" spans="1:12" x14ac:dyDescent="0.25">
      <c r="A2310">
        <v>2309</v>
      </c>
      <c r="B2310">
        <v>1330</v>
      </c>
      <c r="C2310">
        <v>392</v>
      </c>
      <c r="D2310" s="1">
        <v>45713</v>
      </c>
      <c r="E2310" t="s">
        <v>24</v>
      </c>
      <c r="F2310" t="s">
        <v>321</v>
      </c>
      <c r="G2310" t="str">
        <f>_xlfn.XLOOKUP(TRIM(E2311),MedicineInfo!A:A,MedicineInfo!B:B,"Not Found")</f>
        <v>Hydrocortisone Cream</v>
      </c>
      <c r="H2310" s="1" t="str" cm="1">
        <f t="array" ref="H2310">_xlfn.IFS(
OR(E2310="Type 2 Diabetes",E2310="Essential Hypertension",E2310="Angina Pectoris",E2310="Bronchial Asthma",E2310="Cardiac Arrhythmia"), D2310+30,
OR(E2310="Gastritis",E2310="Osteoarthritis",E2310="Bronchitis",E2310="Iron Deficiency Anemia"), D2310+14,
OR(E2310="Lumbar Strain",E2310="Migraine Headache"), D2310+7,
OR(E2310="Viral Fever",E2310="General Checkup","Routine Health Check"), "",
TRUE,""
)</f>
        <v/>
      </c>
      <c r="I2310" s="1" t="str">
        <f t="shared" si="72"/>
        <v>No Follow-up Required</v>
      </c>
      <c r="J2310" t="str">
        <f>TEXT(Table8[[#This Row],[visit_Date]],"DDDD")</f>
        <v>Tuesday</v>
      </c>
      <c r="K2310" t="str">
        <f>TEXT(Table8[[#This Row],[visit_Date]],"mmmm")</f>
        <v>February</v>
      </c>
      <c r="L2310" t="str">
        <f t="shared" si="73"/>
        <v>Winter</v>
      </c>
    </row>
    <row r="2311" spans="1:12" x14ac:dyDescent="0.25">
      <c r="A2311">
        <v>2310</v>
      </c>
      <c r="B2311">
        <v>1054</v>
      </c>
      <c r="C2311">
        <v>130</v>
      </c>
      <c r="D2311" s="1">
        <v>45747</v>
      </c>
      <c r="E2311" t="s">
        <v>338</v>
      </c>
      <c r="F2311" t="s">
        <v>339</v>
      </c>
      <c r="G2311" t="str">
        <f>_xlfn.XLOOKUP(TRIM(E2312),MedicineInfo!A:A,MedicineInfo!B:B,"Not Found")</f>
        <v>Amlodipine</v>
      </c>
      <c r="H2311" s="1" t="str" cm="1">
        <f t="array" ref="H2311">_xlfn.IFS(
OR(E2311="Type 2 Diabetes",E2311="Essential Hypertension",E2311="Angina Pectoris",E2311="Bronchial Asthma",E2311="Cardiac Arrhythmia"), D2311+30,
OR(E2311="Gastritis",E2311="Osteoarthritis",E2311="Bronchitis",E2311="Iron Deficiency Anemia"), D2311+14,
OR(E2311="Lumbar Strain",E2311="Migraine Headache"), D2311+7,
OR(E2311="Viral Fever",E2311="General Checkup","Routine Health Check"), "",
TRUE,""
)</f>
        <v/>
      </c>
      <c r="I2311" s="1" t="str">
        <f t="shared" si="72"/>
        <v>No Follow-up Required</v>
      </c>
      <c r="J2311" t="str">
        <f>TEXT(Table8[[#This Row],[visit_Date]],"DDDD")</f>
        <v>Monday</v>
      </c>
      <c r="K2311" t="str">
        <f>TEXT(Table8[[#This Row],[visit_Date]],"mmmm")</f>
        <v>March</v>
      </c>
      <c r="L2311" t="str">
        <f t="shared" si="73"/>
        <v>Summer</v>
      </c>
    </row>
    <row r="2312" spans="1:12" x14ac:dyDescent="0.25">
      <c r="A2312">
        <v>2311</v>
      </c>
      <c r="B2312">
        <v>1379</v>
      </c>
      <c r="C2312">
        <v>577</v>
      </c>
      <c r="D2312" s="1">
        <v>45658</v>
      </c>
      <c r="E2312" t="s">
        <v>319</v>
      </c>
      <c r="F2312" t="s">
        <v>320</v>
      </c>
      <c r="G2312" t="str">
        <f>_xlfn.XLOOKUP(TRIM(E2313),MedicineInfo!A:A,MedicineInfo!B:B,"Not Found")</f>
        <v>Vitamin D3</v>
      </c>
      <c r="H2312" s="1" cm="1">
        <f t="array" ref="H2312">_xlfn.IFS(
OR(E2312="Type 2 Diabetes",E2312="Essential Hypertension",E2312="Angina Pectoris",E2312="Bronchial Asthma",E2312="Cardiac Arrhythmia"), D2312+30,
OR(E2312="Gastritis",E2312="Osteoarthritis",E2312="Bronchitis",E2312="Iron Deficiency Anemia"), D2312+14,
OR(E2312="Lumbar Strain",E2312="Migraine Headache"), D2312+7,
OR(E2312="Viral Fever",E2312="General Checkup","Routine Health Check"), "",
TRUE,""
)</f>
        <v>45688</v>
      </c>
      <c r="I2312" s="1" t="str">
        <f t="shared" si="72"/>
        <v>Follow-up Scheduled</v>
      </c>
      <c r="J2312" t="str">
        <f>TEXT(Table8[[#This Row],[visit_Date]],"DDDD")</f>
        <v>Wednesday</v>
      </c>
      <c r="K2312" t="str">
        <f>TEXT(Table8[[#This Row],[visit_Date]],"mmmm")</f>
        <v>January</v>
      </c>
      <c r="L2312" t="str">
        <f t="shared" si="73"/>
        <v>Winter</v>
      </c>
    </row>
    <row r="2313" spans="1:12" x14ac:dyDescent="0.25">
      <c r="A2313">
        <v>2312</v>
      </c>
      <c r="B2313">
        <v>1047</v>
      </c>
      <c r="C2313">
        <v>440</v>
      </c>
      <c r="D2313" s="1">
        <v>45812</v>
      </c>
      <c r="E2313" t="s">
        <v>332</v>
      </c>
      <c r="F2313" t="s">
        <v>333</v>
      </c>
      <c r="G2313" t="str">
        <f>_xlfn.XLOOKUP(TRIM(E2314),MedicineInfo!A:A,MedicineInfo!B:B,"Not Found")</f>
        <v>Multivitamin</v>
      </c>
      <c r="H2313" s="1" t="str" cm="1">
        <f t="array" ref="H2313">_xlfn.IFS(
OR(E2313="Type 2 Diabetes",E2313="Essential Hypertension",E2313="Angina Pectoris",E2313="Bronchial Asthma",E2313="Cardiac Arrhythmia"), D2313+30,
OR(E2313="Gastritis",E2313="Osteoarthritis",E2313="Bronchitis",E2313="Iron Deficiency Anemia"), D2313+14,
OR(E2313="Lumbar Strain",E2313="Migraine Headache"), D2313+7,
OR(E2313="Viral Fever",E2313="General Checkup","Routine Health Check"), "",
TRUE,""
)</f>
        <v/>
      </c>
      <c r="I2313" s="1" t="str">
        <f t="shared" si="72"/>
        <v>No Follow-up Required</v>
      </c>
      <c r="J2313" t="str">
        <f>TEXT(Table8[[#This Row],[visit_Date]],"DDDD")</f>
        <v>Wednesday</v>
      </c>
      <c r="K2313" t="str">
        <f>TEXT(Table8[[#This Row],[visit_Date]],"mmmm")</f>
        <v>June</v>
      </c>
      <c r="L2313" t="str">
        <f t="shared" si="73"/>
        <v>Monsoon</v>
      </c>
    </row>
    <row r="2314" spans="1:12" x14ac:dyDescent="0.25">
      <c r="A2314">
        <v>2313</v>
      </c>
      <c r="B2314">
        <v>1391</v>
      </c>
      <c r="C2314">
        <v>1171</v>
      </c>
      <c r="D2314" s="1">
        <v>45792</v>
      </c>
      <c r="E2314" t="s">
        <v>24</v>
      </c>
      <c r="F2314" t="s">
        <v>321</v>
      </c>
      <c r="G2314" t="str">
        <f>_xlfn.XLOOKUP(TRIM(E2315),MedicineInfo!A:A,MedicineInfo!B:B,"Not Found")</f>
        <v>Multivitamin</v>
      </c>
      <c r="H2314" s="1" t="str" cm="1">
        <f t="array" ref="H2314">_xlfn.IFS(
OR(E2314="Type 2 Diabetes",E2314="Essential Hypertension",E2314="Angina Pectoris",E2314="Bronchial Asthma",E2314="Cardiac Arrhythmia"), D2314+30,
OR(E2314="Gastritis",E2314="Osteoarthritis",E2314="Bronchitis",E2314="Iron Deficiency Anemia"), D2314+14,
OR(E2314="Lumbar Strain",E2314="Migraine Headache"), D2314+7,
OR(E2314="Viral Fever",E2314="General Checkup","Routine Health Check"), "",
TRUE,""
)</f>
        <v/>
      </c>
      <c r="I2314" s="1" t="str">
        <f t="shared" si="72"/>
        <v>No Follow-up Required</v>
      </c>
      <c r="J2314" t="str">
        <f>TEXT(Table8[[#This Row],[visit_Date]],"DDDD")</f>
        <v>Thursday</v>
      </c>
      <c r="K2314" t="str">
        <f>TEXT(Table8[[#This Row],[visit_Date]],"mmmm")</f>
        <v>May</v>
      </c>
      <c r="L2314" t="str">
        <f t="shared" si="73"/>
        <v>Summer</v>
      </c>
    </row>
    <row r="2315" spans="1:12" x14ac:dyDescent="0.25">
      <c r="A2315">
        <v>2314</v>
      </c>
      <c r="B2315">
        <v>1297</v>
      </c>
      <c r="C2315">
        <v>1054</v>
      </c>
      <c r="D2315" s="1">
        <v>45663</v>
      </c>
      <c r="E2315" t="s">
        <v>24</v>
      </c>
      <c r="F2315" t="s">
        <v>321</v>
      </c>
      <c r="G2315" t="str">
        <f>_xlfn.XLOOKUP(TRIM(E2316),MedicineInfo!A:A,MedicineInfo!B:B,"Not Found")</f>
        <v>Levothyroxine</v>
      </c>
      <c r="H2315" s="1" t="str" cm="1">
        <f t="array" ref="H2315">_xlfn.IFS(
OR(E2315="Type 2 Diabetes",E2315="Essential Hypertension",E2315="Angina Pectoris",E2315="Bronchial Asthma",E2315="Cardiac Arrhythmia"), D2315+30,
OR(E2315="Gastritis",E2315="Osteoarthritis",E2315="Bronchitis",E2315="Iron Deficiency Anemia"), D2315+14,
OR(E2315="Lumbar Strain",E2315="Migraine Headache"), D2315+7,
OR(E2315="Viral Fever",E2315="General Checkup","Routine Health Check"), "",
TRUE,""
)</f>
        <v/>
      </c>
      <c r="I2315" s="1" t="str">
        <f t="shared" si="72"/>
        <v>No Follow-up Required</v>
      </c>
      <c r="J2315" t="str">
        <f>TEXT(Table8[[#This Row],[visit_Date]],"DDDD")</f>
        <v>Monday</v>
      </c>
      <c r="K2315" t="str">
        <f>TEXT(Table8[[#This Row],[visit_Date]],"mmmm")</f>
        <v>January</v>
      </c>
      <c r="L2315" t="str">
        <f t="shared" si="73"/>
        <v>Winter</v>
      </c>
    </row>
    <row r="2316" spans="1:12" x14ac:dyDescent="0.25">
      <c r="A2316">
        <v>2315</v>
      </c>
      <c r="B2316">
        <v>1206</v>
      </c>
      <c r="C2316">
        <v>449</v>
      </c>
      <c r="D2316" s="1">
        <v>45814</v>
      </c>
      <c r="E2316" t="s">
        <v>360</v>
      </c>
      <c r="F2316" t="s">
        <v>361</v>
      </c>
      <c r="G2316" t="str">
        <f>_xlfn.XLOOKUP(TRIM(E2317),MedicineInfo!A:A,MedicineInfo!B:B,"Not Found")</f>
        <v>Multivitamin</v>
      </c>
      <c r="H2316" s="1" t="str" cm="1">
        <f t="array" ref="H2316">_xlfn.IFS(
OR(E2316="Type 2 Diabetes",E2316="Essential Hypertension",E2316="Angina Pectoris",E2316="Bronchial Asthma",E2316="Cardiac Arrhythmia"), D2316+30,
OR(E2316="Gastritis",E2316="Osteoarthritis",E2316="Bronchitis",E2316="Iron Deficiency Anemia"), D2316+14,
OR(E2316="Lumbar Strain",E2316="Migraine Headache"), D2316+7,
OR(E2316="Viral Fever",E2316="General Checkup","Routine Health Check"), "",
TRUE,""
)</f>
        <v/>
      </c>
      <c r="I2316" s="1" t="str">
        <f t="shared" si="72"/>
        <v>No Follow-up Required</v>
      </c>
      <c r="J2316" t="str">
        <f>TEXT(Table8[[#This Row],[visit_Date]],"DDDD")</f>
        <v>Friday</v>
      </c>
      <c r="K2316" t="str">
        <f>TEXT(Table8[[#This Row],[visit_Date]],"mmmm")</f>
        <v>June</v>
      </c>
      <c r="L2316" t="str">
        <f t="shared" si="73"/>
        <v>Monsoon</v>
      </c>
    </row>
    <row r="2317" spans="1:12" x14ac:dyDescent="0.25">
      <c r="A2317">
        <v>2316</v>
      </c>
      <c r="B2317">
        <v>1386</v>
      </c>
      <c r="C2317">
        <v>923</v>
      </c>
      <c r="D2317" s="1">
        <v>45832</v>
      </c>
      <c r="E2317" t="s">
        <v>24</v>
      </c>
      <c r="F2317" t="s">
        <v>321</v>
      </c>
      <c r="G2317" t="str">
        <f>_xlfn.XLOOKUP(TRIM(E2318),MedicineInfo!A:A,MedicineInfo!B:B,"Not Found")</f>
        <v>Multivitamin</v>
      </c>
      <c r="H2317" s="1" t="str" cm="1">
        <f t="array" ref="H2317">_xlfn.IFS(
OR(E2317="Type 2 Diabetes",E2317="Essential Hypertension",E2317="Angina Pectoris",E2317="Bronchial Asthma",E2317="Cardiac Arrhythmia"), D2317+30,
OR(E2317="Gastritis",E2317="Osteoarthritis",E2317="Bronchitis",E2317="Iron Deficiency Anemia"), D2317+14,
OR(E2317="Lumbar Strain",E2317="Migraine Headache"), D2317+7,
OR(E2317="Viral Fever",E2317="General Checkup","Routine Health Check"), "",
TRUE,""
)</f>
        <v/>
      </c>
      <c r="I2317" s="1" t="str">
        <f t="shared" si="72"/>
        <v>No Follow-up Required</v>
      </c>
      <c r="J2317" t="str">
        <f>TEXT(Table8[[#This Row],[visit_Date]],"DDDD")</f>
        <v>Tuesday</v>
      </c>
      <c r="K2317" t="str">
        <f>TEXT(Table8[[#This Row],[visit_Date]],"mmmm")</f>
        <v>June</v>
      </c>
      <c r="L2317" t="str">
        <f t="shared" si="73"/>
        <v>Monsoon</v>
      </c>
    </row>
    <row r="2318" spans="1:12" x14ac:dyDescent="0.25">
      <c r="A2318">
        <v>2317</v>
      </c>
      <c r="B2318">
        <v>1142</v>
      </c>
      <c r="C2318">
        <v>1032</v>
      </c>
      <c r="D2318" s="1">
        <v>45867</v>
      </c>
      <c r="E2318" t="s">
        <v>24</v>
      </c>
      <c r="F2318" t="s">
        <v>321</v>
      </c>
      <c r="G2318" t="str">
        <f>_xlfn.XLOOKUP(TRIM(E2319),MedicineInfo!A:A,MedicineInfo!B:B,"Not Found")</f>
        <v>Amiodarone</v>
      </c>
      <c r="H2318" s="1" t="str" cm="1">
        <f t="array" ref="H2318">_xlfn.IFS(
OR(E2318="Type 2 Diabetes",E2318="Essential Hypertension",E2318="Angina Pectoris",E2318="Bronchial Asthma",E2318="Cardiac Arrhythmia"), D2318+30,
OR(E2318="Gastritis",E2318="Osteoarthritis",E2318="Bronchitis",E2318="Iron Deficiency Anemia"), D2318+14,
OR(E2318="Lumbar Strain",E2318="Migraine Headache"), D2318+7,
OR(E2318="Viral Fever",E2318="General Checkup","Routine Health Check"), "",
TRUE,""
)</f>
        <v/>
      </c>
      <c r="I2318" s="1" t="str">
        <f t="shared" si="72"/>
        <v>No Follow-up Required</v>
      </c>
      <c r="J2318" t="str">
        <f>TEXT(Table8[[#This Row],[visit_Date]],"DDDD")</f>
        <v>Tuesday</v>
      </c>
      <c r="K2318" t="str">
        <f>TEXT(Table8[[#This Row],[visit_Date]],"mmmm")</f>
        <v>July</v>
      </c>
      <c r="L2318" t="str">
        <f t="shared" si="73"/>
        <v>Monsoon</v>
      </c>
    </row>
    <row r="2319" spans="1:12" x14ac:dyDescent="0.25">
      <c r="A2319">
        <v>2318</v>
      </c>
      <c r="B2319">
        <v>1341</v>
      </c>
      <c r="C2319">
        <v>177</v>
      </c>
      <c r="D2319" s="1">
        <v>45791</v>
      </c>
      <c r="E2319" t="s">
        <v>330</v>
      </c>
      <c r="F2319" t="s">
        <v>331</v>
      </c>
      <c r="G2319" t="str">
        <f>_xlfn.XLOOKUP(TRIM(E2320),MedicineInfo!A:A,MedicineInfo!B:B,"Not Found")</f>
        <v>Multivitamin</v>
      </c>
      <c r="H2319" s="1" cm="1">
        <f t="array" ref="H2319">_xlfn.IFS(
OR(E2319="Type 2 Diabetes",E2319="Essential Hypertension",E2319="Angina Pectoris",E2319="Bronchial Asthma",E2319="Cardiac Arrhythmia"), D2319+30,
OR(E2319="Gastritis",E2319="Osteoarthritis",E2319="Bronchitis",E2319="Iron Deficiency Anemia"), D2319+14,
OR(E2319="Lumbar Strain",E2319="Migraine Headache"), D2319+7,
OR(E2319="Viral Fever",E2319="General Checkup","Routine Health Check"), "",
TRUE,""
)</f>
        <v>45821</v>
      </c>
      <c r="I2319" s="1" t="str">
        <f t="shared" si="72"/>
        <v>Follow-up Scheduled</v>
      </c>
      <c r="J2319" t="str">
        <f>TEXT(Table8[[#This Row],[visit_Date]],"DDDD")</f>
        <v>Wednesday</v>
      </c>
      <c r="K2319" t="str">
        <f>TEXT(Table8[[#This Row],[visit_Date]],"mmmm")</f>
        <v>May</v>
      </c>
      <c r="L2319" t="str">
        <f t="shared" si="73"/>
        <v>Summer</v>
      </c>
    </row>
    <row r="2320" spans="1:12" x14ac:dyDescent="0.25">
      <c r="A2320">
        <v>2319</v>
      </c>
      <c r="B2320">
        <v>1323</v>
      </c>
      <c r="C2320">
        <v>1279</v>
      </c>
      <c r="D2320" s="1">
        <v>45790</v>
      </c>
      <c r="E2320" t="s">
        <v>24</v>
      </c>
      <c r="F2320" t="s">
        <v>321</v>
      </c>
      <c r="G2320" t="str">
        <f>_xlfn.XLOOKUP(TRIM(E2321),MedicineInfo!A:A,MedicineInfo!B:B,"Not Found")</f>
        <v>Multivitamin</v>
      </c>
      <c r="H2320" s="1" t="str" cm="1">
        <f t="array" ref="H2320">_xlfn.IFS(
OR(E2320="Type 2 Diabetes",E2320="Essential Hypertension",E2320="Angina Pectoris",E2320="Bronchial Asthma",E2320="Cardiac Arrhythmia"), D2320+30,
OR(E2320="Gastritis",E2320="Osteoarthritis",E2320="Bronchitis",E2320="Iron Deficiency Anemia"), D2320+14,
OR(E2320="Lumbar Strain",E2320="Migraine Headache"), D2320+7,
OR(E2320="Viral Fever",E2320="General Checkup","Routine Health Check"), "",
TRUE,""
)</f>
        <v/>
      </c>
      <c r="I2320" s="1" t="str">
        <f t="shared" si="72"/>
        <v>No Follow-up Required</v>
      </c>
      <c r="J2320" t="str">
        <f>TEXT(Table8[[#This Row],[visit_Date]],"DDDD")</f>
        <v>Tuesday</v>
      </c>
      <c r="K2320" t="str">
        <f>TEXT(Table8[[#This Row],[visit_Date]],"mmmm")</f>
        <v>May</v>
      </c>
      <c r="L2320" t="str">
        <f t="shared" si="73"/>
        <v>Summer</v>
      </c>
    </row>
    <row r="2321" spans="1:12" x14ac:dyDescent="0.25">
      <c r="A2321">
        <v>2320</v>
      </c>
      <c r="B2321">
        <v>1368</v>
      </c>
      <c r="C2321">
        <v>265</v>
      </c>
      <c r="D2321" s="1">
        <v>45686</v>
      </c>
      <c r="E2321" t="s">
        <v>24</v>
      </c>
      <c r="F2321" t="s">
        <v>321</v>
      </c>
      <c r="G2321" t="str">
        <f>_xlfn.XLOOKUP(TRIM(E2322),MedicineInfo!A:A,MedicineInfo!B:B,"Not Found")</f>
        <v>Levothyroxine</v>
      </c>
      <c r="H2321" s="1" t="str" cm="1">
        <f t="array" ref="H2321">_xlfn.IFS(
OR(E2321="Type 2 Diabetes",E2321="Essential Hypertension",E2321="Angina Pectoris",E2321="Bronchial Asthma",E2321="Cardiac Arrhythmia"), D2321+30,
OR(E2321="Gastritis",E2321="Osteoarthritis",E2321="Bronchitis",E2321="Iron Deficiency Anemia"), D2321+14,
OR(E2321="Lumbar Strain",E2321="Migraine Headache"), D2321+7,
OR(E2321="Viral Fever",E2321="General Checkup","Routine Health Check"), "",
TRUE,""
)</f>
        <v/>
      </c>
      <c r="I2321" s="1" t="str">
        <f t="shared" si="72"/>
        <v>No Follow-up Required</v>
      </c>
      <c r="J2321" t="str">
        <f>TEXT(Table8[[#This Row],[visit_Date]],"DDDD")</f>
        <v>Wednesday</v>
      </c>
      <c r="K2321" t="str">
        <f>TEXT(Table8[[#This Row],[visit_Date]],"mmmm")</f>
        <v>January</v>
      </c>
      <c r="L2321" t="str">
        <f t="shared" si="73"/>
        <v>Winter</v>
      </c>
    </row>
    <row r="2322" spans="1:12" x14ac:dyDescent="0.25">
      <c r="A2322">
        <v>2321</v>
      </c>
      <c r="B2322">
        <v>1251</v>
      </c>
      <c r="C2322">
        <v>1474</v>
      </c>
      <c r="D2322" s="1">
        <v>45771</v>
      </c>
      <c r="E2322" t="s">
        <v>360</v>
      </c>
      <c r="F2322" t="s">
        <v>361</v>
      </c>
      <c r="G2322" t="str">
        <f>_xlfn.XLOOKUP(TRIM(E2323),MedicineInfo!A:A,MedicineInfo!B:B,"Not Found")</f>
        <v>Multivitamin</v>
      </c>
      <c r="H2322" s="1" t="str" cm="1">
        <f t="array" ref="H2322">_xlfn.IFS(
OR(E2322="Type 2 Diabetes",E2322="Essential Hypertension",E2322="Angina Pectoris",E2322="Bronchial Asthma",E2322="Cardiac Arrhythmia"), D2322+30,
OR(E2322="Gastritis",E2322="Osteoarthritis",E2322="Bronchitis",E2322="Iron Deficiency Anemia"), D2322+14,
OR(E2322="Lumbar Strain",E2322="Migraine Headache"), D2322+7,
OR(E2322="Viral Fever",E2322="General Checkup","Routine Health Check"), "",
TRUE,""
)</f>
        <v/>
      </c>
      <c r="I2322" s="1" t="str">
        <f t="shared" si="72"/>
        <v>No Follow-up Required</v>
      </c>
      <c r="J2322" t="str">
        <f>TEXT(Table8[[#This Row],[visit_Date]],"DDDD")</f>
        <v>Thursday</v>
      </c>
      <c r="K2322" t="str">
        <f>TEXT(Table8[[#This Row],[visit_Date]],"mmmm")</f>
        <v>April</v>
      </c>
      <c r="L2322" t="str">
        <f t="shared" si="73"/>
        <v>Summer</v>
      </c>
    </row>
    <row r="2323" spans="1:12" x14ac:dyDescent="0.25">
      <c r="A2323">
        <v>2322</v>
      </c>
      <c r="B2323">
        <v>1257</v>
      </c>
      <c r="C2323">
        <v>719</v>
      </c>
      <c r="D2323" s="1">
        <v>45799</v>
      </c>
      <c r="E2323" t="s">
        <v>24</v>
      </c>
      <c r="F2323" t="s">
        <v>321</v>
      </c>
      <c r="G2323" t="str">
        <f>_xlfn.XLOOKUP(TRIM(E2324),MedicineInfo!A:A,MedicineInfo!B:B,"Not Found")</f>
        <v>Multivitamin</v>
      </c>
      <c r="H2323" s="1" t="str" cm="1">
        <f t="array" ref="H2323">_xlfn.IFS(
OR(E2323="Type 2 Diabetes",E2323="Essential Hypertension",E2323="Angina Pectoris",E2323="Bronchial Asthma",E2323="Cardiac Arrhythmia"), D2323+30,
OR(E2323="Gastritis",E2323="Osteoarthritis",E2323="Bronchitis",E2323="Iron Deficiency Anemia"), D2323+14,
OR(E2323="Lumbar Strain",E2323="Migraine Headache"), D2323+7,
OR(E2323="Viral Fever",E2323="General Checkup","Routine Health Check"), "",
TRUE,""
)</f>
        <v/>
      </c>
      <c r="I2323" s="1" t="str">
        <f t="shared" si="72"/>
        <v>No Follow-up Required</v>
      </c>
      <c r="J2323" t="str">
        <f>TEXT(Table8[[#This Row],[visit_Date]],"DDDD")</f>
        <v>Thursday</v>
      </c>
      <c r="K2323" t="str">
        <f>TEXT(Table8[[#This Row],[visit_Date]],"mmmm")</f>
        <v>May</v>
      </c>
      <c r="L2323" t="str">
        <f t="shared" si="73"/>
        <v>Summer</v>
      </c>
    </row>
    <row r="2324" spans="1:12" x14ac:dyDescent="0.25">
      <c r="A2324">
        <v>2323</v>
      </c>
      <c r="B2324">
        <v>1398</v>
      </c>
      <c r="C2324">
        <v>1026</v>
      </c>
      <c r="D2324" s="1">
        <v>45790</v>
      </c>
      <c r="E2324" t="s">
        <v>24</v>
      </c>
      <c r="F2324" t="s">
        <v>321</v>
      </c>
      <c r="G2324" t="str">
        <f>_xlfn.XLOOKUP(TRIM(E2325),MedicineInfo!A:A,MedicineInfo!B:B,"Not Found")</f>
        <v>Multivitamin</v>
      </c>
      <c r="H2324" s="1" t="str" cm="1">
        <f t="array" ref="H2324">_xlfn.IFS(
OR(E2324="Type 2 Diabetes",E2324="Essential Hypertension",E2324="Angina Pectoris",E2324="Bronchial Asthma",E2324="Cardiac Arrhythmia"), D2324+30,
OR(E2324="Gastritis",E2324="Osteoarthritis",E2324="Bronchitis",E2324="Iron Deficiency Anemia"), D2324+14,
OR(E2324="Lumbar Strain",E2324="Migraine Headache"), D2324+7,
OR(E2324="Viral Fever",E2324="General Checkup","Routine Health Check"), "",
TRUE,""
)</f>
        <v/>
      </c>
      <c r="I2324" s="1" t="str">
        <f t="shared" si="72"/>
        <v>No Follow-up Required</v>
      </c>
      <c r="J2324" t="str">
        <f>TEXT(Table8[[#This Row],[visit_Date]],"DDDD")</f>
        <v>Tuesday</v>
      </c>
      <c r="K2324" t="str">
        <f>TEXT(Table8[[#This Row],[visit_Date]],"mmmm")</f>
        <v>May</v>
      </c>
      <c r="L2324" t="str">
        <f t="shared" si="73"/>
        <v>Summer</v>
      </c>
    </row>
    <row r="2325" spans="1:12" x14ac:dyDescent="0.25">
      <c r="A2325">
        <v>2324</v>
      </c>
      <c r="B2325">
        <v>1039</v>
      </c>
      <c r="C2325">
        <v>1474</v>
      </c>
      <c r="D2325" s="1">
        <v>45738</v>
      </c>
      <c r="E2325" t="s">
        <v>24</v>
      </c>
      <c r="F2325" t="s">
        <v>321</v>
      </c>
      <c r="G2325" t="str">
        <f>_xlfn.XLOOKUP(TRIM(E2326),MedicineInfo!A:A,MedicineInfo!B:B,"Not Found")</f>
        <v>Multivitamin</v>
      </c>
      <c r="H2325" s="1" t="str" cm="1">
        <f t="array" ref="H2325">_xlfn.IFS(
OR(E2325="Type 2 Diabetes",E2325="Essential Hypertension",E2325="Angina Pectoris",E2325="Bronchial Asthma",E2325="Cardiac Arrhythmia"), D2325+30,
OR(E2325="Gastritis",E2325="Osteoarthritis",E2325="Bronchitis",E2325="Iron Deficiency Anemia"), D2325+14,
OR(E2325="Lumbar Strain",E2325="Migraine Headache"), D2325+7,
OR(E2325="Viral Fever",E2325="General Checkup","Routine Health Check"), "",
TRUE,""
)</f>
        <v/>
      </c>
      <c r="I2325" s="1" t="str">
        <f t="shared" si="72"/>
        <v>No Follow-up Required</v>
      </c>
      <c r="J2325" t="str">
        <f>TEXT(Table8[[#This Row],[visit_Date]],"DDDD")</f>
        <v>Saturday</v>
      </c>
      <c r="K2325" t="str">
        <f>TEXT(Table8[[#This Row],[visit_Date]],"mmmm")</f>
        <v>March</v>
      </c>
      <c r="L2325" t="str">
        <f t="shared" si="73"/>
        <v>Summer</v>
      </c>
    </row>
    <row r="2326" spans="1:12" x14ac:dyDescent="0.25">
      <c r="A2326">
        <v>2325</v>
      </c>
      <c r="B2326">
        <v>1343</v>
      </c>
      <c r="C2326">
        <v>663</v>
      </c>
      <c r="D2326" s="1">
        <v>45669</v>
      </c>
      <c r="E2326" t="s">
        <v>24</v>
      </c>
      <c r="F2326" t="s">
        <v>321</v>
      </c>
      <c r="G2326" t="str">
        <f>_xlfn.XLOOKUP(TRIM(E2327),MedicineInfo!A:A,MedicineInfo!B:B,"Not Found")</f>
        <v>Multivitamin</v>
      </c>
      <c r="H2326" s="1" t="str" cm="1">
        <f t="array" ref="H2326">_xlfn.IFS(
OR(E2326="Type 2 Diabetes",E2326="Essential Hypertension",E2326="Angina Pectoris",E2326="Bronchial Asthma",E2326="Cardiac Arrhythmia"), D2326+30,
OR(E2326="Gastritis",E2326="Osteoarthritis",E2326="Bronchitis",E2326="Iron Deficiency Anemia"), D2326+14,
OR(E2326="Lumbar Strain",E2326="Migraine Headache"), D2326+7,
OR(E2326="Viral Fever",E2326="General Checkup","Routine Health Check"), "",
TRUE,""
)</f>
        <v/>
      </c>
      <c r="I2326" s="1" t="str">
        <f t="shared" si="72"/>
        <v>No Follow-up Required</v>
      </c>
      <c r="J2326" t="str">
        <f>TEXT(Table8[[#This Row],[visit_Date]],"DDDD")</f>
        <v>Sunday</v>
      </c>
      <c r="K2326" t="str">
        <f>TEXT(Table8[[#This Row],[visit_Date]],"mmmm")</f>
        <v>January</v>
      </c>
      <c r="L2326" t="str">
        <f t="shared" si="73"/>
        <v>Winter</v>
      </c>
    </row>
    <row r="2327" spans="1:12" x14ac:dyDescent="0.25">
      <c r="A2327">
        <v>2326</v>
      </c>
      <c r="B2327">
        <v>1127</v>
      </c>
      <c r="C2327">
        <v>986</v>
      </c>
      <c r="D2327" s="1">
        <v>45669</v>
      </c>
      <c r="E2327" t="s">
        <v>24</v>
      </c>
      <c r="F2327" t="s">
        <v>321</v>
      </c>
      <c r="G2327" t="str">
        <f>_xlfn.XLOOKUP(TRIM(E2328),MedicineInfo!A:A,MedicineInfo!B:B,"Not Found")</f>
        <v>Multivitamin</v>
      </c>
      <c r="H2327" s="1" t="str" cm="1">
        <f t="array" ref="H2327">_xlfn.IFS(
OR(E2327="Type 2 Diabetes",E2327="Essential Hypertension",E2327="Angina Pectoris",E2327="Bronchial Asthma",E2327="Cardiac Arrhythmia"), D2327+30,
OR(E2327="Gastritis",E2327="Osteoarthritis",E2327="Bronchitis",E2327="Iron Deficiency Anemia"), D2327+14,
OR(E2327="Lumbar Strain",E2327="Migraine Headache"), D2327+7,
OR(E2327="Viral Fever",E2327="General Checkup","Routine Health Check"), "",
TRUE,""
)</f>
        <v/>
      </c>
      <c r="I2327" s="1" t="str">
        <f t="shared" si="72"/>
        <v>No Follow-up Required</v>
      </c>
      <c r="J2327" t="str">
        <f>TEXT(Table8[[#This Row],[visit_Date]],"DDDD")</f>
        <v>Sunday</v>
      </c>
      <c r="K2327" t="str">
        <f>TEXT(Table8[[#This Row],[visit_Date]],"mmmm")</f>
        <v>January</v>
      </c>
      <c r="L2327" t="str">
        <f t="shared" si="73"/>
        <v>Winter</v>
      </c>
    </row>
    <row r="2328" spans="1:12" x14ac:dyDescent="0.25">
      <c r="A2328">
        <v>2327</v>
      </c>
      <c r="B2328">
        <v>1051</v>
      </c>
      <c r="C2328">
        <v>1463</v>
      </c>
      <c r="D2328" s="1">
        <v>45727</v>
      </c>
      <c r="E2328" t="s">
        <v>24</v>
      </c>
      <c r="F2328" t="s">
        <v>321</v>
      </c>
      <c r="G2328" t="str">
        <f>_xlfn.XLOOKUP(TRIM(E2329),MedicineInfo!A:A,MedicineInfo!B:B,"Not Found")</f>
        <v>Sertraline</v>
      </c>
      <c r="H2328" s="1" t="str" cm="1">
        <f t="array" ref="H2328">_xlfn.IFS(
OR(E2328="Type 2 Diabetes",E2328="Essential Hypertension",E2328="Angina Pectoris",E2328="Bronchial Asthma",E2328="Cardiac Arrhythmia"), D2328+30,
OR(E2328="Gastritis",E2328="Osteoarthritis",E2328="Bronchitis",E2328="Iron Deficiency Anemia"), D2328+14,
OR(E2328="Lumbar Strain",E2328="Migraine Headache"), D2328+7,
OR(E2328="Viral Fever",E2328="General Checkup","Routine Health Check"), "",
TRUE,""
)</f>
        <v/>
      </c>
      <c r="I2328" s="1" t="str">
        <f t="shared" si="72"/>
        <v>No Follow-up Required</v>
      </c>
      <c r="J2328" t="str">
        <f>TEXT(Table8[[#This Row],[visit_Date]],"DDDD")</f>
        <v>Tuesday</v>
      </c>
      <c r="K2328" t="str">
        <f>TEXT(Table8[[#This Row],[visit_Date]],"mmmm")</f>
        <v>March</v>
      </c>
      <c r="L2328" t="str">
        <f t="shared" si="73"/>
        <v>Summer</v>
      </c>
    </row>
    <row r="2329" spans="1:12" x14ac:dyDescent="0.25">
      <c r="A2329">
        <v>2328</v>
      </c>
      <c r="B2329">
        <v>1279</v>
      </c>
      <c r="C2329">
        <v>1279</v>
      </c>
      <c r="D2329" s="1">
        <v>45743</v>
      </c>
      <c r="E2329" t="s">
        <v>334</v>
      </c>
      <c r="F2329" t="s">
        <v>335</v>
      </c>
      <c r="G2329" t="str">
        <f>_xlfn.XLOOKUP(TRIM(E2330),MedicineInfo!A:A,MedicineInfo!B:B,"Not Found")</f>
        <v>Multivitamin</v>
      </c>
      <c r="H2329" s="1" t="str" cm="1">
        <f t="array" ref="H2329">_xlfn.IFS(
OR(E2329="Type 2 Diabetes",E2329="Essential Hypertension",E2329="Angina Pectoris",E2329="Bronchial Asthma",E2329="Cardiac Arrhythmia"), D2329+30,
OR(E2329="Gastritis",E2329="Osteoarthritis",E2329="Bronchitis",E2329="Iron Deficiency Anemia"), D2329+14,
OR(E2329="Lumbar Strain",E2329="Migraine Headache"), D2329+7,
OR(E2329="Viral Fever",E2329="General Checkup","Routine Health Check"), "",
TRUE,""
)</f>
        <v/>
      </c>
      <c r="I2329" s="1" t="str">
        <f t="shared" si="72"/>
        <v>No Follow-up Required</v>
      </c>
      <c r="J2329" t="str">
        <f>TEXT(Table8[[#This Row],[visit_Date]],"DDDD")</f>
        <v>Thursday</v>
      </c>
      <c r="K2329" t="str">
        <f>TEXT(Table8[[#This Row],[visit_Date]],"mmmm")</f>
        <v>March</v>
      </c>
      <c r="L2329" t="str">
        <f t="shared" si="73"/>
        <v>Summer</v>
      </c>
    </row>
    <row r="2330" spans="1:12" x14ac:dyDescent="0.25">
      <c r="A2330">
        <v>2329</v>
      </c>
      <c r="B2330">
        <v>1189</v>
      </c>
      <c r="C2330">
        <v>312</v>
      </c>
      <c r="D2330" s="1">
        <v>45791</v>
      </c>
      <c r="E2330" t="s">
        <v>24</v>
      </c>
      <c r="F2330" t="s">
        <v>321</v>
      </c>
      <c r="G2330" t="str">
        <f>_xlfn.XLOOKUP(TRIM(E2331),MedicineInfo!A:A,MedicineInfo!B:B,"Not Found")</f>
        <v>Multivitamin</v>
      </c>
      <c r="H2330" s="1" t="str" cm="1">
        <f t="array" ref="H2330">_xlfn.IFS(
OR(E2330="Type 2 Diabetes",E2330="Essential Hypertension",E2330="Angina Pectoris",E2330="Bronchial Asthma",E2330="Cardiac Arrhythmia"), D2330+30,
OR(E2330="Gastritis",E2330="Osteoarthritis",E2330="Bronchitis",E2330="Iron Deficiency Anemia"), D2330+14,
OR(E2330="Lumbar Strain",E2330="Migraine Headache"), D2330+7,
OR(E2330="Viral Fever",E2330="General Checkup","Routine Health Check"), "",
TRUE,""
)</f>
        <v/>
      </c>
      <c r="I2330" s="1" t="str">
        <f t="shared" si="72"/>
        <v>No Follow-up Required</v>
      </c>
      <c r="J2330" t="str">
        <f>TEXT(Table8[[#This Row],[visit_Date]],"DDDD")</f>
        <v>Wednesday</v>
      </c>
      <c r="K2330" t="str">
        <f>TEXT(Table8[[#This Row],[visit_Date]],"mmmm")</f>
        <v>May</v>
      </c>
      <c r="L2330" t="str">
        <f t="shared" si="73"/>
        <v>Summer</v>
      </c>
    </row>
    <row r="2331" spans="1:12" x14ac:dyDescent="0.25">
      <c r="A2331">
        <v>2330</v>
      </c>
      <c r="B2331">
        <v>1393</v>
      </c>
      <c r="C2331">
        <v>1464</v>
      </c>
      <c r="D2331" s="1">
        <v>45823</v>
      </c>
      <c r="E2331" t="s">
        <v>24</v>
      </c>
      <c r="F2331" t="s">
        <v>321</v>
      </c>
      <c r="G2331" t="str">
        <f>_xlfn.XLOOKUP(TRIM(E2332),MedicineInfo!A:A,MedicineInfo!B:B,"Not Found")</f>
        <v>Multivitamin</v>
      </c>
      <c r="H2331" s="1" t="str" cm="1">
        <f t="array" ref="H2331">_xlfn.IFS(
OR(E2331="Type 2 Diabetes",E2331="Essential Hypertension",E2331="Angina Pectoris",E2331="Bronchial Asthma",E2331="Cardiac Arrhythmia"), D2331+30,
OR(E2331="Gastritis",E2331="Osteoarthritis",E2331="Bronchitis",E2331="Iron Deficiency Anemia"), D2331+14,
OR(E2331="Lumbar Strain",E2331="Migraine Headache"), D2331+7,
OR(E2331="Viral Fever",E2331="General Checkup","Routine Health Check"), "",
TRUE,""
)</f>
        <v/>
      </c>
      <c r="I2331" s="1" t="str">
        <f t="shared" si="72"/>
        <v>No Follow-up Required</v>
      </c>
      <c r="J2331" t="str">
        <f>TEXT(Table8[[#This Row],[visit_Date]],"DDDD")</f>
        <v>Sunday</v>
      </c>
      <c r="K2331" t="str">
        <f>TEXT(Table8[[#This Row],[visit_Date]],"mmmm")</f>
        <v>June</v>
      </c>
      <c r="L2331" t="str">
        <f t="shared" si="73"/>
        <v>Monsoon</v>
      </c>
    </row>
    <row r="2332" spans="1:12" x14ac:dyDescent="0.25">
      <c r="A2332">
        <v>2331</v>
      </c>
      <c r="B2332">
        <v>1049</v>
      </c>
      <c r="C2332">
        <v>1535</v>
      </c>
      <c r="D2332" s="1">
        <v>45735</v>
      </c>
      <c r="E2332" t="s">
        <v>24</v>
      </c>
      <c r="F2332" t="s">
        <v>321</v>
      </c>
      <c r="G2332" t="str">
        <f>_xlfn.XLOOKUP(TRIM(E2333),MedicineInfo!A:A,MedicineInfo!B:B,"Not Found")</f>
        <v>Multivitamin</v>
      </c>
      <c r="H2332" s="1" t="str" cm="1">
        <f t="array" ref="H2332">_xlfn.IFS(
OR(E2332="Type 2 Diabetes",E2332="Essential Hypertension",E2332="Angina Pectoris",E2332="Bronchial Asthma",E2332="Cardiac Arrhythmia"), D2332+30,
OR(E2332="Gastritis",E2332="Osteoarthritis",E2332="Bronchitis",E2332="Iron Deficiency Anemia"), D2332+14,
OR(E2332="Lumbar Strain",E2332="Migraine Headache"), D2332+7,
OR(E2332="Viral Fever",E2332="General Checkup","Routine Health Check"), "",
TRUE,""
)</f>
        <v/>
      </c>
      <c r="I2332" s="1" t="str">
        <f t="shared" si="72"/>
        <v>No Follow-up Required</v>
      </c>
      <c r="J2332" t="str">
        <f>TEXT(Table8[[#This Row],[visit_Date]],"DDDD")</f>
        <v>Wednesday</v>
      </c>
      <c r="K2332" t="str">
        <f>TEXT(Table8[[#This Row],[visit_Date]],"mmmm")</f>
        <v>March</v>
      </c>
      <c r="L2332" t="str">
        <f t="shared" si="73"/>
        <v>Summer</v>
      </c>
    </row>
    <row r="2333" spans="1:12" x14ac:dyDescent="0.25">
      <c r="A2333">
        <v>2332</v>
      </c>
      <c r="B2333">
        <v>1332</v>
      </c>
      <c r="C2333">
        <v>510</v>
      </c>
      <c r="D2333" s="1">
        <v>45776</v>
      </c>
      <c r="E2333" t="s">
        <v>24</v>
      </c>
      <c r="F2333" t="s">
        <v>321</v>
      </c>
      <c r="G2333" t="str">
        <f>_xlfn.XLOOKUP(TRIM(E2334),MedicineInfo!A:A,MedicineInfo!B:B,"Not Found")</f>
        <v>Multivitamin</v>
      </c>
      <c r="H2333" s="1" t="str" cm="1">
        <f t="array" ref="H2333">_xlfn.IFS(
OR(E2333="Type 2 Diabetes",E2333="Essential Hypertension",E2333="Angina Pectoris",E2333="Bronchial Asthma",E2333="Cardiac Arrhythmia"), D2333+30,
OR(E2333="Gastritis",E2333="Osteoarthritis",E2333="Bronchitis",E2333="Iron Deficiency Anemia"), D2333+14,
OR(E2333="Lumbar Strain",E2333="Migraine Headache"), D2333+7,
OR(E2333="Viral Fever",E2333="General Checkup","Routine Health Check"), "",
TRUE,""
)</f>
        <v/>
      </c>
      <c r="I2333" s="1" t="str">
        <f t="shared" si="72"/>
        <v>No Follow-up Required</v>
      </c>
      <c r="J2333" t="str">
        <f>TEXT(Table8[[#This Row],[visit_Date]],"DDDD")</f>
        <v>Tuesday</v>
      </c>
      <c r="K2333" t="str">
        <f>TEXT(Table8[[#This Row],[visit_Date]],"mmmm")</f>
        <v>April</v>
      </c>
      <c r="L2333" t="str">
        <f t="shared" si="73"/>
        <v>Summer</v>
      </c>
    </row>
    <row r="2334" spans="1:12" x14ac:dyDescent="0.25">
      <c r="A2334">
        <v>2333</v>
      </c>
      <c r="B2334">
        <v>1394</v>
      </c>
      <c r="C2334">
        <v>611</v>
      </c>
      <c r="D2334" s="1">
        <v>45767</v>
      </c>
      <c r="E2334" t="s">
        <v>24</v>
      </c>
      <c r="F2334" t="s">
        <v>321</v>
      </c>
      <c r="G2334" t="str">
        <f>_xlfn.XLOOKUP(TRIM(E2335),MedicineInfo!A:A,MedicineInfo!B:B,"Not Found")</f>
        <v>Multivitamin</v>
      </c>
      <c r="H2334" s="1" t="str" cm="1">
        <f t="array" ref="H2334">_xlfn.IFS(
OR(E2334="Type 2 Diabetes",E2334="Essential Hypertension",E2334="Angina Pectoris",E2334="Bronchial Asthma",E2334="Cardiac Arrhythmia"), D2334+30,
OR(E2334="Gastritis",E2334="Osteoarthritis",E2334="Bronchitis",E2334="Iron Deficiency Anemia"), D2334+14,
OR(E2334="Lumbar Strain",E2334="Migraine Headache"), D2334+7,
OR(E2334="Viral Fever",E2334="General Checkup","Routine Health Check"), "",
TRUE,""
)</f>
        <v/>
      </c>
      <c r="I2334" s="1" t="str">
        <f t="shared" si="72"/>
        <v>No Follow-up Required</v>
      </c>
      <c r="J2334" t="str">
        <f>TEXT(Table8[[#This Row],[visit_Date]],"DDDD")</f>
        <v>Sunday</v>
      </c>
      <c r="K2334" t="str">
        <f>TEXT(Table8[[#This Row],[visit_Date]],"mmmm")</f>
        <v>April</v>
      </c>
      <c r="L2334" t="str">
        <f t="shared" si="73"/>
        <v>Summer</v>
      </c>
    </row>
    <row r="2335" spans="1:12" x14ac:dyDescent="0.25">
      <c r="A2335">
        <v>2334</v>
      </c>
      <c r="B2335">
        <v>1067</v>
      </c>
      <c r="C2335">
        <v>1511</v>
      </c>
      <c r="D2335" s="1">
        <v>45755</v>
      </c>
      <c r="E2335" t="s">
        <v>24</v>
      </c>
      <c r="F2335" t="s">
        <v>321</v>
      </c>
      <c r="G2335" t="str">
        <f>_xlfn.XLOOKUP(TRIM(E2336),MedicineInfo!A:A,MedicineInfo!B:B,"Not Found")</f>
        <v>Folic Acid</v>
      </c>
      <c r="H2335" s="1" t="str" cm="1">
        <f t="array" ref="H2335">_xlfn.IFS(
OR(E2335="Type 2 Diabetes",E2335="Essential Hypertension",E2335="Angina Pectoris",E2335="Bronchial Asthma",E2335="Cardiac Arrhythmia"), D2335+30,
OR(E2335="Gastritis",E2335="Osteoarthritis",E2335="Bronchitis",E2335="Iron Deficiency Anemia"), D2335+14,
OR(E2335="Lumbar Strain",E2335="Migraine Headache"), D2335+7,
OR(E2335="Viral Fever",E2335="General Checkup","Routine Health Check"), "",
TRUE,""
)</f>
        <v/>
      </c>
      <c r="I2335" s="1" t="str">
        <f t="shared" si="72"/>
        <v>No Follow-up Required</v>
      </c>
      <c r="J2335" t="str">
        <f>TEXT(Table8[[#This Row],[visit_Date]],"DDDD")</f>
        <v>Tuesday</v>
      </c>
      <c r="K2335" t="str">
        <f>TEXT(Table8[[#This Row],[visit_Date]],"mmmm")</f>
        <v>April</v>
      </c>
      <c r="L2335" t="str">
        <f t="shared" si="73"/>
        <v>Summer</v>
      </c>
    </row>
    <row r="2336" spans="1:12" x14ac:dyDescent="0.25">
      <c r="A2336">
        <v>2335</v>
      </c>
      <c r="B2336">
        <v>1378</v>
      </c>
      <c r="C2336">
        <v>695</v>
      </c>
      <c r="D2336" s="1">
        <v>45792</v>
      </c>
      <c r="E2336" t="s">
        <v>356</v>
      </c>
      <c r="F2336" t="s">
        <v>357</v>
      </c>
      <c r="G2336" t="str">
        <f>_xlfn.XLOOKUP(TRIM(E2337),MedicineInfo!A:A,MedicineInfo!B:B,"Not Found")</f>
        <v>Multivitamin</v>
      </c>
      <c r="H2336" s="1" t="str" cm="1">
        <f t="array" ref="H2336">_xlfn.IFS(
OR(E2336="Type 2 Diabetes",E2336="Essential Hypertension",E2336="Angina Pectoris",E2336="Bronchial Asthma",E2336="Cardiac Arrhythmia"), D2336+30,
OR(E2336="Gastritis",E2336="Osteoarthritis",E2336="Bronchitis",E2336="Iron Deficiency Anemia"), D2336+14,
OR(E2336="Lumbar Strain",E2336="Migraine Headache"), D2336+7,
OR(E2336="Viral Fever",E2336="General Checkup","Routine Health Check"), "",
TRUE,""
)</f>
        <v/>
      </c>
      <c r="I2336" s="1" t="str">
        <f t="shared" si="72"/>
        <v>No Follow-up Required</v>
      </c>
      <c r="J2336" t="str">
        <f>TEXT(Table8[[#This Row],[visit_Date]],"DDDD")</f>
        <v>Thursday</v>
      </c>
      <c r="K2336" t="str">
        <f>TEXT(Table8[[#This Row],[visit_Date]],"mmmm")</f>
        <v>May</v>
      </c>
      <c r="L2336" t="str">
        <f t="shared" si="73"/>
        <v>Summer</v>
      </c>
    </row>
    <row r="2337" spans="1:12" x14ac:dyDescent="0.25">
      <c r="A2337">
        <v>2336</v>
      </c>
      <c r="B2337">
        <v>1288</v>
      </c>
      <c r="C2337">
        <v>1356</v>
      </c>
      <c r="D2337" s="1">
        <v>45853</v>
      </c>
      <c r="E2337" t="s">
        <v>24</v>
      </c>
      <c r="F2337" t="s">
        <v>321</v>
      </c>
      <c r="G2337" t="str">
        <f>_xlfn.XLOOKUP(TRIM(E2338),MedicineInfo!A:A,MedicineInfo!B:B,"Not Found")</f>
        <v>Multivitamin</v>
      </c>
      <c r="H2337" s="1" t="str" cm="1">
        <f t="array" ref="H2337">_xlfn.IFS(
OR(E2337="Type 2 Diabetes",E2337="Essential Hypertension",E2337="Angina Pectoris",E2337="Bronchial Asthma",E2337="Cardiac Arrhythmia"), D2337+30,
OR(E2337="Gastritis",E2337="Osteoarthritis",E2337="Bronchitis",E2337="Iron Deficiency Anemia"), D2337+14,
OR(E2337="Lumbar Strain",E2337="Migraine Headache"), D2337+7,
OR(E2337="Viral Fever",E2337="General Checkup","Routine Health Check"), "",
TRUE,""
)</f>
        <v/>
      </c>
      <c r="I2337" s="1" t="str">
        <f t="shared" si="72"/>
        <v>No Follow-up Required</v>
      </c>
      <c r="J2337" t="str">
        <f>TEXT(Table8[[#This Row],[visit_Date]],"DDDD")</f>
        <v>Tuesday</v>
      </c>
      <c r="K2337" t="str">
        <f>TEXT(Table8[[#This Row],[visit_Date]],"mmmm")</f>
        <v>July</v>
      </c>
      <c r="L2337" t="str">
        <f t="shared" si="73"/>
        <v>Monsoon</v>
      </c>
    </row>
    <row r="2338" spans="1:12" x14ac:dyDescent="0.25">
      <c r="A2338">
        <v>2337</v>
      </c>
      <c r="B2338">
        <v>1291</v>
      </c>
      <c r="C2338">
        <v>339</v>
      </c>
      <c r="D2338" s="1">
        <v>45694</v>
      </c>
      <c r="E2338" t="s">
        <v>24</v>
      </c>
      <c r="F2338" t="s">
        <v>321</v>
      </c>
      <c r="G2338" t="str">
        <f>_xlfn.XLOOKUP(TRIM(E2339),MedicineInfo!A:A,MedicineInfo!B:B,"Not Found")</f>
        <v>Multivitamin</v>
      </c>
      <c r="H2338" s="1" t="str" cm="1">
        <f t="array" ref="H2338">_xlfn.IFS(
OR(E2338="Type 2 Diabetes",E2338="Essential Hypertension",E2338="Angina Pectoris",E2338="Bronchial Asthma",E2338="Cardiac Arrhythmia"), D2338+30,
OR(E2338="Gastritis",E2338="Osteoarthritis",E2338="Bronchitis",E2338="Iron Deficiency Anemia"), D2338+14,
OR(E2338="Lumbar Strain",E2338="Migraine Headache"), D2338+7,
OR(E2338="Viral Fever",E2338="General Checkup","Routine Health Check"), "",
TRUE,""
)</f>
        <v/>
      </c>
      <c r="I2338" s="1" t="str">
        <f t="shared" si="72"/>
        <v>No Follow-up Required</v>
      </c>
      <c r="J2338" t="str">
        <f>TEXT(Table8[[#This Row],[visit_Date]],"DDDD")</f>
        <v>Thursday</v>
      </c>
      <c r="K2338" t="str">
        <f>TEXT(Table8[[#This Row],[visit_Date]],"mmmm")</f>
        <v>February</v>
      </c>
      <c r="L2338" t="str">
        <f t="shared" si="73"/>
        <v>Winter</v>
      </c>
    </row>
    <row r="2339" spans="1:12" x14ac:dyDescent="0.25">
      <c r="A2339">
        <v>2338</v>
      </c>
      <c r="B2339">
        <v>1201</v>
      </c>
      <c r="C2339">
        <v>507</v>
      </c>
      <c r="D2339" s="1">
        <v>45669</v>
      </c>
      <c r="E2339" t="s">
        <v>24</v>
      </c>
      <c r="F2339" t="s">
        <v>321</v>
      </c>
      <c r="G2339" t="str">
        <f>_xlfn.XLOOKUP(TRIM(E2340),MedicineInfo!A:A,MedicineInfo!B:B,"Not Found")</f>
        <v>Folic Acid</v>
      </c>
      <c r="H2339" s="1" t="str" cm="1">
        <f t="array" ref="H2339">_xlfn.IFS(
OR(E2339="Type 2 Diabetes",E2339="Essential Hypertension",E2339="Angina Pectoris",E2339="Bronchial Asthma",E2339="Cardiac Arrhythmia"), D2339+30,
OR(E2339="Gastritis",E2339="Osteoarthritis",E2339="Bronchitis",E2339="Iron Deficiency Anemia"), D2339+14,
OR(E2339="Lumbar Strain",E2339="Migraine Headache"), D2339+7,
OR(E2339="Viral Fever",E2339="General Checkup","Routine Health Check"), "",
TRUE,""
)</f>
        <v/>
      </c>
      <c r="I2339" s="1" t="str">
        <f t="shared" si="72"/>
        <v>No Follow-up Required</v>
      </c>
      <c r="J2339" t="str">
        <f>TEXT(Table8[[#This Row],[visit_Date]],"DDDD")</f>
        <v>Sunday</v>
      </c>
      <c r="K2339" t="str">
        <f>TEXT(Table8[[#This Row],[visit_Date]],"mmmm")</f>
        <v>January</v>
      </c>
      <c r="L2339" t="str">
        <f t="shared" si="73"/>
        <v>Winter</v>
      </c>
    </row>
    <row r="2340" spans="1:12" x14ac:dyDescent="0.25">
      <c r="A2340">
        <v>2339</v>
      </c>
      <c r="B2340">
        <v>1005</v>
      </c>
      <c r="C2340">
        <v>404</v>
      </c>
      <c r="D2340" s="1">
        <v>45826</v>
      </c>
      <c r="E2340" t="s">
        <v>356</v>
      </c>
      <c r="F2340" t="s">
        <v>357</v>
      </c>
      <c r="G2340" t="str">
        <f>_xlfn.XLOOKUP(TRIM(E2341),MedicineInfo!A:A,MedicineInfo!B:B,"Not Found")</f>
        <v>Multivitamin</v>
      </c>
      <c r="H2340" s="1" t="str" cm="1">
        <f t="array" ref="H2340">_xlfn.IFS(
OR(E2340="Type 2 Diabetes",E2340="Essential Hypertension",E2340="Angina Pectoris",E2340="Bronchial Asthma",E2340="Cardiac Arrhythmia"), D2340+30,
OR(E2340="Gastritis",E2340="Osteoarthritis",E2340="Bronchitis",E2340="Iron Deficiency Anemia"), D2340+14,
OR(E2340="Lumbar Strain",E2340="Migraine Headache"), D2340+7,
OR(E2340="Viral Fever",E2340="General Checkup","Routine Health Check"), "",
TRUE,""
)</f>
        <v/>
      </c>
      <c r="I2340" s="1" t="str">
        <f t="shared" si="72"/>
        <v>No Follow-up Required</v>
      </c>
      <c r="J2340" t="str">
        <f>TEXT(Table8[[#This Row],[visit_Date]],"DDDD")</f>
        <v>Wednesday</v>
      </c>
      <c r="K2340" t="str">
        <f>TEXT(Table8[[#This Row],[visit_Date]],"mmmm")</f>
        <v>June</v>
      </c>
      <c r="L2340" t="str">
        <f t="shared" si="73"/>
        <v>Monsoon</v>
      </c>
    </row>
    <row r="2341" spans="1:12" x14ac:dyDescent="0.25">
      <c r="A2341">
        <v>2340</v>
      </c>
      <c r="B2341">
        <v>1008</v>
      </c>
      <c r="C2341">
        <v>681</v>
      </c>
      <c r="D2341" s="1">
        <v>45711</v>
      </c>
      <c r="E2341" t="s">
        <v>24</v>
      </c>
      <c r="F2341" t="s">
        <v>321</v>
      </c>
      <c r="G2341" t="str">
        <f>_xlfn.XLOOKUP(TRIM(E2342),MedicineInfo!A:A,MedicineInfo!B:B,"Not Found")</f>
        <v>Multivitamin</v>
      </c>
      <c r="H2341" s="1" t="str" cm="1">
        <f t="array" ref="H2341">_xlfn.IFS(
OR(E2341="Type 2 Diabetes",E2341="Essential Hypertension",E2341="Angina Pectoris",E2341="Bronchial Asthma",E2341="Cardiac Arrhythmia"), D2341+30,
OR(E2341="Gastritis",E2341="Osteoarthritis",E2341="Bronchitis",E2341="Iron Deficiency Anemia"), D2341+14,
OR(E2341="Lumbar Strain",E2341="Migraine Headache"), D2341+7,
OR(E2341="Viral Fever",E2341="General Checkup","Routine Health Check"), "",
TRUE,""
)</f>
        <v/>
      </c>
      <c r="I2341" s="1" t="str">
        <f t="shared" si="72"/>
        <v>No Follow-up Required</v>
      </c>
      <c r="J2341" t="str">
        <f>TEXT(Table8[[#This Row],[visit_Date]],"DDDD")</f>
        <v>Sunday</v>
      </c>
      <c r="K2341" t="str">
        <f>TEXT(Table8[[#This Row],[visit_Date]],"mmmm")</f>
        <v>February</v>
      </c>
      <c r="L2341" t="str">
        <f t="shared" si="73"/>
        <v>Winter</v>
      </c>
    </row>
    <row r="2342" spans="1:12" x14ac:dyDescent="0.25">
      <c r="A2342">
        <v>2341</v>
      </c>
      <c r="B2342">
        <v>1330</v>
      </c>
      <c r="C2342">
        <v>591</v>
      </c>
      <c r="D2342" s="1">
        <v>45787</v>
      </c>
      <c r="E2342" t="s">
        <v>24</v>
      </c>
      <c r="F2342" t="s">
        <v>321</v>
      </c>
      <c r="G2342" t="str">
        <f>_xlfn.XLOOKUP(TRIM(E2343),MedicineInfo!A:A,MedicineInfo!B:B,"Not Found")</f>
        <v>Multivitamin</v>
      </c>
      <c r="H2342" s="1" t="str" cm="1">
        <f t="array" ref="H2342">_xlfn.IFS(
OR(E2342="Type 2 Diabetes",E2342="Essential Hypertension",E2342="Angina Pectoris",E2342="Bronchial Asthma",E2342="Cardiac Arrhythmia"), D2342+30,
OR(E2342="Gastritis",E2342="Osteoarthritis",E2342="Bronchitis",E2342="Iron Deficiency Anemia"), D2342+14,
OR(E2342="Lumbar Strain",E2342="Migraine Headache"), D2342+7,
OR(E2342="Viral Fever",E2342="General Checkup","Routine Health Check"), "",
TRUE,""
)</f>
        <v/>
      </c>
      <c r="I2342" s="1" t="str">
        <f t="shared" si="72"/>
        <v>No Follow-up Required</v>
      </c>
      <c r="J2342" t="str">
        <f>TEXT(Table8[[#This Row],[visit_Date]],"DDDD")</f>
        <v>Saturday</v>
      </c>
      <c r="K2342" t="str">
        <f>TEXT(Table8[[#This Row],[visit_Date]],"mmmm")</f>
        <v>May</v>
      </c>
      <c r="L2342" t="str">
        <f t="shared" si="73"/>
        <v>Summer</v>
      </c>
    </row>
    <row r="2343" spans="1:12" x14ac:dyDescent="0.25">
      <c r="A2343">
        <v>2342</v>
      </c>
      <c r="B2343">
        <v>1275</v>
      </c>
      <c r="C2343">
        <v>424</v>
      </c>
      <c r="D2343" s="1">
        <v>45814</v>
      </c>
      <c r="E2343" t="s">
        <v>24</v>
      </c>
      <c r="F2343" t="s">
        <v>321</v>
      </c>
      <c r="G2343" t="str">
        <f>_xlfn.XLOOKUP(TRIM(E2344),MedicineInfo!A:A,MedicineInfo!B:B,"Not Found")</f>
        <v>Hydrocortisone Cream</v>
      </c>
      <c r="H2343" s="1" t="str" cm="1">
        <f t="array" ref="H2343">_xlfn.IFS(
OR(E2343="Type 2 Diabetes",E2343="Essential Hypertension",E2343="Angina Pectoris",E2343="Bronchial Asthma",E2343="Cardiac Arrhythmia"), D2343+30,
OR(E2343="Gastritis",E2343="Osteoarthritis",E2343="Bronchitis",E2343="Iron Deficiency Anemia"), D2343+14,
OR(E2343="Lumbar Strain",E2343="Migraine Headache"), D2343+7,
OR(E2343="Viral Fever",E2343="General Checkup","Routine Health Check"), "",
TRUE,""
)</f>
        <v/>
      </c>
      <c r="I2343" s="1" t="str">
        <f t="shared" si="72"/>
        <v>No Follow-up Required</v>
      </c>
      <c r="J2343" t="str">
        <f>TEXT(Table8[[#This Row],[visit_Date]],"DDDD")</f>
        <v>Friday</v>
      </c>
      <c r="K2343" t="str">
        <f>TEXT(Table8[[#This Row],[visit_Date]],"mmmm")</f>
        <v>June</v>
      </c>
      <c r="L2343" t="str">
        <f t="shared" si="73"/>
        <v>Monsoon</v>
      </c>
    </row>
    <row r="2344" spans="1:12" x14ac:dyDescent="0.25">
      <c r="A2344">
        <v>2343</v>
      </c>
      <c r="B2344">
        <v>1100</v>
      </c>
      <c r="C2344">
        <v>1079</v>
      </c>
      <c r="D2344" s="1">
        <v>45790</v>
      </c>
      <c r="E2344" t="s">
        <v>338</v>
      </c>
      <c r="F2344" t="s">
        <v>339</v>
      </c>
      <c r="G2344" t="str">
        <f>_xlfn.XLOOKUP(TRIM(E2345),MedicineInfo!A:A,MedicineInfo!B:B,"Not Found")</f>
        <v>Multivitamin</v>
      </c>
      <c r="H2344" s="1" t="str" cm="1">
        <f t="array" ref="H2344">_xlfn.IFS(
OR(E2344="Type 2 Diabetes",E2344="Essential Hypertension",E2344="Angina Pectoris",E2344="Bronchial Asthma",E2344="Cardiac Arrhythmia"), D2344+30,
OR(E2344="Gastritis",E2344="Osteoarthritis",E2344="Bronchitis",E2344="Iron Deficiency Anemia"), D2344+14,
OR(E2344="Lumbar Strain",E2344="Migraine Headache"), D2344+7,
OR(E2344="Viral Fever",E2344="General Checkup","Routine Health Check"), "",
TRUE,""
)</f>
        <v/>
      </c>
      <c r="I2344" s="1" t="str">
        <f t="shared" si="72"/>
        <v>No Follow-up Required</v>
      </c>
      <c r="J2344" t="str">
        <f>TEXT(Table8[[#This Row],[visit_Date]],"DDDD")</f>
        <v>Tuesday</v>
      </c>
      <c r="K2344" t="str">
        <f>TEXT(Table8[[#This Row],[visit_Date]],"mmmm")</f>
        <v>May</v>
      </c>
      <c r="L2344" t="str">
        <f t="shared" si="73"/>
        <v>Summer</v>
      </c>
    </row>
    <row r="2345" spans="1:12" x14ac:dyDescent="0.25">
      <c r="A2345">
        <v>2344</v>
      </c>
      <c r="B2345">
        <v>1096</v>
      </c>
      <c r="C2345">
        <v>1405</v>
      </c>
      <c r="D2345" s="1">
        <v>45659</v>
      </c>
      <c r="E2345" t="s">
        <v>24</v>
      </c>
      <c r="F2345" t="s">
        <v>321</v>
      </c>
      <c r="G2345" t="str">
        <f>_xlfn.XLOOKUP(TRIM(E2346),MedicineInfo!A:A,MedicineInfo!B:B,"Not Found")</f>
        <v>Multivitamin</v>
      </c>
      <c r="H2345" s="1" t="str" cm="1">
        <f t="array" ref="H2345">_xlfn.IFS(
OR(E2345="Type 2 Diabetes",E2345="Essential Hypertension",E2345="Angina Pectoris",E2345="Bronchial Asthma",E2345="Cardiac Arrhythmia"), D2345+30,
OR(E2345="Gastritis",E2345="Osteoarthritis",E2345="Bronchitis",E2345="Iron Deficiency Anemia"), D2345+14,
OR(E2345="Lumbar Strain",E2345="Migraine Headache"), D2345+7,
OR(E2345="Viral Fever",E2345="General Checkup","Routine Health Check"), "",
TRUE,""
)</f>
        <v/>
      </c>
      <c r="I2345" s="1" t="str">
        <f t="shared" si="72"/>
        <v>No Follow-up Required</v>
      </c>
      <c r="J2345" t="str">
        <f>TEXT(Table8[[#This Row],[visit_Date]],"DDDD")</f>
        <v>Thursday</v>
      </c>
      <c r="K2345" t="str">
        <f>TEXT(Table8[[#This Row],[visit_Date]],"mmmm")</f>
        <v>January</v>
      </c>
      <c r="L2345" t="str">
        <f t="shared" si="73"/>
        <v>Winter</v>
      </c>
    </row>
    <row r="2346" spans="1:12" x14ac:dyDescent="0.25">
      <c r="A2346">
        <v>2345</v>
      </c>
      <c r="B2346">
        <v>1222</v>
      </c>
      <c r="C2346">
        <v>1382</v>
      </c>
      <c r="D2346" s="1">
        <v>45677</v>
      </c>
      <c r="E2346" t="s">
        <v>24</v>
      </c>
      <c r="F2346" t="s">
        <v>321</v>
      </c>
      <c r="G2346" t="str">
        <f>_xlfn.XLOOKUP(TRIM(E2347),MedicineInfo!A:A,MedicineInfo!B:B,"Not Found")</f>
        <v>Multivitamin</v>
      </c>
      <c r="H2346" s="1" t="str" cm="1">
        <f t="array" ref="H2346">_xlfn.IFS(
OR(E2346="Type 2 Diabetes",E2346="Essential Hypertension",E2346="Angina Pectoris",E2346="Bronchial Asthma",E2346="Cardiac Arrhythmia"), D2346+30,
OR(E2346="Gastritis",E2346="Osteoarthritis",E2346="Bronchitis",E2346="Iron Deficiency Anemia"), D2346+14,
OR(E2346="Lumbar Strain",E2346="Migraine Headache"), D2346+7,
OR(E2346="Viral Fever",E2346="General Checkup","Routine Health Check"), "",
TRUE,""
)</f>
        <v/>
      </c>
      <c r="I2346" s="1" t="str">
        <f t="shared" si="72"/>
        <v>No Follow-up Required</v>
      </c>
      <c r="J2346" t="str">
        <f>TEXT(Table8[[#This Row],[visit_Date]],"DDDD")</f>
        <v>Monday</v>
      </c>
      <c r="K2346" t="str">
        <f>TEXT(Table8[[#This Row],[visit_Date]],"mmmm")</f>
        <v>January</v>
      </c>
      <c r="L2346" t="str">
        <f t="shared" si="73"/>
        <v>Winter</v>
      </c>
    </row>
    <row r="2347" spans="1:12" x14ac:dyDescent="0.25">
      <c r="A2347">
        <v>2346</v>
      </c>
      <c r="B2347">
        <v>1070</v>
      </c>
      <c r="C2347">
        <v>413</v>
      </c>
      <c r="D2347" s="1">
        <v>45790</v>
      </c>
      <c r="E2347" t="s">
        <v>24</v>
      </c>
      <c r="F2347" t="s">
        <v>321</v>
      </c>
      <c r="G2347" t="str">
        <f>_xlfn.XLOOKUP(TRIM(E2348),MedicineInfo!A:A,MedicineInfo!B:B,"Not Found")</f>
        <v>Escitalopram</v>
      </c>
      <c r="H2347" s="1" t="str" cm="1">
        <f t="array" ref="H2347">_xlfn.IFS(
OR(E2347="Type 2 Diabetes",E2347="Essential Hypertension",E2347="Angina Pectoris",E2347="Bronchial Asthma",E2347="Cardiac Arrhythmia"), D2347+30,
OR(E2347="Gastritis",E2347="Osteoarthritis",E2347="Bronchitis",E2347="Iron Deficiency Anemia"), D2347+14,
OR(E2347="Lumbar Strain",E2347="Migraine Headache"), D2347+7,
OR(E2347="Viral Fever",E2347="General Checkup","Routine Health Check"), "",
TRUE,""
)</f>
        <v/>
      </c>
      <c r="I2347" s="1" t="str">
        <f t="shared" si="72"/>
        <v>No Follow-up Required</v>
      </c>
      <c r="J2347" t="str">
        <f>TEXT(Table8[[#This Row],[visit_Date]],"DDDD")</f>
        <v>Tuesday</v>
      </c>
      <c r="K2347" t="str">
        <f>TEXT(Table8[[#This Row],[visit_Date]],"mmmm")</f>
        <v>May</v>
      </c>
      <c r="L2347" t="str">
        <f t="shared" si="73"/>
        <v>Summer</v>
      </c>
    </row>
    <row r="2348" spans="1:12" x14ac:dyDescent="0.25">
      <c r="A2348">
        <v>2347</v>
      </c>
      <c r="B2348">
        <v>1143</v>
      </c>
      <c r="C2348">
        <v>986</v>
      </c>
      <c r="D2348" s="1">
        <v>45790</v>
      </c>
      <c r="E2348" t="s">
        <v>328</v>
      </c>
      <c r="F2348" t="s">
        <v>329</v>
      </c>
      <c r="G2348" t="str">
        <f>_xlfn.XLOOKUP(TRIM(E2349),MedicineInfo!A:A,MedicineInfo!B:B,"Not Found")</f>
        <v>Multivitamin</v>
      </c>
      <c r="H2348" s="1" t="str" cm="1">
        <f t="array" ref="H2348">_xlfn.IFS(
OR(E2348="Type 2 Diabetes",E2348="Essential Hypertension",E2348="Angina Pectoris",E2348="Bronchial Asthma",E2348="Cardiac Arrhythmia"), D2348+30,
OR(E2348="Gastritis",E2348="Osteoarthritis",E2348="Bronchitis",E2348="Iron Deficiency Anemia"), D2348+14,
OR(E2348="Lumbar Strain",E2348="Migraine Headache"), D2348+7,
OR(E2348="Viral Fever",E2348="General Checkup","Routine Health Check"), "",
TRUE,""
)</f>
        <v/>
      </c>
      <c r="I2348" s="1" t="str">
        <f t="shared" si="72"/>
        <v>No Follow-up Required</v>
      </c>
      <c r="J2348" t="str">
        <f>TEXT(Table8[[#This Row],[visit_Date]],"DDDD")</f>
        <v>Tuesday</v>
      </c>
      <c r="K2348" t="str">
        <f>TEXT(Table8[[#This Row],[visit_Date]],"mmmm")</f>
        <v>May</v>
      </c>
      <c r="L2348" t="str">
        <f t="shared" si="73"/>
        <v>Summer</v>
      </c>
    </row>
    <row r="2349" spans="1:12" x14ac:dyDescent="0.25">
      <c r="A2349">
        <v>2348</v>
      </c>
      <c r="B2349">
        <v>1098</v>
      </c>
      <c r="C2349">
        <v>1275</v>
      </c>
      <c r="D2349" s="1">
        <v>45799</v>
      </c>
      <c r="E2349" t="s">
        <v>24</v>
      </c>
      <c r="F2349" t="s">
        <v>321</v>
      </c>
      <c r="G2349" t="str">
        <f>_xlfn.XLOOKUP(TRIM(E2350),MedicineInfo!A:A,MedicineInfo!B:B,"Not Found")</f>
        <v>Multivitamin</v>
      </c>
      <c r="H2349" s="1" t="str" cm="1">
        <f t="array" ref="H2349">_xlfn.IFS(
OR(E2349="Type 2 Diabetes",E2349="Essential Hypertension",E2349="Angina Pectoris",E2349="Bronchial Asthma",E2349="Cardiac Arrhythmia"), D2349+30,
OR(E2349="Gastritis",E2349="Osteoarthritis",E2349="Bronchitis",E2349="Iron Deficiency Anemia"), D2349+14,
OR(E2349="Lumbar Strain",E2349="Migraine Headache"), D2349+7,
OR(E2349="Viral Fever",E2349="General Checkup","Routine Health Check"), "",
TRUE,""
)</f>
        <v/>
      </c>
      <c r="I2349" s="1" t="str">
        <f t="shared" si="72"/>
        <v>No Follow-up Required</v>
      </c>
      <c r="J2349" t="str">
        <f>TEXT(Table8[[#This Row],[visit_Date]],"DDDD")</f>
        <v>Thursday</v>
      </c>
      <c r="K2349" t="str">
        <f>TEXT(Table8[[#This Row],[visit_Date]],"mmmm")</f>
        <v>May</v>
      </c>
      <c r="L2349" t="str">
        <f t="shared" si="73"/>
        <v>Summer</v>
      </c>
    </row>
    <row r="2350" spans="1:12" x14ac:dyDescent="0.25">
      <c r="A2350">
        <v>2349</v>
      </c>
      <c r="B2350">
        <v>1007</v>
      </c>
      <c r="C2350">
        <v>1238</v>
      </c>
      <c r="D2350" s="1">
        <v>45859</v>
      </c>
      <c r="E2350" t="s">
        <v>24</v>
      </c>
      <c r="F2350" t="s">
        <v>321</v>
      </c>
      <c r="G2350" t="str">
        <f>_xlfn.XLOOKUP(TRIM(E2351),MedicineInfo!A:A,MedicineInfo!B:B,"Not Found")</f>
        <v>Multivitamin</v>
      </c>
      <c r="H2350" s="1" t="str" cm="1">
        <f t="array" ref="H2350">_xlfn.IFS(
OR(E2350="Type 2 Diabetes",E2350="Essential Hypertension",E2350="Angina Pectoris",E2350="Bronchial Asthma",E2350="Cardiac Arrhythmia"), D2350+30,
OR(E2350="Gastritis",E2350="Osteoarthritis",E2350="Bronchitis",E2350="Iron Deficiency Anemia"), D2350+14,
OR(E2350="Lumbar Strain",E2350="Migraine Headache"), D2350+7,
OR(E2350="Viral Fever",E2350="General Checkup","Routine Health Check"), "",
TRUE,""
)</f>
        <v/>
      </c>
      <c r="I2350" s="1" t="str">
        <f t="shared" si="72"/>
        <v>No Follow-up Required</v>
      </c>
      <c r="J2350" t="str">
        <f>TEXT(Table8[[#This Row],[visit_Date]],"DDDD")</f>
        <v>Monday</v>
      </c>
      <c r="K2350" t="str">
        <f>TEXT(Table8[[#This Row],[visit_Date]],"mmmm")</f>
        <v>July</v>
      </c>
      <c r="L2350" t="str">
        <f t="shared" si="73"/>
        <v>Monsoon</v>
      </c>
    </row>
    <row r="2351" spans="1:12" x14ac:dyDescent="0.25">
      <c r="A2351">
        <v>2350</v>
      </c>
      <c r="B2351">
        <v>1344</v>
      </c>
      <c r="C2351">
        <v>1094</v>
      </c>
      <c r="D2351" s="1">
        <v>45783</v>
      </c>
      <c r="E2351" t="s">
        <v>24</v>
      </c>
      <c r="F2351" t="s">
        <v>321</v>
      </c>
      <c r="G2351" t="str">
        <f>_xlfn.XLOOKUP(TRIM(E2352),MedicineInfo!A:A,MedicineInfo!B:B,"Not Found")</f>
        <v>Multivitamin</v>
      </c>
      <c r="H2351" s="1" t="str" cm="1">
        <f t="array" ref="H2351">_xlfn.IFS(
OR(E2351="Type 2 Diabetes",E2351="Essential Hypertension",E2351="Angina Pectoris",E2351="Bronchial Asthma",E2351="Cardiac Arrhythmia"), D2351+30,
OR(E2351="Gastritis",E2351="Osteoarthritis",E2351="Bronchitis",E2351="Iron Deficiency Anemia"), D2351+14,
OR(E2351="Lumbar Strain",E2351="Migraine Headache"), D2351+7,
OR(E2351="Viral Fever",E2351="General Checkup","Routine Health Check"), "",
TRUE,""
)</f>
        <v/>
      </c>
      <c r="I2351" s="1" t="str">
        <f t="shared" si="72"/>
        <v>No Follow-up Required</v>
      </c>
      <c r="J2351" t="str">
        <f>TEXT(Table8[[#This Row],[visit_Date]],"DDDD")</f>
        <v>Tuesday</v>
      </c>
      <c r="K2351" t="str">
        <f>TEXT(Table8[[#This Row],[visit_Date]],"mmmm")</f>
        <v>May</v>
      </c>
      <c r="L2351" t="str">
        <f t="shared" si="73"/>
        <v>Summer</v>
      </c>
    </row>
    <row r="2352" spans="1:12" x14ac:dyDescent="0.25">
      <c r="A2352">
        <v>2351</v>
      </c>
      <c r="B2352">
        <v>1311</v>
      </c>
      <c r="C2352">
        <v>253</v>
      </c>
      <c r="D2352" s="1">
        <v>45758</v>
      </c>
      <c r="E2352" t="s">
        <v>24</v>
      </c>
      <c r="F2352" t="s">
        <v>321</v>
      </c>
      <c r="G2352" t="str">
        <f>_xlfn.XLOOKUP(TRIM(E2353),MedicineInfo!A:A,MedicineInfo!B:B,"Not Found")</f>
        <v>Multivitamin</v>
      </c>
      <c r="H2352" s="1" t="str" cm="1">
        <f t="array" ref="H2352">_xlfn.IFS(
OR(E2352="Type 2 Diabetes",E2352="Essential Hypertension",E2352="Angina Pectoris",E2352="Bronchial Asthma",E2352="Cardiac Arrhythmia"), D2352+30,
OR(E2352="Gastritis",E2352="Osteoarthritis",E2352="Bronchitis",E2352="Iron Deficiency Anemia"), D2352+14,
OR(E2352="Lumbar Strain",E2352="Migraine Headache"), D2352+7,
OR(E2352="Viral Fever",E2352="General Checkup","Routine Health Check"), "",
TRUE,""
)</f>
        <v/>
      </c>
      <c r="I2352" s="1" t="str">
        <f t="shared" si="72"/>
        <v>No Follow-up Required</v>
      </c>
      <c r="J2352" t="str">
        <f>TEXT(Table8[[#This Row],[visit_Date]],"DDDD")</f>
        <v>Friday</v>
      </c>
      <c r="K2352" t="str">
        <f>TEXT(Table8[[#This Row],[visit_Date]],"mmmm")</f>
        <v>April</v>
      </c>
      <c r="L2352" t="str">
        <f t="shared" si="73"/>
        <v>Summer</v>
      </c>
    </row>
    <row r="2353" spans="1:12" x14ac:dyDescent="0.25">
      <c r="A2353">
        <v>2352</v>
      </c>
      <c r="B2353">
        <v>1071</v>
      </c>
      <c r="C2353">
        <v>584</v>
      </c>
      <c r="D2353" s="1">
        <v>45853</v>
      </c>
      <c r="E2353" t="s">
        <v>24</v>
      </c>
      <c r="F2353" t="s">
        <v>321</v>
      </c>
      <c r="G2353" t="str">
        <f>_xlfn.XLOOKUP(TRIM(E2354),MedicineInfo!A:A,MedicineInfo!B:B,"Not Found")</f>
        <v>Pantoprazole</v>
      </c>
      <c r="H2353" s="1" t="str" cm="1">
        <f t="array" ref="H2353">_xlfn.IFS(
OR(E2353="Type 2 Diabetes",E2353="Essential Hypertension",E2353="Angina Pectoris",E2353="Bronchial Asthma",E2353="Cardiac Arrhythmia"), D2353+30,
OR(E2353="Gastritis",E2353="Osteoarthritis",E2353="Bronchitis",E2353="Iron Deficiency Anemia"), D2353+14,
OR(E2353="Lumbar Strain",E2353="Migraine Headache"), D2353+7,
OR(E2353="Viral Fever",E2353="General Checkup","Routine Health Check"), "",
TRUE,""
)</f>
        <v/>
      </c>
      <c r="I2353" s="1" t="str">
        <f t="shared" si="72"/>
        <v>No Follow-up Required</v>
      </c>
      <c r="J2353" t="str">
        <f>TEXT(Table8[[#This Row],[visit_Date]],"DDDD")</f>
        <v>Tuesday</v>
      </c>
      <c r="K2353" t="str">
        <f>TEXT(Table8[[#This Row],[visit_Date]],"mmmm")</f>
        <v>July</v>
      </c>
      <c r="L2353" t="str">
        <f t="shared" si="73"/>
        <v>Monsoon</v>
      </c>
    </row>
    <row r="2354" spans="1:12" x14ac:dyDescent="0.25">
      <c r="A2354">
        <v>2353</v>
      </c>
      <c r="B2354">
        <v>1383</v>
      </c>
      <c r="C2354">
        <v>134</v>
      </c>
      <c r="D2354" s="1">
        <v>45826</v>
      </c>
      <c r="E2354" t="s">
        <v>344</v>
      </c>
      <c r="F2354" t="s">
        <v>345</v>
      </c>
      <c r="G2354" t="str">
        <f>_xlfn.XLOOKUP(TRIM(E2355),MedicineInfo!A:A,MedicineInfo!B:B,"Not Found")</f>
        <v>Multivitamin</v>
      </c>
      <c r="H2354" s="1" cm="1">
        <f t="array" ref="H2354">_xlfn.IFS(
OR(E2354="Type 2 Diabetes",E2354="Essential Hypertension",E2354="Angina Pectoris",E2354="Bronchial Asthma",E2354="Cardiac Arrhythmia"), D2354+30,
OR(E2354="Gastritis",E2354="Osteoarthritis",E2354="Bronchitis",E2354="Iron Deficiency Anemia"), D2354+14,
OR(E2354="Lumbar Strain",E2354="Migraine Headache"), D2354+7,
OR(E2354="Viral Fever",E2354="General Checkup","Routine Health Check"), "",
TRUE,""
)</f>
        <v>45840</v>
      </c>
      <c r="I2354" s="1" t="str">
        <f t="shared" si="72"/>
        <v>Follow-up Scheduled</v>
      </c>
      <c r="J2354" t="str">
        <f>TEXT(Table8[[#This Row],[visit_Date]],"DDDD")</f>
        <v>Wednesday</v>
      </c>
      <c r="K2354" t="str">
        <f>TEXT(Table8[[#This Row],[visit_Date]],"mmmm")</f>
        <v>June</v>
      </c>
      <c r="L2354" t="str">
        <f t="shared" si="73"/>
        <v>Monsoon</v>
      </c>
    </row>
    <row r="2355" spans="1:12" x14ac:dyDescent="0.25">
      <c r="A2355">
        <v>2354</v>
      </c>
      <c r="B2355">
        <v>1363</v>
      </c>
      <c r="C2355">
        <v>490</v>
      </c>
      <c r="D2355" s="1">
        <v>45787</v>
      </c>
      <c r="E2355" t="s">
        <v>24</v>
      </c>
      <c r="F2355" t="s">
        <v>321</v>
      </c>
      <c r="G2355" t="str">
        <f>_xlfn.XLOOKUP(TRIM(E2356),MedicineInfo!A:A,MedicineInfo!B:B,"Not Found")</f>
        <v>Escitalopram</v>
      </c>
      <c r="H2355" s="1" t="str" cm="1">
        <f t="array" ref="H2355">_xlfn.IFS(
OR(E2355="Type 2 Diabetes",E2355="Essential Hypertension",E2355="Angina Pectoris",E2355="Bronchial Asthma",E2355="Cardiac Arrhythmia"), D2355+30,
OR(E2355="Gastritis",E2355="Osteoarthritis",E2355="Bronchitis",E2355="Iron Deficiency Anemia"), D2355+14,
OR(E2355="Lumbar Strain",E2355="Migraine Headache"), D2355+7,
OR(E2355="Viral Fever",E2355="General Checkup","Routine Health Check"), "",
TRUE,""
)</f>
        <v/>
      </c>
      <c r="I2355" s="1" t="str">
        <f t="shared" si="72"/>
        <v>No Follow-up Required</v>
      </c>
      <c r="J2355" t="str">
        <f>TEXT(Table8[[#This Row],[visit_Date]],"DDDD")</f>
        <v>Saturday</v>
      </c>
      <c r="K2355" t="str">
        <f>TEXT(Table8[[#This Row],[visit_Date]],"mmmm")</f>
        <v>May</v>
      </c>
      <c r="L2355" t="str">
        <f t="shared" si="73"/>
        <v>Summer</v>
      </c>
    </row>
    <row r="2356" spans="1:12" x14ac:dyDescent="0.25">
      <c r="A2356">
        <v>2355</v>
      </c>
      <c r="B2356">
        <v>1039</v>
      </c>
      <c r="C2356">
        <v>1390</v>
      </c>
      <c r="D2356" s="1">
        <v>45758</v>
      </c>
      <c r="E2356" t="s">
        <v>328</v>
      </c>
      <c r="F2356" t="s">
        <v>329</v>
      </c>
      <c r="G2356" t="str">
        <f>_xlfn.XLOOKUP(TRIM(E2357),MedicineInfo!A:A,MedicineInfo!B:B,"Not Found")</f>
        <v>Multivitamin</v>
      </c>
      <c r="H2356" s="1" t="str" cm="1">
        <f t="array" ref="H2356">_xlfn.IFS(
OR(E2356="Type 2 Diabetes",E2356="Essential Hypertension",E2356="Angina Pectoris",E2356="Bronchial Asthma",E2356="Cardiac Arrhythmia"), D2356+30,
OR(E2356="Gastritis",E2356="Osteoarthritis",E2356="Bronchitis",E2356="Iron Deficiency Anemia"), D2356+14,
OR(E2356="Lumbar Strain",E2356="Migraine Headache"), D2356+7,
OR(E2356="Viral Fever",E2356="General Checkup","Routine Health Check"), "",
TRUE,""
)</f>
        <v/>
      </c>
      <c r="I2356" s="1" t="str">
        <f t="shared" si="72"/>
        <v>No Follow-up Required</v>
      </c>
      <c r="J2356" t="str">
        <f>TEXT(Table8[[#This Row],[visit_Date]],"DDDD")</f>
        <v>Friday</v>
      </c>
      <c r="K2356" t="str">
        <f>TEXT(Table8[[#This Row],[visit_Date]],"mmmm")</f>
        <v>April</v>
      </c>
      <c r="L2356" t="str">
        <f t="shared" si="73"/>
        <v>Summer</v>
      </c>
    </row>
    <row r="2357" spans="1:12" x14ac:dyDescent="0.25">
      <c r="A2357">
        <v>2356</v>
      </c>
      <c r="B2357">
        <v>1127</v>
      </c>
      <c r="C2357">
        <v>625</v>
      </c>
      <c r="D2357" s="1">
        <v>45694</v>
      </c>
      <c r="E2357" t="s">
        <v>24</v>
      </c>
      <c r="F2357" t="s">
        <v>321</v>
      </c>
      <c r="G2357" t="str">
        <f>_xlfn.XLOOKUP(TRIM(E2358),MedicineInfo!A:A,MedicineInfo!B:B,"Not Found")</f>
        <v>Cefixime</v>
      </c>
      <c r="H2357" s="1" t="str" cm="1">
        <f t="array" ref="H2357">_xlfn.IFS(
OR(E2357="Type 2 Diabetes",E2357="Essential Hypertension",E2357="Angina Pectoris",E2357="Bronchial Asthma",E2357="Cardiac Arrhythmia"), D2357+30,
OR(E2357="Gastritis",E2357="Osteoarthritis",E2357="Bronchitis",E2357="Iron Deficiency Anemia"), D2357+14,
OR(E2357="Lumbar Strain",E2357="Migraine Headache"), D2357+7,
OR(E2357="Viral Fever",E2357="General Checkup","Routine Health Check"), "",
TRUE,""
)</f>
        <v/>
      </c>
      <c r="I2357" s="1" t="str">
        <f t="shared" si="72"/>
        <v>No Follow-up Required</v>
      </c>
      <c r="J2357" t="str">
        <f>TEXT(Table8[[#This Row],[visit_Date]],"DDDD")</f>
        <v>Thursday</v>
      </c>
      <c r="K2357" t="str">
        <f>TEXT(Table8[[#This Row],[visit_Date]],"mmmm")</f>
        <v>February</v>
      </c>
      <c r="L2357" t="str">
        <f t="shared" si="73"/>
        <v>Winter</v>
      </c>
    </row>
    <row r="2358" spans="1:12" x14ac:dyDescent="0.25">
      <c r="A2358">
        <v>2357</v>
      </c>
      <c r="B2358">
        <v>1119</v>
      </c>
      <c r="C2358">
        <v>1079</v>
      </c>
      <c r="D2358" s="1">
        <v>45672</v>
      </c>
      <c r="E2358" t="s">
        <v>354</v>
      </c>
      <c r="F2358" t="s">
        <v>355</v>
      </c>
      <c r="G2358" t="str">
        <f>_xlfn.XLOOKUP(TRIM(E2359),MedicineInfo!A:A,MedicineInfo!B:B,"Not Found")</f>
        <v>Multivitamin</v>
      </c>
      <c r="H2358" s="1" t="str" cm="1">
        <f t="array" ref="H2358">_xlfn.IFS(
OR(E2358="Type 2 Diabetes",E2358="Essential Hypertension",E2358="Angina Pectoris",E2358="Bronchial Asthma",E2358="Cardiac Arrhythmia"), D2358+30,
OR(E2358="Gastritis",E2358="Osteoarthritis",E2358="Bronchitis",E2358="Iron Deficiency Anemia"), D2358+14,
OR(E2358="Lumbar Strain",E2358="Migraine Headache"), D2358+7,
OR(E2358="Viral Fever",E2358="General Checkup","Routine Health Check"), "",
TRUE,""
)</f>
        <v/>
      </c>
      <c r="I2358" s="1" t="str">
        <f t="shared" si="72"/>
        <v>No Follow-up Required</v>
      </c>
      <c r="J2358" t="str">
        <f>TEXT(Table8[[#This Row],[visit_Date]],"DDDD")</f>
        <v>Wednesday</v>
      </c>
      <c r="K2358" t="str">
        <f>TEXT(Table8[[#This Row],[visit_Date]],"mmmm")</f>
        <v>January</v>
      </c>
      <c r="L2358" t="str">
        <f t="shared" si="73"/>
        <v>Winter</v>
      </c>
    </row>
    <row r="2359" spans="1:12" x14ac:dyDescent="0.25">
      <c r="A2359">
        <v>2358</v>
      </c>
      <c r="B2359">
        <v>1022</v>
      </c>
      <c r="C2359">
        <v>289</v>
      </c>
      <c r="D2359" s="1">
        <v>45726</v>
      </c>
      <c r="E2359" t="s">
        <v>24</v>
      </c>
      <c r="F2359" t="s">
        <v>321</v>
      </c>
      <c r="G2359" t="str">
        <f>_xlfn.XLOOKUP(TRIM(E2360),MedicineInfo!A:A,MedicineInfo!B:B,"Not Found")</f>
        <v>Multivitamin</v>
      </c>
      <c r="H2359" s="1" t="str" cm="1">
        <f t="array" ref="H2359">_xlfn.IFS(
OR(E2359="Type 2 Diabetes",E2359="Essential Hypertension",E2359="Angina Pectoris",E2359="Bronchial Asthma",E2359="Cardiac Arrhythmia"), D2359+30,
OR(E2359="Gastritis",E2359="Osteoarthritis",E2359="Bronchitis",E2359="Iron Deficiency Anemia"), D2359+14,
OR(E2359="Lumbar Strain",E2359="Migraine Headache"), D2359+7,
OR(E2359="Viral Fever",E2359="General Checkup","Routine Health Check"), "",
TRUE,""
)</f>
        <v/>
      </c>
      <c r="I2359" s="1" t="str">
        <f t="shared" si="72"/>
        <v>No Follow-up Required</v>
      </c>
      <c r="J2359" t="str">
        <f>TEXT(Table8[[#This Row],[visit_Date]],"DDDD")</f>
        <v>Monday</v>
      </c>
      <c r="K2359" t="str">
        <f>TEXT(Table8[[#This Row],[visit_Date]],"mmmm")</f>
        <v>March</v>
      </c>
      <c r="L2359" t="str">
        <f t="shared" si="73"/>
        <v>Summer</v>
      </c>
    </row>
    <row r="2360" spans="1:12" x14ac:dyDescent="0.25">
      <c r="A2360">
        <v>2359</v>
      </c>
      <c r="B2360">
        <v>1120</v>
      </c>
      <c r="C2360">
        <v>838</v>
      </c>
      <c r="D2360" s="1">
        <v>45806</v>
      </c>
      <c r="E2360" t="s">
        <v>24</v>
      </c>
      <c r="F2360" t="s">
        <v>321</v>
      </c>
      <c r="G2360" t="str">
        <f>_xlfn.XLOOKUP(TRIM(E2361),MedicineInfo!A:A,MedicineInfo!B:B,"Not Found")</f>
        <v>Multivitamin</v>
      </c>
      <c r="H2360" s="1" t="str" cm="1">
        <f t="array" ref="H2360">_xlfn.IFS(
OR(E2360="Type 2 Diabetes",E2360="Essential Hypertension",E2360="Angina Pectoris",E2360="Bronchial Asthma",E2360="Cardiac Arrhythmia"), D2360+30,
OR(E2360="Gastritis",E2360="Osteoarthritis",E2360="Bronchitis",E2360="Iron Deficiency Anemia"), D2360+14,
OR(E2360="Lumbar Strain",E2360="Migraine Headache"), D2360+7,
OR(E2360="Viral Fever",E2360="General Checkup","Routine Health Check"), "",
TRUE,""
)</f>
        <v/>
      </c>
      <c r="I2360" s="1" t="str">
        <f t="shared" si="72"/>
        <v>No Follow-up Required</v>
      </c>
      <c r="J2360" t="str">
        <f>TEXT(Table8[[#This Row],[visit_Date]],"DDDD")</f>
        <v>Thursday</v>
      </c>
      <c r="K2360" t="str">
        <f>TEXT(Table8[[#This Row],[visit_Date]],"mmmm")</f>
        <v>May</v>
      </c>
      <c r="L2360" t="str">
        <f t="shared" si="73"/>
        <v>Summer</v>
      </c>
    </row>
    <row r="2361" spans="1:12" x14ac:dyDescent="0.25">
      <c r="A2361">
        <v>2360</v>
      </c>
      <c r="B2361">
        <v>1145</v>
      </c>
      <c r="C2361">
        <v>922</v>
      </c>
      <c r="D2361" s="1">
        <v>45849</v>
      </c>
      <c r="E2361" t="s">
        <v>24</v>
      </c>
      <c r="F2361" t="s">
        <v>321</v>
      </c>
      <c r="G2361" t="str">
        <f>_xlfn.XLOOKUP(TRIM(E2362),MedicineInfo!A:A,MedicineInfo!B:B,"Not Found")</f>
        <v>Multivitamin</v>
      </c>
      <c r="H2361" s="1" t="str" cm="1">
        <f t="array" ref="H2361">_xlfn.IFS(
OR(E2361="Type 2 Diabetes",E2361="Essential Hypertension",E2361="Angina Pectoris",E2361="Bronchial Asthma",E2361="Cardiac Arrhythmia"), D2361+30,
OR(E2361="Gastritis",E2361="Osteoarthritis",E2361="Bronchitis",E2361="Iron Deficiency Anemia"), D2361+14,
OR(E2361="Lumbar Strain",E2361="Migraine Headache"), D2361+7,
OR(E2361="Viral Fever",E2361="General Checkup","Routine Health Check"), "",
TRUE,""
)</f>
        <v/>
      </c>
      <c r="I2361" s="1" t="str">
        <f t="shared" si="72"/>
        <v>No Follow-up Required</v>
      </c>
      <c r="J2361" t="str">
        <f>TEXT(Table8[[#This Row],[visit_Date]],"DDDD")</f>
        <v>Friday</v>
      </c>
      <c r="K2361" t="str">
        <f>TEXT(Table8[[#This Row],[visit_Date]],"mmmm")</f>
        <v>July</v>
      </c>
      <c r="L2361" t="str">
        <f t="shared" si="73"/>
        <v>Monsoon</v>
      </c>
    </row>
    <row r="2362" spans="1:12" x14ac:dyDescent="0.25">
      <c r="A2362">
        <v>2361</v>
      </c>
      <c r="B2362">
        <v>1324</v>
      </c>
      <c r="C2362">
        <v>1375</v>
      </c>
      <c r="D2362" s="1">
        <v>45819</v>
      </c>
      <c r="E2362" t="s">
        <v>24</v>
      </c>
      <c r="F2362" t="s">
        <v>321</v>
      </c>
      <c r="G2362" t="str">
        <f>_xlfn.XLOOKUP(TRIM(E2363),MedicineInfo!A:A,MedicineInfo!B:B,"Not Found")</f>
        <v>Levothyroxine</v>
      </c>
      <c r="H2362" s="1" t="str" cm="1">
        <f t="array" ref="H2362">_xlfn.IFS(
OR(E2362="Type 2 Diabetes",E2362="Essential Hypertension",E2362="Angina Pectoris",E2362="Bronchial Asthma",E2362="Cardiac Arrhythmia"), D2362+30,
OR(E2362="Gastritis",E2362="Osteoarthritis",E2362="Bronchitis",E2362="Iron Deficiency Anemia"), D2362+14,
OR(E2362="Lumbar Strain",E2362="Migraine Headache"), D2362+7,
OR(E2362="Viral Fever",E2362="General Checkup","Routine Health Check"), "",
TRUE,""
)</f>
        <v/>
      </c>
      <c r="I2362" s="1" t="str">
        <f t="shared" si="72"/>
        <v>No Follow-up Required</v>
      </c>
      <c r="J2362" t="str">
        <f>TEXT(Table8[[#This Row],[visit_Date]],"DDDD")</f>
        <v>Wednesday</v>
      </c>
      <c r="K2362" t="str">
        <f>TEXT(Table8[[#This Row],[visit_Date]],"mmmm")</f>
        <v>June</v>
      </c>
      <c r="L2362" t="str">
        <f t="shared" si="73"/>
        <v>Monsoon</v>
      </c>
    </row>
    <row r="2363" spans="1:12" x14ac:dyDescent="0.25">
      <c r="A2363">
        <v>2362</v>
      </c>
      <c r="B2363">
        <v>1293</v>
      </c>
      <c r="C2363">
        <v>1386</v>
      </c>
      <c r="D2363" s="1">
        <v>45819</v>
      </c>
      <c r="E2363" t="s">
        <v>360</v>
      </c>
      <c r="F2363" t="s">
        <v>361</v>
      </c>
      <c r="G2363" t="str">
        <f>_xlfn.XLOOKUP(TRIM(E2364),MedicineInfo!A:A,MedicineInfo!B:B,"Not Found")</f>
        <v>Vitamin D3</v>
      </c>
      <c r="H2363" s="1" t="str" cm="1">
        <f t="array" ref="H2363">_xlfn.IFS(
OR(E2363="Type 2 Diabetes",E2363="Essential Hypertension",E2363="Angina Pectoris",E2363="Bronchial Asthma",E2363="Cardiac Arrhythmia"), D2363+30,
OR(E2363="Gastritis",E2363="Osteoarthritis",E2363="Bronchitis",E2363="Iron Deficiency Anemia"), D2363+14,
OR(E2363="Lumbar Strain",E2363="Migraine Headache"), D2363+7,
OR(E2363="Viral Fever",E2363="General Checkup","Routine Health Check"), "",
TRUE,""
)</f>
        <v/>
      </c>
      <c r="I2363" s="1" t="str">
        <f t="shared" si="72"/>
        <v>No Follow-up Required</v>
      </c>
      <c r="J2363" t="str">
        <f>TEXT(Table8[[#This Row],[visit_Date]],"DDDD")</f>
        <v>Wednesday</v>
      </c>
      <c r="K2363" t="str">
        <f>TEXT(Table8[[#This Row],[visit_Date]],"mmmm")</f>
        <v>June</v>
      </c>
      <c r="L2363" t="str">
        <f t="shared" si="73"/>
        <v>Monsoon</v>
      </c>
    </row>
    <row r="2364" spans="1:12" x14ac:dyDescent="0.25">
      <c r="A2364">
        <v>2363</v>
      </c>
      <c r="B2364">
        <v>1243</v>
      </c>
      <c r="C2364">
        <v>1447</v>
      </c>
      <c r="D2364" s="1">
        <v>45814</v>
      </c>
      <c r="E2364" t="s">
        <v>332</v>
      </c>
      <c r="F2364" t="s">
        <v>333</v>
      </c>
      <c r="G2364" t="str">
        <f>_xlfn.XLOOKUP(TRIM(E2365),MedicineInfo!A:A,MedicineInfo!B:B,"Not Found")</f>
        <v>Donepezil</v>
      </c>
      <c r="H2364" s="1" t="str" cm="1">
        <f t="array" ref="H2364">_xlfn.IFS(
OR(E2364="Type 2 Diabetes",E2364="Essential Hypertension",E2364="Angina Pectoris",E2364="Bronchial Asthma",E2364="Cardiac Arrhythmia"), D2364+30,
OR(E2364="Gastritis",E2364="Osteoarthritis",E2364="Bronchitis",E2364="Iron Deficiency Anemia"), D2364+14,
OR(E2364="Lumbar Strain",E2364="Migraine Headache"), D2364+7,
OR(E2364="Viral Fever",E2364="General Checkup","Routine Health Check"), "",
TRUE,""
)</f>
        <v/>
      </c>
      <c r="I2364" s="1" t="str">
        <f t="shared" si="72"/>
        <v>No Follow-up Required</v>
      </c>
      <c r="J2364" t="str">
        <f>TEXT(Table8[[#This Row],[visit_Date]],"DDDD")</f>
        <v>Friday</v>
      </c>
      <c r="K2364" t="str">
        <f>TEXT(Table8[[#This Row],[visit_Date]],"mmmm")</f>
        <v>June</v>
      </c>
      <c r="L2364" t="str">
        <f t="shared" si="73"/>
        <v>Monsoon</v>
      </c>
    </row>
    <row r="2365" spans="1:12" x14ac:dyDescent="0.25">
      <c r="A2365">
        <v>2364</v>
      </c>
      <c r="B2365">
        <v>1260</v>
      </c>
      <c r="C2365">
        <v>437</v>
      </c>
      <c r="D2365" s="1">
        <v>45819</v>
      </c>
      <c r="E2365" t="s">
        <v>350</v>
      </c>
      <c r="F2365" t="s">
        <v>351</v>
      </c>
      <c r="G2365" t="str">
        <f>_xlfn.XLOOKUP(TRIM(E2366),MedicineInfo!A:A,MedicineInfo!B:B,"Not Found")</f>
        <v>Multivitamin</v>
      </c>
      <c r="H2365" s="1" t="str" cm="1">
        <f t="array" ref="H2365">_xlfn.IFS(
OR(E2365="Type 2 Diabetes",E2365="Essential Hypertension",E2365="Angina Pectoris",E2365="Bronchial Asthma",E2365="Cardiac Arrhythmia"), D2365+30,
OR(E2365="Gastritis",E2365="Osteoarthritis",E2365="Bronchitis",E2365="Iron Deficiency Anemia"), D2365+14,
OR(E2365="Lumbar Strain",E2365="Migraine Headache"), D2365+7,
OR(E2365="Viral Fever",E2365="General Checkup","Routine Health Check"), "",
TRUE,""
)</f>
        <v/>
      </c>
      <c r="I2365" s="1" t="str">
        <f t="shared" si="72"/>
        <v>No Follow-up Required</v>
      </c>
      <c r="J2365" t="str">
        <f>TEXT(Table8[[#This Row],[visit_Date]],"DDDD")</f>
        <v>Wednesday</v>
      </c>
      <c r="K2365" t="str">
        <f>TEXT(Table8[[#This Row],[visit_Date]],"mmmm")</f>
        <v>June</v>
      </c>
      <c r="L2365" t="str">
        <f t="shared" si="73"/>
        <v>Monsoon</v>
      </c>
    </row>
    <row r="2366" spans="1:12" x14ac:dyDescent="0.25">
      <c r="A2366">
        <v>2365</v>
      </c>
      <c r="B2366">
        <v>1340</v>
      </c>
      <c r="C2366">
        <v>171</v>
      </c>
      <c r="D2366" s="1">
        <v>45756</v>
      </c>
      <c r="E2366" t="s">
        <v>24</v>
      </c>
      <c r="F2366" t="s">
        <v>321</v>
      </c>
      <c r="G2366" t="str">
        <f>_xlfn.XLOOKUP(TRIM(E2367),MedicineInfo!A:A,MedicineInfo!B:B,"Not Found")</f>
        <v>Multivitamin</v>
      </c>
      <c r="H2366" s="1" t="str" cm="1">
        <f t="array" ref="H2366">_xlfn.IFS(
OR(E2366="Type 2 Diabetes",E2366="Essential Hypertension",E2366="Angina Pectoris",E2366="Bronchial Asthma",E2366="Cardiac Arrhythmia"), D2366+30,
OR(E2366="Gastritis",E2366="Osteoarthritis",E2366="Bronchitis",E2366="Iron Deficiency Anemia"), D2366+14,
OR(E2366="Lumbar Strain",E2366="Migraine Headache"), D2366+7,
OR(E2366="Viral Fever",E2366="General Checkup","Routine Health Check"), "",
TRUE,""
)</f>
        <v/>
      </c>
      <c r="I2366" s="1" t="str">
        <f t="shared" si="72"/>
        <v>No Follow-up Required</v>
      </c>
      <c r="J2366" t="str">
        <f>TEXT(Table8[[#This Row],[visit_Date]],"DDDD")</f>
        <v>Wednesday</v>
      </c>
      <c r="K2366" t="str">
        <f>TEXT(Table8[[#This Row],[visit_Date]],"mmmm")</f>
        <v>April</v>
      </c>
      <c r="L2366" t="str">
        <f t="shared" si="73"/>
        <v>Summer</v>
      </c>
    </row>
    <row r="2367" spans="1:12" x14ac:dyDescent="0.25">
      <c r="A2367">
        <v>2366</v>
      </c>
      <c r="B2367">
        <v>1046</v>
      </c>
      <c r="C2367">
        <v>774</v>
      </c>
      <c r="D2367" s="1">
        <v>45779</v>
      </c>
      <c r="E2367" t="s">
        <v>24</v>
      </c>
      <c r="F2367" t="s">
        <v>321</v>
      </c>
      <c r="G2367" t="str">
        <f>_xlfn.XLOOKUP(TRIM(E2368),MedicineInfo!A:A,MedicineInfo!B:B,"Not Found")</f>
        <v>Multivitamin</v>
      </c>
      <c r="H2367" s="1" t="str" cm="1">
        <f t="array" ref="H2367">_xlfn.IFS(
OR(E2367="Type 2 Diabetes",E2367="Essential Hypertension",E2367="Angina Pectoris",E2367="Bronchial Asthma",E2367="Cardiac Arrhythmia"), D2367+30,
OR(E2367="Gastritis",E2367="Osteoarthritis",E2367="Bronchitis",E2367="Iron Deficiency Anemia"), D2367+14,
OR(E2367="Lumbar Strain",E2367="Migraine Headache"), D2367+7,
OR(E2367="Viral Fever",E2367="General Checkup","Routine Health Check"), "",
TRUE,""
)</f>
        <v/>
      </c>
      <c r="I2367" s="1" t="str">
        <f t="shared" si="72"/>
        <v>No Follow-up Required</v>
      </c>
      <c r="J2367" t="str">
        <f>TEXT(Table8[[#This Row],[visit_Date]],"DDDD")</f>
        <v>Friday</v>
      </c>
      <c r="K2367" t="str">
        <f>TEXT(Table8[[#This Row],[visit_Date]],"mmmm")</f>
        <v>May</v>
      </c>
      <c r="L2367" t="str">
        <f t="shared" si="73"/>
        <v>Summer</v>
      </c>
    </row>
    <row r="2368" spans="1:12" x14ac:dyDescent="0.25">
      <c r="A2368">
        <v>2367</v>
      </c>
      <c r="B2368">
        <v>1152</v>
      </c>
      <c r="C2368">
        <v>1378</v>
      </c>
      <c r="D2368" s="1">
        <v>45839</v>
      </c>
      <c r="E2368" t="s">
        <v>24</v>
      </c>
      <c r="F2368" t="s">
        <v>321</v>
      </c>
      <c r="G2368" t="str">
        <f>_xlfn.XLOOKUP(TRIM(E2369),MedicineInfo!A:A,MedicineInfo!B:B,"Not Found")</f>
        <v>Aceclofenac</v>
      </c>
      <c r="H2368" s="1" t="str" cm="1">
        <f t="array" ref="H2368">_xlfn.IFS(
OR(E2368="Type 2 Diabetes",E2368="Essential Hypertension",E2368="Angina Pectoris",E2368="Bronchial Asthma",E2368="Cardiac Arrhythmia"), D2368+30,
OR(E2368="Gastritis",E2368="Osteoarthritis",E2368="Bronchitis",E2368="Iron Deficiency Anemia"), D2368+14,
OR(E2368="Lumbar Strain",E2368="Migraine Headache"), D2368+7,
OR(E2368="Viral Fever",E2368="General Checkup","Routine Health Check"), "",
TRUE,""
)</f>
        <v/>
      </c>
      <c r="I2368" s="1" t="str">
        <f t="shared" si="72"/>
        <v>No Follow-up Required</v>
      </c>
      <c r="J2368" t="str">
        <f>TEXT(Table8[[#This Row],[visit_Date]],"DDDD")</f>
        <v>Tuesday</v>
      </c>
      <c r="K2368" t="str">
        <f>TEXT(Table8[[#This Row],[visit_Date]],"mmmm")</f>
        <v>July</v>
      </c>
      <c r="L2368" t="str">
        <f t="shared" si="73"/>
        <v>Monsoon</v>
      </c>
    </row>
    <row r="2369" spans="1:12" x14ac:dyDescent="0.25">
      <c r="A2369">
        <v>2368</v>
      </c>
      <c r="B2369">
        <v>1051</v>
      </c>
      <c r="C2369">
        <v>575</v>
      </c>
      <c r="D2369" s="1">
        <v>45783</v>
      </c>
      <c r="E2369" t="s">
        <v>348</v>
      </c>
      <c r="F2369" t="s">
        <v>349</v>
      </c>
      <c r="G2369" t="str">
        <f>_xlfn.XLOOKUP(TRIM(E2370),MedicineInfo!A:A,MedicineInfo!B:B,"Not Found")</f>
        <v>Diclofenac</v>
      </c>
      <c r="H2369" s="1" cm="1">
        <f t="array" ref="H2369">_xlfn.IFS(
OR(E2369="Type 2 Diabetes",E2369="Essential Hypertension",E2369="Angina Pectoris",E2369="Bronchial Asthma",E2369="Cardiac Arrhythmia"), D2369+30,
OR(E2369="Gastritis",E2369="Osteoarthritis",E2369="Bronchitis",E2369="Iron Deficiency Anemia"), D2369+14,
OR(E2369="Lumbar Strain",E2369="Migraine Headache"), D2369+7,
OR(E2369="Viral Fever",E2369="General Checkup","Routine Health Check"), "",
TRUE,""
)</f>
        <v>45797</v>
      </c>
      <c r="I2369" s="1" t="str">
        <f t="shared" si="72"/>
        <v>Follow-up Scheduled</v>
      </c>
      <c r="J2369" t="str">
        <f>TEXT(Table8[[#This Row],[visit_Date]],"DDDD")</f>
        <v>Tuesday</v>
      </c>
      <c r="K2369" t="str">
        <f>TEXT(Table8[[#This Row],[visit_Date]],"mmmm")</f>
        <v>May</v>
      </c>
      <c r="L2369" t="str">
        <f t="shared" si="73"/>
        <v>Summer</v>
      </c>
    </row>
    <row r="2370" spans="1:12" x14ac:dyDescent="0.25">
      <c r="A2370">
        <v>2369</v>
      </c>
      <c r="B2370">
        <v>1253</v>
      </c>
      <c r="C2370">
        <v>556</v>
      </c>
      <c r="D2370" s="1">
        <v>45819</v>
      </c>
      <c r="E2370" t="s">
        <v>313</v>
      </c>
      <c r="F2370" t="s">
        <v>314</v>
      </c>
      <c r="G2370" t="str">
        <f>_xlfn.XLOOKUP(TRIM(E2371),MedicineInfo!A:A,MedicineInfo!B:B,"Not Found")</f>
        <v>Hydrocortisone Cream</v>
      </c>
      <c r="H2370" s="1" cm="1">
        <f t="array" ref="H2370">_xlfn.IFS(
OR(E2370="Type 2 Diabetes",E2370="Essential Hypertension",E2370="Angina Pectoris",E2370="Bronchial Asthma",E2370="Cardiac Arrhythmia"), D2370+30,
OR(E2370="Gastritis",E2370="Osteoarthritis",E2370="Bronchitis",E2370="Iron Deficiency Anemia"), D2370+14,
OR(E2370="Lumbar Strain",E2370="Migraine Headache"), D2370+7,
OR(E2370="Viral Fever",E2370="General Checkup","Routine Health Check"), "",
TRUE,""
)</f>
        <v>45826</v>
      </c>
      <c r="I2370" s="1" t="str">
        <f t="shared" ref="I2370:I2433" si="74">IF(H2370="","No Follow-up Required","Follow-up Scheduled")</f>
        <v>Follow-up Scheduled</v>
      </c>
      <c r="J2370" t="str">
        <f>TEXT(Table8[[#This Row],[visit_Date]],"DDDD")</f>
        <v>Wednesday</v>
      </c>
      <c r="K2370" t="str">
        <f>TEXT(Table8[[#This Row],[visit_Date]],"mmmm")</f>
        <v>June</v>
      </c>
      <c r="L2370" t="str">
        <f t="shared" ref="L2370:L2433" si="75">IF(OR(MONTH(D2370)=12,MONTH(D2370)&lt;=2),"Winter",
IF(MONTH(D2370)&lt;=5,"Summer","Monsoon"))</f>
        <v>Monsoon</v>
      </c>
    </row>
    <row r="2371" spans="1:12" x14ac:dyDescent="0.25">
      <c r="A2371">
        <v>2370</v>
      </c>
      <c r="B2371">
        <v>1136</v>
      </c>
      <c r="C2371">
        <v>269</v>
      </c>
      <c r="D2371" s="1">
        <v>45842</v>
      </c>
      <c r="E2371" t="s">
        <v>338</v>
      </c>
      <c r="F2371" t="s">
        <v>339</v>
      </c>
      <c r="G2371" t="str">
        <f>_xlfn.XLOOKUP(TRIM(E2372),MedicineInfo!A:A,MedicineInfo!B:B,"Not Found")</f>
        <v>Multivitamin</v>
      </c>
      <c r="H2371" s="1" t="str" cm="1">
        <f t="array" ref="H2371">_xlfn.IFS(
OR(E2371="Type 2 Diabetes",E2371="Essential Hypertension",E2371="Angina Pectoris",E2371="Bronchial Asthma",E2371="Cardiac Arrhythmia"), D2371+30,
OR(E2371="Gastritis",E2371="Osteoarthritis",E2371="Bronchitis",E2371="Iron Deficiency Anemia"), D2371+14,
OR(E2371="Lumbar Strain",E2371="Migraine Headache"), D2371+7,
OR(E2371="Viral Fever",E2371="General Checkup","Routine Health Check"), "",
TRUE,""
)</f>
        <v/>
      </c>
      <c r="I2371" s="1" t="str">
        <f t="shared" si="74"/>
        <v>No Follow-up Required</v>
      </c>
      <c r="J2371" t="str">
        <f>TEXT(Table8[[#This Row],[visit_Date]],"DDDD")</f>
        <v>Friday</v>
      </c>
      <c r="K2371" t="str">
        <f>TEXT(Table8[[#This Row],[visit_Date]],"mmmm")</f>
        <v>July</v>
      </c>
      <c r="L2371" t="str">
        <f t="shared" si="75"/>
        <v>Monsoon</v>
      </c>
    </row>
    <row r="2372" spans="1:12" x14ac:dyDescent="0.25">
      <c r="A2372">
        <v>2371</v>
      </c>
      <c r="B2372">
        <v>1226</v>
      </c>
      <c r="C2372">
        <v>679</v>
      </c>
      <c r="D2372" s="1">
        <v>45819</v>
      </c>
      <c r="E2372" t="s">
        <v>24</v>
      </c>
      <c r="F2372" t="s">
        <v>321</v>
      </c>
      <c r="G2372" t="str">
        <f>_xlfn.XLOOKUP(TRIM(E2373),MedicineInfo!A:A,MedicineInfo!B:B,"Not Found")</f>
        <v>Vitamin D3</v>
      </c>
      <c r="H2372" s="1" t="str" cm="1">
        <f t="array" ref="H2372">_xlfn.IFS(
OR(E2372="Type 2 Diabetes",E2372="Essential Hypertension",E2372="Angina Pectoris",E2372="Bronchial Asthma",E2372="Cardiac Arrhythmia"), D2372+30,
OR(E2372="Gastritis",E2372="Osteoarthritis",E2372="Bronchitis",E2372="Iron Deficiency Anemia"), D2372+14,
OR(E2372="Lumbar Strain",E2372="Migraine Headache"), D2372+7,
OR(E2372="Viral Fever",E2372="General Checkup","Routine Health Check"), "",
TRUE,""
)</f>
        <v/>
      </c>
      <c r="I2372" s="1" t="str">
        <f t="shared" si="74"/>
        <v>No Follow-up Required</v>
      </c>
      <c r="J2372" t="str">
        <f>TEXT(Table8[[#This Row],[visit_Date]],"DDDD")</f>
        <v>Wednesday</v>
      </c>
      <c r="K2372" t="str">
        <f>TEXT(Table8[[#This Row],[visit_Date]],"mmmm")</f>
        <v>June</v>
      </c>
      <c r="L2372" t="str">
        <f t="shared" si="75"/>
        <v>Monsoon</v>
      </c>
    </row>
    <row r="2373" spans="1:12" x14ac:dyDescent="0.25">
      <c r="A2373">
        <v>2372</v>
      </c>
      <c r="B2373">
        <v>1323</v>
      </c>
      <c r="C2373">
        <v>1427</v>
      </c>
      <c r="D2373" s="1">
        <v>45853</v>
      </c>
      <c r="E2373" t="s">
        <v>332</v>
      </c>
      <c r="F2373" t="s">
        <v>333</v>
      </c>
      <c r="G2373" t="str">
        <f>_xlfn.XLOOKUP(TRIM(E2374),MedicineInfo!A:A,MedicineInfo!B:B,"Not Found")</f>
        <v>Amoxicillin</v>
      </c>
      <c r="H2373" s="1" t="str" cm="1">
        <f t="array" ref="H2373">_xlfn.IFS(
OR(E2373="Type 2 Diabetes",E2373="Essential Hypertension",E2373="Angina Pectoris",E2373="Bronchial Asthma",E2373="Cardiac Arrhythmia"), D2373+30,
OR(E2373="Gastritis",E2373="Osteoarthritis",E2373="Bronchitis",E2373="Iron Deficiency Anemia"), D2373+14,
OR(E2373="Lumbar Strain",E2373="Migraine Headache"), D2373+7,
OR(E2373="Viral Fever",E2373="General Checkup","Routine Health Check"), "",
TRUE,""
)</f>
        <v/>
      </c>
      <c r="I2373" s="1" t="str">
        <f t="shared" si="74"/>
        <v>No Follow-up Required</v>
      </c>
      <c r="J2373" t="str">
        <f>TEXT(Table8[[#This Row],[visit_Date]],"DDDD")</f>
        <v>Tuesday</v>
      </c>
      <c r="K2373" t="str">
        <f>TEXT(Table8[[#This Row],[visit_Date]],"mmmm")</f>
        <v>July</v>
      </c>
      <c r="L2373" t="str">
        <f t="shared" si="75"/>
        <v>Monsoon</v>
      </c>
    </row>
    <row r="2374" spans="1:12" x14ac:dyDescent="0.25">
      <c r="A2374">
        <v>2373</v>
      </c>
      <c r="B2374">
        <v>1240</v>
      </c>
      <c r="C2374">
        <v>1164</v>
      </c>
      <c r="D2374" s="1">
        <v>45792</v>
      </c>
      <c r="E2374" t="s">
        <v>346</v>
      </c>
      <c r="F2374" t="s">
        <v>347</v>
      </c>
      <c r="G2374" t="str">
        <f>_xlfn.XLOOKUP(TRIM(E2375),MedicineInfo!A:A,MedicineInfo!B:B,"Not Found")</f>
        <v>Multivitamin</v>
      </c>
      <c r="H2374" s="1" cm="1">
        <f t="array" ref="H2374">_xlfn.IFS(
OR(E2374="Type 2 Diabetes",E2374="Essential Hypertension",E2374="Angina Pectoris",E2374="Bronchial Asthma",E2374="Cardiac Arrhythmia"), D2374+30,
OR(E2374="Gastritis",E2374="Osteoarthritis",E2374="Bronchitis",E2374="Iron Deficiency Anemia"), D2374+14,
OR(E2374="Lumbar Strain",E2374="Migraine Headache"), D2374+7,
OR(E2374="Viral Fever",E2374="General Checkup","Routine Health Check"), "",
TRUE,""
)</f>
        <v>45806</v>
      </c>
      <c r="I2374" s="1" t="str">
        <f t="shared" si="74"/>
        <v>Follow-up Scheduled</v>
      </c>
      <c r="J2374" t="str">
        <f>TEXT(Table8[[#This Row],[visit_Date]],"DDDD")</f>
        <v>Thursday</v>
      </c>
      <c r="K2374" t="str">
        <f>TEXT(Table8[[#This Row],[visit_Date]],"mmmm")</f>
        <v>May</v>
      </c>
      <c r="L2374" t="str">
        <f t="shared" si="75"/>
        <v>Summer</v>
      </c>
    </row>
    <row r="2375" spans="1:12" x14ac:dyDescent="0.25">
      <c r="A2375">
        <v>2374</v>
      </c>
      <c r="B2375">
        <v>1310</v>
      </c>
      <c r="C2375">
        <v>629</v>
      </c>
      <c r="D2375" s="1">
        <v>45694</v>
      </c>
      <c r="E2375" t="s">
        <v>24</v>
      </c>
      <c r="F2375" t="s">
        <v>321</v>
      </c>
      <c r="G2375" t="str">
        <f>_xlfn.XLOOKUP(TRIM(E2376),MedicineInfo!A:A,MedicineInfo!B:B,"Not Found")</f>
        <v>Multivitamin</v>
      </c>
      <c r="H2375" s="1" t="str" cm="1">
        <f t="array" ref="H2375">_xlfn.IFS(
OR(E2375="Type 2 Diabetes",E2375="Essential Hypertension",E2375="Angina Pectoris",E2375="Bronchial Asthma",E2375="Cardiac Arrhythmia"), D2375+30,
OR(E2375="Gastritis",E2375="Osteoarthritis",E2375="Bronchitis",E2375="Iron Deficiency Anemia"), D2375+14,
OR(E2375="Lumbar Strain",E2375="Migraine Headache"), D2375+7,
OR(E2375="Viral Fever",E2375="General Checkup","Routine Health Check"), "",
TRUE,""
)</f>
        <v/>
      </c>
      <c r="I2375" s="1" t="str">
        <f t="shared" si="74"/>
        <v>No Follow-up Required</v>
      </c>
      <c r="J2375" t="str">
        <f>TEXT(Table8[[#This Row],[visit_Date]],"DDDD")</f>
        <v>Thursday</v>
      </c>
      <c r="K2375" t="str">
        <f>TEXT(Table8[[#This Row],[visit_Date]],"mmmm")</f>
        <v>February</v>
      </c>
      <c r="L2375" t="str">
        <f t="shared" si="75"/>
        <v>Winter</v>
      </c>
    </row>
    <row r="2376" spans="1:12" x14ac:dyDescent="0.25">
      <c r="A2376">
        <v>2375</v>
      </c>
      <c r="B2376">
        <v>1185</v>
      </c>
      <c r="C2376">
        <v>138</v>
      </c>
      <c r="D2376" s="1">
        <v>45814</v>
      </c>
      <c r="E2376" t="s">
        <v>24</v>
      </c>
      <c r="F2376" t="s">
        <v>321</v>
      </c>
      <c r="G2376" t="str">
        <f>_xlfn.XLOOKUP(TRIM(E2377),MedicineInfo!A:A,MedicineInfo!B:B,"Not Found")</f>
        <v>Pantoprazole</v>
      </c>
      <c r="H2376" s="1" t="str" cm="1">
        <f t="array" ref="H2376">_xlfn.IFS(
OR(E2376="Type 2 Diabetes",E2376="Essential Hypertension",E2376="Angina Pectoris",E2376="Bronchial Asthma",E2376="Cardiac Arrhythmia"), D2376+30,
OR(E2376="Gastritis",E2376="Osteoarthritis",E2376="Bronchitis",E2376="Iron Deficiency Anemia"), D2376+14,
OR(E2376="Lumbar Strain",E2376="Migraine Headache"), D2376+7,
OR(E2376="Viral Fever",E2376="General Checkup","Routine Health Check"), "",
TRUE,""
)</f>
        <v/>
      </c>
      <c r="I2376" s="1" t="str">
        <f t="shared" si="74"/>
        <v>No Follow-up Required</v>
      </c>
      <c r="J2376" t="str">
        <f>TEXT(Table8[[#This Row],[visit_Date]],"DDDD")</f>
        <v>Friday</v>
      </c>
      <c r="K2376" t="str">
        <f>TEXT(Table8[[#This Row],[visit_Date]],"mmmm")</f>
        <v>June</v>
      </c>
      <c r="L2376" t="str">
        <f t="shared" si="75"/>
        <v>Monsoon</v>
      </c>
    </row>
    <row r="2377" spans="1:12" x14ac:dyDescent="0.25">
      <c r="A2377">
        <v>2376</v>
      </c>
      <c r="B2377">
        <v>1281</v>
      </c>
      <c r="C2377">
        <v>1378</v>
      </c>
      <c r="D2377" s="1">
        <v>45791</v>
      </c>
      <c r="E2377" t="s">
        <v>344</v>
      </c>
      <c r="F2377" t="s">
        <v>345</v>
      </c>
      <c r="G2377" t="str">
        <f>_xlfn.XLOOKUP(TRIM(E2378),MedicineInfo!A:A,MedicineInfo!B:B,"Not Found")</f>
        <v>Multivitamin</v>
      </c>
      <c r="H2377" s="1" cm="1">
        <f t="array" ref="H2377">_xlfn.IFS(
OR(E2377="Type 2 Diabetes",E2377="Essential Hypertension",E2377="Angina Pectoris",E2377="Bronchial Asthma",E2377="Cardiac Arrhythmia"), D2377+30,
OR(E2377="Gastritis",E2377="Osteoarthritis",E2377="Bronchitis",E2377="Iron Deficiency Anemia"), D2377+14,
OR(E2377="Lumbar Strain",E2377="Migraine Headache"), D2377+7,
OR(E2377="Viral Fever",E2377="General Checkup","Routine Health Check"), "",
TRUE,""
)</f>
        <v>45805</v>
      </c>
      <c r="I2377" s="1" t="str">
        <f t="shared" si="74"/>
        <v>Follow-up Scheduled</v>
      </c>
      <c r="J2377" t="str">
        <f>TEXT(Table8[[#This Row],[visit_Date]],"DDDD")</f>
        <v>Wednesday</v>
      </c>
      <c r="K2377" t="str">
        <f>TEXT(Table8[[#This Row],[visit_Date]],"mmmm")</f>
        <v>May</v>
      </c>
      <c r="L2377" t="str">
        <f t="shared" si="75"/>
        <v>Summer</v>
      </c>
    </row>
    <row r="2378" spans="1:12" x14ac:dyDescent="0.25">
      <c r="A2378">
        <v>2377</v>
      </c>
      <c r="B2378">
        <v>1078</v>
      </c>
      <c r="C2378">
        <v>294</v>
      </c>
      <c r="D2378" s="1">
        <v>45791</v>
      </c>
      <c r="E2378" t="s">
        <v>24</v>
      </c>
      <c r="F2378" t="s">
        <v>321</v>
      </c>
      <c r="G2378" t="str">
        <f>_xlfn.XLOOKUP(TRIM(E2379),MedicineInfo!A:A,MedicineInfo!B:B,"Not Found")</f>
        <v>Multivitamin</v>
      </c>
      <c r="H2378" s="1" t="str" cm="1">
        <f t="array" ref="H2378">_xlfn.IFS(
OR(E2378="Type 2 Diabetes",E2378="Essential Hypertension",E2378="Angina Pectoris",E2378="Bronchial Asthma",E2378="Cardiac Arrhythmia"), D2378+30,
OR(E2378="Gastritis",E2378="Osteoarthritis",E2378="Bronchitis",E2378="Iron Deficiency Anemia"), D2378+14,
OR(E2378="Lumbar Strain",E2378="Migraine Headache"), D2378+7,
OR(E2378="Viral Fever",E2378="General Checkup","Routine Health Check"), "",
TRUE,""
)</f>
        <v/>
      </c>
      <c r="I2378" s="1" t="str">
        <f t="shared" si="74"/>
        <v>No Follow-up Required</v>
      </c>
      <c r="J2378" t="str">
        <f>TEXT(Table8[[#This Row],[visit_Date]],"DDDD")</f>
        <v>Wednesday</v>
      </c>
      <c r="K2378" t="str">
        <f>TEXT(Table8[[#This Row],[visit_Date]],"mmmm")</f>
        <v>May</v>
      </c>
      <c r="L2378" t="str">
        <f t="shared" si="75"/>
        <v>Summer</v>
      </c>
    </row>
    <row r="2379" spans="1:12" x14ac:dyDescent="0.25">
      <c r="A2379">
        <v>2378</v>
      </c>
      <c r="B2379">
        <v>1109</v>
      </c>
      <c r="C2379">
        <v>167</v>
      </c>
      <c r="D2379" s="1">
        <v>45819</v>
      </c>
      <c r="E2379" t="s">
        <v>24</v>
      </c>
      <c r="F2379" t="s">
        <v>321</v>
      </c>
      <c r="G2379" t="str">
        <f>_xlfn.XLOOKUP(TRIM(E2380),MedicineInfo!A:A,MedicineInfo!B:B,"Not Found")</f>
        <v>Levothyroxine</v>
      </c>
      <c r="H2379" s="1" t="str" cm="1">
        <f t="array" ref="H2379">_xlfn.IFS(
OR(E2379="Type 2 Diabetes",E2379="Essential Hypertension",E2379="Angina Pectoris",E2379="Bronchial Asthma",E2379="Cardiac Arrhythmia"), D2379+30,
OR(E2379="Gastritis",E2379="Osteoarthritis",E2379="Bronchitis",E2379="Iron Deficiency Anemia"), D2379+14,
OR(E2379="Lumbar Strain",E2379="Migraine Headache"), D2379+7,
OR(E2379="Viral Fever",E2379="General Checkup","Routine Health Check"), "",
TRUE,""
)</f>
        <v/>
      </c>
      <c r="I2379" s="1" t="str">
        <f t="shared" si="74"/>
        <v>No Follow-up Required</v>
      </c>
      <c r="J2379" t="str">
        <f>TEXT(Table8[[#This Row],[visit_Date]],"DDDD")</f>
        <v>Wednesday</v>
      </c>
      <c r="K2379" t="str">
        <f>TEXT(Table8[[#This Row],[visit_Date]],"mmmm")</f>
        <v>June</v>
      </c>
      <c r="L2379" t="str">
        <f t="shared" si="75"/>
        <v>Monsoon</v>
      </c>
    </row>
    <row r="2380" spans="1:12" x14ac:dyDescent="0.25">
      <c r="A2380">
        <v>2379</v>
      </c>
      <c r="B2380">
        <v>1077</v>
      </c>
      <c r="C2380">
        <v>826</v>
      </c>
      <c r="D2380" s="1">
        <v>45799</v>
      </c>
      <c r="E2380" t="s">
        <v>360</v>
      </c>
      <c r="F2380" t="s">
        <v>361</v>
      </c>
      <c r="G2380" t="str">
        <f>_xlfn.XLOOKUP(TRIM(E2381),MedicineInfo!A:A,MedicineInfo!B:B,"Not Found")</f>
        <v>Multivitamin</v>
      </c>
      <c r="H2380" s="1" t="str" cm="1">
        <f t="array" ref="H2380">_xlfn.IFS(
OR(E2380="Type 2 Diabetes",E2380="Essential Hypertension",E2380="Angina Pectoris",E2380="Bronchial Asthma",E2380="Cardiac Arrhythmia"), D2380+30,
OR(E2380="Gastritis",E2380="Osteoarthritis",E2380="Bronchitis",E2380="Iron Deficiency Anemia"), D2380+14,
OR(E2380="Lumbar Strain",E2380="Migraine Headache"), D2380+7,
OR(E2380="Viral Fever",E2380="General Checkup","Routine Health Check"), "",
TRUE,""
)</f>
        <v/>
      </c>
      <c r="I2380" s="1" t="str">
        <f t="shared" si="74"/>
        <v>No Follow-up Required</v>
      </c>
      <c r="J2380" t="str">
        <f>TEXT(Table8[[#This Row],[visit_Date]],"DDDD")</f>
        <v>Thursday</v>
      </c>
      <c r="K2380" t="str">
        <f>TEXT(Table8[[#This Row],[visit_Date]],"mmmm")</f>
        <v>May</v>
      </c>
      <c r="L2380" t="str">
        <f t="shared" si="75"/>
        <v>Summer</v>
      </c>
    </row>
    <row r="2381" spans="1:12" x14ac:dyDescent="0.25">
      <c r="A2381">
        <v>2380</v>
      </c>
      <c r="B2381">
        <v>1233</v>
      </c>
      <c r="C2381">
        <v>726</v>
      </c>
      <c r="D2381" s="1">
        <v>45736</v>
      </c>
      <c r="E2381" t="s">
        <v>24</v>
      </c>
      <c r="F2381" t="s">
        <v>321</v>
      </c>
      <c r="G2381" t="str">
        <f>_xlfn.XLOOKUP(TRIM(E2382),MedicineInfo!A:A,MedicineInfo!B:B,"Not Found")</f>
        <v>Multivitamin</v>
      </c>
      <c r="H2381" s="1" t="str" cm="1">
        <f t="array" ref="H2381">_xlfn.IFS(
OR(E2381="Type 2 Diabetes",E2381="Essential Hypertension",E2381="Angina Pectoris",E2381="Bronchial Asthma",E2381="Cardiac Arrhythmia"), D2381+30,
OR(E2381="Gastritis",E2381="Osteoarthritis",E2381="Bronchitis",E2381="Iron Deficiency Anemia"), D2381+14,
OR(E2381="Lumbar Strain",E2381="Migraine Headache"), D2381+7,
OR(E2381="Viral Fever",E2381="General Checkup","Routine Health Check"), "",
TRUE,""
)</f>
        <v/>
      </c>
      <c r="I2381" s="1" t="str">
        <f t="shared" si="74"/>
        <v>No Follow-up Required</v>
      </c>
      <c r="J2381" t="str">
        <f>TEXT(Table8[[#This Row],[visit_Date]],"DDDD")</f>
        <v>Thursday</v>
      </c>
      <c r="K2381" t="str">
        <f>TEXT(Table8[[#This Row],[visit_Date]],"mmmm")</f>
        <v>March</v>
      </c>
      <c r="L2381" t="str">
        <f t="shared" si="75"/>
        <v>Summer</v>
      </c>
    </row>
    <row r="2382" spans="1:12" x14ac:dyDescent="0.25">
      <c r="A2382">
        <v>2381</v>
      </c>
      <c r="B2382">
        <v>1146</v>
      </c>
      <c r="C2382">
        <v>1410</v>
      </c>
      <c r="D2382" s="1">
        <v>45686</v>
      </c>
      <c r="E2382" t="s">
        <v>24</v>
      </c>
      <c r="F2382" t="s">
        <v>321</v>
      </c>
      <c r="G2382" t="str">
        <f>_xlfn.XLOOKUP(TRIM(E2383),MedicineInfo!A:A,MedicineInfo!B:B,"Not Found")</f>
        <v>Multivitamin</v>
      </c>
      <c r="H2382" s="1" t="str" cm="1">
        <f t="array" ref="H2382">_xlfn.IFS(
OR(E2382="Type 2 Diabetes",E2382="Essential Hypertension",E2382="Angina Pectoris",E2382="Bronchial Asthma",E2382="Cardiac Arrhythmia"), D2382+30,
OR(E2382="Gastritis",E2382="Osteoarthritis",E2382="Bronchitis",E2382="Iron Deficiency Anemia"), D2382+14,
OR(E2382="Lumbar Strain",E2382="Migraine Headache"), D2382+7,
OR(E2382="Viral Fever",E2382="General Checkup","Routine Health Check"), "",
TRUE,""
)</f>
        <v/>
      </c>
      <c r="I2382" s="1" t="str">
        <f t="shared" si="74"/>
        <v>No Follow-up Required</v>
      </c>
      <c r="J2382" t="str">
        <f>TEXT(Table8[[#This Row],[visit_Date]],"DDDD")</f>
        <v>Wednesday</v>
      </c>
      <c r="K2382" t="str">
        <f>TEXT(Table8[[#This Row],[visit_Date]],"mmmm")</f>
        <v>January</v>
      </c>
      <c r="L2382" t="str">
        <f t="shared" si="75"/>
        <v>Winter</v>
      </c>
    </row>
    <row r="2383" spans="1:12" x14ac:dyDescent="0.25">
      <c r="A2383">
        <v>2382</v>
      </c>
      <c r="B2383">
        <v>1322</v>
      </c>
      <c r="C2383">
        <v>348</v>
      </c>
      <c r="D2383" s="1">
        <v>45767</v>
      </c>
      <c r="E2383" t="s">
        <v>24</v>
      </c>
      <c r="F2383" t="s">
        <v>321</v>
      </c>
      <c r="G2383" t="str">
        <f>_xlfn.XLOOKUP(TRIM(E2384),MedicineInfo!A:A,MedicineInfo!B:B,"Not Found")</f>
        <v>Multivitamin</v>
      </c>
      <c r="H2383" s="1" t="str" cm="1">
        <f t="array" ref="H2383">_xlfn.IFS(
OR(E2383="Type 2 Diabetes",E2383="Essential Hypertension",E2383="Angina Pectoris",E2383="Bronchial Asthma",E2383="Cardiac Arrhythmia"), D2383+30,
OR(E2383="Gastritis",E2383="Osteoarthritis",E2383="Bronchitis",E2383="Iron Deficiency Anemia"), D2383+14,
OR(E2383="Lumbar Strain",E2383="Migraine Headache"), D2383+7,
OR(E2383="Viral Fever",E2383="General Checkup","Routine Health Check"), "",
TRUE,""
)</f>
        <v/>
      </c>
      <c r="I2383" s="1" t="str">
        <f t="shared" si="74"/>
        <v>No Follow-up Required</v>
      </c>
      <c r="J2383" t="str">
        <f>TEXT(Table8[[#This Row],[visit_Date]],"DDDD")</f>
        <v>Sunday</v>
      </c>
      <c r="K2383" t="str">
        <f>TEXT(Table8[[#This Row],[visit_Date]],"mmmm")</f>
        <v>April</v>
      </c>
      <c r="L2383" t="str">
        <f t="shared" si="75"/>
        <v>Summer</v>
      </c>
    </row>
    <row r="2384" spans="1:12" x14ac:dyDescent="0.25">
      <c r="A2384">
        <v>2383</v>
      </c>
      <c r="B2384">
        <v>1246</v>
      </c>
      <c r="C2384">
        <v>1243</v>
      </c>
      <c r="D2384" s="1">
        <v>45792</v>
      </c>
      <c r="E2384" t="s">
        <v>24</v>
      </c>
      <c r="F2384" t="s">
        <v>321</v>
      </c>
      <c r="G2384" t="str">
        <f>_xlfn.XLOOKUP(TRIM(E2385),MedicineInfo!A:A,MedicineInfo!B:B,"Not Found")</f>
        <v>Multivitamin</v>
      </c>
      <c r="H2384" s="1" t="str" cm="1">
        <f t="array" ref="H2384">_xlfn.IFS(
OR(E2384="Type 2 Diabetes",E2384="Essential Hypertension",E2384="Angina Pectoris",E2384="Bronchial Asthma",E2384="Cardiac Arrhythmia"), D2384+30,
OR(E2384="Gastritis",E2384="Osteoarthritis",E2384="Bronchitis",E2384="Iron Deficiency Anemia"), D2384+14,
OR(E2384="Lumbar Strain",E2384="Migraine Headache"), D2384+7,
OR(E2384="Viral Fever",E2384="General Checkup","Routine Health Check"), "",
TRUE,""
)</f>
        <v/>
      </c>
      <c r="I2384" s="1" t="str">
        <f t="shared" si="74"/>
        <v>No Follow-up Required</v>
      </c>
      <c r="J2384" t="str">
        <f>TEXT(Table8[[#This Row],[visit_Date]],"DDDD")</f>
        <v>Thursday</v>
      </c>
      <c r="K2384" t="str">
        <f>TEXT(Table8[[#This Row],[visit_Date]],"mmmm")</f>
        <v>May</v>
      </c>
      <c r="L2384" t="str">
        <f t="shared" si="75"/>
        <v>Summer</v>
      </c>
    </row>
    <row r="2385" spans="1:12" x14ac:dyDescent="0.25">
      <c r="A2385">
        <v>2384</v>
      </c>
      <c r="B2385">
        <v>1039</v>
      </c>
      <c r="C2385">
        <v>970</v>
      </c>
      <c r="D2385" s="1">
        <v>45822</v>
      </c>
      <c r="E2385" t="s">
        <v>24</v>
      </c>
      <c r="F2385" t="s">
        <v>321</v>
      </c>
      <c r="G2385" t="str">
        <f>_xlfn.XLOOKUP(TRIM(E2386),MedicineInfo!A:A,MedicineInfo!B:B,"Not Found")</f>
        <v>Multivitamin</v>
      </c>
      <c r="H2385" s="1" t="str" cm="1">
        <f t="array" ref="H2385">_xlfn.IFS(
OR(E2385="Type 2 Diabetes",E2385="Essential Hypertension",E2385="Angina Pectoris",E2385="Bronchial Asthma",E2385="Cardiac Arrhythmia"), D2385+30,
OR(E2385="Gastritis",E2385="Osteoarthritis",E2385="Bronchitis",E2385="Iron Deficiency Anemia"), D2385+14,
OR(E2385="Lumbar Strain",E2385="Migraine Headache"), D2385+7,
OR(E2385="Viral Fever",E2385="General Checkup","Routine Health Check"), "",
TRUE,""
)</f>
        <v/>
      </c>
      <c r="I2385" s="1" t="str">
        <f t="shared" si="74"/>
        <v>No Follow-up Required</v>
      </c>
      <c r="J2385" t="str">
        <f>TEXT(Table8[[#This Row],[visit_Date]],"DDDD")</f>
        <v>Saturday</v>
      </c>
      <c r="K2385" t="str">
        <f>TEXT(Table8[[#This Row],[visit_Date]],"mmmm")</f>
        <v>June</v>
      </c>
      <c r="L2385" t="str">
        <f t="shared" si="75"/>
        <v>Monsoon</v>
      </c>
    </row>
    <row r="2386" spans="1:12" x14ac:dyDescent="0.25">
      <c r="A2386">
        <v>2385</v>
      </c>
      <c r="B2386">
        <v>1335</v>
      </c>
      <c r="C2386">
        <v>1003</v>
      </c>
      <c r="D2386" s="1">
        <v>45777</v>
      </c>
      <c r="E2386" t="s">
        <v>24</v>
      </c>
      <c r="F2386" t="s">
        <v>321</v>
      </c>
      <c r="G2386" t="str">
        <f>_xlfn.XLOOKUP(TRIM(E2387),MedicineInfo!A:A,MedicineInfo!B:B,"Not Found")</f>
        <v>Multivitamin</v>
      </c>
      <c r="H2386" s="1" t="str" cm="1">
        <f t="array" ref="H2386">_xlfn.IFS(
OR(E2386="Type 2 Diabetes",E2386="Essential Hypertension",E2386="Angina Pectoris",E2386="Bronchial Asthma",E2386="Cardiac Arrhythmia"), D2386+30,
OR(E2386="Gastritis",E2386="Osteoarthritis",E2386="Bronchitis",E2386="Iron Deficiency Anemia"), D2386+14,
OR(E2386="Lumbar Strain",E2386="Migraine Headache"), D2386+7,
OR(E2386="Viral Fever",E2386="General Checkup","Routine Health Check"), "",
TRUE,""
)</f>
        <v/>
      </c>
      <c r="I2386" s="1" t="str">
        <f t="shared" si="74"/>
        <v>No Follow-up Required</v>
      </c>
      <c r="J2386" t="str">
        <f>TEXT(Table8[[#This Row],[visit_Date]],"DDDD")</f>
        <v>Wednesday</v>
      </c>
      <c r="K2386" t="str">
        <f>TEXT(Table8[[#This Row],[visit_Date]],"mmmm")</f>
        <v>April</v>
      </c>
      <c r="L2386" t="str">
        <f t="shared" si="75"/>
        <v>Summer</v>
      </c>
    </row>
    <row r="2387" spans="1:12" x14ac:dyDescent="0.25">
      <c r="A2387">
        <v>2386</v>
      </c>
      <c r="B2387">
        <v>1338</v>
      </c>
      <c r="C2387">
        <v>939</v>
      </c>
      <c r="D2387" s="1">
        <v>45853</v>
      </c>
      <c r="E2387" t="s">
        <v>24</v>
      </c>
      <c r="F2387" t="s">
        <v>321</v>
      </c>
      <c r="G2387" t="str">
        <f>_xlfn.XLOOKUP(TRIM(E2388),MedicineInfo!A:A,MedicineInfo!B:B,"Not Found")</f>
        <v>Multivitamin</v>
      </c>
      <c r="H2387" s="1" t="str" cm="1">
        <f t="array" ref="H2387">_xlfn.IFS(
OR(E2387="Type 2 Diabetes",E2387="Essential Hypertension",E2387="Angina Pectoris",E2387="Bronchial Asthma",E2387="Cardiac Arrhythmia"), D2387+30,
OR(E2387="Gastritis",E2387="Osteoarthritis",E2387="Bronchitis",E2387="Iron Deficiency Anemia"), D2387+14,
OR(E2387="Lumbar Strain",E2387="Migraine Headache"), D2387+7,
OR(E2387="Viral Fever",E2387="General Checkup","Routine Health Check"), "",
TRUE,""
)</f>
        <v/>
      </c>
      <c r="I2387" s="1" t="str">
        <f t="shared" si="74"/>
        <v>No Follow-up Required</v>
      </c>
      <c r="J2387" t="str">
        <f>TEXT(Table8[[#This Row],[visit_Date]],"DDDD")</f>
        <v>Tuesday</v>
      </c>
      <c r="K2387" t="str">
        <f>TEXT(Table8[[#This Row],[visit_Date]],"mmmm")</f>
        <v>July</v>
      </c>
      <c r="L2387" t="str">
        <f t="shared" si="75"/>
        <v>Monsoon</v>
      </c>
    </row>
    <row r="2388" spans="1:12" x14ac:dyDescent="0.25">
      <c r="A2388">
        <v>2387</v>
      </c>
      <c r="B2388">
        <v>1158</v>
      </c>
      <c r="C2388">
        <v>1142</v>
      </c>
      <c r="D2388" s="1">
        <v>45820</v>
      </c>
      <c r="E2388" t="s">
        <v>24</v>
      </c>
      <c r="F2388" t="s">
        <v>321</v>
      </c>
      <c r="G2388" t="str">
        <f>_xlfn.XLOOKUP(TRIM(E2389),MedicineInfo!A:A,MedicineInfo!B:B,"Not Found")</f>
        <v>Multivitamin</v>
      </c>
      <c r="H2388" s="1" t="str" cm="1">
        <f t="array" ref="H2388">_xlfn.IFS(
OR(E2388="Type 2 Diabetes",E2388="Essential Hypertension",E2388="Angina Pectoris",E2388="Bronchial Asthma",E2388="Cardiac Arrhythmia"), D2388+30,
OR(E2388="Gastritis",E2388="Osteoarthritis",E2388="Bronchitis",E2388="Iron Deficiency Anemia"), D2388+14,
OR(E2388="Lumbar Strain",E2388="Migraine Headache"), D2388+7,
OR(E2388="Viral Fever",E2388="General Checkup","Routine Health Check"), "",
TRUE,""
)</f>
        <v/>
      </c>
      <c r="I2388" s="1" t="str">
        <f t="shared" si="74"/>
        <v>No Follow-up Required</v>
      </c>
      <c r="J2388" t="str">
        <f>TEXT(Table8[[#This Row],[visit_Date]],"DDDD")</f>
        <v>Thursday</v>
      </c>
      <c r="K2388" t="str">
        <f>TEXT(Table8[[#This Row],[visit_Date]],"mmmm")</f>
        <v>June</v>
      </c>
      <c r="L2388" t="str">
        <f t="shared" si="75"/>
        <v>Monsoon</v>
      </c>
    </row>
    <row r="2389" spans="1:12" x14ac:dyDescent="0.25">
      <c r="A2389">
        <v>2388</v>
      </c>
      <c r="B2389">
        <v>1257</v>
      </c>
      <c r="C2389">
        <v>246</v>
      </c>
      <c r="D2389" s="1">
        <v>45790</v>
      </c>
      <c r="E2389" t="s">
        <v>24</v>
      </c>
      <c r="F2389" t="s">
        <v>321</v>
      </c>
      <c r="G2389" t="str">
        <f>_xlfn.XLOOKUP(TRIM(E2390),MedicineInfo!A:A,MedicineInfo!B:B,"Not Found")</f>
        <v>Multivitamin</v>
      </c>
      <c r="H2389" s="1" t="str" cm="1">
        <f t="array" ref="H2389">_xlfn.IFS(
OR(E2389="Type 2 Diabetes",E2389="Essential Hypertension",E2389="Angina Pectoris",E2389="Bronchial Asthma",E2389="Cardiac Arrhythmia"), D2389+30,
OR(E2389="Gastritis",E2389="Osteoarthritis",E2389="Bronchitis",E2389="Iron Deficiency Anemia"), D2389+14,
OR(E2389="Lumbar Strain",E2389="Migraine Headache"), D2389+7,
OR(E2389="Viral Fever",E2389="General Checkup","Routine Health Check"), "",
TRUE,""
)</f>
        <v/>
      </c>
      <c r="I2389" s="1" t="str">
        <f t="shared" si="74"/>
        <v>No Follow-up Required</v>
      </c>
      <c r="J2389" t="str">
        <f>TEXT(Table8[[#This Row],[visit_Date]],"DDDD")</f>
        <v>Tuesday</v>
      </c>
      <c r="K2389" t="str">
        <f>TEXT(Table8[[#This Row],[visit_Date]],"mmmm")</f>
        <v>May</v>
      </c>
      <c r="L2389" t="str">
        <f t="shared" si="75"/>
        <v>Summer</v>
      </c>
    </row>
    <row r="2390" spans="1:12" x14ac:dyDescent="0.25">
      <c r="A2390">
        <v>2389</v>
      </c>
      <c r="B2390">
        <v>1160</v>
      </c>
      <c r="C2390">
        <v>1363</v>
      </c>
      <c r="D2390" s="1">
        <v>45860</v>
      </c>
      <c r="E2390" t="s">
        <v>24</v>
      </c>
      <c r="F2390" t="s">
        <v>321</v>
      </c>
      <c r="G2390" t="str">
        <f>_xlfn.XLOOKUP(TRIM(E2391),MedicineInfo!A:A,MedicineInfo!B:B,"Not Found")</f>
        <v>Multivitamin</v>
      </c>
      <c r="H2390" s="1" t="str" cm="1">
        <f t="array" ref="H2390">_xlfn.IFS(
OR(E2390="Type 2 Diabetes",E2390="Essential Hypertension",E2390="Angina Pectoris",E2390="Bronchial Asthma",E2390="Cardiac Arrhythmia"), D2390+30,
OR(E2390="Gastritis",E2390="Osteoarthritis",E2390="Bronchitis",E2390="Iron Deficiency Anemia"), D2390+14,
OR(E2390="Lumbar Strain",E2390="Migraine Headache"), D2390+7,
OR(E2390="Viral Fever",E2390="General Checkup","Routine Health Check"), "",
TRUE,""
)</f>
        <v/>
      </c>
      <c r="I2390" s="1" t="str">
        <f t="shared" si="74"/>
        <v>No Follow-up Required</v>
      </c>
      <c r="J2390" t="str">
        <f>TEXT(Table8[[#This Row],[visit_Date]],"DDDD")</f>
        <v>Tuesday</v>
      </c>
      <c r="K2390" t="str">
        <f>TEXT(Table8[[#This Row],[visit_Date]],"mmmm")</f>
        <v>July</v>
      </c>
      <c r="L2390" t="str">
        <f t="shared" si="75"/>
        <v>Monsoon</v>
      </c>
    </row>
    <row r="2391" spans="1:12" x14ac:dyDescent="0.25">
      <c r="A2391">
        <v>2390</v>
      </c>
      <c r="B2391">
        <v>1294</v>
      </c>
      <c r="C2391">
        <v>1210</v>
      </c>
      <c r="D2391" s="1">
        <v>45791</v>
      </c>
      <c r="E2391" t="s">
        <v>24</v>
      </c>
      <c r="F2391" t="s">
        <v>321</v>
      </c>
      <c r="G2391" t="str">
        <f>_xlfn.XLOOKUP(TRIM(E2392),MedicineInfo!A:A,MedicineInfo!B:B,"Not Found")</f>
        <v>Nitroglycerin</v>
      </c>
      <c r="H2391" s="1" t="str" cm="1">
        <f t="array" ref="H2391">_xlfn.IFS(
OR(E2391="Type 2 Diabetes",E2391="Essential Hypertension",E2391="Angina Pectoris",E2391="Bronchial Asthma",E2391="Cardiac Arrhythmia"), D2391+30,
OR(E2391="Gastritis",E2391="Osteoarthritis",E2391="Bronchitis",E2391="Iron Deficiency Anemia"), D2391+14,
OR(E2391="Lumbar Strain",E2391="Migraine Headache"), D2391+7,
OR(E2391="Viral Fever",E2391="General Checkup","Routine Health Check"), "",
TRUE,""
)</f>
        <v/>
      </c>
      <c r="I2391" s="1" t="str">
        <f t="shared" si="74"/>
        <v>No Follow-up Required</v>
      </c>
      <c r="J2391" t="str">
        <f>TEXT(Table8[[#This Row],[visit_Date]],"DDDD")</f>
        <v>Wednesday</v>
      </c>
      <c r="K2391" t="str">
        <f>TEXT(Table8[[#This Row],[visit_Date]],"mmmm")</f>
        <v>May</v>
      </c>
      <c r="L2391" t="str">
        <f t="shared" si="75"/>
        <v>Summer</v>
      </c>
    </row>
    <row r="2392" spans="1:12" x14ac:dyDescent="0.25">
      <c r="A2392">
        <v>2391</v>
      </c>
      <c r="B2392">
        <v>1242</v>
      </c>
      <c r="C2392">
        <v>910</v>
      </c>
      <c r="D2392" s="1">
        <v>45812</v>
      </c>
      <c r="E2392" t="s">
        <v>322</v>
      </c>
      <c r="F2392" t="s">
        <v>323</v>
      </c>
      <c r="G2392" t="str">
        <f>_xlfn.XLOOKUP(TRIM(E2393),MedicineInfo!A:A,MedicineInfo!B:B,"Not Found")</f>
        <v>Multivitamin</v>
      </c>
      <c r="H2392" s="1" cm="1">
        <f t="array" ref="H2392">_xlfn.IFS(
OR(E2392="Type 2 Diabetes",E2392="Essential Hypertension",E2392="Angina Pectoris",E2392="Bronchial Asthma",E2392="Cardiac Arrhythmia"), D2392+30,
OR(E2392="Gastritis",E2392="Osteoarthritis",E2392="Bronchitis",E2392="Iron Deficiency Anemia"), D2392+14,
OR(E2392="Lumbar Strain",E2392="Migraine Headache"), D2392+7,
OR(E2392="Viral Fever",E2392="General Checkup","Routine Health Check"), "",
TRUE,""
)</f>
        <v>45842</v>
      </c>
      <c r="I2392" s="1" t="str">
        <f t="shared" si="74"/>
        <v>Follow-up Scheduled</v>
      </c>
      <c r="J2392" t="str">
        <f>TEXT(Table8[[#This Row],[visit_Date]],"DDDD")</f>
        <v>Wednesday</v>
      </c>
      <c r="K2392" t="str">
        <f>TEXT(Table8[[#This Row],[visit_Date]],"mmmm")</f>
        <v>June</v>
      </c>
      <c r="L2392" t="str">
        <f t="shared" si="75"/>
        <v>Monsoon</v>
      </c>
    </row>
    <row r="2393" spans="1:12" x14ac:dyDescent="0.25">
      <c r="A2393">
        <v>2392</v>
      </c>
      <c r="B2393">
        <v>1175</v>
      </c>
      <c r="C2393">
        <v>477</v>
      </c>
      <c r="D2393" s="1">
        <v>45819</v>
      </c>
      <c r="E2393" t="s">
        <v>24</v>
      </c>
      <c r="F2393" t="s">
        <v>321</v>
      </c>
      <c r="G2393" t="str">
        <f>_xlfn.XLOOKUP(TRIM(E2394),MedicineInfo!A:A,MedicineInfo!B:B,"Not Found")</f>
        <v>Multivitamin</v>
      </c>
      <c r="H2393" s="1" t="str" cm="1">
        <f t="array" ref="H2393">_xlfn.IFS(
OR(E2393="Type 2 Diabetes",E2393="Essential Hypertension",E2393="Angina Pectoris",E2393="Bronchial Asthma",E2393="Cardiac Arrhythmia"), D2393+30,
OR(E2393="Gastritis",E2393="Osteoarthritis",E2393="Bronchitis",E2393="Iron Deficiency Anemia"), D2393+14,
OR(E2393="Lumbar Strain",E2393="Migraine Headache"), D2393+7,
OR(E2393="Viral Fever",E2393="General Checkup","Routine Health Check"), "",
TRUE,""
)</f>
        <v/>
      </c>
      <c r="I2393" s="1" t="str">
        <f t="shared" si="74"/>
        <v>No Follow-up Required</v>
      </c>
      <c r="J2393" t="str">
        <f>TEXT(Table8[[#This Row],[visit_Date]],"DDDD")</f>
        <v>Wednesday</v>
      </c>
      <c r="K2393" t="str">
        <f>TEXT(Table8[[#This Row],[visit_Date]],"mmmm")</f>
        <v>June</v>
      </c>
      <c r="L2393" t="str">
        <f t="shared" si="75"/>
        <v>Monsoon</v>
      </c>
    </row>
    <row r="2394" spans="1:12" x14ac:dyDescent="0.25">
      <c r="A2394">
        <v>2393</v>
      </c>
      <c r="B2394">
        <v>1276</v>
      </c>
      <c r="C2394">
        <v>809</v>
      </c>
      <c r="D2394" s="1">
        <v>45669</v>
      </c>
      <c r="E2394" t="s">
        <v>24</v>
      </c>
      <c r="F2394" t="s">
        <v>321</v>
      </c>
      <c r="G2394" t="str">
        <f>_xlfn.XLOOKUP(TRIM(E2395),MedicineInfo!A:A,MedicineInfo!B:B,"Not Found")</f>
        <v>Pantoprazole</v>
      </c>
      <c r="H2394" s="1" t="str" cm="1">
        <f t="array" ref="H2394">_xlfn.IFS(
OR(E2394="Type 2 Diabetes",E2394="Essential Hypertension",E2394="Angina Pectoris",E2394="Bronchial Asthma",E2394="Cardiac Arrhythmia"), D2394+30,
OR(E2394="Gastritis",E2394="Osteoarthritis",E2394="Bronchitis",E2394="Iron Deficiency Anemia"), D2394+14,
OR(E2394="Lumbar Strain",E2394="Migraine Headache"), D2394+7,
OR(E2394="Viral Fever",E2394="General Checkup","Routine Health Check"), "",
TRUE,""
)</f>
        <v/>
      </c>
      <c r="I2394" s="1" t="str">
        <f t="shared" si="74"/>
        <v>No Follow-up Required</v>
      </c>
      <c r="J2394" t="str">
        <f>TEXT(Table8[[#This Row],[visit_Date]],"DDDD")</f>
        <v>Sunday</v>
      </c>
      <c r="K2394" t="str">
        <f>TEXT(Table8[[#This Row],[visit_Date]],"mmmm")</f>
        <v>January</v>
      </c>
      <c r="L2394" t="str">
        <f t="shared" si="75"/>
        <v>Winter</v>
      </c>
    </row>
    <row r="2395" spans="1:12" x14ac:dyDescent="0.25">
      <c r="A2395">
        <v>2394</v>
      </c>
      <c r="B2395">
        <v>1316</v>
      </c>
      <c r="C2395">
        <v>905</v>
      </c>
      <c r="D2395" s="1">
        <v>45746</v>
      </c>
      <c r="E2395" t="s">
        <v>344</v>
      </c>
      <c r="F2395" t="s">
        <v>345</v>
      </c>
      <c r="G2395" t="str">
        <f>_xlfn.XLOOKUP(TRIM(E2396),MedicineInfo!A:A,MedicineInfo!B:B,"Not Found")</f>
        <v>Multivitamin</v>
      </c>
      <c r="H2395" s="1" cm="1">
        <f t="array" ref="H2395">_xlfn.IFS(
OR(E2395="Type 2 Diabetes",E2395="Essential Hypertension",E2395="Angina Pectoris",E2395="Bronchial Asthma",E2395="Cardiac Arrhythmia"), D2395+30,
OR(E2395="Gastritis",E2395="Osteoarthritis",E2395="Bronchitis",E2395="Iron Deficiency Anemia"), D2395+14,
OR(E2395="Lumbar Strain",E2395="Migraine Headache"), D2395+7,
OR(E2395="Viral Fever",E2395="General Checkup","Routine Health Check"), "",
TRUE,""
)</f>
        <v>45760</v>
      </c>
      <c r="I2395" s="1" t="str">
        <f t="shared" si="74"/>
        <v>Follow-up Scheduled</v>
      </c>
      <c r="J2395" t="str">
        <f>TEXT(Table8[[#This Row],[visit_Date]],"DDDD")</f>
        <v>Sunday</v>
      </c>
      <c r="K2395" t="str">
        <f>TEXT(Table8[[#This Row],[visit_Date]],"mmmm")</f>
        <v>March</v>
      </c>
      <c r="L2395" t="str">
        <f t="shared" si="75"/>
        <v>Summer</v>
      </c>
    </row>
    <row r="2396" spans="1:12" x14ac:dyDescent="0.25">
      <c r="A2396">
        <v>2395</v>
      </c>
      <c r="B2396">
        <v>1273</v>
      </c>
      <c r="C2396">
        <v>675</v>
      </c>
      <c r="D2396" s="1">
        <v>45783</v>
      </c>
      <c r="E2396" t="s">
        <v>24</v>
      </c>
      <c r="F2396" t="s">
        <v>321</v>
      </c>
      <c r="G2396" t="str">
        <f>_xlfn.XLOOKUP(TRIM(E2397),MedicineInfo!A:A,MedicineInfo!B:B,"Not Found")</f>
        <v>Multivitamin</v>
      </c>
      <c r="H2396" s="1" t="str" cm="1">
        <f t="array" ref="H2396">_xlfn.IFS(
OR(E2396="Type 2 Diabetes",E2396="Essential Hypertension",E2396="Angina Pectoris",E2396="Bronchial Asthma",E2396="Cardiac Arrhythmia"), D2396+30,
OR(E2396="Gastritis",E2396="Osteoarthritis",E2396="Bronchitis",E2396="Iron Deficiency Anemia"), D2396+14,
OR(E2396="Lumbar Strain",E2396="Migraine Headache"), D2396+7,
OR(E2396="Viral Fever",E2396="General Checkup","Routine Health Check"), "",
TRUE,""
)</f>
        <v/>
      </c>
      <c r="I2396" s="1" t="str">
        <f t="shared" si="74"/>
        <v>No Follow-up Required</v>
      </c>
      <c r="J2396" t="str">
        <f>TEXT(Table8[[#This Row],[visit_Date]],"DDDD")</f>
        <v>Tuesday</v>
      </c>
      <c r="K2396" t="str">
        <f>TEXT(Table8[[#This Row],[visit_Date]],"mmmm")</f>
        <v>May</v>
      </c>
      <c r="L2396" t="str">
        <f t="shared" si="75"/>
        <v>Summer</v>
      </c>
    </row>
    <row r="2397" spans="1:12" x14ac:dyDescent="0.25">
      <c r="A2397">
        <v>2396</v>
      </c>
      <c r="B2397">
        <v>1262</v>
      </c>
      <c r="C2397">
        <v>1127</v>
      </c>
      <c r="D2397" s="1">
        <v>45777</v>
      </c>
      <c r="E2397" t="s">
        <v>24</v>
      </c>
      <c r="F2397" t="s">
        <v>321</v>
      </c>
      <c r="G2397" t="str">
        <f>_xlfn.XLOOKUP(TRIM(E2398),MedicineInfo!A:A,MedicineInfo!B:B,"Not Found")</f>
        <v>Multivitamin</v>
      </c>
      <c r="H2397" s="1" t="str" cm="1">
        <f t="array" ref="H2397">_xlfn.IFS(
OR(E2397="Type 2 Diabetes",E2397="Essential Hypertension",E2397="Angina Pectoris",E2397="Bronchial Asthma",E2397="Cardiac Arrhythmia"), D2397+30,
OR(E2397="Gastritis",E2397="Osteoarthritis",E2397="Bronchitis",E2397="Iron Deficiency Anemia"), D2397+14,
OR(E2397="Lumbar Strain",E2397="Migraine Headache"), D2397+7,
OR(E2397="Viral Fever",E2397="General Checkup","Routine Health Check"), "",
TRUE,""
)</f>
        <v/>
      </c>
      <c r="I2397" s="1" t="str">
        <f t="shared" si="74"/>
        <v>No Follow-up Required</v>
      </c>
      <c r="J2397" t="str">
        <f>TEXT(Table8[[#This Row],[visit_Date]],"DDDD")</f>
        <v>Wednesday</v>
      </c>
      <c r="K2397" t="str">
        <f>TEXT(Table8[[#This Row],[visit_Date]],"mmmm")</f>
        <v>April</v>
      </c>
      <c r="L2397" t="str">
        <f t="shared" si="75"/>
        <v>Summer</v>
      </c>
    </row>
    <row r="2398" spans="1:12" x14ac:dyDescent="0.25">
      <c r="A2398">
        <v>2397</v>
      </c>
      <c r="B2398">
        <v>1352</v>
      </c>
      <c r="C2398">
        <v>894</v>
      </c>
      <c r="D2398" s="1">
        <v>45777</v>
      </c>
      <c r="E2398" t="s">
        <v>24</v>
      </c>
      <c r="F2398" t="s">
        <v>321</v>
      </c>
      <c r="G2398" t="str">
        <f>_xlfn.XLOOKUP(TRIM(E2399),MedicineInfo!A:A,MedicineInfo!B:B,"Not Found")</f>
        <v>Multivitamin</v>
      </c>
      <c r="H2398" s="1" t="str" cm="1">
        <f t="array" ref="H2398">_xlfn.IFS(
OR(E2398="Type 2 Diabetes",E2398="Essential Hypertension",E2398="Angina Pectoris",E2398="Bronchial Asthma",E2398="Cardiac Arrhythmia"), D2398+30,
OR(E2398="Gastritis",E2398="Osteoarthritis",E2398="Bronchitis",E2398="Iron Deficiency Anemia"), D2398+14,
OR(E2398="Lumbar Strain",E2398="Migraine Headache"), D2398+7,
OR(E2398="Viral Fever",E2398="General Checkup","Routine Health Check"), "",
TRUE,""
)</f>
        <v/>
      </c>
      <c r="I2398" s="1" t="str">
        <f t="shared" si="74"/>
        <v>No Follow-up Required</v>
      </c>
      <c r="J2398" t="str">
        <f>TEXT(Table8[[#This Row],[visit_Date]],"DDDD")</f>
        <v>Wednesday</v>
      </c>
      <c r="K2398" t="str">
        <f>TEXT(Table8[[#This Row],[visit_Date]],"mmmm")</f>
        <v>April</v>
      </c>
      <c r="L2398" t="str">
        <f t="shared" si="75"/>
        <v>Summer</v>
      </c>
    </row>
    <row r="2399" spans="1:12" x14ac:dyDescent="0.25">
      <c r="A2399">
        <v>2398</v>
      </c>
      <c r="B2399">
        <v>1393</v>
      </c>
      <c r="C2399">
        <v>152</v>
      </c>
      <c r="D2399" s="1">
        <v>45814</v>
      </c>
      <c r="E2399" t="s">
        <v>24</v>
      </c>
      <c r="F2399" t="s">
        <v>321</v>
      </c>
      <c r="G2399" t="str">
        <f>_xlfn.XLOOKUP(TRIM(E2400),MedicineInfo!A:A,MedicineInfo!B:B,"Not Found")</f>
        <v>Multivitamin</v>
      </c>
      <c r="H2399" s="1" t="str" cm="1">
        <f t="array" ref="H2399">_xlfn.IFS(
OR(E2399="Type 2 Diabetes",E2399="Essential Hypertension",E2399="Angina Pectoris",E2399="Bronchial Asthma",E2399="Cardiac Arrhythmia"), D2399+30,
OR(E2399="Gastritis",E2399="Osteoarthritis",E2399="Bronchitis",E2399="Iron Deficiency Anemia"), D2399+14,
OR(E2399="Lumbar Strain",E2399="Migraine Headache"), D2399+7,
OR(E2399="Viral Fever",E2399="General Checkup","Routine Health Check"), "",
TRUE,""
)</f>
        <v/>
      </c>
      <c r="I2399" s="1" t="str">
        <f t="shared" si="74"/>
        <v>No Follow-up Required</v>
      </c>
      <c r="J2399" t="str">
        <f>TEXT(Table8[[#This Row],[visit_Date]],"DDDD")</f>
        <v>Friday</v>
      </c>
      <c r="K2399" t="str">
        <f>TEXT(Table8[[#This Row],[visit_Date]],"mmmm")</f>
        <v>June</v>
      </c>
      <c r="L2399" t="str">
        <f t="shared" si="75"/>
        <v>Monsoon</v>
      </c>
    </row>
    <row r="2400" spans="1:12" x14ac:dyDescent="0.25">
      <c r="A2400">
        <v>2399</v>
      </c>
      <c r="B2400">
        <v>1243</v>
      </c>
      <c r="C2400">
        <v>1121</v>
      </c>
      <c r="D2400" s="1">
        <v>45753</v>
      </c>
      <c r="E2400" t="s">
        <v>24</v>
      </c>
      <c r="F2400" t="s">
        <v>321</v>
      </c>
      <c r="G2400" t="str">
        <f>_xlfn.XLOOKUP(TRIM(E2401),MedicineInfo!A:A,MedicineInfo!B:B,"Not Found")</f>
        <v>Multivitamin</v>
      </c>
      <c r="H2400" s="1" t="str" cm="1">
        <f t="array" ref="H2400">_xlfn.IFS(
OR(E2400="Type 2 Diabetes",E2400="Essential Hypertension",E2400="Angina Pectoris",E2400="Bronchial Asthma",E2400="Cardiac Arrhythmia"), D2400+30,
OR(E2400="Gastritis",E2400="Osteoarthritis",E2400="Bronchitis",E2400="Iron Deficiency Anemia"), D2400+14,
OR(E2400="Lumbar Strain",E2400="Migraine Headache"), D2400+7,
OR(E2400="Viral Fever",E2400="General Checkup","Routine Health Check"), "",
TRUE,""
)</f>
        <v/>
      </c>
      <c r="I2400" s="1" t="str">
        <f t="shared" si="74"/>
        <v>No Follow-up Required</v>
      </c>
      <c r="J2400" t="str">
        <f>TEXT(Table8[[#This Row],[visit_Date]],"DDDD")</f>
        <v>Sunday</v>
      </c>
      <c r="K2400" t="str">
        <f>TEXT(Table8[[#This Row],[visit_Date]],"mmmm")</f>
        <v>April</v>
      </c>
      <c r="L2400" t="str">
        <f t="shared" si="75"/>
        <v>Summer</v>
      </c>
    </row>
    <row r="2401" spans="1:12" x14ac:dyDescent="0.25">
      <c r="A2401">
        <v>2400</v>
      </c>
      <c r="B2401">
        <v>1062</v>
      </c>
      <c r="C2401">
        <v>115</v>
      </c>
      <c r="D2401" s="1">
        <v>45747</v>
      </c>
      <c r="E2401" t="s">
        <v>24</v>
      </c>
      <c r="F2401" t="s">
        <v>321</v>
      </c>
      <c r="G2401" t="str">
        <f>_xlfn.XLOOKUP(TRIM(E2402),MedicineInfo!A:A,MedicineInfo!B:B,"Not Found")</f>
        <v>Sumatriptan</v>
      </c>
      <c r="H2401" s="1" t="str" cm="1">
        <f t="array" ref="H2401">_xlfn.IFS(
OR(E2401="Type 2 Diabetes",E2401="Essential Hypertension",E2401="Angina Pectoris",E2401="Bronchial Asthma",E2401="Cardiac Arrhythmia"), D2401+30,
OR(E2401="Gastritis",E2401="Osteoarthritis",E2401="Bronchitis",E2401="Iron Deficiency Anemia"), D2401+14,
OR(E2401="Lumbar Strain",E2401="Migraine Headache"), D2401+7,
OR(E2401="Viral Fever",E2401="General Checkup","Routine Health Check"), "",
TRUE,""
)</f>
        <v/>
      </c>
      <c r="I2401" s="1" t="str">
        <f t="shared" si="74"/>
        <v>No Follow-up Required</v>
      </c>
      <c r="J2401" t="str">
        <f>TEXT(Table8[[#This Row],[visit_Date]],"DDDD")</f>
        <v>Monday</v>
      </c>
      <c r="K2401" t="str">
        <f>TEXT(Table8[[#This Row],[visit_Date]],"mmmm")</f>
        <v>March</v>
      </c>
      <c r="L2401" t="str">
        <f t="shared" si="75"/>
        <v>Summer</v>
      </c>
    </row>
    <row r="2402" spans="1:12" x14ac:dyDescent="0.25">
      <c r="A2402">
        <v>2401</v>
      </c>
      <c r="B2402">
        <v>1330</v>
      </c>
      <c r="C2402">
        <v>803</v>
      </c>
      <c r="D2402" s="1">
        <v>45809</v>
      </c>
      <c r="E2402" t="s">
        <v>315</v>
      </c>
      <c r="F2402" t="s">
        <v>316</v>
      </c>
      <c r="G2402" t="str">
        <f>_xlfn.XLOOKUP(TRIM(E2403),MedicineInfo!A:A,MedicineInfo!B:B,"Not Found")</f>
        <v>Multivitamin</v>
      </c>
      <c r="H2402" s="1" cm="1">
        <f t="array" ref="H2402">_xlfn.IFS(
OR(E2402="Type 2 Diabetes",E2402="Essential Hypertension",E2402="Angina Pectoris",E2402="Bronchial Asthma",E2402="Cardiac Arrhythmia"), D2402+30,
OR(E2402="Gastritis",E2402="Osteoarthritis",E2402="Bronchitis",E2402="Iron Deficiency Anemia"), D2402+14,
OR(E2402="Lumbar Strain",E2402="Migraine Headache"), D2402+7,
OR(E2402="Viral Fever",E2402="General Checkup","Routine Health Check"), "",
TRUE,""
)</f>
        <v>45816</v>
      </c>
      <c r="I2402" s="1" t="str">
        <f t="shared" si="74"/>
        <v>Follow-up Scheduled</v>
      </c>
      <c r="J2402" t="str">
        <f>TEXT(Table8[[#This Row],[visit_Date]],"DDDD")</f>
        <v>Sunday</v>
      </c>
      <c r="K2402" t="str">
        <f>TEXT(Table8[[#This Row],[visit_Date]],"mmmm")</f>
        <v>June</v>
      </c>
      <c r="L2402" t="str">
        <f t="shared" si="75"/>
        <v>Monsoon</v>
      </c>
    </row>
    <row r="2403" spans="1:12" x14ac:dyDescent="0.25">
      <c r="A2403">
        <v>2402</v>
      </c>
      <c r="B2403">
        <v>1285</v>
      </c>
      <c r="C2403">
        <v>479</v>
      </c>
      <c r="D2403" s="1">
        <v>45783</v>
      </c>
      <c r="E2403" t="s">
        <v>24</v>
      </c>
      <c r="F2403" t="s">
        <v>321</v>
      </c>
      <c r="G2403" t="str">
        <f>_xlfn.XLOOKUP(TRIM(E2404),MedicineInfo!A:A,MedicineInfo!B:B,"Not Found")</f>
        <v>Multivitamin</v>
      </c>
      <c r="H2403" s="1" t="str" cm="1">
        <f t="array" ref="H2403">_xlfn.IFS(
OR(E2403="Type 2 Diabetes",E2403="Essential Hypertension",E2403="Angina Pectoris",E2403="Bronchial Asthma",E2403="Cardiac Arrhythmia"), D2403+30,
OR(E2403="Gastritis",E2403="Osteoarthritis",E2403="Bronchitis",E2403="Iron Deficiency Anemia"), D2403+14,
OR(E2403="Lumbar Strain",E2403="Migraine Headache"), D2403+7,
OR(E2403="Viral Fever",E2403="General Checkup","Routine Health Check"), "",
TRUE,""
)</f>
        <v/>
      </c>
      <c r="I2403" s="1" t="str">
        <f t="shared" si="74"/>
        <v>No Follow-up Required</v>
      </c>
      <c r="J2403" t="str">
        <f>TEXT(Table8[[#This Row],[visit_Date]],"DDDD")</f>
        <v>Tuesday</v>
      </c>
      <c r="K2403" t="str">
        <f>TEXT(Table8[[#This Row],[visit_Date]],"mmmm")</f>
        <v>May</v>
      </c>
      <c r="L2403" t="str">
        <f t="shared" si="75"/>
        <v>Summer</v>
      </c>
    </row>
    <row r="2404" spans="1:12" x14ac:dyDescent="0.25">
      <c r="A2404">
        <v>2403</v>
      </c>
      <c r="B2404">
        <v>1322</v>
      </c>
      <c r="C2404">
        <v>518</v>
      </c>
      <c r="D2404" s="1">
        <v>45675</v>
      </c>
      <c r="E2404" t="s">
        <v>24</v>
      </c>
      <c r="F2404" t="s">
        <v>321</v>
      </c>
      <c r="G2404" t="str">
        <f>_xlfn.XLOOKUP(TRIM(E2405),MedicineInfo!A:A,MedicineInfo!B:B,"Not Found")</f>
        <v>Multivitamin</v>
      </c>
      <c r="H2404" s="1" t="str" cm="1">
        <f t="array" ref="H2404">_xlfn.IFS(
OR(E2404="Type 2 Diabetes",E2404="Essential Hypertension",E2404="Angina Pectoris",E2404="Bronchial Asthma",E2404="Cardiac Arrhythmia"), D2404+30,
OR(E2404="Gastritis",E2404="Osteoarthritis",E2404="Bronchitis",E2404="Iron Deficiency Anemia"), D2404+14,
OR(E2404="Lumbar Strain",E2404="Migraine Headache"), D2404+7,
OR(E2404="Viral Fever",E2404="General Checkup","Routine Health Check"), "",
TRUE,""
)</f>
        <v/>
      </c>
      <c r="I2404" s="1" t="str">
        <f t="shared" si="74"/>
        <v>No Follow-up Required</v>
      </c>
      <c r="J2404" t="str">
        <f>TEXT(Table8[[#This Row],[visit_Date]],"DDDD")</f>
        <v>Saturday</v>
      </c>
      <c r="K2404" t="str">
        <f>TEXT(Table8[[#This Row],[visit_Date]],"mmmm")</f>
        <v>January</v>
      </c>
      <c r="L2404" t="str">
        <f t="shared" si="75"/>
        <v>Winter</v>
      </c>
    </row>
    <row r="2405" spans="1:12" x14ac:dyDescent="0.25">
      <c r="A2405">
        <v>2404</v>
      </c>
      <c r="B2405">
        <v>1330</v>
      </c>
      <c r="C2405">
        <v>1443</v>
      </c>
      <c r="D2405" s="1">
        <v>45862</v>
      </c>
      <c r="E2405" t="s">
        <v>24</v>
      </c>
      <c r="F2405" t="s">
        <v>321</v>
      </c>
      <c r="G2405" t="str">
        <f>_xlfn.XLOOKUP(TRIM(E2406),MedicineInfo!A:A,MedicineInfo!B:B,"Not Found")</f>
        <v>Multivitamin</v>
      </c>
      <c r="H2405" s="1" t="str" cm="1">
        <f t="array" ref="H2405">_xlfn.IFS(
OR(E2405="Type 2 Diabetes",E2405="Essential Hypertension",E2405="Angina Pectoris",E2405="Bronchial Asthma",E2405="Cardiac Arrhythmia"), D2405+30,
OR(E2405="Gastritis",E2405="Osteoarthritis",E2405="Bronchitis",E2405="Iron Deficiency Anemia"), D2405+14,
OR(E2405="Lumbar Strain",E2405="Migraine Headache"), D2405+7,
OR(E2405="Viral Fever",E2405="General Checkup","Routine Health Check"), "",
TRUE,""
)</f>
        <v/>
      </c>
      <c r="I2405" s="1" t="str">
        <f t="shared" si="74"/>
        <v>No Follow-up Required</v>
      </c>
      <c r="J2405" t="str">
        <f>TEXT(Table8[[#This Row],[visit_Date]],"DDDD")</f>
        <v>Thursday</v>
      </c>
      <c r="K2405" t="str">
        <f>TEXT(Table8[[#This Row],[visit_Date]],"mmmm")</f>
        <v>July</v>
      </c>
      <c r="L2405" t="str">
        <f t="shared" si="75"/>
        <v>Monsoon</v>
      </c>
    </row>
    <row r="2406" spans="1:12" x14ac:dyDescent="0.25">
      <c r="A2406">
        <v>2405</v>
      </c>
      <c r="B2406">
        <v>1341</v>
      </c>
      <c r="C2406">
        <v>505</v>
      </c>
      <c r="D2406" s="1">
        <v>45669</v>
      </c>
      <c r="E2406" t="s">
        <v>24</v>
      </c>
      <c r="F2406" t="s">
        <v>321</v>
      </c>
      <c r="G2406" t="str">
        <f>_xlfn.XLOOKUP(TRIM(E2407),MedicineInfo!A:A,MedicineInfo!B:B,"Not Found")</f>
        <v>Multivitamin</v>
      </c>
      <c r="H2406" s="1" t="str" cm="1">
        <f t="array" ref="H2406">_xlfn.IFS(
OR(E2406="Type 2 Diabetes",E2406="Essential Hypertension",E2406="Angina Pectoris",E2406="Bronchial Asthma",E2406="Cardiac Arrhythmia"), D2406+30,
OR(E2406="Gastritis",E2406="Osteoarthritis",E2406="Bronchitis",E2406="Iron Deficiency Anemia"), D2406+14,
OR(E2406="Lumbar Strain",E2406="Migraine Headache"), D2406+7,
OR(E2406="Viral Fever",E2406="General Checkup","Routine Health Check"), "",
TRUE,""
)</f>
        <v/>
      </c>
      <c r="I2406" s="1" t="str">
        <f t="shared" si="74"/>
        <v>No Follow-up Required</v>
      </c>
      <c r="J2406" t="str">
        <f>TEXT(Table8[[#This Row],[visit_Date]],"DDDD")</f>
        <v>Sunday</v>
      </c>
      <c r="K2406" t="str">
        <f>TEXT(Table8[[#This Row],[visit_Date]],"mmmm")</f>
        <v>January</v>
      </c>
      <c r="L2406" t="str">
        <f t="shared" si="75"/>
        <v>Winter</v>
      </c>
    </row>
    <row r="2407" spans="1:12" x14ac:dyDescent="0.25">
      <c r="A2407">
        <v>2406</v>
      </c>
      <c r="B2407">
        <v>1108</v>
      </c>
      <c r="C2407">
        <v>1263</v>
      </c>
      <c r="D2407" s="1">
        <v>45702</v>
      </c>
      <c r="E2407" t="s">
        <v>24</v>
      </c>
      <c r="F2407" t="s">
        <v>321</v>
      </c>
      <c r="G2407" t="str">
        <f>_xlfn.XLOOKUP(TRIM(E2408),MedicineInfo!A:A,MedicineInfo!B:B,"Not Found")</f>
        <v>Multivitamin</v>
      </c>
      <c r="H2407" s="1" t="str" cm="1">
        <f t="array" ref="H2407">_xlfn.IFS(
OR(E2407="Type 2 Diabetes",E2407="Essential Hypertension",E2407="Angina Pectoris",E2407="Bronchial Asthma",E2407="Cardiac Arrhythmia"), D2407+30,
OR(E2407="Gastritis",E2407="Osteoarthritis",E2407="Bronchitis",E2407="Iron Deficiency Anemia"), D2407+14,
OR(E2407="Lumbar Strain",E2407="Migraine Headache"), D2407+7,
OR(E2407="Viral Fever",E2407="General Checkup","Routine Health Check"), "",
TRUE,""
)</f>
        <v/>
      </c>
      <c r="I2407" s="1" t="str">
        <f t="shared" si="74"/>
        <v>No Follow-up Required</v>
      </c>
      <c r="J2407" t="str">
        <f>TEXT(Table8[[#This Row],[visit_Date]],"DDDD")</f>
        <v>Friday</v>
      </c>
      <c r="K2407" t="str">
        <f>TEXT(Table8[[#This Row],[visit_Date]],"mmmm")</f>
        <v>February</v>
      </c>
      <c r="L2407" t="str">
        <f t="shared" si="75"/>
        <v>Winter</v>
      </c>
    </row>
    <row r="2408" spans="1:12" x14ac:dyDescent="0.25">
      <c r="A2408">
        <v>2407</v>
      </c>
      <c r="B2408">
        <v>1344</v>
      </c>
      <c r="C2408">
        <v>1229</v>
      </c>
      <c r="D2408" s="1">
        <v>45821</v>
      </c>
      <c r="E2408" t="s">
        <v>24</v>
      </c>
      <c r="F2408" t="s">
        <v>321</v>
      </c>
      <c r="G2408" t="str">
        <f>_xlfn.XLOOKUP(TRIM(E2409),MedicineInfo!A:A,MedicineInfo!B:B,"Not Found")</f>
        <v>Multivitamin</v>
      </c>
      <c r="H2408" s="1" t="str" cm="1">
        <f t="array" ref="H2408">_xlfn.IFS(
OR(E2408="Type 2 Diabetes",E2408="Essential Hypertension",E2408="Angina Pectoris",E2408="Bronchial Asthma",E2408="Cardiac Arrhythmia"), D2408+30,
OR(E2408="Gastritis",E2408="Osteoarthritis",E2408="Bronchitis",E2408="Iron Deficiency Anemia"), D2408+14,
OR(E2408="Lumbar Strain",E2408="Migraine Headache"), D2408+7,
OR(E2408="Viral Fever",E2408="General Checkup","Routine Health Check"), "",
TRUE,""
)</f>
        <v/>
      </c>
      <c r="I2408" s="1" t="str">
        <f t="shared" si="74"/>
        <v>No Follow-up Required</v>
      </c>
      <c r="J2408" t="str">
        <f>TEXT(Table8[[#This Row],[visit_Date]],"DDDD")</f>
        <v>Friday</v>
      </c>
      <c r="K2408" t="str">
        <f>TEXT(Table8[[#This Row],[visit_Date]],"mmmm")</f>
        <v>June</v>
      </c>
      <c r="L2408" t="str">
        <f t="shared" si="75"/>
        <v>Monsoon</v>
      </c>
    </row>
    <row r="2409" spans="1:12" x14ac:dyDescent="0.25">
      <c r="A2409">
        <v>2408</v>
      </c>
      <c r="B2409">
        <v>1243</v>
      </c>
      <c r="C2409">
        <v>633</v>
      </c>
      <c r="D2409" s="1">
        <v>45747</v>
      </c>
      <c r="E2409" t="s">
        <v>24</v>
      </c>
      <c r="F2409" t="s">
        <v>321</v>
      </c>
      <c r="G2409" t="str">
        <f>_xlfn.XLOOKUP(TRIM(E2410),MedicineInfo!A:A,MedicineInfo!B:B,"Not Found")</f>
        <v>Multivitamin</v>
      </c>
      <c r="H2409" s="1" t="str" cm="1">
        <f t="array" ref="H2409">_xlfn.IFS(
OR(E2409="Type 2 Diabetes",E2409="Essential Hypertension",E2409="Angina Pectoris",E2409="Bronchial Asthma",E2409="Cardiac Arrhythmia"), D2409+30,
OR(E2409="Gastritis",E2409="Osteoarthritis",E2409="Bronchitis",E2409="Iron Deficiency Anemia"), D2409+14,
OR(E2409="Lumbar Strain",E2409="Migraine Headache"), D2409+7,
OR(E2409="Viral Fever",E2409="General Checkup","Routine Health Check"), "",
TRUE,""
)</f>
        <v/>
      </c>
      <c r="I2409" s="1" t="str">
        <f t="shared" si="74"/>
        <v>No Follow-up Required</v>
      </c>
      <c r="J2409" t="str">
        <f>TEXT(Table8[[#This Row],[visit_Date]],"DDDD")</f>
        <v>Monday</v>
      </c>
      <c r="K2409" t="str">
        <f>TEXT(Table8[[#This Row],[visit_Date]],"mmmm")</f>
        <v>March</v>
      </c>
      <c r="L2409" t="str">
        <f t="shared" si="75"/>
        <v>Summer</v>
      </c>
    </row>
    <row r="2410" spans="1:12" x14ac:dyDescent="0.25">
      <c r="A2410">
        <v>2409</v>
      </c>
      <c r="B2410">
        <v>1021</v>
      </c>
      <c r="C2410">
        <v>812</v>
      </c>
      <c r="D2410" s="1">
        <v>45758</v>
      </c>
      <c r="E2410" t="s">
        <v>24</v>
      </c>
      <c r="F2410" t="s">
        <v>321</v>
      </c>
      <c r="G2410" t="str">
        <f>_xlfn.XLOOKUP(TRIM(E2411),MedicineInfo!A:A,MedicineInfo!B:B,"Not Found")</f>
        <v>Multivitamin</v>
      </c>
      <c r="H2410" s="1" t="str" cm="1">
        <f t="array" ref="H2410">_xlfn.IFS(
OR(E2410="Type 2 Diabetes",E2410="Essential Hypertension",E2410="Angina Pectoris",E2410="Bronchial Asthma",E2410="Cardiac Arrhythmia"), D2410+30,
OR(E2410="Gastritis",E2410="Osteoarthritis",E2410="Bronchitis",E2410="Iron Deficiency Anemia"), D2410+14,
OR(E2410="Lumbar Strain",E2410="Migraine Headache"), D2410+7,
OR(E2410="Viral Fever",E2410="General Checkup","Routine Health Check"), "",
TRUE,""
)</f>
        <v/>
      </c>
      <c r="I2410" s="1" t="str">
        <f t="shared" si="74"/>
        <v>No Follow-up Required</v>
      </c>
      <c r="J2410" t="str">
        <f>TEXT(Table8[[#This Row],[visit_Date]],"DDDD")</f>
        <v>Friday</v>
      </c>
      <c r="K2410" t="str">
        <f>TEXT(Table8[[#This Row],[visit_Date]],"mmmm")</f>
        <v>April</v>
      </c>
      <c r="L2410" t="str">
        <f t="shared" si="75"/>
        <v>Summer</v>
      </c>
    </row>
    <row r="2411" spans="1:12" x14ac:dyDescent="0.25">
      <c r="A2411">
        <v>2410</v>
      </c>
      <c r="B2411">
        <v>1398</v>
      </c>
      <c r="C2411">
        <v>1251</v>
      </c>
      <c r="D2411" s="1">
        <v>45792</v>
      </c>
      <c r="E2411" t="s">
        <v>24</v>
      </c>
      <c r="F2411" t="s">
        <v>321</v>
      </c>
      <c r="G2411" t="str">
        <f>_xlfn.XLOOKUP(TRIM(E2412),MedicineInfo!A:A,MedicineInfo!B:B,"Not Found")</f>
        <v>Multivitamin</v>
      </c>
      <c r="H2411" s="1" t="str" cm="1">
        <f t="array" ref="H2411">_xlfn.IFS(
OR(E2411="Type 2 Diabetes",E2411="Essential Hypertension",E2411="Angina Pectoris",E2411="Bronchial Asthma",E2411="Cardiac Arrhythmia"), D2411+30,
OR(E2411="Gastritis",E2411="Osteoarthritis",E2411="Bronchitis",E2411="Iron Deficiency Anemia"), D2411+14,
OR(E2411="Lumbar Strain",E2411="Migraine Headache"), D2411+7,
OR(E2411="Viral Fever",E2411="General Checkup","Routine Health Check"), "",
TRUE,""
)</f>
        <v/>
      </c>
      <c r="I2411" s="1" t="str">
        <f t="shared" si="74"/>
        <v>No Follow-up Required</v>
      </c>
      <c r="J2411" t="str">
        <f>TEXT(Table8[[#This Row],[visit_Date]],"DDDD")</f>
        <v>Thursday</v>
      </c>
      <c r="K2411" t="str">
        <f>TEXT(Table8[[#This Row],[visit_Date]],"mmmm")</f>
        <v>May</v>
      </c>
      <c r="L2411" t="str">
        <f t="shared" si="75"/>
        <v>Summer</v>
      </c>
    </row>
    <row r="2412" spans="1:12" x14ac:dyDescent="0.25">
      <c r="A2412">
        <v>2411</v>
      </c>
      <c r="B2412">
        <v>1279</v>
      </c>
      <c r="C2412">
        <v>696</v>
      </c>
      <c r="D2412" s="1">
        <v>45831</v>
      </c>
      <c r="E2412" t="s">
        <v>24</v>
      </c>
      <c r="F2412" t="s">
        <v>321</v>
      </c>
      <c r="G2412" t="str">
        <f>_xlfn.XLOOKUP(TRIM(E2413),MedicineInfo!A:A,MedicineInfo!B:B,"Not Found")</f>
        <v>Multivitamin</v>
      </c>
      <c r="H2412" s="1" t="str" cm="1">
        <f t="array" ref="H2412">_xlfn.IFS(
OR(E2412="Type 2 Diabetes",E2412="Essential Hypertension",E2412="Angina Pectoris",E2412="Bronchial Asthma",E2412="Cardiac Arrhythmia"), D2412+30,
OR(E2412="Gastritis",E2412="Osteoarthritis",E2412="Bronchitis",E2412="Iron Deficiency Anemia"), D2412+14,
OR(E2412="Lumbar Strain",E2412="Migraine Headache"), D2412+7,
OR(E2412="Viral Fever",E2412="General Checkup","Routine Health Check"), "",
TRUE,""
)</f>
        <v/>
      </c>
      <c r="I2412" s="1" t="str">
        <f t="shared" si="74"/>
        <v>No Follow-up Required</v>
      </c>
      <c r="J2412" t="str">
        <f>TEXT(Table8[[#This Row],[visit_Date]],"DDDD")</f>
        <v>Monday</v>
      </c>
      <c r="K2412" t="str">
        <f>TEXT(Table8[[#This Row],[visit_Date]],"mmmm")</f>
        <v>June</v>
      </c>
      <c r="L2412" t="str">
        <f t="shared" si="75"/>
        <v>Monsoon</v>
      </c>
    </row>
    <row r="2413" spans="1:12" x14ac:dyDescent="0.25">
      <c r="A2413">
        <v>2412</v>
      </c>
      <c r="B2413">
        <v>1115</v>
      </c>
      <c r="C2413">
        <v>234</v>
      </c>
      <c r="D2413" s="1">
        <v>45750</v>
      </c>
      <c r="E2413" t="s">
        <v>24</v>
      </c>
      <c r="F2413" t="s">
        <v>321</v>
      </c>
      <c r="G2413" t="str">
        <f>_xlfn.XLOOKUP(TRIM(E2414),MedicineInfo!A:A,MedicineInfo!B:B,"Not Found")</f>
        <v>Multivitamin</v>
      </c>
      <c r="H2413" s="1" t="str" cm="1">
        <f t="array" ref="H2413">_xlfn.IFS(
OR(E2413="Type 2 Diabetes",E2413="Essential Hypertension",E2413="Angina Pectoris",E2413="Bronchial Asthma",E2413="Cardiac Arrhythmia"), D2413+30,
OR(E2413="Gastritis",E2413="Osteoarthritis",E2413="Bronchitis",E2413="Iron Deficiency Anemia"), D2413+14,
OR(E2413="Lumbar Strain",E2413="Migraine Headache"), D2413+7,
OR(E2413="Viral Fever",E2413="General Checkup","Routine Health Check"), "",
TRUE,""
)</f>
        <v/>
      </c>
      <c r="I2413" s="1" t="str">
        <f t="shared" si="74"/>
        <v>No Follow-up Required</v>
      </c>
      <c r="J2413" t="str">
        <f>TEXT(Table8[[#This Row],[visit_Date]],"DDDD")</f>
        <v>Thursday</v>
      </c>
      <c r="K2413" t="str">
        <f>TEXT(Table8[[#This Row],[visit_Date]],"mmmm")</f>
        <v>April</v>
      </c>
      <c r="L2413" t="str">
        <f t="shared" si="75"/>
        <v>Summer</v>
      </c>
    </row>
    <row r="2414" spans="1:12" x14ac:dyDescent="0.25">
      <c r="A2414">
        <v>2413</v>
      </c>
      <c r="B2414">
        <v>1247</v>
      </c>
      <c r="C2414">
        <v>1346</v>
      </c>
      <c r="D2414" s="1">
        <v>45778</v>
      </c>
      <c r="E2414" t="s">
        <v>24</v>
      </c>
      <c r="F2414" t="s">
        <v>321</v>
      </c>
      <c r="G2414" t="str">
        <f>_xlfn.XLOOKUP(TRIM(E2415),MedicineInfo!A:A,MedicineInfo!B:B,"Not Found")</f>
        <v>Multivitamin</v>
      </c>
      <c r="H2414" s="1" t="str" cm="1">
        <f t="array" ref="H2414">_xlfn.IFS(
OR(E2414="Type 2 Diabetes",E2414="Essential Hypertension",E2414="Angina Pectoris",E2414="Bronchial Asthma",E2414="Cardiac Arrhythmia"), D2414+30,
OR(E2414="Gastritis",E2414="Osteoarthritis",E2414="Bronchitis",E2414="Iron Deficiency Anemia"), D2414+14,
OR(E2414="Lumbar Strain",E2414="Migraine Headache"), D2414+7,
OR(E2414="Viral Fever",E2414="General Checkup","Routine Health Check"), "",
TRUE,""
)</f>
        <v/>
      </c>
      <c r="I2414" s="1" t="str">
        <f t="shared" si="74"/>
        <v>No Follow-up Required</v>
      </c>
      <c r="J2414" t="str">
        <f>TEXT(Table8[[#This Row],[visit_Date]],"DDDD")</f>
        <v>Thursday</v>
      </c>
      <c r="K2414" t="str">
        <f>TEXT(Table8[[#This Row],[visit_Date]],"mmmm")</f>
        <v>May</v>
      </c>
      <c r="L2414" t="str">
        <f t="shared" si="75"/>
        <v>Summer</v>
      </c>
    </row>
    <row r="2415" spans="1:12" x14ac:dyDescent="0.25">
      <c r="A2415">
        <v>2414</v>
      </c>
      <c r="B2415">
        <v>1353</v>
      </c>
      <c r="C2415">
        <v>551</v>
      </c>
      <c r="D2415" s="1">
        <v>45823</v>
      </c>
      <c r="E2415" t="s">
        <v>24</v>
      </c>
      <c r="F2415" t="s">
        <v>321</v>
      </c>
      <c r="G2415" t="str">
        <f>_xlfn.XLOOKUP(TRIM(E2416),MedicineInfo!A:A,MedicineInfo!B:B,"Not Found")</f>
        <v>Cefixime</v>
      </c>
      <c r="H2415" s="1" t="str" cm="1">
        <f t="array" ref="H2415">_xlfn.IFS(
OR(E2415="Type 2 Diabetes",E2415="Essential Hypertension",E2415="Angina Pectoris",E2415="Bronchial Asthma",E2415="Cardiac Arrhythmia"), D2415+30,
OR(E2415="Gastritis",E2415="Osteoarthritis",E2415="Bronchitis",E2415="Iron Deficiency Anemia"), D2415+14,
OR(E2415="Lumbar Strain",E2415="Migraine Headache"), D2415+7,
OR(E2415="Viral Fever",E2415="General Checkup","Routine Health Check"), "",
TRUE,""
)</f>
        <v/>
      </c>
      <c r="I2415" s="1" t="str">
        <f t="shared" si="74"/>
        <v>No Follow-up Required</v>
      </c>
      <c r="J2415" t="str">
        <f>TEXT(Table8[[#This Row],[visit_Date]],"DDDD")</f>
        <v>Sunday</v>
      </c>
      <c r="K2415" t="str">
        <f>TEXT(Table8[[#This Row],[visit_Date]],"mmmm")</f>
        <v>June</v>
      </c>
      <c r="L2415" t="str">
        <f t="shared" si="75"/>
        <v>Monsoon</v>
      </c>
    </row>
    <row r="2416" spans="1:12" x14ac:dyDescent="0.25">
      <c r="A2416">
        <v>2415</v>
      </c>
      <c r="B2416">
        <v>1253</v>
      </c>
      <c r="C2416">
        <v>849</v>
      </c>
      <c r="D2416" s="1">
        <v>45777</v>
      </c>
      <c r="E2416" t="s">
        <v>354</v>
      </c>
      <c r="F2416" t="s">
        <v>355</v>
      </c>
      <c r="G2416" t="str">
        <f>_xlfn.XLOOKUP(TRIM(E2417),MedicineInfo!A:A,MedicineInfo!B:B,"Not Found")</f>
        <v>Multivitamin</v>
      </c>
      <c r="H2416" s="1" t="str" cm="1">
        <f t="array" ref="H2416">_xlfn.IFS(
OR(E2416="Type 2 Diabetes",E2416="Essential Hypertension",E2416="Angina Pectoris",E2416="Bronchial Asthma",E2416="Cardiac Arrhythmia"), D2416+30,
OR(E2416="Gastritis",E2416="Osteoarthritis",E2416="Bronchitis",E2416="Iron Deficiency Anemia"), D2416+14,
OR(E2416="Lumbar Strain",E2416="Migraine Headache"), D2416+7,
OR(E2416="Viral Fever",E2416="General Checkup","Routine Health Check"), "",
TRUE,""
)</f>
        <v/>
      </c>
      <c r="I2416" s="1" t="str">
        <f t="shared" si="74"/>
        <v>No Follow-up Required</v>
      </c>
      <c r="J2416" t="str">
        <f>TEXT(Table8[[#This Row],[visit_Date]],"DDDD")</f>
        <v>Wednesday</v>
      </c>
      <c r="K2416" t="str">
        <f>TEXT(Table8[[#This Row],[visit_Date]],"mmmm")</f>
        <v>April</v>
      </c>
      <c r="L2416" t="str">
        <f t="shared" si="75"/>
        <v>Summer</v>
      </c>
    </row>
    <row r="2417" spans="1:12" x14ac:dyDescent="0.25">
      <c r="A2417">
        <v>2416</v>
      </c>
      <c r="B2417">
        <v>1158</v>
      </c>
      <c r="C2417">
        <v>1205</v>
      </c>
      <c r="D2417" s="1">
        <v>45799</v>
      </c>
      <c r="E2417" t="s">
        <v>24</v>
      </c>
      <c r="F2417" t="s">
        <v>321</v>
      </c>
      <c r="G2417" t="str">
        <f>_xlfn.XLOOKUP(TRIM(E2418),MedicineInfo!A:A,MedicineInfo!B:B,"Not Found")</f>
        <v>Vitamin D3</v>
      </c>
      <c r="H2417" s="1" t="str" cm="1">
        <f t="array" ref="H2417">_xlfn.IFS(
OR(E2417="Type 2 Diabetes",E2417="Essential Hypertension",E2417="Angina Pectoris",E2417="Bronchial Asthma",E2417="Cardiac Arrhythmia"), D2417+30,
OR(E2417="Gastritis",E2417="Osteoarthritis",E2417="Bronchitis",E2417="Iron Deficiency Anemia"), D2417+14,
OR(E2417="Lumbar Strain",E2417="Migraine Headache"), D2417+7,
OR(E2417="Viral Fever",E2417="General Checkup","Routine Health Check"), "",
TRUE,""
)</f>
        <v/>
      </c>
      <c r="I2417" s="1" t="str">
        <f t="shared" si="74"/>
        <v>No Follow-up Required</v>
      </c>
      <c r="J2417" t="str">
        <f>TEXT(Table8[[#This Row],[visit_Date]],"DDDD")</f>
        <v>Thursday</v>
      </c>
      <c r="K2417" t="str">
        <f>TEXT(Table8[[#This Row],[visit_Date]],"mmmm")</f>
        <v>May</v>
      </c>
      <c r="L2417" t="str">
        <f t="shared" si="75"/>
        <v>Summer</v>
      </c>
    </row>
    <row r="2418" spans="1:12" x14ac:dyDescent="0.25">
      <c r="A2418">
        <v>2417</v>
      </c>
      <c r="B2418">
        <v>1160</v>
      </c>
      <c r="C2418">
        <v>1193</v>
      </c>
      <c r="D2418" s="1">
        <v>45769</v>
      </c>
      <c r="E2418" t="s">
        <v>332</v>
      </c>
      <c r="F2418" t="s">
        <v>333</v>
      </c>
      <c r="G2418" t="str">
        <f>_xlfn.XLOOKUP(TRIM(E2419),MedicineInfo!A:A,MedicineInfo!B:B,"Not Found")</f>
        <v>Amlodipine</v>
      </c>
      <c r="H2418" s="1" t="str" cm="1">
        <f t="array" ref="H2418">_xlfn.IFS(
OR(E2418="Type 2 Diabetes",E2418="Essential Hypertension",E2418="Angina Pectoris",E2418="Bronchial Asthma",E2418="Cardiac Arrhythmia"), D2418+30,
OR(E2418="Gastritis",E2418="Osteoarthritis",E2418="Bronchitis",E2418="Iron Deficiency Anemia"), D2418+14,
OR(E2418="Lumbar Strain",E2418="Migraine Headache"), D2418+7,
OR(E2418="Viral Fever",E2418="General Checkup","Routine Health Check"), "",
TRUE,""
)</f>
        <v/>
      </c>
      <c r="I2418" s="1" t="str">
        <f t="shared" si="74"/>
        <v>No Follow-up Required</v>
      </c>
      <c r="J2418" t="str">
        <f>TEXT(Table8[[#This Row],[visit_Date]],"DDDD")</f>
        <v>Tuesday</v>
      </c>
      <c r="K2418" t="str">
        <f>TEXT(Table8[[#This Row],[visit_Date]],"mmmm")</f>
        <v>April</v>
      </c>
      <c r="L2418" t="str">
        <f t="shared" si="75"/>
        <v>Summer</v>
      </c>
    </row>
    <row r="2419" spans="1:12" x14ac:dyDescent="0.25">
      <c r="A2419">
        <v>2418</v>
      </c>
      <c r="B2419">
        <v>1153</v>
      </c>
      <c r="C2419">
        <v>594</v>
      </c>
      <c r="D2419" s="1">
        <v>45853</v>
      </c>
      <c r="E2419" t="s">
        <v>319</v>
      </c>
      <c r="F2419" t="s">
        <v>320</v>
      </c>
      <c r="G2419" t="str">
        <f>_xlfn.XLOOKUP(TRIM(E2420),MedicineInfo!A:A,MedicineInfo!B:B,"Not Found")</f>
        <v>Multivitamin</v>
      </c>
      <c r="H2419" s="1" cm="1">
        <f t="array" ref="H2419">_xlfn.IFS(
OR(E2419="Type 2 Diabetes",E2419="Essential Hypertension",E2419="Angina Pectoris",E2419="Bronchial Asthma",E2419="Cardiac Arrhythmia"), D2419+30,
OR(E2419="Gastritis",E2419="Osteoarthritis",E2419="Bronchitis",E2419="Iron Deficiency Anemia"), D2419+14,
OR(E2419="Lumbar Strain",E2419="Migraine Headache"), D2419+7,
OR(E2419="Viral Fever",E2419="General Checkup","Routine Health Check"), "",
TRUE,""
)</f>
        <v>45883</v>
      </c>
      <c r="I2419" s="1" t="str">
        <f t="shared" si="74"/>
        <v>Follow-up Scheduled</v>
      </c>
      <c r="J2419" t="str">
        <f>TEXT(Table8[[#This Row],[visit_Date]],"DDDD")</f>
        <v>Tuesday</v>
      </c>
      <c r="K2419" t="str">
        <f>TEXT(Table8[[#This Row],[visit_Date]],"mmmm")</f>
        <v>July</v>
      </c>
      <c r="L2419" t="str">
        <f t="shared" si="75"/>
        <v>Monsoon</v>
      </c>
    </row>
    <row r="2420" spans="1:12" x14ac:dyDescent="0.25">
      <c r="A2420">
        <v>2419</v>
      </c>
      <c r="B2420">
        <v>1322</v>
      </c>
      <c r="C2420">
        <v>472</v>
      </c>
      <c r="D2420" s="1">
        <v>45686</v>
      </c>
      <c r="E2420" t="s">
        <v>24</v>
      </c>
      <c r="F2420" t="s">
        <v>321</v>
      </c>
      <c r="G2420" t="str">
        <f>_xlfn.XLOOKUP(TRIM(E2421),MedicineInfo!A:A,MedicineInfo!B:B,"Not Found")</f>
        <v>Multivitamin</v>
      </c>
      <c r="H2420" s="1" t="str" cm="1">
        <f t="array" ref="H2420">_xlfn.IFS(
OR(E2420="Type 2 Diabetes",E2420="Essential Hypertension",E2420="Angina Pectoris",E2420="Bronchial Asthma",E2420="Cardiac Arrhythmia"), D2420+30,
OR(E2420="Gastritis",E2420="Osteoarthritis",E2420="Bronchitis",E2420="Iron Deficiency Anemia"), D2420+14,
OR(E2420="Lumbar Strain",E2420="Migraine Headache"), D2420+7,
OR(E2420="Viral Fever",E2420="General Checkup","Routine Health Check"), "",
TRUE,""
)</f>
        <v/>
      </c>
      <c r="I2420" s="1" t="str">
        <f t="shared" si="74"/>
        <v>No Follow-up Required</v>
      </c>
      <c r="J2420" t="str">
        <f>TEXT(Table8[[#This Row],[visit_Date]],"DDDD")</f>
        <v>Wednesday</v>
      </c>
      <c r="K2420" t="str">
        <f>TEXT(Table8[[#This Row],[visit_Date]],"mmmm")</f>
        <v>January</v>
      </c>
      <c r="L2420" t="str">
        <f t="shared" si="75"/>
        <v>Winter</v>
      </c>
    </row>
    <row r="2421" spans="1:12" x14ac:dyDescent="0.25">
      <c r="A2421">
        <v>2420</v>
      </c>
      <c r="B2421">
        <v>1113</v>
      </c>
      <c r="C2421">
        <v>621</v>
      </c>
      <c r="D2421" s="1">
        <v>45768</v>
      </c>
      <c r="E2421" t="s">
        <v>24</v>
      </c>
      <c r="F2421" t="s">
        <v>321</v>
      </c>
      <c r="G2421" t="str">
        <f>_xlfn.XLOOKUP(TRIM(E2422),MedicineInfo!A:A,MedicineInfo!B:B,"Not Found")</f>
        <v>Multivitamin</v>
      </c>
      <c r="H2421" s="1" t="str" cm="1">
        <f t="array" ref="H2421">_xlfn.IFS(
OR(E2421="Type 2 Diabetes",E2421="Essential Hypertension",E2421="Angina Pectoris",E2421="Bronchial Asthma",E2421="Cardiac Arrhythmia"), D2421+30,
OR(E2421="Gastritis",E2421="Osteoarthritis",E2421="Bronchitis",E2421="Iron Deficiency Anemia"), D2421+14,
OR(E2421="Lumbar Strain",E2421="Migraine Headache"), D2421+7,
OR(E2421="Viral Fever",E2421="General Checkup","Routine Health Check"), "",
TRUE,""
)</f>
        <v/>
      </c>
      <c r="I2421" s="1" t="str">
        <f t="shared" si="74"/>
        <v>No Follow-up Required</v>
      </c>
      <c r="J2421" t="str">
        <f>TEXT(Table8[[#This Row],[visit_Date]],"DDDD")</f>
        <v>Monday</v>
      </c>
      <c r="K2421" t="str">
        <f>TEXT(Table8[[#This Row],[visit_Date]],"mmmm")</f>
        <v>April</v>
      </c>
      <c r="L2421" t="str">
        <f t="shared" si="75"/>
        <v>Summer</v>
      </c>
    </row>
    <row r="2422" spans="1:12" x14ac:dyDescent="0.25">
      <c r="A2422">
        <v>2421</v>
      </c>
      <c r="B2422">
        <v>1356</v>
      </c>
      <c r="C2422">
        <v>734</v>
      </c>
      <c r="D2422" s="1">
        <v>45792</v>
      </c>
      <c r="E2422" t="s">
        <v>24</v>
      </c>
      <c r="F2422" t="s">
        <v>321</v>
      </c>
      <c r="G2422" t="str">
        <f>_xlfn.XLOOKUP(TRIM(E2423),MedicineInfo!A:A,MedicineInfo!B:B,"Not Found")</f>
        <v>Multivitamin</v>
      </c>
      <c r="H2422" s="1" t="str" cm="1">
        <f t="array" ref="H2422">_xlfn.IFS(
OR(E2422="Type 2 Diabetes",E2422="Essential Hypertension",E2422="Angina Pectoris",E2422="Bronchial Asthma",E2422="Cardiac Arrhythmia"), D2422+30,
OR(E2422="Gastritis",E2422="Osteoarthritis",E2422="Bronchitis",E2422="Iron Deficiency Anemia"), D2422+14,
OR(E2422="Lumbar Strain",E2422="Migraine Headache"), D2422+7,
OR(E2422="Viral Fever",E2422="General Checkup","Routine Health Check"), "",
TRUE,""
)</f>
        <v/>
      </c>
      <c r="I2422" s="1" t="str">
        <f t="shared" si="74"/>
        <v>No Follow-up Required</v>
      </c>
      <c r="J2422" t="str">
        <f>TEXT(Table8[[#This Row],[visit_Date]],"DDDD")</f>
        <v>Thursday</v>
      </c>
      <c r="K2422" t="str">
        <f>TEXT(Table8[[#This Row],[visit_Date]],"mmmm")</f>
        <v>May</v>
      </c>
      <c r="L2422" t="str">
        <f t="shared" si="75"/>
        <v>Summer</v>
      </c>
    </row>
    <row r="2423" spans="1:12" x14ac:dyDescent="0.25">
      <c r="A2423">
        <v>2422</v>
      </c>
      <c r="B2423">
        <v>1196</v>
      </c>
      <c r="C2423">
        <v>1194</v>
      </c>
      <c r="D2423" s="1">
        <v>45853</v>
      </c>
      <c r="E2423" t="s">
        <v>24</v>
      </c>
      <c r="F2423" t="s">
        <v>321</v>
      </c>
      <c r="G2423" t="str">
        <f>_xlfn.XLOOKUP(TRIM(E2424),MedicineInfo!A:A,MedicineInfo!B:B,"Not Found")</f>
        <v>Levothyroxine</v>
      </c>
      <c r="H2423" s="1" t="str" cm="1">
        <f t="array" ref="H2423">_xlfn.IFS(
OR(E2423="Type 2 Diabetes",E2423="Essential Hypertension",E2423="Angina Pectoris",E2423="Bronchial Asthma",E2423="Cardiac Arrhythmia"), D2423+30,
OR(E2423="Gastritis",E2423="Osteoarthritis",E2423="Bronchitis",E2423="Iron Deficiency Anemia"), D2423+14,
OR(E2423="Lumbar Strain",E2423="Migraine Headache"), D2423+7,
OR(E2423="Viral Fever",E2423="General Checkup","Routine Health Check"), "",
TRUE,""
)</f>
        <v/>
      </c>
      <c r="I2423" s="1" t="str">
        <f t="shared" si="74"/>
        <v>No Follow-up Required</v>
      </c>
      <c r="J2423" t="str">
        <f>TEXT(Table8[[#This Row],[visit_Date]],"DDDD")</f>
        <v>Tuesday</v>
      </c>
      <c r="K2423" t="str">
        <f>TEXT(Table8[[#This Row],[visit_Date]],"mmmm")</f>
        <v>July</v>
      </c>
      <c r="L2423" t="str">
        <f t="shared" si="75"/>
        <v>Monsoon</v>
      </c>
    </row>
    <row r="2424" spans="1:12" x14ac:dyDescent="0.25">
      <c r="A2424">
        <v>2423</v>
      </c>
      <c r="B2424">
        <v>1132</v>
      </c>
      <c r="C2424">
        <v>363</v>
      </c>
      <c r="D2424" s="1">
        <v>45681</v>
      </c>
      <c r="E2424" t="s">
        <v>360</v>
      </c>
      <c r="F2424" t="s">
        <v>361</v>
      </c>
      <c r="G2424" t="str">
        <f>_xlfn.XLOOKUP(TRIM(E2425),MedicineInfo!A:A,MedicineInfo!B:B,"Not Found")</f>
        <v>Multivitamin</v>
      </c>
      <c r="H2424" s="1" t="str" cm="1">
        <f t="array" ref="H2424">_xlfn.IFS(
OR(E2424="Type 2 Diabetes",E2424="Essential Hypertension",E2424="Angina Pectoris",E2424="Bronchial Asthma",E2424="Cardiac Arrhythmia"), D2424+30,
OR(E2424="Gastritis",E2424="Osteoarthritis",E2424="Bronchitis",E2424="Iron Deficiency Anemia"), D2424+14,
OR(E2424="Lumbar Strain",E2424="Migraine Headache"), D2424+7,
OR(E2424="Viral Fever",E2424="General Checkup","Routine Health Check"), "",
TRUE,""
)</f>
        <v/>
      </c>
      <c r="I2424" s="1" t="str">
        <f t="shared" si="74"/>
        <v>No Follow-up Required</v>
      </c>
      <c r="J2424" t="str">
        <f>TEXT(Table8[[#This Row],[visit_Date]],"DDDD")</f>
        <v>Friday</v>
      </c>
      <c r="K2424" t="str">
        <f>TEXT(Table8[[#This Row],[visit_Date]],"mmmm")</f>
        <v>January</v>
      </c>
      <c r="L2424" t="str">
        <f t="shared" si="75"/>
        <v>Winter</v>
      </c>
    </row>
    <row r="2425" spans="1:12" x14ac:dyDescent="0.25">
      <c r="A2425">
        <v>2424</v>
      </c>
      <c r="B2425">
        <v>1262</v>
      </c>
      <c r="C2425">
        <v>1168</v>
      </c>
      <c r="D2425" s="1">
        <v>45809</v>
      </c>
      <c r="E2425" t="s">
        <v>24</v>
      </c>
      <c r="F2425" t="s">
        <v>321</v>
      </c>
      <c r="G2425" t="str">
        <f>_xlfn.XLOOKUP(TRIM(E2426),MedicineInfo!A:A,MedicineInfo!B:B,"Not Found")</f>
        <v>Multivitamin</v>
      </c>
      <c r="H2425" s="1" t="str" cm="1">
        <f t="array" ref="H2425">_xlfn.IFS(
OR(E2425="Type 2 Diabetes",E2425="Essential Hypertension",E2425="Angina Pectoris",E2425="Bronchial Asthma",E2425="Cardiac Arrhythmia"), D2425+30,
OR(E2425="Gastritis",E2425="Osteoarthritis",E2425="Bronchitis",E2425="Iron Deficiency Anemia"), D2425+14,
OR(E2425="Lumbar Strain",E2425="Migraine Headache"), D2425+7,
OR(E2425="Viral Fever",E2425="General Checkup","Routine Health Check"), "",
TRUE,""
)</f>
        <v/>
      </c>
      <c r="I2425" s="1" t="str">
        <f t="shared" si="74"/>
        <v>No Follow-up Required</v>
      </c>
      <c r="J2425" t="str">
        <f>TEXT(Table8[[#This Row],[visit_Date]],"DDDD")</f>
        <v>Sunday</v>
      </c>
      <c r="K2425" t="str">
        <f>TEXT(Table8[[#This Row],[visit_Date]],"mmmm")</f>
        <v>June</v>
      </c>
      <c r="L2425" t="str">
        <f t="shared" si="75"/>
        <v>Monsoon</v>
      </c>
    </row>
    <row r="2426" spans="1:12" x14ac:dyDescent="0.25">
      <c r="A2426">
        <v>2425</v>
      </c>
      <c r="B2426">
        <v>1341</v>
      </c>
      <c r="C2426">
        <v>1537</v>
      </c>
      <c r="D2426" s="1">
        <v>45747</v>
      </c>
      <c r="E2426" t="s">
        <v>24</v>
      </c>
      <c r="F2426" t="s">
        <v>321</v>
      </c>
      <c r="G2426" t="str">
        <f>_xlfn.XLOOKUP(TRIM(E2427),MedicineInfo!A:A,MedicineInfo!B:B,"Not Found")</f>
        <v>Multivitamin</v>
      </c>
      <c r="H2426" s="1" t="str" cm="1">
        <f t="array" ref="H2426">_xlfn.IFS(
OR(E2426="Type 2 Diabetes",E2426="Essential Hypertension",E2426="Angina Pectoris",E2426="Bronchial Asthma",E2426="Cardiac Arrhythmia"), D2426+30,
OR(E2426="Gastritis",E2426="Osteoarthritis",E2426="Bronchitis",E2426="Iron Deficiency Anemia"), D2426+14,
OR(E2426="Lumbar Strain",E2426="Migraine Headache"), D2426+7,
OR(E2426="Viral Fever",E2426="General Checkup","Routine Health Check"), "",
TRUE,""
)</f>
        <v/>
      </c>
      <c r="I2426" s="1" t="str">
        <f t="shared" si="74"/>
        <v>No Follow-up Required</v>
      </c>
      <c r="J2426" t="str">
        <f>TEXT(Table8[[#This Row],[visit_Date]],"DDDD")</f>
        <v>Monday</v>
      </c>
      <c r="K2426" t="str">
        <f>TEXT(Table8[[#This Row],[visit_Date]],"mmmm")</f>
        <v>March</v>
      </c>
      <c r="L2426" t="str">
        <f t="shared" si="75"/>
        <v>Summer</v>
      </c>
    </row>
    <row r="2427" spans="1:12" x14ac:dyDescent="0.25">
      <c r="A2427">
        <v>2426</v>
      </c>
      <c r="B2427">
        <v>1189</v>
      </c>
      <c r="C2427">
        <v>559</v>
      </c>
      <c r="D2427" s="1">
        <v>45792</v>
      </c>
      <c r="E2427" t="s">
        <v>24</v>
      </c>
      <c r="F2427" t="s">
        <v>321</v>
      </c>
      <c r="G2427" t="str">
        <f>_xlfn.XLOOKUP(TRIM(E2428),MedicineInfo!A:A,MedicineInfo!B:B,"Not Found")</f>
        <v>Multivitamin</v>
      </c>
      <c r="H2427" s="1" t="str" cm="1">
        <f t="array" ref="H2427">_xlfn.IFS(
OR(E2427="Type 2 Diabetes",E2427="Essential Hypertension",E2427="Angina Pectoris",E2427="Bronchial Asthma",E2427="Cardiac Arrhythmia"), D2427+30,
OR(E2427="Gastritis",E2427="Osteoarthritis",E2427="Bronchitis",E2427="Iron Deficiency Anemia"), D2427+14,
OR(E2427="Lumbar Strain",E2427="Migraine Headache"), D2427+7,
OR(E2427="Viral Fever",E2427="General Checkup","Routine Health Check"), "",
TRUE,""
)</f>
        <v/>
      </c>
      <c r="I2427" s="1" t="str">
        <f t="shared" si="74"/>
        <v>No Follow-up Required</v>
      </c>
      <c r="J2427" t="str">
        <f>TEXT(Table8[[#This Row],[visit_Date]],"DDDD")</f>
        <v>Thursday</v>
      </c>
      <c r="K2427" t="str">
        <f>TEXT(Table8[[#This Row],[visit_Date]],"mmmm")</f>
        <v>May</v>
      </c>
      <c r="L2427" t="str">
        <f t="shared" si="75"/>
        <v>Summer</v>
      </c>
    </row>
    <row r="2428" spans="1:12" x14ac:dyDescent="0.25">
      <c r="A2428">
        <v>2427</v>
      </c>
      <c r="B2428">
        <v>1050</v>
      </c>
      <c r="C2428">
        <v>950</v>
      </c>
      <c r="D2428" s="1">
        <v>45783</v>
      </c>
      <c r="E2428" t="s">
        <v>24</v>
      </c>
      <c r="F2428" t="s">
        <v>321</v>
      </c>
      <c r="G2428" t="str">
        <f>_xlfn.XLOOKUP(TRIM(E2429),MedicineInfo!A:A,MedicineInfo!B:B,"Not Found")</f>
        <v>Multivitamin</v>
      </c>
      <c r="H2428" s="1" t="str" cm="1">
        <f t="array" ref="H2428">_xlfn.IFS(
OR(E2428="Type 2 Diabetes",E2428="Essential Hypertension",E2428="Angina Pectoris",E2428="Bronchial Asthma",E2428="Cardiac Arrhythmia"), D2428+30,
OR(E2428="Gastritis",E2428="Osteoarthritis",E2428="Bronchitis",E2428="Iron Deficiency Anemia"), D2428+14,
OR(E2428="Lumbar Strain",E2428="Migraine Headache"), D2428+7,
OR(E2428="Viral Fever",E2428="General Checkup","Routine Health Check"), "",
TRUE,""
)</f>
        <v/>
      </c>
      <c r="I2428" s="1" t="str">
        <f t="shared" si="74"/>
        <v>No Follow-up Required</v>
      </c>
      <c r="J2428" t="str">
        <f>TEXT(Table8[[#This Row],[visit_Date]],"DDDD")</f>
        <v>Tuesday</v>
      </c>
      <c r="K2428" t="str">
        <f>TEXT(Table8[[#This Row],[visit_Date]],"mmmm")</f>
        <v>May</v>
      </c>
      <c r="L2428" t="str">
        <f t="shared" si="75"/>
        <v>Summer</v>
      </c>
    </row>
    <row r="2429" spans="1:12" x14ac:dyDescent="0.25">
      <c r="A2429">
        <v>2428</v>
      </c>
      <c r="B2429">
        <v>1147</v>
      </c>
      <c r="C2429">
        <v>991</v>
      </c>
      <c r="D2429" s="1">
        <v>45823</v>
      </c>
      <c r="E2429" t="s">
        <v>24</v>
      </c>
      <c r="F2429" t="s">
        <v>321</v>
      </c>
      <c r="G2429" t="str">
        <f>_xlfn.XLOOKUP(TRIM(E2430),MedicineInfo!A:A,MedicineInfo!B:B,"Not Found")</f>
        <v>Multivitamin</v>
      </c>
      <c r="H2429" s="1" t="str" cm="1">
        <f t="array" ref="H2429">_xlfn.IFS(
OR(E2429="Type 2 Diabetes",E2429="Essential Hypertension",E2429="Angina Pectoris",E2429="Bronchial Asthma",E2429="Cardiac Arrhythmia"), D2429+30,
OR(E2429="Gastritis",E2429="Osteoarthritis",E2429="Bronchitis",E2429="Iron Deficiency Anemia"), D2429+14,
OR(E2429="Lumbar Strain",E2429="Migraine Headache"), D2429+7,
OR(E2429="Viral Fever",E2429="General Checkup","Routine Health Check"), "",
TRUE,""
)</f>
        <v/>
      </c>
      <c r="I2429" s="1" t="str">
        <f t="shared" si="74"/>
        <v>No Follow-up Required</v>
      </c>
      <c r="J2429" t="str">
        <f>TEXT(Table8[[#This Row],[visit_Date]],"DDDD")</f>
        <v>Sunday</v>
      </c>
      <c r="K2429" t="str">
        <f>TEXT(Table8[[#This Row],[visit_Date]],"mmmm")</f>
        <v>June</v>
      </c>
      <c r="L2429" t="str">
        <f t="shared" si="75"/>
        <v>Monsoon</v>
      </c>
    </row>
    <row r="2430" spans="1:12" x14ac:dyDescent="0.25">
      <c r="A2430">
        <v>2429</v>
      </c>
      <c r="B2430">
        <v>1033</v>
      </c>
      <c r="C2430">
        <v>724</v>
      </c>
      <c r="D2430" s="1">
        <v>45791</v>
      </c>
      <c r="E2430" t="s">
        <v>24</v>
      </c>
      <c r="F2430" t="s">
        <v>321</v>
      </c>
      <c r="G2430" t="str">
        <f>_xlfn.XLOOKUP(TRIM(E2431),MedicineInfo!A:A,MedicineInfo!B:B,"Not Found")</f>
        <v>Multivitamin</v>
      </c>
      <c r="H2430" s="1" t="str" cm="1">
        <f t="array" ref="H2430">_xlfn.IFS(
OR(E2430="Type 2 Diabetes",E2430="Essential Hypertension",E2430="Angina Pectoris",E2430="Bronchial Asthma",E2430="Cardiac Arrhythmia"), D2430+30,
OR(E2430="Gastritis",E2430="Osteoarthritis",E2430="Bronchitis",E2430="Iron Deficiency Anemia"), D2430+14,
OR(E2430="Lumbar Strain",E2430="Migraine Headache"), D2430+7,
OR(E2430="Viral Fever",E2430="General Checkup","Routine Health Check"), "",
TRUE,""
)</f>
        <v/>
      </c>
      <c r="I2430" s="1" t="str">
        <f t="shared" si="74"/>
        <v>No Follow-up Required</v>
      </c>
      <c r="J2430" t="str">
        <f>TEXT(Table8[[#This Row],[visit_Date]],"DDDD")</f>
        <v>Wednesday</v>
      </c>
      <c r="K2430" t="str">
        <f>TEXT(Table8[[#This Row],[visit_Date]],"mmmm")</f>
        <v>May</v>
      </c>
      <c r="L2430" t="str">
        <f t="shared" si="75"/>
        <v>Summer</v>
      </c>
    </row>
    <row r="2431" spans="1:12" x14ac:dyDescent="0.25">
      <c r="A2431">
        <v>2430</v>
      </c>
      <c r="B2431">
        <v>1202</v>
      </c>
      <c r="C2431">
        <v>215</v>
      </c>
      <c r="D2431" s="1">
        <v>45687</v>
      </c>
      <c r="E2431" t="s">
        <v>24</v>
      </c>
      <c r="F2431" t="s">
        <v>321</v>
      </c>
      <c r="G2431" t="str">
        <f>_xlfn.XLOOKUP(TRIM(E2432),MedicineInfo!A:A,MedicineInfo!B:B,"Not Found")</f>
        <v>Multivitamin</v>
      </c>
      <c r="H2431" s="1" t="str" cm="1">
        <f t="array" ref="H2431">_xlfn.IFS(
OR(E2431="Type 2 Diabetes",E2431="Essential Hypertension",E2431="Angina Pectoris",E2431="Bronchial Asthma",E2431="Cardiac Arrhythmia"), D2431+30,
OR(E2431="Gastritis",E2431="Osteoarthritis",E2431="Bronchitis",E2431="Iron Deficiency Anemia"), D2431+14,
OR(E2431="Lumbar Strain",E2431="Migraine Headache"), D2431+7,
OR(E2431="Viral Fever",E2431="General Checkup","Routine Health Check"), "",
TRUE,""
)</f>
        <v/>
      </c>
      <c r="I2431" s="1" t="str">
        <f t="shared" si="74"/>
        <v>No Follow-up Required</v>
      </c>
      <c r="J2431" t="str">
        <f>TEXT(Table8[[#This Row],[visit_Date]],"DDDD")</f>
        <v>Thursday</v>
      </c>
      <c r="K2431" t="str">
        <f>TEXT(Table8[[#This Row],[visit_Date]],"mmmm")</f>
        <v>January</v>
      </c>
      <c r="L2431" t="str">
        <f t="shared" si="75"/>
        <v>Winter</v>
      </c>
    </row>
    <row r="2432" spans="1:12" x14ac:dyDescent="0.25">
      <c r="A2432">
        <v>2431</v>
      </c>
      <c r="B2432">
        <v>1065</v>
      </c>
      <c r="C2432">
        <v>1123</v>
      </c>
      <c r="D2432" s="1">
        <v>45827</v>
      </c>
      <c r="E2432" t="s">
        <v>24</v>
      </c>
      <c r="F2432" t="s">
        <v>321</v>
      </c>
      <c r="G2432" t="str">
        <f>_xlfn.XLOOKUP(TRIM(E2433),MedicineInfo!A:A,MedicineInfo!B:B,"Not Found")</f>
        <v>Multivitamin</v>
      </c>
      <c r="H2432" s="1" t="str" cm="1">
        <f t="array" ref="H2432">_xlfn.IFS(
OR(E2432="Type 2 Diabetes",E2432="Essential Hypertension",E2432="Angina Pectoris",E2432="Bronchial Asthma",E2432="Cardiac Arrhythmia"), D2432+30,
OR(E2432="Gastritis",E2432="Osteoarthritis",E2432="Bronchitis",E2432="Iron Deficiency Anemia"), D2432+14,
OR(E2432="Lumbar Strain",E2432="Migraine Headache"), D2432+7,
OR(E2432="Viral Fever",E2432="General Checkup","Routine Health Check"), "",
TRUE,""
)</f>
        <v/>
      </c>
      <c r="I2432" s="1" t="str">
        <f t="shared" si="74"/>
        <v>No Follow-up Required</v>
      </c>
      <c r="J2432" t="str">
        <f>TEXT(Table8[[#This Row],[visit_Date]],"DDDD")</f>
        <v>Thursday</v>
      </c>
      <c r="K2432" t="str">
        <f>TEXT(Table8[[#This Row],[visit_Date]],"mmmm")</f>
        <v>June</v>
      </c>
      <c r="L2432" t="str">
        <f t="shared" si="75"/>
        <v>Monsoon</v>
      </c>
    </row>
    <row r="2433" spans="1:12" x14ac:dyDescent="0.25">
      <c r="A2433">
        <v>2432</v>
      </c>
      <c r="B2433">
        <v>1302</v>
      </c>
      <c r="C2433">
        <v>898</v>
      </c>
      <c r="D2433" s="1">
        <v>45730</v>
      </c>
      <c r="E2433" t="s">
        <v>24</v>
      </c>
      <c r="F2433" t="s">
        <v>321</v>
      </c>
      <c r="G2433" t="str">
        <f>_xlfn.XLOOKUP(TRIM(E2434),MedicineInfo!A:A,MedicineInfo!B:B,"Not Found")</f>
        <v>Multivitamin</v>
      </c>
      <c r="H2433" s="1" t="str" cm="1">
        <f t="array" ref="H2433">_xlfn.IFS(
OR(E2433="Type 2 Diabetes",E2433="Essential Hypertension",E2433="Angina Pectoris",E2433="Bronchial Asthma",E2433="Cardiac Arrhythmia"), D2433+30,
OR(E2433="Gastritis",E2433="Osteoarthritis",E2433="Bronchitis",E2433="Iron Deficiency Anemia"), D2433+14,
OR(E2433="Lumbar Strain",E2433="Migraine Headache"), D2433+7,
OR(E2433="Viral Fever",E2433="General Checkup","Routine Health Check"), "",
TRUE,""
)</f>
        <v/>
      </c>
      <c r="I2433" s="1" t="str">
        <f t="shared" si="74"/>
        <v>No Follow-up Required</v>
      </c>
      <c r="J2433" t="str">
        <f>TEXT(Table8[[#This Row],[visit_Date]],"DDDD")</f>
        <v>Friday</v>
      </c>
      <c r="K2433" t="str">
        <f>TEXT(Table8[[#This Row],[visit_Date]],"mmmm")</f>
        <v>March</v>
      </c>
      <c r="L2433" t="str">
        <f t="shared" si="75"/>
        <v>Summer</v>
      </c>
    </row>
    <row r="2434" spans="1:12" x14ac:dyDescent="0.25">
      <c r="A2434">
        <v>2433</v>
      </c>
      <c r="B2434">
        <v>1381</v>
      </c>
      <c r="C2434">
        <v>220</v>
      </c>
      <c r="D2434" s="1">
        <v>45792</v>
      </c>
      <c r="E2434" t="s">
        <v>24</v>
      </c>
      <c r="F2434" t="s">
        <v>321</v>
      </c>
      <c r="G2434" t="str">
        <f>_xlfn.XLOOKUP(TRIM(E2435),MedicineInfo!A:A,MedicineInfo!B:B,"Not Found")</f>
        <v>Multivitamin</v>
      </c>
      <c r="H2434" s="1" t="str" cm="1">
        <f t="array" ref="H2434">_xlfn.IFS(
OR(E2434="Type 2 Diabetes",E2434="Essential Hypertension",E2434="Angina Pectoris",E2434="Bronchial Asthma",E2434="Cardiac Arrhythmia"), D2434+30,
OR(E2434="Gastritis",E2434="Osteoarthritis",E2434="Bronchitis",E2434="Iron Deficiency Anemia"), D2434+14,
OR(E2434="Lumbar Strain",E2434="Migraine Headache"), D2434+7,
OR(E2434="Viral Fever",E2434="General Checkup","Routine Health Check"), "",
TRUE,""
)</f>
        <v/>
      </c>
      <c r="I2434" s="1" t="str">
        <f t="shared" ref="I2434:I2497" si="76">IF(H2434="","No Follow-up Required","Follow-up Scheduled")</f>
        <v>No Follow-up Required</v>
      </c>
      <c r="J2434" t="str">
        <f>TEXT(Table8[[#This Row],[visit_Date]],"DDDD")</f>
        <v>Thursday</v>
      </c>
      <c r="K2434" t="str">
        <f>TEXT(Table8[[#This Row],[visit_Date]],"mmmm")</f>
        <v>May</v>
      </c>
      <c r="L2434" t="str">
        <f t="shared" ref="L2434:L2497" si="77">IF(OR(MONTH(D2434)=12,MONTH(D2434)&lt;=2),"Winter",
IF(MONTH(D2434)&lt;=5,"Summer","Monsoon"))</f>
        <v>Summer</v>
      </c>
    </row>
    <row r="2435" spans="1:12" x14ac:dyDescent="0.25">
      <c r="A2435">
        <v>2434</v>
      </c>
      <c r="B2435">
        <v>1229</v>
      </c>
      <c r="C2435">
        <v>1574</v>
      </c>
      <c r="D2435" s="1">
        <v>45777</v>
      </c>
      <c r="E2435" t="s">
        <v>24</v>
      </c>
      <c r="F2435" t="s">
        <v>321</v>
      </c>
      <c r="G2435" t="str">
        <f>_xlfn.XLOOKUP(TRIM(E2436),MedicineInfo!A:A,MedicineInfo!B:B,"Not Found")</f>
        <v>Multivitamin</v>
      </c>
      <c r="H2435" s="1" t="str" cm="1">
        <f t="array" ref="H2435">_xlfn.IFS(
OR(E2435="Type 2 Diabetes",E2435="Essential Hypertension",E2435="Angina Pectoris",E2435="Bronchial Asthma",E2435="Cardiac Arrhythmia"), D2435+30,
OR(E2435="Gastritis",E2435="Osteoarthritis",E2435="Bronchitis",E2435="Iron Deficiency Anemia"), D2435+14,
OR(E2435="Lumbar Strain",E2435="Migraine Headache"), D2435+7,
OR(E2435="Viral Fever",E2435="General Checkup","Routine Health Check"), "",
TRUE,""
)</f>
        <v/>
      </c>
      <c r="I2435" s="1" t="str">
        <f t="shared" si="76"/>
        <v>No Follow-up Required</v>
      </c>
      <c r="J2435" t="str">
        <f>TEXT(Table8[[#This Row],[visit_Date]],"DDDD")</f>
        <v>Wednesday</v>
      </c>
      <c r="K2435" t="str">
        <f>TEXT(Table8[[#This Row],[visit_Date]],"mmmm")</f>
        <v>April</v>
      </c>
      <c r="L2435" t="str">
        <f t="shared" si="77"/>
        <v>Summer</v>
      </c>
    </row>
    <row r="2436" spans="1:12" x14ac:dyDescent="0.25">
      <c r="A2436">
        <v>2435</v>
      </c>
      <c r="B2436">
        <v>1358</v>
      </c>
      <c r="C2436">
        <v>189</v>
      </c>
      <c r="D2436" s="1">
        <v>45814</v>
      </c>
      <c r="E2436" t="s">
        <v>24</v>
      </c>
      <c r="F2436" t="s">
        <v>321</v>
      </c>
      <c r="G2436" t="str">
        <f>_xlfn.XLOOKUP(TRIM(E2437),MedicineInfo!A:A,MedicineInfo!B:B,"Not Found")</f>
        <v>Neuro Vitamins</v>
      </c>
      <c r="H2436" s="1" t="str" cm="1">
        <f t="array" ref="H2436">_xlfn.IFS(
OR(E2436="Type 2 Diabetes",E2436="Essential Hypertension",E2436="Angina Pectoris",E2436="Bronchial Asthma",E2436="Cardiac Arrhythmia"), D2436+30,
OR(E2436="Gastritis",E2436="Osteoarthritis",E2436="Bronchitis",E2436="Iron Deficiency Anemia"), D2436+14,
OR(E2436="Lumbar Strain",E2436="Migraine Headache"), D2436+7,
OR(E2436="Viral Fever",E2436="General Checkup","Routine Health Check"), "",
TRUE,""
)</f>
        <v/>
      </c>
      <c r="I2436" s="1" t="str">
        <f t="shared" si="76"/>
        <v>No Follow-up Required</v>
      </c>
      <c r="J2436" t="str">
        <f>TEXT(Table8[[#This Row],[visit_Date]],"DDDD")</f>
        <v>Friday</v>
      </c>
      <c r="K2436" t="str">
        <f>TEXT(Table8[[#This Row],[visit_Date]],"mmmm")</f>
        <v>June</v>
      </c>
      <c r="L2436" t="str">
        <f t="shared" si="77"/>
        <v>Monsoon</v>
      </c>
    </row>
    <row r="2437" spans="1:12" x14ac:dyDescent="0.25">
      <c r="A2437">
        <v>2436</v>
      </c>
      <c r="B2437">
        <v>1306</v>
      </c>
      <c r="C2437">
        <v>1599</v>
      </c>
      <c r="D2437" s="1">
        <v>45799</v>
      </c>
      <c r="E2437" t="s">
        <v>342</v>
      </c>
      <c r="F2437" t="s">
        <v>343</v>
      </c>
      <c r="G2437" t="str">
        <f>_xlfn.XLOOKUP(TRIM(E2438),MedicineInfo!A:A,MedicineInfo!B:B,"Not Found")</f>
        <v>Neuro Vitamins</v>
      </c>
      <c r="H2437" s="1" t="str" cm="1">
        <f t="array" ref="H2437">_xlfn.IFS(
OR(E2437="Type 2 Diabetes",E2437="Essential Hypertension",E2437="Angina Pectoris",E2437="Bronchial Asthma",E2437="Cardiac Arrhythmia"), D2437+30,
OR(E2437="Gastritis",E2437="Osteoarthritis",E2437="Bronchitis",E2437="Iron Deficiency Anemia"), D2437+14,
OR(E2437="Lumbar Strain",E2437="Migraine Headache"), D2437+7,
OR(E2437="Viral Fever",E2437="General Checkup","Routine Health Check"), "",
TRUE,""
)</f>
        <v/>
      </c>
      <c r="I2437" s="1" t="str">
        <f t="shared" si="76"/>
        <v>No Follow-up Required</v>
      </c>
      <c r="J2437" t="str">
        <f>TEXT(Table8[[#This Row],[visit_Date]],"DDDD")</f>
        <v>Thursday</v>
      </c>
      <c r="K2437" t="str">
        <f>TEXT(Table8[[#This Row],[visit_Date]],"mmmm")</f>
        <v>May</v>
      </c>
      <c r="L2437" t="str">
        <f t="shared" si="77"/>
        <v>Summer</v>
      </c>
    </row>
    <row r="2438" spans="1:12" x14ac:dyDescent="0.25">
      <c r="A2438">
        <v>2437</v>
      </c>
      <c r="B2438">
        <v>1290</v>
      </c>
      <c r="C2438">
        <v>344</v>
      </c>
      <c r="D2438" s="1">
        <v>45698</v>
      </c>
      <c r="E2438" t="s">
        <v>342</v>
      </c>
      <c r="F2438" t="s">
        <v>343</v>
      </c>
      <c r="G2438" t="str">
        <f>_xlfn.XLOOKUP(TRIM(E2439),MedicineInfo!A:A,MedicineInfo!B:B,"Not Found")</f>
        <v>Multivitamin</v>
      </c>
      <c r="H2438" s="1" t="str" cm="1">
        <f t="array" ref="H2438">_xlfn.IFS(
OR(E2438="Type 2 Diabetes",E2438="Essential Hypertension",E2438="Angina Pectoris",E2438="Bronchial Asthma",E2438="Cardiac Arrhythmia"), D2438+30,
OR(E2438="Gastritis",E2438="Osteoarthritis",E2438="Bronchitis",E2438="Iron Deficiency Anemia"), D2438+14,
OR(E2438="Lumbar Strain",E2438="Migraine Headache"), D2438+7,
OR(E2438="Viral Fever",E2438="General Checkup","Routine Health Check"), "",
TRUE,""
)</f>
        <v/>
      </c>
      <c r="I2438" s="1" t="str">
        <f t="shared" si="76"/>
        <v>No Follow-up Required</v>
      </c>
      <c r="J2438" t="str">
        <f>TEXT(Table8[[#This Row],[visit_Date]],"DDDD")</f>
        <v>Monday</v>
      </c>
      <c r="K2438" t="str">
        <f>TEXT(Table8[[#This Row],[visit_Date]],"mmmm")</f>
        <v>February</v>
      </c>
      <c r="L2438" t="str">
        <f t="shared" si="77"/>
        <v>Winter</v>
      </c>
    </row>
    <row r="2439" spans="1:12" x14ac:dyDescent="0.25">
      <c r="A2439">
        <v>2438</v>
      </c>
      <c r="B2439">
        <v>1058</v>
      </c>
      <c r="C2439">
        <v>367</v>
      </c>
      <c r="D2439" s="1">
        <v>45792</v>
      </c>
      <c r="E2439" t="s">
        <v>24</v>
      </c>
      <c r="F2439" t="s">
        <v>321</v>
      </c>
      <c r="G2439" t="str">
        <f>_xlfn.XLOOKUP(TRIM(E2440),MedicineInfo!A:A,MedicineInfo!B:B,"Not Found")</f>
        <v>Nitroglycerin</v>
      </c>
      <c r="H2439" s="1" t="str" cm="1">
        <f t="array" ref="H2439">_xlfn.IFS(
OR(E2439="Type 2 Diabetes",E2439="Essential Hypertension",E2439="Angina Pectoris",E2439="Bronchial Asthma",E2439="Cardiac Arrhythmia"), D2439+30,
OR(E2439="Gastritis",E2439="Osteoarthritis",E2439="Bronchitis",E2439="Iron Deficiency Anemia"), D2439+14,
OR(E2439="Lumbar Strain",E2439="Migraine Headache"), D2439+7,
OR(E2439="Viral Fever",E2439="General Checkup","Routine Health Check"), "",
TRUE,""
)</f>
        <v/>
      </c>
      <c r="I2439" s="1" t="str">
        <f t="shared" si="76"/>
        <v>No Follow-up Required</v>
      </c>
      <c r="J2439" t="str">
        <f>TEXT(Table8[[#This Row],[visit_Date]],"DDDD")</f>
        <v>Thursday</v>
      </c>
      <c r="K2439" t="str">
        <f>TEXT(Table8[[#This Row],[visit_Date]],"mmmm")</f>
        <v>May</v>
      </c>
      <c r="L2439" t="str">
        <f t="shared" si="77"/>
        <v>Summer</v>
      </c>
    </row>
    <row r="2440" spans="1:12" x14ac:dyDescent="0.25">
      <c r="A2440">
        <v>2439</v>
      </c>
      <c r="B2440">
        <v>1085</v>
      </c>
      <c r="C2440">
        <v>1111</v>
      </c>
      <c r="D2440" s="1">
        <v>45792</v>
      </c>
      <c r="E2440" t="s">
        <v>322</v>
      </c>
      <c r="F2440" t="s">
        <v>323</v>
      </c>
      <c r="G2440" t="str">
        <f>_xlfn.XLOOKUP(TRIM(E2441),MedicineInfo!A:A,MedicineInfo!B:B,"Not Found")</f>
        <v>Multivitamin</v>
      </c>
      <c r="H2440" s="1" cm="1">
        <f t="array" ref="H2440">_xlfn.IFS(
OR(E2440="Type 2 Diabetes",E2440="Essential Hypertension",E2440="Angina Pectoris",E2440="Bronchial Asthma",E2440="Cardiac Arrhythmia"), D2440+30,
OR(E2440="Gastritis",E2440="Osteoarthritis",E2440="Bronchitis",E2440="Iron Deficiency Anemia"), D2440+14,
OR(E2440="Lumbar Strain",E2440="Migraine Headache"), D2440+7,
OR(E2440="Viral Fever",E2440="General Checkup","Routine Health Check"), "",
TRUE,""
)</f>
        <v>45822</v>
      </c>
      <c r="I2440" s="1" t="str">
        <f t="shared" si="76"/>
        <v>Follow-up Scheduled</v>
      </c>
      <c r="J2440" t="str">
        <f>TEXT(Table8[[#This Row],[visit_Date]],"DDDD")</f>
        <v>Thursday</v>
      </c>
      <c r="K2440" t="str">
        <f>TEXT(Table8[[#This Row],[visit_Date]],"mmmm")</f>
        <v>May</v>
      </c>
      <c r="L2440" t="str">
        <f t="shared" si="77"/>
        <v>Summer</v>
      </c>
    </row>
    <row r="2441" spans="1:12" x14ac:dyDescent="0.25">
      <c r="A2441">
        <v>2440</v>
      </c>
      <c r="B2441">
        <v>1035</v>
      </c>
      <c r="C2441">
        <v>1577</v>
      </c>
      <c r="D2441" s="1">
        <v>45819</v>
      </c>
      <c r="E2441" t="s">
        <v>24</v>
      </c>
      <c r="F2441" t="s">
        <v>321</v>
      </c>
      <c r="G2441" t="str">
        <f>_xlfn.XLOOKUP(TRIM(E2442),MedicineInfo!A:A,MedicineInfo!B:B,"Not Found")</f>
        <v>Multivitamin</v>
      </c>
      <c r="H2441" s="1" t="str" cm="1">
        <f t="array" ref="H2441">_xlfn.IFS(
OR(E2441="Type 2 Diabetes",E2441="Essential Hypertension",E2441="Angina Pectoris",E2441="Bronchial Asthma",E2441="Cardiac Arrhythmia"), D2441+30,
OR(E2441="Gastritis",E2441="Osteoarthritis",E2441="Bronchitis",E2441="Iron Deficiency Anemia"), D2441+14,
OR(E2441="Lumbar Strain",E2441="Migraine Headache"), D2441+7,
OR(E2441="Viral Fever",E2441="General Checkup","Routine Health Check"), "",
TRUE,""
)</f>
        <v/>
      </c>
      <c r="I2441" s="1" t="str">
        <f t="shared" si="76"/>
        <v>No Follow-up Required</v>
      </c>
      <c r="J2441" t="str">
        <f>TEXT(Table8[[#This Row],[visit_Date]],"DDDD")</f>
        <v>Wednesday</v>
      </c>
      <c r="K2441" t="str">
        <f>TEXT(Table8[[#This Row],[visit_Date]],"mmmm")</f>
        <v>June</v>
      </c>
      <c r="L2441" t="str">
        <f t="shared" si="77"/>
        <v>Monsoon</v>
      </c>
    </row>
    <row r="2442" spans="1:12" x14ac:dyDescent="0.25">
      <c r="A2442">
        <v>2441</v>
      </c>
      <c r="B2442">
        <v>1189</v>
      </c>
      <c r="C2442">
        <v>876</v>
      </c>
      <c r="D2442" s="1">
        <v>45746</v>
      </c>
      <c r="E2442" t="s">
        <v>24</v>
      </c>
      <c r="F2442" t="s">
        <v>321</v>
      </c>
      <c r="G2442" t="str">
        <f>_xlfn.XLOOKUP(TRIM(E2443),MedicineInfo!A:A,MedicineInfo!B:B,"Not Found")</f>
        <v>Multivitamin</v>
      </c>
      <c r="H2442" s="1" t="str" cm="1">
        <f t="array" ref="H2442">_xlfn.IFS(
OR(E2442="Type 2 Diabetes",E2442="Essential Hypertension",E2442="Angina Pectoris",E2442="Bronchial Asthma",E2442="Cardiac Arrhythmia"), D2442+30,
OR(E2442="Gastritis",E2442="Osteoarthritis",E2442="Bronchitis",E2442="Iron Deficiency Anemia"), D2442+14,
OR(E2442="Lumbar Strain",E2442="Migraine Headache"), D2442+7,
OR(E2442="Viral Fever",E2442="General Checkup","Routine Health Check"), "",
TRUE,""
)</f>
        <v/>
      </c>
      <c r="I2442" s="1" t="str">
        <f t="shared" si="76"/>
        <v>No Follow-up Required</v>
      </c>
      <c r="J2442" t="str">
        <f>TEXT(Table8[[#This Row],[visit_Date]],"DDDD")</f>
        <v>Sunday</v>
      </c>
      <c r="K2442" t="str">
        <f>TEXT(Table8[[#This Row],[visit_Date]],"mmmm")</f>
        <v>March</v>
      </c>
      <c r="L2442" t="str">
        <f t="shared" si="77"/>
        <v>Summer</v>
      </c>
    </row>
    <row r="2443" spans="1:12" x14ac:dyDescent="0.25">
      <c r="A2443">
        <v>2442</v>
      </c>
      <c r="B2443">
        <v>1198</v>
      </c>
      <c r="C2443">
        <v>1244</v>
      </c>
      <c r="D2443" s="1">
        <v>45758</v>
      </c>
      <c r="E2443" t="s">
        <v>24</v>
      </c>
      <c r="F2443" t="s">
        <v>321</v>
      </c>
      <c r="G2443" t="str">
        <f>_xlfn.XLOOKUP(TRIM(E2444),MedicineInfo!A:A,MedicineInfo!B:B,"Not Found")</f>
        <v>Multivitamin</v>
      </c>
      <c r="H2443" s="1" t="str" cm="1">
        <f t="array" ref="H2443">_xlfn.IFS(
OR(E2443="Type 2 Diabetes",E2443="Essential Hypertension",E2443="Angina Pectoris",E2443="Bronchial Asthma",E2443="Cardiac Arrhythmia"), D2443+30,
OR(E2443="Gastritis",E2443="Osteoarthritis",E2443="Bronchitis",E2443="Iron Deficiency Anemia"), D2443+14,
OR(E2443="Lumbar Strain",E2443="Migraine Headache"), D2443+7,
OR(E2443="Viral Fever",E2443="General Checkup","Routine Health Check"), "",
TRUE,""
)</f>
        <v/>
      </c>
      <c r="I2443" s="1" t="str">
        <f t="shared" si="76"/>
        <v>No Follow-up Required</v>
      </c>
      <c r="J2443" t="str">
        <f>TEXT(Table8[[#This Row],[visit_Date]],"DDDD")</f>
        <v>Friday</v>
      </c>
      <c r="K2443" t="str">
        <f>TEXT(Table8[[#This Row],[visit_Date]],"mmmm")</f>
        <v>April</v>
      </c>
      <c r="L2443" t="str">
        <f t="shared" si="77"/>
        <v>Summer</v>
      </c>
    </row>
    <row r="2444" spans="1:12" x14ac:dyDescent="0.25">
      <c r="A2444">
        <v>2443</v>
      </c>
      <c r="B2444">
        <v>1392</v>
      </c>
      <c r="C2444">
        <v>183</v>
      </c>
      <c r="D2444" s="1">
        <v>45669</v>
      </c>
      <c r="E2444" t="s">
        <v>24</v>
      </c>
      <c r="F2444" t="s">
        <v>321</v>
      </c>
      <c r="G2444" t="str">
        <f>_xlfn.XLOOKUP(TRIM(E2445),MedicineInfo!A:A,MedicineInfo!B:B,"Not Found")</f>
        <v>Multivitamin</v>
      </c>
      <c r="H2444" s="1" t="str" cm="1">
        <f t="array" ref="H2444">_xlfn.IFS(
OR(E2444="Type 2 Diabetes",E2444="Essential Hypertension",E2444="Angina Pectoris",E2444="Bronchial Asthma",E2444="Cardiac Arrhythmia"), D2444+30,
OR(E2444="Gastritis",E2444="Osteoarthritis",E2444="Bronchitis",E2444="Iron Deficiency Anemia"), D2444+14,
OR(E2444="Lumbar Strain",E2444="Migraine Headache"), D2444+7,
OR(E2444="Viral Fever",E2444="General Checkup","Routine Health Check"), "",
TRUE,""
)</f>
        <v/>
      </c>
      <c r="I2444" s="1" t="str">
        <f t="shared" si="76"/>
        <v>No Follow-up Required</v>
      </c>
      <c r="J2444" t="str">
        <f>TEXT(Table8[[#This Row],[visit_Date]],"DDDD")</f>
        <v>Sunday</v>
      </c>
      <c r="K2444" t="str">
        <f>TEXT(Table8[[#This Row],[visit_Date]],"mmmm")</f>
        <v>January</v>
      </c>
      <c r="L2444" t="str">
        <f t="shared" si="77"/>
        <v>Winter</v>
      </c>
    </row>
    <row r="2445" spans="1:12" x14ac:dyDescent="0.25">
      <c r="A2445">
        <v>2444</v>
      </c>
      <c r="B2445">
        <v>1070</v>
      </c>
      <c r="C2445">
        <v>1339</v>
      </c>
      <c r="D2445" s="1">
        <v>45819</v>
      </c>
      <c r="E2445" t="s">
        <v>24</v>
      </c>
      <c r="F2445" t="s">
        <v>321</v>
      </c>
      <c r="G2445" t="str">
        <f>_xlfn.XLOOKUP(TRIM(E2446),MedicineInfo!A:A,MedicineInfo!B:B,"Not Found")</f>
        <v>Multivitamin</v>
      </c>
      <c r="H2445" s="1" t="str" cm="1">
        <f t="array" ref="H2445">_xlfn.IFS(
OR(E2445="Type 2 Diabetes",E2445="Essential Hypertension",E2445="Angina Pectoris",E2445="Bronchial Asthma",E2445="Cardiac Arrhythmia"), D2445+30,
OR(E2445="Gastritis",E2445="Osteoarthritis",E2445="Bronchitis",E2445="Iron Deficiency Anemia"), D2445+14,
OR(E2445="Lumbar Strain",E2445="Migraine Headache"), D2445+7,
OR(E2445="Viral Fever",E2445="General Checkup","Routine Health Check"), "",
TRUE,""
)</f>
        <v/>
      </c>
      <c r="I2445" s="1" t="str">
        <f t="shared" si="76"/>
        <v>No Follow-up Required</v>
      </c>
      <c r="J2445" t="str">
        <f>TEXT(Table8[[#This Row],[visit_Date]],"DDDD")</f>
        <v>Wednesday</v>
      </c>
      <c r="K2445" t="str">
        <f>TEXT(Table8[[#This Row],[visit_Date]],"mmmm")</f>
        <v>June</v>
      </c>
      <c r="L2445" t="str">
        <f t="shared" si="77"/>
        <v>Monsoon</v>
      </c>
    </row>
    <row r="2446" spans="1:12" x14ac:dyDescent="0.25">
      <c r="A2446">
        <v>2445</v>
      </c>
      <c r="B2446">
        <v>1251</v>
      </c>
      <c r="C2446">
        <v>927</v>
      </c>
      <c r="D2446" s="1">
        <v>45783</v>
      </c>
      <c r="E2446" t="s">
        <v>24</v>
      </c>
      <c r="F2446" t="s">
        <v>321</v>
      </c>
      <c r="G2446" t="str">
        <f>_xlfn.XLOOKUP(TRIM(E2447),MedicineInfo!A:A,MedicineInfo!B:B,"Not Found")</f>
        <v>Multivitamin</v>
      </c>
      <c r="H2446" s="1" t="str" cm="1">
        <f t="array" ref="H2446">_xlfn.IFS(
OR(E2446="Type 2 Diabetes",E2446="Essential Hypertension",E2446="Angina Pectoris",E2446="Bronchial Asthma",E2446="Cardiac Arrhythmia"), D2446+30,
OR(E2446="Gastritis",E2446="Osteoarthritis",E2446="Bronchitis",E2446="Iron Deficiency Anemia"), D2446+14,
OR(E2446="Lumbar Strain",E2446="Migraine Headache"), D2446+7,
OR(E2446="Viral Fever",E2446="General Checkup","Routine Health Check"), "",
TRUE,""
)</f>
        <v/>
      </c>
      <c r="I2446" s="1" t="str">
        <f t="shared" si="76"/>
        <v>No Follow-up Required</v>
      </c>
      <c r="J2446" t="str">
        <f>TEXT(Table8[[#This Row],[visit_Date]],"DDDD")</f>
        <v>Tuesday</v>
      </c>
      <c r="K2446" t="str">
        <f>TEXT(Table8[[#This Row],[visit_Date]],"mmmm")</f>
        <v>May</v>
      </c>
      <c r="L2446" t="str">
        <f t="shared" si="77"/>
        <v>Summer</v>
      </c>
    </row>
    <row r="2447" spans="1:12" x14ac:dyDescent="0.25">
      <c r="A2447">
        <v>2446</v>
      </c>
      <c r="B2447">
        <v>1144</v>
      </c>
      <c r="C2447">
        <v>899</v>
      </c>
      <c r="D2447" s="1">
        <v>45791</v>
      </c>
      <c r="E2447" t="s">
        <v>24</v>
      </c>
      <c r="F2447" t="s">
        <v>321</v>
      </c>
      <c r="G2447" t="str">
        <f>_xlfn.XLOOKUP(TRIM(E2448),MedicineInfo!A:A,MedicineInfo!B:B,"Not Found")</f>
        <v>Multivitamin</v>
      </c>
      <c r="H2447" s="1" t="str" cm="1">
        <f t="array" ref="H2447">_xlfn.IFS(
OR(E2447="Type 2 Diabetes",E2447="Essential Hypertension",E2447="Angina Pectoris",E2447="Bronchial Asthma",E2447="Cardiac Arrhythmia"), D2447+30,
OR(E2447="Gastritis",E2447="Osteoarthritis",E2447="Bronchitis",E2447="Iron Deficiency Anemia"), D2447+14,
OR(E2447="Lumbar Strain",E2447="Migraine Headache"), D2447+7,
OR(E2447="Viral Fever",E2447="General Checkup","Routine Health Check"), "",
TRUE,""
)</f>
        <v/>
      </c>
      <c r="I2447" s="1" t="str">
        <f t="shared" si="76"/>
        <v>No Follow-up Required</v>
      </c>
      <c r="J2447" t="str">
        <f>TEXT(Table8[[#This Row],[visit_Date]],"DDDD")</f>
        <v>Wednesday</v>
      </c>
      <c r="K2447" t="str">
        <f>TEXT(Table8[[#This Row],[visit_Date]],"mmmm")</f>
        <v>May</v>
      </c>
      <c r="L2447" t="str">
        <f t="shared" si="77"/>
        <v>Summer</v>
      </c>
    </row>
    <row r="2448" spans="1:12" x14ac:dyDescent="0.25">
      <c r="A2448">
        <v>2447</v>
      </c>
      <c r="B2448">
        <v>1320</v>
      </c>
      <c r="C2448">
        <v>266</v>
      </c>
      <c r="D2448" s="1">
        <v>45758</v>
      </c>
      <c r="E2448" t="s">
        <v>24</v>
      </c>
      <c r="F2448" t="s">
        <v>321</v>
      </c>
      <c r="G2448" t="str">
        <f>_xlfn.XLOOKUP(TRIM(E2449),MedicineInfo!A:A,MedicineInfo!B:B,"Not Found")</f>
        <v>Multivitamin</v>
      </c>
      <c r="H2448" s="1" t="str" cm="1">
        <f t="array" ref="H2448">_xlfn.IFS(
OR(E2448="Type 2 Diabetes",E2448="Essential Hypertension",E2448="Angina Pectoris",E2448="Bronchial Asthma",E2448="Cardiac Arrhythmia"), D2448+30,
OR(E2448="Gastritis",E2448="Osteoarthritis",E2448="Bronchitis",E2448="Iron Deficiency Anemia"), D2448+14,
OR(E2448="Lumbar Strain",E2448="Migraine Headache"), D2448+7,
OR(E2448="Viral Fever",E2448="General Checkup","Routine Health Check"), "",
TRUE,""
)</f>
        <v/>
      </c>
      <c r="I2448" s="1" t="str">
        <f t="shared" si="76"/>
        <v>No Follow-up Required</v>
      </c>
      <c r="J2448" t="str">
        <f>TEXT(Table8[[#This Row],[visit_Date]],"DDDD")</f>
        <v>Friday</v>
      </c>
      <c r="K2448" t="str">
        <f>TEXT(Table8[[#This Row],[visit_Date]],"mmmm")</f>
        <v>April</v>
      </c>
      <c r="L2448" t="str">
        <f t="shared" si="77"/>
        <v>Summer</v>
      </c>
    </row>
    <row r="2449" spans="1:12" x14ac:dyDescent="0.25">
      <c r="A2449">
        <v>2448</v>
      </c>
      <c r="B2449">
        <v>1373</v>
      </c>
      <c r="C2449">
        <v>1122</v>
      </c>
      <c r="D2449" s="1">
        <v>45686</v>
      </c>
      <c r="E2449" t="s">
        <v>24</v>
      </c>
      <c r="F2449" t="s">
        <v>321</v>
      </c>
      <c r="G2449" t="str">
        <f>_xlfn.XLOOKUP(TRIM(E2450),MedicineInfo!A:A,MedicineInfo!B:B,"Not Found")</f>
        <v>Multivitamin</v>
      </c>
      <c r="H2449" s="1" t="str" cm="1">
        <f t="array" ref="H2449">_xlfn.IFS(
OR(E2449="Type 2 Diabetes",E2449="Essential Hypertension",E2449="Angina Pectoris",E2449="Bronchial Asthma",E2449="Cardiac Arrhythmia"), D2449+30,
OR(E2449="Gastritis",E2449="Osteoarthritis",E2449="Bronchitis",E2449="Iron Deficiency Anemia"), D2449+14,
OR(E2449="Lumbar Strain",E2449="Migraine Headache"), D2449+7,
OR(E2449="Viral Fever",E2449="General Checkup","Routine Health Check"), "",
TRUE,""
)</f>
        <v/>
      </c>
      <c r="I2449" s="1" t="str">
        <f t="shared" si="76"/>
        <v>No Follow-up Required</v>
      </c>
      <c r="J2449" t="str">
        <f>TEXT(Table8[[#This Row],[visit_Date]],"DDDD")</f>
        <v>Wednesday</v>
      </c>
      <c r="K2449" t="str">
        <f>TEXT(Table8[[#This Row],[visit_Date]],"mmmm")</f>
        <v>January</v>
      </c>
      <c r="L2449" t="str">
        <f t="shared" si="77"/>
        <v>Winter</v>
      </c>
    </row>
    <row r="2450" spans="1:12" x14ac:dyDescent="0.25">
      <c r="A2450">
        <v>2449</v>
      </c>
      <c r="B2450">
        <v>1008</v>
      </c>
      <c r="C2450">
        <v>638</v>
      </c>
      <c r="D2450" s="1">
        <v>45672</v>
      </c>
      <c r="E2450" t="s">
        <v>24</v>
      </c>
      <c r="F2450" t="s">
        <v>321</v>
      </c>
      <c r="G2450" t="str">
        <f>_xlfn.XLOOKUP(TRIM(E2451),MedicineInfo!A:A,MedicineInfo!B:B,"Not Found")</f>
        <v>Multivitamin</v>
      </c>
      <c r="H2450" s="1" t="str" cm="1">
        <f t="array" ref="H2450">_xlfn.IFS(
OR(E2450="Type 2 Diabetes",E2450="Essential Hypertension",E2450="Angina Pectoris",E2450="Bronchial Asthma",E2450="Cardiac Arrhythmia"), D2450+30,
OR(E2450="Gastritis",E2450="Osteoarthritis",E2450="Bronchitis",E2450="Iron Deficiency Anemia"), D2450+14,
OR(E2450="Lumbar Strain",E2450="Migraine Headache"), D2450+7,
OR(E2450="Viral Fever",E2450="General Checkup","Routine Health Check"), "",
TRUE,""
)</f>
        <v/>
      </c>
      <c r="I2450" s="1" t="str">
        <f t="shared" si="76"/>
        <v>No Follow-up Required</v>
      </c>
      <c r="J2450" t="str">
        <f>TEXT(Table8[[#This Row],[visit_Date]],"DDDD")</f>
        <v>Wednesday</v>
      </c>
      <c r="K2450" t="str">
        <f>TEXT(Table8[[#This Row],[visit_Date]],"mmmm")</f>
        <v>January</v>
      </c>
      <c r="L2450" t="str">
        <f t="shared" si="77"/>
        <v>Winter</v>
      </c>
    </row>
    <row r="2451" spans="1:12" x14ac:dyDescent="0.25">
      <c r="A2451">
        <v>2450</v>
      </c>
      <c r="B2451">
        <v>1373</v>
      </c>
      <c r="C2451">
        <v>1344</v>
      </c>
      <c r="D2451" s="1">
        <v>45792</v>
      </c>
      <c r="E2451" t="s">
        <v>24</v>
      </c>
      <c r="F2451" t="s">
        <v>321</v>
      </c>
      <c r="G2451" t="str">
        <f>_xlfn.XLOOKUP(TRIM(E2452),MedicineInfo!A:A,MedicineInfo!B:B,"Not Found")</f>
        <v>Amiodarone</v>
      </c>
      <c r="H2451" s="1" t="str" cm="1">
        <f t="array" ref="H2451">_xlfn.IFS(
OR(E2451="Type 2 Diabetes",E2451="Essential Hypertension",E2451="Angina Pectoris",E2451="Bronchial Asthma",E2451="Cardiac Arrhythmia"), D2451+30,
OR(E2451="Gastritis",E2451="Osteoarthritis",E2451="Bronchitis",E2451="Iron Deficiency Anemia"), D2451+14,
OR(E2451="Lumbar Strain",E2451="Migraine Headache"), D2451+7,
OR(E2451="Viral Fever",E2451="General Checkup","Routine Health Check"), "",
TRUE,""
)</f>
        <v/>
      </c>
      <c r="I2451" s="1" t="str">
        <f t="shared" si="76"/>
        <v>No Follow-up Required</v>
      </c>
      <c r="J2451" t="str">
        <f>TEXT(Table8[[#This Row],[visit_Date]],"DDDD")</f>
        <v>Thursday</v>
      </c>
      <c r="K2451" t="str">
        <f>TEXT(Table8[[#This Row],[visit_Date]],"mmmm")</f>
        <v>May</v>
      </c>
      <c r="L2451" t="str">
        <f t="shared" si="77"/>
        <v>Summer</v>
      </c>
    </row>
    <row r="2452" spans="1:12" x14ac:dyDescent="0.25">
      <c r="A2452">
        <v>2451</v>
      </c>
      <c r="B2452">
        <v>1099</v>
      </c>
      <c r="C2452">
        <v>1096</v>
      </c>
      <c r="D2452" s="1">
        <v>45799</v>
      </c>
      <c r="E2452" t="s">
        <v>330</v>
      </c>
      <c r="F2452" t="s">
        <v>331</v>
      </c>
      <c r="G2452" t="str">
        <f>_xlfn.XLOOKUP(TRIM(E2453),MedicineInfo!A:A,MedicineInfo!B:B,"Not Found")</f>
        <v>Multivitamin</v>
      </c>
      <c r="H2452" s="1" cm="1">
        <f t="array" ref="H2452">_xlfn.IFS(
OR(E2452="Type 2 Diabetes",E2452="Essential Hypertension",E2452="Angina Pectoris",E2452="Bronchial Asthma",E2452="Cardiac Arrhythmia"), D2452+30,
OR(E2452="Gastritis",E2452="Osteoarthritis",E2452="Bronchitis",E2452="Iron Deficiency Anemia"), D2452+14,
OR(E2452="Lumbar Strain",E2452="Migraine Headache"), D2452+7,
OR(E2452="Viral Fever",E2452="General Checkup","Routine Health Check"), "",
TRUE,""
)</f>
        <v>45829</v>
      </c>
      <c r="I2452" s="1" t="str">
        <f t="shared" si="76"/>
        <v>Follow-up Scheduled</v>
      </c>
      <c r="J2452" t="str">
        <f>TEXT(Table8[[#This Row],[visit_Date]],"DDDD")</f>
        <v>Thursday</v>
      </c>
      <c r="K2452" t="str">
        <f>TEXT(Table8[[#This Row],[visit_Date]],"mmmm")</f>
        <v>May</v>
      </c>
      <c r="L2452" t="str">
        <f t="shared" si="77"/>
        <v>Summer</v>
      </c>
    </row>
    <row r="2453" spans="1:12" x14ac:dyDescent="0.25">
      <c r="A2453">
        <v>2452</v>
      </c>
      <c r="B2453">
        <v>1319</v>
      </c>
      <c r="C2453">
        <v>937</v>
      </c>
      <c r="D2453" s="1">
        <v>45853</v>
      </c>
      <c r="E2453" t="s">
        <v>24</v>
      </c>
      <c r="F2453" t="s">
        <v>321</v>
      </c>
      <c r="G2453" t="str">
        <f>_xlfn.XLOOKUP(TRIM(E2454),MedicineInfo!A:A,MedicineInfo!B:B,"Not Found")</f>
        <v>Multivitamin</v>
      </c>
      <c r="H2453" s="1" t="str" cm="1">
        <f t="array" ref="H2453">_xlfn.IFS(
OR(E2453="Type 2 Diabetes",E2453="Essential Hypertension",E2453="Angina Pectoris",E2453="Bronchial Asthma",E2453="Cardiac Arrhythmia"), D2453+30,
OR(E2453="Gastritis",E2453="Osteoarthritis",E2453="Bronchitis",E2453="Iron Deficiency Anemia"), D2453+14,
OR(E2453="Lumbar Strain",E2453="Migraine Headache"), D2453+7,
OR(E2453="Viral Fever",E2453="General Checkup","Routine Health Check"), "",
TRUE,""
)</f>
        <v/>
      </c>
      <c r="I2453" s="1" t="str">
        <f t="shared" si="76"/>
        <v>No Follow-up Required</v>
      </c>
      <c r="J2453" t="str">
        <f>TEXT(Table8[[#This Row],[visit_Date]],"DDDD")</f>
        <v>Tuesday</v>
      </c>
      <c r="K2453" t="str">
        <f>TEXT(Table8[[#This Row],[visit_Date]],"mmmm")</f>
        <v>July</v>
      </c>
      <c r="L2453" t="str">
        <f t="shared" si="77"/>
        <v>Monsoon</v>
      </c>
    </row>
    <row r="2454" spans="1:12" x14ac:dyDescent="0.25">
      <c r="A2454">
        <v>2453</v>
      </c>
      <c r="B2454">
        <v>1137</v>
      </c>
      <c r="C2454">
        <v>586</v>
      </c>
      <c r="D2454" s="1">
        <v>45740</v>
      </c>
      <c r="E2454" t="s">
        <v>24</v>
      </c>
      <c r="F2454" t="s">
        <v>321</v>
      </c>
      <c r="G2454" t="str">
        <f>_xlfn.XLOOKUP(TRIM(E2455),MedicineInfo!A:A,MedicineInfo!B:B,"Not Found")</f>
        <v>Multivitamin</v>
      </c>
      <c r="H2454" s="1" t="str" cm="1">
        <f t="array" ref="H2454">_xlfn.IFS(
OR(E2454="Type 2 Diabetes",E2454="Essential Hypertension",E2454="Angina Pectoris",E2454="Bronchial Asthma",E2454="Cardiac Arrhythmia"), D2454+30,
OR(E2454="Gastritis",E2454="Osteoarthritis",E2454="Bronchitis",E2454="Iron Deficiency Anemia"), D2454+14,
OR(E2454="Lumbar Strain",E2454="Migraine Headache"), D2454+7,
OR(E2454="Viral Fever",E2454="General Checkup","Routine Health Check"), "",
TRUE,""
)</f>
        <v/>
      </c>
      <c r="I2454" s="1" t="str">
        <f t="shared" si="76"/>
        <v>No Follow-up Required</v>
      </c>
      <c r="J2454" t="str">
        <f>TEXT(Table8[[#This Row],[visit_Date]],"DDDD")</f>
        <v>Monday</v>
      </c>
      <c r="K2454" t="str">
        <f>TEXT(Table8[[#This Row],[visit_Date]],"mmmm")</f>
        <v>March</v>
      </c>
      <c r="L2454" t="str">
        <f t="shared" si="77"/>
        <v>Summer</v>
      </c>
    </row>
    <row r="2455" spans="1:12" x14ac:dyDescent="0.25">
      <c r="A2455">
        <v>2454</v>
      </c>
      <c r="B2455">
        <v>1262</v>
      </c>
      <c r="C2455">
        <v>513</v>
      </c>
      <c r="D2455" s="1">
        <v>45705</v>
      </c>
      <c r="E2455" t="s">
        <v>24</v>
      </c>
      <c r="F2455" t="s">
        <v>321</v>
      </c>
      <c r="G2455" t="str">
        <f>_xlfn.XLOOKUP(TRIM(E2456),MedicineInfo!A:A,MedicineInfo!B:B,"Not Found")</f>
        <v>Multivitamin</v>
      </c>
      <c r="H2455" s="1" t="str" cm="1">
        <f t="array" ref="H2455">_xlfn.IFS(
OR(E2455="Type 2 Diabetes",E2455="Essential Hypertension",E2455="Angina Pectoris",E2455="Bronchial Asthma",E2455="Cardiac Arrhythmia"), D2455+30,
OR(E2455="Gastritis",E2455="Osteoarthritis",E2455="Bronchitis",E2455="Iron Deficiency Anemia"), D2455+14,
OR(E2455="Lumbar Strain",E2455="Migraine Headache"), D2455+7,
OR(E2455="Viral Fever",E2455="General Checkup","Routine Health Check"), "",
TRUE,""
)</f>
        <v/>
      </c>
      <c r="I2455" s="1" t="str">
        <f t="shared" si="76"/>
        <v>No Follow-up Required</v>
      </c>
      <c r="J2455" t="str">
        <f>TEXT(Table8[[#This Row],[visit_Date]],"DDDD")</f>
        <v>Monday</v>
      </c>
      <c r="K2455" t="str">
        <f>TEXT(Table8[[#This Row],[visit_Date]],"mmmm")</f>
        <v>February</v>
      </c>
      <c r="L2455" t="str">
        <f t="shared" si="77"/>
        <v>Winter</v>
      </c>
    </row>
    <row r="2456" spans="1:12" x14ac:dyDescent="0.25">
      <c r="A2456">
        <v>2455</v>
      </c>
      <c r="B2456">
        <v>1384</v>
      </c>
      <c r="C2456">
        <v>849</v>
      </c>
      <c r="D2456" s="1">
        <v>45761</v>
      </c>
      <c r="E2456" t="s">
        <v>24</v>
      </c>
      <c r="F2456" t="s">
        <v>321</v>
      </c>
      <c r="G2456" t="str">
        <f>_xlfn.XLOOKUP(TRIM(E2457),MedicineInfo!A:A,MedicineInfo!B:B,"Not Found")</f>
        <v>Multivitamin</v>
      </c>
      <c r="H2456" s="1" t="str" cm="1">
        <f t="array" ref="H2456">_xlfn.IFS(
OR(E2456="Type 2 Diabetes",E2456="Essential Hypertension",E2456="Angina Pectoris",E2456="Bronchial Asthma",E2456="Cardiac Arrhythmia"), D2456+30,
OR(E2456="Gastritis",E2456="Osteoarthritis",E2456="Bronchitis",E2456="Iron Deficiency Anemia"), D2456+14,
OR(E2456="Lumbar Strain",E2456="Migraine Headache"), D2456+7,
OR(E2456="Viral Fever",E2456="General Checkup","Routine Health Check"), "",
TRUE,""
)</f>
        <v/>
      </c>
      <c r="I2456" s="1" t="str">
        <f t="shared" si="76"/>
        <v>No Follow-up Required</v>
      </c>
      <c r="J2456" t="str">
        <f>TEXT(Table8[[#This Row],[visit_Date]],"DDDD")</f>
        <v>Monday</v>
      </c>
      <c r="K2456" t="str">
        <f>TEXT(Table8[[#This Row],[visit_Date]],"mmmm")</f>
        <v>April</v>
      </c>
      <c r="L2456" t="str">
        <f t="shared" si="77"/>
        <v>Summer</v>
      </c>
    </row>
    <row r="2457" spans="1:12" x14ac:dyDescent="0.25">
      <c r="A2457">
        <v>2456</v>
      </c>
      <c r="B2457">
        <v>1361</v>
      </c>
      <c r="C2457">
        <v>684</v>
      </c>
      <c r="D2457" s="1">
        <v>45686</v>
      </c>
      <c r="E2457" t="s">
        <v>24</v>
      </c>
      <c r="F2457" t="s">
        <v>321</v>
      </c>
      <c r="G2457" t="str">
        <f>_xlfn.XLOOKUP(TRIM(E2458),MedicineInfo!A:A,MedicineInfo!B:B,"Not Found")</f>
        <v>Multivitamin</v>
      </c>
      <c r="H2457" s="1" t="str" cm="1">
        <f t="array" ref="H2457">_xlfn.IFS(
OR(E2457="Type 2 Diabetes",E2457="Essential Hypertension",E2457="Angina Pectoris",E2457="Bronchial Asthma",E2457="Cardiac Arrhythmia"), D2457+30,
OR(E2457="Gastritis",E2457="Osteoarthritis",E2457="Bronchitis",E2457="Iron Deficiency Anemia"), D2457+14,
OR(E2457="Lumbar Strain",E2457="Migraine Headache"), D2457+7,
OR(E2457="Viral Fever",E2457="General Checkup","Routine Health Check"), "",
TRUE,""
)</f>
        <v/>
      </c>
      <c r="I2457" s="1" t="str">
        <f t="shared" si="76"/>
        <v>No Follow-up Required</v>
      </c>
      <c r="J2457" t="str">
        <f>TEXT(Table8[[#This Row],[visit_Date]],"DDDD")</f>
        <v>Wednesday</v>
      </c>
      <c r="K2457" t="str">
        <f>TEXT(Table8[[#This Row],[visit_Date]],"mmmm")</f>
        <v>January</v>
      </c>
      <c r="L2457" t="str">
        <f t="shared" si="77"/>
        <v>Winter</v>
      </c>
    </row>
    <row r="2458" spans="1:12" x14ac:dyDescent="0.25">
      <c r="A2458">
        <v>2457</v>
      </c>
      <c r="B2458">
        <v>1394</v>
      </c>
      <c r="C2458">
        <v>1508</v>
      </c>
      <c r="D2458" s="1">
        <v>45859</v>
      </c>
      <c r="E2458" t="s">
        <v>24</v>
      </c>
      <c r="F2458" t="s">
        <v>321</v>
      </c>
      <c r="G2458" t="str">
        <f>_xlfn.XLOOKUP(TRIM(E2459),MedicineInfo!A:A,MedicineInfo!B:B,"Not Found")</f>
        <v>Donepezil</v>
      </c>
      <c r="H2458" s="1" t="str" cm="1">
        <f t="array" ref="H2458">_xlfn.IFS(
OR(E2458="Type 2 Diabetes",E2458="Essential Hypertension",E2458="Angina Pectoris",E2458="Bronchial Asthma",E2458="Cardiac Arrhythmia"), D2458+30,
OR(E2458="Gastritis",E2458="Osteoarthritis",E2458="Bronchitis",E2458="Iron Deficiency Anemia"), D2458+14,
OR(E2458="Lumbar Strain",E2458="Migraine Headache"), D2458+7,
OR(E2458="Viral Fever",E2458="General Checkup","Routine Health Check"), "",
TRUE,""
)</f>
        <v/>
      </c>
      <c r="I2458" s="1" t="str">
        <f t="shared" si="76"/>
        <v>No Follow-up Required</v>
      </c>
      <c r="J2458" t="str">
        <f>TEXT(Table8[[#This Row],[visit_Date]],"DDDD")</f>
        <v>Monday</v>
      </c>
      <c r="K2458" t="str">
        <f>TEXT(Table8[[#This Row],[visit_Date]],"mmmm")</f>
        <v>July</v>
      </c>
      <c r="L2458" t="str">
        <f t="shared" si="77"/>
        <v>Monsoon</v>
      </c>
    </row>
    <row r="2459" spans="1:12" x14ac:dyDescent="0.25">
      <c r="A2459">
        <v>2458</v>
      </c>
      <c r="B2459">
        <v>1043</v>
      </c>
      <c r="C2459">
        <v>135</v>
      </c>
      <c r="D2459" s="1">
        <v>45792</v>
      </c>
      <c r="E2459" t="s">
        <v>350</v>
      </c>
      <c r="F2459" t="s">
        <v>351</v>
      </c>
      <c r="G2459" t="str">
        <f>_xlfn.XLOOKUP(TRIM(E2460),MedicineInfo!A:A,MedicineInfo!B:B,"Not Found")</f>
        <v>Multivitamin</v>
      </c>
      <c r="H2459" s="1" t="str" cm="1">
        <f t="array" ref="H2459">_xlfn.IFS(
OR(E2459="Type 2 Diabetes",E2459="Essential Hypertension",E2459="Angina Pectoris",E2459="Bronchial Asthma",E2459="Cardiac Arrhythmia"), D2459+30,
OR(E2459="Gastritis",E2459="Osteoarthritis",E2459="Bronchitis",E2459="Iron Deficiency Anemia"), D2459+14,
OR(E2459="Lumbar Strain",E2459="Migraine Headache"), D2459+7,
OR(E2459="Viral Fever",E2459="General Checkup","Routine Health Check"), "",
TRUE,""
)</f>
        <v/>
      </c>
      <c r="I2459" s="1" t="str">
        <f t="shared" si="76"/>
        <v>No Follow-up Required</v>
      </c>
      <c r="J2459" t="str">
        <f>TEXT(Table8[[#This Row],[visit_Date]],"DDDD")</f>
        <v>Thursday</v>
      </c>
      <c r="K2459" t="str">
        <f>TEXT(Table8[[#This Row],[visit_Date]],"mmmm")</f>
        <v>May</v>
      </c>
      <c r="L2459" t="str">
        <f t="shared" si="77"/>
        <v>Summer</v>
      </c>
    </row>
    <row r="2460" spans="1:12" x14ac:dyDescent="0.25">
      <c r="A2460">
        <v>2459</v>
      </c>
      <c r="B2460">
        <v>1117</v>
      </c>
      <c r="C2460">
        <v>660</v>
      </c>
      <c r="D2460" s="1">
        <v>45790</v>
      </c>
      <c r="E2460" t="s">
        <v>24</v>
      </c>
      <c r="F2460" t="s">
        <v>321</v>
      </c>
      <c r="G2460" t="str">
        <f>_xlfn.XLOOKUP(TRIM(E2461),MedicineInfo!A:A,MedicineInfo!B:B,"Not Found")</f>
        <v>Multivitamin</v>
      </c>
      <c r="H2460" s="1" t="str" cm="1">
        <f t="array" ref="H2460">_xlfn.IFS(
OR(E2460="Type 2 Diabetes",E2460="Essential Hypertension",E2460="Angina Pectoris",E2460="Bronchial Asthma",E2460="Cardiac Arrhythmia"), D2460+30,
OR(E2460="Gastritis",E2460="Osteoarthritis",E2460="Bronchitis",E2460="Iron Deficiency Anemia"), D2460+14,
OR(E2460="Lumbar Strain",E2460="Migraine Headache"), D2460+7,
OR(E2460="Viral Fever",E2460="General Checkup","Routine Health Check"), "",
TRUE,""
)</f>
        <v/>
      </c>
      <c r="I2460" s="1" t="str">
        <f t="shared" si="76"/>
        <v>No Follow-up Required</v>
      </c>
      <c r="J2460" t="str">
        <f>TEXT(Table8[[#This Row],[visit_Date]],"DDDD")</f>
        <v>Tuesday</v>
      </c>
      <c r="K2460" t="str">
        <f>TEXT(Table8[[#This Row],[visit_Date]],"mmmm")</f>
        <v>May</v>
      </c>
      <c r="L2460" t="str">
        <f t="shared" si="77"/>
        <v>Summer</v>
      </c>
    </row>
    <row r="2461" spans="1:12" x14ac:dyDescent="0.25">
      <c r="A2461">
        <v>2460</v>
      </c>
      <c r="B2461">
        <v>1063</v>
      </c>
      <c r="C2461">
        <v>885</v>
      </c>
      <c r="D2461" s="1">
        <v>45792</v>
      </c>
      <c r="E2461" t="s">
        <v>24</v>
      </c>
      <c r="F2461" t="s">
        <v>321</v>
      </c>
      <c r="G2461" t="str">
        <f>_xlfn.XLOOKUP(TRIM(E2462),MedicineInfo!A:A,MedicineInfo!B:B,"Not Found")</f>
        <v>Multivitamin</v>
      </c>
      <c r="H2461" s="1" t="str" cm="1">
        <f t="array" ref="H2461">_xlfn.IFS(
OR(E2461="Type 2 Diabetes",E2461="Essential Hypertension",E2461="Angina Pectoris",E2461="Bronchial Asthma",E2461="Cardiac Arrhythmia"), D2461+30,
OR(E2461="Gastritis",E2461="Osteoarthritis",E2461="Bronchitis",E2461="Iron Deficiency Anemia"), D2461+14,
OR(E2461="Lumbar Strain",E2461="Migraine Headache"), D2461+7,
OR(E2461="Viral Fever",E2461="General Checkup","Routine Health Check"), "",
TRUE,""
)</f>
        <v/>
      </c>
      <c r="I2461" s="1" t="str">
        <f t="shared" si="76"/>
        <v>No Follow-up Required</v>
      </c>
      <c r="J2461" t="str">
        <f>TEXT(Table8[[#This Row],[visit_Date]],"DDDD")</f>
        <v>Thursday</v>
      </c>
      <c r="K2461" t="str">
        <f>TEXT(Table8[[#This Row],[visit_Date]],"mmmm")</f>
        <v>May</v>
      </c>
      <c r="L2461" t="str">
        <f t="shared" si="77"/>
        <v>Summer</v>
      </c>
    </row>
    <row r="2462" spans="1:12" x14ac:dyDescent="0.25">
      <c r="A2462">
        <v>2461</v>
      </c>
      <c r="B2462">
        <v>1198</v>
      </c>
      <c r="C2462">
        <v>573</v>
      </c>
      <c r="D2462" s="1">
        <v>45845</v>
      </c>
      <c r="E2462" t="s">
        <v>24</v>
      </c>
      <c r="F2462" t="s">
        <v>321</v>
      </c>
      <c r="G2462" t="str">
        <f>_xlfn.XLOOKUP(TRIM(E2463),MedicineInfo!A:A,MedicineInfo!B:B,"Not Found")</f>
        <v>Multivitamin</v>
      </c>
      <c r="H2462" s="1" t="str" cm="1">
        <f t="array" ref="H2462">_xlfn.IFS(
OR(E2462="Type 2 Diabetes",E2462="Essential Hypertension",E2462="Angina Pectoris",E2462="Bronchial Asthma",E2462="Cardiac Arrhythmia"), D2462+30,
OR(E2462="Gastritis",E2462="Osteoarthritis",E2462="Bronchitis",E2462="Iron Deficiency Anemia"), D2462+14,
OR(E2462="Lumbar Strain",E2462="Migraine Headache"), D2462+7,
OR(E2462="Viral Fever",E2462="General Checkup","Routine Health Check"), "",
TRUE,""
)</f>
        <v/>
      </c>
      <c r="I2462" s="1" t="str">
        <f t="shared" si="76"/>
        <v>No Follow-up Required</v>
      </c>
      <c r="J2462" t="str">
        <f>TEXT(Table8[[#This Row],[visit_Date]],"DDDD")</f>
        <v>Monday</v>
      </c>
      <c r="K2462" t="str">
        <f>TEXT(Table8[[#This Row],[visit_Date]],"mmmm")</f>
        <v>July</v>
      </c>
      <c r="L2462" t="str">
        <f t="shared" si="77"/>
        <v>Monsoon</v>
      </c>
    </row>
    <row r="2463" spans="1:12" x14ac:dyDescent="0.25">
      <c r="A2463">
        <v>2462</v>
      </c>
      <c r="B2463">
        <v>1242</v>
      </c>
      <c r="C2463">
        <v>134</v>
      </c>
      <c r="D2463" s="1">
        <v>45853</v>
      </c>
      <c r="E2463" t="s">
        <v>24</v>
      </c>
      <c r="F2463" t="s">
        <v>321</v>
      </c>
      <c r="G2463" t="str">
        <f>_xlfn.XLOOKUP(TRIM(E2464),MedicineInfo!A:A,MedicineInfo!B:B,"Not Found")</f>
        <v>Multivitamin</v>
      </c>
      <c r="H2463" s="1" t="str" cm="1">
        <f t="array" ref="H2463">_xlfn.IFS(
OR(E2463="Type 2 Diabetes",E2463="Essential Hypertension",E2463="Angina Pectoris",E2463="Bronchial Asthma",E2463="Cardiac Arrhythmia"), D2463+30,
OR(E2463="Gastritis",E2463="Osteoarthritis",E2463="Bronchitis",E2463="Iron Deficiency Anemia"), D2463+14,
OR(E2463="Lumbar Strain",E2463="Migraine Headache"), D2463+7,
OR(E2463="Viral Fever",E2463="General Checkup","Routine Health Check"), "",
TRUE,""
)</f>
        <v/>
      </c>
      <c r="I2463" s="1" t="str">
        <f t="shared" si="76"/>
        <v>No Follow-up Required</v>
      </c>
      <c r="J2463" t="str">
        <f>TEXT(Table8[[#This Row],[visit_Date]],"DDDD")</f>
        <v>Tuesday</v>
      </c>
      <c r="K2463" t="str">
        <f>TEXT(Table8[[#This Row],[visit_Date]],"mmmm")</f>
        <v>July</v>
      </c>
      <c r="L2463" t="str">
        <f t="shared" si="77"/>
        <v>Monsoon</v>
      </c>
    </row>
    <row r="2464" spans="1:12" x14ac:dyDescent="0.25">
      <c r="A2464">
        <v>2463</v>
      </c>
      <c r="B2464">
        <v>1355</v>
      </c>
      <c r="C2464">
        <v>1089</v>
      </c>
      <c r="D2464" s="1">
        <v>45792</v>
      </c>
      <c r="E2464" t="s">
        <v>24</v>
      </c>
      <c r="F2464" t="s">
        <v>321</v>
      </c>
      <c r="G2464" t="str">
        <f>_xlfn.XLOOKUP(TRIM(E2465),MedicineInfo!A:A,MedicineInfo!B:B,"Not Found")</f>
        <v>Multivitamin</v>
      </c>
      <c r="H2464" s="1" t="str" cm="1">
        <f t="array" ref="H2464">_xlfn.IFS(
OR(E2464="Type 2 Diabetes",E2464="Essential Hypertension",E2464="Angina Pectoris",E2464="Bronchial Asthma",E2464="Cardiac Arrhythmia"), D2464+30,
OR(E2464="Gastritis",E2464="Osteoarthritis",E2464="Bronchitis",E2464="Iron Deficiency Anemia"), D2464+14,
OR(E2464="Lumbar Strain",E2464="Migraine Headache"), D2464+7,
OR(E2464="Viral Fever",E2464="General Checkup","Routine Health Check"), "",
TRUE,""
)</f>
        <v/>
      </c>
      <c r="I2464" s="1" t="str">
        <f t="shared" si="76"/>
        <v>No Follow-up Required</v>
      </c>
      <c r="J2464" t="str">
        <f>TEXT(Table8[[#This Row],[visit_Date]],"DDDD")</f>
        <v>Thursday</v>
      </c>
      <c r="K2464" t="str">
        <f>TEXT(Table8[[#This Row],[visit_Date]],"mmmm")</f>
        <v>May</v>
      </c>
      <c r="L2464" t="str">
        <f t="shared" si="77"/>
        <v>Summer</v>
      </c>
    </row>
    <row r="2465" spans="1:12" x14ac:dyDescent="0.25">
      <c r="A2465">
        <v>2464</v>
      </c>
      <c r="B2465">
        <v>1318</v>
      </c>
      <c r="C2465">
        <v>980</v>
      </c>
      <c r="D2465" s="1">
        <v>45767</v>
      </c>
      <c r="E2465" t="s">
        <v>24</v>
      </c>
      <c r="F2465" t="s">
        <v>321</v>
      </c>
      <c r="G2465" t="str">
        <f>_xlfn.XLOOKUP(TRIM(E2466),MedicineInfo!A:A,MedicineInfo!B:B,"Not Found")</f>
        <v>Multivitamin</v>
      </c>
      <c r="H2465" s="1" t="str" cm="1">
        <f t="array" ref="H2465">_xlfn.IFS(
OR(E2465="Type 2 Diabetes",E2465="Essential Hypertension",E2465="Angina Pectoris",E2465="Bronchial Asthma",E2465="Cardiac Arrhythmia"), D2465+30,
OR(E2465="Gastritis",E2465="Osteoarthritis",E2465="Bronchitis",E2465="Iron Deficiency Anemia"), D2465+14,
OR(E2465="Lumbar Strain",E2465="Migraine Headache"), D2465+7,
OR(E2465="Viral Fever",E2465="General Checkup","Routine Health Check"), "",
TRUE,""
)</f>
        <v/>
      </c>
      <c r="I2465" s="1" t="str">
        <f t="shared" si="76"/>
        <v>No Follow-up Required</v>
      </c>
      <c r="J2465" t="str">
        <f>TEXT(Table8[[#This Row],[visit_Date]],"DDDD")</f>
        <v>Sunday</v>
      </c>
      <c r="K2465" t="str">
        <f>TEXT(Table8[[#This Row],[visit_Date]],"mmmm")</f>
        <v>April</v>
      </c>
      <c r="L2465" t="str">
        <f t="shared" si="77"/>
        <v>Summer</v>
      </c>
    </row>
    <row r="2466" spans="1:12" x14ac:dyDescent="0.25">
      <c r="A2466">
        <v>2465</v>
      </c>
      <c r="B2466">
        <v>1037</v>
      </c>
      <c r="C2466">
        <v>1148</v>
      </c>
      <c r="D2466" s="1">
        <v>45758</v>
      </c>
      <c r="E2466" t="s">
        <v>24</v>
      </c>
      <c r="F2466" t="s">
        <v>321</v>
      </c>
      <c r="G2466" t="str">
        <f>_xlfn.XLOOKUP(TRIM(E2467),MedicineInfo!A:A,MedicineInfo!B:B,"Not Found")</f>
        <v>Folic Acid</v>
      </c>
      <c r="H2466" s="1" t="str" cm="1">
        <f t="array" ref="H2466">_xlfn.IFS(
OR(E2466="Type 2 Diabetes",E2466="Essential Hypertension",E2466="Angina Pectoris",E2466="Bronchial Asthma",E2466="Cardiac Arrhythmia"), D2466+30,
OR(E2466="Gastritis",E2466="Osteoarthritis",E2466="Bronchitis",E2466="Iron Deficiency Anemia"), D2466+14,
OR(E2466="Lumbar Strain",E2466="Migraine Headache"), D2466+7,
OR(E2466="Viral Fever",E2466="General Checkup","Routine Health Check"), "",
TRUE,""
)</f>
        <v/>
      </c>
      <c r="I2466" s="1" t="str">
        <f t="shared" si="76"/>
        <v>No Follow-up Required</v>
      </c>
      <c r="J2466" t="str">
        <f>TEXT(Table8[[#This Row],[visit_Date]],"DDDD")</f>
        <v>Friday</v>
      </c>
      <c r="K2466" t="str">
        <f>TEXT(Table8[[#This Row],[visit_Date]],"mmmm")</f>
        <v>April</v>
      </c>
      <c r="L2466" t="str">
        <f t="shared" si="77"/>
        <v>Summer</v>
      </c>
    </row>
    <row r="2467" spans="1:12" x14ac:dyDescent="0.25">
      <c r="A2467">
        <v>2466</v>
      </c>
      <c r="B2467">
        <v>1364</v>
      </c>
      <c r="C2467">
        <v>1347</v>
      </c>
      <c r="D2467" s="1">
        <v>45774</v>
      </c>
      <c r="E2467" t="s">
        <v>356</v>
      </c>
      <c r="F2467" t="s">
        <v>357</v>
      </c>
      <c r="G2467" t="str">
        <f>_xlfn.XLOOKUP(TRIM(E2468),MedicineInfo!A:A,MedicineInfo!B:B,"Not Found")</f>
        <v>Multivitamin</v>
      </c>
      <c r="H2467" s="1" t="str" cm="1">
        <f t="array" ref="H2467">_xlfn.IFS(
OR(E2467="Type 2 Diabetes",E2467="Essential Hypertension",E2467="Angina Pectoris",E2467="Bronchial Asthma",E2467="Cardiac Arrhythmia"), D2467+30,
OR(E2467="Gastritis",E2467="Osteoarthritis",E2467="Bronchitis",E2467="Iron Deficiency Anemia"), D2467+14,
OR(E2467="Lumbar Strain",E2467="Migraine Headache"), D2467+7,
OR(E2467="Viral Fever",E2467="General Checkup","Routine Health Check"), "",
TRUE,""
)</f>
        <v/>
      </c>
      <c r="I2467" s="1" t="str">
        <f t="shared" si="76"/>
        <v>No Follow-up Required</v>
      </c>
      <c r="J2467" t="str">
        <f>TEXT(Table8[[#This Row],[visit_Date]],"DDDD")</f>
        <v>Sunday</v>
      </c>
      <c r="K2467" t="str">
        <f>TEXT(Table8[[#This Row],[visit_Date]],"mmmm")</f>
        <v>April</v>
      </c>
      <c r="L2467" t="str">
        <f t="shared" si="77"/>
        <v>Summer</v>
      </c>
    </row>
    <row r="2468" spans="1:12" x14ac:dyDescent="0.25">
      <c r="A2468">
        <v>2467</v>
      </c>
      <c r="B2468">
        <v>1107</v>
      </c>
      <c r="C2468">
        <v>820</v>
      </c>
      <c r="D2468" s="1">
        <v>45790</v>
      </c>
      <c r="E2468" t="s">
        <v>24</v>
      </c>
      <c r="F2468" t="s">
        <v>321</v>
      </c>
      <c r="G2468" t="str">
        <f>_xlfn.XLOOKUP(TRIM(E2469),MedicineInfo!A:A,MedicineInfo!B:B,"Not Found")</f>
        <v>Multivitamin</v>
      </c>
      <c r="H2468" s="1" t="str" cm="1">
        <f t="array" ref="H2468">_xlfn.IFS(
OR(E2468="Type 2 Diabetes",E2468="Essential Hypertension",E2468="Angina Pectoris",E2468="Bronchial Asthma",E2468="Cardiac Arrhythmia"), D2468+30,
OR(E2468="Gastritis",E2468="Osteoarthritis",E2468="Bronchitis",E2468="Iron Deficiency Anemia"), D2468+14,
OR(E2468="Lumbar Strain",E2468="Migraine Headache"), D2468+7,
OR(E2468="Viral Fever",E2468="General Checkup","Routine Health Check"), "",
TRUE,""
)</f>
        <v/>
      </c>
      <c r="I2468" s="1" t="str">
        <f t="shared" si="76"/>
        <v>No Follow-up Required</v>
      </c>
      <c r="J2468" t="str">
        <f>TEXT(Table8[[#This Row],[visit_Date]],"DDDD")</f>
        <v>Tuesday</v>
      </c>
      <c r="K2468" t="str">
        <f>TEXT(Table8[[#This Row],[visit_Date]],"mmmm")</f>
        <v>May</v>
      </c>
      <c r="L2468" t="str">
        <f t="shared" si="77"/>
        <v>Summer</v>
      </c>
    </row>
    <row r="2469" spans="1:12" x14ac:dyDescent="0.25">
      <c r="A2469">
        <v>2468</v>
      </c>
      <c r="B2469">
        <v>1373</v>
      </c>
      <c r="C2469">
        <v>306</v>
      </c>
      <c r="D2469" s="1">
        <v>45747</v>
      </c>
      <c r="E2469" t="s">
        <v>24</v>
      </c>
      <c r="F2469" t="s">
        <v>321</v>
      </c>
      <c r="G2469" t="str">
        <f>_xlfn.XLOOKUP(TRIM(E2470),MedicineInfo!A:A,MedicineInfo!B:B,"Not Found")</f>
        <v>Multivitamin</v>
      </c>
      <c r="H2469" s="1" t="str" cm="1">
        <f t="array" ref="H2469">_xlfn.IFS(
OR(E2469="Type 2 Diabetes",E2469="Essential Hypertension",E2469="Angina Pectoris",E2469="Bronchial Asthma",E2469="Cardiac Arrhythmia"), D2469+30,
OR(E2469="Gastritis",E2469="Osteoarthritis",E2469="Bronchitis",E2469="Iron Deficiency Anemia"), D2469+14,
OR(E2469="Lumbar Strain",E2469="Migraine Headache"), D2469+7,
OR(E2469="Viral Fever",E2469="General Checkup","Routine Health Check"), "",
TRUE,""
)</f>
        <v/>
      </c>
      <c r="I2469" s="1" t="str">
        <f t="shared" si="76"/>
        <v>No Follow-up Required</v>
      </c>
      <c r="J2469" t="str">
        <f>TEXT(Table8[[#This Row],[visit_Date]],"DDDD")</f>
        <v>Monday</v>
      </c>
      <c r="K2469" t="str">
        <f>TEXT(Table8[[#This Row],[visit_Date]],"mmmm")</f>
        <v>March</v>
      </c>
      <c r="L2469" t="str">
        <f t="shared" si="77"/>
        <v>Summer</v>
      </c>
    </row>
    <row r="2470" spans="1:12" x14ac:dyDescent="0.25">
      <c r="A2470">
        <v>2469</v>
      </c>
      <c r="B2470">
        <v>1319</v>
      </c>
      <c r="C2470">
        <v>1024</v>
      </c>
      <c r="D2470" s="1">
        <v>45767</v>
      </c>
      <c r="E2470" t="s">
        <v>24</v>
      </c>
      <c r="F2470" t="s">
        <v>321</v>
      </c>
      <c r="G2470" t="str">
        <f>_xlfn.XLOOKUP(TRIM(E2471),MedicineInfo!A:A,MedicineInfo!B:B,"Not Found")</f>
        <v>Cefixime</v>
      </c>
      <c r="H2470" s="1" t="str" cm="1">
        <f t="array" ref="H2470">_xlfn.IFS(
OR(E2470="Type 2 Diabetes",E2470="Essential Hypertension",E2470="Angina Pectoris",E2470="Bronchial Asthma",E2470="Cardiac Arrhythmia"), D2470+30,
OR(E2470="Gastritis",E2470="Osteoarthritis",E2470="Bronchitis",E2470="Iron Deficiency Anemia"), D2470+14,
OR(E2470="Lumbar Strain",E2470="Migraine Headache"), D2470+7,
OR(E2470="Viral Fever",E2470="General Checkup","Routine Health Check"), "",
TRUE,""
)</f>
        <v/>
      </c>
      <c r="I2470" s="1" t="str">
        <f t="shared" si="76"/>
        <v>No Follow-up Required</v>
      </c>
      <c r="J2470" t="str">
        <f>TEXT(Table8[[#This Row],[visit_Date]],"DDDD")</f>
        <v>Sunday</v>
      </c>
      <c r="K2470" t="str">
        <f>TEXT(Table8[[#This Row],[visit_Date]],"mmmm")</f>
        <v>April</v>
      </c>
      <c r="L2470" t="str">
        <f t="shared" si="77"/>
        <v>Summer</v>
      </c>
    </row>
    <row r="2471" spans="1:12" x14ac:dyDescent="0.25">
      <c r="A2471">
        <v>2470</v>
      </c>
      <c r="B2471">
        <v>1063</v>
      </c>
      <c r="C2471">
        <v>995</v>
      </c>
      <c r="D2471" s="1">
        <v>45790</v>
      </c>
      <c r="E2471" t="s">
        <v>354</v>
      </c>
      <c r="F2471" t="s">
        <v>355</v>
      </c>
      <c r="G2471" t="str">
        <f>_xlfn.XLOOKUP(TRIM(E2472),MedicineInfo!A:A,MedicineInfo!B:B,"Not Found")</f>
        <v>Multivitamin</v>
      </c>
      <c r="H2471" s="1" t="str" cm="1">
        <f t="array" ref="H2471">_xlfn.IFS(
OR(E2471="Type 2 Diabetes",E2471="Essential Hypertension",E2471="Angina Pectoris",E2471="Bronchial Asthma",E2471="Cardiac Arrhythmia"), D2471+30,
OR(E2471="Gastritis",E2471="Osteoarthritis",E2471="Bronchitis",E2471="Iron Deficiency Anemia"), D2471+14,
OR(E2471="Lumbar Strain",E2471="Migraine Headache"), D2471+7,
OR(E2471="Viral Fever",E2471="General Checkup","Routine Health Check"), "",
TRUE,""
)</f>
        <v/>
      </c>
      <c r="I2471" s="1" t="str">
        <f t="shared" si="76"/>
        <v>No Follow-up Required</v>
      </c>
      <c r="J2471" t="str">
        <f>TEXT(Table8[[#This Row],[visit_Date]],"DDDD")</f>
        <v>Tuesday</v>
      </c>
      <c r="K2471" t="str">
        <f>TEXT(Table8[[#This Row],[visit_Date]],"mmmm")</f>
        <v>May</v>
      </c>
      <c r="L2471" t="str">
        <f t="shared" si="77"/>
        <v>Summer</v>
      </c>
    </row>
    <row r="2472" spans="1:12" x14ac:dyDescent="0.25">
      <c r="A2472">
        <v>2471</v>
      </c>
      <c r="B2472">
        <v>1134</v>
      </c>
      <c r="C2472">
        <v>817</v>
      </c>
      <c r="D2472" s="1">
        <v>45812</v>
      </c>
      <c r="E2472" t="s">
        <v>24</v>
      </c>
      <c r="F2472" t="s">
        <v>321</v>
      </c>
      <c r="G2472" t="str">
        <f>_xlfn.XLOOKUP(TRIM(E2473),MedicineInfo!A:A,MedicineInfo!B:B,"Not Found")</f>
        <v>Multivitamin</v>
      </c>
      <c r="H2472" s="1" t="str" cm="1">
        <f t="array" ref="H2472">_xlfn.IFS(
OR(E2472="Type 2 Diabetes",E2472="Essential Hypertension",E2472="Angina Pectoris",E2472="Bronchial Asthma",E2472="Cardiac Arrhythmia"), D2472+30,
OR(E2472="Gastritis",E2472="Osteoarthritis",E2472="Bronchitis",E2472="Iron Deficiency Anemia"), D2472+14,
OR(E2472="Lumbar Strain",E2472="Migraine Headache"), D2472+7,
OR(E2472="Viral Fever",E2472="General Checkup","Routine Health Check"), "",
TRUE,""
)</f>
        <v/>
      </c>
      <c r="I2472" s="1" t="str">
        <f t="shared" si="76"/>
        <v>No Follow-up Required</v>
      </c>
      <c r="J2472" t="str">
        <f>TEXT(Table8[[#This Row],[visit_Date]],"DDDD")</f>
        <v>Wednesday</v>
      </c>
      <c r="K2472" t="str">
        <f>TEXT(Table8[[#This Row],[visit_Date]],"mmmm")</f>
        <v>June</v>
      </c>
      <c r="L2472" t="str">
        <f t="shared" si="77"/>
        <v>Monsoon</v>
      </c>
    </row>
    <row r="2473" spans="1:12" x14ac:dyDescent="0.25">
      <c r="A2473">
        <v>2472</v>
      </c>
      <c r="B2473">
        <v>1021</v>
      </c>
      <c r="C2473">
        <v>959</v>
      </c>
      <c r="D2473" s="1">
        <v>45863</v>
      </c>
      <c r="E2473" t="s">
        <v>24</v>
      </c>
      <c r="F2473" t="s">
        <v>321</v>
      </c>
      <c r="G2473" t="str">
        <f>_xlfn.XLOOKUP(TRIM(E2474),MedicineInfo!A:A,MedicineInfo!B:B,"Not Found")</f>
        <v>Paracetamol</v>
      </c>
      <c r="H2473" s="1" t="str" cm="1">
        <f t="array" ref="H2473">_xlfn.IFS(
OR(E2473="Type 2 Diabetes",E2473="Essential Hypertension",E2473="Angina Pectoris",E2473="Bronchial Asthma",E2473="Cardiac Arrhythmia"), D2473+30,
OR(E2473="Gastritis",E2473="Osteoarthritis",E2473="Bronchitis",E2473="Iron Deficiency Anemia"), D2473+14,
OR(E2473="Lumbar Strain",E2473="Migraine Headache"), D2473+7,
OR(E2473="Viral Fever",E2473="General Checkup","Routine Health Check"), "",
TRUE,""
)</f>
        <v/>
      </c>
      <c r="I2473" s="1" t="str">
        <f t="shared" si="76"/>
        <v>No Follow-up Required</v>
      </c>
      <c r="J2473" t="str">
        <f>TEXT(Table8[[#This Row],[visit_Date]],"DDDD")</f>
        <v>Friday</v>
      </c>
      <c r="K2473" t="str">
        <f>TEXT(Table8[[#This Row],[visit_Date]],"mmmm")</f>
        <v>July</v>
      </c>
      <c r="L2473" t="str">
        <f t="shared" si="77"/>
        <v>Monsoon</v>
      </c>
    </row>
    <row r="2474" spans="1:12" x14ac:dyDescent="0.25">
      <c r="A2474">
        <v>2473</v>
      </c>
      <c r="B2474">
        <v>1095</v>
      </c>
      <c r="C2474">
        <v>528</v>
      </c>
      <c r="D2474" s="1">
        <v>45667</v>
      </c>
      <c r="E2474" t="s">
        <v>326</v>
      </c>
      <c r="F2474" t="s">
        <v>327</v>
      </c>
      <c r="G2474" t="str">
        <f>_xlfn.XLOOKUP(TRIM(E2475),MedicineInfo!A:A,MedicineInfo!B:B,"Not Found")</f>
        <v>Multivitamin</v>
      </c>
      <c r="H2474" s="1" t="str" cm="1">
        <f t="array" ref="H2474">_xlfn.IFS(
OR(E2474="Type 2 Diabetes",E2474="Essential Hypertension",E2474="Angina Pectoris",E2474="Bronchial Asthma",E2474="Cardiac Arrhythmia"), D2474+30,
OR(E2474="Gastritis",E2474="Osteoarthritis",E2474="Bronchitis",E2474="Iron Deficiency Anemia"), D2474+14,
OR(E2474="Lumbar Strain",E2474="Migraine Headache"), D2474+7,
OR(E2474="Viral Fever",E2474="General Checkup","Routine Health Check"), "",
TRUE,""
)</f>
        <v/>
      </c>
      <c r="I2474" s="1" t="str">
        <f t="shared" si="76"/>
        <v>No Follow-up Required</v>
      </c>
      <c r="J2474" t="str">
        <f>TEXT(Table8[[#This Row],[visit_Date]],"DDDD")</f>
        <v>Friday</v>
      </c>
      <c r="K2474" t="str">
        <f>TEXT(Table8[[#This Row],[visit_Date]],"mmmm")</f>
        <v>January</v>
      </c>
      <c r="L2474" t="str">
        <f t="shared" si="77"/>
        <v>Winter</v>
      </c>
    </row>
    <row r="2475" spans="1:12" x14ac:dyDescent="0.25">
      <c r="A2475">
        <v>2474</v>
      </c>
      <c r="B2475">
        <v>1028</v>
      </c>
      <c r="C2475">
        <v>1060</v>
      </c>
      <c r="D2475" s="1">
        <v>45826</v>
      </c>
      <c r="E2475" t="s">
        <v>24</v>
      </c>
      <c r="F2475" t="s">
        <v>321</v>
      </c>
      <c r="G2475" t="str">
        <f>_xlfn.XLOOKUP(TRIM(E2476),MedicineInfo!A:A,MedicineInfo!B:B,"Not Found")</f>
        <v>Sertraline</v>
      </c>
      <c r="H2475" s="1" t="str" cm="1">
        <f t="array" ref="H2475">_xlfn.IFS(
OR(E2475="Type 2 Diabetes",E2475="Essential Hypertension",E2475="Angina Pectoris",E2475="Bronchial Asthma",E2475="Cardiac Arrhythmia"), D2475+30,
OR(E2475="Gastritis",E2475="Osteoarthritis",E2475="Bronchitis",E2475="Iron Deficiency Anemia"), D2475+14,
OR(E2475="Lumbar Strain",E2475="Migraine Headache"), D2475+7,
OR(E2475="Viral Fever",E2475="General Checkup","Routine Health Check"), "",
TRUE,""
)</f>
        <v/>
      </c>
      <c r="I2475" s="1" t="str">
        <f t="shared" si="76"/>
        <v>No Follow-up Required</v>
      </c>
      <c r="J2475" t="str">
        <f>TEXT(Table8[[#This Row],[visit_Date]],"DDDD")</f>
        <v>Wednesday</v>
      </c>
      <c r="K2475" t="str">
        <f>TEXT(Table8[[#This Row],[visit_Date]],"mmmm")</f>
        <v>June</v>
      </c>
      <c r="L2475" t="str">
        <f t="shared" si="77"/>
        <v>Monsoon</v>
      </c>
    </row>
    <row r="2476" spans="1:12" x14ac:dyDescent="0.25">
      <c r="A2476">
        <v>2475</v>
      </c>
      <c r="B2476">
        <v>1147</v>
      </c>
      <c r="C2476">
        <v>1591</v>
      </c>
      <c r="D2476" s="1">
        <v>45828</v>
      </c>
      <c r="E2476" t="s">
        <v>334</v>
      </c>
      <c r="F2476" t="s">
        <v>335</v>
      </c>
      <c r="G2476" t="str">
        <f>_xlfn.XLOOKUP(TRIM(E2477),MedicineInfo!A:A,MedicineInfo!B:B,"Not Found")</f>
        <v>Multivitamin</v>
      </c>
      <c r="H2476" s="1" t="str" cm="1">
        <f t="array" ref="H2476">_xlfn.IFS(
OR(E2476="Type 2 Diabetes",E2476="Essential Hypertension",E2476="Angina Pectoris",E2476="Bronchial Asthma",E2476="Cardiac Arrhythmia"), D2476+30,
OR(E2476="Gastritis",E2476="Osteoarthritis",E2476="Bronchitis",E2476="Iron Deficiency Anemia"), D2476+14,
OR(E2476="Lumbar Strain",E2476="Migraine Headache"), D2476+7,
OR(E2476="Viral Fever",E2476="General Checkup","Routine Health Check"), "",
TRUE,""
)</f>
        <v/>
      </c>
      <c r="I2476" s="1" t="str">
        <f t="shared" si="76"/>
        <v>No Follow-up Required</v>
      </c>
      <c r="J2476" t="str">
        <f>TEXT(Table8[[#This Row],[visit_Date]],"DDDD")</f>
        <v>Friday</v>
      </c>
      <c r="K2476" t="str">
        <f>TEXT(Table8[[#This Row],[visit_Date]],"mmmm")</f>
        <v>June</v>
      </c>
      <c r="L2476" t="str">
        <f t="shared" si="77"/>
        <v>Monsoon</v>
      </c>
    </row>
    <row r="2477" spans="1:12" x14ac:dyDescent="0.25">
      <c r="A2477">
        <v>2476</v>
      </c>
      <c r="B2477">
        <v>1314</v>
      </c>
      <c r="C2477">
        <v>468</v>
      </c>
      <c r="D2477" s="1">
        <v>45686</v>
      </c>
      <c r="E2477" t="s">
        <v>24</v>
      </c>
      <c r="F2477" t="s">
        <v>321</v>
      </c>
      <c r="G2477" t="str">
        <f>_xlfn.XLOOKUP(TRIM(E2478),MedicineInfo!A:A,MedicineInfo!B:B,"Not Found")</f>
        <v>Folic Acid</v>
      </c>
      <c r="H2477" s="1" t="str" cm="1">
        <f t="array" ref="H2477">_xlfn.IFS(
OR(E2477="Type 2 Diabetes",E2477="Essential Hypertension",E2477="Angina Pectoris",E2477="Bronchial Asthma",E2477="Cardiac Arrhythmia"), D2477+30,
OR(E2477="Gastritis",E2477="Osteoarthritis",E2477="Bronchitis",E2477="Iron Deficiency Anemia"), D2477+14,
OR(E2477="Lumbar Strain",E2477="Migraine Headache"), D2477+7,
OR(E2477="Viral Fever",E2477="General Checkup","Routine Health Check"), "",
TRUE,""
)</f>
        <v/>
      </c>
      <c r="I2477" s="1" t="str">
        <f t="shared" si="76"/>
        <v>No Follow-up Required</v>
      </c>
      <c r="J2477" t="str">
        <f>TEXT(Table8[[#This Row],[visit_Date]],"DDDD")</f>
        <v>Wednesday</v>
      </c>
      <c r="K2477" t="str">
        <f>TEXT(Table8[[#This Row],[visit_Date]],"mmmm")</f>
        <v>January</v>
      </c>
      <c r="L2477" t="str">
        <f t="shared" si="77"/>
        <v>Winter</v>
      </c>
    </row>
    <row r="2478" spans="1:12" x14ac:dyDescent="0.25">
      <c r="A2478">
        <v>2477</v>
      </c>
      <c r="B2478">
        <v>1390</v>
      </c>
      <c r="C2478">
        <v>162</v>
      </c>
      <c r="D2478" s="1">
        <v>45799</v>
      </c>
      <c r="E2478" t="s">
        <v>356</v>
      </c>
      <c r="F2478" t="s">
        <v>357</v>
      </c>
      <c r="G2478" t="str">
        <f>_xlfn.XLOOKUP(TRIM(E2479),MedicineInfo!A:A,MedicineInfo!B:B,"Not Found")</f>
        <v>Multivitamin</v>
      </c>
      <c r="H2478" s="1" t="str" cm="1">
        <f t="array" ref="H2478">_xlfn.IFS(
OR(E2478="Type 2 Diabetes",E2478="Essential Hypertension",E2478="Angina Pectoris",E2478="Bronchial Asthma",E2478="Cardiac Arrhythmia"), D2478+30,
OR(E2478="Gastritis",E2478="Osteoarthritis",E2478="Bronchitis",E2478="Iron Deficiency Anemia"), D2478+14,
OR(E2478="Lumbar Strain",E2478="Migraine Headache"), D2478+7,
OR(E2478="Viral Fever",E2478="General Checkup","Routine Health Check"), "",
TRUE,""
)</f>
        <v/>
      </c>
      <c r="I2478" s="1" t="str">
        <f t="shared" si="76"/>
        <v>No Follow-up Required</v>
      </c>
      <c r="J2478" t="str">
        <f>TEXT(Table8[[#This Row],[visit_Date]],"DDDD")</f>
        <v>Thursday</v>
      </c>
      <c r="K2478" t="str">
        <f>TEXT(Table8[[#This Row],[visit_Date]],"mmmm")</f>
        <v>May</v>
      </c>
      <c r="L2478" t="str">
        <f t="shared" si="77"/>
        <v>Summer</v>
      </c>
    </row>
    <row r="2479" spans="1:12" x14ac:dyDescent="0.25">
      <c r="A2479">
        <v>2478</v>
      </c>
      <c r="B2479">
        <v>1386</v>
      </c>
      <c r="C2479">
        <v>1493</v>
      </c>
      <c r="D2479" s="1">
        <v>45814</v>
      </c>
      <c r="E2479" t="s">
        <v>24</v>
      </c>
      <c r="F2479" t="s">
        <v>321</v>
      </c>
      <c r="G2479" t="str">
        <f>_xlfn.XLOOKUP(TRIM(E2480),MedicineInfo!A:A,MedicineInfo!B:B,"Not Found")</f>
        <v>Multivitamin</v>
      </c>
      <c r="H2479" s="1" t="str" cm="1">
        <f t="array" ref="H2479">_xlfn.IFS(
OR(E2479="Type 2 Diabetes",E2479="Essential Hypertension",E2479="Angina Pectoris",E2479="Bronchial Asthma",E2479="Cardiac Arrhythmia"), D2479+30,
OR(E2479="Gastritis",E2479="Osteoarthritis",E2479="Bronchitis",E2479="Iron Deficiency Anemia"), D2479+14,
OR(E2479="Lumbar Strain",E2479="Migraine Headache"), D2479+7,
OR(E2479="Viral Fever",E2479="General Checkup","Routine Health Check"), "",
TRUE,""
)</f>
        <v/>
      </c>
      <c r="I2479" s="1" t="str">
        <f t="shared" si="76"/>
        <v>No Follow-up Required</v>
      </c>
      <c r="J2479" t="str">
        <f>TEXT(Table8[[#This Row],[visit_Date]],"DDDD")</f>
        <v>Friday</v>
      </c>
      <c r="K2479" t="str">
        <f>TEXT(Table8[[#This Row],[visit_Date]],"mmmm")</f>
        <v>June</v>
      </c>
      <c r="L2479" t="str">
        <f t="shared" si="77"/>
        <v>Monsoon</v>
      </c>
    </row>
    <row r="2480" spans="1:12" x14ac:dyDescent="0.25">
      <c r="A2480">
        <v>2479</v>
      </c>
      <c r="B2480">
        <v>1304</v>
      </c>
      <c r="C2480">
        <v>102</v>
      </c>
      <c r="D2480" s="1">
        <v>45799</v>
      </c>
      <c r="E2480" t="s">
        <v>24</v>
      </c>
      <c r="F2480" t="s">
        <v>321</v>
      </c>
      <c r="G2480" t="str">
        <f>_xlfn.XLOOKUP(TRIM(E2481),MedicineInfo!A:A,MedicineInfo!B:B,"Not Found")</f>
        <v>Multivitamin</v>
      </c>
      <c r="H2480" s="1" t="str" cm="1">
        <f t="array" ref="H2480">_xlfn.IFS(
OR(E2480="Type 2 Diabetes",E2480="Essential Hypertension",E2480="Angina Pectoris",E2480="Bronchial Asthma",E2480="Cardiac Arrhythmia"), D2480+30,
OR(E2480="Gastritis",E2480="Osteoarthritis",E2480="Bronchitis",E2480="Iron Deficiency Anemia"), D2480+14,
OR(E2480="Lumbar Strain",E2480="Migraine Headache"), D2480+7,
OR(E2480="Viral Fever",E2480="General Checkup","Routine Health Check"), "",
TRUE,""
)</f>
        <v/>
      </c>
      <c r="I2480" s="1" t="str">
        <f t="shared" si="76"/>
        <v>No Follow-up Required</v>
      </c>
      <c r="J2480" t="str">
        <f>TEXT(Table8[[#This Row],[visit_Date]],"DDDD")</f>
        <v>Thursday</v>
      </c>
      <c r="K2480" t="str">
        <f>TEXT(Table8[[#This Row],[visit_Date]],"mmmm")</f>
        <v>May</v>
      </c>
      <c r="L2480" t="str">
        <f t="shared" si="77"/>
        <v>Summer</v>
      </c>
    </row>
    <row r="2481" spans="1:12" x14ac:dyDescent="0.25">
      <c r="A2481">
        <v>2480</v>
      </c>
      <c r="B2481">
        <v>1219</v>
      </c>
      <c r="C2481">
        <v>1398</v>
      </c>
      <c r="D2481" s="1">
        <v>45691</v>
      </c>
      <c r="E2481" t="s">
        <v>24</v>
      </c>
      <c r="F2481" t="s">
        <v>321</v>
      </c>
      <c r="G2481" t="str">
        <f>_xlfn.XLOOKUP(TRIM(E2482),MedicineInfo!A:A,MedicineInfo!B:B,"Not Found")</f>
        <v>Multivitamin</v>
      </c>
      <c r="H2481" s="1" t="str" cm="1">
        <f t="array" ref="H2481">_xlfn.IFS(
OR(E2481="Type 2 Diabetes",E2481="Essential Hypertension",E2481="Angina Pectoris",E2481="Bronchial Asthma",E2481="Cardiac Arrhythmia"), D2481+30,
OR(E2481="Gastritis",E2481="Osteoarthritis",E2481="Bronchitis",E2481="Iron Deficiency Anemia"), D2481+14,
OR(E2481="Lumbar Strain",E2481="Migraine Headache"), D2481+7,
OR(E2481="Viral Fever",E2481="General Checkup","Routine Health Check"), "",
TRUE,""
)</f>
        <v/>
      </c>
      <c r="I2481" s="1" t="str">
        <f t="shared" si="76"/>
        <v>No Follow-up Required</v>
      </c>
      <c r="J2481" t="str">
        <f>TEXT(Table8[[#This Row],[visit_Date]],"DDDD")</f>
        <v>Monday</v>
      </c>
      <c r="K2481" t="str">
        <f>TEXT(Table8[[#This Row],[visit_Date]],"mmmm")</f>
        <v>February</v>
      </c>
      <c r="L2481" t="str">
        <f t="shared" si="77"/>
        <v>Winter</v>
      </c>
    </row>
    <row r="2482" spans="1:12" x14ac:dyDescent="0.25">
      <c r="A2482">
        <v>2481</v>
      </c>
      <c r="B2482">
        <v>1397</v>
      </c>
      <c r="C2482">
        <v>1464</v>
      </c>
      <c r="D2482" s="1">
        <v>45792</v>
      </c>
      <c r="E2482" t="s">
        <v>24</v>
      </c>
      <c r="F2482" t="s">
        <v>321</v>
      </c>
      <c r="G2482" t="str">
        <f>_xlfn.XLOOKUP(TRIM(E2483),MedicineInfo!A:A,MedicineInfo!B:B,"Not Found")</f>
        <v>Multivitamin</v>
      </c>
      <c r="H2482" s="1" t="str" cm="1">
        <f t="array" ref="H2482">_xlfn.IFS(
OR(E2482="Type 2 Diabetes",E2482="Essential Hypertension",E2482="Angina Pectoris",E2482="Bronchial Asthma",E2482="Cardiac Arrhythmia"), D2482+30,
OR(E2482="Gastritis",E2482="Osteoarthritis",E2482="Bronchitis",E2482="Iron Deficiency Anemia"), D2482+14,
OR(E2482="Lumbar Strain",E2482="Migraine Headache"), D2482+7,
OR(E2482="Viral Fever",E2482="General Checkup","Routine Health Check"), "",
TRUE,""
)</f>
        <v/>
      </c>
      <c r="I2482" s="1" t="str">
        <f t="shared" si="76"/>
        <v>No Follow-up Required</v>
      </c>
      <c r="J2482" t="str">
        <f>TEXT(Table8[[#This Row],[visit_Date]],"DDDD")</f>
        <v>Thursday</v>
      </c>
      <c r="K2482" t="str">
        <f>TEXT(Table8[[#This Row],[visit_Date]],"mmmm")</f>
        <v>May</v>
      </c>
      <c r="L2482" t="str">
        <f t="shared" si="77"/>
        <v>Summer</v>
      </c>
    </row>
    <row r="2483" spans="1:12" x14ac:dyDescent="0.25">
      <c r="A2483">
        <v>2482</v>
      </c>
      <c r="B2483">
        <v>1128</v>
      </c>
      <c r="C2483">
        <v>1390</v>
      </c>
      <c r="D2483" s="1">
        <v>45702</v>
      </c>
      <c r="E2483" t="s">
        <v>24</v>
      </c>
      <c r="F2483" t="s">
        <v>321</v>
      </c>
      <c r="G2483" t="str">
        <f>_xlfn.XLOOKUP(TRIM(E2484),MedicineInfo!A:A,MedicineInfo!B:B,"Not Found")</f>
        <v>Neuro Vitamins</v>
      </c>
      <c r="H2483" s="1" t="str" cm="1">
        <f t="array" ref="H2483">_xlfn.IFS(
OR(E2483="Type 2 Diabetes",E2483="Essential Hypertension",E2483="Angina Pectoris",E2483="Bronchial Asthma",E2483="Cardiac Arrhythmia"), D2483+30,
OR(E2483="Gastritis",E2483="Osteoarthritis",E2483="Bronchitis",E2483="Iron Deficiency Anemia"), D2483+14,
OR(E2483="Lumbar Strain",E2483="Migraine Headache"), D2483+7,
OR(E2483="Viral Fever",E2483="General Checkup","Routine Health Check"), "",
TRUE,""
)</f>
        <v/>
      </c>
      <c r="I2483" s="1" t="str">
        <f t="shared" si="76"/>
        <v>No Follow-up Required</v>
      </c>
      <c r="J2483" t="str">
        <f>TEXT(Table8[[#This Row],[visit_Date]],"DDDD")</f>
        <v>Friday</v>
      </c>
      <c r="K2483" t="str">
        <f>TEXT(Table8[[#This Row],[visit_Date]],"mmmm")</f>
        <v>February</v>
      </c>
      <c r="L2483" t="str">
        <f t="shared" si="77"/>
        <v>Winter</v>
      </c>
    </row>
    <row r="2484" spans="1:12" x14ac:dyDescent="0.25">
      <c r="A2484">
        <v>2483</v>
      </c>
      <c r="B2484">
        <v>1187</v>
      </c>
      <c r="C2484">
        <v>658</v>
      </c>
      <c r="D2484" s="1">
        <v>45818</v>
      </c>
      <c r="E2484" t="s">
        <v>342</v>
      </c>
      <c r="F2484" t="s">
        <v>343</v>
      </c>
      <c r="G2484" t="str">
        <f>_xlfn.XLOOKUP(TRIM(E2485),MedicineInfo!A:A,MedicineInfo!B:B,"Not Found")</f>
        <v>Multivitamin</v>
      </c>
      <c r="H2484" s="1" t="str" cm="1">
        <f t="array" ref="H2484">_xlfn.IFS(
OR(E2484="Type 2 Diabetes",E2484="Essential Hypertension",E2484="Angina Pectoris",E2484="Bronchial Asthma",E2484="Cardiac Arrhythmia"), D2484+30,
OR(E2484="Gastritis",E2484="Osteoarthritis",E2484="Bronchitis",E2484="Iron Deficiency Anemia"), D2484+14,
OR(E2484="Lumbar Strain",E2484="Migraine Headache"), D2484+7,
OR(E2484="Viral Fever",E2484="General Checkup","Routine Health Check"), "",
TRUE,""
)</f>
        <v/>
      </c>
      <c r="I2484" s="1" t="str">
        <f t="shared" si="76"/>
        <v>No Follow-up Required</v>
      </c>
      <c r="J2484" t="str">
        <f>TEXT(Table8[[#This Row],[visit_Date]],"DDDD")</f>
        <v>Tuesday</v>
      </c>
      <c r="K2484" t="str">
        <f>TEXT(Table8[[#This Row],[visit_Date]],"mmmm")</f>
        <v>June</v>
      </c>
      <c r="L2484" t="str">
        <f t="shared" si="77"/>
        <v>Monsoon</v>
      </c>
    </row>
    <row r="2485" spans="1:12" x14ac:dyDescent="0.25">
      <c r="A2485">
        <v>2484</v>
      </c>
      <c r="B2485">
        <v>1199</v>
      </c>
      <c r="C2485">
        <v>850</v>
      </c>
      <c r="D2485" s="1">
        <v>45758</v>
      </c>
      <c r="E2485" t="s">
        <v>24</v>
      </c>
      <c r="F2485" t="s">
        <v>321</v>
      </c>
      <c r="G2485" t="str">
        <f>_xlfn.XLOOKUP(TRIM(E2486),MedicineInfo!A:A,MedicineInfo!B:B,"Not Found")</f>
        <v>Multivitamin</v>
      </c>
      <c r="H2485" s="1" t="str" cm="1">
        <f t="array" ref="H2485">_xlfn.IFS(
OR(E2485="Type 2 Diabetes",E2485="Essential Hypertension",E2485="Angina Pectoris",E2485="Bronchial Asthma",E2485="Cardiac Arrhythmia"), D2485+30,
OR(E2485="Gastritis",E2485="Osteoarthritis",E2485="Bronchitis",E2485="Iron Deficiency Anemia"), D2485+14,
OR(E2485="Lumbar Strain",E2485="Migraine Headache"), D2485+7,
OR(E2485="Viral Fever",E2485="General Checkup","Routine Health Check"), "",
TRUE,""
)</f>
        <v/>
      </c>
      <c r="I2485" s="1" t="str">
        <f t="shared" si="76"/>
        <v>No Follow-up Required</v>
      </c>
      <c r="J2485" t="str">
        <f>TEXT(Table8[[#This Row],[visit_Date]],"DDDD")</f>
        <v>Friday</v>
      </c>
      <c r="K2485" t="str">
        <f>TEXT(Table8[[#This Row],[visit_Date]],"mmmm")</f>
        <v>April</v>
      </c>
      <c r="L2485" t="str">
        <f t="shared" si="77"/>
        <v>Summer</v>
      </c>
    </row>
    <row r="2486" spans="1:12" x14ac:dyDescent="0.25">
      <c r="A2486">
        <v>2485</v>
      </c>
      <c r="B2486">
        <v>1221</v>
      </c>
      <c r="C2486">
        <v>1007</v>
      </c>
      <c r="D2486" s="1">
        <v>45819</v>
      </c>
      <c r="E2486" t="s">
        <v>24</v>
      </c>
      <c r="F2486" t="s">
        <v>321</v>
      </c>
      <c r="G2486" t="str">
        <f>_xlfn.XLOOKUP(TRIM(E2487),MedicineInfo!A:A,MedicineInfo!B:B,"Not Found")</f>
        <v>Multivitamin</v>
      </c>
      <c r="H2486" s="1" t="str" cm="1">
        <f t="array" ref="H2486">_xlfn.IFS(
OR(E2486="Type 2 Diabetes",E2486="Essential Hypertension",E2486="Angina Pectoris",E2486="Bronchial Asthma",E2486="Cardiac Arrhythmia"), D2486+30,
OR(E2486="Gastritis",E2486="Osteoarthritis",E2486="Bronchitis",E2486="Iron Deficiency Anemia"), D2486+14,
OR(E2486="Lumbar Strain",E2486="Migraine Headache"), D2486+7,
OR(E2486="Viral Fever",E2486="General Checkup","Routine Health Check"), "",
TRUE,""
)</f>
        <v/>
      </c>
      <c r="I2486" s="1" t="str">
        <f t="shared" si="76"/>
        <v>No Follow-up Required</v>
      </c>
      <c r="J2486" t="str">
        <f>TEXT(Table8[[#This Row],[visit_Date]],"DDDD")</f>
        <v>Wednesday</v>
      </c>
      <c r="K2486" t="str">
        <f>TEXT(Table8[[#This Row],[visit_Date]],"mmmm")</f>
        <v>June</v>
      </c>
      <c r="L2486" t="str">
        <f t="shared" si="77"/>
        <v>Monsoon</v>
      </c>
    </row>
    <row r="2487" spans="1:12" x14ac:dyDescent="0.25">
      <c r="A2487">
        <v>2486</v>
      </c>
      <c r="B2487">
        <v>1286</v>
      </c>
      <c r="C2487">
        <v>1168</v>
      </c>
      <c r="D2487" s="1">
        <v>45819</v>
      </c>
      <c r="E2487" t="s">
        <v>24</v>
      </c>
      <c r="F2487" t="s">
        <v>321</v>
      </c>
      <c r="G2487" t="str">
        <f>_xlfn.XLOOKUP(TRIM(E2488),MedicineInfo!A:A,MedicineInfo!B:B,"Not Found")</f>
        <v>Multivitamin</v>
      </c>
      <c r="H2487" s="1" t="str" cm="1">
        <f t="array" ref="H2487">_xlfn.IFS(
OR(E2487="Type 2 Diabetes",E2487="Essential Hypertension",E2487="Angina Pectoris",E2487="Bronchial Asthma",E2487="Cardiac Arrhythmia"), D2487+30,
OR(E2487="Gastritis",E2487="Osteoarthritis",E2487="Bronchitis",E2487="Iron Deficiency Anemia"), D2487+14,
OR(E2487="Lumbar Strain",E2487="Migraine Headache"), D2487+7,
OR(E2487="Viral Fever",E2487="General Checkup","Routine Health Check"), "",
TRUE,""
)</f>
        <v/>
      </c>
      <c r="I2487" s="1" t="str">
        <f t="shared" si="76"/>
        <v>No Follow-up Required</v>
      </c>
      <c r="J2487" t="str">
        <f>TEXT(Table8[[#This Row],[visit_Date]],"DDDD")</f>
        <v>Wednesday</v>
      </c>
      <c r="K2487" t="str">
        <f>TEXT(Table8[[#This Row],[visit_Date]],"mmmm")</f>
        <v>June</v>
      </c>
      <c r="L2487" t="str">
        <f t="shared" si="77"/>
        <v>Monsoon</v>
      </c>
    </row>
    <row r="2488" spans="1:12" x14ac:dyDescent="0.25">
      <c r="A2488">
        <v>2487</v>
      </c>
      <c r="B2488">
        <v>1396</v>
      </c>
      <c r="C2488">
        <v>1559</v>
      </c>
      <c r="D2488" s="1">
        <v>45672</v>
      </c>
      <c r="E2488" t="s">
        <v>24</v>
      </c>
      <c r="F2488" t="s">
        <v>321</v>
      </c>
      <c r="G2488" t="str">
        <f>_xlfn.XLOOKUP(TRIM(E2489),MedicineInfo!A:A,MedicineInfo!B:B,"Not Found")</f>
        <v>Multivitamin</v>
      </c>
      <c r="H2488" s="1" t="str" cm="1">
        <f t="array" ref="H2488">_xlfn.IFS(
OR(E2488="Type 2 Diabetes",E2488="Essential Hypertension",E2488="Angina Pectoris",E2488="Bronchial Asthma",E2488="Cardiac Arrhythmia"), D2488+30,
OR(E2488="Gastritis",E2488="Osteoarthritis",E2488="Bronchitis",E2488="Iron Deficiency Anemia"), D2488+14,
OR(E2488="Lumbar Strain",E2488="Migraine Headache"), D2488+7,
OR(E2488="Viral Fever",E2488="General Checkup","Routine Health Check"), "",
TRUE,""
)</f>
        <v/>
      </c>
      <c r="I2488" s="1" t="str">
        <f t="shared" si="76"/>
        <v>No Follow-up Required</v>
      </c>
      <c r="J2488" t="str">
        <f>TEXT(Table8[[#This Row],[visit_Date]],"DDDD")</f>
        <v>Wednesday</v>
      </c>
      <c r="K2488" t="str">
        <f>TEXT(Table8[[#This Row],[visit_Date]],"mmmm")</f>
        <v>January</v>
      </c>
      <c r="L2488" t="str">
        <f t="shared" si="77"/>
        <v>Winter</v>
      </c>
    </row>
    <row r="2489" spans="1:12" x14ac:dyDescent="0.25">
      <c r="A2489">
        <v>2488</v>
      </c>
      <c r="B2489">
        <v>1277</v>
      </c>
      <c r="C2489">
        <v>908</v>
      </c>
      <c r="D2489" s="1">
        <v>45853</v>
      </c>
      <c r="E2489" t="s">
        <v>24</v>
      </c>
      <c r="F2489" t="s">
        <v>321</v>
      </c>
      <c r="G2489" t="str">
        <f>_xlfn.XLOOKUP(TRIM(E2490),MedicineInfo!A:A,MedicineInfo!B:B,"Not Found")</f>
        <v>Hydrocortisone Cream</v>
      </c>
      <c r="H2489" s="1" t="str" cm="1">
        <f t="array" ref="H2489">_xlfn.IFS(
OR(E2489="Type 2 Diabetes",E2489="Essential Hypertension",E2489="Angina Pectoris",E2489="Bronchial Asthma",E2489="Cardiac Arrhythmia"), D2489+30,
OR(E2489="Gastritis",E2489="Osteoarthritis",E2489="Bronchitis",E2489="Iron Deficiency Anemia"), D2489+14,
OR(E2489="Lumbar Strain",E2489="Migraine Headache"), D2489+7,
OR(E2489="Viral Fever",E2489="General Checkup","Routine Health Check"), "",
TRUE,""
)</f>
        <v/>
      </c>
      <c r="I2489" s="1" t="str">
        <f t="shared" si="76"/>
        <v>No Follow-up Required</v>
      </c>
      <c r="J2489" t="str">
        <f>TEXT(Table8[[#This Row],[visit_Date]],"DDDD")</f>
        <v>Tuesday</v>
      </c>
      <c r="K2489" t="str">
        <f>TEXT(Table8[[#This Row],[visit_Date]],"mmmm")</f>
        <v>July</v>
      </c>
      <c r="L2489" t="str">
        <f t="shared" si="77"/>
        <v>Monsoon</v>
      </c>
    </row>
    <row r="2490" spans="1:12" x14ac:dyDescent="0.25">
      <c r="A2490">
        <v>2489</v>
      </c>
      <c r="B2490">
        <v>1226</v>
      </c>
      <c r="C2490">
        <v>1381</v>
      </c>
      <c r="D2490" s="1">
        <v>45790</v>
      </c>
      <c r="E2490" t="s">
        <v>338</v>
      </c>
      <c r="F2490" t="s">
        <v>339</v>
      </c>
      <c r="G2490" t="str">
        <f>_xlfn.XLOOKUP(TRIM(E2491),MedicineInfo!A:A,MedicineInfo!B:B,"Not Found")</f>
        <v>Multivitamin</v>
      </c>
      <c r="H2490" s="1" t="str" cm="1">
        <f t="array" ref="H2490">_xlfn.IFS(
OR(E2490="Type 2 Diabetes",E2490="Essential Hypertension",E2490="Angina Pectoris",E2490="Bronchial Asthma",E2490="Cardiac Arrhythmia"), D2490+30,
OR(E2490="Gastritis",E2490="Osteoarthritis",E2490="Bronchitis",E2490="Iron Deficiency Anemia"), D2490+14,
OR(E2490="Lumbar Strain",E2490="Migraine Headache"), D2490+7,
OR(E2490="Viral Fever",E2490="General Checkup","Routine Health Check"), "",
TRUE,""
)</f>
        <v/>
      </c>
      <c r="I2490" s="1" t="str">
        <f t="shared" si="76"/>
        <v>No Follow-up Required</v>
      </c>
      <c r="J2490" t="str">
        <f>TEXT(Table8[[#This Row],[visit_Date]],"DDDD")</f>
        <v>Tuesday</v>
      </c>
      <c r="K2490" t="str">
        <f>TEXT(Table8[[#This Row],[visit_Date]],"mmmm")</f>
        <v>May</v>
      </c>
      <c r="L2490" t="str">
        <f t="shared" si="77"/>
        <v>Summer</v>
      </c>
    </row>
    <row r="2491" spans="1:12" x14ac:dyDescent="0.25">
      <c r="A2491">
        <v>2490</v>
      </c>
      <c r="B2491">
        <v>1343</v>
      </c>
      <c r="C2491">
        <v>992</v>
      </c>
      <c r="D2491" s="1">
        <v>45709</v>
      </c>
      <c r="E2491" t="s">
        <v>24</v>
      </c>
      <c r="F2491" t="s">
        <v>321</v>
      </c>
      <c r="G2491" t="str">
        <f>_xlfn.XLOOKUP(TRIM(E2492),MedicineInfo!A:A,MedicineInfo!B:B,"Not Found")</f>
        <v>Aceclofenac</v>
      </c>
      <c r="H2491" s="1" t="str" cm="1">
        <f t="array" ref="H2491">_xlfn.IFS(
OR(E2491="Type 2 Diabetes",E2491="Essential Hypertension",E2491="Angina Pectoris",E2491="Bronchial Asthma",E2491="Cardiac Arrhythmia"), D2491+30,
OR(E2491="Gastritis",E2491="Osteoarthritis",E2491="Bronchitis",E2491="Iron Deficiency Anemia"), D2491+14,
OR(E2491="Lumbar Strain",E2491="Migraine Headache"), D2491+7,
OR(E2491="Viral Fever",E2491="General Checkup","Routine Health Check"), "",
TRUE,""
)</f>
        <v/>
      </c>
      <c r="I2491" s="1" t="str">
        <f t="shared" si="76"/>
        <v>No Follow-up Required</v>
      </c>
      <c r="J2491" t="str">
        <f>TEXT(Table8[[#This Row],[visit_Date]],"DDDD")</f>
        <v>Friday</v>
      </c>
      <c r="K2491" t="str">
        <f>TEXT(Table8[[#This Row],[visit_Date]],"mmmm")</f>
        <v>February</v>
      </c>
      <c r="L2491" t="str">
        <f t="shared" si="77"/>
        <v>Winter</v>
      </c>
    </row>
    <row r="2492" spans="1:12" x14ac:dyDescent="0.25">
      <c r="A2492">
        <v>2491</v>
      </c>
      <c r="B2492">
        <v>1028</v>
      </c>
      <c r="C2492">
        <v>226</v>
      </c>
      <c r="D2492" s="1">
        <v>45790</v>
      </c>
      <c r="E2492" t="s">
        <v>348</v>
      </c>
      <c r="F2492" t="s">
        <v>349</v>
      </c>
      <c r="G2492" t="str">
        <f>_xlfn.XLOOKUP(TRIM(E2493),MedicineInfo!A:A,MedicineInfo!B:B,"Not Found")</f>
        <v>Multivitamin</v>
      </c>
      <c r="H2492" s="1" cm="1">
        <f t="array" ref="H2492">_xlfn.IFS(
OR(E2492="Type 2 Diabetes",E2492="Essential Hypertension",E2492="Angina Pectoris",E2492="Bronchial Asthma",E2492="Cardiac Arrhythmia"), D2492+30,
OR(E2492="Gastritis",E2492="Osteoarthritis",E2492="Bronchitis",E2492="Iron Deficiency Anemia"), D2492+14,
OR(E2492="Lumbar Strain",E2492="Migraine Headache"), D2492+7,
OR(E2492="Viral Fever",E2492="General Checkup","Routine Health Check"), "",
TRUE,""
)</f>
        <v>45804</v>
      </c>
      <c r="I2492" s="1" t="str">
        <f t="shared" si="76"/>
        <v>Follow-up Scheduled</v>
      </c>
      <c r="J2492" t="str">
        <f>TEXT(Table8[[#This Row],[visit_Date]],"DDDD")</f>
        <v>Tuesday</v>
      </c>
      <c r="K2492" t="str">
        <f>TEXT(Table8[[#This Row],[visit_Date]],"mmmm")</f>
        <v>May</v>
      </c>
      <c r="L2492" t="str">
        <f t="shared" si="77"/>
        <v>Summer</v>
      </c>
    </row>
    <row r="2493" spans="1:12" x14ac:dyDescent="0.25">
      <c r="A2493">
        <v>2492</v>
      </c>
      <c r="B2493">
        <v>1227</v>
      </c>
      <c r="C2493">
        <v>977</v>
      </c>
      <c r="D2493" s="1">
        <v>45694</v>
      </c>
      <c r="E2493" t="s">
        <v>24</v>
      </c>
      <c r="F2493" t="s">
        <v>321</v>
      </c>
      <c r="G2493" t="str">
        <f>_xlfn.XLOOKUP(TRIM(E2494),MedicineInfo!A:A,MedicineInfo!B:B,"Not Found")</f>
        <v>Multivitamin</v>
      </c>
      <c r="H2493" s="1" t="str" cm="1">
        <f t="array" ref="H2493">_xlfn.IFS(
OR(E2493="Type 2 Diabetes",E2493="Essential Hypertension",E2493="Angina Pectoris",E2493="Bronchial Asthma",E2493="Cardiac Arrhythmia"), D2493+30,
OR(E2493="Gastritis",E2493="Osteoarthritis",E2493="Bronchitis",E2493="Iron Deficiency Anemia"), D2493+14,
OR(E2493="Lumbar Strain",E2493="Migraine Headache"), D2493+7,
OR(E2493="Viral Fever",E2493="General Checkup","Routine Health Check"), "",
TRUE,""
)</f>
        <v/>
      </c>
      <c r="I2493" s="1" t="str">
        <f t="shared" si="76"/>
        <v>No Follow-up Required</v>
      </c>
      <c r="J2493" t="str">
        <f>TEXT(Table8[[#This Row],[visit_Date]],"DDDD")</f>
        <v>Thursday</v>
      </c>
      <c r="K2493" t="str">
        <f>TEXT(Table8[[#This Row],[visit_Date]],"mmmm")</f>
        <v>February</v>
      </c>
      <c r="L2493" t="str">
        <f t="shared" si="77"/>
        <v>Winter</v>
      </c>
    </row>
    <row r="2494" spans="1:12" x14ac:dyDescent="0.25">
      <c r="A2494">
        <v>2493</v>
      </c>
      <c r="B2494">
        <v>1317</v>
      </c>
      <c r="C2494">
        <v>483</v>
      </c>
      <c r="D2494" s="1">
        <v>45754</v>
      </c>
      <c r="E2494" t="s">
        <v>24</v>
      </c>
      <c r="F2494" t="s">
        <v>321</v>
      </c>
      <c r="G2494" t="str">
        <f>_xlfn.XLOOKUP(TRIM(E2495),MedicineInfo!A:A,MedicineInfo!B:B,"Not Found")</f>
        <v>Multivitamin</v>
      </c>
      <c r="H2494" s="1" t="str" cm="1">
        <f t="array" ref="H2494">_xlfn.IFS(
OR(E2494="Type 2 Diabetes",E2494="Essential Hypertension",E2494="Angina Pectoris",E2494="Bronchial Asthma",E2494="Cardiac Arrhythmia"), D2494+30,
OR(E2494="Gastritis",E2494="Osteoarthritis",E2494="Bronchitis",E2494="Iron Deficiency Anemia"), D2494+14,
OR(E2494="Lumbar Strain",E2494="Migraine Headache"), D2494+7,
OR(E2494="Viral Fever",E2494="General Checkup","Routine Health Check"), "",
TRUE,""
)</f>
        <v/>
      </c>
      <c r="I2494" s="1" t="str">
        <f t="shared" si="76"/>
        <v>No Follow-up Required</v>
      </c>
      <c r="J2494" t="str">
        <f>TEXT(Table8[[#This Row],[visit_Date]],"DDDD")</f>
        <v>Monday</v>
      </c>
      <c r="K2494" t="str">
        <f>TEXT(Table8[[#This Row],[visit_Date]],"mmmm")</f>
        <v>April</v>
      </c>
      <c r="L2494" t="str">
        <f t="shared" si="77"/>
        <v>Summer</v>
      </c>
    </row>
    <row r="2495" spans="1:12" x14ac:dyDescent="0.25">
      <c r="A2495">
        <v>2494</v>
      </c>
      <c r="B2495">
        <v>1191</v>
      </c>
      <c r="C2495">
        <v>518</v>
      </c>
      <c r="D2495" s="1">
        <v>45681</v>
      </c>
      <c r="E2495" t="s">
        <v>24</v>
      </c>
      <c r="F2495" t="s">
        <v>321</v>
      </c>
      <c r="G2495" t="str">
        <f>_xlfn.XLOOKUP(TRIM(E2496),MedicineInfo!A:A,MedicineInfo!B:B,"Not Found")</f>
        <v>Multivitamin</v>
      </c>
      <c r="H2495" s="1" t="str" cm="1">
        <f t="array" ref="H2495">_xlfn.IFS(
OR(E2495="Type 2 Diabetes",E2495="Essential Hypertension",E2495="Angina Pectoris",E2495="Bronchial Asthma",E2495="Cardiac Arrhythmia"), D2495+30,
OR(E2495="Gastritis",E2495="Osteoarthritis",E2495="Bronchitis",E2495="Iron Deficiency Anemia"), D2495+14,
OR(E2495="Lumbar Strain",E2495="Migraine Headache"), D2495+7,
OR(E2495="Viral Fever",E2495="General Checkup","Routine Health Check"), "",
TRUE,""
)</f>
        <v/>
      </c>
      <c r="I2495" s="1" t="str">
        <f t="shared" si="76"/>
        <v>No Follow-up Required</v>
      </c>
      <c r="J2495" t="str">
        <f>TEXT(Table8[[#This Row],[visit_Date]],"DDDD")</f>
        <v>Friday</v>
      </c>
      <c r="K2495" t="str">
        <f>TEXT(Table8[[#This Row],[visit_Date]],"mmmm")</f>
        <v>January</v>
      </c>
      <c r="L2495" t="str">
        <f t="shared" si="77"/>
        <v>Winter</v>
      </c>
    </row>
    <row r="2496" spans="1:12" x14ac:dyDescent="0.25">
      <c r="A2496">
        <v>2495</v>
      </c>
      <c r="B2496">
        <v>1291</v>
      </c>
      <c r="C2496">
        <v>254</v>
      </c>
      <c r="D2496" s="1">
        <v>45669</v>
      </c>
      <c r="E2496" t="s">
        <v>24</v>
      </c>
      <c r="F2496" t="s">
        <v>321</v>
      </c>
      <c r="G2496" t="str">
        <f>_xlfn.XLOOKUP(TRIM(E2497),MedicineInfo!A:A,MedicineInfo!B:B,"Not Found")</f>
        <v>Multivitamin</v>
      </c>
      <c r="H2496" s="1" t="str" cm="1">
        <f t="array" ref="H2496">_xlfn.IFS(
OR(E2496="Type 2 Diabetes",E2496="Essential Hypertension",E2496="Angina Pectoris",E2496="Bronchial Asthma",E2496="Cardiac Arrhythmia"), D2496+30,
OR(E2496="Gastritis",E2496="Osteoarthritis",E2496="Bronchitis",E2496="Iron Deficiency Anemia"), D2496+14,
OR(E2496="Lumbar Strain",E2496="Migraine Headache"), D2496+7,
OR(E2496="Viral Fever",E2496="General Checkup","Routine Health Check"), "",
TRUE,""
)</f>
        <v/>
      </c>
      <c r="I2496" s="1" t="str">
        <f t="shared" si="76"/>
        <v>No Follow-up Required</v>
      </c>
      <c r="J2496" t="str">
        <f>TEXT(Table8[[#This Row],[visit_Date]],"DDDD")</f>
        <v>Sunday</v>
      </c>
      <c r="K2496" t="str">
        <f>TEXT(Table8[[#This Row],[visit_Date]],"mmmm")</f>
        <v>January</v>
      </c>
      <c r="L2496" t="str">
        <f t="shared" si="77"/>
        <v>Winter</v>
      </c>
    </row>
    <row r="2497" spans="1:12" x14ac:dyDescent="0.25">
      <c r="A2497">
        <v>2496</v>
      </c>
      <c r="B2497">
        <v>1059</v>
      </c>
      <c r="C2497">
        <v>1182</v>
      </c>
      <c r="D2497" s="1">
        <v>45781</v>
      </c>
      <c r="E2497" t="s">
        <v>24</v>
      </c>
      <c r="F2497" t="s">
        <v>321</v>
      </c>
      <c r="G2497" t="str">
        <f>_xlfn.XLOOKUP(TRIM(E2498),MedicineInfo!A:A,MedicineInfo!B:B,"Not Found")</f>
        <v>Multivitamin</v>
      </c>
      <c r="H2497" s="1" t="str" cm="1">
        <f t="array" ref="H2497">_xlfn.IFS(
OR(E2497="Type 2 Diabetes",E2497="Essential Hypertension",E2497="Angina Pectoris",E2497="Bronchial Asthma",E2497="Cardiac Arrhythmia"), D2497+30,
OR(E2497="Gastritis",E2497="Osteoarthritis",E2497="Bronchitis",E2497="Iron Deficiency Anemia"), D2497+14,
OR(E2497="Lumbar Strain",E2497="Migraine Headache"), D2497+7,
OR(E2497="Viral Fever",E2497="General Checkup","Routine Health Check"), "",
TRUE,""
)</f>
        <v/>
      </c>
      <c r="I2497" s="1" t="str">
        <f t="shared" si="76"/>
        <v>No Follow-up Required</v>
      </c>
      <c r="J2497" t="str">
        <f>TEXT(Table8[[#This Row],[visit_Date]],"DDDD")</f>
        <v>Sunday</v>
      </c>
      <c r="K2497" t="str">
        <f>TEXT(Table8[[#This Row],[visit_Date]],"mmmm")</f>
        <v>May</v>
      </c>
      <c r="L2497" t="str">
        <f t="shared" si="77"/>
        <v>Summer</v>
      </c>
    </row>
    <row r="2498" spans="1:12" x14ac:dyDescent="0.25">
      <c r="A2498">
        <v>2497</v>
      </c>
      <c r="B2498">
        <v>1148</v>
      </c>
      <c r="C2498">
        <v>499</v>
      </c>
      <c r="D2498" s="1">
        <v>45672</v>
      </c>
      <c r="E2498" t="s">
        <v>24</v>
      </c>
      <c r="F2498" t="s">
        <v>321</v>
      </c>
      <c r="G2498" t="str">
        <f>_xlfn.XLOOKUP(TRIM(E2499),MedicineInfo!A:A,MedicineInfo!B:B,"Not Found")</f>
        <v>Multivitamin</v>
      </c>
      <c r="H2498" s="1" t="str" cm="1">
        <f t="array" ref="H2498">_xlfn.IFS(
OR(E2498="Type 2 Diabetes",E2498="Essential Hypertension",E2498="Angina Pectoris",E2498="Bronchial Asthma",E2498="Cardiac Arrhythmia"), D2498+30,
OR(E2498="Gastritis",E2498="Osteoarthritis",E2498="Bronchitis",E2498="Iron Deficiency Anemia"), D2498+14,
OR(E2498="Lumbar Strain",E2498="Migraine Headache"), D2498+7,
OR(E2498="Viral Fever",E2498="General Checkup","Routine Health Check"), "",
TRUE,""
)</f>
        <v/>
      </c>
      <c r="I2498" s="1" t="str">
        <f t="shared" ref="I2498:I2561" si="78">IF(H2498="","No Follow-up Required","Follow-up Scheduled")</f>
        <v>No Follow-up Required</v>
      </c>
      <c r="J2498" t="str">
        <f>TEXT(Table8[[#This Row],[visit_Date]],"DDDD")</f>
        <v>Wednesday</v>
      </c>
      <c r="K2498" t="str">
        <f>TEXT(Table8[[#This Row],[visit_Date]],"mmmm")</f>
        <v>January</v>
      </c>
      <c r="L2498" t="str">
        <f t="shared" ref="L2498:L2561" si="79">IF(OR(MONTH(D2498)=12,MONTH(D2498)&lt;=2),"Winter",
IF(MONTH(D2498)&lt;=5,"Summer","Monsoon"))</f>
        <v>Winter</v>
      </c>
    </row>
    <row r="2499" spans="1:12" x14ac:dyDescent="0.25">
      <c r="A2499">
        <v>2498</v>
      </c>
      <c r="B2499">
        <v>1103</v>
      </c>
      <c r="C2499">
        <v>179</v>
      </c>
      <c r="D2499" s="1">
        <v>45734</v>
      </c>
      <c r="E2499" t="s">
        <v>24</v>
      </c>
      <c r="F2499" t="s">
        <v>321</v>
      </c>
      <c r="G2499" t="str">
        <f>_xlfn.XLOOKUP(TRIM(E2500),MedicineInfo!A:A,MedicineInfo!B:B,"Not Found")</f>
        <v>Cefixime</v>
      </c>
      <c r="H2499" s="1" t="str" cm="1">
        <f t="array" ref="H2499">_xlfn.IFS(
OR(E2499="Type 2 Diabetes",E2499="Essential Hypertension",E2499="Angina Pectoris",E2499="Bronchial Asthma",E2499="Cardiac Arrhythmia"), D2499+30,
OR(E2499="Gastritis",E2499="Osteoarthritis",E2499="Bronchitis",E2499="Iron Deficiency Anemia"), D2499+14,
OR(E2499="Lumbar Strain",E2499="Migraine Headache"), D2499+7,
OR(E2499="Viral Fever",E2499="General Checkup","Routine Health Check"), "",
TRUE,""
)</f>
        <v/>
      </c>
      <c r="I2499" s="1" t="str">
        <f t="shared" si="78"/>
        <v>No Follow-up Required</v>
      </c>
      <c r="J2499" t="str">
        <f>TEXT(Table8[[#This Row],[visit_Date]],"DDDD")</f>
        <v>Tuesday</v>
      </c>
      <c r="K2499" t="str">
        <f>TEXT(Table8[[#This Row],[visit_Date]],"mmmm")</f>
        <v>March</v>
      </c>
      <c r="L2499" t="str">
        <f t="shared" si="79"/>
        <v>Summer</v>
      </c>
    </row>
    <row r="2500" spans="1:12" x14ac:dyDescent="0.25">
      <c r="A2500">
        <v>2499</v>
      </c>
      <c r="B2500">
        <v>1223</v>
      </c>
      <c r="C2500">
        <v>473</v>
      </c>
      <c r="D2500" s="1">
        <v>45702</v>
      </c>
      <c r="E2500" t="s">
        <v>354</v>
      </c>
      <c r="F2500" t="s">
        <v>355</v>
      </c>
      <c r="G2500" t="str">
        <f>_xlfn.XLOOKUP(TRIM(E2501),MedicineInfo!A:A,MedicineInfo!B:B,"Not Found")</f>
        <v>Multivitamin</v>
      </c>
      <c r="H2500" s="1" t="str" cm="1">
        <f t="array" ref="H2500">_xlfn.IFS(
OR(E2500="Type 2 Diabetes",E2500="Essential Hypertension",E2500="Angina Pectoris",E2500="Bronchial Asthma",E2500="Cardiac Arrhythmia"), D2500+30,
OR(E2500="Gastritis",E2500="Osteoarthritis",E2500="Bronchitis",E2500="Iron Deficiency Anemia"), D2500+14,
OR(E2500="Lumbar Strain",E2500="Migraine Headache"), D2500+7,
OR(E2500="Viral Fever",E2500="General Checkup","Routine Health Check"), "",
TRUE,""
)</f>
        <v/>
      </c>
      <c r="I2500" s="1" t="str">
        <f t="shared" si="78"/>
        <v>No Follow-up Required</v>
      </c>
      <c r="J2500" t="str">
        <f>TEXT(Table8[[#This Row],[visit_Date]],"DDDD")</f>
        <v>Friday</v>
      </c>
      <c r="K2500" t="str">
        <f>TEXT(Table8[[#This Row],[visit_Date]],"mmmm")</f>
        <v>February</v>
      </c>
      <c r="L2500" t="str">
        <f t="shared" si="79"/>
        <v>Winter</v>
      </c>
    </row>
    <row r="2501" spans="1:12" x14ac:dyDescent="0.25">
      <c r="A2501">
        <v>2500</v>
      </c>
      <c r="B2501">
        <v>1311</v>
      </c>
      <c r="C2501">
        <v>1534</v>
      </c>
      <c r="D2501" s="1">
        <v>45820</v>
      </c>
      <c r="E2501" t="s">
        <v>24</v>
      </c>
      <c r="F2501" t="s">
        <v>321</v>
      </c>
      <c r="G2501" t="str">
        <f>_xlfn.XLOOKUP(TRIM(E2502),MedicineInfo!A:A,MedicineInfo!B:B,"Not Found")</f>
        <v>Vitamin D3</v>
      </c>
      <c r="H2501" s="1" t="str" cm="1">
        <f t="array" ref="H2501">_xlfn.IFS(
OR(E2501="Type 2 Diabetes",E2501="Essential Hypertension",E2501="Angina Pectoris",E2501="Bronchial Asthma",E2501="Cardiac Arrhythmia"), D2501+30,
OR(E2501="Gastritis",E2501="Osteoarthritis",E2501="Bronchitis",E2501="Iron Deficiency Anemia"), D2501+14,
OR(E2501="Lumbar Strain",E2501="Migraine Headache"), D2501+7,
OR(E2501="Viral Fever",E2501="General Checkup","Routine Health Check"), "",
TRUE,""
)</f>
        <v/>
      </c>
      <c r="I2501" s="1" t="str">
        <f t="shared" si="78"/>
        <v>No Follow-up Required</v>
      </c>
      <c r="J2501" t="str">
        <f>TEXT(Table8[[#This Row],[visit_Date]],"DDDD")</f>
        <v>Thursday</v>
      </c>
      <c r="K2501" t="str">
        <f>TEXT(Table8[[#This Row],[visit_Date]],"mmmm")</f>
        <v>June</v>
      </c>
      <c r="L2501" t="str">
        <f t="shared" si="79"/>
        <v>Monsoon</v>
      </c>
    </row>
    <row r="2502" spans="1:12" x14ac:dyDescent="0.25">
      <c r="A2502">
        <v>2501</v>
      </c>
      <c r="B2502">
        <v>1232</v>
      </c>
      <c r="C2502">
        <v>159</v>
      </c>
      <c r="D2502" s="1">
        <v>45853</v>
      </c>
      <c r="E2502" t="s">
        <v>332</v>
      </c>
      <c r="F2502" t="s">
        <v>333</v>
      </c>
      <c r="G2502" t="str">
        <f>_xlfn.XLOOKUP(TRIM(E2503),MedicineInfo!A:A,MedicineInfo!B:B,"Not Found")</f>
        <v>Multivitamin</v>
      </c>
      <c r="H2502" s="1" t="str" cm="1">
        <f t="array" ref="H2502">_xlfn.IFS(
OR(E2502="Type 2 Diabetes",E2502="Essential Hypertension",E2502="Angina Pectoris",E2502="Bronchial Asthma",E2502="Cardiac Arrhythmia"), D2502+30,
OR(E2502="Gastritis",E2502="Osteoarthritis",E2502="Bronchitis",E2502="Iron Deficiency Anemia"), D2502+14,
OR(E2502="Lumbar Strain",E2502="Migraine Headache"), D2502+7,
OR(E2502="Viral Fever",E2502="General Checkup","Routine Health Check"), "",
TRUE,""
)</f>
        <v/>
      </c>
      <c r="I2502" s="1" t="str">
        <f t="shared" si="78"/>
        <v>No Follow-up Required</v>
      </c>
      <c r="J2502" t="str">
        <f>TEXT(Table8[[#This Row],[visit_Date]],"DDDD")</f>
        <v>Tuesday</v>
      </c>
      <c r="K2502" t="str">
        <f>TEXT(Table8[[#This Row],[visit_Date]],"mmmm")</f>
        <v>July</v>
      </c>
      <c r="L2502" t="str">
        <f t="shared" si="79"/>
        <v>Monsoon</v>
      </c>
    </row>
    <row r="2503" spans="1:12" x14ac:dyDescent="0.25">
      <c r="A2503">
        <v>2502</v>
      </c>
      <c r="B2503">
        <v>1137</v>
      </c>
      <c r="C2503">
        <v>296</v>
      </c>
      <c r="D2503" s="1">
        <v>45771</v>
      </c>
      <c r="E2503" t="s">
        <v>24</v>
      </c>
      <c r="F2503" t="s">
        <v>321</v>
      </c>
      <c r="G2503" t="str">
        <f>_xlfn.XLOOKUP(TRIM(E2504),MedicineInfo!A:A,MedicineInfo!B:B,"Not Found")</f>
        <v>Multivitamin</v>
      </c>
      <c r="H2503" s="1" t="str" cm="1">
        <f t="array" ref="H2503">_xlfn.IFS(
OR(E2503="Type 2 Diabetes",E2503="Essential Hypertension",E2503="Angina Pectoris",E2503="Bronchial Asthma",E2503="Cardiac Arrhythmia"), D2503+30,
OR(E2503="Gastritis",E2503="Osteoarthritis",E2503="Bronchitis",E2503="Iron Deficiency Anemia"), D2503+14,
OR(E2503="Lumbar Strain",E2503="Migraine Headache"), D2503+7,
OR(E2503="Viral Fever",E2503="General Checkup","Routine Health Check"), "",
TRUE,""
)</f>
        <v/>
      </c>
      <c r="I2503" s="1" t="str">
        <f t="shared" si="78"/>
        <v>No Follow-up Required</v>
      </c>
      <c r="J2503" t="str">
        <f>TEXT(Table8[[#This Row],[visit_Date]],"DDDD")</f>
        <v>Thursday</v>
      </c>
      <c r="K2503" t="str">
        <f>TEXT(Table8[[#This Row],[visit_Date]],"mmmm")</f>
        <v>April</v>
      </c>
      <c r="L2503" t="str">
        <f t="shared" si="79"/>
        <v>Summer</v>
      </c>
    </row>
    <row r="2504" spans="1:12" x14ac:dyDescent="0.25">
      <c r="A2504">
        <v>2503</v>
      </c>
      <c r="B2504">
        <v>1316</v>
      </c>
      <c r="C2504">
        <v>888</v>
      </c>
      <c r="D2504" s="1">
        <v>45771</v>
      </c>
      <c r="E2504" t="s">
        <v>24</v>
      </c>
      <c r="F2504" t="s">
        <v>321</v>
      </c>
      <c r="G2504" t="str">
        <f>_xlfn.XLOOKUP(TRIM(E2505),MedicineInfo!A:A,MedicineInfo!B:B,"Not Found")</f>
        <v>Multivitamin</v>
      </c>
      <c r="H2504" s="1" t="str" cm="1">
        <f t="array" ref="H2504">_xlfn.IFS(
OR(E2504="Type 2 Diabetes",E2504="Essential Hypertension",E2504="Angina Pectoris",E2504="Bronchial Asthma",E2504="Cardiac Arrhythmia"), D2504+30,
OR(E2504="Gastritis",E2504="Osteoarthritis",E2504="Bronchitis",E2504="Iron Deficiency Anemia"), D2504+14,
OR(E2504="Lumbar Strain",E2504="Migraine Headache"), D2504+7,
OR(E2504="Viral Fever",E2504="General Checkup","Routine Health Check"), "",
TRUE,""
)</f>
        <v/>
      </c>
      <c r="I2504" s="1" t="str">
        <f t="shared" si="78"/>
        <v>No Follow-up Required</v>
      </c>
      <c r="J2504" t="str">
        <f>TEXT(Table8[[#This Row],[visit_Date]],"DDDD")</f>
        <v>Thursday</v>
      </c>
      <c r="K2504" t="str">
        <f>TEXT(Table8[[#This Row],[visit_Date]],"mmmm")</f>
        <v>April</v>
      </c>
      <c r="L2504" t="str">
        <f t="shared" si="79"/>
        <v>Summer</v>
      </c>
    </row>
    <row r="2505" spans="1:12" x14ac:dyDescent="0.25">
      <c r="A2505">
        <v>2504</v>
      </c>
      <c r="B2505">
        <v>1387</v>
      </c>
      <c r="C2505">
        <v>576</v>
      </c>
      <c r="D2505" s="1">
        <v>45767</v>
      </c>
      <c r="E2505" t="s">
        <v>24</v>
      </c>
      <c r="F2505" t="s">
        <v>321</v>
      </c>
      <c r="G2505" t="str">
        <f>_xlfn.XLOOKUP(TRIM(E2506),MedicineInfo!A:A,MedicineInfo!B:B,"Not Found")</f>
        <v>Multivitamin</v>
      </c>
      <c r="H2505" s="1" t="str" cm="1">
        <f t="array" ref="H2505">_xlfn.IFS(
OR(E2505="Type 2 Diabetes",E2505="Essential Hypertension",E2505="Angina Pectoris",E2505="Bronchial Asthma",E2505="Cardiac Arrhythmia"), D2505+30,
OR(E2505="Gastritis",E2505="Osteoarthritis",E2505="Bronchitis",E2505="Iron Deficiency Anemia"), D2505+14,
OR(E2505="Lumbar Strain",E2505="Migraine Headache"), D2505+7,
OR(E2505="Viral Fever",E2505="General Checkup","Routine Health Check"), "",
TRUE,""
)</f>
        <v/>
      </c>
      <c r="I2505" s="1" t="str">
        <f t="shared" si="78"/>
        <v>No Follow-up Required</v>
      </c>
      <c r="J2505" t="str">
        <f>TEXT(Table8[[#This Row],[visit_Date]],"DDDD")</f>
        <v>Sunday</v>
      </c>
      <c r="K2505" t="str">
        <f>TEXT(Table8[[#This Row],[visit_Date]],"mmmm")</f>
        <v>April</v>
      </c>
      <c r="L2505" t="str">
        <f t="shared" si="79"/>
        <v>Summer</v>
      </c>
    </row>
    <row r="2506" spans="1:12" x14ac:dyDescent="0.25">
      <c r="A2506">
        <v>2505</v>
      </c>
      <c r="B2506">
        <v>1289</v>
      </c>
      <c r="C2506">
        <v>1093</v>
      </c>
      <c r="D2506" s="1">
        <v>45792</v>
      </c>
      <c r="E2506" t="s">
        <v>24</v>
      </c>
      <c r="F2506" t="s">
        <v>321</v>
      </c>
      <c r="G2506" t="str">
        <f>_xlfn.XLOOKUP(TRIM(E2507),MedicineInfo!A:A,MedicineInfo!B:B,"Not Found")</f>
        <v>Multivitamin</v>
      </c>
      <c r="H2506" s="1" t="str" cm="1">
        <f t="array" ref="H2506">_xlfn.IFS(
OR(E2506="Type 2 Diabetes",E2506="Essential Hypertension",E2506="Angina Pectoris",E2506="Bronchial Asthma",E2506="Cardiac Arrhythmia"), D2506+30,
OR(E2506="Gastritis",E2506="Osteoarthritis",E2506="Bronchitis",E2506="Iron Deficiency Anemia"), D2506+14,
OR(E2506="Lumbar Strain",E2506="Migraine Headache"), D2506+7,
OR(E2506="Viral Fever",E2506="General Checkup","Routine Health Check"), "",
TRUE,""
)</f>
        <v/>
      </c>
      <c r="I2506" s="1" t="str">
        <f t="shared" si="78"/>
        <v>No Follow-up Required</v>
      </c>
      <c r="J2506" t="str">
        <f>TEXT(Table8[[#This Row],[visit_Date]],"DDDD")</f>
        <v>Thursday</v>
      </c>
      <c r="K2506" t="str">
        <f>TEXT(Table8[[#This Row],[visit_Date]],"mmmm")</f>
        <v>May</v>
      </c>
      <c r="L2506" t="str">
        <f t="shared" si="79"/>
        <v>Summer</v>
      </c>
    </row>
    <row r="2507" spans="1:12" x14ac:dyDescent="0.25">
      <c r="A2507">
        <v>2506</v>
      </c>
      <c r="B2507">
        <v>1159</v>
      </c>
      <c r="C2507">
        <v>1233</v>
      </c>
      <c r="D2507" s="1">
        <v>45853</v>
      </c>
      <c r="E2507" t="s">
        <v>24</v>
      </c>
      <c r="F2507" t="s">
        <v>321</v>
      </c>
      <c r="G2507" t="str">
        <f>_xlfn.XLOOKUP(TRIM(E2508),MedicineInfo!A:A,MedicineInfo!B:B,"Not Found")</f>
        <v>Multivitamin</v>
      </c>
      <c r="H2507" s="1" t="str" cm="1">
        <f t="array" ref="H2507">_xlfn.IFS(
OR(E2507="Type 2 Diabetes",E2507="Essential Hypertension",E2507="Angina Pectoris",E2507="Bronchial Asthma",E2507="Cardiac Arrhythmia"), D2507+30,
OR(E2507="Gastritis",E2507="Osteoarthritis",E2507="Bronchitis",E2507="Iron Deficiency Anemia"), D2507+14,
OR(E2507="Lumbar Strain",E2507="Migraine Headache"), D2507+7,
OR(E2507="Viral Fever",E2507="General Checkup","Routine Health Check"), "",
TRUE,""
)</f>
        <v/>
      </c>
      <c r="I2507" s="1" t="str">
        <f t="shared" si="78"/>
        <v>No Follow-up Required</v>
      </c>
      <c r="J2507" t="str">
        <f>TEXT(Table8[[#This Row],[visit_Date]],"DDDD")</f>
        <v>Tuesday</v>
      </c>
      <c r="K2507" t="str">
        <f>TEXT(Table8[[#This Row],[visit_Date]],"mmmm")</f>
        <v>July</v>
      </c>
      <c r="L2507" t="str">
        <f t="shared" si="79"/>
        <v>Monsoon</v>
      </c>
    </row>
    <row r="2508" spans="1:12" x14ac:dyDescent="0.25">
      <c r="A2508">
        <v>2507</v>
      </c>
      <c r="B2508">
        <v>1202</v>
      </c>
      <c r="C2508">
        <v>865</v>
      </c>
      <c r="D2508" s="1">
        <v>45747</v>
      </c>
      <c r="E2508" t="s">
        <v>24</v>
      </c>
      <c r="F2508" t="s">
        <v>321</v>
      </c>
      <c r="G2508" t="str">
        <f>_xlfn.XLOOKUP(TRIM(E2509),MedicineInfo!A:A,MedicineInfo!B:B,"Not Found")</f>
        <v>Multivitamin</v>
      </c>
      <c r="H2508" s="1" t="str" cm="1">
        <f t="array" ref="H2508">_xlfn.IFS(
OR(E2508="Type 2 Diabetes",E2508="Essential Hypertension",E2508="Angina Pectoris",E2508="Bronchial Asthma",E2508="Cardiac Arrhythmia"), D2508+30,
OR(E2508="Gastritis",E2508="Osteoarthritis",E2508="Bronchitis",E2508="Iron Deficiency Anemia"), D2508+14,
OR(E2508="Lumbar Strain",E2508="Migraine Headache"), D2508+7,
OR(E2508="Viral Fever",E2508="General Checkup","Routine Health Check"), "",
TRUE,""
)</f>
        <v/>
      </c>
      <c r="I2508" s="1" t="str">
        <f t="shared" si="78"/>
        <v>No Follow-up Required</v>
      </c>
      <c r="J2508" t="str">
        <f>TEXT(Table8[[#This Row],[visit_Date]],"DDDD")</f>
        <v>Monday</v>
      </c>
      <c r="K2508" t="str">
        <f>TEXT(Table8[[#This Row],[visit_Date]],"mmmm")</f>
        <v>March</v>
      </c>
      <c r="L2508" t="str">
        <f t="shared" si="79"/>
        <v>Summer</v>
      </c>
    </row>
    <row r="2509" spans="1:12" x14ac:dyDescent="0.25">
      <c r="A2509">
        <v>2508</v>
      </c>
      <c r="B2509">
        <v>1168</v>
      </c>
      <c r="C2509">
        <v>575</v>
      </c>
      <c r="D2509" s="1">
        <v>45814</v>
      </c>
      <c r="E2509" t="s">
        <v>24</v>
      </c>
      <c r="F2509" t="s">
        <v>321</v>
      </c>
      <c r="G2509" t="str">
        <f>_xlfn.XLOOKUP(TRIM(E2510),MedicineInfo!A:A,MedicineInfo!B:B,"Not Found")</f>
        <v>Multivitamin</v>
      </c>
      <c r="H2509" s="1" t="str" cm="1">
        <f t="array" ref="H2509">_xlfn.IFS(
OR(E2509="Type 2 Diabetes",E2509="Essential Hypertension",E2509="Angina Pectoris",E2509="Bronchial Asthma",E2509="Cardiac Arrhythmia"), D2509+30,
OR(E2509="Gastritis",E2509="Osteoarthritis",E2509="Bronchitis",E2509="Iron Deficiency Anemia"), D2509+14,
OR(E2509="Lumbar Strain",E2509="Migraine Headache"), D2509+7,
OR(E2509="Viral Fever",E2509="General Checkup","Routine Health Check"), "",
TRUE,""
)</f>
        <v/>
      </c>
      <c r="I2509" s="1" t="str">
        <f t="shared" si="78"/>
        <v>No Follow-up Required</v>
      </c>
      <c r="J2509" t="str">
        <f>TEXT(Table8[[#This Row],[visit_Date]],"DDDD")</f>
        <v>Friday</v>
      </c>
      <c r="K2509" t="str">
        <f>TEXT(Table8[[#This Row],[visit_Date]],"mmmm")</f>
        <v>June</v>
      </c>
      <c r="L2509" t="str">
        <f t="shared" si="79"/>
        <v>Monsoon</v>
      </c>
    </row>
    <row r="2510" spans="1:12" x14ac:dyDescent="0.25">
      <c r="A2510">
        <v>2509</v>
      </c>
      <c r="B2510">
        <v>1178</v>
      </c>
      <c r="C2510">
        <v>1175</v>
      </c>
      <c r="D2510" s="1">
        <v>45771</v>
      </c>
      <c r="E2510" t="s">
        <v>24</v>
      </c>
      <c r="F2510" t="s">
        <v>321</v>
      </c>
      <c r="G2510" t="str">
        <f>_xlfn.XLOOKUP(TRIM(E2511),MedicineInfo!A:A,MedicineInfo!B:B,"Not Found")</f>
        <v>Multivitamin</v>
      </c>
      <c r="H2510" s="1" t="str" cm="1">
        <f t="array" ref="H2510">_xlfn.IFS(
OR(E2510="Type 2 Diabetes",E2510="Essential Hypertension",E2510="Angina Pectoris",E2510="Bronchial Asthma",E2510="Cardiac Arrhythmia"), D2510+30,
OR(E2510="Gastritis",E2510="Osteoarthritis",E2510="Bronchitis",E2510="Iron Deficiency Anemia"), D2510+14,
OR(E2510="Lumbar Strain",E2510="Migraine Headache"), D2510+7,
OR(E2510="Viral Fever",E2510="General Checkup","Routine Health Check"), "",
TRUE,""
)</f>
        <v/>
      </c>
      <c r="I2510" s="1" t="str">
        <f t="shared" si="78"/>
        <v>No Follow-up Required</v>
      </c>
      <c r="J2510" t="str">
        <f>TEXT(Table8[[#This Row],[visit_Date]],"DDDD")</f>
        <v>Thursday</v>
      </c>
      <c r="K2510" t="str">
        <f>TEXT(Table8[[#This Row],[visit_Date]],"mmmm")</f>
        <v>April</v>
      </c>
      <c r="L2510" t="str">
        <f t="shared" si="79"/>
        <v>Summer</v>
      </c>
    </row>
    <row r="2511" spans="1:12" x14ac:dyDescent="0.25">
      <c r="A2511">
        <v>2510</v>
      </c>
      <c r="B2511">
        <v>1185</v>
      </c>
      <c r="C2511">
        <v>959</v>
      </c>
      <c r="D2511" s="1">
        <v>45823</v>
      </c>
      <c r="E2511" t="s">
        <v>24</v>
      </c>
      <c r="F2511" t="s">
        <v>321</v>
      </c>
      <c r="G2511" t="str">
        <f>_xlfn.XLOOKUP(TRIM(E2512),MedicineInfo!A:A,MedicineInfo!B:B,"Not Found")</f>
        <v>Hydrocortisone Cream</v>
      </c>
      <c r="H2511" s="1" t="str" cm="1">
        <f t="array" ref="H2511">_xlfn.IFS(
OR(E2511="Type 2 Diabetes",E2511="Essential Hypertension",E2511="Angina Pectoris",E2511="Bronchial Asthma",E2511="Cardiac Arrhythmia"), D2511+30,
OR(E2511="Gastritis",E2511="Osteoarthritis",E2511="Bronchitis",E2511="Iron Deficiency Anemia"), D2511+14,
OR(E2511="Lumbar Strain",E2511="Migraine Headache"), D2511+7,
OR(E2511="Viral Fever",E2511="General Checkup","Routine Health Check"), "",
TRUE,""
)</f>
        <v/>
      </c>
      <c r="I2511" s="1" t="str">
        <f t="shared" si="78"/>
        <v>No Follow-up Required</v>
      </c>
      <c r="J2511" t="str">
        <f>TEXT(Table8[[#This Row],[visit_Date]],"DDDD")</f>
        <v>Sunday</v>
      </c>
      <c r="K2511" t="str">
        <f>TEXT(Table8[[#This Row],[visit_Date]],"mmmm")</f>
        <v>June</v>
      </c>
      <c r="L2511" t="str">
        <f t="shared" si="79"/>
        <v>Monsoon</v>
      </c>
    </row>
    <row r="2512" spans="1:12" x14ac:dyDescent="0.25">
      <c r="A2512">
        <v>2511</v>
      </c>
      <c r="B2512">
        <v>1249</v>
      </c>
      <c r="C2512">
        <v>452</v>
      </c>
      <c r="D2512" s="1">
        <v>45869</v>
      </c>
      <c r="E2512" t="s">
        <v>338</v>
      </c>
      <c r="F2512" t="s">
        <v>339</v>
      </c>
      <c r="G2512" t="str">
        <f>_xlfn.XLOOKUP(TRIM(E2513),MedicineInfo!A:A,MedicineInfo!B:B,"Not Found")</f>
        <v>Multivitamin</v>
      </c>
      <c r="H2512" s="1" t="str" cm="1">
        <f t="array" ref="H2512">_xlfn.IFS(
OR(E2512="Type 2 Diabetes",E2512="Essential Hypertension",E2512="Angina Pectoris",E2512="Bronchial Asthma",E2512="Cardiac Arrhythmia"), D2512+30,
OR(E2512="Gastritis",E2512="Osteoarthritis",E2512="Bronchitis",E2512="Iron Deficiency Anemia"), D2512+14,
OR(E2512="Lumbar Strain",E2512="Migraine Headache"), D2512+7,
OR(E2512="Viral Fever",E2512="General Checkup","Routine Health Check"), "",
TRUE,""
)</f>
        <v/>
      </c>
      <c r="I2512" s="1" t="str">
        <f t="shared" si="78"/>
        <v>No Follow-up Required</v>
      </c>
      <c r="J2512" t="str">
        <f>TEXT(Table8[[#This Row],[visit_Date]],"DDDD")</f>
        <v>Thursday</v>
      </c>
      <c r="K2512" t="str">
        <f>TEXT(Table8[[#This Row],[visit_Date]],"mmmm")</f>
        <v>July</v>
      </c>
      <c r="L2512" t="str">
        <f t="shared" si="79"/>
        <v>Monsoon</v>
      </c>
    </row>
    <row r="2513" spans="1:12" x14ac:dyDescent="0.25">
      <c r="A2513">
        <v>2512</v>
      </c>
      <c r="B2513">
        <v>1220</v>
      </c>
      <c r="C2513">
        <v>501</v>
      </c>
      <c r="D2513" s="1">
        <v>45777</v>
      </c>
      <c r="E2513" t="s">
        <v>24</v>
      </c>
      <c r="F2513" t="s">
        <v>321</v>
      </c>
      <c r="G2513" t="str">
        <f>_xlfn.XLOOKUP(TRIM(E2514),MedicineInfo!A:A,MedicineInfo!B:B,"Not Found")</f>
        <v>Multivitamin</v>
      </c>
      <c r="H2513" s="1" t="str" cm="1">
        <f t="array" ref="H2513">_xlfn.IFS(
OR(E2513="Type 2 Diabetes",E2513="Essential Hypertension",E2513="Angina Pectoris",E2513="Bronchial Asthma",E2513="Cardiac Arrhythmia"), D2513+30,
OR(E2513="Gastritis",E2513="Osteoarthritis",E2513="Bronchitis",E2513="Iron Deficiency Anemia"), D2513+14,
OR(E2513="Lumbar Strain",E2513="Migraine Headache"), D2513+7,
OR(E2513="Viral Fever",E2513="General Checkup","Routine Health Check"), "",
TRUE,""
)</f>
        <v/>
      </c>
      <c r="I2513" s="1" t="str">
        <f t="shared" si="78"/>
        <v>No Follow-up Required</v>
      </c>
      <c r="J2513" t="str">
        <f>TEXT(Table8[[#This Row],[visit_Date]],"DDDD")</f>
        <v>Wednesday</v>
      </c>
      <c r="K2513" t="str">
        <f>TEXT(Table8[[#This Row],[visit_Date]],"mmmm")</f>
        <v>April</v>
      </c>
      <c r="L2513" t="str">
        <f t="shared" si="79"/>
        <v>Summer</v>
      </c>
    </row>
    <row r="2514" spans="1:12" x14ac:dyDescent="0.25">
      <c r="A2514">
        <v>2513</v>
      </c>
      <c r="B2514">
        <v>1052</v>
      </c>
      <c r="C2514">
        <v>780</v>
      </c>
      <c r="D2514" s="1">
        <v>45767</v>
      </c>
      <c r="E2514" t="s">
        <v>24</v>
      </c>
      <c r="F2514" t="s">
        <v>321</v>
      </c>
      <c r="G2514" t="str">
        <f>_xlfn.XLOOKUP(TRIM(E2515),MedicineInfo!A:A,MedicineInfo!B:B,"Not Found")</f>
        <v>Multivitamin</v>
      </c>
      <c r="H2514" s="1" t="str" cm="1">
        <f t="array" ref="H2514">_xlfn.IFS(
OR(E2514="Type 2 Diabetes",E2514="Essential Hypertension",E2514="Angina Pectoris",E2514="Bronchial Asthma",E2514="Cardiac Arrhythmia"), D2514+30,
OR(E2514="Gastritis",E2514="Osteoarthritis",E2514="Bronchitis",E2514="Iron Deficiency Anemia"), D2514+14,
OR(E2514="Lumbar Strain",E2514="Migraine Headache"), D2514+7,
OR(E2514="Viral Fever",E2514="General Checkup","Routine Health Check"), "",
TRUE,""
)</f>
        <v/>
      </c>
      <c r="I2514" s="1" t="str">
        <f t="shared" si="78"/>
        <v>No Follow-up Required</v>
      </c>
      <c r="J2514" t="str">
        <f>TEXT(Table8[[#This Row],[visit_Date]],"DDDD")</f>
        <v>Sunday</v>
      </c>
      <c r="K2514" t="str">
        <f>TEXT(Table8[[#This Row],[visit_Date]],"mmmm")</f>
        <v>April</v>
      </c>
      <c r="L2514" t="str">
        <f t="shared" si="79"/>
        <v>Summer</v>
      </c>
    </row>
    <row r="2515" spans="1:12" x14ac:dyDescent="0.25">
      <c r="A2515">
        <v>2514</v>
      </c>
      <c r="B2515">
        <v>1158</v>
      </c>
      <c r="C2515">
        <v>618</v>
      </c>
      <c r="D2515" s="1">
        <v>45792</v>
      </c>
      <c r="E2515" t="s">
        <v>24</v>
      </c>
      <c r="F2515" t="s">
        <v>321</v>
      </c>
      <c r="G2515" t="str">
        <f>_xlfn.XLOOKUP(TRIM(E2516),MedicineInfo!A:A,MedicineInfo!B:B,"Not Found")</f>
        <v>Multivitamin</v>
      </c>
      <c r="H2515" s="1" t="str" cm="1">
        <f t="array" ref="H2515">_xlfn.IFS(
OR(E2515="Type 2 Diabetes",E2515="Essential Hypertension",E2515="Angina Pectoris",E2515="Bronchial Asthma",E2515="Cardiac Arrhythmia"), D2515+30,
OR(E2515="Gastritis",E2515="Osteoarthritis",E2515="Bronchitis",E2515="Iron Deficiency Anemia"), D2515+14,
OR(E2515="Lumbar Strain",E2515="Migraine Headache"), D2515+7,
OR(E2515="Viral Fever",E2515="General Checkup","Routine Health Check"), "",
TRUE,""
)</f>
        <v/>
      </c>
      <c r="I2515" s="1" t="str">
        <f t="shared" si="78"/>
        <v>No Follow-up Required</v>
      </c>
      <c r="J2515" t="str">
        <f>TEXT(Table8[[#This Row],[visit_Date]],"DDDD")</f>
        <v>Thursday</v>
      </c>
      <c r="K2515" t="str">
        <f>TEXT(Table8[[#This Row],[visit_Date]],"mmmm")</f>
        <v>May</v>
      </c>
      <c r="L2515" t="str">
        <f t="shared" si="79"/>
        <v>Summer</v>
      </c>
    </row>
    <row r="2516" spans="1:12" x14ac:dyDescent="0.25">
      <c r="A2516">
        <v>2515</v>
      </c>
      <c r="B2516">
        <v>1008</v>
      </c>
      <c r="C2516">
        <v>1448</v>
      </c>
      <c r="D2516" s="1">
        <v>45799</v>
      </c>
      <c r="E2516" t="s">
        <v>24</v>
      </c>
      <c r="F2516" t="s">
        <v>321</v>
      </c>
      <c r="G2516" t="str">
        <f>_xlfn.XLOOKUP(TRIM(E2517),MedicineInfo!A:A,MedicineInfo!B:B,"Not Found")</f>
        <v>Multivitamin</v>
      </c>
      <c r="H2516" s="1" t="str" cm="1">
        <f t="array" ref="H2516">_xlfn.IFS(
OR(E2516="Type 2 Diabetes",E2516="Essential Hypertension",E2516="Angina Pectoris",E2516="Bronchial Asthma",E2516="Cardiac Arrhythmia"), D2516+30,
OR(E2516="Gastritis",E2516="Osteoarthritis",E2516="Bronchitis",E2516="Iron Deficiency Anemia"), D2516+14,
OR(E2516="Lumbar Strain",E2516="Migraine Headache"), D2516+7,
OR(E2516="Viral Fever",E2516="General Checkup","Routine Health Check"), "",
TRUE,""
)</f>
        <v/>
      </c>
      <c r="I2516" s="1" t="str">
        <f t="shared" si="78"/>
        <v>No Follow-up Required</v>
      </c>
      <c r="J2516" t="str">
        <f>TEXT(Table8[[#This Row],[visit_Date]],"DDDD")</f>
        <v>Thursday</v>
      </c>
      <c r="K2516" t="str">
        <f>TEXT(Table8[[#This Row],[visit_Date]],"mmmm")</f>
        <v>May</v>
      </c>
      <c r="L2516" t="str">
        <f t="shared" si="79"/>
        <v>Summer</v>
      </c>
    </row>
    <row r="2517" spans="1:12" x14ac:dyDescent="0.25">
      <c r="A2517">
        <v>2516</v>
      </c>
      <c r="B2517">
        <v>1248</v>
      </c>
      <c r="C2517">
        <v>1339</v>
      </c>
      <c r="D2517" s="1">
        <v>45781</v>
      </c>
      <c r="E2517" t="s">
        <v>24</v>
      </c>
      <c r="F2517" t="s">
        <v>321</v>
      </c>
      <c r="G2517" t="str">
        <f>_xlfn.XLOOKUP(TRIM(E2518),MedicineInfo!A:A,MedicineInfo!B:B,"Not Found")</f>
        <v>Multivitamin</v>
      </c>
      <c r="H2517" s="1" t="str" cm="1">
        <f t="array" ref="H2517">_xlfn.IFS(
OR(E2517="Type 2 Diabetes",E2517="Essential Hypertension",E2517="Angina Pectoris",E2517="Bronchial Asthma",E2517="Cardiac Arrhythmia"), D2517+30,
OR(E2517="Gastritis",E2517="Osteoarthritis",E2517="Bronchitis",E2517="Iron Deficiency Anemia"), D2517+14,
OR(E2517="Lumbar Strain",E2517="Migraine Headache"), D2517+7,
OR(E2517="Viral Fever",E2517="General Checkup","Routine Health Check"), "",
TRUE,""
)</f>
        <v/>
      </c>
      <c r="I2517" s="1" t="str">
        <f t="shared" si="78"/>
        <v>No Follow-up Required</v>
      </c>
      <c r="J2517" t="str">
        <f>TEXT(Table8[[#This Row],[visit_Date]],"DDDD")</f>
        <v>Sunday</v>
      </c>
      <c r="K2517" t="str">
        <f>TEXT(Table8[[#This Row],[visit_Date]],"mmmm")</f>
        <v>May</v>
      </c>
      <c r="L2517" t="str">
        <f t="shared" si="79"/>
        <v>Summer</v>
      </c>
    </row>
    <row r="2518" spans="1:12" x14ac:dyDescent="0.25">
      <c r="A2518">
        <v>2517</v>
      </c>
      <c r="B2518">
        <v>1384</v>
      </c>
      <c r="C2518">
        <v>1254</v>
      </c>
      <c r="D2518" s="1">
        <v>45828</v>
      </c>
      <c r="E2518" t="s">
        <v>24</v>
      </c>
      <c r="F2518" t="s">
        <v>321</v>
      </c>
      <c r="G2518" t="str">
        <f>_xlfn.XLOOKUP(TRIM(E2519),MedicineInfo!A:A,MedicineInfo!B:B,"Not Found")</f>
        <v>Multivitamin</v>
      </c>
      <c r="H2518" s="1" t="str" cm="1">
        <f t="array" ref="H2518">_xlfn.IFS(
OR(E2518="Type 2 Diabetes",E2518="Essential Hypertension",E2518="Angina Pectoris",E2518="Bronchial Asthma",E2518="Cardiac Arrhythmia"), D2518+30,
OR(E2518="Gastritis",E2518="Osteoarthritis",E2518="Bronchitis",E2518="Iron Deficiency Anemia"), D2518+14,
OR(E2518="Lumbar Strain",E2518="Migraine Headache"), D2518+7,
OR(E2518="Viral Fever",E2518="General Checkup","Routine Health Check"), "",
TRUE,""
)</f>
        <v/>
      </c>
      <c r="I2518" s="1" t="str">
        <f t="shared" si="78"/>
        <v>No Follow-up Required</v>
      </c>
      <c r="J2518" t="str">
        <f>TEXT(Table8[[#This Row],[visit_Date]],"DDDD")</f>
        <v>Friday</v>
      </c>
      <c r="K2518" t="str">
        <f>TEXT(Table8[[#This Row],[visit_Date]],"mmmm")</f>
        <v>June</v>
      </c>
      <c r="L2518" t="str">
        <f t="shared" si="79"/>
        <v>Monsoon</v>
      </c>
    </row>
    <row r="2519" spans="1:12" x14ac:dyDescent="0.25">
      <c r="A2519">
        <v>2518</v>
      </c>
      <c r="B2519">
        <v>1164</v>
      </c>
      <c r="C2519">
        <v>950</v>
      </c>
      <c r="D2519" s="1">
        <v>45767</v>
      </c>
      <c r="E2519" t="s">
        <v>24</v>
      </c>
      <c r="F2519" t="s">
        <v>321</v>
      </c>
      <c r="G2519" t="str">
        <f>_xlfn.XLOOKUP(TRIM(E2520),MedicineInfo!A:A,MedicineInfo!B:B,"Not Found")</f>
        <v>Multivitamin</v>
      </c>
      <c r="H2519" s="1" t="str" cm="1">
        <f t="array" ref="H2519">_xlfn.IFS(
OR(E2519="Type 2 Diabetes",E2519="Essential Hypertension",E2519="Angina Pectoris",E2519="Bronchial Asthma",E2519="Cardiac Arrhythmia"), D2519+30,
OR(E2519="Gastritis",E2519="Osteoarthritis",E2519="Bronchitis",E2519="Iron Deficiency Anemia"), D2519+14,
OR(E2519="Lumbar Strain",E2519="Migraine Headache"), D2519+7,
OR(E2519="Viral Fever",E2519="General Checkup","Routine Health Check"), "",
TRUE,""
)</f>
        <v/>
      </c>
      <c r="I2519" s="1" t="str">
        <f t="shared" si="78"/>
        <v>No Follow-up Required</v>
      </c>
      <c r="J2519" t="str">
        <f>TEXT(Table8[[#This Row],[visit_Date]],"DDDD")</f>
        <v>Sunday</v>
      </c>
      <c r="K2519" t="str">
        <f>TEXT(Table8[[#This Row],[visit_Date]],"mmmm")</f>
        <v>April</v>
      </c>
      <c r="L2519" t="str">
        <f t="shared" si="79"/>
        <v>Summer</v>
      </c>
    </row>
    <row r="2520" spans="1:12" x14ac:dyDescent="0.25">
      <c r="A2520">
        <v>2519</v>
      </c>
      <c r="B2520">
        <v>1228</v>
      </c>
      <c r="C2520">
        <v>1232</v>
      </c>
      <c r="D2520" s="1">
        <v>45836</v>
      </c>
      <c r="E2520" t="s">
        <v>24</v>
      </c>
      <c r="F2520" t="s">
        <v>321</v>
      </c>
      <c r="G2520" t="str">
        <f>_xlfn.XLOOKUP(TRIM(E2521),MedicineInfo!A:A,MedicineInfo!B:B,"Not Found")</f>
        <v>Multivitamin</v>
      </c>
      <c r="H2520" s="1" t="str" cm="1">
        <f t="array" ref="H2520">_xlfn.IFS(
OR(E2520="Type 2 Diabetes",E2520="Essential Hypertension",E2520="Angina Pectoris",E2520="Bronchial Asthma",E2520="Cardiac Arrhythmia"), D2520+30,
OR(E2520="Gastritis",E2520="Osteoarthritis",E2520="Bronchitis",E2520="Iron Deficiency Anemia"), D2520+14,
OR(E2520="Lumbar Strain",E2520="Migraine Headache"), D2520+7,
OR(E2520="Viral Fever",E2520="General Checkup","Routine Health Check"), "",
TRUE,""
)</f>
        <v/>
      </c>
      <c r="I2520" s="1" t="str">
        <f t="shared" si="78"/>
        <v>No Follow-up Required</v>
      </c>
      <c r="J2520" t="str">
        <f>TEXT(Table8[[#This Row],[visit_Date]],"DDDD")</f>
        <v>Saturday</v>
      </c>
      <c r="K2520" t="str">
        <f>TEXT(Table8[[#This Row],[visit_Date]],"mmmm")</f>
        <v>June</v>
      </c>
      <c r="L2520" t="str">
        <f t="shared" si="79"/>
        <v>Monsoon</v>
      </c>
    </row>
    <row r="2521" spans="1:12" x14ac:dyDescent="0.25">
      <c r="A2521">
        <v>2520</v>
      </c>
      <c r="B2521">
        <v>1148</v>
      </c>
      <c r="C2521">
        <v>254</v>
      </c>
      <c r="D2521" s="1">
        <v>45671</v>
      </c>
      <c r="E2521" t="s">
        <v>24</v>
      </c>
      <c r="F2521" t="s">
        <v>321</v>
      </c>
      <c r="G2521" t="str">
        <f>_xlfn.XLOOKUP(TRIM(E2522),MedicineInfo!A:A,MedicineInfo!B:B,"Not Found")</f>
        <v>Multivitamin</v>
      </c>
      <c r="H2521" s="1" t="str" cm="1">
        <f t="array" ref="H2521">_xlfn.IFS(
OR(E2521="Type 2 Diabetes",E2521="Essential Hypertension",E2521="Angina Pectoris",E2521="Bronchial Asthma",E2521="Cardiac Arrhythmia"), D2521+30,
OR(E2521="Gastritis",E2521="Osteoarthritis",E2521="Bronchitis",E2521="Iron Deficiency Anemia"), D2521+14,
OR(E2521="Lumbar Strain",E2521="Migraine Headache"), D2521+7,
OR(E2521="Viral Fever",E2521="General Checkup","Routine Health Check"), "",
TRUE,""
)</f>
        <v/>
      </c>
      <c r="I2521" s="1" t="str">
        <f t="shared" si="78"/>
        <v>No Follow-up Required</v>
      </c>
      <c r="J2521" t="str">
        <f>TEXT(Table8[[#This Row],[visit_Date]],"DDDD")</f>
        <v>Tuesday</v>
      </c>
      <c r="K2521" t="str">
        <f>TEXT(Table8[[#This Row],[visit_Date]],"mmmm")</f>
        <v>January</v>
      </c>
      <c r="L2521" t="str">
        <f t="shared" si="79"/>
        <v>Winter</v>
      </c>
    </row>
    <row r="2522" spans="1:12" x14ac:dyDescent="0.25">
      <c r="A2522">
        <v>2521</v>
      </c>
      <c r="B2522">
        <v>1300</v>
      </c>
      <c r="C2522">
        <v>1467</v>
      </c>
      <c r="D2522" s="1">
        <v>45678</v>
      </c>
      <c r="E2522" t="s">
        <v>24</v>
      </c>
      <c r="F2522" t="s">
        <v>321</v>
      </c>
      <c r="G2522" t="str">
        <f>_xlfn.XLOOKUP(TRIM(E2523),MedicineInfo!A:A,MedicineInfo!B:B,"Not Found")</f>
        <v>Multivitamin</v>
      </c>
      <c r="H2522" s="1" t="str" cm="1">
        <f t="array" ref="H2522">_xlfn.IFS(
OR(E2522="Type 2 Diabetes",E2522="Essential Hypertension",E2522="Angina Pectoris",E2522="Bronchial Asthma",E2522="Cardiac Arrhythmia"), D2522+30,
OR(E2522="Gastritis",E2522="Osteoarthritis",E2522="Bronchitis",E2522="Iron Deficiency Anemia"), D2522+14,
OR(E2522="Lumbar Strain",E2522="Migraine Headache"), D2522+7,
OR(E2522="Viral Fever",E2522="General Checkup","Routine Health Check"), "",
TRUE,""
)</f>
        <v/>
      </c>
      <c r="I2522" s="1" t="str">
        <f t="shared" si="78"/>
        <v>No Follow-up Required</v>
      </c>
      <c r="J2522" t="str">
        <f>TEXT(Table8[[#This Row],[visit_Date]],"DDDD")</f>
        <v>Tuesday</v>
      </c>
      <c r="K2522" t="str">
        <f>TEXT(Table8[[#This Row],[visit_Date]],"mmmm")</f>
        <v>January</v>
      </c>
      <c r="L2522" t="str">
        <f t="shared" si="79"/>
        <v>Winter</v>
      </c>
    </row>
    <row r="2523" spans="1:12" x14ac:dyDescent="0.25">
      <c r="A2523">
        <v>2522</v>
      </c>
      <c r="B2523">
        <v>1002</v>
      </c>
      <c r="C2523">
        <v>1395</v>
      </c>
      <c r="D2523" s="1">
        <v>45686</v>
      </c>
      <c r="E2523" t="s">
        <v>24</v>
      </c>
      <c r="F2523" t="s">
        <v>321</v>
      </c>
      <c r="G2523" t="str">
        <f>_xlfn.XLOOKUP(TRIM(E2524),MedicineInfo!A:A,MedicineInfo!B:B,"Not Found")</f>
        <v>Multivitamin</v>
      </c>
      <c r="H2523" s="1" t="str" cm="1">
        <f t="array" ref="H2523">_xlfn.IFS(
OR(E2523="Type 2 Diabetes",E2523="Essential Hypertension",E2523="Angina Pectoris",E2523="Bronchial Asthma",E2523="Cardiac Arrhythmia"), D2523+30,
OR(E2523="Gastritis",E2523="Osteoarthritis",E2523="Bronchitis",E2523="Iron Deficiency Anemia"), D2523+14,
OR(E2523="Lumbar Strain",E2523="Migraine Headache"), D2523+7,
OR(E2523="Viral Fever",E2523="General Checkup","Routine Health Check"), "",
TRUE,""
)</f>
        <v/>
      </c>
      <c r="I2523" s="1" t="str">
        <f t="shared" si="78"/>
        <v>No Follow-up Required</v>
      </c>
      <c r="J2523" t="str">
        <f>TEXT(Table8[[#This Row],[visit_Date]],"DDDD")</f>
        <v>Wednesday</v>
      </c>
      <c r="K2523" t="str">
        <f>TEXT(Table8[[#This Row],[visit_Date]],"mmmm")</f>
        <v>January</v>
      </c>
      <c r="L2523" t="str">
        <f t="shared" si="79"/>
        <v>Winter</v>
      </c>
    </row>
    <row r="2524" spans="1:12" x14ac:dyDescent="0.25">
      <c r="A2524">
        <v>2523</v>
      </c>
      <c r="B2524">
        <v>1007</v>
      </c>
      <c r="C2524">
        <v>142</v>
      </c>
      <c r="D2524" s="1">
        <v>45824</v>
      </c>
      <c r="E2524" t="s">
        <v>24</v>
      </c>
      <c r="F2524" t="s">
        <v>321</v>
      </c>
      <c r="G2524" t="str">
        <f>_xlfn.XLOOKUP(TRIM(E2525),MedicineInfo!A:A,MedicineInfo!B:B,"Not Found")</f>
        <v>Multivitamin</v>
      </c>
      <c r="H2524" s="1" t="str" cm="1">
        <f t="array" ref="H2524">_xlfn.IFS(
OR(E2524="Type 2 Diabetes",E2524="Essential Hypertension",E2524="Angina Pectoris",E2524="Bronchial Asthma",E2524="Cardiac Arrhythmia"), D2524+30,
OR(E2524="Gastritis",E2524="Osteoarthritis",E2524="Bronchitis",E2524="Iron Deficiency Anemia"), D2524+14,
OR(E2524="Lumbar Strain",E2524="Migraine Headache"), D2524+7,
OR(E2524="Viral Fever",E2524="General Checkup","Routine Health Check"), "",
TRUE,""
)</f>
        <v/>
      </c>
      <c r="I2524" s="1" t="str">
        <f t="shared" si="78"/>
        <v>No Follow-up Required</v>
      </c>
      <c r="J2524" t="str">
        <f>TEXT(Table8[[#This Row],[visit_Date]],"DDDD")</f>
        <v>Monday</v>
      </c>
      <c r="K2524" t="str">
        <f>TEXT(Table8[[#This Row],[visit_Date]],"mmmm")</f>
        <v>June</v>
      </c>
      <c r="L2524" t="str">
        <f t="shared" si="79"/>
        <v>Monsoon</v>
      </c>
    </row>
    <row r="2525" spans="1:12" x14ac:dyDescent="0.25">
      <c r="A2525">
        <v>2524</v>
      </c>
      <c r="B2525">
        <v>1130</v>
      </c>
      <c r="C2525">
        <v>1292</v>
      </c>
      <c r="D2525" s="1">
        <v>45849</v>
      </c>
      <c r="E2525" t="s">
        <v>24</v>
      </c>
      <c r="F2525" t="s">
        <v>321</v>
      </c>
      <c r="G2525" t="str">
        <f>_xlfn.XLOOKUP(TRIM(E2526),MedicineInfo!A:A,MedicineInfo!B:B,"Not Found")</f>
        <v>Multivitamin</v>
      </c>
      <c r="H2525" s="1" t="str" cm="1">
        <f t="array" ref="H2525">_xlfn.IFS(
OR(E2525="Type 2 Diabetes",E2525="Essential Hypertension",E2525="Angina Pectoris",E2525="Bronchial Asthma",E2525="Cardiac Arrhythmia"), D2525+30,
OR(E2525="Gastritis",E2525="Osteoarthritis",E2525="Bronchitis",E2525="Iron Deficiency Anemia"), D2525+14,
OR(E2525="Lumbar Strain",E2525="Migraine Headache"), D2525+7,
OR(E2525="Viral Fever",E2525="General Checkup","Routine Health Check"), "",
TRUE,""
)</f>
        <v/>
      </c>
      <c r="I2525" s="1" t="str">
        <f t="shared" si="78"/>
        <v>No Follow-up Required</v>
      </c>
      <c r="J2525" t="str">
        <f>TEXT(Table8[[#This Row],[visit_Date]],"DDDD")</f>
        <v>Friday</v>
      </c>
      <c r="K2525" t="str">
        <f>TEXT(Table8[[#This Row],[visit_Date]],"mmmm")</f>
        <v>July</v>
      </c>
      <c r="L2525" t="str">
        <f t="shared" si="79"/>
        <v>Monsoon</v>
      </c>
    </row>
    <row r="2526" spans="1:12" x14ac:dyDescent="0.25">
      <c r="A2526">
        <v>2525</v>
      </c>
      <c r="B2526">
        <v>1067</v>
      </c>
      <c r="C2526">
        <v>1181</v>
      </c>
      <c r="D2526" s="1">
        <v>45662</v>
      </c>
      <c r="E2526" t="s">
        <v>24</v>
      </c>
      <c r="F2526" t="s">
        <v>321</v>
      </c>
      <c r="G2526" t="str">
        <f>_xlfn.XLOOKUP(TRIM(E2527),MedicineInfo!A:A,MedicineInfo!B:B,"Not Found")</f>
        <v>Multivitamin</v>
      </c>
      <c r="H2526" s="1" t="str" cm="1">
        <f t="array" ref="H2526">_xlfn.IFS(
OR(E2526="Type 2 Diabetes",E2526="Essential Hypertension",E2526="Angina Pectoris",E2526="Bronchial Asthma",E2526="Cardiac Arrhythmia"), D2526+30,
OR(E2526="Gastritis",E2526="Osteoarthritis",E2526="Bronchitis",E2526="Iron Deficiency Anemia"), D2526+14,
OR(E2526="Lumbar Strain",E2526="Migraine Headache"), D2526+7,
OR(E2526="Viral Fever",E2526="General Checkup","Routine Health Check"), "",
TRUE,""
)</f>
        <v/>
      </c>
      <c r="I2526" s="1" t="str">
        <f t="shared" si="78"/>
        <v>No Follow-up Required</v>
      </c>
      <c r="J2526" t="str">
        <f>TEXT(Table8[[#This Row],[visit_Date]],"DDDD")</f>
        <v>Sunday</v>
      </c>
      <c r="K2526" t="str">
        <f>TEXT(Table8[[#This Row],[visit_Date]],"mmmm")</f>
        <v>January</v>
      </c>
      <c r="L2526" t="str">
        <f t="shared" si="79"/>
        <v>Winter</v>
      </c>
    </row>
    <row r="2527" spans="1:12" x14ac:dyDescent="0.25">
      <c r="A2527">
        <v>2526</v>
      </c>
      <c r="B2527">
        <v>1317</v>
      </c>
      <c r="C2527">
        <v>991</v>
      </c>
      <c r="D2527" s="1">
        <v>45750</v>
      </c>
      <c r="E2527" t="s">
        <v>24</v>
      </c>
      <c r="F2527" t="s">
        <v>321</v>
      </c>
      <c r="G2527" t="str">
        <f>_xlfn.XLOOKUP(TRIM(E2528),MedicineInfo!A:A,MedicineInfo!B:B,"Not Found")</f>
        <v>Multivitamin</v>
      </c>
      <c r="H2527" s="1" t="str" cm="1">
        <f t="array" ref="H2527">_xlfn.IFS(
OR(E2527="Type 2 Diabetes",E2527="Essential Hypertension",E2527="Angina Pectoris",E2527="Bronchial Asthma",E2527="Cardiac Arrhythmia"), D2527+30,
OR(E2527="Gastritis",E2527="Osteoarthritis",E2527="Bronchitis",E2527="Iron Deficiency Anemia"), D2527+14,
OR(E2527="Lumbar Strain",E2527="Migraine Headache"), D2527+7,
OR(E2527="Viral Fever",E2527="General Checkup","Routine Health Check"), "",
TRUE,""
)</f>
        <v/>
      </c>
      <c r="I2527" s="1" t="str">
        <f t="shared" si="78"/>
        <v>No Follow-up Required</v>
      </c>
      <c r="J2527" t="str">
        <f>TEXT(Table8[[#This Row],[visit_Date]],"DDDD")</f>
        <v>Thursday</v>
      </c>
      <c r="K2527" t="str">
        <f>TEXT(Table8[[#This Row],[visit_Date]],"mmmm")</f>
        <v>April</v>
      </c>
      <c r="L2527" t="str">
        <f t="shared" si="79"/>
        <v>Summer</v>
      </c>
    </row>
    <row r="2528" spans="1:12" x14ac:dyDescent="0.25">
      <c r="A2528">
        <v>2527</v>
      </c>
      <c r="B2528">
        <v>1275</v>
      </c>
      <c r="C2528">
        <v>1198</v>
      </c>
      <c r="D2528" s="1">
        <v>45694</v>
      </c>
      <c r="E2528" t="s">
        <v>24</v>
      </c>
      <c r="F2528" t="s">
        <v>321</v>
      </c>
      <c r="G2528" t="str">
        <f>_xlfn.XLOOKUP(TRIM(E2529),MedicineInfo!A:A,MedicineInfo!B:B,"Not Found")</f>
        <v>Multivitamin</v>
      </c>
      <c r="H2528" s="1" t="str" cm="1">
        <f t="array" ref="H2528">_xlfn.IFS(
OR(E2528="Type 2 Diabetes",E2528="Essential Hypertension",E2528="Angina Pectoris",E2528="Bronchial Asthma",E2528="Cardiac Arrhythmia"), D2528+30,
OR(E2528="Gastritis",E2528="Osteoarthritis",E2528="Bronchitis",E2528="Iron Deficiency Anemia"), D2528+14,
OR(E2528="Lumbar Strain",E2528="Migraine Headache"), D2528+7,
OR(E2528="Viral Fever",E2528="General Checkup","Routine Health Check"), "",
TRUE,""
)</f>
        <v/>
      </c>
      <c r="I2528" s="1" t="str">
        <f t="shared" si="78"/>
        <v>No Follow-up Required</v>
      </c>
      <c r="J2528" t="str">
        <f>TEXT(Table8[[#This Row],[visit_Date]],"DDDD")</f>
        <v>Thursday</v>
      </c>
      <c r="K2528" t="str">
        <f>TEXT(Table8[[#This Row],[visit_Date]],"mmmm")</f>
        <v>February</v>
      </c>
      <c r="L2528" t="str">
        <f t="shared" si="79"/>
        <v>Winter</v>
      </c>
    </row>
    <row r="2529" spans="1:12" x14ac:dyDescent="0.25">
      <c r="A2529">
        <v>2528</v>
      </c>
      <c r="B2529">
        <v>1172</v>
      </c>
      <c r="C2529">
        <v>297</v>
      </c>
      <c r="D2529" s="1">
        <v>45777</v>
      </c>
      <c r="E2529" t="s">
        <v>24</v>
      </c>
      <c r="F2529" t="s">
        <v>321</v>
      </c>
      <c r="G2529" t="str">
        <f>_xlfn.XLOOKUP(TRIM(E2530),MedicineInfo!A:A,MedicineInfo!B:B,"Not Found")</f>
        <v>Multivitamin</v>
      </c>
      <c r="H2529" s="1" t="str" cm="1">
        <f t="array" ref="H2529">_xlfn.IFS(
OR(E2529="Type 2 Diabetes",E2529="Essential Hypertension",E2529="Angina Pectoris",E2529="Bronchial Asthma",E2529="Cardiac Arrhythmia"), D2529+30,
OR(E2529="Gastritis",E2529="Osteoarthritis",E2529="Bronchitis",E2529="Iron Deficiency Anemia"), D2529+14,
OR(E2529="Lumbar Strain",E2529="Migraine Headache"), D2529+7,
OR(E2529="Viral Fever",E2529="General Checkup","Routine Health Check"), "",
TRUE,""
)</f>
        <v/>
      </c>
      <c r="I2529" s="1" t="str">
        <f t="shared" si="78"/>
        <v>No Follow-up Required</v>
      </c>
      <c r="J2529" t="str">
        <f>TEXT(Table8[[#This Row],[visit_Date]],"DDDD")</f>
        <v>Wednesday</v>
      </c>
      <c r="K2529" t="str">
        <f>TEXT(Table8[[#This Row],[visit_Date]],"mmmm")</f>
        <v>April</v>
      </c>
      <c r="L2529" t="str">
        <f t="shared" si="79"/>
        <v>Summer</v>
      </c>
    </row>
    <row r="2530" spans="1:12" x14ac:dyDescent="0.25">
      <c r="A2530">
        <v>2529</v>
      </c>
      <c r="B2530">
        <v>1032</v>
      </c>
      <c r="C2530">
        <v>1032</v>
      </c>
      <c r="D2530" s="1">
        <v>45705</v>
      </c>
      <c r="E2530" t="s">
        <v>24</v>
      </c>
      <c r="F2530" t="s">
        <v>321</v>
      </c>
      <c r="G2530" t="str">
        <f>_xlfn.XLOOKUP(TRIM(E2531),MedicineInfo!A:A,MedicineInfo!B:B,"Not Found")</f>
        <v>Multivitamin</v>
      </c>
      <c r="H2530" s="1" t="str" cm="1">
        <f t="array" ref="H2530">_xlfn.IFS(
OR(E2530="Type 2 Diabetes",E2530="Essential Hypertension",E2530="Angina Pectoris",E2530="Bronchial Asthma",E2530="Cardiac Arrhythmia"), D2530+30,
OR(E2530="Gastritis",E2530="Osteoarthritis",E2530="Bronchitis",E2530="Iron Deficiency Anemia"), D2530+14,
OR(E2530="Lumbar Strain",E2530="Migraine Headache"), D2530+7,
OR(E2530="Viral Fever",E2530="General Checkup","Routine Health Check"), "",
TRUE,""
)</f>
        <v/>
      </c>
      <c r="I2530" s="1" t="str">
        <f t="shared" si="78"/>
        <v>No Follow-up Required</v>
      </c>
      <c r="J2530" t="str">
        <f>TEXT(Table8[[#This Row],[visit_Date]],"DDDD")</f>
        <v>Monday</v>
      </c>
      <c r="K2530" t="str">
        <f>TEXT(Table8[[#This Row],[visit_Date]],"mmmm")</f>
        <v>February</v>
      </c>
      <c r="L2530" t="str">
        <f t="shared" si="79"/>
        <v>Winter</v>
      </c>
    </row>
    <row r="2531" spans="1:12" x14ac:dyDescent="0.25">
      <c r="A2531">
        <v>2530</v>
      </c>
      <c r="B2531">
        <v>1394</v>
      </c>
      <c r="C2531">
        <v>717</v>
      </c>
      <c r="D2531" s="1">
        <v>45790</v>
      </c>
      <c r="E2531" t="s">
        <v>24</v>
      </c>
      <c r="F2531" t="s">
        <v>321</v>
      </c>
      <c r="G2531" t="str">
        <f>_xlfn.XLOOKUP(TRIM(E2532),MedicineInfo!A:A,MedicineInfo!B:B,"Not Found")</f>
        <v>Multivitamin</v>
      </c>
      <c r="H2531" s="1" t="str" cm="1">
        <f t="array" ref="H2531">_xlfn.IFS(
OR(E2531="Type 2 Diabetes",E2531="Essential Hypertension",E2531="Angina Pectoris",E2531="Bronchial Asthma",E2531="Cardiac Arrhythmia"), D2531+30,
OR(E2531="Gastritis",E2531="Osteoarthritis",E2531="Bronchitis",E2531="Iron Deficiency Anemia"), D2531+14,
OR(E2531="Lumbar Strain",E2531="Migraine Headache"), D2531+7,
OR(E2531="Viral Fever",E2531="General Checkup","Routine Health Check"), "",
TRUE,""
)</f>
        <v/>
      </c>
      <c r="I2531" s="1" t="str">
        <f t="shared" si="78"/>
        <v>No Follow-up Required</v>
      </c>
      <c r="J2531" t="str">
        <f>TEXT(Table8[[#This Row],[visit_Date]],"DDDD")</f>
        <v>Tuesday</v>
      </c>
      <c r="K2531" t="str">
        <f>TEXT(Table8[[#This Row],[visit_Date]],"mmmm")</f>
        <v>May</v>
      </c>
      <c r="L2531" t="str">
        <f t="shared" si="79"/>
        <v>Summer</v>
      </c>
    </row>
    <row r="2532" spans="1:12" x14ac:dyDescent="0.25">
      <c r="A2532">
        <v>2531</v>
      </c>
      <c r="B2532">
        <v>1176</v>
      </c>
      <c r="C2532">
        <v>669</v>
      </c>
      <c r="D2532" s="1">
        <v>45691</v>
      </c>
      <c r="E2532" t="s">
        <v>24</v>
      </c>
      <c r="F2532" t="s">
        <v>321</v>
      </c>
      <c r="G2532" t="str">
        <f>_xlfn.XLOOKUP(TRIM(E2533),MedicineInfo!A:A,MedicineInfo!B:B,"Not Found")</f>
        <v>Multivitamin</v>
      </c>
      <c r="H2532" s="1" t="str" cm="1">
        <f t="array" ref="H2532">_xlfn.IFS(
OR(E2532="Type 2 Diabetes",E2532="Essential Hypertension",E2532="Angina Pectoris",E2532="Bronchial Asthma",E2532="Cardiac Arrhythmia"), D2532+30,
OR(E2532="Gastritis",E2532="Osteoarthritis",E2532="Bronchitis",E2532="Iron Deficiency Anemia"), D2532+14,
OR(E2532="Lumbar Strain",E2532="Migraine Headache"), D2532+7,
OR(E2532="Viral Fever",E2532="General Checkup","Routine Health Check"), "",
TRUE,""
)</f>
        <v/>
      </c>
      <c r="I2532" s="1" t="str">
        <f t="shared" si="78"/>
        <v>No Follow-up Required</v>
      </c>
      <c r="J2532" t="str">
        <f>TEXT(Table8[[#This Row],[visit_Date]],"DDDD")</f>
        <v>Monday</v>
      </c>
      <c r="K2532" t="str">
        <f>TEXT(Table8[[#This Row],[visit_Date]],"mmmm")</f>
        <v>February</v>
      </c>
      <c r="L2532" t="str">
        <f t="shared" si="79"/>
        <v>Winter</v>
      </c>
    </row>
    <row r="2533" spans="1:12" x14ac:dyDescent="0.25">
      <c r="A2533">
        <v>2532</v>
      </c>
      <c r="B2533">
        <v>1055</v>
      </c>
      <c r="C2533">
        <v>367</v>
      </c>
      <c r="D2533" s="1">
        <v>45799</v>
      </c>
      <c r="E2533" t="s">
        <v>24</v>
      </c>
      <c r="F2533" t="s">
        <v>321</v>
      </c>
      <c r="G2533" t="str">
        <f>_xlfn.XLOOKUP(TRIM(E2534),MedicineInfo!A:A,MedicineInfo!B:B,"Not Found")</f>
        <v>Multivitamin</v>
      </c>
      <c r="H2533" s="1" t="str" cm="1">
        <f t="array" ref="H2533">_xlfn.IFS(
OR(E2533="Type 2 Diabetes",E2533="Essential Hypertension",E2533="Angina Pectoris",E2533="Bronchial Asthma",E2533="Cardiac Arrhythmia"), D2533+30,
OR(E2533="Gastritis",E2533="Osteoarthritis",E2533="Bronchitis",E2533="Iron Deficiency Anemia"), D2533+14,
OR(E2533="Lumbar Strain",E2533="Migraine Headache"), D2533+7,
OR(E2533="Viral Fever",E2533="General Checkup","Routine Health Check"), "",
TRUE,""
)</f>
        <v/>
      </c>
      <c r="I2533" s="1" t="str">
        <f t="shared" si="78"/>
        <v>No Follow-up Required</v>
      </c>
      <c r="J2533" t="str">
        <f>TEXT(Table8[[#This Row],[visit_Date]],"DDDD")</f>
        <v>Thursday</v>
      </c>
      <c r="K2533" t="str">
        <f>TEXT(Table8[[#This Row],[visit_Date]],"mmmm")</f>
        <v>May</v>
      </c>
      <c r="L2533" t="str">
        <f t="shared" si="79"/>
        <v>Summer</v>
      </c>
    </row>
    <row r="2534" spans="1:12" x14ac:dyDescent="0.25">
      <c r="A2534">
        <v>2533</v>
      </c>
      <c r="B2534">
        <v>1388</v>
      </c>
      <c r="C2534">
        <v>1157</v>
      </c>
      <c r="D2534" s="1">
        <v>45747</v>
      </c>
      <c r="E2534" t="s">
        <v>24</v>
      </c>
      <c r="F2534" t="s">
        <v>321</v>
      </c>
      <c r="G2534" t="str">
        <f>_xlfn.XLOOKUP(TRIM(E2535),MedicineInfo!A:A,MedicineInfo!B:B,"Not Found")</f>
        <v>Multivitamin</v>
      </c>
      <c r="H2534" s="1" t="str" cm="1">
        <f t="array" ref="H2534">_xlfn.IFS(
OR(E2534="Type 2 Diabetes",E2534="Essential Hypertension",E2534="Angina Pectoris",E2534="Bronchial Asthma",E2534="Cardiac Arrhythmia"), D2534+30,
OR(E2534="Gastritis",E2534="Osteoarthritis",E2534="Bronchitis",E2534="Iron Deficiency Anemia"), D2534+14,
OR(E2534="Lumbar Strain",E2534="Migraine Headache"), D2534+7,
OR(E2534="Viral Fever",E2534="General Checkup","Routine Health Check"), "",
TRUE,""
)</f>
        <v/>
      </c>
      <c r="I2534" s="1" t="str">
        <f t="shared" si="78"/>
        <v>No Follow-up Required</v>
      </c>
      <c r="J2534" t="str">
        <f>TEXT(Table8[[#This Row],[visit_Date]],"DDDD")</f>
        <v>Monday</v>
      </c>
      <c r="K2534" t="str">
        <f>TEXT(Table8[[#This Row],[visit_Date]],"mmmm")</f>
        <v>March</v>
      </c>
      <c r="L2534" t="str">
        <f t="shared" si="79"/>
        <v>Summer</v>
      </c>
    </row>
    <row r="2535" spans="1:12" x14ac:dyDescent="0.25">
      <c r="A2535">
        <v>2534</v>
      </c>
      <c r="B2535">
        <v>1382</v>
      </c>
      <c r="C2535">
        <v>740</v>
      </c>
      <c r="D2535" s="1">
        <v>45706</v>
      </c>
      <c r="E2535" t="s">
        <v>24</v>
      </c>
      <c r="F2535" t="s">
        <v>321</v>
      </c>
      <c r="G2535" t="str">
        <f>_xlfn.XLOOKUP(TRIM(E2536),MedicineInfo!A:A,MedicineInfo!B:B,"Not Found")</f>
        <v>Multivitamin</v>
      </c>
      <c r="H2535" s="1" t="str" cm="1">
        <f t="array" ref="H2535">_xlfn.IFS(
OR(E2535="Type 2 Diabetes",E2535="Essential Hypertension",E2535="Angina Pectoris",E2535="Bronchial Asthma",E2535="Cardiac Arrhythmia"), D2535+30,
OR(E2535="Gastritis",E2535="Osteoarthritis",E2535="Bronchitis",E2535="Iron Deficiency Anemia"), D2535+14,
OR(E2535="Lumbar Strain",E2535="Migraine Headache"), D2535+7,
OR(E2535="Viral Fever",E2535="General Checkup","Routine Health Check"), "",
TRUE,""
)</f>
        <v/>
      </c>
      <c r="I2535" s="1" t="str">
        <f t="shared" si="78"/>
        <v>No Follow-up Required</v>
      </c>
      <c r="J2535" t="str">
        <f>TEXT(Table8[[#This Row],[visit_Date]],"DDDD")</f>
        <v>Tuesday</v>
      </c>
      <c r="K2535" t="str">
        <f>TEXT(Table8[[#This Row],[visit_Date]],"mmmm")</f>
        <v>February</v>
      </c>
      <c r="L2535" t="str">
        <f t="shared" si="79"/>
        <v>Winter</v>
      </c>
    </row>
    <row r="2536" spans="1:12" x14ac:dyDescent="0.25">
      <c r="A2536">
        <v>2535</v>
      </c>
      <c r="B2536">
        <v>1131</v>
      </c>
      <c r="C2536">
        <v>678</v>
      </c>
      <c r="D2536" s="1">
        <v>45802</v>
      </c>
      <c r="E2536" t="s">
        <v>24</v>
      </c>
      <c r="F2536" t="s">
        <v>321</v>
      </c>
      <c r="G2536" t="str">
        <f>_xlfn.XLOOKUP(TRIM(E2537),MedicineInfo!A:A,MedicineInfo!B:B,"Not Found")</f>
        <v>Folic Acid</v>
      </c>
      <c r="H2536" s="1" t="str" cm="1">
        <f t="array" ref="H2536">_xlfn.IFS(
OR(E2536="Type 2 Diabetes",E2536="Essential Hypertension",E2536="Angina Pectoris",E2536="Bronchial Asthma",E2536="Cardiac Arrhythmia"), D2536+30,
OR(E2536="Gastritis",E2536="Osteoarthritis",E2536="Bronchitis",E2536="Iron Deficiency Anemia"), D2536+14,
OR(E2536="Lumbar Strain",E2536="Migraine Headache"), D2536+7,
OR(E2536="Viral Fever",E2536="General Checkup","Routine Health Check"), "",
TRUE,""
)</f>
        <v/>
      </c>
      <c r="I2536" s="1" t="str">
        <f t="shared" si="78"/>
        <v>No Follow-up Required</v>
      </c>
      <c r="J2536" t="str">
        <f>TEXT(Table8[[#This Row],[visit_Date]],"DDDD")</f>
        <v>Sunday</v>
      </c>
      <c r="K2536" t="str">
        <f>TEXT(Table8[[#This Row],[visit_Date]],"mmmm")</f>
        <v>May</v>
      </c>
      <c r="L2536" t="str">
        <f t="shared" si="79"/>
        <v>Summer</v>
      </c>
    </row>
    <row r="2537" spans="1:12" x14ac:dyDescent="0.25">
      <c r="A2537">
        <v>2536</v>
      </c>
      <c r="B2537">
        <v>1292</v>
      </c>
      <c r="C2537">
        <v>912</v>
      </c>
      <c r="D2537" s="1">
        <v>45819</v>
      </c>
      <c r="E2537" t="s">
        <v>356</v>
      </c>
      <c r="F2537" t="s">
        <v>357</v>
      </c>
      <c r="G2537" t="str">
        <f>_xlfn.XLOOKUP(TRIM(E2538),MedicineInfo!A:A,MedicineInfo!B:B,"Not Found")</f>
        <v>Multivitamin</v>
      </c>
      <c r="H2537" s="1" t="str" cm="1">
        <f t="array" ref="H2537">_xlfn.IFS(
OR(E2537="Type 2 Diabetes",E2537="Essential Hypertension",E2537="Angina Pectoris",E2537="Bronchial Asthma",E2537="Cardiac Arrhythmia"), D2537+30,
OR(E2537="Gastritis",E2537="Osteoarthritis",E2537="Bronchitis",E2537="Iron Deficiency Anemia"), D2537+14,
OR(E2537="Lumbar Strain",E2537="Migraine Headache"), D2537+7,
OR(E2537="Viral Fever",E2537="General Checkup","Routine Health Check"), "",
TRUE,""
)</f>
        <v/>
      </c>
      <c r="I2537" s="1" t="str">
        <f t="shared" si="78"/>
        <v>No Follow-up Required</v>
      </c>
      <c r="J2537" t="str">
        <f>TEXT(Table8[[#This Row],[visit_Date]],"DDDD")</f>
        <v>Wednesday</v>
      </c>
      <c r="K2537" t="str">
        <f>TEXT(Table8[[#This Row],[visit_Date]],"mmmm")</f>
        <v>June</v>
      </c>
      <c r="L2537" t="str">
        <f t="shared" si="79"/>
        <v>Monsoon</v>
      </c>
    </row>
    <row r="2538" spans="1:12" x14ac:dyDescent="0.25">
      <c r="A2538">
        <v>2537</v>
      </c>
      <c r="B2538">
        <v>1228</v>
      </c>
      <c r="C2538">
        <v>370</v>
      </c>
      <c r="D2538" s="1">
        <v>45814</v>
      </c>
      <c r="E2538" t="s">
        <v>24</v>
      </c>
      <c r="F2538" t="s">
        <v>321</v>
      </c>
      <c r="G2538" t="str">
        <f>_xlfn.XLOOKUP(TRIM(E2539),MedicineInfo!A:A,MedicineInfo!B:B,"Not Found")</f>
        <v>Multivitamin</v>
      </c>
      <c r="H2538" s="1" t="str" cm="1">
        <f t="array" ref="H2538">_xlfn.IFS(
OR(E2538="Type 2 Diabetes",E2538="Essential Hypertension",E2538="Angina Pectoris",E2538="Bronchial Asthma",E2538="Cardiac Arrhythmia"), D2538+30,
OR(E2538="Gastritis",E2538="Osteoarthritis",E2538="Bronchitis",E2538="Iron Deficiency Anemia"), D2538+14,
OR(E2538="Lumbar Strain",E2538="Migraine Headache"), D2538+7,
OR(E2538="Viral Fever",E2538="General Checkup","Routine Health Check"), "",
TRUE,""
)</f>
        <v/>
      </c>
      <c r="I2538" s="1" t="str">
        <f t="shared" si="78"/>
        <v>No Follow-up Required</v>
      </c>
      <c r="J2538" t="str">
        <f>TEXT(Table8[[#This Row],[visit_Date]],"DDDD")</f>
        <v>Friday</v>
      </c>
      <c r="K2538" t="str">
        <f>TEXT(Table8[[#This Row],[visit_Date]],"mmmm")</f>
        <v>June</v>
      </c>
      <c r="L2538" t="str">
        <f t="shared" si="79"/>
        <v>Monsoon</v>
      </c>
    </row>
    <row r="2539" spans="1:12" x14ac:dyDescent="0.25">
      <c r="A2539">
        <v>2538</v>
      </c>
      <c r="B2539">
        <v>1049</v>
      </c>
      <c r="C2539">
        <v>1343</v>
      </c>
      <c r="D2539" s="1">
        <v>45853</v>
      </c>
      <c r="E2539" t="s">
        <v>24</v>
      </c>
      <c r="F2539" t="s">
        <v>321</v>
      </c>
      <c r="G2539" t="str">
        <f>_xlfn.XLOOKUP(TRIM(E2540),MedicineInfo!A:A,MedicineInfo!B:B,"Not Found")</f>
        <v>Multivitamin</v>
      </c>
      <c r="H2539" s="1" t="str" cm="1">
        <f t="array" ref="H2539">_xlfn.IFS(
OR(E2539="Type 2 Diabetes",E2539="Essential Hypertension",E2539="Angina Pectoris",E2539="Bronchial Asthma",E2539="Cardiac Arrhythmia"), D2539+30,
OR(E2539="Gastritis",E2539="Osteoarthritis",E2539="Bronchitis",E2539="Iron Deficiency Anemia"), D2539+14,
OR(E2539="Lumbar Strain",E2539="Migraine Headache"), D2539+7,
OR(E2539="Viral Fever",E2539="General Checkup","Routine Health Check"), "",
TRUE,""
)</f>
        <v/>
      </c>
      <c r="I2539" s="1" t="str">
        <f t="shared" si="78"/>
        <v>No Follow-up Required</v>
      </c>
      <c r="J2539" t="str">
        <f>TEXT(Table8[[#This Row],[visit_Date]],"DDDD")</f>
        <v>Tuesday</v>
      </c>
      <c r="K2539" t="str">
        <f>TEXT(Table8[[#This Row],[visit_Date]],"mmmm")</f>
        <v>July</v>
      </c>
      <c r="L2539" t="str">
        <f t="shared" si="79"/>
        <v>Monsoon</v>
      </c>
    </row>
    <row r="2540" spans="1:12" x14ac:dyDescent="0.25">
      <c r="A2540">
        <v>2539</v>
      </c>
      <c r="B2540">
        <v>1034</v>
      </c>
      <c r="C2540">
        <v>239</v>
      </c>
      <c r="D2540" s="1">
        <v>45686</v>
      </c>
      <c r="E2540" t="s">
        <v>24</v>
      </c>
      <c r="F2540" t="s">
        <v>321</v>
      </c>
      <c r="G2540" t="str">
        <f>_xlfn.XLOOKUP(TRIM(E2541),MedicineInfo!A:A,MedicineInfo!B:B,"Not Found")</f>
        <v>Amlodipine</v>
      </c>
      <c r="H2540" s="1" t="str" cm="1">
        <f t="array" ref="H2540">_xlfn.IFS(
OR(E2540="Type 2 Diabetes",E2540="Essential Hypertension",E2540="Angina Pectoris",E2540="Bronchial Asthma",E2540="Cardiac Arrhythmia"), D2540+30,
OR(E2540="Gastritis",E2540="Osteoarthritis",E2540="Bronchitis",E2540="Iron Deficiency Anemia"), D2540+14,
OR(E2540="Lumbar Strain",E2540="Migraine Headache"), D2540+7,
OR(E2540="Viral Fever",E2540="General Checkup","Routine Health Check"), "",
TRUE,""
)</f>
        <v/>
      </c>
      <c r="I2540" s="1" t="str">
        <f t="shared" si="78"/>
        <v>No Follow-up Required</v>
      </c>
      <c r="J2540" t="str">
        <f>TEXT(Table8[[#This Row],[visit_Date]],"DDDD")</f>
        <v>Wednesday</v>
      </c>
      <c r="K2540" t="str">
        <f>TEXT(Table8[[#This Row],[visit_Date]],"mmmm")</f>
        <v>January</v>
      </c>
      <c r="L2540" t="str">
        <f t="shared" si="79"/>
        <v>Winter</v>
      </c>
    </row>
    <row r="2541" spans="1:12" x14ac:dyDescent="0.25">
      <c r="A2541">
        <v>2540</v>
      </c>
      <c r="B2541">
        <v>1213</v>
      </c>
      <c r="C2541">
        <v>1173</v>
      </c>
      <c r="D2541" s="1">
        <v>45767</v>
      </c>
      <c r="E2541" t="s">
        <v>319</v>
      </c>
      <c r="F2541" t="s">
        <v>320</v>
      </c>
      <c r="G2541" t="str">
        <f>_xlfn.XLOOKUP(TRIM(E2542),MedicineInfo!A:A,MedicineInfo!B:B,"Not Found")</f>
        <v>Multivitamin</v>
      </c>
      <c r="H2541" s="1" cm="1">
        <f t="array" ref="H2541">_xlfn.IFS(
OR(E2541="Type 2 Diabetes",E2541="Essential Hypertension",E2541="Angina Pectoris",E2541="Bronchial Asthma",E2541="Cardiac Arrhythmia"), D2541+30,
OR(E2541="Gastritis",E2541="Osteoarthritis",E2541="Bronchitis",E2541="Iron Deficiency Anemia"), D2541+14,
OR(E2541="Lumbar Strain",E2541="Migraine Headache"), D2541+7,
OR(E2541="Viral Fever",E2541="General Checkup","Routine Health Check"), "",
TRUE,""
)</f>
        <v>45797</v>
      </c>
      <c r="I2541" s="1" t="str">
        <f t="shared" si="78"/>
        <v>Follow-up Scheduled</v>
      </c>
      <c r="J2541" t="str">
        <f>TEXT(Table8[[#This Row],[visit_Date]],"DDDD")</f>
        <v>Sunday</v>
      </c>
      <c r="K2541" t="str">
        <f>TEXT(Table8[[#This Row],[visit_Date]],"mmmm")</f>
        <v>April</v>
      </c>
      <c r="L2541" t="str">
        <f t="shared" si="79"/>
        <v>Summer</v>
      </c>
    </row>
    <row r="2542" spans="1:12" x14ac:dyDescent="0.25">
      <c r="A2542">
        <v>2541</v>
      </c>
      <c r="B2542">
        <v>1021</v>
      </c>
      <c r="C2542">
        <v>1346</v>
      </c>
      <c r="D2542" s="1">
        <v>45791</v>
      </c>
      <c r="E2542" t="s">
        <v>24</v>
      </c>
      <c r="F2542" t="s">
        <v>321</v>
      </c>
      <c r="G2542" t="str">
        <f>_xlfn.XLOOKUP(TRIM(E2543),MedicineInfo!A:A,MedicineInfo!B:B,"Not Found")</f>
        <v>Multivitamin</v>
      </c>
      <c r="H2542" s="1" t="str" cm="1">
        <f t="array" ref="H2542">_xlfn.IFS(
OR(E2542="Type 2 Diabetes",E2542="Essential Hypertension",E2542="Angina Pectoris",E2542="Bronchial Asthma",E2542="Cardiac Arrhythmia"), D2542+30,
OR(E2542="Gastritis",E2542="Osteoarthritis",E2542="Bronchitis",E2542="Iron Deficiency Anemia"), D2542+14,
OR(E2542="Lumbar Strain",E2542="Migraine Headache"), D2542+7,
OR(E2542="Viral Fever",E2542="General Checkup","Routine Health Check"), "",
TRUE,""
)</f>
        <v/>
      </c>
      <c r="I2542" s="1" t="str">
        <f t="shared" si="78"/>
        <v>No Follow-up Required</v>
      </c>
      <c r="J2542" t="str">
        <f>TEXT(Table8[[#This Row],[visit_Date]],"DDDD")</f>
        <v>Wednesday</v>
      </c>
      <c r="K2542" t="str">
        <f>TEXT(Table8[[#This Row],[visit_Date]],"mmmm")</f>
        <v>May</v>
      </c>
      <c r="L2542" t="str">
        <f t="shared" si="79"/>
        <v>Summer</v>
      </c>
    </row>
    <row r="2543" spans="1:12" x14ac:dyDescent="0.25">
      <c r="A2543">
        <v>2542</v>
      </c>
      <c r="B2543">
        <v>1085</v>
      </c>
      <c r="C2543">
        <v>1133</v>
      </c>
      <c r="D2543" s="1">
        <v>45790</v>
      </c>
      <c r="E2543" t="s">
        <v>24</v>
      </c>
      <c r="F2543" t="s">
        <v>321</v>
      </c>
      <c r="G2543" t="str">
        <f>_xlfn.XLOOKUP(TRIM(E2544),MedicineInfo!A:A,MedicineInfo!B:B,"Not Found")</f>
        <v>Multivitamin</v>
      </c>
      <c r="H2543" s="1" t="str" cm="1">
        <f t="array" ref="H2543">_xlfn.IFS(
OR(E2543="Type 2 Diabetes",E2543="Essential Hypertension",E2543="Angina Pectoris",E2543="Bronchial Asthma",E2543="Cardiac Arrhythmia"), D2543+30,
OR(E2543="Gastritis",E2543="Osteoarthritis",E2543="Bronchitis",E2543="Iron Deficiency Anemia"), D2543+14,
OR(E2543="Lumbar Strain",E2543="Migraine Headache"), D2543+7,
OR(E2543="Viral Fever",E2543="General Checkup","Routine Health Check"), "",
TRUE,""
)</f>
        <v/>
      </c>
      <c r="I2543" s="1" t="str">
        <f t="shared" si="78"/>
        <v>No Follow-up Required</v>
      </c>
      <c r="J2543" t="str">
        <f>TEXT(Table8[[#This Row],[visit_Date]],"DDDD")</f>
        <v>Tuesday</v>
      </c>
      <c r="K2543" t="str">
        <f>TEXT(Table8[[#This Row],[visit_Date]],"mmmm")</f>
        <v>May</v>
      </c>
      <c r="L2543" t="str">
        <f t="shared" si="79"/>
        <v>Summer</v>
      </c>
    </row>
    <row r="2544" spans="1:12" x14ac:dyDescent="0.25">
      <c r="A2544">
        <v>2543</v>
      </c>
      <c r="B2544">
        <v>1348</v>
      </c>
      <c r="C2544">
        <v>1586</v>
      </c>
      <c r="D2544" s="1">
        <v>45685</v>
      </c>
      <c r="E2544" t="s">
        <v>24</v>
      </c>
      <c r="F2544" t="s">
        <v>321</v>
      </c>
      <c r="G2544" t="str">
        <f>_xlfn.XLOOKUP(TRIM(E2545),MedicineInfo!A:A,MedicineInfo!B:B,"Not Found")</f>
        <v>Hydrocortisone Cream</v>
      </c>
      <c r="H2544" s="1" t="str" cm="1">
        <f t="array" ref="H2544">_xlfn.IFS(
OR(E2544="Type 2 Diabetes",E2544="Essential Hypertension",E2544="Angina Pectoris",E2544="Bronchial Asthma",E2544="Cardiac Arrhythmia"), D2544+30,
OR(E2544="Gastritis",E2544="Osteoarthritis",E2544="Bronchitis",E2544="Iron Deficiency Anemia"), D2544+14,
OR(E2544="Lumbar Strain",E2544="Migraine Headache"), D2544+7,
OR(E2544="Viral Fever",E2544="General Checkup","Routine Health Check"), "",
TRUE,""
)</f>
        <v/>
      </c>
      <c r="I2544" s="1" t="str">
        <f t="shared" si="78"/>
        <v>No Follow-up Required</v>
      </c>
      <c r="J2544" t="str">
        <f>TEXT(Table8[[#This Row],[visit_Date]],"DDDD")</f>
        <v>Tuesday</v>
      </c>
      <c r="K2544" t="str">
        <f>TEXT(Table8[[#This Row],[visit_Date]],"mmmm")</f>
        <v>January</v>
      </c>
      <c r="L2544" t="str">
        <f t="shared" si="79"/>
        <v>Winter</v>
      </c>
    </row>
    <row r="2545" spans="1:12" x14ac:dyDescent="0.25">
      <c r="A2545">
        <v>2544</v>
      </c>
      <c r="B2545">
        <v>1080</v>
      </c>
      <c r="C2545">
        <v>817</v>
      </c>
      <c r="D2545" s="1">
        <v>45686</v>
      </c>
      <c r="E2545" t="s">
        <v>338</v>
      </c>
      <c r="F2545" t="s">
        <v>339</v>
      </c>
      <c r="G2545" t="str">
        <f>_xlfn.XLOOKUP(TRIM(E2546),MedicineInfo!A:A,MedicineInfo!B:B,"Not Found")</f>
        <v>Diclofenac</v>
      </c>
      <c r="H2545" s="1" t="str" cm="1">
        <f t="array" ref="H2545">_xlfn.IFS(
OR(E2545="Type 2 Diabetes",E2545="Essential Hypertension",E2545="Angina Pectoris",E2545="Bronchial Asthma",E2545="Cardiac Arrhythmia"), D2545+30,
OR(E2545="Gastritis",E2545="Osteoarthritis",E2545="Bronchitis",E2545="Iron Deficiency Anemia"), D2545+14,
OR(E2545="Lumbar Strain",E2545="Migraine Headache"), D2545+7,
OR(E2545="Viral Fever",E2545="General Checkup","Routine Health Check"), "",
TRUE,""
)</f>
        <v/>
      </c>
      <c r="I2545" s="1" t="str">
        <f t="shared" si="78"/>
        <v>No Follow-up Required</v>
      </c>
      <c r="J2545" t="str">
        <f>TEXT(Table8[[#This Row],[visit_Date]],"DDDD")</f>
        <v>Wednesday</v>
      </c>
      <c r="K2545" t="str">
        <f>TEXT(Table8[[#This Row],[visit_Date]],"mmmm")</f>
        <v>January</v>
      </c>
      <c r="L2545" t="str">
        <f t="shared" si="79"/>
        <v>Winter</v>
      </c>
    </row>
    <row r="2546" spans="1:12" x14ac:dyDescent="0.25">
      <c r="A2546">
        <v>2545</v>
      </c>
      <c r="B2546">
        <v>1229</v>
      </c>
      <c r="C2546">
        <v>1129</v>
      </c>
      <c r="D2546" s="1">
        <v>45853</v>
      </c>
      <c r="E2546" t="s">
        <v>313</v>
      </c>
      <c r="F2546" t="s">
        <v>314</v>
      </c>
      <c r="G2546" t="str">
        <f>_xlfn.XLOOKUP(TRIM(E2547),MedicineInfo!A:A,MedicineInfo!B:B,"Not Found")</f>
        <v>Multivitamin</v>
      </c>
      <c r="H2546" s="1" cm="1">
        <f t="array" ref="H2546">_xlfn.IFS(
OR(E2546="Type 2 Diabetes",E2546="Essential Hypertension",E2546="Angina Pectoris",E2546="Bronchial Asthma",E2546="Cardiac Arrhythmia"), D2546+30,
OR(E2546="Gastritis",E2546="Osteoarthritis",E2546="Bronchitis",E2546="Iron Deficiency Anemia"), D2546+14,
OR(E2546="Lumbar Strain",E2546="Migraine Headache"), D2546+7,
OR(E2546="Viral Fever",E2546="General Checkup","Routine Health Check"), "",
TRUE,""
)</f>
        <v>45860</v>
      </c>
      <c r="I2546" s="1" t="str">
        <f t="shared" si="78"/>
        <v>Follow-up Scheduled</v>
      </c>
      <c r="J2546" t="str">
        <f>TEXT(Table8[[#This Row],[visit_Date]],"DDDD")</f>
        <v>Tuesday</v>
      </c>
      <c r="K2546" t="str">
        <f>TEXT(Table8[[#This Row],[visit_Date]],"mmmm")</f>
        <v>July</v>
      </c>
      <c r="L2546" t="str">
        <f t="shared" si="79"/>
        <v>Monsoon</v>
      </c>
    </row>
    <row r="2547" spans="1:12" x14ac:dyDescent="0.25">
      <c r="A2547">
        <v>2546</v>
      </c>
      <c r="B2547">
        <v>1390</v>
      </c>
      <c r="C2547">
        <v>625</v>
      </c>
      <c r="D2547" s="1">
        <v>45792</v>
      </c>
      <c r="E2547" t="s">
        <v>24</v>
      </c>
      <c r="F2547" t="s">
        <v>321</v>
      </c>
      <c r="G2547" t="str">
        <f>_xlfn.XLOOKUP(TRIM(E2548),MedicineInfo!A:A,MedicineInfo!B:B,"Not Found")</f>
        <v>Multivitamin</v>
      </c>
      <c r="H2547" s="1" t="str" cm="1">
        <f t="array" ref="H2547">_xlfn.IFS(
OR(E2547="Type 2 Diabetes",E2547="Essential Hypertension",E2547="Angina Pectoris",E2547="Bronchial Asthma",E2547="Cardiac Arrhythmia"), D2547+30,
OR(E2547="Gastritis",E2547="Osteoarthritis",E2547="Bronchitis",E2547="Iron Deficiency Anemia"), D2547+14,
OR(E2547="Lumbar Strain",E2547="Migraine Headache"), D2547+7,
OR(E2547="Viral Fever",E2547="General Checkup","Routine Health Check"), "",
TRUE,""
)</f>
        <v/>
      </c>
      <c r="I2547" s="1" t="str">
        <f t="shared" si="78"/>
        <v>No Follow-up Required</v>
      </c>
      <c r="J2547" t="str">
        <f>TEXT(Table8[[#This Row],[visit_Date]],"DDDD")</f>
        <v>Thursday</v>
      </c>
      <c r="K2547" t="str">
        <f>TEXT(Table8[[#This Row],[visit_Date]],"mmmm")</f>
        <v>May</v>
      </c>
      <c r="L2547" t="str">
        <f t="shared" si="79"/>
        <v>Summer</v>
      </c>
    </row>
    <row r="2548" spans="1:12" x14ac:dyDescent="0.25">
      <c r="A2548">
        <v>2547</v>
      </c>
      <c r="B2548">
        <v>1215</v>
      </c>
      <c r="C2548">
        <v>146</v>
      </c>
      <c r="D2548" s="1">
        <v>45792</v>
      </c>
      <c r="E2548" t="s">
        <v>24</v>
      </c>
      <c r="F2548" t="s">
        <v>321</v>
      </c>
      <c r="G2548" t="str">
        <f>_xlfn.XLOOKUP(TRIM(E2549),MedicineInfo!A:A,MedicineInfo!B:B,"Not Found")</f>
        <v>Ferrous Sulfate</v>
      </c>
      <c r="H2548" s="1" t="str" cm="1">
        <f t="array" ref="H2548">_xlfn.IFS(
OR(E2548="Type 2 Diabetes",E2548="Essential Hypertension",E2548="Angina Pectoris",E2548="Bronchial Asthma",E2548="Cardiac Arrhythmia"), D2548+30,
OR(E2548="Gastritis",E2548="Osteoarthritis",E2548="Bronchitis",E2548="Iron Deficiency Anemia"), D2548+14,
OR(E2548="Lumbar Strain",E2548="Migraine Headache"), D2548+7,
OR(E2548="Viral Fever",E2548="General Checkup","Routine Health Check"), "",
TRUE,""
)</f>
        <v/>
      </c>
      <c r="I2548" s="1" t="str">
        <f t="shared" si="78"/>
        <v>No Follow-up Required</v>
      </c>
      <c r="J2548" t="str">
        <f>TEXT(Table8[[#This Row],[visit_Date]],"DDDD")</f>
        <v>Thursday</v>
      </c>
      <c r="K2548" t="str">
        <f>TEXT(Table8[[#This Row],[visit_Date]],"mmmm")</f>
        <v>May</v>
      </c>
      <c r="L2548" t="str">
        <f t="shared" si="79"/>
        <v>Summer</v>
      </c>
    </row>
    <row r="2549" spans="1:12" x14ac:dyDescent="0.25">
      <c r="A2549">
        <v>2548</v>
      </c>
      <c r="B2549">
        <v>1167</v>
      </c>
      <c r="C2549">
        <v>389</v>
      </c>
      <c r="D2549" s="1">
        <v>45823</v>
      </c>
      <c r="E2549" t="s">
        <v>358</v>
      </c>
      <c r="F2549" t="s">
        <v>359</v>
      </c>
      <c r="G2549" t="str">
        <f>_xlfn.XLOOKUP(TRIM(E2550),MedicineInfo!A:A,MedicineInfo!B:B,"Not Found")</f>
        <v>Multivitamin</v>
      </c>
      <c r="H2549" s="1" cm="1">
        <f t="array" ref="H2549">_xlfn.IFS(
OR(E2549="Type 2 Diabetes",E2549="Essential Hypertension",E2549="Angina Pectoris",E2549="Bronchial Asthma",E2549="Cardiac Arrhythmia"), D2549+30,
OR(E2549="Gastritis",E2549="Osteoarthritis",E2549="Bronchitis",E2549="Iron Deficiency Anemia"), D2549+14,
OR(E2549="Lumbar Strain",E2549="Migraine Headache"), D2549+7,
OR(E2549="Viral Fever",E2549="General Checkup","Routine Health Check"), "",
TRUE,""
)</f>
        <v>45837</v>
      </c>
      <c r="I2549" s="1" t="str">
        <f t="shared" si="78"/>
        <v>Follow-up Scheduled</v>
      </c>
      <c r="J2549" t="str">
        <f>TEXT(Table8[[#This Row],[visit_Date]],"DDDD")</f>
        <v>Sunday</v>
      </c>
      <c r="K2549" t="str">
        <f>TEXT(Table8[[#This Row],[visit_Date]],"mmmm")</f>
        <v>June</v>
      </c>
      <c r="L2549" t="str">
        <f t="shared" si="79"/>
        <v>Monsoon</v>
      </c>
    </row>
    <row r="2550" spans="1:12" x14ac:dyDescent="0.25">
      <c r="A2550">
        <v>2549</v>
      </c>
      <c r="B2550">
        <v>1200</v>
      </c>
      <c r="C2550">
        <v>1566</v>
      </c>
      <c r="D2550" s="1">
        <v>45777</v>
      </c>
      <c r="E2550" t="s">
        <v>24</v>
      </c>
      <c r="F2550" t="s">
        <v>321</v>
      </c>
      <c r="G2550" t="str">
        <f>_xlfn.XLOOKUP(TRIM(E2551),MedicineInfo!A:A,MedicineInfo!B:B,"Not Found")</f>
        <v>Multivitamin</v>
      </c>
      <c r="H2550" s="1" t="str" cm="1">
        <f t="array" ref="H2550">_xlfn.IFS(
OR(E2550="Type 2 Diabetes",E2550="Essential Hypertension",E2550="Angina Pectoris",E2550="Bronchial Asthma",E2550="Cardiac Arrhythmia"), D2550+30,
OR(E2550="Gastritis",E2550="Osteoarthritis",E2550="Bronchitis",E2550="Iron Deficiency Anemia"), D2550+14,
OR(E2550="Lumbar Strain",E2550="Migraine Headache"), D2550+7,
OR(E2550="Viral Fever",E2550="General Checkup","Routine Health Check"), "",
TRUE,""
)</f>
        <v/>
      </c>
      <c r="I2550" s="1" t="str">
        <f t="shared" si="78"/>
        <v>No Follow-up Required</v>
      </c>
      <c r="J2550" t="str">
        <f>TEXT(Table8[[#This Row],[visit_Date]],"DDDD")</f>
        <v>Wednesday</v>
      </c>
      <c r="K2550" t="str">
        <f>TEXT(Table8[[#This Row],[visit_Date]],"mmmm")</f>
        <v>April</v>
      </c>
      <c r="L2550" t="str">
        <f t="shared" si="79"/>
        <v>Summer</v>
      </c>
    </row>
    <row r="2551" spans="1:12" x14ac:dyDescent="0.25">
      <c r="A2551">
        <v>2550</v>
      </c>
      <c r="B2551">
        <v>1340</v>
      </c>
      <c r="C2551">
        <v>990</v>
      </c>
      <c r="D2551" s="1">
        <v>45660</v>
      </c>
      <c r="E2551" t="s">
        <v>24</v>
      </c>
      <c r="F2551" t="s">
        <v>321</v>
      </c>
      <c r="G2551" t="str">
        <f>_xlfn.XLOOKUP(TRIM(E2552),MedicineInfo!A:A,MedicineInfo!B:B,"Not Found")</f>
        <v>Multivitamin</v>
      </c>
      <c r="H2551" s="1" t="str" cm="1">
        <f t="array" ref="H2551">_xlfn.IFS(
OR(E2551="Type 2 Diabetes",E2551="Essential Hypertension",E2551="Angina Pectoris",E2551="Bronchial Asthma",E2551="Cardiac Arrhythmia"), D2551+30,
OR(E2551="Gastritis",E2551="Osteoarthritis",E2551="Bronchitis",E2551="Iron Deficiency Anemia"), D2551+14,
OR(E2551="Lumbar Strain",E2551="Migraine Headache"), D2551+7,
OR(E2551="Viral Fever",E2551="General Checkup","Routine Health Check"), "",
TRUE,""
)</f>
        <v/>
      </c>
      <c r="I2551" s="1" t="str">
        <f t="shared" si="78"/>
        <v>No Follow-up Required</v>
      </c>
      <c r="J2551" t="str">
        <f>TEXT(Table8[[#This Row],[visit_Date]],"DDDD")</f>
        <v>Friday</v>
      </c>
      <c r="K2551" t="str">
        <f>TEXT(Table8[[#This Row],[visit_Date]],"mmmm")</f>
        <v>January</v>
      </c>
      <c r="L2551" t="str">
        <f t="shared" si="79"/>
        <v>Winter</v>
      </c>
    </row>
    <row r="2552" spans="1:12" x14ac:dyDescent="0.25">
      <c r="A2552">
        <v>2551</v>
      </c>
      <c r="B2552">
        <v>1222</v>
      </c>
      <c r="C2552">
        <v>476</v>
      </c>
      <c r="D2552" s="1">
        <v>45719</v>
      </c>
      <c r="E2552" t="s">
        <v>24</v>
      </c>
      <c r="F2552" t="s">
        <v>321</v>
      </c>
      <c r="G2552" t="str">
        <f>_xlfn.XLOOKUP(TRIM(E2553),MedicineInfo!A:A,MedicineInfo!B:B,"Not Found")</f>
        <v>Multivitamin</v>
      </c>
      <c r="H2552" s="1" t="str" cm="1">
        <f t="array" ref="H2552">_xlfn.IFS(
OR(E2552="Type 2 Diabetes",E2552="Essential Hypertension",E2552="Angina Pectoris",E2552="Bronchial Asthma",E2552="Cardiac Arrhythmia"), D2552+30,
OR(E2552="Gastritis",E2552="Osteoarthritis",E2552="Bronchitis",E2552="Iron Deficiency Anemia"), D2552+14,
OR(E2552="Lumbar Strain",E2552="Migraine Headache"), D2552+7,
OR(E2552="Viral Fever",E2552="General Checkup","Routine Health Check"), "",
TRUE,""
)</f>
        <v/>
      </c>
      <c r="I2552" s="1" t="str">
        <f t="shared" si="78"/>
        <v>No Follow-up Required</v>
      </c>
      <c r="J2552" t="str">
        <f>TEXT(Table8[[#This Row],[visit_Date]],"DDDD")</f>
        <v>Monday</v>
      </c>
      <c r="K2552" t="str">
        <f>TEXT(Table8[[#This Row],[visit_Date]],"mmmm")</f>
        <v>March</v>
      </c>
      <c r="L2552" t="str">
        <f t="shared" si="79"/>
        <v>Summer</v>
      </c>
    </row>
    <row r="2553" spans="1:12" x14ac:dyDescent="0.25">
      <c r="A2553">
        <v>2552</v>
      </c>
      <c r="B2553">
        <v>1280</v>
      </c>
      <c r="C2553">
        <v>1275</v>
      </c>
      <c r="D2553" s="1">
        <v>45735</v>
      </c>
      <c r="E2553" t="s">
        <v>24</v>
      </c>
      <c r="F2553" t="s">
        <v>321</v>
      </c>
      <c r="G2553" t="str">
        <f>_xlfn.XLOOKUP(TRIM(E2554),MedicineInfo!A:A,MedicineInfo!B:B,"Not Found")</f>
        <v>Multivitamin</v>
      </c>
      <c r="H2553" s="1" t="str" cm="1">
        <f t="array" ref="H2553">_xlfn.IFS(
OR(E2553="Type 2 Diabetes",E2553="Essential Hypertension",E2553="Angina Pectoris",E2553="Bronchial Asthma",E2553="Cardiac Arrhythmia"), D2553+30,
OR(E2553="Gastritis",E2553="Osteoarthritis",E2553="Bronchitis",E2553="Iron Deficiency Anemia"), D2553+14,
OR(E2553="Lumbar Strain",E2553="Migraine Headache"), D2553+7,
OR(E2553="Viral Fever",E2553="General Checkup","Routine Health Check"), "",
TRUE,""
)</f>
        <v/>
      </c>
      <c r="I2553" s="1" t="str">
        <f t="shared" si="78"/>
        <v>No Follow-up Required</v>
      </c>
      <c r="J2553" t="str">
        <f>TEXT(Table8[[#This Row],[visit_Date]],"DDDD")</f>
        <v>Wednesday</v>
      </c>
      <c r="K2553" t="str">
        <f>TEXT(Table8[[#This Row],[visit_Date]],"mmmm")</f>
        <v>March</v>
      </c>
      <c r="L2553" t="str">
        <f t="shared" si="79"/>
        <v>Summer</v>
      </c>
    </row>
    <row r="2554" spans="1:12" x14ac:dyDescent="0.25">
      <c r="A2554">
        <v>2553</v>
      </c>
      <c r="B2554">
        <v>1041</v>
      </c>
      <c r="C2554">
        <v>1311</v>
      </c>
      <c r="D2554" s="1">
        <v>45823</v>
      </c>
      <c r="E2554" t="s">
        <v>24</v>
      </c>
      <c r="F2554" t="s">
        <v>321</v>
      </c>
      <c r="G2554" t="str">
        <f>_xlfn.XLOOKUP(TRIM(E2555),MedicineInfo!A:A,MedicineInfo!B:B,"Not Found")</f>
        <v>Multivitamin</v>
      </c>
      <c r="H2554" s="1" t="str" cm="1">
        <f t="array" ref="H2554">_xlfn.IFS(
OR(E2554="Type 2 Diabetes",E2554="Essential Hypertension",E2554="Angina Pectoris",E2554="Bronchial Asthma",E2554="Cardiac Arrhythmia"), D2554+30,
OR(E2554="Gastritis",E2554="Osteoarthritis",E2554="Bronchitis",E2554="Iron Deficiency Anemia"), D2554+14,
OR(E2554="Lumbar Strain",E2554="Migraine Headache"), D2554+7,
OR(E2554="Viral Fever",E2554="General Checkup","Routine Health Check"), "",
TRUE,""
)</f>
        <v/>
      </c>
      <c r="I2554" s="1" t="str">
        <f t="shared" si="78"/>
        <v>No Follow-up Required</v>
      </c>
      <c r="J2554" t="str">
        <f>TEXT(Table8[[#This Row],[visit_Date]],"DDDD")</f>
        <v>Sunday</v>
      </c>
      <c r="K2554" t="str">
        <f>TEXT(Table8[[#This Row],[visit_Date]],"mmmm")</f>
        <v>June</v>
      </c>
      <c r="L2554" t="str">
        <f t="shared" si="79"/>
        <v>Monsoon</v>
      </c>
    </row>
    <row r="2555" spans="1:12" x14ac:dyDescent="0.25">
      <c r="A2555">
        <v>2554</v>
      </c>
      <c r="B2555">
        <v>1314</v>
      </c>
      <c r="C2555">
        <v>1062</v>
      </c>
      <c r="D2555" s="1">
        <v>45819</v>
      </c>
      <c r="E2555" t="s">
        <v>24</v>
      </c>
      <c r="F2555" t="s">
        <v>321</v>
      </c>
      <c r="G2555" t="str">
        <f>_xlfn.XLOOKUP(TRIM(E2556),MedicineInfo!A:A,MedicineInfo!B:B,"Not Found")</f>
        <v>Multivitamin</v>
      </c>
      <c r="H2555" s="1" t="str" cm="1">
        <f t="array" ref="H2555">_xlfn.IFS(
OR(E2555="Type 2 Diabetes",E2555="Essential Hypertension",E2555="Angina Pectoris",E2555="Bronchial Asthma",E2555="Cardiac Arrhythmia"), D2555+30,
OR(E2555="Gastritis",E2555="Osteoarthritis",E2555="Bronchitis",E2555="Iron Deficiency Anemia"), D2555+14,
OR(E2555="Lumbar Strain",E2555="Migraine Headache"), D2555+7,
OR(E2555="Viral Fever",E2555="General Checkup","Routine Health Check"), "",
TRUE,""
)</f>
        <v/>
      </c>
      <c r="I2555" s="1" t="str">
        <f t="shared" si="78"/>
        <v>No Follow-up Required</v>
      </c>
      <c r="J2555" t="str">
        <f>TEXT(Table8[[#This Row],[visit_Date]],"DDDD")</f>
        <v>Wednesday</v>
      </c>
      <c r="K2555" t="str">
        <f>TEXT(Table8[[#This Row],[visit_Date]],"mmmm")</f>
        <v>June</v>
      </c>
      <c r="L2555" t="str">
        <f t="shared" si="79"/>
        <v>Monsoon</v>
      </c>
    </row>
    <row r="2556" spans="1:12" x14ac:dyDescent="0.25">
      <c r="A2556">
        <v>2555</v>
      </c>
      <c r="B2556">
        <v>1158</v>
      </c>
      <c r="C2556">
        <v>832</v>
      </c>
      <c r="D2556" s="1">
        <v>45772</v>
      </c>
      <c r="E2556" t="s">
        <v>24</v>
      </c>
      <c r="F2556" t="s">
        <v>321</v>
      </c>
      <c r="G2556" t="str">
        <f>_xlfn.XLOOKUP(TRIM(E2557),MedicineInfo!A:A,MedicineInfo!B:B,"Not Found")</f>
        <v>Multivitamin</v>
      </c>
      <c r="H2556" s="1" t="str" cm="1">
        <f t="array" ref="H2556">_xlfn.IFS(
OR(E2556="Type 2 Diabetes",E2556="Essential Hypertension",E2556="Angina Pectoris",E2556="Bronchial Asthma",E2556="Cardiac Arrhythmia"), D2556+30,
OR(E2556="Gastritis",E2556="Osteoarthritis",E2556="Bronchitis",E2556="Iron Deficiency Anemia"), D2556+14,
OR(E2556="Lumbar Strain",E2556="Migraine Headache"), D2556+7,
OR(E2556="Viral Fever",E2556="General Checkup","Routine Health Check"), "",
TRUE,""
)</f>
        <v/>
      </c>
      <c r="I2556" s="1" t="str">
        <f t="shared" si="78"/>
        <v>No Follow-up Required</v>
      </c>
      <c r="J2556" t="str">
        <f>TEXT(Table8[[#This Row],[visit_Date]],"DDDD")</f>
        <v>Friday</v>
      </c>
      <c r="K2556" t="str">
        <f>TEXT(Table8[[#This Row],[visit_Date]],"mmmm")</f>
        <v>April</v>
      </c>
      <c r="L2556" t="str">
        <f t="shared" si="79"/>
        <v>Summer</v>
      </c>
    </row>
    <row r="2557" spans="1:12" x14ac:dyDescent="0.25">
      <c r="A2557">
        <v>2556</v>
      </c>
      <c r="B2557">
        <v>1229</v>
      </c>
      <c r="C2557">
        <v>263</v>
      </c>
      <c r="D2557" s="1">
        <v>45776</v>
      </c>
      <c r="E2557" t="s">
        <v>24</v>
      </c>
      <c r="F2557" t="s">
        <v>321</v>
      </c>
      <c r="G2557" t="str">
        <f>_xlfn.XLOOKUP(TRIM(E2558),MedicineInfo!A:A,MedicineInfo!B:B,"Not Found")</f>
        <v>Sodium Valproate</v>
      </c>
      <c r="H2557" s="1" t="str" cm="1">
        <f t="array" ref="H2557">_xlfn.IFS(
OR(E2557="Type 2 Diabetes",E2557="Essential Hypertension",E2557="Angina Pectoris",E2557="Bronchial Asthma",E2557="Cardiac Arrhythmia"), D2557+30,
OR(E2557="Gastritis",E2557="Osteoarthritis",E2557="Bronchitis",E2557="Iron Deficiency Anemia"), D2557+14,
OR(E2557="Lumbar Strain",E2557="Migraine Headache"), D2557+7,
OR(E2557="Viral Fever",E2557="General Checkup","Routine Health Check"), "",
TRUE,""
)</f>
        <v/>
      </c>
      <c r="I2557" s="1" t="str">
        <f t="shared" si="78"/>
        <v>No Follow-up Required</v>
      </c>
      <c r="J2557" t="str">
        <f>TEXT(Table8[[#This Row],[visit_Date]],"DDDD")</f>
        <v>Tuesday</v>
      </c>
      <c r="K2557" t="str">
        <f>TEXT(Table8[[#This Row],[visit_Date]],"mmmm")</f>
        <v>April</v>
      </c>
      <c r="L2557" t="str">
        <f t="shared" si="79"/>
        <v>Summer</v>
      </c>
    </row>
    <row r="2558" spans="1:12" x14ac:dyDescent="0.25">
      <c r="A2558">
        <v>2557</v>
      </c>
      <c r="B2558">
        <v>1015</v>
      </c>
      <c r="C2558">
        <v>1181</v>
      </c>
      <c r="D2558" s="1">
        <v>45819</v>
      </c>
      <c r="E2558" t="s">
        <v>352</v>
      </c>
      <c r="F2558" t="s">
        <v>353</v>
      </c>
      <c r="G2558" t="str">
        <f>_xlfn.XLOOKUP(TRIM(E2559),MedicineInfo!A:A,MedicineInfo!B:B,"Not Found")</f>
        <v>Multivitamin</v>
      </c>
      <c r="H2558" s="1" t="str" cm="1">
        <f t="array" ref="H2558">_xlfn.IFS(
OR(E2558="Type 2 Diabetes",E2558="Essential Hypertension",E2558="Angina Pectoris",E2558="Bronchial Asthma",E2558="Cardiac Arrhythmia"), D2558+30,
OR(E2558="Gastritis",E2558="Osteoarthritis",E2558="Bronchitis",E2558="Iron Deficiency Anemia"), D2558+14,
OR(E2558="Lumbar Strain",E2558="Migraine Headache"), D2558+7,
OR(E2558="Viral Fever",E2558="General Checkup","Routine Health Check"), "",
TRUE,""
)</f>
        <v/>
      </c>
      <c r="I2558" s="1" t="str">
        <f t="shared" si="78"/>
        <v>No Follow-up Required</v>
      </c>
      <c r="J2558" t="str">
        <f>TEXT(Table8[[#This Row],[visit_Date]],"DDDD")</f>
        <v>Wednesday</v>
      </c>
      <c r="K2558" t="str">
        <f>TEXT(Table8[[#This Row],[visit_Date]],"mmmm")</f>
        <v>June</v>
      </c>
      <c r="L2558" t="str">
        <f t="shared" si="79"/>
        <v>Monsoon</v>
      </c>
    </row>
    <row r="2559" spans="1:12" x14ac:dyDescent="0.25">
      <c r="A2559">
        <v>2558</v>
      </c>
      <c r="B2559">
        <v>1319</v>
      </c>
      <c r="C2559">
        <v>488</v>
      </c>
      <c r="D2559" s="1">
        <v>45765</v>
      </c>
      <c r="E2559" t="s">
        <v>24</v>
      </c>
      <c r="F2559" t="s">
        <v>321</v>
      </c>
      <c r="G2559" t="str">
        <f>_xlfn.XLOOKUP(TRIM(E2560),MedicineInfo!A:A,MedicineInfo!B:B,"Not Found")</f>
        <v>Multivitamin</v>
      </c>
      <c r="H2559" s="1" t="str" cm="1">
        <f t="array" ref="H2559">_xlfn.IFS(
OR(E2559="Type 2 Diabetes",E2559="Essential Hypertension",E2559="Angina Pectoris",E2559="Bronchial Asthma",E2559="Cardiac Arrhythmia"), D2559+30,
OR(E2559="Gastritis",E2559="Osteoarthritis",E2559="Bronchitis",E2559="Iron Deficiency Anemia"), D2559+14,
OR(E2559="Lumbar Strain",E2559="Migraine Headache"), D2559+7,
OR(E2559="Viral Fever",E2559="General Checkup","Routine Health Check"), "",
TRUE,""
)</f>
        <v/>
      </c>
      <c r="I2559" s="1" t="str">
        <f t="shared" si="78"/>
        <v>No Follow-up Required</v>
      </c>
      <c r="J2559" t="str">
        <f>TEXT(Table8[[#This Row],[visit_Date]],"DDDD")</f>
        <v>Friday</v>
      </c>
      <c r="K2559" t="str">
        <f>TEXT(Table8[[#This Row],[visit_Date]],"mmmm")</f>
        <v>April</v>
      </c>
      <c r="L2559" t="str">
        <f t="shared" si="79"/>
        <v>Summer</v>
      </c>
    </row>
    <row r="2560" spans="1:12" x14ac:dyDescent="0.25">
      <c r="A2560">
        <v>2559</v>
      </c>
      <c r="B2560">
        <v>1098</v>
      </c>
      <c r="C2560">
        <v>1325</v>
      </c>
      <c r="D2560" s="1">
        <v>45758</v>
      </c>
      <c r="E2560" t="s">
        <v>24</v>
      </c>
      <c r="F2560" t="s">
        <v>321</v>
      </c>
      <c r="G2560" t="str">
        <f>_xlfn.XLOOKUP(TRIM(E2561),MedicineInfo!A:A,MedicineInfo!B:B,"Not Found")</f>
        <v>Multivitamin</v>
      </c>
      <c r="H2560" s="1" t="str" cm="1">
        <f t="array" ref="H2560">_xlfn.IFS(
OR(E2560="Type 2 Diabetes",E2560="Essential Hypertension",E2560="Angina Pectoris",E2560="Bronchial Asthma",E2560="Cardiac Arrhythmia"), D2560+30,
OR(E2560="Gastritis",E2560="Osteoarthritis",E2560="Bronchitis",E2560="Iron Deficiency Anemia"), D2560+14,
OR(E2560="Lumbar Strain",E2560="Migraine Headache"), D2560+7,
OR(E2560="Viral Fever",E2560="General Checkup","Routine Health Check"), "",
TRUE,""
)</f>
        <v/>
      </c>
      <c r="I2560" s="1" t="str">
        <f t="shared" si="78"/>
        <v>No Follow-up Required</v>
      </c>
      <c r="J2560" t="str">
        <f>TEXT(Table8[[#This Row],[visit_Date]],"DDDD")</f>
        <v>Friday</v>
      </c>
      <c r="K2560" t="str">
        <f>TEXT(Table8[[#This Row],[visit_Date]],"mmmm")</f>
        <v>April</v>
      </c>
      <c r="L2560" t="str">
        <f t="shared" si="79"/>
        <v>Summer</v>
      </c>
    </row>
    <row r="2561" spans="1:12" x14ac:dyDescent="0.25">
      <c r="A2561">
        <v>2560</v>
      </c>
      <c r="B2561">
        <v>1322</v>
      </c>
      <c r="C2561">
        <v>855</v>
      </c>
      <c r="D2561" s="1">
        <v>45791</v>
      </c>
      <c r="E2561" t="s">
        <v>24</v>
      </c>
      <c r="F2561" t="s">
        <v>321</v>
      </c>
      <c r="G2561" t="str">
        <f>_xlfn.XLOOKUP(TRIM(E2562),MedicineInfo!A:A,MedicineInfo!B:B,"Not Found")</f>
        <v>Multivitamin</v>
      </c>
      <c r="H2561" s="1" t="str" cm="1">
        <f t="array" ref="H2561">_xlfn.IFS(
OR(E2561="Type 2 Diabetes",E2561="Essential Hypertension",E2561="Angina Pectoris",E2561="Bronchial Asthma",E2561="Cardiac Arrhythmia"), D2561+30,
OR(E2561="Gastritis",E2561="Osteoarthritis",E2561="Bronchitis",E2561="Iron Deficiency Anemia"), D2561+14,
OR(E2561="Lumbar Strain",E2561="Migraine Headache"), D2561+7,
OR(E2561="Viral Fever",E2561="General Checkup","Routine Health Check"), "",
TRUE,""
)</f>
        <v/>
      </c>
      <c r="I2561" s="1" t="str">
        <f t="shared" si="78"/>
        <v>No Follow-up Required</v>
      </c>
      <c r="J2561" t="str">
        <f>TEXT(Table8[[#This Row],[visit_Date]],"DDDD")</f>
        <v>Wednesday</v>
      </c>
      <c r="K2561" t="str">
        <f>TEXT(Table8[[#This Row],[visit_Date]],"mmmm")</f>
        <v>May</v>
      </c>
      <c r="L2561" t="str">
        <f t="shared" si="79"/>
        <v>Summer</v>
      </c>
    </row>
    <row r="2562" spans="1:12" x14ac:dyDescent="0.25">
      <c r="A2562">
        <v>2561</v>
      </c>
      <c r="B2562">
        <v>1028</v>
      </c>
      <c r="C2562">
        <v>133</v>
      </c>
      <c r="D2562" s="1">
        <v>45790</v>
      </c>
      <c r="E2562" t="s">
        <v>24</v>
      </c>
      <c r="F2562" t="s">
        <v>321</v>
      </c>
      <c r="G2562" t="str">
        <f>_xlfn.XLOOKUP(TRIM(E2563),MedicineInfo!A:A,MedicineInfo!B:B,"Not Found")</f>
        <v>Multivitamin</v>
      </c>
      <c r="H2562" s="1" t="str" cm="1">
        <f t="array" ref="H2562">_xlfn.IFS(
OR(E2562="Type 2 Diabetes",E2562="Essential Hypertension",E2562="Angina Pectoris",E2562="Bronchial Asthma",E2562="Cardiac Arrhythmia"), D2562+30,
OR(E2562="Gastritis",E2562="Osteoarthritis",E2562="Bronchitis",E2562="Iron Deficiency Anemia"), D2562+14,
OR(E2562="Lumbar Strain",E2562="Migraine Headache"), D2562+7,
OR(E2562="Viral Fever",E2562="General Checkup","Routine Health Check"), "",
TRUE,""
)</f>
        <v/>
      </c>
      <c r="I2562" s="1" t="str">
        <f t="shared" ref="I2562:I2625" si="80">IF(H2562="","No Follow-up Required","Follow-up Scheduled")</f>
        <v>No Follow-up Required</v>
      </c>
      <c r="J2562" t="str">
        <f>TEXT(Table8[[#This Row],[visit_Date]],"DDDD")</f>
        <v>Tuesday</v>
      </c>
      <c r="K2562" t="str">
        <f>TEXT(Table8[[#This Row],[visit_Date]],"mmmm")</f>
        <v>May</v>
      </c>
      <c r="L2562" t="str">
        <f t="shared" ref="L2562:L2625" si="81">IF(OR(MONTH(D2562)=12,MONTH(D2562)&lt;=2),"Winter",
IF(MONTH(D2562)&lt;=5,"Summer","Monsoon"))</f>
        <v>Summer</v>
      </c>
    </row>
    <row r="2563" spans="1:12" x14ac:dyDescent="0.25">
      <c r="A2563">
        <v>2562</v>
      </c>
      <c r="B2563">
        <v>1377</v>
      </c>
      <c r="C2563">
        <v>1364</v>
      </c>
      <c r="D2563" s="1">
        <v>45806</v>
      </c>
      <c r="E2563" t="s">
        <v>24</v>
      </c>
      <c r="F2563" t="s">
        <v>321</v>
      </c>
      <c r="G2563" t="str">
        <f>_xlfn.XLOOKUP(TRIM(E2564),MedicineInfo!A:A,MedicineInfo!B:B,"Not Found")</f>
        <v>Multivitamin</v>
      </c>
      <c r="H2563" s="1" t="str" cm="1">
        <f t="array" ref="H2563">_xlfn.IFS(
OR(E2563="Type 2 Diabetes",E2563="Essential Hypertension",E2563="Angina Pectoris",E2563="Bronchial Asthma",E2563="Cardiac Arrhythmia"), D2563+30,
OR(E2563="Gastritis",E2563="Osteoarthritis",E2563="Bronchitis",E2563="Iron Deficiency Anemia"), D2563+14,
OR(E2563="Lumbar Strain",E2563="Migraine Headache"), D2563+7,
OR(E2563="Viral Fever",E2563="General Checkup","Routine Health Check"), "",
TRUE,""
)</f>
        <v/>
      </c>
      <c r="I2563" s="1" t="str">
        <f t="shared" si="80"/>
        <v>No Follow-up Required</v>
      </c>
      <c r="J2563" t="str">
        <f>TEXT(Table8[[#This Row],[visit_Date]],"DDDD")</f>
        <v>Thursday</v>
      </c>
      <c r="K2563" t="str">
        <f>TEXT(Table8[[#This Row],[visit_Date]],"mmmm")</f>
        <v>May</v>
      </c>
      <c r="L2563" t="str">
        <f t="shared" si="81"/>
        <v>Summer</v>
      </c>
    </row>
    <row r="2564" spans="1:12" x14ac:dyDescent="0.25">
      <c r="A2564">
        <v>2563</v>
      </c>
      <c r="B2564">
        <v>1011</v>
      </c>
      <c r="C2564">
        <v>487</v>
      </c>
      <c r="D2564" s="1">
        <v>45767</v>
      </c>
      <c r="E2564" t="s">
        <v>24</v>
      </c>
      <c r="F2564" t="s">
        <v>321</v>
      </c>
      <c r="G2564" t="str">
        <f>_xlfn.XLOOKUP(TRIM(E2565),MedicineInfo!A:A,MedicineInfo!B:B,"Not Found")</f>
        <v>Multivitamin</v>
      </c>
      <c r="H2564" s="1" t="str" cm="1">
        <f t="array" ref="H2564">_xlfn.IFS(
OR(E2564="Type 2 Diabetes",E2564="Essential Hypertension",E2564="Angina Pectoris",E2564="Bronchial Asthma",E2564="Cardiac Arrhythmia"), D2564+30,
OR(E2564="Gastritis",E2564="Osteoarthritis",E2564="Bronchitis",E2564="Iron Deficiency Anemia"), D2564+14,
OR(E2564="Lumbar Strain",E2564="Migraine Headache"), D2564+7,
OR(E2564="Viral Fever",E2564="General Checkup","Routine Health Check"), "",
TRUE,""
)</f>
        <v/>
      </c>
      <c r="I2564" s="1" t="str">
        <f t="shared" si="80"/>
        <v>No Follow-up Required</v>
      </c>
      <c r="J2564" t="str">
        <f>TEXT(Table8[[#This Row],[visit_Date]],"DDDD")</f>
        <v>Sunday</v>
      </c>
      <c r="K2564" t="str">
        <f>TEXT(Table8[[#This Row],[visit_Date]],"mmmm")</f>
        <v>April</v>
      </c>
      <c r="L2564" t="str">
        <f t="shared" si="81"/>
        <v>Summer</v>
      </c>
    </row>
    <row r="2565" spans="1:12" x14ac:dyDescent="0.25">
      <c r="A2565">
        <v>2564</v>
      </c>
      <c r="B2565">
        <v>1191</v>
      </c>
      <c r="C2565">
        <v>332</v>
      </c>
      <c r="D2565" s="1">
        <v>45786</v>
      </c>
      <c r="E2565" t="s">
        <v>24</v>
      </c>
      <c r="F2565" t="s">
        <v>321</v>
      </c>
      <c r="G2565" t="str">
        <f>_xlfn.XLOOKUP(TRIM(E2566),MedicineInfo!A:A,MedicineInfo!B:B,"Not Found")</f>
        <v>Multivitamin</v>
      </c>
      <c r="H2565" s="1" t="str" cm="1">
        <f t="array" ref="H2565">_xlfn.IFS(
OR(E2565="Type 2 Diabetes",E2565="Essential Hypertension",E2565="Angina Pectoris",E2565="Bronchial Asthma",E2565="Cardiac Arrhythmia"), D2565+30,
OR(E2565="Gastritis",E2565="Osteoarthritis",E2565="Bronchitis",E2565="Iron Deficiency Anemia"), D2565+14,
OR(E2565="Lumbar Strain",E2565="Migraine Headache"), D2565+7,
OR(E2565="Viral Fever",E2565="General Checkup","Routine Health Check"), "",
TRUE,""
)</f>
        <v/>
      </c>
      <c r="I2565" s="1" t="str">
        <f t="shared" si="80"/>
        <v>No Follow-up Required</v>
      </c>
      <c r="J2565" t="str">
        <f>TEXT(Table8[[#This Row],[visit_Date]],"DDDD")</f>
        <v>Friday</v>
      </c>
      <c r="K2565" t="str">
        <f>TEXT(Table8[[#This Row],[visit_Date]],"mmmm")</f>
        <v>May</v>
      </c>
      <c r="L2565" t="str">
        <f t="shared" si="81"/>
        <v>Summer</v>
      </c>
    </row>
    <row r="2566" spans="1:12" x14ac:dyDescent="0.25">
      <c r="A2566">
        <v>2565</v>
      </c>
      <c r="B2566">
        <v>1011</v>
      </c>
      <c r="C2566">
        <v>1432</v>
      </c>
      <c r="D2566" s="1">
        <v>45799</v>
      </c>
      <c r="E2566" t="s">
        <v>24</v>
      </c>
      <c r="F2566" t="s">
        <v>321</v>
      </c>
      <c r="G2566" t="str">
        <f>_xlfn.XLOOKUP(TRIM(E2567),MedicineInfo!A:A,MedicineInfo!B:B,"Not Found")</f>
        <v>Multivitamin</v>
      </c>
      <c r="H2566" s="1" t="str" cm="1">
        <f t="array" ref="H2566">_xlfn.IFS(
OR(E2566="Type 2 Diabetes",E2566="Essential Hypertension",E2566="Angina Pectoris",E2566="Bronchial Asthma",E2566="Cardiac Arrhythmia"), D2566+30,
OR(E2566="Gastritis",E2566="Osteoarthritis",E2566="Bronchitis",E2566="Iron Deficiency Anemia"), D2566+14,
OR(E2566="Lumbar Strain",E2566="Migraine Headache"), D2566+7,
OR(E2566="Viral Fever",E2566="General Checkup","Routine Health Check"), "",
TRUE,""
)</f>
        <v/>
      </c>
      <c r="I2566" s="1" t="str">
        <f t="shared" si="80"/>
        <v>No Follow-up Required</v>
      </c>
      <c r="J2566" t="str">
        <f>TEXT(Table8[[#This Row],[visit_Date]],"DDDD")</f>
        <v>Thursday</v>
      </c>
      <c r="K2566" t="str">
        <f>TEXT(Table8[[#This Row],[visit_Date]],"mmmm")</f>
        <v>May</v>
      </c>
      <c r="L2566" t="str">
        <f t="shared" si="81"/>
        <v>Summer</v>
      </c>
    </row>
    <row r="2567" spans="1:12" x14ac:dyDescent="0.25">
      <c r="A2567">
        <v>2566</v>
      </c>
      <c r="B2567">
        <v>1335</v>
      </c>
      <c r="C2567">
        <v>738</v>
      </c>
      <c r="D2567" s="1">
        <v>45719</v>
      </c>
      <c r="E2567" t="s">
        <v>24</v>
      </c>
      <c r="F2567" t="s">
        <v>321</v>
      </c>
      <c r="G2567" t="str">
        <f>_xlfn.XLOOKUP(TRIM(E2568),MedicineInfo!A:A,MedicineInfo!B:B,"Not Found")</f>
        <v>Multivitamin</v>
      </c>
      <c r="H2567" s="1" t="str" cm="1">
        <f t="array" ref="H2567">_xlfn.IFS(
OR(E2567="Type 2 Diabetes",E2567="Essential Hypertension",E2567="Angina Pectoris",E2567="Bronchial Asthma",E2567="Cardiac Arrhythmia"), D2567+30,
OR(E2567="Gastritis",E2567="Osteoarthritis",E2567="Bronchitis",E2567="Iron Deficiency Anemia"), D2567+14,
OR(E2567="Lumbar Strain",E2567="Migraine Headache"), D2567+7,
OR(E2567="Viral Fever",E2567="General Checkup","Routine Health Check"), "",
TRUE,""
)</f>
        <v/>
      </c>
      <c r="I2567" s="1" t="str">
        <f t="shared" si="80"/>
        <v>No Follow-up Required</v>
      </c>
      <c r="J2567" t="str">
        <f>TEXT(Table8[[#This Row],[visit_Date]],"DDDD")</f>
        <v>Monday</v>
      </c>
      <c r="K2567" t="str">
        <f>TEXT(Table8[[#This Row],[visit_Date]],"mmmm")</f>
        <v>March</v>
      </c>
      <c r="L2567" t="str">
        <f t="shared" si="81"/>
        <v>Summer</v>
      </c>
    </row>
    <row r="2568" spans="1:12" x14ac:dyDescent="0.25">
      <c r="A2568">
        <v>2567</v>
      </c>
      <c r="B2568">
        <v>1156</v>
      </c>
      <c r="C2568">
        <v>619</v>
      </c>
      <c r="D2568" s="1">
        <v>45669</v>
      </c>
      <c r="E2568" t="s">
        <v>24</v>
      </c>
      <c r="F2568" t="s">
        <v>321</v>
      </c>
      <c r="G2568" t="str">
        <f>_xlfn.XLOOKUP(TRIM(E2569),MedicineInfo!A:A,MedicineInfo!B:B,"Not Found")</f>
        <v>Multivitamin</v>
      </c>
      <c r="H2568" s="1" t="str" cm="1">
        <f t="array" ref="H2568">_xlfn.IFS(
OR(E2568="Type 2 Diabetes",E2568="Essential Hypertension",E2568="Angina Pectoris",E2568="Bronchial Asthma",E2568="Cardiac Arrhythmia"), D2568+30,
OR(E2568="Gastritis",E2568="Osteoarthritis",E2568="Bronchitis",E2568="Iron Deficiency Anemia"), D2568+14,
OR(E2568="Lumbar Strain",E2568="Migraine Headache"), D2568+7,
OR(E2568="Viral Fever",E2568="General Checkup","Routine Health Check"), "",
TRUE,""
)</f>
        <v/>
      </c>
      <c r="I2568" s="1" t="str">
        <f t="shared" si="80"/>
        <v>No Follow-up Required</v>
      </c>
      <c r="J2568" t="str">
        <f>TEXT(Table8[[#This Row],[visit_Date]],"DDDD")</f>
        <v>Sunday</v>
      </c>
      <c r="K2568" t="str">
        <f>TEXT(Table8[[#This Row],[visit_Date]],"mmmm")</f>
        <v>January</v>
      </c>
      <c r="L2568" t="str">
        <f t="shared" si="81"/>
        <v>Winter</v>
      </c>
    </row>
    <row r="2569" spans="1:12" x14ac:dyDescent="0.25">
      <c r="A2569">
        <v>2568</v>
      </c>
      <c r="B2569">
        <v>1085</v>
      </c>
      <c r="C2569">
        <v>696</v>
      </c>
      <c r="D2569" s="1">
        <v>45746</v>
      </c>
      <c r="E2569" t="s">
        <v>24</v>
      </c>
      <c r="F2569" t="s">
        <v>321</v>
      </c>
      <c r="G2569" t="str">
        <f>_xlfn.XLOOKUP(TRIM(E2570),MedicineInfo!A:A,MedicineInfo!B:B,"Not Found")</f>
        <v>Multivitamin</v>
      </c>
      <c r="H2569" s="1" t="str" cm="1">
        <f t="array" ref="H2569">_xlfn.IFS(
OR(E2569="Type 2 Diabetes",E2569="Essential Hypertension",E2569="Angina Pectoris",E2569="Bronchial Asthma",E2569="Cardiac Arrhythmia"), D2569+30,
OR(E2569="Gastritis",E2569="Osteoarthritis",E2569="Bronchitis",E2569="Iron Deficiency Anemia"), D2569+14,
OR(E2569="Lumbar Strain",E2569="Migraine Headache"), D2569+7,
OR(E2569="Viral Fever",E2569="General Checkup","Routine Health Check"), "",
TRUE,""
)</f>
        <v/>
      </c>
      <c r="I2569" s="1" t="str">
        <f t="shared" si="80"/>
        <v>No Follow-up Required</v>
      </c>
      <c r="J2569" t="str">
        <f>TEXT(Table8[[#This Row],[visit_Date]],"DDDD")</f>
        <v>Sunday</v>
      </c>
      <c r="K2569" t="str">
        <f>TEXT(Table8[[#This Row],[visit_Date]],"mmmm")</f>
        <v>March</v>
      </c>
      <c r="L2569" t="str">
        <f t="shared" si="81"/>
        <v>Summer</v>
      </c>
    </row>
    <row r="2570" spans="1:12" x14ac:dyDescent="0.25">
      <c r="A2570">
        <v>2569</v>
      </c>
      <c r="B2570">
        <v>1102</v>
      </c>
      <c r="C2570">
        <v>325</v>
      </c>
      <c r="D2570" s="1">
        <v>45854</v>
      </c>
      <c r="E2570" t="s">
        <v>24</v>
      </c>
      <c r="F2570" t="s">
        <v>321</v>
      </c>
      <c r="G2570" t="str">
        <f>_xlfn.XLOOKUP(TRIM(E2571),MedicineInfo!A:A,MedicineInfo!B:B,"Not Found")</f>
        <v>Multivitamin</v>
      </c>
      <c r="H2570" s="1" t="str" cm="1">
        <f t="array" ref="H2570">_xlfn.IFS(
OR(E2570="Type 2 Diabetes",E2570="Essential Hypertension",E2570="Angina Pectoris",E2570="Bronchial Asthma",E2570="Cardiac Arrhythmia"), D2570+30,
OR(E2570="Gastritis",E2570="Osteoarthritis",E2570="Bronchitis",E2570="Iron Deficiency Anemia"), D2570+14,
OR(E2570="Lumbar Strain",E2570="Migraine Headache"), D2570+7,
OR(E2570="Viral Fever",E2570="General Checkup","Routine Health Check"), "",
TRUE,""
)</f>
        <v/>
      </c>
      <c r="I2570" s="1" t="str">
        <f t="shared" si="80"/>
        <v>No Follow-up Required</v>
      </c>
      <c r="J2570" t="str">
        <f>TEXT(Table8[[#This Row],[visit_Date]],"DDDD")</f>
        <v>Wednesday</v>
      </c>
      <c r="K2570" t="str">
        <f>TEXT(Table8[[#This Row],[visit_Date]],"mmmm")</f>
        <v>July</v>
      </c>
      <c r="L2570" t="str">
        <f t="shared" si="81"/>
        <v>Monsoon</v>
      </c>
    </row>
    <row r="2571" spans="1:12" x14ac:dyDescent="0.25">
      <c r="A2571">
        <v>2570</v>
      </c>
      <c r="B2571">
        <v>1178</v>
      </c>
      <c r="C2571">
        <v>636</v>
      </c>
      <c r="D2571" s="1">
        <v>45767</v>
      </c>
      <c r="E2571" t="s">
        <v>24</v>
      </c>
      <c r="F2571" t="s">
        <v>321</v>
      </c>
      <c r="G2571" t="str">
        <f>_xlfn.XLOOKUP(TRIM(E2572),MedicineInfo!A:A,MedicineInfo!B:B,"Not Found")</f>
        <v>Multivitamin</v>
      </c>
      <c r="H2571" s="1" t="str" cm="1">
        <f t="array" ref="H2571">_xlfn.IFS(
OR(E2571="Type 2 Diabetes",E2571="Essential Hypertension",E2571="Angina Pectoris",E2571="Bronchial Asthma",E2571="Cardiac Arrhythmia"), D2571+30,
OR(E2571="Gastritis",E2571="Osteoarthritis",E2571="Bronchitis",E2571="Iron Deficiency Anemia"), D2571+14,
OR(E2571="Lumbar Strain",E2571="Migraine Headache"), D2571+7,
OR(E2571="Viral Fever",E2571="General Checkup","Routine Health Check"), "",
TRUE,""
)</f>
        <v/>
      </c>
      <c r="I2571" s="1" t="str">
        <f t="shared" si="80"/>
        <v>No Follow-up Required</v>
      </c>
      <c r="J2571" t="str">
        <f>TEXT(Table8[[#This Row],[visit_Date]],"DDDD")</f>
        <v>Sunday</v>
      </c>
      <c r="K2571" t="str">
        <f>TEXT(Table8[[#This Row],[visit_Date]],"mmmm")</f>
        <v>April</v>
      </c>
      <c r="L2571" t="str">
        <f t="shared" si="81"/>
        <v>Summer</v>
      </c>
    </row>
    <row r="2572" spans="1:12" x14ac:dyDescent="0.25">
      <c r="A2572">
        <v>2571</v>
      </c>
      <c r="B2572">
        <v>1254</v>
      </c>
      <c r="C2572">
        <v>1435</v>
      </c>
      <c r="D2572" s="1">
        <v>45792</v>
      </c>
      <c r="E2572" t="s">
        <v>24</v>
      </c>
      <c r="F2572" t="s">
        <v>321</v>
      </c>
      <c r="G2572" t="str">
        <f>_xlfn.XLOOKUP(TRIM(E2573),MedicineInfo!A:A,MedicineInfo!B:B,"Not Found")</f>
        <v>Multivitamin</v>
      </c>
      <c r="H2572" s="1" t="str" cm="1">
        <f t="array" ref="H2572">_xlfn.IFS(
OR(E2572="Type 2 Diabetes",E2572="Essential Hypertension",E2572="Angina Pectoris",E2572="Bronchial Asthma",E2572="Cardiac Arrhythmia"), D2572+30,
OR(E2572="Gastritis",E2572="Osteoarthritis",E2572="Bronchitis",E2572="Iron Deficiency Anemia"), D2572+14,
OR(E2572="Lumbar Strain",E2572="Migraine Headache"), D2572+7,
OR(E2572="Viral Fever",E2572="General Checkup","Routine Health Check"), "",
TRUE,""
)</f>
        <v/>
      </c>
      <c r="I2572" s="1" t="str">
        <f t="shared" si="80"/>
        <v>No Follow-up Required</v>
      </c>
      <c r="J2572" t="str">
        <f>TEXT(Table8[[#This Row],[visit_Date]],"DDDD")</f>
        <v>Thursday</v>
      </c>
      <c r="K2572" t="str">
        <f>TEXT(Table8[[#This Row],[visit_Date]],"mmmm")</f>
        <v>May</v>
      </c>
      <c r="L2572" t="str">
        <f t="shared" si="81"/>
        <v>Summer</v>
      </c>
    </row>
    <row r="2573" spans="1:12" x14ac:dyDescent="0.25">
      <c r="A2573">
        <v>2572</v>
      </c>
      <c r="B2573">
        <v>1314</v>
      </c>
      <c r="C2573">
        <v>269</v>
      </c>
      <c r="D2573" s="1">
        <v>45686</v>
      </c>
      <c r="E2573" t="s">
        <v>24</v>
      </c>
      <c r="F2573" t="s">
        <v>321</v>
      </c>
      <c r="G2573" t="str">
        <f>_xlfn.XLOOKUP(TRIM(E2574),MedicineInfo!A:A,MedicineInfo!B:B,"Not Found")</f>
        <v>Multivitamin</v>
      </c>
      <c r="H2573" s="1" t="str" cm="1">
        <f t="array" ref="H2573">_xlfn.IFS(
OR(E2573="Type 2 Diabetes",E2573="Essential Hypertension",E2573="Angina Pectoris",E2573="Bronchial Asthma",E2573="Cardiac Arrhythmia"), D2573+30,
OR(E2573="Gastritis",E2573="Osteoarthritis",E2573="Bronchitis",E2573="Iron Deficiency Anemia"), D2573+14,
OR(E2573="Lumbar Strain",E2573="Migraine Headache"), D2573+7,
OR(E2573="Viral Fever",E2573="General Checkup","Routine Health Check"), "",
TRUE,""
)</f>
        <v/>
      </c>
      <c r="I2573" s="1" t="str">
        <f t="shared" si="80"/>
        <v>No Follow-up Required</v>
      </c>
      <c r="J2573" t="str">
        <f>TEXT(Table8[[#This Row],[visit_Date]],"DDDD")</f>
        <v>Wednesday</v>
      </c>
      <c r="K2573" t="str">
        <f>TEXT(Table8[[#This Row],[visit_Date]],"mmmm")</f>
        <v>January</v>
      </c>
      <c r="L2573" t="str">
        <f t="shared" si="81"/>
        <v>Winter</v>
      </c>
    </row>
    <row r="2574" spans="1:12" x14ac:dyDescent="0.25">
      <c r="A2574">
        <v>2573</v>
      </c>
      <c r="B2574">
        <v>1393</v>
      </c>
      <c r="C2574">
        <v>1135</v>
      </c>
      <c r="D2574" s="1">
        <v>45686</v>
      </c>
      <c r="E2574" t="s">
        <v>24</v>
      </c>
      <c r="F2574" t="s">
        <v>321</v>
      </c>
      <c r="G2574" t="str">
        <f>_xlfn.XLOOKUP(TRIM(E2575),MedicineInfo!A:A,MedicineInfo!B:B,"Not Found")</f>
        <v>Multivitamin</v>
      </c>
      <c r="H2574" s="1" t="str" cm="1">
        <f t="array" ref="H2574">_xlfn.IFS(
OR(E2574="Type 2 Diabetes",E2574="Essential Hypertension",E2574="Angina Pectoris",E2574="Bronchial Asthma",E2574="Cardiac Arrhythmia"), D2574+30,
OR(E2574="Gastritis",E2574="Osteoarthritis",E2574="Bronchitis",E2574="Iron Deficiency Anemia"), D2574+14,
OR(E2574="Lumbar Strain",E2574="Migraine Headache"), D2574+7,
OR(E2574="Viral Fever",E2574="General Checkup","Routine Health Check"), "",
TRUE,""
)</f>
        <v/>
      </c>
      <c r="I2574" s="1" t="str">
        <f t="shared" si="80"/>
        <v>No Follow-up Required</v>
      </c>
      <c r="J2574" t="str">
        <f>TEXT(Table8[[#This Row],[visit_Date]],"DDDD")</f>
        <v>Wednesday</v>
      </c>
      <c r="K2574" t="str">
        <f>TEXT(Table8[[#This Row],[visit_Date]],"mmmm")</f>
        <v>January</v>
      </c>
      <c r="L2574" t="str">
        <f t="shared" si="81"/>
        <v>Winter</v>
      </c>
    </row>
    <row r="2575" spans="1:12" x14ac:dyDescent="0.25">
      <c r="A2575">
        <v>2574</v>
      </c>
      <c r="B2575">
        <v>1336</v>
      </c>
      <c r="C2575">
        <v>1410</v>
      </c>
      <c r="D2575" s="1">
        <v>45862</v>
      </c>
      <c r="E2575" t="s">
        <v>24</v>
      </c>
      <c r="F2575" t="s">
        <v>321</v>
      </c>
      <c r="G2575" t="str">
        <f>_xlfn.XLOOKUP(TRIM(E2576),MedicineInfo!A:A,MedicineInfo!B:B,"Not Found")</f>
        <v>Multivitamin</v>
      </c>
      <c r="H2575" s="1" t="str" cm="1">
        <f t="array" ref="H2575">_xlfn.IFS(
OR(E2575="Type 2 Diabetes",E2575="Essential Hypertension",E2575="Angina Pectoris",E2575="Bronchial Asthma",E2575="Cardiac Arrhythmia"), D2575+30,
OR(E2575="Gastritis",E2575="Osteoarthritis",E2575="Bronchitis",E2575="Iron Deficiency Anemia"), D2575+14,
OR(E2575="Lumbar Strain",E2575="Migraine Headache"), D2575+7,
OR(E2575="Viral Fever",E2575="General Checkup","Routine Health Check"), "",
TRUE,""
)</f>
        <v/>
      </c>
      <c r="I2575" s="1" t="str">
        <f t="shared" si="80"/>
        <v>No Follow-up Required</v>
      </c>
      <c r="J2575" t="str">
        <f>TEXT(Table8[[#This Row],[visit_Date]],"DDDD")</f>
        <v>Thursday</v>
      </c>
      <c r="K2575" t="str">
        <f>TEXT(Table8[[#This Row],[visit_Date]],"mmmm")</f>
        <v>July</v>
      </c>
      <c r="L2575" t="str">
        <f t="shared" si="81"/>
        <v>Monsoon</v>
      </c>
    </row>
    <row r="2576" spans="1:12" x14ac:dyDescent="0.25">
      <c r="A2576">
        <v>2575</v>
      </c>
      <c r="B2576">
        <v>1004</v>
      </c>
      <c r="C2576">
        <v>379</v>
      </c>
      <c r="D2576" s="1">
        <v>45716</v>
      </c>
      <c r="E2576" t="s">
        <v>24</v>
      </c>
      <c r="F2576" t="s">
        <v>321</v>
      </c>
      <c r="G2576" t="str">
        <f>_xlfn.XLOOKUP(TRIM(E2577),MedicineInfo!A:A,MedicineInfo!B:B,"Not Found")</f>
        <v>Multivitamin</v>
      </c>
      <c r="H2576" s="1" t="str" cm="1">
        <f t="array" ref="H2576">_xlfn.IFS(
OR(E2576="Type 2 Diabetes",E2576="Essential Hypertension",E2576="Angina Pectoris",E2576="Bronchial Asthma",E2576="Cardiac Arrhythmia"), D2576+30,
OR(E2576="Gastritis",E2576="Osteoarthritis",E2576="Bronchitis",E2576="Iron Deficiency Anemia"), D2576+14,
OR(E2576="Lumbar Strain",E2576="Migraine Headache"), D2576+7,
OR(E2576="Viral Fever",E2576="General Checkup","Routine Health Check"), "",
TRUE,""
)</f>
        <v/>
      </c>
      <c r="I2576" s="1" t="str">
        <f t="shared" si="80"/>
        <v>No Follow-up Required</v>
      </c>
      <c r="J2576" t="str">
        <f>TEXT(Table8[[#This Row],[visit_Date]],"DDDD")</f>
        <v>Friday</v>
      </c>
      <c r="K2576" t="str">
        <f>TEXT(Table8[[#This Row],[visit_Date]],"mmmm")</f>
        <v>February</v>
      </c>
      <c r="L2576" t="str">
        <f t="shared" si="81"/>
        <v>Winter</v>
      </c>
    </row>
    <row r="2577" spans="1:12" x14ac:dyDescent="0.25">
      <c r="A2577">
        <v>2576</v>
      </c>
      <c r="B2577">
        <v>1226</v>
      </c>
      <c r="C2577">
        <v>125</v>
      </c>
      <c r="D2577" s="1">
        <v>45727</v>
      </c>
      <c r="E2577" t="s">
        <v>24</v>
      </c>
      <c r="F2577" t="s">
        <v>321</v>
      </c>
      <c r="G2577" t="str">
        <f>_xlfn.XLOOKUP(TRIM(E2578),MedicineInfo!A:A,MedicineInfo!B:B,"Not Found")</f>
        <v>Multivitamin</v>
      </c>
      <c r="H2577" s="1" t="str" cm="1">
        <f t="array" ref="H2577">_xlfn.IFS(
OR(E2577="Type 2 Diabetes",E2577="Essential Hypertension",E2577="Angina Pectoris",E2577="Bronchial Asthma",E2577="Cardiac Arrhythmia"), D2577+30,
OR(E2577="Gastritis",E2577="Osteoarthritis",E2577="Bronchitis",E2577="Iron Deficiency Anemia"), D2577+14,
OR(E2577="Lumbar Strain",E2577="Migraine Headache"), D2577+7,
OR(E2577="Viral Fever",E2577="General Checkup","Routine Health Check"), "",
TRUE,""
)</f>
        <v/>
      </c>
      <c r="I2577" s="1" t="str">
        <f t="shared" si="80"/>
        <v>No Follow-up Required</v>
      </c>
      <c r="J2577" t="str">
        <f>TEXT(Table8[[#This Row],[visit_Date]],"DDDD")</f>
        <v>Tuesday</v>
      </c>
      <c r="K2577" t="str">
        <f>TEXT(Table8[[#This Row],[visit_Date]],"mmmm")</f>
        <v>March</v>
      </c>
      <c r="L2577" t="str">
        <f t="shared" si="81"/>
        <v>Summer</v>
      </c>
    </row>
    <row r="2578" spans="1:12" x14ac:dyDescent="0.25">
      <c r="A2578">
        <v>2577</v>
      </c>
      <c r="B2578">
        <v>1174</v>
      </c>
      <c r="C2578">
        <v>999</v>
      </c>
      <c r="D2578" s="1">
        <v>45841</v>
      </c>
      <c r="E2578" t="s">
        <v>24</v>
      </c>
      <c r="F2578" t="s">
        <v>321</v>
      </c>
      <c r="G2578" t="str">
        <f>_xlfn.XLOOKUP(TRIM(E2579),MedicineInfo!A:A,MedicineInfo!B:B,"Not Found")</f>
        <v>Multivitamin</v>
      </c>
      <c r="H2578" s="1" t="str" cm="1">
        <f t="array" ref="H2578">_xlfn.IFS(
OR(E2578="Type 2 Diabetes",E2578="Essential Hypertension",E2578="Angina Pectoris",E2578="Bronchial Asthma",E2578="Cardiac Arrhythmia"), D2578+30,
OR(E2578="Gastritis",E2578="Osteoarthritis",E2578="Bronchitis",E2578="Iron Deficiency Anemia"), D2578+14,
OR(E2578="Lumbar Strain",E2578="Migraine Headache"), D2578+7,
OR(E2578="Viral Fever",E2578="General Checkup","Routine Health Check"), "",
TRUE,""
)</f>
        <v/>
      </c>
      <c r="I2578" s="1" t="str">
        <f t="shared" si="80"/>
        <v>No Follow-up Required</v>
      </c>
      <c r="J2578" t="str">
        <f>TEXT(Table8[[#This Row],[visit_Date]],"DDDD")</f>
        <v>Thursday</v>
      </c>
      <c r="K2578" t="str">
        <f>TEXT(Table8[[#This Row],[visit_Date]],"mmmm")</f>
        <v>July</v>
      </c>
      <c r="L2578" t="str">
        <f t="shared" si="81"/>
        <v>Monsoon</v>
      </c>
    </row>
    <row r="2579" spans="1:12" x14ac:dyDescent="0.25">
      <c r="A2579">
        <v>2578</v>
      </c>
      <c r="B2579">
        <v>1022</v>
      </c>
      <c r="C2579">
        <v>902</v>
      </c>
      <c r="D2579" s="1">
        <v>45800</v>
      </c>
      <c r="E2579" t="s">
        <v>24</v>
      </c>
      <c r="F2579" t="s">
        <v>321</v>
      </c>
      <c r="G2579" t="str">
        <f>_xlfn.XLOOKUP(TRIM(E2580),MedicineInfo!A:A,MedicineInfo!B:B,"Not Found")</f>
        <v>Multivitamin</v>
      </c>
      <c r="H2579" s="1" t="str" cm="1">
        <f t="array" ref="H2579">_xlfn.IFS(
OR(E2579="Type 2 Diabetes",E2579="Essential Hypertension",E2579="Angina Pectoris",E2579="Bronchial Asthma",E2579="Cardiac Arrhythmia"), D2579+30,
OR(E2579="Gastritis",E2579="Osteoarthritis",E2579="Bronchitis",E2579="Iron Deficiency Anemia"), D2579+14,
OR(E2579="Lumbar Strain",E2579="Migraine Headache"), D2579+7,
OR(E2579="Viral Fever",E2579="General Checkup","Routine Health Check"), "",
TRUE,""
)</f>
        <v/>
      </c>
      <c r="I2579" s="1" t="str">
        <f t="shared" si="80"/>
        <v>No Follow-up Required</v>
      </c>
      <c r="J2579" t="str">
        <f>TEXT(Table8[[#This Row],[visit_Date]],"DDDD")</f>
        <v>Friday</v>
      </c>
      <c r="K2579" t="str">
        <f>TEXT(Table8[[#This Row],[visit_Date]],"mmmm")</f>
        <v>May</v>
      </c>
      <c r="L2579" t="str">
        <f t="shared" si="81"/>
        <v>Summer</v>
      </c>
    </row>
    <row r="2580" spans="1:12" x14ac:dyDescent="0.25">
      <c r="A2580">
        <v>2579</v>
      </c>
      <c r="B2580">
        <v>1087</v>
      </c>
      <c r="C2580">
        <v>539</v>
      </c>
      <c r="D2580" s="1">
        <v>45783</v>
      </c>
      <c r="E2580" t="s">
        <v>24</v>
      </c>
      <c r="F2580" t="s">
        <v>321</v>
      </c>
      <c r="G2580" t="str">
        <f>_xlfn.XLOOKUP(TRIM(E2581),MedicineInfo!A:A,MedicineInfo!B:B,"Not Found")</f>
        <v>Not Found</v>
      </c>
      <c r="H2580" s="1" t="str" cm="1">
        <f t="array" ref="H2580">_xlfn.IFS(
OR(E2580="Type 2 Diabetes",E2580="Essential Hypertension",E2580="Angina Pectoris",E2580="Bronchial Asthma",E2580="Cardiac Arrhythmia"), D2580+30,
OR(E2580="Gastritis",E2580="Osteoarthritis",E2580="Bronchitis",E2580="Iron Deficiency Anemia"), D2580+14,
OR(E2580="Lumbar Strain",E2580="Migraine Headache"), D2580+7,
OR(E2580="Viral Fever",E2580="General Checkup","Routine Health Check"), "",
TRUE,""
)</f>
        <v/>
      </c>
      <c r="I2580" s="1" t="str">
        <f t="shared" si="80"/>
        <v>No Follow-up Required</v>
      </c>
      <c r="J2580" t="str">
        <f>TEXT(Table8[[#This Row],[visit_Date]],"DDDD")</f>
        <v>Tuesday</v>
      </c>
      <c r="K2580" t="str">
        <f>TEXT(Table8[[#This Row],[visit_Date]],"mmmm")</f>
        <v>May</v>
      </c>
      <c r="L2580" t="str">
        <f t="shared" si="81"/>
        <v>Summer</v>
      </c>
    </row>
    <row r="2581" spans="1:12" x14ac:dyDescent="0.25">
      <c r="A2581">
        <v>2580</v>
      </c>
      <c r="B2581">
        <v>1147</v>
      </c>
      <c r="C2581">
        <v>149</v>
      </c>
      <c r="D2581" s="1">
        <v>45680</v>
      </c>
      <c r="E2581" t="s">
        <v>340</v>
      </c>
      <c r="F2581" t="s">
        <v>341</v>
      </c>
      <c r="G2581" t="str">
        <f>_xlfn.XLOOKUP(TRIM(E2582),MedicineInfo!A:A,MedicineInfo!B:B,"Not Found")</f>
        <v>Multivitamin</v>
      </c>
      <c r="H2581" s="1" t="str" cm="1">
        <f t="array" ref="H2581">_xlfn.IFS(
OR(E2581="Type 2 Diabetes",E2581="Essential Hypertension",E2581="Angina Pectoris",E2581="Bronchial Asthma",E2581="Cardiac Arrhythmia"), D2581+30,
OR(E2581="Gastritis",E2581="Osteoarthritis",E2581="Bronchitis",E2581="Iron Deficiency Anemia"), D2581+14,
OR(E2581="Lumbar Strain",E2581="Migraine Headache"), D2581+7,
OR(E2581="Viral Fever",E2581="General Checkup","Routine Health Check"), "",
TRUE,""
)</f>
        <v/>
      </c>
      <c r="I2581" s="1" t="str">
        <f t="shared" si="80"/>
        <v>No Follow-up Required</v>
      </c>
      <c r="J2581" t="str">
        <f>TEXT(Table8[[#This Row],[visit_Date]],"DDDD")</f>
        <v>Thursday</v>
      </c>
      <c r="K2581" t="str">
        <f>TEXT(Table8[[#This Row],[visit_Date]],"mmmm")</f>
        <v>January</v>
      </c>
      <c r="L2581" t="str">
        <f t="shared" si="81"/>
        <v>Winter</v>
      </c>
    </row>
    <row r="2582" spans="1:12" x14ac:dyDescent="0.25">
      <c r="A2582">
        <v>2581</v>
      </c>
      <c r="B2582">
        <v>1145</v>
      </c>
      <c r="C2582">
        <v>824</v>
      </c>
      <c r="D2582" s="1">
        <v>45694</v>
      </c>
      <c r="E2582" t="s">
        <v>24</v>
      </c>
      <c r="F2582" t="s">
        <v>321</v>
      </c>
      <c r="G2582" t="str">
        <f>_xlfn.XLOOKUP(TRIM(E2583),MedicineInfo!A:A,MedicineInfo!B:B,"Not Found")</f>
        <v>Multivitamin</v>
      </c>
      <c r="H2582" s="1" t="str" cm="1">
        <f t="array" ref="H2582">_xlfn.IFS(
OR(E2582="Type 2 Diabetes",E2582="Essential Hypertension",E2582="Angina Pectoris",E2582="Bronchial Asthma",E2582="Cardiac Arrhythmia"), D2582+30,
OR(E2582="Gastritis",E2582="Osteoarthritis",E2582="Bronchitis",E2582="Iron Deficiency Anemia"), D2582+14,
OR(E2582="Lumbar Strain",E2582="Migraine Headache"), D2582+7,
OR(E2582="Viral Fever",E2582="General Checkup","Routine Health Check"), "",
TRUE,""
)</f>
        <v/>
      </c>
      <c r="I2582" s="1" t="str">
        <f t="shared" si="80"/>
        <v>No Follow-up Required</v>
      </c>
      <c r="J2582" t="str">
        <f>TEXT(Table8[[#This Row],[visit_Date]],"DDDD")</f>
        <v>Thursday</v>
      </c>
      <c r="K2582" t="str">
        <f>TEXT(Table8[[#This Row],[visit_Date]],"mmmm")</f>
        <v>February</v>
      </c>
      <c r="L2582" t="str">
        <f t="shared" si="81"/>
        <v>Winter</v>
      </c>
    </row>
    <row r="2583" spans="1:12" x14ac:dyDescent="0.25">
      <c r="A2583">
        <v>2582</v>
      </c>
      <c r="B2583">
        <v>1291</v>
      </c>
      <c r="C2583">
        <v>897</v>
      </c>
      <c r="D2583" s="1">
        <v>45683</v>
      </c>
      <c r="E2583" t="s">
        <v>24</v>
      </c>
      <c r="F2583" t="s">
        <v>321</v>
      </c>
      <c r="G2583" t="str">
        <f>_xlfn.XLOOKUP(TRIM(E2584),MedicineInfo!A:A,MedicineInfo!B:B,"Not Found")</f>
        <v>Multivitamin</v>
      </c>
      <c r="H2583" s="1" t="str" cm="1">
        <f t="array" ref="H2583">_xlfn.IFS(
OR(E2583="Type 2 Diabetes",E2583="Essential Hypertension",E2583="Angina Pectoris",E2583="Bronchial Asthma",E2583="Cardiac Arrhythmia"), D2583+30,
OR(E2583="Gastritis",E2583="Osteoarthritis",E2583="Bronchitis",E2583="Iron Deficiency Anemia"), D2583+14,
OR(E2583="Lumbar Strain",E2583="Migraine Headache"), D2583+7,
OR(E2583="Viral Fever",E2583="General Checkup","Routine Health Check"), "",
TRUE,""
)</f>
        <v/>
      </c>
      <c r="I2583" s="1" t="str">
        <f t="shared" si="80"/>
        <v>No Follow-up Required</v>
      </c>
      <c r="J2583" t="str">
        <f>TEXT(Table8[[#This Row],[visit_Date]],"DDDD")</f>
        <v>Sunday</v>
      </c>
      <c r="K2583" t="str">
        <f>TEXT(Table8[[#This Row],[visit_Date]],"mmmm")</f>
        <v>January</v>
      </c>
      <c r="L2583" t="str">
        <f t="shared" si="81"/>
        <v>Winter</v>
      </c>
    </row>
    <row r="2584" spans="1:12" x14ac:dyDescent="0.25">
      <c r="A2584">
        <v>2583</v>
      </c>
      <c r="B2584">
        <v>1104</v>
      </c>
      <c r="C2584">
        <v>786</v>
      </c>
      <c r="D2584" s="1">
        <v>45760</v>
      </c>
      <c r="E2584" t="s">
        <v>24</v>
      </c>
      <c r="F2584" t="s">
        <v>321</v>
      </c>
      <c r="G2584" t="str">
        <f>_xlfn.XLOOKUP(TRIM(E2585),MedicineInfo!A:A,MedicineInfo!B:B,"Not Found")</f>
        <v>Multivitamin</v>
      </c>
      <c r="H2584" s="1" t="str" cm="1">
        <f t="array" ref="H2584">_xlfn.IFS(
OR(E2584="Type 2 Diabetes",E2584="Essential Hypertension",E2584="Angina Pectoris",E2584="Bronchial Asthma",E2584="Cardiac Arrhythmia"), D2584+30,
OR(E2584="Gastritis",E2584="Osteoarthritis",E2584="Bronchitis",E2584="Iron Deficiency Anemia"), D2584+14,
OR(E2584="Lumbar Strain",E2584="Migraine Headache"), D2584+7,
OR(E2584="Viral Fever",E2584="General Checkup","Routine Health Check"), "",
TRUE,""
)</f>
        <v/>
      </c>
      <c r="I2584" s="1" t="str">
        <f t="shared" si="80"/>
        <v>No Follow-up Required</v>
      </c>
      <c r="J2584" t="str">
        <f>TEXT(Table8[[#This Row],[visit_Date]],"DDDD")</f>
        <v>Sunday</v>
      </c>
      <c r="K2584" t="str">
        <f>TEXT(Table8[[#This Row],[visit_Date]],"mmmm")</f>
        <v>April</v>
      </c>
      <c r="L2584" t="str">
        <f t="shared" si="81"/>
        <v>Summer</v>
      </c>
    </row>
    <row r="2585" spans="1:12" x14ac:dyDescent="0.25">
      <c r="A2585">
        <v>2584</v>
      </c>
      <c r="B2585">
        <v>1342</v>
      </c>
      <c r="C2585">
        <v>1138</v>
      </c>
      <c r="D2585" s="1">
        <v>45814</v>
      </c>
      <c r="E2585" t="s">
        <v>24</v>
      </c>
      <c r="F2585" t="s">
        <v>321</v>
      </c>
      <c r="G2585" t="str">
        <f>_xlfn.XLOOKUP(TRIM(E2586),MedicineInfo!A:A,MedicineInfo!B:B,"Not Found")</f>
        <v>Multivitamin</v>
      </c>
      <c r="H2585" s="1" t="str" cm="1">
        <f t="array" ref="H2585">_xlfn.IFS(
OR(E2585="Type 2 Diabetes",E2585="Essential Hypertension",E2585="Angina Pectoris",E2585="Bronchial Asthma",E2585="Cardiac Arrhythmia"), D2585+30,
OR(E2585="Gastritis",E2585="Osteoarthritis",E2585="Bronchitis",E2585="Iron Deficiency Anemia"), D2585+14,
OR(E2585="Lumbar Strain",E2585="Migraine Headache"), D2585+7,
OR(E2585="Viral Fever",E2585="General Checkup","Routine Health Check"), "",
TRUE,""
)</f>
        <v/>
      </c>
      <c r="I2585" s="1" t="str">
        <f t="shared" si="80"/>
        <v>No Follow-up Required</v>
      </c>
      <c r="J2585" t="str">
        <f>TEXT(Table8[[#This Row],[visit_Date]],"DDDD")</f>
        <v>Friday</v>
      </c>
      <c r="K2585" t="str">
        <f>TEXT(Table8[[#This Row],[visit_Date]],"mmmm")</f>
        <v>June</v>
      </c>
      <c r="L2585" t="str">
        <f t="shared" si="81"/>
        <v>Monsoon</v>
      </c>
    </row>
    <row r="2586" spans="1:12" x14ac:dyDescent="0.25">
      <c r="A2586">
        <v>2585</v>
      </c>
      <c r="B2586">
        <v>1310</v>
      </c>
      <c r="C2586">
        <v>830</v>
      </c>
      <c r="D2586" s="1">
        <v>45738</v>
      </c>
      <c r="E2586" t="s">
        <v>24</v>
      </c>
      <c r="F2586" t="s">
        <v>321</v>
      </c>
      <c r="G2586" t="str">
        <f>_xlfn.XLOOKUP(TRIM(E2587),MedicineInfo!A:A,MedicineInfo!B:B,"Not Found")</f>
        <v>Multivitamin</v>
      </c>
      <c r="H2586" s="1" t="str" cm="1">
        <f t="array" ref="H2586">_xlfn.IFS(
OR(E2586="Type 2 Diabetes",E2586="Essential Hypertension",E2586="Angina Pectoris",E2586="Bronchial Asthma",E2586="Cardiac Arrhythmia"), D2586+30,
OR(E2586="Gastritis",E2586="Osteoarthritis",E2586="Bronchitis",E2586="Iron Deficiency Anemia"), D2586+14,
OR(E2586="Lumbar Strain",E2586="Migraine Headache"), D2586+7,
OR(E2586="Viral Fever",E2586="General Checkup","Routine Health Check"), "",
TRUE,""
)</f>
        <v/>
      </c>
      <c r="I2586" s="1" t="str">
        <f t="shared" si="80"/>
        <v>No Follow-up Required</v>
      </c>
      <c r="J2586" t="str">
        <f>TEXT(Table8[[#This Row],[visit_Date]],"DDDD")</f>
        <v>Saturday</v>
      </c>
      <c r="K2586" t="str">
        <f>TEXT(Table8[[#This Row],[visit_Date]],"mmmm")</f>
        <v>March</v>
      </c>
      <c r="L2586" t="str">
        <f t="shared" si="81"/>
        <v>Summer</v>
      </c>
    </row>
    <row r="2587" spans="1:12" x14ac:dyDescent="0.25">
      <c r="A2587">
        <v>2586</v>
      </c>
      <c r="B2587">
        <v>1252</v>
      </c>
      <c r="C2587">
        <v>1279</v>
      </c>
      <c r="D2587" s="1">
        <v>45695</v>
      </c>
      <c r="E2587" t="s">
        <v>24</v>
      </c>
      <c r="F2587" t="s">
        <v>321</v>
      </c>
      <c r="G2587" t="str">
        <f>_xlfn.XLOOKUP(TRIM(E2588),MedicineInfo!A:A,MedicineInfo!B:B,"Not Found")</f>
        <v>Amoxicillin</v>
      </c>
      <c r="H2587" s="1" t="str" cm="1">
        <f t="array" ref="H2587">_xlfn.IFS(
OR(E2587="Type 2 Diabetes",E2587="Essential Hypertension",E2587="Angina Pectoris",E2587="Bronchial Asthma",E2587="Cardiac Arrhythmia"), D2587+30,
OR(E2587="Gastritis",E2587="Osteoarthritis",E2587="Bronchitis",E2587="Iron Deficiency Anemia"), D2587+14,
OR(E2587="Lumbar Strain",E2587="Migraine Headache"), D2587+7,
OR(E2587="Viral Fever",E2587="General Checkup","Routine Health Check"), "",
TRUE,""
)</f>
        <v/>
      </c>
      <c r="I2587" s="1" t="str">
        <f t="shared" si="80"/>
        <v>No Follow-up Required</v>
      </c>
      <c r="J2587" t="str">
        <f>TEXT(Table8[[#This Row],[visit_Date]],"DDDD")</f>
        <v>Friday</v>
      </c>
      <c r="K2587" t="str">
        <f>TEXT(Table8[[#This Row],[visit_Date]],"mmmm")</f>
        <v>February</v>
      </c>
      <c r="L2587" t="str">
        <f t="shared" si="81"/>
        <v>Winter</v>
      </c>
    </row>
    <row r="2588" spans="1:12" x14ac:dyDescent="0.25">
      <c r="A2588">
        <v>2587</v>
      </c>
      <c r="B2588">
        <v>1116</v>
      </c>
      <c r="C2588">
        <v>320</v>
      </c>
      <c r="D2588" s="1">
        <v>45777</v>
      </c>
      <c r="E2588" t="s">
        <v>346</v>
      </c>
      <c r="F2588" t="s">
        <v>347</v>
      </c>
      <c r="G2588" t="str">
        <f>_xlfn.XLOOKUP(TRIM(E2589),MedicineInfo!A:A,MedicineInfo!B:B,"Not Found")</f>
        <v>Multivitamin</v>
      </c>
      <c r="H2588" s="1" cm="1">
        <f t="array" ref="H2588">_xlfn.IFS(
OR(E2588="Type 2 Diabetes",E2588="Essential Hypertension",E2588="Angina Pectoris",E2588="Bronchial Asthma",E2588="Cardiac Arrhythmia"), D2588+30,
OR(E2588="Gastritis",E2588="Osteoarthritis",E2588="Bronchitis",E2588="Iron Deficiency Anemia"), D2588+14,
OR(E2588="Lumbar Strain",E2588="Migraine Headache"), D2588+7,
OR(E2588="Viral Fever",E2588="General Checkup","Routine Health Check"), "",
TRUE,""
)</f>
        <v>45791</v>
      </c>
      <c r="I2588" s="1" t="str">
        <f t="shared" si="80"/>
        <v>Follow-up Scheduled</v>
      </c>
      <c r="J2588" t="str">
        <f>TEXT(Table8[[#This Row],[visit_Date]],"DDDD")</f>
        <v>Wednesday</v>
      </c>
      <c r="K2588" t="str">
        <f>TEXT(Table8[[#This Row],[visit_Date]],"mmmm")</f>
        <v>April</v>
      </c>
      <c r="L2588" t="str">
        <f t="shared" si="81"/>
        <v>Summer</v>
      </c>
    </row>
    <row r="2589" spans="1:12" x14ac:dyDescent="0.25">
      <c r="A2589">
        <v>2588</v>
      </c>
      <c r="B2589">
        <v>1020</v>
      </c>
      <c r="C2589">
        <v>760</v>
      </c>
      <c r="D2589" s="1">
        <v>45790</v>
      </c>
      <c r="E2589" t="s">
        <v>24</v>
      </c>
      <c r="F2589" t="s">
        <v>321</v>
      </c>
      <c r="G2589" t="str">
        <f>_xlfn.XLOOKUP(TRIM(E2590),MedicineInfo!A:A,MedicineInfo!B:B,"Not Found")</f>
        <v>Multivitamin</v>
      </c>
      <c r="H2589" s="1" t="str" cm="1">
        <f t="array" ref="H2589">_xlfn.IFS(
OR(E2589="Type 2 Diabetes",E2589="Essential Hypertension",E2589="Angina Pectoris",E2589="Bronchial Asthma",E2589="Cardiac Arrhythmia"), D2589+30,
OR(E2589="Gastritis",E2589="Osteoarthritis",E2589="Bronchitis",E2589="Iron Deficiency Anemia"), D2589+14,
OR(E2589="Lumbar Strain",E2589="Migraine Headache"), D2589+7,
OR(E2589="Viral Fever",E2589="General Checkup","Routine Health Check"), "",
TRUE,""
)</f>
        <v/>
      </c>
      <c r="I2589" s="1" t="str">
        <f t="shared" si="80"/>
        <v>No Follow-up Required</v>
      </c>
      <c r="J2589" t="str">
        <f>TEXT(Table8[[#This Row],[visit_Date]],"DDDD")</f>
        <v>Tuesday</v>
      </c>
      <c r="K2589" t="str">
        <f>TEXT(Table8[[#This Row],[visit_Date]],"mmmm")</f>
        <v>May</v>
      </c>
      <c r="L2589" t="str">
        <f t="shared" si="81"/>
        <v>Summer</v>
      </c>
    </row>
    <row r="2590" spans="1:12" x14ac:dyDescent="0.25">
      <c r="A2590">
        <v>2589</v>
      </c>
      <c r="B2590">
        <v>1090</v>
      </c>
      <c r="C2590">
        <v>376</v>
      </c>
      <c r="D2590" s="1">
        <v>45786</v>
      </c>
      <c r="E2590" t="s">
        <v>24</v>
      </c>
      <c r="F2590" t="s">
        <v>321</v>
      </c>
      <c r="G2590" t="str">
        <f>_xlfn.XLOOKUP(TRIM(E2591),MedicineInfo!A:A,MedicineInfo!B:B,"Not Found")</f>
        <v>Multivitamin</v>
      </c>
      <c r="H2590" s="1" t="str" cm="1">
        <f t="array" ref="H2590">_xlfn.IFS(
OR(E2590="Type 2 Diabetes",E2590="Essential Hypertension",E2590="Angina Pectoris",E2590="Bronchial Asthma",E2590="Cardiac Arrhythmia"), D2590+30,
OR(E2590="Gastritis",E2590="Osteoarthritis",E2590="Bronchitis",E2590="Iron Deficiency Anemia"), D2590+14,
OR(E2590="Lumbar Strain",E2590="Migraine Headache"), D2590+7,
OR(E2590="Viral Fever",E2590="General Checkup","Routine Health Check"), "",
TRUE,""
)</f>
        <v/>
      </c>
      <c r="I2590" s="1" t="str">
        <f t="shared" si="80"/>
        <v>No Follow-up Required</v>
      </c>
      <c r="J2590" t="str">
        <f>TEXT(Table8[[#This Row],[visit_Date]],"DDDD")</f>
        <v>Friday</v>
      </c>
      <c r="K2590" t="str">
        <f>TEXT(Table8[[#This Row],[visit_Date]],"mmmm")</f>
        <v>May</v>
      </c>
      <c r="L2590" t="str">
        <f t="shared" si="81"/>
        <v>Summer</v>
      </c>
    </row>
    <row r="2591" spans="1:12" x14ac:dyDescent="0.25">
      <c r="A2591">
        <v>2590</v>
      </c>
      <c r="B2591">
        <v>1302</v>
      </c>
      <c r="C2591">
        <v>552</v>
      </c>
      <c r="D2591" s="1">
        <v>45790</v>
      </c>
      <c r="E2591" t="s">
        <v>24</v>
      </c>
      <c r="F2591" t="s">
        <v>321</v>
      </c>
      <c r="G2591" t="str">
        <f>_xlfn.XLOOKUP(TRIM(E2592),MedicineInfo!A:A,MedicineInfo!B:B,"Not Found")</f>
        <v>Diclofenac</v>
      </c>
      <c r="H2591" s="1" t="str" cm="1">
        <f t="array" ref="H2591">_xlfn.IFS(
OR(E2591="Type 2 Diabetes",E2591="Essential Hypertension",E2591="Angina Pectoris",E2591="Bronchial Asthma",E2591="Cardiac Arrhythmia"), D2591+30,
OR(E2591="Gastritis",E2591="Osteoarthritis",E2591="Bronchitis",E2591="Iron Deficiency Anemia"), D2591+14,
OR(E2591="Lumbar Strain",E2591="Migraine Headache"), D2591+7,
OR(E2591="Viral Fever",E2591="General Checkup","Routine Health Check"), "",
TRUE,""
)</f>
        <v/>
      </c>
      <c r="I2591" s="1" t="str">
        <f t="shared" si="80"/>
        <v>No Follow-up Required</v>
      </c>
      <c r="J2591" t="str">
        <f>TEXT(Table8[[#This Row],[visit_Date]],"DDDD")</f>
        <v>Tuesday</v>
      </c>
      <c r="K2591" t="str">
        <f>TEXT(Table8[[#This Row],[visit_Date]],"mmmm")</f>
        <v>May</v>
      </c>
      <c r="L2591" t="str">
        <f t="shared" si="81"/>
        <v>Summer</v>
      </c>
    </row>
    <row r="2592" spans="1:12" x14ac:dyDescent="0.25">
      <c r="A2592">
        <v>2591</v>
      </c>
      <c r="B2592">
        <v>1018</v>
      </c>
      <c r="C2592">
        <v>925</v>
      </c>
      <c r="D2592" s="1">
        <v>45791</v>
      </c>
      <c r="E2592" t="s">
        <v>313</v>
      </c>
      <c r="F2592" t="s">
        <v>314</v>
      </c>
      <c r="G2592" t="str">
        <f>_xlfn.XLOOKUP(TRIM(E2593),MedicineInfo!A:A,MedicineInfo!B:B,"Not Found")</f>
        <v>Multivitamin</v>
      </c>
      <c r="H2592" s="1" cm="1">
        <f t="array" ref="H2592">_xlfn.IFS(
OR(E2592="Type 2 Diabetes",E2592="Essential Hypertension",E2592="Angina Pectoris",E2592="Bronchial Asthma",E2592="Cardiac Arrhythmia"), D2592+30,
OR(E2592="Gastritis",E2592="Osteoarthritis",E2592="Bronchitis",E2592="Iron Deficiency Anemia"), D2592+14,
OR(E2592="Lumbar Strain",E2592="Migraine Headache"), D2592+7,
OR(E2592="Viral Fever",E2592="General Checkup","Routine Health Check"), "",
TRUE,""
)</f>
        <v>45798</v>
      </c>
      <c r="I2592" s="1" t="str">
        <f t="shared" si="80"/>
        <v>Follow-up Scheduled</v>
      </c>
      <c r="J2592" t="str">
        <f>TEXT(Table8[[#This Row],[visit_Date]],"DDDD")</f>
        <v>Wednesday</v>
      </c>
      <c r="K2592" t="str">
        <f>TEXT(Table8[[#This Row],[visit_Date]],"mmmm")</f>
        <v>May</v>
      </c>
      <c r="L2592" t="str">
        <f t="shared" si="81"/>
        <v>Summer</v>
      </c>
    </row>
    <row r="2593" spans="1:12" x14ac:dyDescent="0.25">
      <c r="A2593">
        <v>2592</v>
      </c>
      <c r="B2593">
        <v>1012</v>
      </c>
      <c r="C2593">
        <v>538</v>
      </c>
      <c r="D2593" s="1">
        <v>45686</v>
      </c>
      <c r="E2593" t="s">
        <v>24</v>
      </c>
      <c r="F2593" t="s">
        <v>321</v>
      </c>
      <c r="G2593" t="str">
        <f>_xlfn.XLOOKUP(TRIM(E2594),MedicineInfo!A:A,MedicineInfo!B:B,"Not Found")</f>
        <v>Multivitamin</v>
      </c>
      <c r="H2593" s="1" t="str" cm="1">
        <f t="array" ref="H2593">_xlfn.IFS(
OR(E2593="Type 2 Diabetes",E2593="Essential Hypertension",E2593="Angina Pectoris",E2593="Bronchial Asthma",E2593="Cardiac Arrhythmia"), D2593+30,
OR(E2593="Gastritis",E2593="Osteoarthritis",E2593="Bronchitis",E2593="Iron Deficiency Anemia"), D2593+14,
OR(E2593="Lumbar Strain",E2593="Migraine Headache"), D2593+7,
OR(E2593="Viral Fever",E2593="General Checkup","Routine Health Check"), "",
TRUE,""
)</f>
        <v/>
      </c>
      <c r="I2593" s="1" t="str">
        <f t="shared" si="80"/>
        <v>No Follow-up Required</v>
      </c>
      <c r="J2593" t="str">
        <f>TEXT(Table8[[#This Row],[visit_Date]],"DDDD")</f>
        <v>Wednesday</v>
      </c>
      <c r="K2593" t="str">
        <f>TEXT(Table8[[#This Row],[visit_Date]],"mmmm")</f>
        <v>January</v>
      </c>
      <c r="L2593" t="str">
        <f t="shared" si="81"/>
        <v>Winter</v>
      </c>
    </row>
    <row r="2594" spans="1:12" x14ac:dyDescent="0.25">
      <c r="A2594">
        <v>2593</v>
      </c>
      <c r="B2594">
        <v>1186</v>
      </c>
      <c r="C2594">
        <v>1477</v>
      </c>
      <c r="D2594" s="1">
        <v>45744</v>
      </c>
      <c r="E2594" t="s">
        <v>24</v>
      </c>
      <c r="F2594" t="s">
        <v>321</v>
      </c>
      <c r="G2594" t="str">
        <f>_xlfn.XLOOKUP(TRIM(E2595),MedicineInfo!A:A,MedicineInfo!B:B,"Not Found")</f>
        <v>Multivitamin</v>
      </c>
      <c r="H2594" s="1" t="str" cm="1">
        <f t="array" ref="H2594">_xlfn.IFS(
OR(E2594="Type 2 Diabetes",E2594="Essential Hypertension",E2594="Angina Pectoris",E2594="Bronchial Asthma",E2594="Cardiac Arrhythmia"), D2594+30,
OR(E2594="Gastritis",E2594="Osteoarthritis",E2594="Bronchitis",E2594="Iron Deficiency Anemia"), D2594+14,
OR(E2594="Lumbar Strain",E2594="Migraine Headache"), D2594+7,
OR(E2594="Viral Fever",E2594="General Checkup","Routine Health Check"), "",
TRUE,""
)</f>
        <v/>
      </c>
      <c r="I2594" s="1" t="str">
        <f t="shared" si="80"/>
        <v>No Follow-up Required</v>
      </c>
      <c r="J2594" t="str">
        <f>TEXT(Table8[[#This Row],[visit_Date]],"DDDD")</f>
        <v>Friday</v>
      </c>
      <c r="K2594" t="str">
        <f>TEXT(Table8[[#This Row],[visit_Date]],"mmmm")</f>
        <v>March</v>
      </c>
      <c r="L2594" t="str">
        <f t="shared" si="81"/>
        <v>Summer</v>
      </c>
    </row>
    <row r="2595" spans="1:12" x14ac:dyDescent="0.25">
      <c r="A2595">
        <v>2594</v>
      </c>
      <c r="B2595">
        <v>1215</v>
      </c>
      <c r="C2595">
        <v>1572</v>
      </c>
      <c r="D2595" s="1">
        <v>45814</v>
      </c>
      <c r="E2595" t="s">
        <v>24</v>
      </c>
      <c r="F2595" t="s">
        <v>321</v>
      </c>
      <c r="G2595" t="str">
        <f>_xlfn.XLOOKUP(TRIM(E2596),MedicineInfo!A:A,MedicineInfo!B:B,"Not Found")</f>
        <v>Multivitamin</v>
      </c>
      <c r="H2595" s="1" t="str" cm="1">
        <f t="array" ref="H2595">_xlfn.IFS(
OR(E2595="Type 2 Diabetes",E2595="Essential Hypertension",E2595="Angina Pectoris",E2595="Bronchial Asthma",E2595="Cardiac Arrhythmia"), D2595+30,
OR(E2595="Gastritis",E2595="Osteoarthritis",E2595="Bronchitis",E2595="Iron Deficiency Anemia"), D2595+14,
OR(E2595="Lumbar Strain",E2595="Migraine Headache"), D2595+7,
OR(E2595="Viral Fever",E2595="General Checkup","Routine Health Check"), "",
TRUE,""
)</f>
        <v/>
      </c>
      <c r="I2595" s="1" t="str">
        <f t="shared" si="80"/>
        <v>No Follow-up Required</v>
      </c>
      <c r="J2595" t="str">
        <f>TEXT(Table8[[#This Row],[visit_Date]],"DDDD")</f>
        <v>Friday</v>
      </c>
      <c r="K2595" t="str">
        <f>TEXT(Table8[[#This Row],[visit_Date]],"mmmm")</f>
        <v>June</v>
      </c>
      <c r="L2595" t="str">
        <f t="shared" si="81"/>
        <v>Monsoon</v>
      </c>
    </row>
    <row r="2596" spans="1:12" x14ac:dyDescent="0.25">
      <c r="A2596">
        <v>2595</v>
      </c>
      <c r="B2596">
        <v>1232</v>
      </c>
      <c r="C2596">
        <v>941</v>
      </c>
      <c r="D2596" s="1">
        <v>45823</v>
      </c>
      <c r="E2596" t="s">
        <v>24</v>
      </c>
      <c r="F2596" t="s">
        <v>321</v>
      </c>
      <c r="G2596" t="str">
        <f>_xlfn.XLOOKUP(TRIM(E2597),MedicineInfo!A:A,MedicineInfo!B:B,"Not Found")</f>
        <v>Multivitamin</v>
      </c>
      <c r="H2596" s="1" t="str" cm="1">
        <f t="array" ref="H2596">_xlfn.IFS(
OR(E2596="Type 2 Diabetes",E2596="Essential Hypertension",E2596="Angina Pectoris",E2596="Bronchial Asthma",E2596="Cardiac Arrhythmia"), D2596+30,
OR(E2596="Gastritis",E2596="Osteoarthritis",E2596="Bronchitis",E2596="Iron Deficiency Anemia"), D2596+14,
OR(E2596="Lumbar Strain",E2596="Migraine Headache"), D2596+7,
OR(E2596="Viral Fever",E2596="General Checkup","Routine Health Check"), "",
TRUE,""
)</f>
        <v/>
      </c>
      <c r="I2596" s="1" t="str">
        <f t="shared" si="80"/>
        <v>No Follow-up Required</v>
      </c>
      <c r="J2596" t="str">
        <f>TEXT(Table8[[#This Row],[visit_Date]],"DDDD")</f>
        <v>Sunday</v>
      </c>
      <c r="K2596" t="str">
        <f>TEXT(Table8[[#This Row],[visit_Date]],"mmmm")</f>
        <v>June</v>
      </c>
      <c r="L2596" t="str">
        <f t="shared" si="81"/>
        <v>Monsoon</v>
      </c>
    </row>
    <row r="2597" spans="1:12" x14ac:dyDescent="0.25">
      <c r="A2597">
        <v>2596</v>
      </c>
      <c r="B2597">
        <v>1090</v>
      </c>
      <c r="C2597">
        <v>907</v>
      </c>
      <c r="D2597" s="1">
        <v>45673</v>
      </c>
      <c r="E2597" t="s">
        <v>24</v>
      </c>
      <c r="F2597" t="s">
        <v>321</v>
      </c>
      <c r="G2597" t="str">
        <f>_xlfn.XLOOKUP(TRIM(E2598),MedicineInfo!A:A,MedicineInfo!B:B,"Not Found")</f>
        <v>Multivitamin</v>
      </c>
      <c r="H2597" s="1" t="str" cm="1">
        <f t="array" ref="H2597">_xlfn.IFS(
OR(E2597="Type 2 Diabetes",E2597="Essential Hypertension",E2597="Angina Pectoris",E2597="Bronchial Asthma",E2597="Cardiac Arrhythmia"), D2597+30,
OR(E2597="Gastritis",E2597="Osteoarthritis",E2597="Bronchitis",E2597="Iron Deficiency Anemia"), D2597+14,
OR(E2597="Lumbar Strain",E2597="Migraine Headache"), D2597+7,
OR(E2597="Viral Fever",E2597="General Checkup","Routine Health Check"), "",
TRUE,""
)</f>
        <v/>
      </c>
      <c r="I2597" s="1" t="str">
        <f t="shared" si="80"/>
        <v>No Follow-up Required</v>
      </c>
      <c r="J2597" t="str">
        <f>TEXT(Table8[[#This Row],[visit_Date]],"DDDD")</f>
        <v>Thursday</v>
      </c>
      <c r="K2597" t="str">
        <f>TEXT(Table8[[#This Row],[visit_Date]],"mmmm")</f>
        <v>January</v>
      </c>
      <c r="L2597" t="str">
        <f t="shared" si="81"/>
        <v>Winter</v>
      </c>
    </row>
    <row r="2598" spans="1:12" x14ac:dyDescent="0.25">
      <c r="A2598">
        <v>2597</v>
      </c>
      <c r="B2598">
        <v>1388</v>
      </c>
      <c r="C2598">
        <v>1228</v>
      </c>
      <c r="D2598" s="1">
        <v>45767</v>
      </c>
      <c r="E2598" t="s">
        <v>24</v>
      </c>
      <c r="F2598" t="s">
        <v>321</v>
      </c>
      <c r="G2598" t="str">
        <f>_xlfn.XLOOKUP(TRIM(E2599),MedicineInfo!A:A,MedicineInfo!B:B,"Not Found")</f>
        <v>Multivitamin</v>
      </c>
      <c r="H2598" s="1" t="str" cm="1">
        <f t="array" ref="H2598">_xlfn.IFS(
OR(E2598="Type 2 Diabetes",E2598="Essential Hypertension",E2598="Angina Pectoris",E2598="Bronchial Asthma",E2598="Cardiac Arrhythmia"), D2598+30,
OR(E2598="Gastritis",E2598="Osteoarthritis",E2598="Bronchitis",E2598="Iron Deficiency Anemia"), D2598+14,
OR(E2598="Lumbar Strain",E2598="Migraine Headache"), D2598+7,
OR(E2598="Viral Fever",E2598="General Checkup","Routine Health Check"), "",
TRUE,""
)</f>
        <v/>
      </c>
      <c r="I2598" s="1" t="str">
        <f t="shared" si="80"/>
        <v>No Follow-up Required</v>
      </c>
      <c r="J2598" t="str">
        <f>TEXT(Table8[[#This Row],[visit_Date]],"DDDD")</f>
        <v>Sunday</v>
      </c>
      <c r="K2598" t="str">
        <f>TEXT(Table8[[#This Row],[visit_Date]],"mmmm")</f>
        <v>April</v>
      </c>
      <c r="L2598" t="str">
        <f t="shared" si="81"/>
        <v>Summer</v>
      </c>
    </row>
    <row r="2599" spans="1:12" x14ac:dyDescent="0.25">
      <c r="A2599">
        <v>2598</v>
      </c>
      <c r="B2599">
        <v>1276</v>
      </c>
      <c r="C2599">
        <v>508</v>
      </c>
      <c r="D2599" s="1">
        <v>45788</v>
      </c>
      <c r="E2599" t="s">
        <v>24</v>
      </c>
      <c r="F2599" t="s">
        <v>321</v>
      </c>
      <c r="G2599" t="str">
        <f>_xlfn.XLOOKUP(TRIM(E2600),MedicineInfo!A:A,MedicineInfo!B:B,"Not Found")</f>
        <v>Multivitamin</v>
      </c>
      <c r="H2599" s="1" t="str" cm="1">
        <f t="array" ref="H2599">_xlfn.IFS(
OR(E2599="Type 2 Diabetes",E2599="Essential Hypertension",E2599="Angina Pectoris",E2599="Bronchial Asthma",E2599="Cardiac Arrhythmia"), D2599+30,
OR(E2599="Gastritis",E2599="Osteoarthritis",E2599="Bronchitis",E2599="Iron Deficiency Anemia"), D2599+14,
OR(E2599="Lumbar Strain",E2599="Migraine Headache"), D2599+7,
OR(E2599="Viral Fever",E2599="General Checkup","Routine Health Check"), "",
TRUE,""
)</f>
        <v/>
      </c>
      <c r="I2599" s="1" t="str">
        <f t="shared" si="80"/>
        <v>No Follow-up Required</v>
      </c>
      <c r="J2599" t="str">
        <f>TEXT(Table8[[#This Row],[visit_Date]],"DDDD")</f>
        <v>Sunday</v>
      </c>
      <c r="K2599" t="str">
        <f>TEXT(Table8[[#This Row],[visit_Date]],"mmmm")</f>
        <v>May</v>
      </c>
      <c r="L2599" t="str">
        <f t="shared" si="81"/>
        <v>Summer</v>
      </c>
    </row>
    <row r="2600" spans="1:12" x14ac:dyDescent="0.25">
      <c r="A2600">
        <v>2599</v>
      </c>
      <c r="B2600">
        <v>1230</v>
      </c>
      <c r="C2600">
        <v>1353</v>
      </c>
      <c r="D2600" s="1">
        <v>45669</v>
      </c>
      <c r="E2600" t="s">
        <v>24</v>
      </c>
      <c r="F2600" t="s">
        <v>321</v>
      </c>
      <c r="G2600" t="str">
        <f>_xlfn.XLOOKUP(TRIM(E2601),MedicineInfo!A:A,MedicineInfo!B:B,"Not Found")</f>
        <v>Multivitamin</v>
      </c>
      <c r="H2600" s="1" t="str" cm="1">
        <f t="array" ref="H2600">_xlfn.IFS(
OR(E2600="Type 2 Diabetes",E2600="Essential Hypertension",E2600="Angina Pectoris",E2600="Bronchial Asthma",E2600="Cardiac Arrhythmia"), D2600+30,
OR(E2600="Gastritis",E2600="Osteoarthritis",E2600="Bronchitis",E2600="Iron Deficiency Anemia"), D2600+14,
OR(E2600="Lumbar Strain",E2600="Migraine Headache"), D2600+7,
OR(E2600="Viral Fever",E2600="General Checkup","Routine Health Check"), "",
TRUE,""
)</f>
        <v/>
      </c>
      <c r="I2600" s="1" t="str">
        <f t="shared" si="80"/>
        <v>No Follow-up Required</v>
      </c>
      <c r="J2600" t="str">
        <f>TEXT(Table8[[#This Row],[visit_Date]],"DDDD")</f>
        <v>Sunday</v>
      </c>
      <c r="K2600" t="str">
        <f>TEXT(Table8[[#This Row],[visit_Date]],"mmmm")</f>
        <v>January</v>
      </c>
      <c r="L2600" t="str">
        <f t="shared" si="81"/>
        <v>Winter</v>
      </c>
    </row>
    <row r="2601" spans="1:12" x14ac:dyDescent="0.25">
      <c r="A2601">
        <v>2600</v>
      </c>
      <c r="B2601">
        <v>1346</v>
      </c>
      <c r="C2601">
        <v>687</v>
      </c>
      <c r="D2601" s="1">
        <v>45691</v>
      </c>
      <c r="E2601" t="s">
        <v>24</v>
      </c>
      <c r="F2601" t="s">
        <v>321</v>
      </c>
      <c r="G2601" t="str">
        <f>_xlfn.XLOOKUP(TRIM(E2602),MedicineInfo!A:A,MedicineInfo!B:B,"Not Found")</f>
        <v>Multivitamin</v>
      </c>
      <c r="H2601" s="1" t="str" cm="1">
        <f t="array" ref="H2601">_xlfn.IFS(
OR(E2601="Type 2 Diabetes",E2601="Essential Hypertension",E2601="Angina Pectoris",E2601="Bronchial Asthma",E2601="Cardiac Arrhythmia"), D2601+30,
OR(E2601="Gastritis",E2601="Osteoarthritis",E2601="Bronchitis",E2601="Iron Deficiency Anemia"), D2601+14,
OR(E2601="Lumbar Strain",E2601="Migraine Headache"), D2601+7,
OR(E2601="Viral Fever",E2601="General Checkup","Routine Health Check"), "",
TRUE,""
)</f>
        <v/>
      </c>
      <c r="I2601" s="1" t="str">
        <f t="shared" si="80"/>
        <v>No Follow-up Required</v>
      </c>
      <c r="J2601" t="str">
        <f>TEXT(Table8[[#This Row],[visit_Date]],"DDDD")</f>
        <v>Monday</v>
      </c>
      <c r="K2601" t="str">
        <f>TEXT(Table8[[#This Row],[visit_Date]],"mmmm")</f>
        <v>February</v>
      </c>
      <c r="L2601" t="str">
        <f t="shared" si="81"/>
        <v>Winter</v>
      </c>
    </row>
    <row r="2602" spans="1:12" x14ac:dyDescent="0.25">
      <c r="A2602">
        <v>2601</v>
      </c>
      <c r="B2602">
        <v>1156</v>
      </c>
      <c r="C2602">
        <v>1173</v>
      </c>
      <c r="D2602" s="1">
        <v>45669</v>
      </c>
      <c r="E2602" t="s">
        <v>24</v>
      </c>
      <c r="F2602" t="s">
        <v>321</v>
      </c>
      <c r="G2602" t="str">
        <f>_xlfn.XLOOKUP(TRIM(E2603),MedicineInfo!A:A,MedicineInfo!B:B,"Not Found")</f>
        <v>Multivitamin</v>
      </c>
      <c r="H2602" s="1" t="str" cm="1">
        <f t="array" ref="H2602">_xlfn.IFS(
OR(E2602="Type 2 Diabetes",E2602="Essential Hypertension",E2602="Angina Pectoris",E2602="Bronchial Asthma",E2602="Cardiac Arrhythmia"), D2602+30,
OR(E2602="Gastritis",E2602="Osteoarthritis",E2602="Bronchitis",E2602="Iron Deficiency Anemia"), D2602+14,
OR(E2602="Lumbar Strain",E2602="Migraine Headache"), D2602+7,
OR(E2602="Viral Fever",E2602="General Checkup","Routine Health Check"), "",
TRUE,""
)</f>
        <v/>
      </c>
      <c r="I2602" s="1" t="str">
        <f t="shared" si="80"/>
        <v>No Follow-up Required</v>
      </c>
      <c r="J2602" t="str">
        <f>TEXT(Table8[[#This Row],[visit_Date]],"DDDD")</f>
        <v>Sunday</v>
      </c>
      <c r="K2602" t="str">
        <f>TEXT(Table8[[#This Row],[visit_Date]],"mmmm")</f>
        <v>January</v>
      </c>
      <c r="L2602" t="str">
        <f t="shared" si="81"/>
        <v>Winter</v>
      </c>
    </row>
    <row r="2603" spans="1:12" x14ac:dyDescent="0.25">
      <c r="A2603">
        <v>2602</v>
      </c>
      <c r="B2603">
        <v>1233</v>
      </c>
      <c r="C2603">
        <v>569</v>
      </c>
      <c r="D2603" s="1">
        <v>45722</v>
      </c>
      <c r="E2603" t="s">
        <v>24</v>
      </c>
      <c r="F2603" t="s">
        <v>321</v>
      </c>
      <c r="G2603" t="str">
        <f>_xlfn.XLOOKUP(TRIM(E2604),MedicineInfo!A:A,MedicineInfo!B:B,"Not Found")</f>
        <v>Multivitamin</v>
      </c>
      <c r="H2603" s="1" t="str" cm="1">
        <f t="array" ref="H2603">_xlfn.IFS(
OR(E2603="Type 2 Diabetes",E2603="Essential Hypertension",E2603="Angina Pectoris",E2603="Bronchial Asthma",E2603="Cardiac Arrhythmia"), D2603+30,
OR(E2603="Gastritis",E2603="Osteoarthritis",E2603="Bronchitis",E2603="Iron Deficiency Anemia"), D2603+14,
OR(E2603="Lumbar Strain",E2603="Migraine Headache"), D2603+7,
OR(E2603="Viral Fever",E2603="General Checkup","Routine Health Check"), "",
TRUE,""
)</f>
        <v/>
      </c>
      <c r="I2603" s="1" t="str">
        <f t="shared" si="80"/>
        <v>No Follow-up Required</v>
      </c>
      <c r="J2603" t="str">
        <f>TEXT(Table8[[#This Row],[visit_Date]],"DDDD")</f>
        <v>Thursday</v>
      </c>
      <c r="K2603" t="str">
        <f>TEXT(Table8[[#This Row],[visit_Date]],"mmmm")</f>
        <v>March</v>
      </c>
      <c r="L2603" t="str">
        <f t="shared" si="81"/>
        <v>Summer</v>
      </c>
    </row>
    <row r="2604" spans="1:12" x14ac:dyDescent="0.25">
      <c r="A2604">
        <v>2603</v>
      </c>
      <c r="B2604">
        <v>1139</v>
      </c>
      <c r="C2604">
        <v>1038</v>
      </c>
      <c r="D2604" s="1">
        <v>45850</v>
      </c>
      <c r="E2604" t="s">
        <v>24</v>
      </c>
      <c r="F2604" t="s">
        <v>321</v>
      </c>
      <c r="G2604" t="str">
        <f>_xlfn.XLOOKUP(TRIM(E2605),MedicineInfo!A:A,MedicineInfo!B:B,"Not Found")</f>
        <v>Multivitamin</v>
      </c>
      <c r="H2604" s="1" t="str" cm="1">
        <f t="array" ref="H2604">_xlfn.IFS(
OR(E2604="Type 2 Diabetes",E2604="Essential Hypertension",E2604="Angina Pectoris",E2604="Bronchial Asthma",E2604="Cardiac Arrhythmia"), D2604+30,
OR(E2604="Gastritis",E2604="Osteoarthritis",E2604="Bronchitis",E2604="Iron Deficiency Anemia"), D2604+14,
OR(E2604="Lumbar Strain",E2604="Migraine Headache"), D2604+7,
OR(E2604="Viral Fever",E2604="General Checkup","Routine Health Check"), "",
TRUE,""
)</f>
        <v/>
      </c>
      <c r="I2604" s="1" t="str">
        <f t="shared" si="80"/>
        <v>No Follow-up Required</v>
      </c>
      <c r="J2604" t="str">
        <f>TEXT(Table8[[#This Row],[visit_Date]],"DDDD")</f>
        <v>Saturday</v>
      </c>
      <c r="K2604" t="str">
        <f>TEXT(Table8[[#This Row],[visit_Date]],"mmmm")</f>
        <v>July</v>
      </c>
      <c r="L2604" t="str">
        <f t="shared" si="81"/>
        <v>Monsoon</v>
      </c>
    </row>
    <row r="2605" spans="1:12" x14ac:dyDescent="0.25">
      <c r="A2605">
        <v>2604</v>
      </c>
      <c r="B2605">
        <v>1103</v>
      </c>
      <c r="C2605">
        <v>294</v>
      </c>
      <c r="D2605" s="1">
        <v>45758</v>
      </c>
      <c r="E2605" t="s">
        <v>24</v>
      </c>
      <c r="F2605" t="s">
        <v>321</v>
      </c>
      <c r="G2605" t="str">
        <f>_xlfn.XLOOKUP(TRIM(E2606),MedicineInfo!A:A,MedicineInfo!B:B,"Not Found")</f>
        <v>Multivitamin</v>
      </c>
      <c r="H2605" s="1" t="str" cm="1">
        <f t="array" ref="H2605">_xlfn.IFS(
OR(E2605="Type 2 Diabetes",E2605="Essential Hypertension",E2605="Angina Pectoris",E2605="Bronchial Asthma",E2605="Cardiac Arrhythmia"), D2605+30,
OR(E2605="Gastritis",E2605="Osteoarthritis",E2605="Bronchitis",E2605="Iron Deficiency Anemia"), D2605+14,
OR(E2605="Lumbar Strain",E2605="Migraine Headache"), D2605+7,
OR(E2605="Viral Fever",E2605="General Checkup","Routine Health Check"), "",
TRUE,""
)</f>
        <v/>
      </c>
      <c r="I2605" s="1" t="str">
        <f t="shared" si="80"/>
        <v>No Follow-up Required</v>
      </c>
      <c r="J2605" t="str">
        <f>TEXT(Table8[[#This Row],[visit_Date]],"DDDD")</f>
        <v>Friday</v>
      </c>
      <c r="K2605" t="str">
        <f>TEXT(Table8[[#This Row],[visit_Date]],"mmmm")</f>
        <v>April</v>
      </c>
      <c r="L2605" t="str">
        <f t="shared" si="81"/>
        <v>Summer</v>
      </c>
    </row>
    <row r="2606" spans="1:12" x14ac:dyDescent="0.25">
      <c r="A2606">
        <v>2605</v>
      </c>
      <c r="B2606">
        <v>1147</v>
      </c>
      <c r="C2606">
        <v>603</v>
      </c>
      <c r="D2606" s="1">
        <v>45792</v>
      </c>
      <c r="E2606" t="s">
        <v>24</v>
      </c>
      <c r="F2606" t="s">
        <v>321</v>
      </c>
      <c r="G2606" t="str">
        <f>_xlfn.XLOOKUP(TRIM(E2607),MedicineInfo!A:A,MedicineInfo!B:B,"Not Found")</f>
        <v>Amiodarone</v>
      </c>
      <c r="H2606" s="1" t="str" cm="1">
        <f t="array" ref="H2606">_xlfn.IFS(
OR(E2606="Type 2 Diabetes",E2606="Essential Hypertension",E2606="Angina Pectoris",E2606="Bronchial Asthma",E2606="Cardiac Arrhythmia"), D2606+30,
OR(E2606="Gastritis",E2606="Osteoarthritis",E2606="Bronchitis",E2606="Iron Deficiency Anemia"), D2606+14,
OR(E2606="Lumbar Strain",E2606="Migraine Headache"), D2606+7,
OR(E2606="Viral Fever",E2606="General Checkup","Routine Health Check"), "",
TRUE,""
)</f>
        <v/>
      </c>
      <c r="I2606" s="1" t="str">
        <f t="shared" si="80"/>
        <v>No Follow-up Required</v>
      </c>
      <c r="J2606" t="str">
        <f>TEXT(Table8[[#This Row],[visit_Date]],"DDDD")</f>
        <v>Thursday</v>
      </c>
      <c r="K2606" t="str">
        <f>TEXT(Table8[[#This Row],[visit_Date]],"mmmm")</f>
        <v>May</v>
      </c>
      <c r="L2606" t="str">
        <f t="shared" si="81"/>
        <v>Summer</v>
      </c>
    </row>
    <row r="2607" spans="1:12" x14ac:dyDescent="0.25">
      <c r="A2607">
        <v>2606</v>
      </c>
      <c r="B2607">
        <v>1043</v>
      </c>
      <c r="C2607">
        <v>445</v>
      </c>
      <c r="D2607" s="1">
        <v>45806</v>
      </c>
      <c r="E2607" t="s">
        <v>330</v>
      </c>
      <c r="F2607" t="s">
        <v>331</v>
      </c>
      <c r="G2607" t="str">
        <f>_xlfn.XLOOKUP(TRIM(E2608),MedicineInfo!A:A,MedicineInfo!B:B,"Not Found")</f>
        <v>Multivitamin</v>
      </c>
      <c r="H2607" s="1" cm="1">
        <f t="array" ref="H2607">_xlfn.IFS(
OR(E2607="Type 2 Diabetes",E2607="Essential Hypertension",E2607="Angina Pectoris",E2607="Bronchial Asthma",E2607="Cardiac Arrhythmia"), D2607+30,
OR(E2607="Gastritis",E2607="Osteoarthritis",E2607="Bronchitis",E2607="Iron Deficiency Anemia"), D2607+14,
OR(E2607="Lumbar Strain",E2607="Migraine Headache"), D2607+7,
OR(E2607="Viral Fever",E2607="General Checkup","Routine Health Check"), "",
TRUE,""
)</f>
        <v>45836</v>
      </c>
      <c r="I2607" s="1" t="str">
        <f t="shared" si="80"/>
        <v>Follow-up Scheduled</v>
      </c>
      <c r="J2607" t="str">
        <f>TEXT(Table8[[#This Row],[visit_Date]],"DDDD")</f>
        <v>Thursday</v>
      </c>
      <c r="K2607" t="str">
        <f>TEXT(Table8[[#This Row],[visit_Date]],"mmmm")</f>
        <v>May</v>
      </c>
      <c r="L2607" t="str">
        <f t="shared" si="81"/>
        <v>Summer</v>
      </c>
    </row>
    <row r="2608" spans="1:12" x14ac:dyDescent="0.25">
      <c r="A2608">
        <v>2607</v>
      </c>
      <c r="B2608">
        <v>1344</v>
      </c>
      <c r="C2608">
        <v>1135</v>
      </c>
      <c r="D2608" s="1">
        <v>45687</v>
      </c>
      <c r="E2608" t="s">
        <v>24</v>
      </c>
      <c r="F2608" t="s">
        <v>321</v>
      </c>
      <c r="G2608" t="str">
        <f>_xlfn.XLOOKUP(TRIM(E2609),MedicineInfo!A:A,MedicineInfo!B:B,"Not Found")</f>
        <v>Multivitamin</v>
      </c>
      <c r="H2608" s="1" t="str" cm="1">
        <f t="array" ref="H2608">_xlfn.IFS(
OR(E2608="Type 2 Diabetes",E2608="Essential Hypertension",E2608="Angina Pectoris",E2608="Bronchial Asthma",E2608="Cardiac Arrhythmia"), D2608+30,
OR(E2608="Gastritis",E2608="Osteoarthritis",E2608="Bronchitis",E2608="Iron Deficiency Anemia"), D2608+14,
OR(E2608="Lumbar Strain",E2608="Migraine Headache"), D2608+7,
OR(E2608="Viral Fever",E2608="General Checkup","Routine Health Check"), "",
TRUE,""
)</f>
        <v/>
      </c>
      <c r="I2608" s="1" t="str">
        <f t="shared" si="80"/>
        <v>No Follow-up Required</v>
      </c>
      <c r="J2608" t="str">
        <f>TEXT(Table8[[#This Row],[visit_Date]],"DDDD")</f>
        <v>Thursday</v>
      </c>
      <c r="K2608" t="str">
        <f>TEXT(Table8[[#This Row],[visit_Date]],"mmmm")</f>
        <v>January</v>
      </c>
      <c r="L2608" t="str">
        <f t="shared" si="81"/>
        <v>Winter</v>
      </c>
    </row>
    <row r="2609" spans="1:12" x14ac:dyDescent="0.25">
      <c r="A2609">
        <v>2608</v>
      </c>
      <c r="B2609">
        <v>1355</v>
      </c>
      <c r="C2609">
        <v>104</v>
      </c>
      <c r="D2609" s="1">
        <v>45672</v>
      </c>
      <c r="E2609" t="s">
        <v>24</v>
      </c>
      <c r="F2609" t="s">
        <v>321</v>
      </c>
      <c r="G2609" t="str">
        <f>_xlfn.XLOOKUP(TRIM(E2610),MedicineInfo!A:A,MedicineInfo!B:B,"Not Found")</f>
        <v>Multivitamin</v>
      </c>
      <c r="H2609" s="1" t="str" cm="1">
        <f t="array" ref="H2609">_xlfn.IFS(
OR(E2609="Type 2 Diabetes",E2609="Essential Hypertension",E2609="Angina Pectoris",E2609="Bronchial Asthma",E2609="Cardiac Arrhythmia"), D2609+30,
OR(E2609="Gastritis",E2609="Osteoarthritis",E2609="Bronchitis",E2609="Iron Deficiency Anemia"), D2609+14,
OR(E2609="Lumbar Strain",E2609="Migraine Headache"), D2609+7,
OR(E2609="Viral Fever",E2609="General Checkup","Routine Health Check"), "",
TRUE,""
)</f>
        <v/>
      </c>
      <c r="I2609" s="1" t="str">
        <f t="shared" si="80"/>
        <v>No Follow-up Required</v>
      </c>
      <c r="J2609" t="str">
        <f>TEXT(Table8[[#This Row],[visit_Date]],"DDDD")</f>
        <v>Wednesday</v>
      </c>
      <c r="K2609" t="str">
        <f>TEXT(Table8[[#This Row],[visit_Date]],"mmmm")</f>
        <v>January</v>
      </c>
      <c r="L2609" t="str">
        <f t="shared" si="81"/>
        <v>Winter</v>
      </c>
    </row>
    <row r="2610" spans="1:12" x14ac:dyDescent="0.25">
      <c r="A2610">
        <v>2609</v>
      </c>
      <c r="B2610">
        <v>1384</v>
      </c>
      <c r="C2610">
        <v>1250</v>
      </c>
      <c r="D2610" s="1">
        <v>45791</v>
      </c>
      <c r="E2610" t="s">
        <v>24</v>
      </c>
      <c r="F2610" t="s">
        <v>321</v>
      </c>
      <c r="G2610" t="str">
        <f>_xlfn.XLOOKUP(TRIM(E2611),MedicineInfo!A:A,MedicineInfo!B:B,"Not Found")</f>
        <v>Multivitamin</v>
      </c>
      <c r="H2610" s="1" t="str" cm="1">
        <f t="array" ref="H2610">_xlfn.IFS(
OR(E2610="Type 2 Diabetes",E2610="Essential Hypertension",E2610="Angina Pectoris",E2610="Bronchial Asthma",E2610="Cardiac Arrhythmia"), D2610+30,
OR(E2610="Gastritis",E2610="Osteoarthritis",E2610="Bronchitis",E2610="Iron Deficiency Anemia"), D2610+14,
OR(E2610="Lumbar Strain",E2610="Migraine Headache"), D2610+7,
OR(E2610="Viral Fever",E2610="General Checkup","Routine Health Check"), "",
TRUE,""
)</f>
        <v/>
      </c>
      <c r="I2610" s="1" t="str">
        <f t="shared" si="80"/>
        <v>No Follow-up Required</v>
      </c>
      <c r="J2610" t="str">
        <f>TEXT(Table8[[#This Row],[visit_Date]],"DDDD")</f>
        <v>Wednesday</v>
      </c>
      <c r="K2610" t="str">
        <f>TEXT(Table8[[#This Row],[visit_Date]],"mmmm")</f>
        <v>May</v>
      </c>
      <c r="L2610" t="str">
        <f t="shared" si="81"/>
        <v>Summer</v>
      </c>
    </row>
    <row r="2611" spans="1:12" x14ac:dyDescent="0.25">
      <c r="A2611">
        <v>2610</v>
      </c>
      <c r="B2611">
        <v>1386</v>
      </c>
      <c r="C2611">
        <v>1085</v>
      </c>
      <c r="D2611" s="1">
        <v>45694</v>
      </c>
      <c r="E2611" t="s">
        <v>24</v>
      </c>
      <c r="F2611" t="s">
        <v>321</v>
      </c>
      <c r="G2611" t="str">
        <f>_xlfn.XLOOKUP(TRIM(E2612),MedicineInfo!A:A,MedicineInfo!B:B,"Not Found")</f>
        <v>Multivitamin</v>
      </c>
      <c r="H2611" s="1" t="str" cm="1">
        <f t="array" ref="H2611">_xlfn.IFS(
OR(E2611="Type 2 Diabetes",E2611="Essential Hypertension",E2611="Angina Pectoris",E2611="Bronchial Asthma",E2611="Cardiac Arrhythmia"), D2611+30,
OR(E2611="Gastritis",E2611="Osteoarthritis",E2611="Bronchitis",E2611="Iron Deficiency Anemia"), D2611+14,
OR(E2611="Lumbar Strain",E2611="Migraine Headache"), D2611+7,
OR(E2611="Viral Fever",E2611="General Checkup","Routine Health Check"), "",
TRUE,""
)</f>
        <v/>
      </c>
      <c r="I2611" s="1" t="str">
        <f t="shared" si="80"/>
        <v>No Follow-up Required</v>
      </c>
      <c r="J2611" t="str">
        <f>TEXT(Table8[[#This Row],[visit_Date]],"DDDD")</f>
        <v>Thursday</v>
      </c>
      <c r="K2611" t="str">
        <f>TEXT(Table8[[#This Row],[visit_Date]],"mmmm")</f>
        <v>February</v>
      </c>
      <c r="L2611" t="str">
        <f t="shared" si="81"/>
        <v>Winter</v>
      </c>
    </row>
    <row r="2612" spans="1:12" x14ac:dyDescent="0.25">
      <c r="A2612">
        <v>2611</v>
      </c>
      <c r="B2612">
        <v>1374</v>
      </c>
      <c r="C2612">
        <v>1361</v>
      </c>
      <c r="D2612" s="1">
        <v>45865</v>
      </c>
      <c r="E2612" t="s">
        <v>24</v>
      </c>
      <c r="F2612" t="s">
        <v>321</v>
      </c>
      <c r="G2612" t="str">
        <f>_xlfn.XLOOKUP(TRIM(E2613),MedicineInfo!A:A,MedicineInfo!B:B,"Not Found")</f>
        <v>Multivitamin</v>
      </c>
      <c r="H2612" s="1" t="str" cm="1">
        <f t="array" ref="H2612">_xlfn.IFS(
OR(E2612="Type 2 Diabetes",E2612="Essential Hypertension",E2612="Angina Pectoris",E2612="Bronchial Asthma",E2612="Cardiac Arrhythmia"), D2612+30,
OR(E2612="Gastritis",E2612="Osteoarthritis",E2612="Bronchitis",E2612="Iron Deficiency Anemia"), D2612+14,
OR(E2612="Lumbar Strain",E2612="Migraine Headache"), D2612+7,
OR(E2612="Viral Fever",E2612="General Checkup","Routine Health Check"), "",
TRUE,""
)</f>
        <v/>
      </c>
      <c r="I2612" s="1" t="str">
        <f t="shared" si="80"/>
        <v>No Follow-up Required</v>
      </c>
      <c r="J2612" t="str">
        <f>TEXT(Table8[[#This Row],[visit_Date]],"DDDD")</f>
        <v>Sunday</v>
      </c>
      <c r="K2612" t="str">
        <f>TEXT(Table8[[#This Row],[visit_Date]],"mmmm")</f>
        <v>July</v>
      </c>
      <c r="L2612" t="str">
        <f t="shared" si="81"/>
        <v>Monsoon</v>
      </c>
    </row>
    <row r="2613" spans="1:12" x14ac:dyDescent="0.25">
      <c r="A2613">
        <v>2612</v>
      </c>
      <c r="B2613">
        <v>1140</v>
      </c>
      <c r="C2613">
        <v>1148</v>
      </c>
      <c r="D2613" s="1">
        <v>45819</v>
      </c>
      <c r="E2613" t="s">
        <v>24</v>
      </c>
      <c r="F2613" t="s">
        <v>321</v>
      </c>
      <c r="G2613" t="str">
        <f>_xlfn.XLOOKUP(TRIM(E2614),MedicineInfo!A:A,MedicineInfo!B:B,"Not Found")</f>
        <v>Multivitamin</v>
      </c>
      <c r="H2613" s="1" t="str" cm="1">
        <f t="array" ref="H2613">_xlfn.IFS(
OR(E2613="Type 2 Diabetes",E2613="Essential Hypertension",E2613="Angina Pectoris",E2613="Bronchial Asthma",E2613="Cardiac Arrhythmia"), D2613+30,
OR(E2613="Gastritis",E2613="Osteoarthritis",E2613="Bronchitis",E2613="Iron Deficiency Anemia"), D2613+14,
OR(E2613="Lumbar Strain",E2613="Migraine Headache"), D2613+7,
OR(E2613="Viral Fever",E2613="General Checkup","Routine Health Check"), "",
TRUE,""
)</f>
        <v/>
      </c>
      <c r="I2613" s="1" t="str">
        <f t="shared" si="80"/>
        <v>No Follow-up Required</v>
      </c>
      <c r="J2613" t="str">
        <f>TEXT(Table8[[#This Row],[visit_Date]],"DDDD")</f>
        <v>Wednesday</v>
      </c>
      <c r="K2613" t="str">
        <f>TEXT(Table8[[#This Row],[visit_Date]],"mmmm")</f>
        <v>June</v>
      </c>
      <c r="L2613" t="str">
        <f t="shared" si="81"/>
        <v>Monsoon</v>
      </c>
    </row>
    <row r="2614" spans="1:12" x14ac:dyDescent="0.25">
      <c r="A2614">
        <v>2613</v>
      </c>
      <c r="B2614">
        <v>1038</v>
      </c>
      <c r="C2614">
        <v>174</v>
      </c>
      <c r="D2614" s="1">
        <v>45669</v>
      </c>
      <c r="E2614" t="s">
        <v>24</v>
      </c>
      <c r="F2614" t="s">
        <v>321</v>
      </c>
      <c r="G2614" t="str">
        <f>_xlfn.XLOOKUP(TRIM(E2615),MedicineInfo!A:A,MedicineInfo!B:B,"Not Found")</f>
        <v>Multivitamin</v>
      </c>
      <c r="H2614" s="1" t="str" cm="1">
        <f t="array" ref="H2614">_xlfn.IFS(
OR(E2614="Type 2 Diabetes",E2614="Essential Hypertension",E2614="Angina Pectoris",E2614="Bronchial Asthma",E2614="Cardiac Arrhythmia"), D2614+30,
OR(E2614="Gastritis",E2614="Osteoarthritis",E2614="Bronchitis",E2614="Iron Deficiency Anemia"), D2614+14,
OR(E2614="Lumbar Strain",E2614="Migraine Headache"), D2614+7,
OR(E2614="Viral Fever",E2614="General Checkup","Routine Health Check"), "",
TRUE,""
)</f>
        <v/>
      </c>
      <c r="I2614" s="1" t="str">
        <f t="shared" si="80"/>
        <v>No Follow-up Required</v>
      </c>
      <c r="J2614" t="str">
        <f>TEXT(Table8[[#This Row],[visit_Date]],"DDDD")</f>
        <v>Sunday</v>
      </c>
      <c r="K2614" t="str">
        <f>TEXT(Table8[[#This Row],[visit_Date]],"mmmm")</f>
        <v>January</v>
      </c>
      <c r="L2614" t="str">
        <f t="shared" si="81"/>
        <v>Winter</v>
      </c>
    </row>
    <row r="2615" spans="1:12" x14ac:dyDescent="0.25">
      <c r="A2615">
        <v>2614</v>
      </c>
      <c r="B2615">
        <v>1057</v>
      </c>
      <c r="C2615">
        <v>245</v>
      </c>
      <c r="D2615" s="1">
        <v>45814</v>
      </c>
      <c r="E2615" t="s">
        <v>24</v>
      </c>
      <c r="F2615" t="s">
        <v>321</v>
      </c>
      <c r="G2615" t="str">
        <f>_xlfn.XLOOKUP(TRIM(E2616),MedicineInfo!A:A,MedicineInfo!B:B,"Not Found")</f>
        <v>Folic Acid</v>
      </c>
      <c r="H2615" s="1" t="str" cm="1">
        <f t="array" ref="H2615">_xlfn.IFS(
OR(E2615="Type 2 Diabetes",E2615="Essential Hypertension",E2615="Angina Pectoris",E2615="Bronchial Asthma",E2615="Cardiac Arrhythmia"), D2615+30,
OR(E2615="Gastritis",E2615="Osteoarthritis",E2615="Bronchitis",E2615="Iron Deficiency Anemia"), D2615+14,
OR(E2615="Lumbar Strain",E2615="Migraine Headache"), D2615+7,
OR(E2615="Viral Fever",E2615="General Checkup","Routine Health Check"), "",
TRUE,""
)</f>
        <v/>
      </c>
      <c r="I2615" s="1" t="str">
        <f t="shared" si="80"/>
        <v>No Follow-up Required</v>
      </c>
      <c r="J2615" t="str">
        <f>TEXT(Table8[[#This Row],[visit_Date]],"DDDD")</f>
        <v>Friday</v>
      </c>
      <c r="K2615" t="str">
        <f>TEXT(Table8[[#This Row],[visit_Date]],"mmmm")</f>
        <v>June</v>
      </c>
      <c r="L2615" t="str">
        <f t="shared" si="81"/>
        <v>Monsoon</v>
      </c>
    </row>
    <row r="2616" spans="1:12" x14ac:dyDescent="0.25">
      <c r="A2616">
        <v>2615</v>
      </c>
      <c r="B2616">
        <v>1336</v>
      </c>
      <c r="C2616">
        <v>1595</v>
      </c>
      <c r="D2616" s="1">
        <v>45791</v>
      </c>
      <c r="E2616" t="s">
        <v>356</v>
      </c>
      <c r="F2616" t="s">
        <v>357</v>
      </c>
      <c r="G2616" t="str">
        <f>_xlfn.XLOOKUP(TRIM(E2617),MedicineInfo!A:A,MedicineInfo!B:B,"Not Found")</f>
        <v>Diclofenac</v>
      </c>
      <c r="H2616" s="1" t="str" cm="1">
        <f t="array" ref="H2616">_xlfn.IFS(
OR(E2616="Type 2 Diabetes",E2616="Essential Hypertension",E2616="Angina Pectoris",E2616="Bronchial Asthma",E2616="Cardiac Arrhythmia"), D2616+30,
OR(E2616="Gastritis",E2616="Osteoarthritis",E2616="Bronchitis",E2616="Iron Deficiency Anemia"), D2616+14,
OR(E2616="Lumbar Strain",E2616="Migraine Headache"), D2616+7,
OR(E2616="Viral Fever",E2616="General Checkup","Routine Health Check"), "",
TRUE,""
)</f>
        <v/>
      </c>
      <c r="I2616" s="1" t="str">
        <f t="shared" si="80"/>
        <v>No Follow-up Required</v>
      </c>
      <c r="J2616" t="str">
        <f>TEXT(Table8[[#This Row],[visit_Date]],"DDDD")</f>
        <v>Wednesday</v>
      </c>
      <c r="K2616" t="str">
        <f>TEXT(Table8[[#This Row],[visit_Date]],"mmmm")</f>
        <v>May</v>
      </c>
      <c r="L2616" t="str">
        <f t="shared" si="81"/>
        <v>Summer</v>
      </c>
    </row>
    <row r="2617" spans="1:12" x14ac:dyDescent="0.25">
      <c r="A2617">
        <v>2616</v>
      </c>
      <c r="B2617">
        <v>1093</v>
      </c>
      <c r="C2617">
        <v>864</v>
      </c>
      <c r="D2617" s="1">
        <v>45799</v>
      </c>
      <c r="E2617" t="s">
        <v>313</v>
      </c>
      <c r="F2617" t="s">
        <v>314</v>
      </c>
      <c r="G2617" t="str">
        <f>_xlfn.XLOOKUP(TRIM(E2618),MedicineInfo!A:A,MedicineInfo!B:B,"Not Found")</f>
        <v>Multivitamin</v>
      </c>
      <c r="H2617" s="1" cm="1">
        <f t="array" ref="H2617">_xlfn.IFS(
OR(E2617="Type 2 Diabetes",E2617="Essential Hypertension",E2617="Angina Pectoris",E2617="Bronchial Asthma",E2617="Cardiac Arrhythmia"), D2617+30,
OR(E2617="Gastritis",E2617="Osteoarthritis",E2617="Bronchitis",E2617="Iron Deficiency Anemia"), D2617+14,
OR(E2617="Lumbar Strain",E2617="Migraine Headache"), D2617+7,
OR(E2617="Viral Fever",E2617="General Checkup","Routine Health Check"), "",
TRUE,""
)</f>
        <v>45806</v>
      </c>
      <c r="I2617" s="1" t="str">
        <f t="shared" si="80"/>
        <v>Follow-up Scheduled</v>
      </c>
      <c r="J2617" t="str">
        <f>TEXT(Table8[[#This Row],[visit_Date]],"DDDD")</f>
        <v>Thursday</v>
      </c>
      <c r="K2617" t="str">
        <f>TEXT(Table8[[#This Row],[visit_Date]],"mmmm")</f>
        <v>May</v>
      </c>
      <c r="L2617" t="str">
        <f t="shared" si="81"/>
        <v>Summer</v>
      </c>
    </row>
    <row r="2618" spans="1:12" x14ac:dyDescent="0.25">
      <c r="A2618">
        <v>2617</v>
      </c>
      <c r="B2618">
        <v>1052</v>
      </c>
      <c r="C2618">
        <v>997</v>
      </c>
      <c r="D2618" s="1">
        <v>45672</v>
      </c>
      <c r="E2618" t="s">
        <v>24</v>
      </c>
      <c r="F2618" t="s">
        <v>321</v>
      </c>
      <c r="G2618" t="str">
        <f>_xlfn.XLOOKUP(TRIM(E2619),MedicineInfo!A:A,MedicineInfo!B:B,"Not Found")</f>
        <v>Multivitamin</v>
      </c>
      <c r="H2618" s="1" t="str" cm="1">
        <f t="array" ref="H2618">_xlfn.IFS(
OR(E2618="Type 2 Diabetes",E2618="Essential Hypertension",E2618="Angina Pectoris",E2618="Bronchial Asthma",E2618="Cardiac Arrhythmia"), D2618+30,
OR(E2618="Gastritis",E2618="Osteoarthritis",E2618="Bronchitis",E2618="Iron Deficiency Anemia"), D2618+14,
OR(E2618="Lumbar Strain",E2618="Migraine Headache"), D2618+7,
OR(E2618="Viral Fever",E2618="General Checkup","Routine Health Check"), "",
TRUE,""
)</f>
        <v/>
      </c>
      <c r="I2618" s="1" t="str">
        <f t="shared" si="80"/>
        <v>No Follow-up Required</v>
      </c>
      <c r="J2618" t="str">
        <f>TEXT(Table8[[#This Row],[visit_Date]],"DDDD")</f>
        <v>Wednesday</v>
      </c>
      <c r="K2618" t="str">
        <f>TEXT(Table8[[#This Row],[visit_Date]],"mmmm")</f>
        <v>January</v>
      </c>
      <c r="L2618" t="str">
        <f t="shared" si="81"/>
        <v>Winter</v>
      </c>
    </row>
    <row r="2619" spans="1:12" x14ac:dyDescent="0.25">
      <c r="A2619">
        <v>2618</v>
      </c>
      <c r="B2619">
        <v>1367</v>
      </c>
      <c r="C2619">
        <v>1521</v>
      </c>
      <c r="D2619" s="1">
        <v>45686</v>
      </c>
      <c r="E2619" t="s">
        <v>24</v>
      </c>
      <c r="F2619" t="s">
        <v>321</v>
      </c>
      <c r="G2619" t="str">
        <f>_xlfn.XLOOKUP(TRIM(E2620),MedicineInfo!A:A,MedicineInfo!B:B,"Not Found")</f>
        <v>Multivitamin</v>
      </c>
      <c r="H2619" s="1" t="str" cm="1">
        <f t="array" ref="H2619">_xlfn.IFS(
OR(E2619="Type 2 Diabetes",E2619="Essential Hypertension",E2619="Angina Pectoris",E2619="Bronchial Asthma",E2619="Cardiac Arrhythmia"), D2619+30,
OR(E2619="Gastritis",E2619="Osteoarthritis",E2619="Bronchitis",E2619="Iron Deficiency Anemia"), D2619+14,
OR(E2619="Lumbar Strain",E2619="Migraine Headache"), D2619+7,
OR(E2619="Viral Fever",E2619="General Checkup","Routine Health Check"), "",
TRUE,""
)</f>
        <v/>
      </c>
      <c r="I2619" s="1" t="str">
        <f t="shared" si="80"/>
        <v>No Follow-up Required</v>
      </c>
      <c r="J2619" t="str">
        <f>TEXT(Table8[[#This Row],[visit_Date]],"DDDD")</f>
        <v>Wednesday</v>
      </c>
      <c r="K2619" t="str">
        <f>TEXT(Table8[[#This Row],[visit_Date]],"mmmm")</f>
        <v>January</v>
      </c>
      <c r="L2619" t="str">
        <f t="shared" si="81"/>
        <v>Winter</v>
      </c>
    </row>
    <row r="2620" spans="1:12" x14ac:dyDescent="0.25">
      <c r="A2620">
        <v>2619</v>
      </c>
      <c r="B2620">
        <v>1077</v>
      </c>
      <c r="C2620">
        <v>249</v>
      </c>
      <c r="D2620" s="1">
        <v>45767</v>
      </c>
      <c r="E2620" t="s">
        <v>24</v>
      </c>
      <c r="F2620" t="s">
        <v>321</v>
      </c>
      <c r="G2620" t="str">
        <f>_xlfn.XLOOKUP(TRIM(E2621),MedicineInfo!A:A,MedicineInfo!B:B,"Not Found")</f>
        <v>Multivitamin</v>
      </c>
      <c r="H2620" s="1" t="str" cm="1">
        <f t="array" ref="H2620">_xlfn.IFS(
OR(E2620="Type 2 Diabetes",E2620="Essential Hypertension",E2620="Angina Pectoris",E2620="Bronchial Asthma",E2620="Cardiac Arrhythmia"), D2620+30,
OR(E2620="Gastritis",E2620="Osteoarthritis",E2620="Bronchitis",E2620="Iron Deficiency Anemia"), D2620+14,
OR(E2620="Lumbar Strain",E2620="Migraine Headache"), D2620+7,
OR(E2620="Viral Fever",E2620="General Checkup","Routine Health Check"), "",
TRUE,""
)</f>
        <v/>
      </c>
      <c r="I2620" s="1" t="str">
        <f t="shared" si="80"/>
        <v>No Follow-up Required</v>
      </c>
      <c r="J2620" t="str">
        <f>TEXT(Table8[[#This Row],[visit_Date]],"DDDD")</f>
        <v>Sunday</v>
      </c>
      <c r="K2620" t="str">
        <f>TEXT(Table8[[#This Row],[visit_Date]],"mmmm")</f>
        <v>April</v>
      </c>
      <c r="L2620" t="str">
        <f t="shared" si="81"/>
        <v>Summer</v>
      </c>
    </row>
    <row r="2621" spans="1:12" x14ac:dyDescent="0.25">
      <c r="A2621">
        <v>2620</v>
      </c>
      <c r="B2621">
        <v>1022</v>
      </c>
      <c r="C2621">
        <v>393</v>
      </c>
      <c r="D2621" s="1">
        <v>45777</v>
      </c>
      <c r="E2621" t="s">
        <v>24</v>
      </c>
      <c r="F2621" t="s">
        <v>321</v>
      </c>
      <c r="G2621" t="str">
        <f>_xlfn.XLOOKUP(TRIM(E2622),MedicineInfo!A:A,MedicineInfo!B:B,"Not Found")</f>
        <v>Multivitamin</v>
      </c>
      <c r="H2621" s="1" t="str" cm="1">
        <f t="array" ref="H2621">_xlfn.IFS(
OR(E2621="Type 2 Diabetes",E2621="Essential Hypertension",E2621="Angina Pectoris",E2621="Bronchial Asthma",E2621="Cardiac Arrhythmia"), D2621+30,
OR(E2621="Gastritis",E2621="Osteoarthritis",E2621="Bronchitis",E2621="Iron Deficiency Anemia"), D2621+14,
OR(E2621="Lumbar Strain",E2621="Migraine Headache"), D2621+7,
OR(E2621="Viral Fever",E2621="General Checkup","Routine Health Check"), "",
TRUE,""
)</f>
        <v/>
      </c>
      <c r="I2621" s="1" t="str">
        <f t="shared" si="80"/>
        <v>No Follow-up Required</v>
      </c>
      <c r="J2621" t="str">
        <f>TEXT(Table8[[#This Row],[visit_Date]],"DDDD")</f>
        <v>Wednesday</v>
      </c>
      <c r="K2621" t="str">
        <f>TEXT(Table8[[#This Row],[visit_Date]],"mmmm")</f>
        <v>April</v>
      </c>
      <c r="L2621" t="str">
        <f t="shared" si="81"/>
        <v>Summer</v>
      </c>
    </row>
    <row r="2622" spans="1:12" x14ac:dyDescent="0.25">
      <c r="A2622">
        <v>2621</v>
      </c>
      <c r="B2622">
        <v>1118</v>
      </c>
      <c r="C2622">
        <v>820</v>
      </c>
      <c r="D2622" s="1">
        <v>45685</v>
      </c>
      <c r="E2622" t="s">
        <v>24</v>
      </c>
      <c r="F2622" t="s">
        <v>321</v>
      </c>
      <c r="G2622" t="str">
        <f>_xlfn.XLOOKUP(TRIM(E2623),MedicineInfo!A:A,MedicineInfo!B:B,"Not Found")</f>
        <v>Multivitamin</v>
      </c>
      <c r="H2622" s="1" t="str" cm="1">
        <f t="array" ref="H2622">_xlfn.IFS(
OR(E2622="Type 2 Diabetes",E2622="Essential Hypertension",E2622="Angina Pectoris",E2622="Bronchial Asthma",E2622="Cardiac Arrhythmia"), D2622+30,
OR(E2622="Gastritis",E2622="Osteoarthritis",E2622="Bronchitis",E2622="Iron Deficiency Anemia"), D2622+14,
OR(E2622="Lumbar Strain",E2622="Migraine Headache"), D2622+7,
OR(E2622="Viral Fever",E2622="General Checkup","Routine Health Check"), "",
TRUE,""
)</f>
        <v/>
      </c>
      <c r="I2622" s="1" t="str">
        <f t="shared" si="80"/>
        <v>No Follow-up Required</v>
      </c>
      <c r="J2622" t="str">
        <f>TEXT(Table8[[#This Row],[visit_Date]],"DDDD")</f>
        <v>Tuesday</v>
      </c>
      <c r="K2622" t="str">
        <f>TEXT(Table8[[#This Row],[visit_Date]],"mmmm")</f>
        <v>January</v>
      </c>
      <c r="L2622" t="str">
        <f t="shared" si="81"/>
        <v>Winter</v>
      </c>
    </row>
    <row r="2623" spans="1:12" x14ac:dyDescent="0.25">
      <c r="A2623">
        <v>2622</v>
      </c>
      <c r="B2623">
        <v>1155</v>
      </c>
      <c r="C2623">
        <v>246</v>
      </c>
      <c r="D2623" s="1">
        <v>45777</v>
      </c>
      <c r="E2623" t="s">
        <v>24</v>
      </c>
      <c r="F2623" t="s">
        <v>321</v>
      </c>
      <c r="G2623" t="str">
        <f>_xlfn.XLOOKUP(TRIM(E2624),MedicineInfo!A:A,MedicineInfo!B:B,"Not Found")</f>
        <v>Multivitamin</v>
      </c>
      <c r="H2623" s="1" t="str" cm="1">
        <f t="array" ref="H2623">_xlfn.IFS(
OR(E2623="Type 2 Diabetes",E2623="Essential Hypertension",E2623="Angina Pectoris",E2623="Bronchial Asthma",E2623="Cardiac Arrhythmia"), D2623+30,
OR(E2623="Gastritis",E2623="Osteoarthritis",E2623="Bronchitis",E2623="Iron Deficiency Anemia"), D2623+14,
OR(E2623="Lumbar Strain",E2623="Migraine Headache"), D2623+7,
OR(E2623="Viral Fever",E2623="General Checkup","Routine Health Check"), "",
TRUE,""
)</f>
        <v/>
      </c>
      <c r="I2623" s="1" t="str">
        <f t="shared" si="80"/>
        <v>No Follow-up Required</v>
      </c>
      <c r="J2623" t="str">
        <f>TEXT(Table8[[#This Row],[visit_Date]],"DDDD")</f>
        <v>Wednesday</v>
      </c>
      <c r="K2623" t="str">
        <f>TEXT(Table8[[#This Row],[visit_Date]],"mmmm")</f>
        <v>April</v>
      </c>
      <c r="L2623" t="str">
        <f t="shared" si="81"/>
        <v>Summer</v>
      </c>
    </row>
    <row r="2624" spans="1:12" x14ac:dyDescent="0.25">
      <c r="A2624">
        <v>2623</v>
      </c>
      <c r="B2624">
        <v>1346</v>
      </c>
      <c r="C2624">
        <v>1171</v>
      </c>
      <c r="D2624" s="1">
        <v>45780</v>
      </c>
      <c r="E2624" t="s">
        <v>24</v>
      </c>
      <c r="F2624" t="s">
        <v>321</v>
      </c>
      <c r="G2624" t="str">
        <f>_xlfn.XLOOKUP(TRIM(E2625),MedicineInfo!A:A,MedicineInfo!B:B,"Not Found")</f>
        <v>Aceclofenac</v>
      </c>
      <c r="H2624" s="1" t="str" cm="1">
        <f t="array" ref="H2624">_xlfn.IFS(
OR(E2624="Type 2 Diabetes",E2624="Essential Hypertension",E2624="Angina Pectoris",E2624="Bronchial Asthma",E2624="Cardiac Arrhythmia"), D2624+30,
OR(E2624="Gastritis",E2624="Osteoarthritis",E2624="Bronchitis",E2624="Iron Deficiency Anemia"), D2624+14,
OR(E2624="Lumbar Strain",E2624="Migraine Headache"), D2624+7,
OR(E2624="Viral Fever",E2624="General Checkup","Routine Health Check"), "",
TRUE,""
)</f>
        <v/>
      </c>
      <c r="I2624" s="1" t="str">
        <f t="shared" si="80"/>
        <v>No Follow-up Required</v>
      </c>
      <c r="J2624" t="str">
        <f>TEXT(Table8[[#This Row],[visit_Date]],"DDDD")</f>
        <v>Saturday</v>
      </c>
      <c r="K2624" t="str">
        <f>TEXT(Table8[[#This Row],[visit_Date]],"mmmm")</f>
        <v>May</v>
      </c>
      <c r="L2624" t="str">
        <f t="shared" si="81"/>
        <v>Summer</v>
      </c>
    </row>
    <row r="2625" spans="1:12" x14ac:dyDescent="0.25">
      <c r="A2625">
        <v>2624</v>
      </c>
      <c r="B2625">
        <v>1333</v>
      </c>
      <c r="C2625">
        <v>386</v>
      </c>
      <c r="D2625" s="1">
        <v>45865</v>
      </c>
      <c r="E2625" t="s">
        <v>348</v>
      </c>
      <c r="F2625" t="s">
        <v>349</v>
      </c>
      <c r="G2625" t="str">
        <f>_xlfn.XLOOKUP(TRIM(E2626),MedicineInfo!A:A,MedicineInfo!B:B,"Not Found")</f>
        <v>Multivitamin</v>
      </c>
      <c r="H2625" s="1" cm="1">
        <f t="array" ref="H2625">_xlfn.IFS(
OR(E2625="Type 2 Diabetes",E2625="Essential Hypertension",E2625="Angina Pectoris",E2625="Bronchial Asthma",E2625="Cardiac Arrhythmia"), D2625+30,
OR(E2625="Gastritis",E2625="Osteoarthritis",E2625="Bronchitis",E2625="Iron Deficiency Anemia"), D2625+14,
OR(E2625="Lumbar Strain",E2625="Migraine Headache"), D2625+7,
OR(E2625="Viral Fever",E2625="General Checkup","Routine Health Check"), "",
TRUE,""
)</f>
        <v>45879</v>
      </c>
      <c r="I2625" s="1" t="str">
        <f t="shared" si="80"/>
        <v>Follow-up Scheduled</v>
      </c>
      <c r="J2625" t="str">
        <f>TEXT(Table8[[#This Row],[visit_Date]],"DDDD")</f>
        <v>Sunday</v>
      </c>
      <c r="K2625" t="str">
        <f>TEXT(Table8[[#This Row],[visit_Date]],"mmmm")</f>
        <v>July</v>
      </c>
      <c r="L2625" t="str">
        <f t="shared" si="81"/>
        <v>Monsoon</v>
      </c>
    </row>
    <row r="2626" spans="1:12" x14ac:dyDescent="0.25">
      <c r="A2626">
        <v>2625</v>
      </c>
      <c r="B2626">
        <v>1079</v>
      </c>
      <c r="C2626">
        <v>388</v>
      </c>
      <c r="D2626" s="1">
        <v>45767</v>
      </c>
      <c r="E2626" t="s">
        <v>24</v>
      </c>
      <c r="F2626" t="s">
        <v>321</v>
      </c>
      <c r="G2626" t="str">
        <f>_xlfn.XLOOKUP(TRIM(E2627),MedicineInfo!A:A,MedicineInfo!B:B,"Not Found")</f>
        <v>Multivitamin</v>
      </c>
      <c r="H2626" s="1" t="str" cm="1">
        <f t="array" ref="H2626">_xlfn.IFS(
OR(E2626="Type 2 Diabetes",E2626="Essential Hypertension",E2626="Angina Pectoris",E2626="Bronchial Asthma",E2626="Cardiac Arrhythmia"), D2626+30,
OR(E2626="Gastritis",E2626="Osteoarthritis",E2626="Bronchitis",E2626="Iron Deficiency Anemia"), D2626+14,
OR(E2626="Lumbar Strain",E2626="Migraine Headache"), D2626+7,
OR(E2626="Viral Fever",E2626="General Checkup","Routine Health Check"), "",
TRUE,""
)</f>
        <v/>
      </c>
      <c r="I2626" s="1" t="str">
        <f t="shared" ref="I2626:I2689" si="82">IF(H2626="","No Follow-up Required","Follow-up Scheduled")</f>
        <v>No Follow-up Required</v>
      </c>
      <c r="J2626" t="str">
        <f>TEXT(Table8[[#This Row],[visit_Date]],"DDDD")</f>
        <v>Sunday</v>
      </c>
      <c r="K2626" t="str">
        <f>TEXT(Table8[[#This Row],[visit_Date]],"mmmm")</f>
        <v>April</v>
      </c>
      <c r="L2626" t="str">
        <f t="shared" ref="L2626:L2689" si="83">IF(OR(MONTH(D2626)=12,MONTH(D2626)&lt;=2),"Winter",
IF(MONTH(D2626)&lt;=5,"Summer","Monsoon"))</f>
        <v>Summer</v>
      </c>
    </row>
    <row r="2627" spans="1:12" x14ac:dyDescent="0.25">
      <c r="A2627">
        <v>2626</v>
      </c>
      <c r="B2627">
        <v>1049</v>
      </c>
      <c r="C2627">
        <v>109</v>
      </c>
      <c r="D2627" s="1">
        <v>45805</v>
      </c>
      <c r="E2627" t="s">
        <v>24</v>
      </c>
      <c r="F2627" t="s">
        <v>321</v>
      </c>
      <c r="G2627" t="str">
        <f>_xlfn.XLOOKUP(TRIM(E2628),MedicineInfo!A:A,MedicineInfo!B:B,"Not Found")</f>
        <v>Multivitamin</v>
      </c>
      <c r="H2627" s="1" t="str" cm="1">
        <f t="array" ref="H2627">_xlfn.IFS(
OR(E2627="Type 2 Diabetes",E2627="Essential Hypertension",E2627="Angina Pectoris",E2627="Bronchial Asthma",E2627="Cardiac Arrhythmia"), D2627+30,
OR(E2627="Gastritis",E2627="Osteoarthritis",E2627="Bronchitis",E2627="Iron Deficiency Anemia"), D2627+14,
OR(E2627="Lumbar Strain",E2627="Migraine Headache"), D2627+7,
OR(E2627="Viral Fever",E2627="General Checkup","Routine Health Check"), "",
TRUE,""
)</f>
        <v/>
      </c>
      <c r="I2627" s="1" t="str">
        <f t="shared" si="82"/>
        <v>No Follow-up Required</v>
      </c>
      <c r="J2627" t="str">
        <f>TEXT(Table8[[#This Row],[visit_Date]],"DDDD")</f>
        <v>Wednesday</v>
      </c>
      <c r="K2627" t="str">
        <f>TEXT(Table8[[#This Row],[visit_Date]],"mmmm")</f>
        <v>May</v>
      </c>
      <c r="L2627" t="str">
        <f t="shared" si="83"/>
        <v>Summer</v>
      </c>
    </row>
    <row r="2628" spans="1:12" x14ac:dyDescent="0.25">
      <c r="A2628">
        <v>2627</v>
      </c>
      <c r="B2628">
        <v>1191</v>
      </c>
      <c r="C2628">
        <v>1151</v>
      </c>
      <c r="D2628" s="1">
        <v>45799</v>
      </c>
      <c r="E2628" t="s">
        <v>24</v>
      </c>
      <c r="F2628" t="s">
        <v>321</v>
      </c>
      <c r="G2628" t="str">
        <f>_xlfn.XLOOKUP(TRIM(E2629),MedicineInfo!A:A,MedicineInfo!B:B,"Not Found")</f>
        <v>Not Found</v>
      </c>
      <c r="H2628" s="1" t="str" cm="1">
        <f t="array" ref="H2628">_xlfn.IFS(
OR(E2628="Type 2 Diabetes",E2628="Essential Hypertension",E2628="Angina Pectoris",E2628="Bronchial Asthma",E2628="Cardiac Arrhythmia"), D2628+30,
OR(E2628="Gastritis",E2628="Osteoarthritis",E2628="Bronchitis",E2628="Iron Deficiency Anemia"), D2628+14,
OR(E2628="Lumbar Strain",E2628="Migraine Headache"), D2628+7,
OR(E2628="Viral Fever",E2628="General Checkup","Routine Health Check"), "",
TRUE,""
)</f>
        <v/>
      </c>
      <c r="I2628" s="1" t="str">
        <f t="shared" si="82"/>
        <v>No Follow-up Required</v>
      </c>
      <c r="J2628" t="str">
        <f>TEXT(Table8[[#This Row],[visit_Date]],"DDDD")</f>
        <v>Thursday</v>
      </c>
      <c r="K2628" t="str">
        <f>TEXT(Table8[[#This Row],[visit_Date]],"mmmm")</f>
        <v>May</v>
      </c>
      <c r="L2628" t="str">
        <f t="shared" si="83"/>
        <v>Summer</v>
      </c>
    </row>
    <row r="2629" spans="1:12" x14ac:dyDescent="0.25">
      <c r="A2629">
        <v>2628</v>
      </c>
      <c r="B2629">
        <v>1142</v>
      </c>
      <c r="C2629">
        <v>650</v>
      </c>
      <c r="D2629" s="1">
        <v>45706</v>
      </c>
      <c r="E2629" t="s">
        <v>340</v>
      </c>
      <c r="F2629" t="s">
        <v>341</v>
      </c>
      <c r="G2629" t="str">
        <f>_xlfn.XLOOKUP(TRIM(E2630),MedicineInfo!A:A,MedicineInfo!B:B,"Not Found")</f>
        <v>Multivitamin</v>
      </c>
      <c r="H2629" s="1" t="str" cm="1">
        <f t="array" ref="H2629">_xlfn.IFS(
OR(E2629="Type 2 Diabetes",E2629="Essential Hypertension",E2629="Angina Pectoris",E2629="Bronchial Asthma",E2629="Cardiac Arrhythmia"), D2629+30,
OR(E2629="Gastritis",E2629="Osteoarthritis",E2629="Bronchitis",E2629="Iron Deficiency Anemia"), D2629+14,
OR(E2629="Lumbar Strain",E2629="Migraine Headache"), D2629+7,
OR(E2629="Viral Fever",E2629="General Checkup","Routine Health Check"), "",
TRUE,""
)</f>
        <v/>
      </c>
      <c r="I2629" s="1" t="str">
        <f t="shared" si="82"/>
        <v>No Follow-up Required</v>
      </c>
      <c r="J2629" t="str">
        <f>TEXT(Table8[[#This Row],[visit_Date]],"DDDD")</f>
        <v>Tuesday</v>
      </c>
      <c r="K2629" t="str">
        <f>TEXT(Table8[[#This Row],[visit_Date]],"mmmm")</f>
        <v>February</v>
      </c>
      <c r="L2629" t="str">
        <f t="shared" si="83"/>
        <v>Winter</v>
      </c>
    </row>
    <row r="2630" spans="1:12" x14ac:dyDescent="0.25">
      <c r="A2630">
        <v>2629</v>
      </c>
      <c r="B2630">
        <v>1274</v>
      </c>
      <c r="C2630">
        <v>1254</v>
      </c>
      <c r="D2630" s="1">
        <v>45672</v>
      </c>
      <c r="E2630" t="s">
        <v>24</v>
      </c>
      <c r="F2630" t="s">
        <v>321</v>
      </c>
      <c r="G2630" t="str">
        <f>_xlfn.XLOOKUP(TRIM(E2631),MedicineInfo!A:A,MedicineInfo!B:B,"Not Found")</f>
        <v>Sodium Valproate</v>
      </c>
      <c r="H2630" s="1" t="str" cm="1">
        <f t="array" ref="H2630">_xlfn.IFS(
OR(E2630="Type 2 Diabetes",E2630="Essential Hypertension",E2630="Angina Pectoris",E2630="Bronchial Asthma",E2630="Cardiac Arrhythmia"), D2630+30,
OR(E2630="Gastritis",E2630="Osteoarthritis",E2630="Bronchitis",E2630="Iron Deficiency Anemia"), D2630+14,
OR(E2630="Lumbar Strain",E2630="Migraine Headache"), D2630+7,
OR(E2630="Viral Fever",E2630="General Checkup","Routine Health Check"), "",
TRUE,""
)</f>
        <v/>
      </c>
      <c r="I2630" s="1" t="str">
        <f t="shared" si="82"/>
        <v>No Follow-up Required</v>
      </c>
      <c r="J2630" t="str">
        <f>TEXT(Table8[[#This Row],[visit_Date]],"DDDD")</f>
        <v>Wednesday</v>
      </c>
      <c r="K2630" t="str">
        <f>TEXT(Table8[[#This Row],[visit_Date]],"mmmm")</f>
        <v>January</v>
      </c>
      <c r="L2630" t="str">
        <f t="shared" si="83"/>
        <v>Winter</v>
      </c>
    </row>
    <row r="2631" spans="1:12" x14ac:dyDescent="0.25">
      <c r="A2631">
        <v>2630</v>
      </c>
      <c r="B2631">
        <v>1070</v>
      </c>
      <c r="C2631">
        <v>375</v>
      </c>
      <c r="D2631" s="1">
        <v>45717</v>
      </c>
      <c r="E2631" t="s">
        <v>352</v>
      </c>
      <c r="F2631" t="s">
        <v>353</v>
      </c>
      <c r="G2631" t="str">
        <f>_xlfn.XLOOKUP(TRIM(E2632),MedicineInfo!A:A,MedicineInfo!B:B,"Not Found")</f>
        <v>Multivitamin</v>
      </c>
      <c r="H2631" s="1" t="str" cm="1">
        <f t="array" ref="H2631">_xlfn.IFS(
OR(E2631="Type 2 Diabetes",E2631="Essential Hypertension",E2631="Angina Pectoris",E2631="Bronchial Asthma",E2631="Cardiac Arrhythmia"), D2631+30,
OR(E2631="Gastritis",E2631="Osteoarthritis",E2631="Bronchitis",E2631="Iron Deficiency Anemia"), D2631+14,
OR(E2631="Lumbar Strain",E2631="Migraine Headache"), D2631+7,
OR(E2631="Viral Fever",E2631="General Checkup","Routine Health Check"), "",
TRUE,""
)</f>
        <v/>
      </c>
      <c r="I2631" s="1" t="str">
        <f t="shared" si="82"/>
        <v>No Follow-up Required</v>
      </c>
      <c r="J2631" t="str">
        <f>TEXT(Table8[[#This Row],[visit_Date]],"DDDD")</f>
        <v>Saturday</v>
      </c>
      <c r="K2631" t="str">
        <f>TEXT(Table8[[#This Row],[visit_Date]],"mmmm")</f>
        <v>March</v>
      </c>
      <c r="L2631" t="str">
        <f t="shared" si="83"/>
        <v>Summer</v>
      </c>
    </row>
    <row r="2632" spans="1:12" x14ac:dyDescent="0.25">
      <c r="A2632">
        <v>2631</v>
      </c>
      <c r="B2632">
        <v>1004</v>
      </c>
      <c r="C2632">
        <v>1001</v>
      </c>
      <c r="D2632" s="1">
        <v>45790</v>
      </c>
      <c r="E2632" t="s">
        <v>24</v>
      </c>
      <c r="F2632" t="s">
        <v>321</v>
      </c>
      <c r="G2632" t="str">
        <f>_xlfn.XLOOKUP(TRIM(E2633),MedicineInfo!A:A,MedicineInfo!B:B,"Not Found")</f>
        <v>Amiodarone</v>
      </c>
      <c r="H2632" s="1" t="str" cm="1">
        <f t="array" ref="H2632">_xlfn.IFS(
OR(E2632="Type 2 Diabetes",E2632="Essential Hypertension",E2632="Angina Pectoris",E2632="Bronchial Asthma",E2632="Cardiac Arrhythmia"), D2632+30,
OR(E2632="Gastritis",E2632="Osteoarthritis",E2632="Bronchitis",E2632="Iron Deficiency Anemia"), D2632+14,
OR(E2632="Lumbar Strain",E2632="Migraine Headache"), D2632+7,
OR(E2632="Viral Fever",E2632="General Checkup","Routine Health Check"), "",
TRUE,""
)</f>
        <v/>
      </c>
      <c r="I2632" s="1" t="str">
        <f t="shared" si="82"/>
        <v>No Follow-up Required</v>
      </c>
      <c r="J2632" t="str">
        <f>TEXT(Table8[[#This Row],[visit_Date]],"DDDD")</f>
        <v>Tuesday</v>
      </c>
      <c r="K2632" t="str">
        <f>TEXT(Table8[[#This Row],[visit_Date]],"mmmm")</f>
        <v>May</v>
      </c>
      <c r="L2632" t="str">
        <f t="shared" si="83"/>
        <v>Summer</v>
      </c>
    </row>
    <row r="2633" spans="1:12" x14ac:dyDescent="0.25">
      <c r="A2633">
        <v>2632</v>
      </c>
      <c r="B2633">
        <v>1399</v>
      </c>
      <c r="C2633">
        <v>509</v>
      </c>
      <c r="D2633" s="1">
        <v>45777</v>
      </c>
      <c r="E2633" t="s">
        <v>330</v>
      </c>
      <c r="F2633" t="s">
        <v>331</v>
      </c>
      <c r="G2633" t="str">
        <f>_xlfn.XLOOKUP(TRIM(E2634),MedicineInfo!A:A,MedicineInfo!B:B,"Not Found")</f>
        <v>Multivitamin</v>
      </c>
      <c r="H2633" s="1" cm="1">
        <f t="array" ref="H2633">_xlfn.IFS(
OR(E2633="Type 2 Diabetes",E2633="Essential Hypertension",E2633="Angina Pectoris",E2633="Bronchial Asthma",E2633="Cardiac Arrhythmia"), D2633+30,
OR(E2633="Gastritis",E2633="Osteoarthritis",E2633="Bronchitis",E2633="Iron Deficiency Anemia"), D2633+14,
OR(E2633="Lumbar Strain",E2633="Migraine Headache"), D2633+7,
OR(E2633="Viral Fever",E2633="General Checkup","Routine Health Check"), "",
TRUE,""
)</f>
        <v>45807</v>
      </c>
      <c r="I2633" s="1" t="str">
        <f t="shared" si="82"/>
        <v>Follow-up Scheduled</v>
      </c>
      <c r="J2633" t="str">
        <f>TEXT(Table8[[#This Row],[visit_Date]],"DDDD")</f>
        <v>Wednesday</v>
      </c>
      <c r="K2633" t="str">
        <f>TEXT(Table8[[#This Row],[visit_Date]],"mmmm")</f>
        <v>April</v>
      </c>
      <c r="L2633" t="str">
        <f t="shared" si="83"/>
        <v>Summer</v>
      </c>
    </row>
    <row r="2634" spans="1:12" x14ac:dyDescent="0.25">
      <c r="A2634">
        <v>2633</v>
      </c>
      <c r="B2634">
        <v>1127</v>
      </c>
      <c r="C2634">
        <v>1453</v>
      </c>
      <c r="D2634" s="1">
        <v>45694</v>
      </c>
      <c r="E2634" t="s">
        <v>24</v>
      </c>
      <c r="F2634" t="s">
        <v>321</v>
      </c>
      <c r="G2634" t="str">
        <f>_xlfn.XLOOKUP(TRIM(E2635),MedicineInfo!A:A,MedicineInfo!B:B,"Not Found")</f>
        <v>Multivitamin</v>
      </c>
      <c r="H2634" s="1" t="str" cm="1">
        <f t="array" ref="H2634">_xlfn.IFS(
OR(E2634="Type 2 Diabetes",E2634="Essential Hypertension",E2634="Angina Pectoris",E2634="Bronchial Asthma",E2634="Cardiac Arrhythmia"), D2634+30,
OR(E2634="Gastritis",E2634="Osteoarthritis",E2634="Bronchitis",E2634="Iron Deficiency Anemia"), D2634+14,
OR(E2634="Lumbar Strain",E2634="Migraine Headache"), D2634+7,
OR(E2634="Viral Fever",E2634="General Checkup","Routine Health Check"), "",
TRUE,""
)</f>
        <v/>
      </c>
      <c r="I2634" s="1" t="str">
        <f t="shared" si="82"/>
        <v>No Follow-up Required</v>
      </c>
      <c r="J2634" t="str">
        <f>TEXT(Table8[[#This Row],[visit_Date]],"DDDD")</f>
        <v>Thursday</v>
      </c>
      <c r="K2634" t="str">
        <f>TEXT(Table8[[#This Row],[visit_Date]],"mmmm")</f>
        <v>February</v>
      </c>
      <c r="L2634" t="str">
        <f t="shared" si="83"/>
        <v>Winter</v>
      </c>
    </row>
    <row r="2635" spans="1:12" x14ac:dyDescent="0.25">
      <c r="A2635">
        <v>2634</v>
      </c>
      <c r="B2635">
        <v>1308</v>
      </c>
      <c r="C2635">
        <v>823</v>
      </c>
      <c r="D2635" s="1">
        <v>45664</v>
      </c>
      <c r="E2635" t="s">
        <v>24</v>
      </c>
      <c r="F2635" t="s">
        <v>321</v>
      </c>
      <c r="G2635" t="str">
        <f>_xlfn.XLOOKUP(TRIM(E2636),MedicineInfo!A:A,MedicineInfo!B:B,"Not Found")</f>
        <v>Multivitamin</v>
      </c>
      <c r="H2635" s="1" t="str" cm="1">
        <f t="array" ref="H2635">_xlfn.IFS(
OR(E2635="Type 2 Diabetes",E2635="Essential Hypertension",E2635="Angina Pectoris",E2635="Bronchial Asthma",E2635="Cardiac Arrhythmia"), D2635+30,
OR(E2635="Gastritis",E2635="Osteoarthritis",E2635="Bronchitis",E2635="Iron Deficiency Anemia"), D2635+14,
OR(E2635="Lumbar Strain",E2635="Migraine Headache"), D2635+7,
OR(E2635="Viral Fever",E2635="General Checkup","Routine Health Check"), "",
TRUE,""
)</f>
        <v/>
      </c>
      <c r="I2635" s="1" t="str">
        <f t="shared" si="82"/>
        <v>No Follow-up Required</v>
      </c>
      <c r="J2635" t="str">
        <f>TEXT(Table8[[#This Row],[visit_Date]],"DDDD")</f>
        <v>Tuesday</v>
      </c>
      <c r="K2635" t="str">
        <f>TEXT(Table8[[#This Row],[visit_Date]],"mmmm")</f>
        <v>January</v>
      </c>
      <c r="L2635" t="str">
        <f t="shared" si="83"/>
        <v>Winter</v>
      </c>
    </row>
    <row r="2636" spans="1:12" x14ac:dyDescent="0.25">
      <c r="A2636">
        <v>2635</v>
      </c>
      <c r="B2636">
        <v>1389</v>
      </c>
      <c r="C2636">
        <v>628</v>
      </c>
      <c r="D2636" s="1">
        <v>45785</v>
      </c>
      <c r="E2636" t="s">
        <v>24</v>
      </c>
      <c r="F2636" t="s">
        <v>321</v>
      </c>
      <c r="G2636" t="str">
        <f>_xlfn.XLOOKUP(TRIM(E2637),MedicineInfo!A:A,MedicineInfo!B:B,"Not Found")</f>
        <v>Multivitamin</v>
      </c>
      <c r="H2636" s="1" t="str" cm="1">
        <f t="array" ref="H2636">_xlfn.IFS(
OR(E2636="Type 2 Diabetes",E2636="Essential Hypertension",E2636="Angina Pectoris",E2636="Bronchial Asthma",E2636="Cardiac Arrhythmia"), D2636+30,
OR(E2636="Gastritis",E2636="Osteoarthritis",E2636="Bronchitis",E2636="Iron Deficiency Anemia"), D2636+14,
OR(E2636="Lumbar Strain",E2636="Migraine Headache"), D2636+7,
OR(E2636="Viral Fever",E2636="General Checkup","Routine Health Check"), "",
TRUE,""
)</f>
        <v/>
      </c>
      <c r="I2636" s="1" t="str">
        <f t="shared" si="82"/>
        <v>No Follow-up Required</v>
      </c>
      <c r="J2636" t="str">
        <f>TEXT(Table8[[#This Row],[visit_Date]],"DDDD")</f>
        <v>Thursday</v>
      </c>
      <c r="K2636" t="str">
        <f>TEXT(Table8[[#This Row],[visit_Date]],"mmmm")</f>
        <v>May</v>
      </c>
      <c r="L2636" t="str">
        <f t="shared" si="83"/>
        <v>Summer</v>
      </c>
    </row>
    <row r="2637" spans="1:12" x14ac:dyDescent="0.25">
      <c r="A2637">
        <v>2636</v>
      </c>
      <c r="B2637">
        <v>1370</v>
      </c>
      <c r="C2637">
        <v>774</v>
      </c>
      <c r="D2637" s="1">
        <v>45758</v>
      </c>
      <c r="E2637" t="s">
        <v>24</v>
      </c>
      <c r="F2637" t="s">
        <v>321</v>
      </c>
      <c r="G2637" t="str">
        <f>_xlfn.XLOOKUP(TRIM(E2638),MedicineInfo!A:A,MedicineInfo!B:B,"Not Found")</f>
        <v>Multivitamin</v>
      </c>
      <c r="H2637" s="1" t="str" cm="1">
        <f t="array" ref="H2637">_xlfn.IFS(
OR(E2637="Type 2 Diabetes",E2637="Essential Hypertension",E2637="Angina Pectoris",E2637="Bronchial Asthma",E2637="Cardiac Arrhythmia"), D2637+30,
OR(E2637="Gastritis",E2637="Osteoarthritis",E2637="Bronchitis",E2637="Iron Deficiency Anemia"), D2637+14,
OR(E2637="Lumbar Strain",E2637="Migraine Headache"), D2637+7,
OR(E2637="Viral Fever",E2637="General Checkup","Routine Health Check"), "",
TRUE,""
)</f>
        <v/>
      </c>
      <c r="I2637" s="1" t="str">
        <f t="shared" si="82"/>
        <v>No Follow-up Required</v>
      </c>
      <c r="J2637" t="str">
        <f>TEXT(Table8[[#This Row],[visit_Date]],"DDDD")</f>
        <v>Friday</v>
      </c>
      <c r="K2637" t="str">
        <f>TEXT(Table8[[#This Row],[visit_Date]],"mmmm")</f>
        <v>April</v>
      </c>
      <c r="L2637" t="str">
        <f t="shared" si="83"/>
        <v>Summer</v>
      </c>
    </row>
    <row r="2638" spans="1:12" x14ac:dyDescent="0.25">
      <c r="A2638">
        <v>2637</v>
      </c>
      <c r="B2638">
        <v>1366</v>
      </c>
      <c r="C2638">
        <v>223</v>
      </c>
      <c r="D2638" s="1">
        <v>45694</v>
      </c>
      <c r="E2638" t="s">
        <v>24</v>
      </c>
      <c r="F2638" t="s">
        <v>321</v>
      </c>
      <c r="G2638" t="str">
        <f>_xlfn.XLOOKUP(TRIM(E2639),MedicineInfo!A:A,MedicineInfo!B:B,"Not Found")</f>
        <v>Multivitamin</v>
      </c>
      <c r="H2638" s="1" t="str" cm="1">
        <f t="array" ref="H2638">_xlfn.IFS(
OR(E2638="Type 2 Diabetes",E2638="Essential Hypertension",E2638="Angina Pectoris",E2638="Bronchial Asthma",E2638="Cardiac Arrhythmia"), D2638+30,
OR(E2638="Gastritis",E2638="Osteoarthritis",E2638="Bronchitis",E2638="Iron Deficiency Anemia"), D2638+14,
OR(E2638="Lumbar Strain",E2638="Migraine Headache"), D2638+7,
OR(E2638="Viral Fever",E2638="General Checkup","Routine Health Check"), "",
TRUE,""
)</f>
        <v/>
      </c>
      <c r="I2638" s="1" t="str">
        <f t="shared" si="82"/>
        <v>No Follow-up Required</v>
      </c>
      <c r="J2638" t="str">
        <f>TEXT(Table8[[#This Row],[visit_Date]],"DDDD")</f>
        <v>Thursday</v>
      </c>
      <c r="K2638" t="str">
        <f>TEXT(Table8[[#This Row],[visit_Date]],"mmmm")</f>
        <v>February</v>
      </c>
      <c r="L2638" t="str">
        <f t="shared" si="83"/>
        <v>Winter</v>
      </c>
    </row>
    <row r="2639" spans="1:12" x14ac:dyDescent="0.25">
      <c r="A2639">
        <v>2638</v>
      </c>
      <c r="B2639">
        <v>1276</v>
      </c>
      <c r="C2639">
        <v>235</v>
      </c>
      <c r="D2639" s="1">
        <v>45823</v>
      </c>
      <c r="E2639" t="s">
        <v>24</v>
      </c>
      <c r="F2639" t="s">
        <v>321</v>
      </c>
      <c r="G2639" t="str">
        <f>_xlfn.XLOOKUP(TRIM(E2640),MedicineInfo!A:A,MedicineInfo!B:B,"Not Found")</f>
        <v>Amoxicillin</v>
      </c>
      <c r="H2639" s="1" t="str" cm="1">
        <f t="array" ref="H2639">_xlfn.IFS(
OR(E2639="Type 2 Diabetes",E2639="Essential Hypertension",E2639="Angina Pectoris",E2639="Bronchial Asthma",E2639="Cardiac Arrhythmia"), D2639+30,
OR(E2639="Gastritis",E2639="Osteoarthritis",E2639="Bronchitis",E2639="Iron Deficiency Anemia"), D2639+14,
OR(E2639="Lumbar Strain",E2639="Migraine Headache"), D2639+7,
OR(E2639="Viral Fever",E2639="General Checkup","Routine Health Check"), "",
TRUE,""
)</f>
        <v/>
      </c>
      <c r="I2639" s="1" t="str">
        <f t="shared" si="82"/>
        <v>No Follow-up Required</v>
      </c>
      <c r="J2639" t="str">
        <f>TEXT(Table8[[#This Row],[visit_Date]],"DDDD")</f>
        <v>Sunday</v>
      </c>
      <c r="K2639" t="str">
        <f>TEXT(Table8[[#This Row],[visit_Date]],"mmmm")</f>
        <v>June</v>
      </c>
      <c r="L2639" t="str">
        <f t="shared" si="83"/>
        <v>Monsoon</v>
      </c>
    </row>
    <row r="2640" spans="1:12" x14ac:dyDescent="0.25">
      <c r="A2640">
        <v>2639</v>
      </c>
      <c r="B2640">
        <v>1368</v>
      </c>
      <c r="C2640">
        <v>1003</v>
      </c>
      <c r="D2640" s="1">
        <v>45789</v>
      </c>
      <c r="E2640" t="s">
        <v>346</v>
      </c>
      <c r="F2640" t="s">
        <v>347</v>
      </c>
      <c r="G2640" t="str">
        <f>_xlfn.XLOOKUP(TRIM(E2641),MedicineInfo!A:A,MedicineInfo!B:B,"Not Found")</f>
        <v>Multivitamin</v>
      </c>
      <c r="H2640" s="1" cm="1">
        <f t="array" ref="H2640">_xlfn.IFS(
OR(E2640="Type 2 Diabetes",E2640="Essential Hypertension",E2640="Angina Pectoris",E2640="Bronchial Asthma",E2640="Cardiac Arrhythmia"), D2640+30,
OR(E2640="Gastritis",E2640="Osteoarthritis",E2640="Bronchitis",E2640="Iron Deficiency Anemia"), D2640+14,
OR(E2640="Lumbar Strain",E2640="Migraine Headache"), D2640+7,
OR(E2640="Viral Fever",E2640="General Checkup","Routine Health Check"), "",
TRUE,""
)</f>
        <v>45803</v>
      </c>
      <c r="I2640" s="1" t="str">
        <f t="shared" si="82"/>
        <v>Follow-up Scheduled</v>
      </c>
      <c r="J2640" t="str">
        <f>TEXT(Table8[[#This Row],[visit_Date]],"DDDD")</f>
        <v>Monday</v>
      </c>
      <c r="K2640" t="str">
        <f>TEXT(Table8[[#This Row],[visit_Date]],"mmmm")</f>
        <v>May</v>
      </c>
      <c r="L2640" t="str">
        <f t="shared" si="83"/>
        <v>Summer</v>
      </c>
    </row>
    <row r="2641" spans="1:12" x14ac:dyDescent="0.25">
      <c r="A2641">
        <v>2640</v>
      </c>
      <c r="B2641">
        <v>1394</v>
      </c>
      <c r="C2641">
        <v>504</v>
      </c>
      <c r="D2641" s="1">
        <v>45836</v>
      </c>
      <c r="E2641" t="s">
        <v>24</v>
      </c>
      <c r="F2641" t="s">
        <v>321</v>
      </c>
      <c r="G2641" t="str">
        <f>_xlfn.XLOOKUP(TRIM(E2642),MedicineInfo!A:A,MedicineInfo!B:B,"Not Found")</f>
        <v>Multivitamin</v>
      </c>
      <c r="H2641" s="1" t="str" cm="1">
        <f t="array" ref="H2641">_xlfn.IFS(
OR(E2641="Type 2 Diabetes",E2641="Essential Hypertension",E2641="Angina Pectoris",E2641="Bronchial Asthma",E2641="Cardiac Arrhythmia"), D2641+30,
OR(E2641="Gastritis",E2641="Osteoarthritis",E2641="Bronchitis",E2641="Iron Deficiency Anemia"), D2641+14,
OR(E2641="Lumbar Strain",E2641="Migraine Headache"), D2641+7,
OR(E2641="Viral Fever",E2641="General Checkup","Routine Health Check"), "",
TRUE,""
)</f>
        <v/>
      </c>
      <c r="I2641" s="1" t="str">
        <f t="shared" si="82"/>
        <v>No Follow-up Required</v>
      </c>
      <c r="J2641" t="str">
        <f>TEXT(Table8[[#This Row],[visit_Date]],"DDDD")</f>
        <v>Saturday</v>
      </c>
      <c r="K2641" t="str">
        <f>TEXT(Table8[[#This Row],[visit_Date]],"mmmm")</f>
        <v>June</v>
      </c>
      <c r="L2641" t="str">
        <f t="shared" si="83"/>
        <v>Monsoon</v>
      </c>
    </row>
    <row r="2642" spans="1:12" x14ac:dyDescent="0.25">
      <c r="A2642">
        <v>2641</v>
      </c>
      <c r="B2642">
        <v>1077</v>
      </c>
      <c r="C2642">
        <v>908</v>
      </c>
      <c r="D2642" s="1">
        <v>45862</v>
      </c>
      <c r="E2642" t="s">
        <v>24</v>
      </c>
      <c r="F2642" t="s">
        <v>321</v>
      </c>
      <c r="G2642" t="str">
        <f>_xlfn.XLOOKUP(TRIM(E2643),MedicineInfo!A:A,MedicineInfo!B:B,"Not Found")</f>
        <v>Multivitamin</v>
      </c>
      <c r="H2642" s="1" t="str" cm="1">
        <f t="array" ref="H2642">_xlfn.IFS(
OR(E2642="Type 2 Diabetes",E2642="Essential Hypertension",E2642="Angina Pectoris",E2642="Bronchial Asthma",E2642="Cardiac Arrhythmia"), D2642+30,
OR(E2642="Gastritis",E2642="Osteoarthritis",E2642="Bronchitis",E2642="Iron Deficiency Anemia"), D2642+14,
OR(E2642="Lumbar Strain",E2642="Migraine Headache"), D2642+7,
OR(E2642="Viral Fever",E2642="General Checkup","Routine Health Check"), "",
TRUE,""
)</f>
        <v/>
      </c>
      <c r="I2642" s="1" t="str">
        <f t="shared" si="82"/>
        <v>No Follow-up Required</v>
      </c>
      <c r="J2642" t="str">
        <f>TEXT(Table8[[#This Row],[visit_Date]],"DDDD")</f>
        <v>Thursday</v>
      </c>
      <c r="K2642" t="str">
        <f>TEXT(Table8[[#This Row],[visit_Date]],"mmmm")</f>
        <v>July</v>
      </c>
      <c r="L2642" t="str">
        <f t="shared" si="83"/>
        <v>Monsoon</v>
      </c>
    </row>
    <row r="2643" spans="1:12" x14ac:dyDescent="0.25">
      <c r="A2643">
        <v>2642</v>
      </c>
      <c r="B2643">
        <v>1344</v>
      </c>
      <c r="C2643">
        <v>1492</v>
      </c>
      <c r="D2643" s="1">
        <v>45672</v>
      </c>
      <c r="E2643" t="s">
        <v>24</v>
      </c>
      <c r="F2643" t="s">
        <v>321</v>
      </c>
      <c r="G2643" t="str">
        <f>_xlfn.XLOOKUP(TRIM(E2644),MedicineInfo!A:A,MedicineInfo!B:B,"Not Found")</f>
        <v>Donepezil</v>
      </c>
      <c r="H2643" s="1" t="str" cm="1">
        <f t="array" ref="H2643">_xlfn.IFS(
OR(E2643="Type 2 Diabetes",E2643="Essential Hypertension",E2643="Angina Pectoris",E2643="Bronchial Asthma",E2643="Cardiac Arrhythmia"), D2643+30,
OR(E2643="Gastritis",E2643="Osteoarthritis",E2643="Bronchitis",E2643="Iron Deficiency Anemia"), D2643+14,
OR(E2643="Lumbar Strain",E2643="Migraine Headache"), D2643+7,
OR(E2643="Viral Fever",E2643="General Checkup","Routine Health Check"), "",
TRUE,""
)</f>
        <v/>
      </c>
      <c r="I2643" s="1" t="str">
        <f t="shared" si="82"/>
        <v>No Follow-up Required</v>
      </c>
      <c r="J2643" t="str">
        <f>TEXT(Table8[[#This Row],[visit_Date]],"DDDD")</f>
        <v>Wednesday</v>
      </c>
      <c r="K2643" t="str">
        <f>TEXT(Table8[[#This Row],[visit_Date]],"mmmm")</f>
        <v>January</v>
      </c>
      <c r="L2643" t="str">
        <f t="shared" si="83"/>
        <v>Winter</v>
      </c>
    </row>
    <row r="2644" spans="1:12" x14ac:dyDescent="0.25">
      <c r="A2644">
        <v>2643</v>
      </c>
      <c r="B2644">
        <v>1052</v>
      </c>
      <c r="C2644">
        <v>1397</v>
      </c>
      <c r="D2644" s="1">
        <v>45823</v>
      </c>
      <c r="E2644" t="s">
        <v>350</v>
      </c>
      <c r="F2644" t="s">
        <v>351</v>
      </c>
      <c r="G2644" t="str">
        <f>_xlfn.XLOOKUP(TRIM(E2645),MedicineInfo!A:A,MedicineInfo!B:B,"Not Found")</f>
        <v>Multivitamin</v>
      </c>
      <c r="H2644" s="1" t="str" cm="1">
        <f t="array" ref="H2644">_xlfn.IFS(
OR(E2644="Type 2 Diabetes",E2644="Essential Hypertension",E2644="Angina Pectoris",E2644="Bronchial Asthma",E2644="Cardiac Arrhythmia"), D2644+30,
OR(E2644="Gastritis",E2644="Osteoarthritis",E2644="Bronchitis",E2644="Iron Deficiency Anemia"), D2644+14,
OR(E2644="Lumbar Strain",E2644="Migraine Headache"), D2644+7,
OR(E2644="Viral Fever",E2644="General Checkup","Routine Health Check"), "",
TRUE,""
)</f>
        <v/>
      </c>
      <c r="I2644" s="1" t="str">
        <f t="shared" si="82"/>
        <v>No Follow-up Required</v>
      </c>
      <c r="J2644" t="str">
        <f>TEXT(Table8[[#This Row],[visit_Date]],"DDDD")</f>
        <v>Sunday</v>
      </c>
      <c r="K2644" t="str">
        <f>TEXT(Table8[[#This Row],[visit_Date]],"mmmm")</f>
        <v>June</v>
      </c>
      <c r="L2644" t="str">
        <f t="shared" si="83"/>
        <v>Monsoon</v>
      </c>
    </row>
    <row r="2645" spans="1:12" x14ac:dyDescent="0.25">
      <c r="A2645">
        <v>2644</v>
      </c>
      <c r="B2645">
        <v>1217</v>
      </c>
      <c r="C2645">
        <v>1580</v>
      </c>
      <c r="D2645" s="1">
        <v>45792</v>
      </c>
      <c r="E2645" t="s">
        <v>24</v>
      </c>
      <c r="F2645" t="s">
        <v>321</v>
      </c>
      <c r="G2645" t="str">
        <f>_xlfn.XLOOKUP(TRIM(E2646),MedicineInfo!A:A,MedicineInfo!B:B,"Not Found")</f>
        <v>Multivitamin</v>
      </c>
      <c r="H2645" s="1" t="str" cm="1">
        <f t="array" ref="H2645">_xlfn.IFS(
OR(E2645="Type 2 Diabetes",E2645="Essential Hypertension",E2645="Angina Pectoris",E2645="Bronchial Asthma",E2645="Cardiac Arrhythmia"), D2645+30,
OR(E2645="Gastritis",E2645="Osteoarthritis",E2645="Bronchitis",E2645="Iron Deficiency Anemia"), D2645+14,
OR(E2645="Lumbar Strain",E2645="Migraine Headache"), D2645+7,
OR(E2645="Viral Fever",E2645="General Checkup","Routine Health Check"), "",
TRUE,""
)</f>
        <v/>
      </c>
      <c r="I2645" s="1" t="str">
        <f t="shared" si="82"/>
        <v>No Follow-up Required</v>
      </c>
      <c r="J2645" t="str">
        <f>TEXT(Table8[[#This Row],[visit_Date]],"DDDD")</f>
        <v>Thursday</v>
      </c>
      <c r="K2645" t="str">
        <f>TEXT(Table8[[#This Row],[visit_Date]],"mmmm")</f>
        <v>May</v>
      </c>
      <c r="L2645" t="str">
        <f t="shared" si="83"/>
        <v>Summer</v>
      </c>
    </row>
    <row r="2646" spans="1:12" x14ac:dyDescent="0.25">
      <c r="A2646">
        <v>2645</v>
      </c>
      <c r="B2646">
        <v>1020</v>
      </c>
      <c r="C2646">
        <v>1254</v>
      </c>
      <c r="D2646" s="1">
        <v>45747</v>
      </c>
      <c r="E2646" t="s">
        <v>24</v>
      </c>
      <c r="F2646" t="s">
        <v>321</v>
      </c>
      <c r="G2646" t="str">
        <f>_xlfn.XLOOKUP(TRIM(E2647),MedicineInfo!A:A,MedicineInfo!B:B,"Not Found")</f>
        <v>Not Found</v>
      </c>
      <c r="H2646" s="1" t="str" cm="1">
        <f t="array" ref="H2646">_xlfn.IFS(
OR(E2646="Type 2 Diabetes",E2646="Essential Hypertension",E2646="Angina Pectoris",E2646="Bronchial Asthma",E2646="Cardiac Arrhythmia"), D2646+30,
OR(E2646="Gastritis",E2646="Osteoarthritis",E2646="Bronchitis",E2646="Iron Deficiency Anemia"), D2646+14,
OR(E2646="Lumbar Strain",E2646="Migraine Headache"), D2646+7,
OR(E2646="Viral Fever",E2646="General Checkup","Routine Health Check"), "",
TRUE,""
)</f>
        <v/>
      </c>
      <c r="I2646" s="1" t="str">
        <f t="shared" si="82"/>
        <v>No Follow-up Required</v>
      </c>
      <c r="J2646" t="str">
        <f>TEXT(Table8[[#This Row],[visit_Date]],"DDDD")</f>
        <v>Monday</v>
      </c>
      <c r="K2646" t="str">
        <f>TEXT(Table8[[#This Row],[visit_Date]],"mmmm")</f>
        <v>March</v>
      </c>
      <c r="L2646" t="str">
        <f t="shared" si="83"/>
        <v>Summer</v>
      </c>
    </row>
    <row r="2647" spans="1:12" x14ac:dyDescent="0.25">
      <c r="A2647">
        <v>2646</v>
      </c>
      <c r="B2647">
        <v>1036</v>
      </c>
      <c r="C2647">
        <v>1392</v>
      </c>
      <c r="D2647" s="1">
        <v>45678</v>
      </c>
      <c r="E2647" t="s">
        <v>340</v>
      </c>
      <c r="F2647" t="s">
        <v>341</v>
      </c>
      <c r="G2647" t="str">
        <f>_xlfn.XLOOKUP(TRIM(E2648),MedicineInfo!A:A,MedicineInfo!B:B,"Not Found")</f>
        <v>Multivitamin</v>
      </c>
      <c r="H2647" s="1" t="str" cm="1">
        <f t="array" ref="H2647">_xlfn.IFS(
OR(E2647="Type 2 Diabetes",E2647="Essential Hypertension",E2647="Angina Pectoris",E2647="Bronchial Asthma",E2647="Cardiac Arrhythmia"), D2647+30,
OR(E2647="Gastritis",E2647="Osteoarthritis",E2647="Bronchitis",E2647="Iron Deficiency Anemia"), D2647+14,
OR(E2647="Lumbar Strain",E2647="Migraine Headache"), D2647+7,
OR(E2647="Viral Fever",E2647="General Checkup","Routine Health Check"), "",
TRUE,""
)</f>
        <v/>
      </c>
      <c r="I2647" s="1" t="str">
        <f t="shared" si="82"/>
        <v>No Follow-up Required</v>
      </c>
      <c r="J2647" t="str">
        <f>TEXT(Table8[[#This Row],[visit_Date]],"DDDD")</f>
        <v>Tuesday</v>
      </c>
      <c r="K2647" t="str">
        <f>TEXT(Table8[[#This Row],[visit_Date]],"mmmm")</f>
        <v>January</v>
      </c>
      <c r="L2647" t="str">
        <f t="shared" si="83"/>
        <v>Winter</v>
      </c>
    </row>
    <row r="2648" spans="1:12" x14ac:dyDescent="0.25">
      <c r="A2648">
        <v>2647</v>
      </c>
      <c r="B2648">
        <v>1294</v>
      </c>
      <c r="C2648">
        <v>641</v>
      </c>
      <c r="D2648" s="1">
        <v>45753</v>
      </c>
      <c r="E2648" t="s">
        <v>24</v>
      </c>
      <c r="F2648" t="s">
        <v>321</v>
      </c>
      <c r="G2648" t="str">
        <f>_xlfn.XLOOKUP(TRIM(E2649),MedicineInfo!A:A,MedicineInfo!B:B,"Not Found")</f>
        <v>Multivitamin</v>
      </c>
      <c r="H2648" s="1" t="str" cm="1">
        <f t="array" ref="H2648">_xlfn.IFS(
OR(E2648="Type 2 Diabetes",E2648="Essential Hypertension",E2648="Angina Pectoris",E2648="Bronchial Asthma",E2648="Cardiac Arrhythmia"), D2648+30,
OR(E2648="Gastritis",E2648="Osteoarthritis",E2648="Bronchitis",E2648="Iron Deficiency Anemia"), D2648+14,
OR(E2648="Lumbar Strain",E2648="Migraine Headache"), D2648+7,
OR(E2648="Viral Fever",E2648="General Checkup","Routine Health Check"), "",
TRUE,""
)</f>
        <v/>
      </c>
      <c r="I2648" s="1" t="str">
        <f t="shared" si="82"/>
        <v>No Follow-up Required</v>
      </c>
      <c r="J2648" t="str">
        <f>TEXT(Table8[[#This Row],[visit_Date]],"DDDD")</f>
        <v>Sunday</v>
      </c>
      <c r="K2648" t="str">
        <f>TEXT(Table8[[#This Row],[visit_Date]],"mmmm")</f>
        <v>April</v>
      </c>
      <c r="L2648" t="str">
        <f t="shared" si="83"/>
        <v>Summer</v>
      </c>
    </row>
    <row r="2649" spans="1:12" x14ac:dyDescent="0.25">
      <c r="A2649">
        <v>2648</v>
      </c>
      <c r="B2649">
        <v>1319</v>
      </c>
      <c r="C2649">
        <v>144</v>
      </c>
      <c r="D2649" s="1">
        <v>45694</v>
      </c>
      <c r="E2649" t="s">
        <v>24</v>
      </c>
      <c r="F2649" t="s">
        <v>321</v>
      </c>
      <c r="G2649" t="str">
        <f>_xlfn.XLOOKUP(TRIM(E2650),MedicineInfo!A:A,MedicineInfo!B:B,"Not Found")</f>
        <v>Multivitamin</v>
      </c>
      <c r="H2649" s="1" t="str" cm="1">
        <f t="array" ref="H2649">_xlfn.IFS(
OR(E2649="Type 2 Diabetes",E2649="Essential Hypertension",E2649="Angina Pectoris",E2649="Bronchial Asthma",E2649="Cardiac Arrhythmia"), D2649+30,
OR(E2649="Gastritis",E2649="Osteoarthritis",E2649="Bronchitis",E2649="Iron Deficiency Anemia"), D2649+14,
OR(E2649="Lumbar Strain",E2649="Migraine Headache"), D2649+7,
OR(E2649="Viral Fever",E2649="General Checkup","Routine Health Check"), "",
TRUE,""
)</f>
        <v/>
      </c>
      <c r="I2649" s="1" t="str">
        <f t="shared" si="82"/>
        <v>No Follow-up Required</v>
      </c>
      <c r="J2649" t="str">
        <f>TEXT(Table8[[#This Row],[visit_Date]],"DDDD")</f>
        <v>Thursday</v>
      </c>
      <c r="K2649" t="str">
        <f>TEXT(Table8[[#This Row],[visit_Date]],"mmmm")</f>
        <v>February</v>
      </c>
      <c r="L2649" t="str">
        <f t="shared" si="83"/>
        <v>Winter</v>
      </c>
    </row>
    <row r="2650" spans="1:12" x14ac:dyDescent="0.25">
      <c r="A2650">
        <v>2649</v>
      </c>
      <c r="B2650">
        <v>1107</v>
      </c>
      <c r="C2650">
        <v>825</v>
      </c>
      <c r="D2650" s="1">
        <v>45860</v>
      </c>
      <c r="E2650" t="s">
        <v>24</v>
      </c>
      <c r="F2650" t="s">
        <v>321</v>
      </c>
      <c r="G2650" t="str">
        <f>_xlfn.XLOOKUP(TRIM(E2651),MedicineInfo!A:A,MedicineInfo!B:B,"Not Found")</f>
        <v>Multivitamin</v>
      </c>
      <c r="H2650" s="1" t="str" cm="1">
        <f t="array" ref="H2650">_xlfn.IFS(
OR(E2650="Type 2 Diabetes",E2650="Essential Hypertension",E2650="Angina Pectoris",E2650="Bronchial Asthma",E2650="Cardiac Arrhythmia"), D2650+30,
OR(E2650="Gastritis",E2650="Osteoarthritis",E2650="Bronchitis",E2650="Iron Deficiency Anemia"), D2650+14,
OR(E2650="Lumbar Strain",E2650="Migraine Headache"), D2650+7,
OR(E2650="Viral Fever",E2650="General Checkup","Routine Health Check"), "",
TRUE,""
)</f>
        <v/>
      </c>
      <c r="I2650" s="1" t="str">
        <f t="shared" si="82"/>
        <v>No Follow-up Required</v>
      </c>
      <c r="J2650" t="str">
        <f>TEXT(Table8[[#This Row],[visit_Date]],"DDDD")</f>
        <v>Tuesday</v>
      </c>
      <c r="K2650" t="str">
        <f>TEXT(Table8[[#This Row],[visit_Date]],"mmmm")</f>
        <v>July</v>
      </c>
      <c r="L2650" t="str">
        <f t="shared" si="83"/>
        <v>Monsoon</v>
      </c>
    </row>
    <row r="2651" spans="1:12" x14ac:dyDescent="0.25">
      <c r="A2651">
        <v>2650</v>
      </c>
      <c r="B2651">
        <v>1057</v>
      </c>
      <c r="C2651">
        <v>169</v>
      </c>
      <c r="D2651" s="1">
        <v>45705</v>
      </c>
      <c r="E2651" t="s">
        <v>24</v>
      </c>
      <c r="F2651" t="s">
        <v>321</v>
      </c>
      <c r="G2651" t="str">
        <f>_xlfn.XLOOKUP(TRIM(E2652),MedicineInfo!A:A,MedicineInfo!B:B,"Not Found")</f>
        <v>Metformin</v>
      </c>
      <c r="H2651" s="1" t="str" cm="1">
        <f t="array" ref="H2651">_xlfn.IFS(
OR(E2651="Type 2 Diabetes",E2651="Essential Hypertension",E2651="Angina Pectoris",E2651="Bronchial Asthma",E2651="Cardiac Arrhythmia"), D2651+30,
OR(E2651="Gastritis",E2651="Osteoarthritis",E2651="Bronchitis",E2651="Iron Deficiency Anemia"), D2651+14,
OR(E2651="Lumbar Strain",E2651="Migraine Headache"), D2651+7,
OR(E2651="Viral Fever",E2651="General Checkup","Routine Health Check"), "",
TRUE,""
)</f>
        <v/>
      </c>
      <c r="I2651" s="1" t="str">
        <f t="shared" si="82"/>
        <v>No Follow-up Required</v>
      </c>
      <c r="J2651" t="str">
        <f>TEXT(Table8[[#This Row],[visit_Date]],"DDDD")</f>
        <v>Monday</v>
      </c>
      <c r="K2651" t="str">
        <f>TEXT(Table8[[#This Row],[visit_Date]],"mmmm")</f>
        <v>February</v>
      </c>
      <c r="L2651" t="str">
        <f t="shared" si="83"/>
        <v>Winter</v>
      </c>
    </row>
    <row r="2652" spans="1:12" x14ac:dyDescent="0.25">
      <c r="A2652">
        <v>2651</v>
      </c>
      <c r="B2652">
        <v>1331</v>
      </c>
      <c r="C2652">
        <v>1081</v>
      </c>
      <c r="D2652" s="1">
        <v>45823</v>
      </c>
      <c r="E2652" t="s">
        <v>317</v>
      </c>
      <c r="F2652" t="s">
        <v>318</v>
      </c>
      <c r="G2652" t="str">
        <f>_xlfn.XLOOKUP(TRIM(E2653),MedicineInfo!A:A,MedicineInfo!B:B,"Not Found")</f>
        <v>Multivitamin</v>
      </c>
      <c r="H2652" s="1" cm="1">
        <f t="array" ref="H2652">_xlfn.IFS(
OR(E2652="Type 2 Diabetes",E2652="Essential Hypertension",E2652="Angina Pectoris",E2652="Bronchial Asthma",E2652="Cardiac Arrhythmia"), D2652+30,
OR(E2652="Gastritis",E2652="Osteoarthritis",E2652="Bronchitis",E2652="Iron Deficiency Anemia"), D2652+14,
OR(E2652="Lumbar Strain",E2652="Migraine Headache"), D2652+7,
OR(E2652="Viral Fever",E2652="General Checkup","Routine Health Check"), "",
TRUE,""
)</f>
        <v>45853</v>
      </c>
      <c r="I2652" s="1" t="str">
        <f t="shared" si="82"/>
        <v>Follow-up Scheduled</v>
      </c>
      <c r="J2652" t="str">
        <f>TEXT(Table8[[#This Row],[visit_Date]],"DDDD")</f>
        <v>Sunday</v>
      </c>
      <c r="K2652" t="str">
        <f>TEXT(Table8[[#This Row],[visit_Date]],"mmmm")</f>
        <v>June</v>
      </c>
      <c r="L2652" t="str">
        <f t="shared" si="83"/>
        <v>Monsoon</v>
      </c>
    </row>
    <row r="2653" spans="1:12" x14ac:dyDescent="0.25">
      <c r="A2653">
        <v>2652</v>
      </c>
      <c r="B2653">
        <v>1053</v>
      </c>
      <c r="C2653">
        <v>497</v>
      </c>
      <c r="D2653" s="1">
        <v>45775</v>
      </c>
      <c r="E2653" t="s">
        <v>24</v>
      </c>
      <c r="F2653" t="s">
        <v>321</v>
      </c>
      <c r="G2653" t="str">
        <f>_xlfn.XLOOKUP(TRIM(E2654),MedicineInfo!A:A,MedicineInfo!B:B,"Not Found")</f>
        <v>Multivitamin</v>
      </c>
      <c r="H2653" s="1" t="str" cm="1">
        <f t="array" ref="H2653">_xlfn.IFS(
OR(E2653="Type 2 Diabetes",E2653="Essential Hypertension",E2653="Angina Pectoris",E2653="Bronchial Asthma",E2653="Cardiac Arrhythmia"), D2653+30,
OR(E2653="Gastritis",E2653="Osteoarthritis",E2653="Bronchitis",E2653="Iron Deficiency Anemia"), D2653+14,
OR(E2653="Lumbar Strain",E2653="Migraine Headache"), D2653+7,
OR(E2653="Viral Fever",E2653="General Checkup","Routine Health Check"), "",
TRUE,""
)</f>
        <v/>
      </c>
      <c r="I2653" s="1" t="str">
        <f t="shared" si="82"/>
        <v>No Follow-up Required</v>
      </c>
      <c r="J2653" t="str">
        <f>TEXT(Table8[[#This Row],[visit_Date]],"DDDD")</f>
        <v>Monday</v>
      </c>
      <c r="K2653" t="str">
        <f>TEXT(Table8[[#This Row],[visit_Date]],"mmmm")</f>
        <v>April</v>
      </c>
      <c r="L2653" t="str">
        <f t="shared" si="83"/>
        <v>Summer</v>
      </c>
    </row>
    <row r="2654" spans="1:12" x14ac:dyDescent="0.25">
      <c r="A2654">
        <v>2653</v>
      </c>
      <c r="B2654">
        <v>1380</v>
      </c>
      <c r="C2654">
        <v>1029</v>
      </c>
      <c r="D2654" s="1">
        <v>45747</v>
      </c>
      <c r="E2654" t="s">
        <v>24</v>
      </c>
      <c r="F2654" t="s">
        <v>321</v>
      </c>
      <c r="G2654" t="str">
        <f>_xlfn.XLOOKUP(TRIM(E2655),MedicineInfo!A:A,MedicineInfo!B:B,"Not Found")</f>
        <v>Multivitamin</v>
      </c>
      <c r="H2654" s="1" t="str" cm="1">
        <f t="array" ref="H2654">_xlfn.IFS(
OR(E2654="Type 2 Diabetes",E2654="Essential Hypertension",E2654="Angina Pectoris",E2654="Bronchial Asthma",E2654="Cardiac Arrhythmia"), D2654+30,
OR(E2654="Gastritis",E2654="Osteoarthritis",E2654="Bronchitis",E2654="Iron Deficiency Anemia"), D2654+14,
OR(E2654="Lumbar Strain",E2654="Migraine Headache"), D2654+7,
OR(E2654="Viral Fever",E2654="General Checkup","Routine Health Check"), "",
TRUE,""
)</f>
        <v/>
      </c>
      <c r="I2654" s="1" t="str">
        <f t="shared" si="82"/>
        <v>No Follow-up Required</v>
      </c>
      <c r="J2654" t="str">
        <f>TEXT(Table8[[#This Row],[visit_Date]],"DDDD")</f>
        <v>Monday</v>
      </c>
      <c r="K2654" t="str">
        <f>TEXT(Table8[[#This Row],[visit_Date]],"mmmm")</f>
        <v>March</v>
      </c>
      <c r="L2654" t="str">
        <f t="shared" si="83"/>
        <v>Summer</v>
      </c>
    </row>
    <row r="2655" spans="1:12" x14ac:dyDescent="0.25">
      <c r="A2655">
        <v>2654</v>
      </c>
      <c r="B2655">
        <v>1240</v>
      </c>
      <c r="C2655">
        <v>868</v>
      </c>
      <c r="D2655" s="1">
        <v>45790</v>
      </c>
      <c r="E2655" t="s">
        <v>24</v>
      </c>
      <c r="F2655" t="s">
        <v>321</v>
      </c>
      <c r="G2655" t="str">
        <f>_xlfn.XLOOKUP(TRIM(E2656),MedicineInfo!A:A,MedicineInfo!B:B,"Not Found")</f>
        <v>Multivitamin</v>
      </c>
      <c r="H2655" s="1" t="str" cm="1">
        <f t="array" ref="H2655">_xlfn.IFS(
OR(E2655="Type 2 Diabetes",E2655="Essential Hypertension",E2655="Angina Pectoris",E2655="Bronchial Asthma",E2655="Cardiac Arrhythmia"), D2655+30,
OR(E2655="Gastritis",E2655="Osteoarthritis",E2655="Bronchitis",E2655="Iron Deficiency Anemia"), D2655+14,
OR(E2655="Lumbar Strain",E2655="Migraine Headache"), D2655+7,
OR(E2655="Viral Fever",E2655="General Checkup","Routine Health Check"), "",
TRUE,""
)</f>
        <v/>
      </c>
      <c r="I2655" s="1" t="str">
        <f t="shared" si="82"/>
        <v>No Follow-up Required</v>
      </c>
      <c r="J2655" t="str">
        <f>TEXT(Table8[[#This Row],[visit_Date]],"DDDD")</f>
        <v>Tuesday</v>
      </c>
      <c r="K2655" t="str">
        <f>TEXT(Table8[[#This Row],[visit_Date]],"mmmm")</f>
        <v>May</v>
      </c>
      <c r="L2655" t="str">
        <f t="shared" si="83"/>
        <v>Summer</v>
      </c>
    </row>
    <row r="2656" spans="1:12" x14ac:dyDescent="0.25">
      <c r="A2656">
        <v>2655</v>
      </c>
      <c r="B2656">
        <v>1176</v>
      </c>
      <c r="C2656">
        <v>1248</v>
      </c>
      <c r="D2656" s="1">
        <v>45747</v>
      </c>
      <c r="E2656" t="s">
        <v>24</v>
      </c>
      <c r="F2656" t="s">
        <v>321</v>
      </c>
      <c r="G2656" t="str">
        <f>_xlfn.XLOOKUP(TRIM(E2657),MedicineInfo!A:A,MedicineInfo!B:B,"Not Found")</f>
        <v>Multivitamin</v>
      </c>
      <c r="H2656" s="1" t="str" cm="1">
        <f t="array" ref="H2656">_xlfn.IFS(
OR(E2656="Type 2 Diabetes",E2656="Essential Hypertension",E2656="Angina Pectoris",E2656="Bronchial Asthma",E2656="Cardiac Arrhythmia"), D2656+30,
OR(E2656="Gastritis",E2656="Osteoarthritis",E2656="Bronchitis",E2656="Iron Deficiency Anemia"), D2656+14,
OR(E2656="Lumbar Strain",E2656="Migraine Headache"), D2656+7,
OR(E2656="Viral Fever",E2656="General Checkup","Routine Health Check"), "",
TRUE,""
)</f>
        <v/>
      </c>
      <c r="I2656" s="1" t="str">
        <f t="shared" si="82"/>
        <v>No Follow-up Required</v>
      </c>
      <c r="J2656" t="str">
        <f>TEXT(Table8[[#This Row],[visit_Date]],"DDDD")</f>
        <v>Monday</v>
      </c>
      <c r="K2656" t="str">
        <f>TEXT(Table8[[#This Row],[visit_Date]],"mmmm")</f>
        <v>March</v>
      </c>
      <c r="L2656" t="str">
        <f t="shared" si="83"/>
        <v>Summer</v>
      </c>
    </row>
    <row r="2657" spans="1:12" x14ac:dyDescent="0.25">
      <c r="A2657">
        <v>2656</v>
      </c>
      <c r="B2657">
        <v>1238</v>
      </c>
      <c r="C2657">
        <v>992</v>
      </c>
      <c r="D2657" s="1">
        <v>45791</v>
      </c>
      <c r="E2657" t="s">
        <v>24</v>
      </c>
      <c r="F2657" t="s">
        <v>321</v>
      </c>
      <c r="G2657" t="str">
        <f>_xlfn.XLOOKUP(TRIM(E2658),MedicineInfo!A:A,MedicineInfo!B:B,"Not Found")</f>
        <v>Multivitamin</v>
      </c>
      <c r="H2657" s="1" t="str" cm="1">
        <f t="array" ref="H2657">_xlfn.IFS(
OR(E2657="Type 2 Diabetes",E2657="Essential Hypertension",E2657="Angina Pectoris",E2657="Bronchial Asthma",E2657="Cardiac Arrhythmia"), D2657+30,
OR(E2657="Gastritis",E2657="Osteoarthritis",E2657="Bronchitis",E2657="Iron Deficiency Anemia"), D2657+14,
OR(E2657="Lumbar Strain",E2657="Migraine Headache"), D2657+7,
OR(E2657="Viral Fever",E2657="General Checkup","Routine Health Check"), "",
TRUE,""
)</f>
        <v/>
      </c>
      <c r="I2657" s="1" t="str">
        <f t="shared" si="82"/>
        <v>No Follow-up Required</v>
      </c>
      <c r="J2657" t="str">
        <f>TEXT(Table8[[#This Row],[visit_Date]],"DDDD")</f>
        <v>Wednesday</v>
      </c>
      <c r="K2657" t="str">
        <f>TEXT(Table8[[#This Row],[visit_Date]],"mmmm")</f>
        <v>May</v>
      </c>
      <c r="L2657" t="str">
        <f t="shared" si="83"/>
        <v>Summer</v>
      </c>
    </row>
    <row r="2658" spans="1:12" x14ac:dyDescent="0.25">
      <c r="A2658">
        <v>2657</v>
      </c>
      <c r="B2658">
        <v>1310</v>
      </c>
      <c r="C2658">
        <v>563</v>
      </c>
      <c r="D2658" s="1">
        <v>45823</v>
      </c>
      <c r="E2658" t="s">
        <v>24</v>
      </c>
      <c r="F2658" t="s">
        <v>321</v>
      </c>
      <c r="G2658" t="str">
        <f>_xlfn.XLOOKUP(TRIM(E2659),MedicineInfo!A:A,MedicineInfo!B:B,"Not Found")</f>
        <v>Pantoprazole</v>
      </c>
      <c r="H2658" s="1" t="str" cm="1">
        <f t="array" ref="H2658">_xlfn.IFS(
OR(E2658="Type 2 Diabetes",E2658="Essential Hypertension",E2658="Angina Pectoris",E2658="Bronchial Asthma",E2658="Cardiac Arrhythmia"), D2658+30,
OR(E2658="Gastritis",E2658="Osteoarthritis",E2658="Bronchitis",E2658="Iron Deficiency Anemia"), D2658+14,
OR(E2658="Lumbar Strain",E2658="Migraine Headache"), D2658+7,
OR(E2658="Viral Fever",E2658="General Checkup","Routine Health Check"), "",
TRUE,""
)</f>
        <v/>
      </c>
      <c r="I2658" s="1" t="str">
        <f t="shared" si="82"/>
        <v>No Follow-up Required</v>
      </c>
      <c r="J2658" t="str">
        <f>TEXT(Table8[[#This Row],[visit_Date]],"DDDD")</f>
        <v>Sunday</v>
      </c>
      <c r="K2658" t="str">
        <f>TEXT(Table8[[#This Row],[visit_Date]],"mmmm")</f>
        <v>June</v>
      </c>
      <c r="L2658" t="str">
        <f t="shared" si="83"/>
        <v>Monsoon</v>
      </c>
    </row>
    <row r="2659" spans="1:12" x14ac:dyDescent="0.25">
      <c r="A2659">
        <v>2658</v>
      </c>
      <c r="B2659">
        <v>1343</v>
      </c>
      <c r="C2659">
        <v>1104</v>
      </c>
      <c r="D2659" s="1">
        <v>45857</v>
      </c>
      <c r="E2659" t="s">
        <v>344</v>
      </c>
      <c r="F2659" t="s">
        <v>345</v>
      </c>
      <c r="G2659" t="str">
        <f>_xlfn.XLOOKUP(TRIM(E2660),MedicineInfo!A:A,MedicineInfo!B:B,"Not Found")</f>
        <v>Multivitamin</v>
      </c>
      <c r="H2659" s="1" cm="1">
        <f t="array" ref="H2659">_xlfn.IFS(
OR(E2659="Type 2 Diabetes",E2659="Essential Hypertension",E2659="Angina Pectoris",E2659="Bronchial Asthma",E2659="Cardiac Arrhythmia"), D2659+30,
OR(E2659="Gastritis",E2659="Osteoarthritis",E2659="Bronchitis",E2659="Iron Deficiency Anemia"), D2659+14,
OR(E2659="Lumbar Strain",E2659="Migraine Headache"), D2659+7,
OR(E2659="Viral Fever",E2659="General Checkup","Routine Health Check"), "",
TRUE,""
)</f>
        <v>45871</v>
      </c>
      <c r="I2659" s="1" t="str">
        <f t="shared" si="82"/>
        <v>Follow-up Scheduled</v>
      </c>
      <c r="J2659" t="str">
        <f>TEXT(Table8[[#This Row],[visit_Date]],"DDDD")</f>
        <v>Saturday</v>
      </c>
      <c r="K2659" t="str">
        <f>TEXT(Table8[[#This Row],[visit_Date]],"mmmm")</f>
        <v>July</v>
      </c>
      <c r="L2659" t="str">
        <f t="shared" si="83"/>
        <v>Monsoon</v>
      </c>
    </row>
    <row r="2660" spans="1:12" x14ac:dyDescent="0.25">
      <c r="A2660">
        <v>2659</v>
      </c>
      <c r="B2660">
        <v>1325</v>
      </c>
      <c r="C2660">
        <v>161</v>
      </c>
      <c r="D2660" s="1">
        <v>45767</v>
      </c>
      <c r="E2660" t="s">
        <v>24</v>
      </c>
      <c r="F2660" t="s">
        <v>321</v>
      </c>
      <c r="G2660" t="str">
        <f>_xlfn.XLOOKUP(TRIM(E2661),MedicineInfo!A:A,MedicineInfo!B:B,"Not Found")</f>
        <v>Multivitamin</v>
      </c>
      <c r="H2660" s="1" t="str" cm="1">
        <f t="array" ref="H2660">_xlfn.IFS(
OR(E2660="Type 2 Diabetes",E2660="Essential Hypertension",E2660="Angina Pectoris",E2660="Bronchial Asthma",E2660="Cardiac Arrhythmia"), D2660+30,
OR(E2660="Gastritis",E2660="Osteoarthritis",E2660="Bronchitis",E2660="Iron Deficiency Anemia"), D2660+14,
OR(E2660="Lumbar Strain",E2660="Migraine Headache"), D2660+7,
OR(E2660="Viral Fever",E2660="General Checkup","Routine Health Check"), "",
TRUE,""
)</f>
        <v/>
      </c>
      <c r="I2660" s="1" t="str">
        <f t="shared" si="82"/>
        <v>No Follow-up Required</v>
      </c>
      <c r="J2660" t="str">
        <f>TEXT(Table8[[#This Row],[visit_Date]],"DDDD")</f>
        <v>Sunday</v>
      </c>
      <c r="K2660" t="str">
        <f>TEXT(Table8[[#This Row],[visit_Date]],"mmmm")</f>
        <v>April</v>
      </c>
      <c r="L2660" t="str">
        <f t="shared" si="83"/>
        <v>Summer</v>
      </c>
    </row>
    <row r="2661" spans="1:12" x14ac:dyDescent="0.25">
      <c r="A2661">
        <v>2660</v>
      </c>
      <c r="B2661">
        <v>1048</v>
      </c>
      <c r="C2661">
        <v>922</v>
      </c>
      <c r="D2661" s="1">
        <v>45819</v>
      </c>
      <c r="E2661" t="s">
        <v>24</v>
      </c>
      <c r="F2661" t="s">
        <v>321</v>
      </c>
      <c r="G2661" t="str">
        <f>_xlfn.XLOOKUP(TRIM(E2662),MedicineInfo!A:A,MedicineInfo!B:B,"Not Found")</f>
        <v>Ferrous Sulfate</v>
      </c>
      <c r="H2661" s="1" t="str" cm="1">
        <f t="array" ref="H2661">_xlfn.IFS(
OR(E2661="Type 2 Diabetes",E2661="Essential Hypertension",E2661="Angina Pectoris",E2661="Bronchial Asthma",E2661="Cardiac Arrhythmia"), D2661+30,
OR(E2661="Gastritis",E2661="Osteoarthritis",E2661="Bronchitis",E2661="Iron Deficiency Anemia"), D2661+14,
OR(E2661="Lumbar Strain",E2661="Migraine Headache"), D2661+7,
OR(E2661="Viral Fever",E2661="General Checkup","Routine Health Check"), "",
TRUE,""
)</f>
        <v/>
      </c>
      <c r="I2661" s="1" t="str">
        <f t="shared" si="82"/>
        <v>No Follow-up Required</v>
      </c>
      <c r="J2661" t="str">
        <f>TEXT(Table8[[#This Row],[visit_Date]],"DDDD")</f>
        <v>Wednesday</v>
      </c>
      <c r="K2661" t="str">
        <f>TEXT(Table8[[#This Row],[visit_Date]],"mmmm")</f>
        <v>June</v>
      </c>
      <c r="L2661" t="str">
        <f t="shared" si="83"/>
        <v>Monsoon</v>
      </c>
    </row>
    <row r="2662" spans="1:12" x14ac:dyDescent="0.25">
      <c r="A2662">
        <v>2661</v>
      </c>
      <c r="B2662">
        <v>1248</v>
      </c>
      <c r="C2662">
        <v>669</v>
      </c>
      <c r="D2662" s="1">
        <v>45792</v>
      </c>
      <c r="E2662" t="s">
        <v>358</v>
      </c>
      <c r="F2662" t="s">
        <v>359</v>
      </c>
      <c r="G2662" t="str">
        <f>_xlfn.XLOOKUP(TRIM(E2663),MedicineInfo!A:A,MedicineInfo!B:B,"Not Found")</f>
        <v>Multivitamin</v>
      </c>
      <c r="H2662" s="1" cm="1">
        <f t="array" ref="H2662">_xlfn.IFS(
OR(E2662="Type 2 Diabetes",E2662="Essential Hypertension",E2662="Angina Pectoris",E2662="Bronchial Asthma",E2662="Cardiac Arrhythmia"), D2662+30,
OR(E2662="Gastritis",E2662="Osteoarthritis",E2662="Bronchitis",E2662="Iron Deficiency Anemia"), D2662+14,
OR(E2662="Lumbar Strain",E2662="Migraine Headache"), D2662+7,
OR(E2662="Viral Fever",E2662="General Checkup","Routine Health Check"), "",
TRUE,""
)</f>
        <v>45806</v>
      </c>
      <c r="I2662" s="1" t="str">
        <f t="shared" si="82"/>
        <v>Follow-up Scheduled</v>
      </c>
      <c r="J2662" t="str">
        <f>TEXT(Table8[[#This Row],[visit_Date]],"DDDD")</f>
        <v>Thursday</v>
      </c>
      <c r="K2662" t="str">
        <f>TEXT(Table8[[#This Row],[visit_Date]],"mmmm")</f>
        <v>May</v>
      </c>
      <c r="L2662" t="str">
        <f t="shared" si="83"/>
        <v>Summer</v>
      </c>
    </row>
    <row r="2663" spans="1:12" x14ac:dyDescent="0.25">
      <c r="A2663">
        <v>2662</v>
      </c>
      <c r="B2663">
        <v>1093</v>
      </c>
      <c r="C2663">
        <v>933</v>
      </c>
      <c r="D2663" s="1">
        <v>45758</v>
      </c>
      <c r="E2663" t="s">
        <v>24</v>
      </c>
      <c r="F2663" t="s">
        <v>321</v>
      </c>
      <c r="G2663" t="str">
        <f>_xlfn.XLOOKUP(TRIM(E2664),MedicineInfo!A:A,MedicineInfo!B:B,"Not Found")</f>
        <v>Multivitamin</v>
      </c>
      <c r="H2663" s="1" t="str" cm="1">
        <f t="array" ref="H2663">_xlfn.IFS(
OR(E2663="Type 2 Diabetes",E2663="Essential Hypertension",E2663="Angina Pectoris",E2663="Bronchial Asthma",E2663="Cardiac Arrhythmia"), D2663+30,
OR(E2663="Gastritis",E2663="Osteoarthritis",E2663="Bronchitis",E2663="Iron Deficiency Anemia"), D2663+14,
OR(E2663="Lumbar Strain",E2663="Migraine Headache"), D2663+7,
OR(E2663="Viral Fever",E2663="General Checkup","Routine Health Check"), "",
TRUE,""
)</f>
        <v/>
      </c>
      <c r="I2663" s="1" t="str">
        <f t="shared" si="82"/>
        <v>No Follow-up Required</v>
      </c>
      <c r="J2663" t="str">
        <f>TEXT(Table8[[#This Row],[visit_Date]],"DDDD")</f>
        <v>Friday</v>
      </c>
      <c r="K2663" t="str">
        <f>TEXT(Table8[[#This Row],[visit_Date]],"mmmm")</f>
        <v>April</v>
      </c>
      <c r="L2663" t="str">
        <f t="shared" si="83"/>
        <v>Summer</v>
      </c>
    </row>
    <row r="2664" spans="1:12" x14ac:dyDescent="0.25">
      <c r="A2664">
        <v>2663</v>
      </c>
      <c r="B2664">
        <v>1375</v>
      </c>
      <c r="C2664">
        <v>915</v>
      </c>
      <c r="D2664" s="1">
        <v>45741</v>
      </c>
      <c r="E2664" t="s">
        <v>24</v>
      </c>
      <c r="F2664" t="s">
        <v>321</v>
      </c>
      <c r="G2664" t="str">
        <f>_xlfn.XLOOKUP(TRIM(E2665),MedicineInfo!A:A,MedicineInfo!B:B,"Not Found")</f>
        <v>Multivitamin</v>
      </c>
      <c r="H2664" s="1" t="str" cm="1">
        <f t="array" ref="H2664">_xlfn.IFS(
OR(E2664="Type 2 Diabetes",E2664="Essential Hypertension",E2664="Angina Pectoris",E2664="Bronchial Asthma",E2664="Cardiac Arrhythmia"), D2664+30,
OR(E2664="Gastritis",E2664="Osteoarthritis",E2664="Bronchitis",E2664="Iron Deficiency Anemia"), D2664+14,
OR(E2664="Lumbar Strain",E2664="Migraine Headache"), D2664+7,
OR(E2664="Viral Fever",E2664="General Checkup","Routine Health Check"), "",
TRUE,""
)</f>
        <v/>
      </c>
      <c r="I2664" s="1" t="str">
        <f t="shared" si="82"/>
        <v>No Follow-up Required</v>
      </c>
      <c r="J2664" t="str">
        <f>TEXT(Table8[[#This Row],[visit_Date]],"DDDD")</f>
        <v>Tuesday</v>
      </c>
      <c r="K2664" t="str">
        <f>TEXT(Table8[[#This Row],[visit_Date]],"mmmm")</f>
        <v>March</v>
      </c>
      <c r="L2664" t="str">
        <f t="shared" si="83"/>
        <v>Summer</v>
      </c>
    </row>
    <row r="2665" spans="1:12" x14ac:dyDescent="0.25">
      <c r="A2665">
        <v>2664</v>
      </c>
      <c r="B2665">
        <v>1202</v>
      </c>
      <c r="C2665">
        <v>1298</v>
      </c>
      <c r="D2665" s="1">
        <v>45847</v>
      </c>
      <c r="E2665" t="s">
        <v>24</v>
      </c>
      <c r="F2665" t="s">
        <v>321</v>
      </c>
      <c r="G2665" t="str">
        <f>_xlfn.XLOOKUP(TRIM(E2666),MedicineInfo!A:A,MedicineInfo!B:B,"Not Found")</f>
        <v>Cefixime</v>
      </c>
      <c r="H2665" s="1" t="str" cm="1">
        <f t="array" ref="H2665">_xlfn.IFS(
OR(E2665="Type 2 Diabetes",E2665="Essential Hypertension",E2665="Angina Pectoris",E2665="Bronchial Asthma",E2665="Cardiac Arrhythmia"), D2665+30,
OR(E2665="Gastritis",E2665="Osteoarthritis",E2665="Bronchitis",E2665="Iron Deficiency Anemia"), D2665+14,
OR(E2665="Lumbar Strain",E2665="Migraine Headache"), D2665+7,
OR(E2665="Viral Fever",E2665="General Checkup","Routine Health Check"), "",
TRUE,""
)</f>
        <v/>
      </c>
      <c r="I2665" s="1" t="str">
        <f t="shared" si="82"/>
        <v>No Follow-up Required</v>
      </c>
      <c r="J2665" t="str">
        <f>TEXT(Table8[[#This Row],[visit_Date]],"DDDD")</f>
        <v>Wednesday</v>
      </c>
      <c r="K2665" t="str">
        <f>TEXT(Table8[[#This Row],[visit_Date]],"mmmm")</f>
        <v>July</v>
      </c>
      <c r="L2665" t="str">
        <f t="shared" si="83"/>
        <v>Monsoon</v>
      </c>
    </row>
    <row r="2666" spans="1:12" x14ac:dyDescent="0.25">
      <c r="A2666">
        <v>2665</v>
      </c>
      <c r="B2666">
        <v>1036</v>
      </c>
      <c r="C2666">
        <v>1489</v>
      </c>
      <c r="D2666" s="1">
        <v>45691</v>
      </c>
      <c r="E2666" t="s">
        <v>354</v>
      </c>
      <c r="F2666" t="s">
        <v>355</v>
      </c>
      <c r="G2666" t="str">
        <f>_xlfn.XLOOKUP(TRIM(E2667),MedicineInfo!A:A,MedicineInfo!B:B,"Not Found")</f>
        <v>Multivitamin</v>
      </c>
      <c r="H2666" s="1" t="str" cm="1">
        <f t="array" ref="H2666">_xlfn.IFS(
OR(E2666="Type 2 Diabetes",E2666="Essential Hypertension",E2666="Angina Pectoris",E2666="Bronchial Asthma",E2666="Cardiac Arrhythmia"), D2666+30,
OR(E2666="Gastritis",E2666="Osteoarthritis",E2666="Bronchitis",E2666="Iron Deficiency Anemia"), D2666+14,
OR(E2666="Lumbar Strain",E2666="Migraine Headache"), D2666+7,
OR(E2666="Viral Fever",E2666="General Checkup","Routine Health Check"), "",
TRUE,""
)</f>
        <v/>
      </c>
      <c r="I2666" s="1" t="str">
        <f t="shared" si="82"/>
        <v>No Follow-up Required</v>
      </c>
      <c r="J2666" t="str">
        <f>TEXT(Table8[[#This Row],[visit_Date]],"DDDD")</f>
        <v>Monday</v>
      </c>
      <c r="K2666" t="str">
        <f>TEXT(Table8[[#This Row],[visit_Date]],"mmmm")</f>
        <v>February</v>
      </c>
      <c r="L2666" t="str">
        <f t="shared" si="83"/>
        <v>Winter</v>
      </c>
    </row>
    <row r="2667" spans="1:12" x14ac:dyDescent="0.25">
      <c r="A2667">
        <v>2666</v>
      </c>
      <c r="B2667">
        <v>1322</v>
      </c>
      <c r="C2667">
        <v>425</v>
      </c>
      <c r="D2667" s="1">
        <v>45790</v>
      </c>
      <c r="E2667" t="s">
        <v>24</v>
      </c>
      <c r="F2667" t="s">
        <v>321</v>
      </c>
      <c r="G2667" t="str">
        <f>_xlfn.XLOOKUP(TRIM(E2668),MedicineInfo!A:A,MedicineInfo!B:B,"Not Found")</f>
        <v>Folic Acid</v>
      </c>
      <c r="H2667" s="1" t="str" cm="1">
        <f t="array" ref="H2667">_xlfn.IFS(
OR(E2667="Type 2 Diabetes",E2667="Essential Hypertension",E2667="Angina Pectoris",E2667="Bronchial Asthma",E2667="Cardiac Arrhythmia"), D2667+30,
OR(E2667="Gastritis",E2667="Osteoarthritis",E2667="Bronchitis",E2667="Iron Deficiency Anemia"), D2667+14,
OR(E2667="Lumbar Strain",E2667="Migraine Headache"), D2667+7,
OR(E2667="Viral Fever",E2667="General Checkup","Routine Health Check"), "",
TRUE,""
)</f>
        <v/>
      </c>
      <c r="I2667" s="1" t="str">
        <f t="shared" si="82"/>
        <v>No Follow-up Required</v>
      </c>
      <c r="J2667" t="str">
        <f>TEXT(Table8[[#This Row],[visit_Date]],"DDDD")</f>
        <v>Tuesday</v>
      </c>
      <c r="K2667" t="str">
        <f>TEXT(Table8[[#This Row],[visit_Date]],"mmmm")</f>
        <v>May</v>
      </c>
      <c r="L2667" t="str">
        <f t="shared" si="83"/>
        <v>Summer</v>
      </c>
    </row>
    <row r="2668" spans="1:12" x14ac:dyDescent="0.25">
      <c r="A2668">
        <v>2667</v>
      </c>
      <c r="B2668">
        <v>1008</v>
      </c>
      <c r="C2668">
        <v>1256</v>
      </c>
      <c r="D2668" s="1">
        <v>45685</v>
      </c>
      <c r="E2668" t="s">
        <v>356</v>
      </c>
      <c r="F2668" t="s">
        <v>357</v>
      </c>
      <c r="G2668" t="str">
        <f>_xlfn.XLOOKUP(TRIM(E2669),MedicineInfo!A:A,MedicineInfo!B:B,"Not Found")</f>
        <v>Hydrocortisone Cream</v>
      </c>
      <c r="H2668" s="1" t="str" cm="1">
        <f t="array" ref="H2668">_xlfn.IFS(
OR(E2668="Type 2 Diabetes",E2668="Essential Hypertension",E2668="Angina Pectoris",E2668="Bronchial Asthma",E2668="Cardiac Arrhythmia"), D2668+30,
OR(E2668="Gastritis",E2668="Osteoarthritis",E2668="Bronchitis",E2668="Iron Deficiency Anemia"), D2668+14,
OR(E2668="Lumbar Strain",E2668="Migraine Headache"), D2668+7,
OR(E2668="Viral Fever",E2668="General Checkup","Routine Health Check"), "",
TRUE,""
)</f>
        <v/>
      </c>
      <c r="I2668" s="1" t="str">
        <f t="shared" si="82"/>
        <v>No Follow-up Required</v>
      </c>
      <c r="J2668" t="str">
        <f>TEXT(Table8[[#This Row],[visit_Date]],"DDDD")</f>
        <v>Tuesday</v>
      </c>
      <c r="K2668" t="str">
        <f>TEXT(Table8[[#This Row],[visit_Date]],"mmmm")</f>
        <v>January</v>
      </c>
      <c r="L2668" t="str">
        <f t="shared" si="83"/>
        <v>Winter</v>
      </c>
    </row>
    <row r="2669" spans="1:12" x14ac:dyDescent="0.25">
      <c r="A2669">
        <v>2668</v>
      </c>
      <c r="B2669">
        <v>1327</v>
      </c>
      <c r="C2669">
        <v>984</v>
      </c>
      <c r="D2669" s="1">
        <v>45820</v>
      </c>
      <c r="E2669" t="s">
        <v>338</v>
      </c>
      <c r="F2669" t="s">
        <v>339</v>
      </c>
      <c r="G2669" t="str">
        <f>_xlfn.XLOOKUP(TRIM(E2670),MedicineInfo!A:A,MedicineInfo!B:B,"Not Found")</f>
        <v>Multivitamin</v>
      </c>
      <c r="H2669" s="1" t="str" cm="1">
        <f t="array" ref="H2669">_xlfn.IFS(
OR(E2669="Type 2 Diabetes",E2669="Essential Hypertension",E2669="Angina Pectoris",E2669="Bronchial Asthma",E2669="Cardiac Arrhythmia"), D2669+30,
OR(E2669="Gastritis",E2669="Osteoarthritis",E2669="Bronchitis",E2669="Iron Deficiency Anemia"), D2669+14,
OR(E2669="Lumbar Strain",E2669="Migraine Headache"), D2669+7,
OR(E2669="Viral Fever",E2669="General Checkup","Routine Health Check"), "",
TRUE,""
)</f>
        <v/>
      </c>
      <c r="I2669" s="1" t="str">
        <f t="shared" si="82"/>
        <v>No Follow-up Required</v>
      </c>
      <c r="J2669" t="str">
        <f>TEXT(Table8[[#This Row],[visit_Date]],"DDDD")</f>
        <v>Thursday</v>
      </c>
      <c r="K2669" t="str">
        <f>TEXT(Table8[[#This Row],[visit_Date]],"mmmm")</f>
        <v>June</v>
      </c>
      <c r="L2669" t="str">
        <f t="shared" si="83"/>
        <v>Monsoon</v>
      </c>
    </row>
    <row r="2670" spans="1:12" x14ac:dyDescent="0.25">
      <c r="A2670">
        <v>2669</v>
      </c>
      <c r="B2670">
        <v>1337</v>
      </c>
      <c r="C2670">
        <v>1005</v>
      </c>
      <c r="D2670" s="1">
        <v>45777</v>
      </c>
      <c r="E2670" t="s">
        <v>24</v>
      </c>
      <c r="F2670" t="s">
        <v>321</v>
      </c>
      <c r="G2670" t="str">
        <f>_xlfn.XLOOKUP(TRIM(E2671),MedicineInfo!A:A,MedicineInfo!B:B,"Not Found")</f>
        <v>Multivitamin</v>
      </c>
      <c r="H2670" s="1" t="str" cm="1">
        <f t="array" ref="H2670">_xlfn.IFS(
OR(E2670="Type 2 Diabetes",E2670="Essential Hypertension",E2670="Angina Pectoris",E2670="Bronchial Asthma",E2670="Cardiac Arrhythmia"), D2670+30,
OR(E2670="Gastritis",E2670="Osteoarthritis",E2670="Bronchitis",E2670="Iron Deficiency Anemia"), D2670+14,
OR(E2670="Lumbar Strain",E2670="Migraine Headache"), D2670+7,
OR(E2670="Viral Fever",E2670="General Checkup","Routine Health Check"), "",
TRUE,""
)</f>
        <v/>
      </c>
      <c r="I2670" s="1" t="str">
        <f t="shared" si="82"/>
        <v>No Follow-up Required</v>
      </c>
      <c r="J2670" t="str">
        <f>TEXT(Table8[[#This Row],[visit_Date]],"DDDD")</f>
        <v>Wednesday</v>
      </c>
      <c r="K2670" t="str">
        <f>TEXT(Table8[[#This Row],[visit_Date]],"mmmm")</f>
        <v>April</v>
      </c>
      <c r="L2670" t="str">
        <f t="shared" si="83"/>
        <v>Summer</v>
      </c>
    </row>
    <row r="2671" spans="1:12" x14ac:dyDescent="0.25">
      <c r="A2671">
        <v>2670</v>
      </c>
      <c r="B2671">
        <v>1047</v>
      </c>
      <c r="C2671">
        <v>536</v>
      </c>
      <c r="D2671" s="1">
        <v>45814</v>
      </c>
      <c r="E2671" t="s">
        <v>24</v>
      </c>
      <c r="F2671" t="s">
        <v>321</v>
      </c>
      <c r="G2671" t="str">
        <f>_xlfn.XLOOKUP(TRIM(E2672),MedicineInfo!A:A,MedicineInfo!B:B,"Not Found")</f>
        <v>Multivitamin</v>
      </c>
      <c r="H2671" s="1" t="str" cm="1">
        <f t="array" ref="H2671">_xlfn.IFS(
OR(E2671="Type 2 Diabetes",E2671="Essential Hypertension",E2671="Angina Pectoris",E2671="Bronchial Asthma",E2671="Cardiac Arrhythmia"), D2671+30,
OR(E2671="Gastritis",E2671="Osteoarthritis",E2671="Bronchitis",E2671="Iron Deficiency Anemia"), D2671+14,
OR(E2671="Lumbar Strain",E2671="Migraine Headache"), D2671+7,
OR(E2671="Viral Fever",E2671="General Checkup","Routine Health Check"), "",
TRUE,""
)</f>
        <v/>
      </c>
      <c r="I2671" s="1" t="str">
        <f t="shared" si="82"/>
        <v>No Follow-up Required</v>
      </c>
      <c r="J2671" t="str">
        <f>TEXT(Table8[[#This Row],[visit_Date]],"DDDD")</f>
        <v>Friday</v>
      </c>
      <c r="K2671" t="str">
        <f>TEXT(Table8[[#This Row],[visit_Date]],"mmmm")</f>
        <v>June</v>
      </c>
      <c r="L2671" t="str">
        <f t="shared" si="83"/>
        <v>Monsoon</v>
      </c>
    </row>
    <row r="2672" spans="1:12" x14ac:dyDescent="0.25">
      <c r="A2672">
        <v>2671</v>
      </c>
      <c r="B2672">
        <v>1089</v>
      </c>
      <c r="C2672">
        <v>294</v>
      </c>
      <c r="D2672" s="1">
        <v>45777</v>
      </c>
      <c r="E2672" t="s">
        <v>24</v>
      </c>
      <c r="F2672" t="s">
        <v>321</v>
      </c>
      <c r="G2672" t="str">
        <f>_xlfn.XLOOKUP(TRIM(E2673),MedicineInfo!A:A,MedicineInfo!B:B,"Not Found")</f>
        <v>Multivitamin</v>
      </c>
      <c r="H2672" s="1" t="str" cm="1">
        <f t="array" ref="H2672">_xlfn.IFS(
OR(E2672="Type 2 Diabetes",E2672="Essential Hypertension",E2672="Angina Pectoris",E2672="Bronchial Asthma",E2672="Cardiac Arrhythmia"), D2672+30,
OR(E2672="Gastritis",E2672="Osteoarthritis",E2672="Bronchitis",E2672="Iron Deficiency Anemia"), D2672+14,
OR(E2672="Lumbar Strain",E2672="Migraine Headache"), D2672+7,
OR(E2672="Viral Fever",E2672="General Checkup","Routine Health Check"), "",
TRUE,""
)</f>
        <v/>
      </c>
      <c r="I2672" s="1" t="str">
        <f t="shared" si="82"/>
        <v>No Follow-up Required</v>
      </c>
      <c r="J2672" t="str">
        <f>TEXT(Table8[[#This Row],[visit_Date]],"DDDD")</f>
        <v>Wednesday</v>
      </c>
      <c r="K2672" t="str">
        <f>TEXT(Table8[[#This Row],[visit_Date]],"mmmm")</f>
        <v>April</v>
      </c>
      <c r="L2672" t="str">
        <f t="shared" si="83"/>
        <v>Summer</v>
      </c>
    </row>
    <row r="2673" spans="1:12" x14ac:dyDescent="0.25">
      <c r="A2673">
        <v>2672</v>
      </c>
      <c r="B2673">
        <v>1023</v>
      </c>
      <c r="C2673">
        <v>1081</v>
      </c>
      <c r="D2673" s="1">
        <v>45739</v>
      </c>
      <c r="E2673" t="s">
        <v>24</v>
      </c>
      <c r="F2673" t="s">
        <v>321</v>
      </c>
      <c r="G2673" t="str">
        <f>_xlfn.XLOOKUP(TRIM(E2674),MedicineInfo!A:A,MedicineInfo!B:B,"Not Found")</f>
        <v>Multivitamin</v>
      </c>
      <c r="H2673" s="1" t="str" cm="1">
        <f t="array" ref="H2673">_xlfn.IFS(
OR(E2673="Type 2 Diabetes",E2673="Essential Hypertension",E2673="Angina Pectoris",E2673="Bronchial Asthma",E2673="Cardiac Arrhythmia"), D2673+30,
OR(E2673="Gastritis",E2673="Osteoarthritis",E2673="Bronchitis",E2673="Iron Deficiency Anemia"), D2673+14,
OR(E2673="Lumbar Strain",E2673="Migraine Headache"), D2673+7,
OR(E2673="Viral Fever",E2673="General Checkup","Routine Health Check"), "",
TRUE,""
)</f>
        <v/>
      </c>
      <c r="I2673" s="1" t="str">
        <f t="shared" si="82"/>
        <v>No Follow-up Required</v>
      </c>
      <c r="J2673" t="str">
        <f>TEXT(Table8[[#This Row],[visit_Date]],"DDDD")</f>
        <v>Sunday</v>
      </c>
      <c r="K2673" t="str">
        <f>TEXT(Table8[[#This Row],[visit_Date]],"mmmm")</f>
        <v>March</v>
      </c>
      <c r="L2673" t="str">
        <f t="shared" si="83"/>
        <v>Summer</v>
      </c>
    </row>
    <row r="2674" spans="1:12" x14ac:dyDescent="0.25">
      <c r="A2674">
        <v>2673</v>
      </c>
      <c r="B2674">
        <v>1306</v>
      </c>
      <c r="C2674">
        <v>441</v>
      </c>
      <c r="D2674" s="1">
        <v>45707</v>
      </c>
      <c r="E2674" t="s">
        <v>24</v>
      </c>
      <c r="F2674" t="s">
        <v>321</v>
      </c>
      <c r="G2674" t="str">
        <f>_xlfn.XLOOKUP(TRIM(E2675),MedicineInfo!A:A,MedicineInfo!B:B,"Not Found")</f>
        <v>Multivitamin</v>
      </c>
      <c r="H2674" s="1" t="str" cm="1">
        <f t="array" ref="H2674">_xlfn.IFS(
OR(E2674="Type 2 Diabetes",E2674="Essential Hypertension",E2674="Angina Pectoris",E2674="Bronchial Asthma",E2674="Cardiac Arrhythmia"), D2674+30,
OR(E2674="Gastritis",E2674="Osteoarthritis",E2674="Bronchitis",E2674="Iron Deficiency Anemia"), D2674+14,
OR(E2674="Lumbar Strain",E2674="Migraine Headache"), D2674+7,
OR(E2674="Viral Fever",E2674="General Checkup","Routine Health Check"), "",
TRUE,""
)</f>
        <v/>
      </c>
      <c r="I2674" s="1" t="str">
        <f t="shared" si="82"/>
        <v>No Follow-up Required</v>
      </c>
      <c r="J2674" t="str">
        <f>TEXT(Table8[[#This Row],[visit_Date]],"DDDD")</f>
        <v>Wednesday</v>
      </c>
      <c r="K2674" t="str">
        <f>TEXT(Table8[[#This Row],[visit_Date]],"mmmm")</f>
        <v>February</v>
      </c>
      <c r="L2674" t="str">
        <f t="shared" si="83"/>
        <v>Winter</v>
      </c>
    </row>
    <row r="2675" spans="1:12" x14ac:dyDescent="0.25">
      <c r="A2675">
        <v>2674</v>
      </c>
      <c r="B2675">
        <v>1086</v>
      </c>
      <c r="C2675">
        <v>245</v>
      </c>
      <c r="D2675" s="1">
        <v>45782</v>
      </c>
      <c r="E2675" t="s">
        <v>24</v>
      </c>
      <c r="F2675" t="s">
        <v>321</v>
      </c>
      <c r="G2675" t="str">
        <f>_xlfn.XLOOKUP(TRIM(E2676),MedicineInfo!A:A,MedicineInfo!B:B,"Not Found")</f>
        <v>Multivitamin</v>
      </c>
      <c r="H2675" s="1" t="str" cm="1">
        <f t="array" ref="H2675">_xlfn.IFS(
OR(E2675="Type 2 Diabetes",E2675="Essential Hypertension",E2675="Angina Pectoris",E2675="Bronchial Asthma",E2675="Cardiac Arrhythmia"), D2675+30,
OR(E2675="Gastritis",E2675="Osteoarthritis",E2675="Bronchitis",E2675="Iron Deficiency Anemia"), D2675+14,
OR(E2675="Lumbar Strain",E2675="Migraine Headache"), D2675+7,
OR(E2675="Viral Fever",E2675="General Checkup","Routine Health Check"), "",
TRUE,""
)</f>
        <v/>
      </c>
      <c r="I2675" s="1" t="str">
        <f t="shared" si="82"/>
        <v>No Follow-up Required</v>
      </c>
      <c r="J2675" t="str">
        <f>TEXT(Table8[[#This Row],[visit_Date]],"DDDD")</f>
        <v>Monday</v>
      </c>
      <c r="K2675" t="str">
        <f>TEXT(Table8[[#This Row],[visit_Date]],"mmmm")</f>
        <v>May</v>
      </c>
      <c r="L2675" t="str">
        <f t="shared" si="83"/>
        <v>Summer</v>
      </c>
    </row>
    <row r="2676" spans="1:12" x14ac:dyDescent="0.25">
      <c r="A2676">
        <v>2675</v>
      </c>
      <c r="B2676">
        <v>1335</v>
      </c>
      <c r="C2676">
        <v>577</v>
      </c>
      <c r="D2676" s="1">
        <v>45764</v>
      </c>
      <c r="E2676" t="s">
        <v>24</v>
      </c>
      <c r="F2676" t="s">
        <v>321</v>
      </c>
      <c r="G2676" t="str">
        <f>_xlfn.XLOOKUP(TRIM(E2677),MedicineInfo!A:A,MedicineInfo!B:B,"Not Found")</f>
        <v>Multivitamin</v>
      </c>
      <c r="H2676" s="1" t="str" cm="1">
        <f t="array" ref="H2676">_xlfn.IFS(
OR(E2676="Type 2 Diabetes",E2676="Essential Hypertension",E2676="Angina Pectoris",E2676="Bronchial Asthma",E2676="Cardiac Arrhythmia"), D2676+30,
OR(E2676="Gastritis",E2676="Osteoarthritis",E2676="Bronchitis",E2676="Iron Deficiency Anemia"), D2676+14,
OR(E2676="Lumbar Strain",E2676="Migraine Headache"), D2676+7,
OR(E2676="Viral Fever",E2676="General Checkup","Routine Health Check"), "",
TRUE,""
)</f>
        <v/>
      </c>
      <c r="I2676" s="1" t="str">
        <f t="shared" si="82"/>
        <v>No Follow-up Required</v>
      </c>
      <c r="J2676" t="str">
        <f>TEXT(Table8[[#This Row],[visit_Date]],"DDDD")</f>
        <v>Thursday</v>
      </c>
      <c r="K2676" t="str">
        <f>TEXT(Table8[[#This Row],[visit_Date]],"mmmm")</f>
        <v>April</v>
      </c>
      <c r="L2676" t="str">
        <f t="shared" si="83"/>
        <v>Summer</v>
      </c>
    </row>
    <row r="2677" spans="1:12" x14ac:dyDescent="0.25">
      <c r="A2677">
        <v>2676</v>
      </c>
      <c r="B2677">
        <v>1028</v>
      </c>
      <c r="C2677">
        <v>513</v>
      </c>
      <c r="D2677" s="1">
        <v>45792</v>
      </c>
      <c r="E2677" t="s">
        <v>24</v>
      </c>
      <c r="F2677" t="s">
        <v>321</v>
      </c>
      <c r="G2677" t="str">
        <f>_xlfn.XLOOKUP(TRIM(E2678),MedicineInfo!A:A,MedicineInfo!B:B,"Not Found")</f>
        <v>Multivitamin</v>
      </c>
      <c r="H2677" s="1" t="str" cm="1">
        <f t="array" ref="H2677">_xlfn.IFS(
OR(E2677="Type 2 Diabetes",E2677="Essential Hypertension",E2677="Angina Pectoris",E2677="Bronchial Asthma",E2677="Cardiac Arrhythmia"), D2677+30,
OR(E2677="Gastritis",E2677="Osteoarthritis",E2677="Bronchitis",E2677="Iron Deficiency Anemia"), D2677+14,
OR(E2677="Lumbar Strain",E2677="Migraine Headache"), D2677+7,
OR(E2677="Viral Fever",E2677="General Checkup","Routine Health Check"), "",
TRUE,""
)</f>
        <v/>
      </c>
      <c r="I2677" s="1" t="str">
        <f t="shared" si="82"/>
        <v>No Follow-up Required</v>
      </c>
      <c r="J2677" t="str">
        <f>TEXT(Table8[[#This Row],[visit_Date]],"DDDD")</f>
        <v>Thursday</v>
      </c>
      <c r="K2677" t="str">
        <f>TEXT(Table8[[#This Row],[visit_Date]],"mmmm")</f>
        <v>May</v>
      </c>
      <c r="L2677" t="str">
        <f t="shared" si="83"/>
        <v>Summer</v>
      </c>
    </row>
    <row r="2678" spans="1:12" x14ac:dyDescent="0.25">
      <c r="A2678">
        <v>2677</v>
      </c>
      <c r="B2678">
        <v>1034</v>
      </c>
      <c r="C2678">
        <v>509</v>
      </c>
      <c r="D2678" s="1">
        <v>45669</v>
      </c>
      <c r="E2678" t="s">
        <v>24</v>
      </c>
      <c r="F2678" t="s">
        <v>321</v>
      </c>
      <c r="G2678" t="str">
        <f>_xlfn.XLOOKUP(TRIM(E2679),MedicineInfo!A:A,MedicineInfo!B:B,"Not Found")</f>
        <v>Neuro Vitamins</v>
      </c>
      <c r="H2678" s="1" t="str" cm="1">
        <f t="array" ref="H2678">_xlfn.IFS(
OR(E2678="Type 2 Diabetes",E2678="Essential Hypertension",E2678="Angina Pectoris",E2678="Bronchial Asthma",E2678="Cardiac Arrhythmia"), D2678+30,
OR(E2678="Gastritis",E2678="Osteoarthritis",E2678="Bronchitis",E2678="Iron Deficiency Anemia"), D2678+14,
OR(E2678="Lumbar Strain",E2678="Migraine Headache"), D2678+7,
OR(E2678="Viral Fever",E2678="General Checkup","Routine Health Check"), "",
TRUE,""
)</f>
        <v/>
      </c>
      <c r="I2678" s="1" t="str">
        <f t="shared" si="82"/>
        <v>No Follow-up Required</v>
      </c>
      <c r="J2678" t="str">
        <f>TEXT(Table8[[#This Row],[visit_Date]],"DDDD")</f>
        <v>Sunday</v>
      </c>
      <c r="K2678" t="str">
        <f>TEXT(Table8[[#This Row],[visit_Date]],"mmmm")</f>
        <v>January</v>
      </c>
      <c r="L2678" t="str">
        <f t="shared" si="83"/>
        <v>Winter</v>
      </c>
    </row>
    <row r="2679" spans="1:12" x14ac:dyDescent="0.25">
      <c r="A2679">
        <v>2678</v>
      </c>
      <c r="B2679">
        <v>1014</v>
      </c>
      <c r="C2679">
        <v>555</v>
      </c>
      <c r="D2679" s="1">
        <v>45823</v>
      </c>
      <c r="E2679" t="s">
        <v>342</v>
      </c>
      <c r="F2679" t="s">
        <v>343</v>
      </c>
      <c r="G2679" t="str">
        <f>_xlfn.XLOOKUP(TRIM(E2680),MedicineInfo!A:A,MedicineInfo!B:B,"Not Found")</f>
        <v>Multivitamin</v>
      </c>
      <c r="H2679" s="1" t="str" cm="1">
        <f t="array" ref="H2679">_xlfn.IFS(
OR(E2679="Type 2 Diabetes",E2679="Essential Hypertension",E2679="Angina Pectoris",E2679="Bronchial Asthma",E2679="Cardiac Arrhythmia"), D2679+30,
OR(E2679="Gastritis",E2679="Osteoarthritis",E2679="Bronchitis",E2679="Iron Deficiency Anemia"), D2679+14,
OR(E2679="Lumbar Strain",E2679="Migraine Headache"), D2679+7,
OR(E2679="Viral Fever",E2679="General Checkup","Routine Health Check"), "",
TRUE,""
)</f>
        <v/>
      </c>
      <c r="I2679" s="1" t="str">
        <f t="shared" si="82"/>
        <v>No Follow-up Required</v>
      </c>
      <c r="J2679" t="str">
        <f>TEXT(Table8[[#This Row],[visit_Date]],"DDDD")</f>
        <v>Sunday</v>
      </c>
      <c r="K2679" t="str">
        <f>TEXT(Table8[[#This Row],[visit_Date]],"mmmm")</f>
        <v>June</v>
      </c>
      <c r="L2679" t="str">
        <f t="shared" si="83"/>
        <v>Monsoon</v>
      </c>
    </row>
    <row r="2680" spans="1:12" x14ac:dyDescent="0.25">
      <c r="A2680">
        <v>2679</v>
      </c>
      <c r="B2680">
        <v>1011</v>
      </c>
      <c r="C2680">
        <v>185</v>
      </c>
      <c r="D2680" s="1">
        <v>45757</v>
      </c>
      <c r="E2680" t="s">
        <v>24</v>
      </c>
      <c r="F2680" t="s">
        <v>321</v>
      </c>
      <c r="G2680" t="str">
        <f>_xlfn.XLOOKUP(TRIM(E2681),MedicineInfo!A:A,MedicineInfo!B:B,"Not Found")</f>
        <v>Multivitamin</v>
      </c>
      <c r="H2680" s="1" t="str" cm="1">
        <f t="array" ref="H2680">_xlfn.IFS(
OR(E2680="Type 2 Diabetes",E2680="Essential Hypertension",E2680="Angina Pectoris",E2680="Bronchial Asthma",E2680="Cardiac Arrhythmia"), D2680+30,
OR(E2680="Gastritis",E2680="Osteoarthritis",E2680="Bronchitis",E2680="Iron Deficiency Anemia"), D2680+14,
OR(E2680="Lumbar Strain",E2680="Migraine Headache"), D2680+7,
OR(E2680="Viral Fever",E2680="General Checkup","Routine Health Check"), "",
TRUE,""
)</f>
        <v/>
      </c>
      <c r="I2680" s="1" t="str">
        <f t="shared" si="82"/>
        <v>No Follow-up Required</v>
      </c>
      <c r="J2680" t="str">
        <f>TEXT(Table8[[#This Row],[visit_Date]],"DDDD")</f>
        <v>Thursday</v>
      </c>
      <c r="K2680" t="str">
        <f>TEXT(Table8[[#This Row],[visit_Date]],"mmmm")</f>
        <v>April</v>
      </c>
      <c r="L2680" t="str">
        <f t="shared" si="83"/>
        <v>Summer</v>
      </c>
    </row>
    <row r="2681" spans="1:12" x14ac:dyDescent="0.25">
      <c r="A2681">
        <v>2680</v>
      </c>
      <c r="B2681">
        <v>1073</v>
      </c>
      <c r="C2681">
        <v>1594</v>
      </c>
      <c r="D2681" s="1">
        <v>45773</v>
      </c>
      <c r="E2681" t="s">
        <v>24</v>
      </c>
      <c r="F2681" t="s">
        <v>321</v>
      </c>
      <c r="G2681" t="str">
        <f>_xlfn.XLOOKUP(TRIM(E2682),MedicineInfo!A:A,MedicineInfo!B:B,"Not Found")</f>
        <v>Multivitamin</v>
      </c>
      <c r="H2681" s="1" t="str" cm="1">
        <f t="array" ref="H2681">_xlfn.IFS(
OR(E2681="Type 2 Diabetes",E2681="Essential Hypertension",E2681="Angina Pectoris",E2681="Bronchial Asthma",E2681="Cardiac Arrhythmia"), D2681+30,
OR(E2681="Gastritis",E2681="Osteoarthritis",E2681="Bronchitis",E2681="Iron Deficiency Anemia"), D2681+14,
OR(E2681="Lumbar Strain",E2681="Migraine Headache"), D2681+7,
OR(E2681="Viral Fever",E2681="General Checkup","Routine Health Check"), "",
TRUE,""
)</f>
        <v/>
      </c>
      <c r="I2681" s="1" t="str">
        <f t="shared" si="82"/>
        <v>No Follow-up Required</v>
      </c>
      <c r="J2681" t="str">
        <f>TEXT(Table8[[#This Row],[visit_Date]],"DDDD")</f>
        <v>Saturday</v>
      </c>
      <c r="K2681" t="str">
        <f>TEXT(Table8[[#This Row],[visit_Date]],"mmmm")</f>
        <v>April</v>
      </c>
      <c r="L2681" t="str">
        <f t="shared" si="83"/>
        <v>Summer</v>
      </c>
    </row>
    <row r="2682" spans="1:12" x14ac:dyDescent="0.25">
      <c r="A2682">
        <v>2681</v>
      </c>
      <c r="B2682">
        <v>1340</v>
      </c>
      <c r="C2682">
        <v>553</v>
      </c>
      <c r="D2682" s="1">
        <v>45792</v>
      </c>
      <c r="E2682" t="s">
        <v>24</v>
      </c>
      <c r="F2682" t="s">
        <v>321</v>
      </c>
      <c r="G2682" t="str">
        <f>_xlfn.XLOOKUP(TRIM(E2683),MedicineInfo!A:A,MedicineInfo!B:B,"Not Found")</f>
        <v>Hydrocortisone Cream</v>
      </c>
      <c r="H2682" s="1" t="str" cm="1">
        <f t="array" ref="H2682">_xlfn.IFS(
OR(E2682="Type 2 Diabetes",E2682="Essential Hypertension",E2682="Angina Pectoris",E2682="Bronchial Asthma",E2682="Cardiac Arrhythmia"), D2682+30,
OR(E2682="Gastritis",E2682="Osteoarthritis",E2682="Bronchitis",E2682="Iron Deficiency Anemia"), D2682+14,
OR(E2682="Lumbar Strain",E2682="Migraine Headache"), D2682+7,
OR(E2682="Viral Fever",E2682="General Checkup","Routine Health Check"), "",
TRUE,""
)</f>
        <v/>
      </c>
      <c r="I2682" s="1" t="str">
        <f t="shared" si="82"/>
        <v>No Follow-up Required</v>
      </c>
      <c r="J2682" t="str">
        <f>TEXT(Table8[[#This Row],[visit_Date]],"DDDD")</f>
        <v>Thursday</v>
      </c>
      <c r="K2682" t="str">
        <f>TEXT(Table8[[#This Row],[visit_Date]],"mmmm")</f>
        <v>May</v>
      </c>
      <c r="L2682" t="str">
        <f t="shared" si="83"/>
        <v>Summer</v>
      </c>
    </row>
    <row r="2683" spans="1:12" x14ac:dyDescent="0.25">
      <c r="A2683">
        <v>2682</v>
      </c>
      <c r="B2683">
        <v>1039</v>
      </c>
      <c r="C2683">
        <v>715</v>
      </c>
      <c r="D2683" s="1">
        <v>45747</v>
      </c>
      <c r="E2683" t="s">
        <v>338</v>
      </c>
      <c r="F2683" t="s">
        <v>339</v>
      </c>
      <c r="G2683" t="str">
        <f>_xlfn.XLOOKUP(TRIM(E2684),MedicineInfo!A:A,MedicineInfo!B:B,"Not Found")</f>
        <v>Calcium Supplement</v>
      </c>
      <c r="H2683" s="1" t="str" cm="1">
        <f t="array" ref="H2683">_xlfn.IFS(
OR(E2683="Type 2 Diabetes",E2683="Essential Hypertension",E2683="Angina Pectoris",E2683="Bronchial Asthma",E2683="Cardiac Arrhythmia"), D2683+30,
OR(E2683="Gastritis",E2683="Osteoarthritis",E2683="Bronchitis",E2683="Iron Deficiency Anemia"), D2683+14,
OR(E2683="Lumbar Strain",E2683="Migraine Headache"), D2683+7,
OR(E2683="Viral Fever",E2683="General Checkup","Routine Health Check"), "",
TRUE,""
)</f>
        <v/>
      </c>
      <c r="I2683" s="1" t="str">
        <f t="shared" si="82"/>
        <v>No Follow-up Required</v>
      </c>
      <c r="J2683" t="str">
        <f>TEXT(Table8[[#This Row],[visit_Date]],"DDDD")</f>
        <v>Monday</v>
      </c>
      <c r="K2683" t="str">
        <f>TEXT(Table8[[#This Row],[visit_Date]],"mmmm")</f>
        <v>March</v>
      </c>
      <c r="L2683" t="str">
        <f t="shared" si="83"/>
        <v>Summer</v>
      </c>
    </row>
    <row r="2684" spans="1:12" x14ac:dyDescent="0.25">
      <c r="A2684">
        <v>2683</v>
      </c>
      <c r="B2684">
        <v>1104</v>
      </c>
      <c r="C2684">
        <v>1410</v>
      </c>
      <c r="D2684" s="1">
        <v>45694</v>
      </c>
      <c r="E2684" t="s">
        <v>336</v>
      </c>
      <c r="F2684" t="s">
        <v>337</v>
      </c>
      <c r="G2684" t="str">
        <f>_xlfn.XLOOKUP(TRIM(E2685),MedicineInfo!A:A,MedicineInfo!B:B,"Not Found")</f>
        <v>Multivitamin</v>
      </c>
      <c r="H2684" s="1" t="str" cm="1">
        <f t="array" ref="H2684">_xlfn.IFS(
OR(E2684="Type 2 Diabetes",E2684="Essential Hypertension",E2684="Angina Pectoris",E2684="Bronchial Asthma",E2684="Cardiac Arrhythmia"), D2684+30,
OR(E2684="Gastritis",E2684="Osteoarthritis",E2684="Bronchitis",E2684="Iron Deficiency Anemia"), D2684+14,
OR(E2684="Lumbar Strain",E2684="Migraine Headache"), D2684+7,
OR(E2684="Viral Fever",E2684="General Checkup","Routine Health Check"), "",
TRUE,""
)</f>
        <v/>
      </c>
      <c r="I2684" s="1" t="str">
        <f t="shared" si="82"/>
        <v>No Follow-up Required</v>
      </c>
      <c r="J2684" t="str">
        <f>TEXT(Table8[[#This Row],[visit_Date]],"DDDD")</f>
        <v>Thursday</v>
      </c>
      <c r="K2684" t="str">
        <f>TEXT(Table8[[#This Row],[visit_Date]],"mmmm")</f>
        <v>February</v>
      </c>
      <c r="L2684" t="str">
        <f t="shared" si="83"/>
        <v>Winter</v>
      </c>
    </row>
    <row r="2685" spans="1:12" x14ac:dyDescent="0.25">
      <c r="A2685">
        <v>2684</v>
      </c>
      <c r="B2685">
        <v>1220</v>
      </c>
      <c r="C2685">
        <v>738</v>
      </c>
      <c r="D2685" s="1">
        <v>45857</v>
      </c>
      <c r="E2685" t="s">
        <v>24</v>
      </c>
      <c r="F2685" t="s">
        <v>321</v>
      </c>
      <c r="G2685" t="str">
        <f>_xlfn.XLOOKUP(TRIM(E2686),MedicineInfo!A:A,MedicineInfo!B:B,"Not Found")</f>
        <v>Multivitamin</v>
      </c>
      <c r="H2685" s="1" t="str" cm="1">
        <f t="array" ref="H2685">_xlfn.IFS(
OR(E2685="Type 2 Diabetes",E2685="Essential Hypertension",E2685="Angina Pectoris",E2685="Bronchial Asthma",E2685="Cardiac Arrhythmia"), D2685+30,
OR(E2685="Gastritis",E2685="Osteoarthritis",E2685="Bronchitis",E2685="Iron Deficiency Anemia"), D2685+14,
OR(E2685="Lumbar Strain",E2685="Migraine Headache"), D2685+7,
OR(E2685="Viral Fever",E2685="General Checkup","Routine Health Check"), "",
TRUE,""
)</f>
        <v/>
      </c>
      <c r="I2685" s="1" t="str">
        <f t="shared" si="82"/>
        <v>No Follow-up Required</v>
      </c>
      <c r="J2685" t="str">
        <f>TEXT(Table8[[#This Row],[visit_Date]],"DDDD")</f>
        <v>Saturday</v>
      </c>
      <c r="K2685" t="str">
        <f>TEXT(Table8[[#This Row],[visit_Date]],"mmmm")</f>
        <v>July</v>
      </c>
      <c r="L2685" t="str">
        <f t="shared" si="83"/>
        <v>Monsoon</v>
      </c>
    </row>
    <row r="2686" spans="1:12" x14ac:dyDescent="0.25">
      <c r="A2686">
        <v>2685</v>
      </c>
      <c r="B2686">
        <v>1381</v>
      </c>
      <c r="C2686">
        <v>1316</v>
      </c>
      <c r="D2686" s="1">
        <v>45819</v>
      </c>
      <c r="E2686" t="s">
        <v>24</v>
      </c>
      <c r="F2686" t="s">
        <v>321</v>
      </c>
      <c r="G2686" t="str">
        <f>_xlfn.XLOOKUP(TRIM(E2687),MedicineInfo!A:A,MedicineInfo!B:B,"Not Found")</f>
        <v>Multivitamin</v>
      </c>
      <c r="H2686" s="1" t="str" cm="1">
        <f t="array" ref="H2686">_xlfn.IFS(
OR(E2686="Type 2 Diabetes",E2686="Essential Hypertension",E2686="Angina Pectoris",E2686="Bronchial Asthma",E2686="Cardiac Arrhythmia"), D2686+30,
OR(E2686="Gastritis",E2686="Osteoarthritis",E2686="Bronchitis",E2686="Iron Deficiency Anemia"), D2686+14,
OR(E2686="Lumbar Strain",E2686="Migraine Headache"), D2686+7,
OR(E2686="Viral Fever",E2686="General Checkup","Routine Health Check"), "",
TRUE,""
)</f>
        <v/>
      </c>
      <c r="I2686" s="1" t="str">
        <f t="shared" si="82"/>
        <v>No Follow-up Required</v>
      </c>
      <c r="J2686" t="str">
        <f>TEXT(Table8[[#This Row],[visit_Date]],"DDDD")</f>
        <v>Wednesday</v>
      </c>
      <c r="K2686" t="str">
        <f>TEXT(Table8[[#This Row],[visit_Date]],"mmmm")</f>
        <v>June</v>
      </c>
      <c r="L2686" t="str">
        <f t="shared" si="83"/>
        <v>Monsoon</v>
      </c>
    </row>
    <row r="2687" spans="1:12" x14ac:dyDescent="0.25">
      <c r="A2687">
        <v>2686</v>
      </c>
      <c r="B2687">
        <v>1177</v>
      </c>
      <c r="C2687">
        <v>1248</v>
      </c>
      <c r="D2687" s="1">
        <v>45853</v>
      </c>
      <c r="E2687" t="s">
        <v>24</v>
      </c>
      <c r="F2687" t="s">
        <v>321</v>
      </c>
      <c r="G2687" t="str">
        <f>_xlfn.XLOOKUP(TRIM(E2688),MedicineInfo!A:A,MedicineInfo!B:B,"Not Found")</f>
        <v>Multivitamin</v>
      </c>
      <c r="H2687" s="1" t="str" cm="1">
        <f t="array" ref="H2687">_xlfn.IFS(
OR(E2687="Type 2 Diabetes",E2687="Essential Hypertension",E2687="Angina Pectoris",E2687="Bronchial Asthma",E2687="Cardiac Arrhythmia"), D2687+30,
OR(E2687="Gastritis",E2687="Osteoarthritis",E2687="Bronchitis",E2687="Iron Deficiency Anemia"), D2687+14,
OR(E2687="Lumbar Strain",E2687="Migraine Headache"), D2687+7,
OR(E2687="Viral Fever",E2687="General Checkup","Routine Health Check"), "",
TRUE,""
)</f>
        <v/>
      </c>
      <c r="I2687" s="1" t="str">
        <f t="shared" si="82"/>
        <v>No Follow-up Required</v>
      </c>
      <c r="J2687" t="str">
        <f>TEXT(Table8[[#This Row],[visit_Date]],"DDDD")</f>
        <v>Tuesday</v>
      </c>
      <c r="K2687" t="str">
        <f>TEXT(Table8[[#This Row],[visit_Date]],"mmmm")</f>
        <v>July</v>
      </c>
      <c r="L2687" t="str">
        <f t="shared" si="83"/>
        <v>Monsoon</v>
      </c>
    </row>
    <row r="2688" spans="1:12" x14ac:dyDescent="0.25">
      <c r="A2688">
        <v>2687</v>
      </c>
      <c r="B2688">
        <v>1209</v>
      </c>
      <c r="C2688">
        <v>194</v>
      </c>
      <c r="D2688" s="1">
        <v>45792</v>
      </c>
      <c r="E2688" t="s">
        <v>24</v>
      </c>
      <c r="F2688" t="s">
        <v>321</v>
      </c>
      <c r="G2688" t="str">
        <f>_xlfn.XLOOKUP(TRIM(E2689),MedicineInfo!A:A,MedicineInfo!B:B,"Not Found")</f>
        <v>Multivitamin</v>
      </c>
      <c r="H2688" s="1" t="str" cm="1">
        <f t="array" ref="H2688">_xlfn.IFS(
OR(E2688="Type 2 Diabetes",E2688="Essential Hypertension",E2688="Angina Pectoris",E2688="Bronchial Asthma",E2688="Cardiac Arrhythmia"), D2688+30,
OR(E2688="Gastritis",E2688="Osteoarthritis",E2688="Bronchitis",E2688="Iron Deficiency Anemia"), D2688+14,
OR(E2688="Lumbar Strain",E2688="Migraine Headache"), D2688+7,
OR(E2688="Viral Fever",E2688="General Checkup","Routine Health Check"), "",
TRUE,""
)</f>
        <v/>
      </c>
      <c r="I2688" s="1" t="str">
        <f t="shared" si="82"/>
        <v>No Follow-up Required</v>
      </c>
      <c r="J2688" t="str">
        <f>TEXT(Table8[[#This Row],[visit_Date]],"DDDD")</f>
        <v>Thursday</v>
      </c>
      <c r="K2688" t="str">
        <f>TEXT(Table8[[#This Row],[visit_Date]],"mmmm")</f>
        <v>May</v>
      </c>
      <c r="L2688" t="str">
        <f t="shared" si="83"/>
        <v>Summer</v>
      </c>
    </row>
    <row r="2689" spans="1:12" x14ac:dyDescent="0.25">
      <c r="A2689">
        <v>2688</v>
      </c>
      <c r="B2689">
        <v>1161</v>
      </c>
      <c r="C2689">
        <v>575</v>
      </c>
      <c r="D2689" s="1">
        <v>45796</v>
      </c>
      <c r="E2689" t="s">
        <v>24</v>
      </c>
      <c r="F2689" t="s">
        <v>321</v>
      </c>
      <c r="G2689" t="str">
        <f>_xlfn.XLOOKUP(TRIM(E2690),MedicineInfo!A:A,MedicineInfo!B:B,"Not Found")</f>
        <v>Multivitamin</v>
      </c>
      <c r="H2689" s="1" t="str" cm="1">
        <f t="array" ref="H2689">_xlfn.IFS(
OR(E2689="Type 2 Diabetes",E2689="Essential Hypertension",E2689="Angina Pectoris",E2689="Bronchial Asthma",E2689="Cardiac Arrhythmia"), D2689+30,
OR(E2689="Gastritis",E2689="Osteoarthritis",E2689="Bronchitis",E2689="Iron Deficiency Anemia"), D2689+14,
OR(E2689="Lumbar Strain",E2689="Migraine Headache"), D2689+7,
OR(E2689="Viral Fever",E2689="General Checkup","Routine Health Check"), "",
TRUE,""
)</f>
        <v/>
      </c>
      <c r="I2689" s="1" t="str">
        <f t="shared" si="82"/>
        <v>No Follow-up Required</v>
      </c>
      <c r="J2689" t="str">
        <f>TEXT(Table8[[#This Row],[visit_Date]],"DDDD")</f>
        <v>Monday</v>
      </c>
      <c r="K2689" t="str">
        <f>TEXT(Table8[[#This Row],[visit_Date]],"mmmm")</f>
        <v>May</v>
      </c>
      <c r="L2689" t="str">
        <f t="shared" si="83"/>
        <v>Summer</v>
      </c>
    </row>
    <row r="2690" spans="1:12" x14ac:dyDescent="0.25">
      <c r="A2690">
        <v>2689</v>
      </c>
      <c r="B2690">
        <v>1372</v>
      </c>
      <c r="C2690">
        <v>161</v>
      </c>
      <c r="D2690" s="1">
        <v>45694</v>
      </c>
      <c r="E2690" t="s">
        <v>24</v>
      </c>
      <c r="F2690" t="s">
        <v>321</v>
      </c>
      <c r="G2690" t="str">
        <f>_xlfn.XLOOKUP(TRIM(E2691),MedicineInfo!A:A,MedicineInfo!B:B,"Not Found")</f>
        <v>Multivitamin</v>
      </c>
      <c r="H2690" s="1" t="str" cm="1">
        <f t="array" ref="H2690">_xlfn.IFS(
OR(E2690="Type 2 Diabetes",E2690="Essential Hypertension",E2690="Angina Pectoris",E2690="Bronchial Asthma",E2690="Cardiac Arrhythmia"), D2690+30,
OR(E2690="Gastritis",E2690="Osteoarthritis",E2690="Bronchitis",E2690="Iron Deficiency Anemia"), D2690+14,
OR(E2690="Lumbar Strain",E2690="Migraine Headache"), D2690+7,
OR(E2690="Viral Fever",E2690="General Checkup","Routine Health Check"), "",
TRUE,""
)</f>
        <v/>
      </c>
      <c r="I2690" s="1" t="str">
        <f t="shared" ref="I2690:I2753" si="84">IF(H2690="","No Follow-up Required","Follow-up Scheduled")</f>
        <v>No Follow-up Required</v>
      </c>
      <c r="J2690" t="str">
        <f>TEXT(Table8[[#This Row],[visit_Date]],"DDDD")</f>
        <v>Thursday</v>
      </c>
      <c r="K2690" t="str">
        <f>TEXT(Table8[[#This Row],[visit_Date]],"mmmm")</f>
        <v>February</v>
      </c>
      <c r="L2690" t="str">
        <f t="shared" ref="L2690:L2753" si="85">IF(OR(MONTH(D2690)=12,MONTH(D2690)&lt;=2),"Winter",
IF(MONTH(D2690)&lt;=5,"Summer","Monsoon"))</f>
        <v>Winter</v>
      </c>
    </row>
    <row r="2691" spans="1:12" x14ac:dyDescent="0.25">
      <c r="A2691">
        <v>2690</v>
      </c>
      <c r="B2691">
        <v>1334</v>
      </c>
      <c r="C2691">
        <v>561</v>
      </c>
      <c r="D2691" s="1">
        <v>45799</v>
      </c>
      <c r="E2691" t="s">
        <v>24</v>
      </c>
      <c r="F2691" t="s">
        <v>321</v>
      </c>
      <c r="G2691" t="str">
        <f>_xlfn.XLOOKUP(TRIM(E2692),MedicineInfo!A:A,MedicineInfo!B:B,"Not Found")</f>
        <v>Amlodipine</v>
      </c>
      <c r="H2691" s="1" t="str" cm="1">
        <f t="array" ref="H2691">_xlfn.IFS(
OR(E2691="Type 2 Diabetes",E2691="Essential Hypertension",E2691="Angina Pectoris",E2691="Bronchial Asthma",E2691="Cardiac Arrhythmia"), D2691+30,
OR(E2691="Gastritis",E2691="Osteoarthritis",E2691="Bronchitis",E2691="Iron Deficiency Anemia"), D2691+14,
OR(E2691="Lumbar Strain",E2691="Migraine Headache"), D2691+7,
OR(E2691="Viral Fever",E2691="General Checkup","Routine Health Check"), "",
TRUE,""
)</f>
        <v/>
      </c>
      <c r="I2691" s="1" t="str">
        <f t="shared" si="84"/>
        <v>No Follow-up Required</v>
      </c>
      <c r="J2691" t="str">
        <f>TEXT(Table8[[#This Row],[visit_Date]],"DDDD")</f>
        <v>Thursday</v>
      </c>
      <c r="K2691" t="str">
        <f>TEXT(Table8[[#This Row],[visit_Date]],"mmmm")</f>
        <v>May</v>
      </c>
      <c r="L2691" t="str">
        <f t="shared" si="85"/>
        <v>Summer</v>
      </c>
    </row>
    <row r="2692" spans="1:12" x14ac:dyDescent="0.25">
      <c r="A2692">
        <v>2691</v>
      </c>
      <c r="B2692">
        <v>1009</v>
      </c>
      <c r="C2692">
        <v>1149</v>
      </c>
      <c r="D2692" s="1">
        <v>45775</v>
      </c>
      <c r="E2692" t="s">
        <v>319</v>
      </c>
      <c r="F2692" t="s">
        <v>320</v>
      </c>
      <c r="G2692" t="str">
        <f>_xlfn.XLOOKUP(TRIM(E2693),MedicineInfo!A:A,MedicineInfo!B:B,"Not Found")</f>
        <v>Multivitamin</v>
      </c>
      <c r="H2692" s="1" cm="1">
        <f t="array" ref="H2692">_xlfn.IFS(
OR(E2692="Type 2 Diabetes",E2692="Essential Hypertension",E2692="Angina Pectoris",E2692="Bronchial Asthma",E2692="Cardiac Arrhythmia"), D2692+30,
OR(E2692="Gastritis",E2692="Osteoarthritis",E2692="Bronchitis",E2692="Iron Deficiency Anemia"), D2692+14,
OR(E2692="Lumbar Strain",E2692="Migraine Headache"), D2692+7,
OR(E2692="Viral Fever",E2692="General Checkup","Routine Health Check"), "",
TRUE,""
)</f>
        <v>45805</v>
      </c>
      <c r="I2692" s="1" t="str">
        <f t="shared" si="84"/>
        <v>Follow-up Scheduled</v>
      </c>
      <c r="J2692" t="str">
        <f>TEXT(Table8[[#This Row],[visit_Date]],"DDDD")</f>
        <v>Monday</v>
      </c>
      <c r="K2692" t="str">
        <f>TEXT(Table8[[#This Row],[visit_Date]],"mmmm")</f>
        <v>April</v>
      </c>
      <c r="L2692" t="str">
        <f t="shared" si="85"/>
        <v>Summer</v>
      </c>
    </row>
    <row r="2693" spans="1:12" x14ac:dyDescent="0.25">
      <c r="A2693">
        <v>2692</v>
      </c>
      <c r="B2693">
        <v>1191</v>
      </c>
      <c r="C2693">
        <v>528</v>
      </c>
      <c r="D2693" s="1">
        <v>45672</v>
      </c>
      <c r="E2693" t="s">
        <v>24</v>
      </c>
      <c r="F2693" t="s">
        <v>321</v>
      </c>
      <c r="G2693" t="str">
        <f>_xlfn.XLOOKUP(TRIM(E2694),MedicineInfo!A:A,MedicineInfo!B:B,"Not Found")</f>
        <v>Multivitamin</v>
      </c>
      <c r="H2693" s="1" t="str" cm="1">
        <f t="array" ref="H2693">_xlfn.IFS(
OR(E2693="Type 2 Diabetes",E2693="Essential Hypertension",E2693="Angina Pectoris",E2693="Bronchial Asthma",E2693="Cardiac Arrhythmia"), D2693+30,
OR(E2693="Gastritis",E2693="Osteoarthritis",E2693="Bronchitis",E2693="Iron Deficiency Anemia"), D2693+14,
OR(E2693="Lumbar Strain",E2693="Migraine Headache"), D2693+7,
OR(E2693="Viral Fever",E2693="General Checkup","Routine Health Check"), "",
TRUE,""
)</f>
        <v/>
      </c>
      <c r="I2693" s="1" t="str">
        <f t="shared" si="84"/>
        <v>No Follow-up Required</v>
      </c>
      <c r="J2693" t="str">
        <f>TEXT(Table8[[#This Row],[visit_Date]],"DDDD")</f>
        <v>Wednesday</v>
      </c>
      <c r="K2693" t="str">
        <f>TEXT(Table8[[#This Row],[visit_Date]],"mmmm")</f>
        <v>January</v>
      </c>
      <c r="L2693" t="str">
        <f t="shared" si="85"/>
        <v>Winter</v>
      </c>
    </row>
    <row r="2694" spans="1:12" x14ac:dyDescent="0.25">
      <c r="A2694">
        <v>2693</v>
      </c>
      <c r="B2694">
        <v>1082</v>
      </c>
      <c r="C2694">
        <v>1401</v>
      </c>
      <c r="D2694" s="1">
        <v>45853</v>
      </c>
      <c r="E2694" t="s">
        <v>24</v>
      </c>
      <c r="F2694" t="s">
        <v>321</v>
      </c>
      <c r="G2694" t="str">
        <f>_xlfn.XLOOKUP(TRIM(E2695),MedicineInfo!A:A,MedicineInfo!B:B,"Not Found")</f>
        <v>Multivitamin</v>
      </c>
      <c r="H2694" s="1" t="str" cm="1">
        <f t="array" ref="H2694">_xlfn.IFS(
OR(E2694="Type 2 Diabetes",E2694="Essential Hypertension",E2694="Angina Pectoris",E2694="Bronchial Asthma",E2694="Cardiac Arrhythmia"), D2694+30,
OR(E2694="Gastritis",E2694="Osteoarthritis",E2694="Bronchitis",E2694="Iron Deficiency Anemia"), D2694+14,
OR(E2694="Lumbar Strain",E2694="Migraine Headache"), D2694+7,
OR(E2694="Viral Fever",E2694="General Checkup","Routine Health Check"), "",
TRUE,""
)</f>
        <v/>
      </c>
      <c r="I2694" s="1" t="str">
        <f t="shared" si="84"/>
        <v>No Follow-up Required</v>
      </c>
      <c r="J2694" t="str">
        <f>TEXT(Table8[[#This Row],[visit_Date]],"DDDD")</f>
        <v>Tuesday</v>
      </c>
      <c r="K2694" t="str">
        <f>TEXT(Table8[[#This Row],[visit_Date]],"mmmm")</f>
        <v>July</v>
      </c>
      <c r="L2694" t="str">
        <f t="shared" si="85"/>
        <v>Monsoon</v>
      </c>
    </row>
    <row r="2695" spans="1:12" x14ac:dyDescent="0.25">
      <c r="A2695">
        <v>2694</v>
      </c>
      <c r="B2695">
        <v>1326</v>
      </c>
      <c r="C2695">
        <v>920</v>
      </c>
      <c r="D2695" s="1">
        <v>45767</v>
      </c>
      <c r="E2695" t="s">
        <v>24</v>
      </c>
      <c r="F2695" t="s">
        <v>321</v>
      </c>
      <c r="G2695" t="str">
        <f>_xlfn.XLOOKUP(TRIM(E2696),MedicineInfo!A:A,MedicineInfo!B:B,"Not Found")</f>
        <v>Multivitamin</v>
      </c>
      <c r="H2695" s="1" t="str" cm="1">
        <f t="array" ref="H2695">_xlfn.IFS(
OR(E2695="Type 2 Diabetes",E2695="Essential Hypertension",E2695="Angina Pectoris",E2695="Bronchial Asthma",E2695="Cardiac Arrhythmia"), D2695+30,
OR(E2695="Gastritis",E2695="Osteoarthritis",E2695="Bronchitis",E2695="Iron Deficiency Anemia"), D2695+14,
OR(E2695="Lumbar Strain",E2695="Migraine Headache"), D2695+7,
OR(E2695="Viral Fever",E2695="General Checkup","Routine Health Check"), "",
TRUE,""
)</f>
        <v/>
      </c>
      <c r="I2695" s="1" t="str">
        <f t="shared" si="84"/>
        <v>No Follow-up Required</v>
      </c>
      <c r="J2695" t="str">
        <f>TEXT(Table8[[#This Row],[visit_Date]],"DDDD")</f>
        <v>Sunday</v>
      </c>
      <c r="K2695" t="str">
        <f>TEXT(Table8[[#This Row],[visit_Date]],"mmmm")</f>
        <v>April</v>
      </c>
      <c r="L2695" t="str">
        <f t="shared" si="85"/>
        <v>Summer</v>
      </c>
    </row>
    <row r="2696" spans="1:12" x14ac:dyDescent="0.25">
      <c r="A2696">
        <v>2695</v>
      </c>
      <c r="B2696">
        <v>1199</v>
      </c>
      <c r="C2696">
        <v>1281</v>
      </c>
      <c r="D2696" s="1">
        <v>45867</v>
      </c>
      <c r="E2696" t="s">
        <v>24</v>
      </c>
      <c r="F2696" t="s">
        <v>321</v>
      </c>
      <c r="G2696" t="str">
        <f>_xlfn.XLOOKUP(TRIM(E2697),MedicineInfo!A:A,MedicineInfo!B:B,"Not Found")</f>
        <v>Multivitamin</v>
      </c>
      <c r="H2696" s="1" t="str" cm="1">
        <f t="array" ref="H2696">_xlfn.IFS(
OR(E2696="Type 2 Diabetes",E2696="Essential Hypertension",E2696="Angina Pectoris",E2696="Bronchial Asthma",E2696="Cardiac Arrhythmia"), D2696+30,
OR(E2696="Gastritis",E2696="Osteoarthritis",E2696="Bronchitis",E2696="Iron Deficiency Anemia"), D2696+14,
OR(E2696="Lumbar Strain",E2696="Migraine Headache"), D2696+7,
OR(E2696="Viral Fever",E2696="General Checkup","Routine Health Check"), "",
TRUE,""
)</f>
        <v/>
      </c>
      <c r="I2696" s="1" t="str">
        <f t="shared" si="84"/>
        <v>No Follow-up Required</v>
      </c>
      <c r="J2696" t="str">
        <f>TEXT(Table8[[#This Row],[visit_Date]],"DDDD")</f>
        <v>Tuesday</v>
      </c>
      <c r="K2696" t="str">
        <f>TEXT(Table8[[#This Row],[visit_Date]],"mmmm")</f>
        <v>July</v>
      </c>
      <c r="L2696" t="str">
        <f t="shared" si="85"/>
        <v>Monsoon</v>
      </c>
    </row>
    <row r="2697" spans="1:12" x14ac:dyDescent="0.25">
      <c r="A2697">
        <v>2696</v>
      </c>
      <c r="B2697">
        <v>1037</v>
      </c>
      <c r="C2697">
        <v>1528</v>
      </c>
      <c r="D2697" s="1">
        <v>45858</v>
      </c>
      <c r="E2697" t="s">
        <v>24</v>
      </c>
      <c r="F2697" t="s">
        <v>321</v>
      </c>
      <c r="G2697" t="str">
        <f>_xlfn.XLOOKUP(TRIM(E2698),MedicineInfo!A:A,MedicineInfo!B:B,"Not Found")</f>
        <v>Amlodipine</v>
      </c>
      <c r="H2697" s="1" t="str" cm="1">
        <f t="array" ref="H2697">_xlfn.IFS(
OR(E2697="Type 2 Diabetes",E2697="Essential Hypertension",E2697="Angina Pectoris",E2697="Bronchial Asthma",E2697="Cardiac Arrhythmia"), D2697+30,
OR(E2697="Gastritis",E2697="Osteoarthritis",E2697="Bronchitis",E2697="Iron Deficiency Anemia"), D2697+14,
OR(E2697="Lumbar Strain",E2697="Migraine Headache"), D2697+7,
OR(E2697="Viral Fever",E2697="General Checkup","Routine Health Check"), "",
TRUE,""
)</f>
        <v/>
      </c>
      <c r="I2697" s="1" t="str">
        <f t="shared" si="84"/>
        <v>No Follow-up Required</v>
      </c>
      <c r="J2697" t="str">
        <f>TEXT(Table8[[#This Row],[visit_Date]],"DDDD")</f>
        <v>Sunday</v>
      </c>
      <c r="K2697" t="str">
        <f>TEXT(Table8[[#This Row],[visit_Date]],"mmmm")</f>
        <v>July</v>
      </c>
      <c r="L2697" t="str">
        <f t="shared" si="85"/>
        <v>Monsoon</v>
      </c>
    </row>
    <row r="2698" spans="1:12" x14ac:dyDescent="0.25">
      <c r="A2698">
        <v>2697</v>
      </c>
      <c r="B2698">
        <v>1023</v>
      </c>
      <c r="C2698">
        <v>160</v>
      </c>
      <c r="D2698" s="1">
        <v>45686</v>
      </c>
      <c r="E2698" t="s">
        <v>319</v>
      </c>
      <c r="F2698" t="s">
        <v>320</v>
      </c>
      <c r="G2698" t="str">
        <f>_xlfn.XLOOKUP(TRIM(E2699),MedicineInfo!A:A,MedicineInfo!B:B,"Not Found")</f>
        <v>Multivitamin</v>
      </c>
      <c r="H2698" s="1" cm="1">
        <f t="array" ref="H2698">_xlfn.IFS(
OR(E2698="Type 2 Diabetes",E2698="Essential Hypertension",E2698="Angina Pectoris",E2698="Bronchial Asthma",E2698="Cardiac Arrhythmia"), D2698+30,
OR(E2698="Gastritis",E2698="Osteoarthritis",E2698="Bronchitis",E2698="Iron Deficiency Anemia"), D2698+14,
OR(E2698="Lumbar Strain",E2698="Migraine Headache"), D2698+7,
OR(E2698="Viral Fever",E2698="General Checkup","Routine Health Check"), "",
TRUE,""
)</f>
        <v>45716</v>
      </c>
      <c r="I2698" s="1" t="str">
        <f t="shared" si="84"/>
        <v>Follow-up Scheduled</v>
      </c>
      <c r="J2698" t="str">
        <f>TEXT(Table8[[#This Row],[visit_Date]],"DDDD")</f>
        <v>Wednesday</v>
      </c>
      <c r="K2698" t="str">
        <f>TEXT(Table8[[#This Row],[visit_Date]],"mmmm")</f>
        <v>January</v>
      </c>
      <c r="L2698" t="str">
        <f t="shared" si="85"/>
        <v>Winter</v>
      </c>
    </row>
    <row r="2699" spans="1:12" x14ac:dyDescent="0.25">
      <c r="A2699">
        <v>2698</v>
      </c>
      <c r="B2699">
        <v>1045</v>
      </c>
      <c r="C2699">
        <v>318</v>
      </c>
      <c r="D2699" s="1">
        <v>45694</v>
      </c>
      <c r="E2699" t="s">
        <v>24</v>
      </c>
      <c r="F2699" t="s">
        <v>321</v>
      </c>
      <c r="G2699" t="str">
        <f>_xlfn.XLOOKUP(TRIM(E2700),MedicineInfo!A:A,MedicineInfo!B:B,"Not Found")</f>
        <v>Multivitamin</v>
      </c>
      <c r="H2699" s="1" t="str" cm="1">
        <f t="array" ref="H2699">_xlfn.IFS(
OR(E2699="Type 2 Diabetes",E2699="Essential Hypertension",E2699="Angina Pectoris",E2699="Bronchial Asthma",E2699="Cardiac Arrhythmia"), D2699+30,
OR(E2699="Gastritis",E2699="Osteoarthritis",E2699="Bronchitis",E2699="Iron Deficiency Anemia"), D2699+14,
OR(E2699="Lumbar Strain",E2699="Migraine Headache"), D2699+7,
OR(E2699="Viral Fever",E2699="General Checkup","Routine Health Check"), "",
TRUE,""
)</f>
        <v/>
      </c>
      <c r="I2699" s="1" t="str">
        <f t="shared" si="84"/>
        <v>No Follow-up Required</v>
      </c>
      <c r="J2699" t="str">
        <f>TEXT(Table8[[#This Row],[visit_Date]],"DDDD")</f>
        <v>Thursday</v>
      </c>
      <c r="K2699" t="str">
        <f>TEXT(Table8[[#This Row],[visit_Date]],"mmmm")</f>
        <v>February</v>
      </c>
      <c r="L2699" t="str">
        <f t="shared" si="85"/>
        <v>Winter</v>
      </c>
    </row>
    <row r="2700" spans="1:12" x14ac:dyDescent="0.25">
      <c r="A2700">
        <v>2699</v>
      </c>
      <c r="B2700">
        <v>1309</v>
      </c>
      <c r="C2700">
        <v>1307</v>
      </c>
      <c r="D2700" s="1">
        <v>45839</v>
      </c>
      <c r="E2700" t="s">
        <v>24</v>
      </c>
      <c r="F2700" t="s">
        <v>321</v>
      </c>
      <c r="G2700" t="str">
        <f>_xlfn.XLOOKUP(TRIM(E2701),MedicineInfo!A:A,MedicineInfo!B:B,"Not Found")</f>
        <v>Multivitamin</v>
      </c>
      <c r="H2700" s="1" t="str" cm="1">
        <f t="array" ref="H2700">_xlfn.IFS(
OR(E2700="Type 2 Diabetes",E2700="Essential Hypertension",E2700="Angina Pectoris",E2700="Bronchial Asthma",E2700="Cardiac Arrhythmia"), D2700+30,
OR(E2700="Gastritis",E2700="Osteoarthritis",E2700="Bronchitis",E2700="Iron Deficiency Anemia"), D2700+14,
OR(E2700="Lumbar Strain",E2700="Migraine Headache"), D2700+7,
OR(E2700="Viral Fever",E2700="General Checkup","Routine Health Check"), "",
TRUE,""
)</f>
        <v/>
      </c>
      <c r="I2700" s="1" t="str">
        <f t="shared" si="84"/>
        <v>No Follow-up Required</v>
      </c>
      <c r="J2700" t="str">
        <f>TEXT(Table8[[#This Row],[visit_Date]],"DDDD")</f>
        <v>Tuesday</v>
      </c>
      <c r="K2700" t="str">
        <f>TEXT(Table8[[#This Row],[visit_Date]],"mmmm")</f>
        <v>July</v>
      </c>
      <c r="L2700" t="str">
        <f t="shared" si="85"/>
        <v>Monsoon</v>
      </c>
    </row>
    <row r="2701" spans="1:12" x14ac:dyDescent="0.25">
      <c r="A2701">
        <v>2700</v>
      </c>
      <c r="B2701">
        <v>1111</v>
      </c>
      <c r="C2701">
        <v>144</v>
      </c>
      <c r="D2701" s="1">
        <v>45691</v>
      </c>
      <c r="E2701" t="s">
        <v>24</v>
      </c>
      <c r="F2701" t="s">
        <v>321</v>
      </c>
      <c r="G2701" t="str">
        <f>_xlfn.XLOOKUP(TRIM(E2702),MedicineInfo!A:A,MedicineInfo!B:B,"Not Found")</f>
        <v>Multivitamin</v>
      </c>
      <c r="H2701" s="1" t="str" cm="1">
        <f t="array" ref="H2701">_xlfn.IFS(
OR(E2701="Type 2 Diabetes",E2701="Essential Hypertension",E2701="Angina Pectoris",E2701="Bronchial Asthma",E2701="Cardiac Arrhythmia"), D2701+30,
OR(E2701="Gastritis",E2701="Osteoarthritis",E2701="Bronchitis",E2701="Iron Deficiency Anemia"), D2701+14,
OR(E2701="Lumbar Strain",E2701="Migraine Headache"), D2701+7,
OR(E2701="Viral Fever",E2701="General Checkup","Routine Health Check"), "",
TRUE,""
)</f>
        <v/>
      </c>
      <c r="I2701" s="1" t="str">
        <f t="shared" si="84"/>
        <v>No Follow-up Required</v>
      </c>
      <c r="J2701" t="str">
        <f>TEXT(Table8[[#This Row],[visit_Date]],"DDDD")</f>
        <v>Monday</v>
      </c>
      <c r="K2701" t="str">
        <f>TEXT(Table8[[#This Row],[visit_Date]],"mmmm")</f>
        <v>February</v>
      </c>
      <c r="L2701" t="str">
        <f t="shared" si="85"/>
        <v>Winter</v>
      </c>
    </row>
    <row r="2702" spans="1:12" x14ac:dyDescent="0.25">
      <c r="A2702">
        <v>2701</v>
      </c>
      <c r="B2702">
        <v>1190</v>
      </c>
      <c r="C2702">
        <v>678</v>
      </c>
      <c r="D2702" s="1">
        <v>45669</v>
      </c>
      <c r="E2702" t="s">
        <v>24</v>
      </c>
      <c r="F2702" t="s">
        <v>321</v>
      </c>
      <c r="G2702" t="str">
        <f>_xlfn.XLOOKUP(TRIM(E2703),MedicineInfo!A:A,MedicineInfo!B:B,"Not Found")</f>
        <v>Paracetamol</v>
      </c>
      <c r="H2702" s="1" t="str" cm="1">
        <f t="array" ref="H2702">_xlfn.IFS(
OR(E2702="Type 2 Diabetes",E2702="Essential Hypertension",E2702="Angina Pectoris",E2702="Bronchial Asthma",E2702="Cardiac Arrhythmia"), D2702+30,
OR(E2702="Gastritis",E2702="Osteoarthritis",E2702="Bronchitis",E2702="Iron Deficiency Anemia"), D2702+14,
OR(E2702="Lumbar Strain",E2702="Migraine Headache"), D2702+7,
OR(E2702="Viral Fever",E2702="General Checkup","Routine Health Check"), "",
TRUE,""
)</f>
        <v/>
      </c>
      <c r="I2702" s="1" t="str">
        <f t="shared" si="84"/>
        <v>No Follow-up Required</v>
      </c>
      <c r="J2702" t="str">
        <f>TEXT(Table8[[#This Row],[visit_Date]],"DDDD")</f>
        <v>Sunday</v>
      </c>
      <c r="K2702" t="str">
        <f>TEXT(Table8[[#This Row],[visit_Date]],"mmmm")</f>
        <v>January</v>
      </c>
      <c r="L2702" t="str">
        <f t="shared" si="85"/>
        <v>Winter</v>
      </c>
    </row>
    <row r="2703" spans="1:12" x14ac:dyDescent="0.25">
      <c r="A2703">
        <v>2702</v>
      </c>
      <c r="B2703">
        <v>1297</v>
      </c>
      <c r="C2703">
        <v>848</v>
      </c>
      <c r="D2703" s="1">
        <v>45767</v>
      </c>
      <c r="E2703" t="s">
        <v>326</v>
      </c>
      <c r="F2703" t="s">
        <v>327</v>
      </c>
      <c r="G2703" t="str">
        <f>_xlfn.XLOOKUP(TRIM(E2704),MedicineInfo!A:A,MedicineInfo!B:B,"Not Found")</f>
        <v>Multivitamin</v>
      </c>
      <c r="H2703" s="1" t="str" cm="1">
        <f t="array" ref="H2703">_xlfn.IFS(
OR(E2703="Type 2 Diabetes",E2703="Essential Hypertension",E2703="Angina Pectoris",E2703="Bronchial Asthma",E2703="Cardiac Arrhythmia"), D2703+30,
OR(E2703="Gastritis",E2703="Osteoarthritis",E2703="Bronchitis",E2703="Iron Deficiency Anemia"), D2703+14,
OR(E2703="Lumbar Strain",E2703="Migraine Headache"), D2703+7,
OR(E2703="Viral Fever",E2703="General Checkup","Routine Health Check"), "",
TRUE,""
)</f>
        <v/>
      </c>
      <c r="I2703" s="1" t="str">
        <f t="shared" si="84"/>
        <v>No Follow-up Required</v>
      </c>
      <c r="J2703" t="str">
        <f>TEXT(Table8[[#This Row],[visit_Date]],"DDDD")</f>
        <v>Sunday</v>
      </c>
      <c r="K2703" t="str">
        <f>TEXT(Table8[[#This Row],[visit_Date]],"mmmm")</f>
        <v>April</v>
      </c>
      <c r="L2703" t="str">
        <f t="shared" si="85"/>
        <v>Summer</v>
      </c>
    </row>
    <row r="2704" spans="1:12" x14ac:dyDescent="0.25">
      <c r="A2704">
        <v>2703</v>
      </c>
      <c r="B2704">
        <v>1244</v>
      </c>
      <c r="C2704">
        <v>1447</v>
      </c>
      <c r="D2704" s="1">
        <v>45669</v>
      </c>
      <c r="E2704" t="s">
        <v>24</v>
      </c>
      <c r="F2704" t="s">
        <v>321</v>
      </c>
      <c r="G2704" t="str">
        <f>_xlfn.XLOOKUP(TRIM(E2705),MedicineInfo!A:A,MedicineInfo!B:B,"Not Found")</f>
        <v>Multivitamin</v>
      </c>
      <c r="H2704" s="1" t="str" cm="1">
        <f t="array" ref="H2704">_xlfn.IFS(
OR(E2704="Type 2 Diabetes",E2704="Essential Hypertension",E2704="Angina Pectoris",E2704="Bronchial Asthma",E2704="Cardiac Arrhythmia"), D2704+30,
OR(E2704="Gastritis",E2704="Osteoarthritis",E2704="Bronchitis",E2704="Iron Deficiency Anemia"), D2704+14,
OR(E2704="Lumbar Strain",E2704="Migraine Headache"), D2704+7,
OR(E2704="Viral Fever",E2704="General Checkup","Routine Health Check"), "",
TRUE,""
)</f>
        <v/>
      </c>
      <c r="I2704" s="1" t="str">
        <f t="shared" si="84"/>
        <v>No Follow-up Required</v>
      </c>
      <c r="J2704" t="str">
        <f>TEXT(Table8[[#This Row],[visit_Date]],"DDDD")</f>
        <v>Sunday</v>
      </c>
      <c r="K2704" t="str">
        <f>TEXT(Table8[[#This Row],[visit_Date]],"mmmm")</f>
        <v>January</v>
      </c>
      <c r="L2704" t="str">
        <f t="shared" si="85"/>
        <v>Winter</v>
      </c>
    </row>
    <row r="2705" spans="1:12" x14ac:dyDescent="0.25">
      <c r="A2705">
        <v>2704</v>
      </c>
      <c r="B2705">
        <v>1220</v>
      </c>
      <c r="C2705">
        <v>1418</v>
      </c>
      <c r="D2705" s="1">
        <v>45747</v>
      </c>
      <c r="E2705" t="s">
        <v>24</v>
      </c>
      <c r="F2705" t="s">
        <v>321</v>
      </c>
      <c r="G2705" t="str">
        <f>_xlfn.XLOOKUP(TRIM(E2706),MedicineInfo!A:A,MedicineInfo!B:B,"Not Found")</f>
        <v>Multivitamin</v>
      </c>
      <c r="H2705" s="1" t="str" cm="1">
        <f t="array" ref="H2705">_xlfn.IFS(
OR(E2705="Type 2 Diabetes",E2705="Essential Hypertension",E2705="Angina Pectoris",E2705="Bronchial Asthma",E2705="Cardiac Arrhythmia"), D2705+30,
OR(E2705="Gastritis",E2705="Osteoarthritis",E2705="Bronchitis",E2705="Iron Deficiency Anemia"), D2705+14,
OR(E2705="Lumbar Strain",E2705="Migraine Headache"), D2705+7,
OR(E2705="Viral Fever",E2705="General Checkup","Routine Health Check"), "",
TRUE,""
)</f>
        <v/>
      </c>
      <c r="I2705" s="1" t="str">
        <f t="shared" si="84"/>
        <v>No Follow-up Required</v>
      </c>
      <c r="J2705" t="str">
        <f>TEXT(Table8[[#This Row],[visit_Date]],"DDDD")</f>
        <v>Monday</v>
      </c>
      <c r="K2705" t="str">
        <f>TEXT(Table8[[#This Row],[visit_Date]],"mmmm")</f>
        <v>March</v>
      </c>
      <c r="L2705" t="str">
        <f t="shared" si="85"/>
        <v>Summer</v>
      </c>
    </row>
    <row r="2706" spans="1:12" x14ac:dyDescent="0.25">
      <c r="A2706">
        <v>2705</v>
      </c>
      <c r="B2706">
        <v>1203</v>
      </c>
      <c r="C2706">
        <v>1169</v>
      </c>
      <c r="D2706" s="1">
        <v>45789</v>
      </c>
      <c r="E2706" t="s">
        <v>24</v>
      </c>
      <c r="F2706" t="s">
        <v>321</v>
      </c>
      <c r="G2706" t="str">
        <f>_xlfn.XLOOKUP(TRIM(E2707),MedicineInfo!A:A,MedicineInfo!B:B,"Not Found")</f>
        <v>Amlodipine</v>
      </c>
      <c r="H2706" s="1" t="str" cm="1">
        <f t="array" ref="H2706">_xlfn.IFS(
OR(E2706="Type 2 Diabetes",E2706="Essential Hypertension",E2706="Angina Pectoris",E2706="Bronchial Asthma",E2706="Cardiac Arrhythmia"), D2706+30,
OR(E2706="Gastritis",E2706="Osteoarthritis",E2706="Bronchitis",E2706="Iron Deficiency Anemia"), D2706+14,
OR(E2706="Lumbar Strain",E2706="Migraine Headache"), D2706+7,
OR(E2706="Viral Fever",E2706="General Checkup","Routine Health Check"), "",
TRUE,""
)</f>
        <v/>
      </c>
      <c r="I2706" s="1" t="str">
        <f t="shared" si="84"/>
        <v>No Follow-up Required</v>
      </c>
      <c r="J2706" t="str">
        <f>TEXT(Table8[[#This Row],[visit_Date]],"DDDD")</f>
        <v>Monday</v>
      </c>
      <c r="K2706" t="str">
        <f>TEXT(Table8[[#This Row],[visit_Date]],"mmmm")</f>
        <v>May</v>
      </c>
      <c r="L2706" t="str">
        <f t="shared" si="85"/>
        <v>Summer</v>
      </c>
    </row>
    <row r="2707" spans="1:12" x14ac:dyDescent="0.25">
      <c r="A2707">
        <v>2706</v>
      </c>
      <c r="B2707">
        <v>1298</v>
      </c>
      <c r="C2707">
        <v>805</v>
      </c>
      <c r="D2707" s="1">
        <v>45696</v>
      </c>
      <c r="E2707" t="s">
        <v>319</v>
      </c>
      <c r="F2707" t="s">
        <v>320</v>
      </c>
      <c r="G2707" t="str">
        <f>_xlfn.XLOOKUP(TRIM(E2708),MedicineInfo!A:A,MedicineInfo!B:B,"Not Found")</f>
        <v>Multivitamin</v>
      </c>
      <c r="H2707" s="1" cm="1">
        <f t="array" ref="H2707">_xlfn.IFS(
OR(E2707="Type 2 Diabetes",E2707="Essential Hypertension",E2707="Angina Pectoris",E2707="Bronchial Asthma",E2707="Cardiac Arrhythmia"), D2707+30,
OR(E2707="Gastritis",E2707="Osteoarthritis",E2707="Bronchitis",E2707="Iron Deficiency Anemia"), D2707+14,
OR(E2707="Lumbar Strain",E2707="Migraine Headache"), D2707+7,
OR(E2707="Viral Fever",E2707="General Checkup","Routine Health Check"), "",
TRUE,""
)</f>
        <v>45726</v>
      </c>
      <c r="I2707" s="1" t="str">
        <f t="shared" si="84"/>
        <v>Follow-up Scheduled</v>
      </c>
      <c r="J2707" t="str">
        <f>TEXT(Table8[[#This Row],[visit_Date]],"DDDD")</f>
        <v>Saturday</v>
      </c>
      <c r="K2707" t="str">
        <f>TEXT(Table8[[#This Row],[visit_Date]],"mmmm")</f>
        <v>February</v>
      </c>
      <c r="L2707" t="str">
        <f t="shared" si="85"/>
        <v>Winter</v>
      </c>
    </row>
    <row r="2708" spans="1:12" x14ac:dyDescent="0.25">
      <c r="A2708">
        <v>2707</v>
      </c>
      <c r="B2708">
        <v>1125</v>
      </c>
      <c r="C2708">
        <v>1042</v>
      </c>
      <c r="D2708" s="1">
        <v>45788</v>
      </c>
      <c r="E2708" t="s">
        <v>24</v>
      </c>
      <c r="F2708" t="s">
        <v>321</v>
      </c>
      <c r="G2708" t="str">
        <f>_xlfn.XLOOKUP(TRIM(E2709),MedicineInfo!A:A,MedicineInfo!B:B,"Not Found")</f>
        <v>Multivitamin</v>
      </c>
      <c r="H2708" s="1" t="str" cm="1">
        <f t="array" ref="H2708">_xlfn.IFS(
OR(E2708="Type 2 Diabetes",E2708="Essential Hypertension",E2708="Angina Pectoris",E2708="Bronchial Asthma",E2708="Cardiac Arrhythmia"), D2708+30,
OR(E2708="Gastritis",E2708="Osteoarthritis",E2708="Bronchitis",E2708="Iron Deficiency Anemia"), D2708+14,
OR(E2708="Lumbar Strain",E2708="Migraine Headache"), D2708+7,
OR(E2708="Viral Fever",E2708="General Checkup","Routine Health Check"), "",
TRUE,""
)</f>
        <v/>
      </c>
      <c r="I2708" s="1" t="str">
        <f t="shared" si="84"/>
        <v>No Follow-up Required</v>
      </c>
      <c r="J2708" t="str">
        <f>TEXT(Table8[[#This Row],[visit_Date]],"DDDD")</f>
        <v>Sunday</v>
      </c>
      <c r="K2708" t="str">
        <f>TEXT(Table8[[#This Row],[visit_Date]],"mmmm")</f>
        <v>May</v>
      </c>
      <c r="L2708" t="str">
        <f t="shared" si="85"/>
        <v>Summer</v>
      </c>
    </row>
    <row r="2709" spans="1:12" x14ac:dyDescent="0.25">
      <c r="A2709">
        <v>2708</v>
      </c>
      <c r="B2709">
        <v>1010</v>
      </c>
      <c r="C2709">
        <v>1415</v>
      </c>
      <c r="D2709" s="1">
        <v>45691</v>
      </c>
      <c r="E2709" t="s">
        <v>24</v>
      </c>
      <c r="F2709" t="s">
        <v>321</v>
      </c>
      <c r="G2709" t="str">
        <f>_xlfn.XLOOKUP(TRIM(E2710),MedicineInfo!A:A,MedicineInfo!B:B,"Not Found")</f>
        <v>Multivitamin</v>
      </c>
      <c r="H2709" s="1" t="str" cm="1">
        <f t="array" ref="H2709">_xlfn.IFS(
OR(E2709="Type 2 Diabetes",E2709="Essential Hypertension",E2709="Angina Pectoris",E2709="Bronchial Asthma",E2709="Cardiac Arrhythmia"), D2709+30,
OR(E2709="Gastritis",E2709="Osteoarthritis",E2709="Bronchitis",E2709="Iron Deficiency Anemia"), D2709+14,
OR(E2709="Lumbar Strain",E2709="Migraine Headache"), D2709+7,
OR(E2709="Viral Fever",E2709="General Checkup","Routine Health Check"), "",
TRUE,""
)</f>
        <v/>
      </c>
      <c r="I2709" s="1" t="str">
        <f t="shared" si="84"/>
        <v>No Follow-up Required</v>
      </c>
      <c r="J2709" t="str">
        <f>TEXT(Table8[[#This Row],[visit_Date]],"DDDD")</f>
        <v>Monday</v>
      </c>
      <c r="K2709" t="str">
        <f>TEXT(Table8[[#This Row],[visit_Date]],"mmmm")</f>
        <v>February</v>
      </c>
      <c r="L2709" t="str">
        <f t="shared" si="85"/>
        <v>Winter</v>
      </c>
    </row>
    <row r="2710" spans="1:12" x14ac:dyDescent="0.25">
      <c r="A2710">
        <v>2709</v>
      </c>
      <c r="B2710">
        <v>1017</v>
      </c>
      <c r="C2710">
        <v>317</v>
      </c>
      <c r="D2710" s="1">
        <v>45706</v>
      </c>
      <c r="E2710" t="s">
        <v>24</v>
      </c>
      <c r="F2710" t="s">
        <v>321</v>
      </c>
      <c r="G2710" t="str">
        <f>_xlfn.XLOOKUP(TRIM(E2711),MedicineInfo!A:A,MedicineInfo!B:B,"Not Found")</f>
        <v>Multivitamin</v>
      </c>
      <c r="H2710" s="1" t="str" cm="1">
        <f t="array" ref="H2710">_xlfn.IFS(
OR(E2710="Type 2 Diabetes",E2710="Essential Hypertension",E2710="Angina Pectoris",E2710="Bronchial Asthma",E2710="Cardiac Arrhythmia"), D2710+30,
OR(E2710="Gastritis",E2710="Osteoarthritis",E2710="Bronchitis",E2710="Iron Deficiency Anemia"), D2710+14,
OR(E2710="Lumbar Strain",E2710="Migraine Headache"), D2710+7,
OR(E2710="Viral Fever",E2710="General Checkup","Routine Health Check"), "",
TRUE,""
)</f>
        <v/>
      </c>
      <c r="I2710" s="1" t="str">
        <f t="shared" si="84"/>
        <v>No Follow-up Required</v>
      </c>
      <c r="J2710" t="str">
        <f>TEXT(Table8[[#This Row],[visit_Date]],"DDDD")</f>
        <v>Tuesday</v>
      </c>
      <c r="K2710" t="str">
        <f>TEXT(Table8[[#This Row],[visit_Date]],"mmmm")</f>
        <v>February</v>
      </c>
      <c r="L2710" t="str">
        <f t="shared" si="85"/>
        <v>Winter</v>
      </c>
    </row>
    <row r="2711" spans="1:12" x14ac:dyDescent="0.25">
      <c r="A2711">
        <v>2710</v>
      </c>
      <c r="B2711">
        <v>1005</v>
      </c>
      <c r="C2711">
        <v>965</v>
      </c>
      <c r="D2711" s="1">
        <v>45806</v>
      </c>
      <c r="E2711" t="s">
        <v>24</v>
      </c>
      <c r="F2711" t="s">
        <v>321</v>
      </c>
      <c r="G2711" t="str">
        <f>_xlfn.XLOOKUP(TRIM(E2712),MedicineInfo!A:A,MedicineInfo!B:B,"Not Found")</f>
        <v>Multivitamin</v>
      </c>
      <c r="H2711" s="1" t="str" cm="1">
        <f t="array" ref="H2711">_xlfn.IFS(
OR(E2711="Type 2 Diabetes",E2711="Essential Hypertension",E2711="Angina Pectoris",E2711="Bronchial Asthma",E2711="Cardiac Arrhythmia"), D2711+30,
OR(E2711="Gastritis",E2711="Osteoarthritis",E2711="Bronchitis",E2711="Iron Deficiency Anemia"), D2711+14,
OR(E2711="Lumbar Strain",E2711="Migraine Headache"), D2711+7,
OR(E2711="Viral Fever",E2711="General Checkup","Routine Health Check"), "",
TRUE,""
)</f>
        <v/>
      </c>
      <c r="I2711" s="1" t="str">
        <f t="shared" si="84"/>
        <v>No Follow-up Required</v>
      </c>
      <c r="J2711" t="str">
        <f>TEXT(Table8[[#This Row],[visit_Date]],"DDDD")</f>
        <v>Thursday</v>
      </c>
      <c r="K2711" t="str">
        <f>TEXT(Table8[[#This Row],[visit_Date]],"mmmm")</f>
        <v>May</v>
      </c>
      <c r="L2711" t="str">
        <f t="shared" si="85"/>
        <v>Summer</v>
      </c>
    </row>
    <row r="2712" spans="1:12" x14ac:dyDescent="0.25">
      <c r="A2712">
        <v>2711</v>
      </c>
      <c r="B2712">
        <v>1164</v>
      </c>
      <c r="C2712">
        <v>451</v>
      </c>
      <c r="D2712" s="1">
        <v>45669</v>
      </c>
      <c r="E2712" t="s">
        <v>24</v>
      </c>
      <c r="F2712" t="s">
        <v>321</v>
      </c>
      <c r="G2712" t="str">
        <f>_xlfn.XLOOKUP(TRIM(E2713),MedicineInfo!A:A,MedicineInfo!B:B,"Not Found")</f>
        <v>Multivitamin</v>
      </c>
      <c r="H2712" s="1" t="str" cm="1">
        <f t="array" ref="H2712">_xlfn.IFS(
OR(E2712="Type 2 Diabetes",E2712="Essential Hypertension",E2712="Angina Pectoris",E2712="Bronchial Asthma",E2712="Cardiac Arrhythmia"), D2712+30,
OR(E2712="Gastritis",E2712="Osteoarthritis",E2712="Bronchitis",E2712="Iron Deficiency Anemia"), D2712+14,
OR(E2712="Lumbar Strain",E2712="Migraine Headache"), D2712+7,
OR(E2712="Viral Fever",E2712="General Checkup","Routine Health Check"), "",
TRUE,""
)</f>
        <v/>
      </c>
      <c r="I2712" s="1" t="str">
        <f t="shared" si="84"/>
        <v>No Follow-up Required</v>
      </c>
      <c r="J2712" t="str">
        <f>TEXT(Table8[[#This Row],[visit_Date]],"DDDD")</f>
        <v>Sunday</v>
      </c>
      <c r="K2712" t="str">
        <f>TEXT(Table8[[#This Row],[visit_Date]],"mmmm")</f>
        <v>January</v>
      </c>
      <c r="L2712" t="str">
        <f t="shared" si="85"/>
        <v>Winter</v>
      </c>
    </row>
    <row r="2713" spans="1:12" x14ac:dyDescent="0.25">
      <c r="A2713">
        <v>2712</v>
      </c>
      <c r="B2713">
        <v>1301</v>
      </c>
      <c r="C2713">
        <v>1052</v>
      </c>
      <c r="D2713" s="1">
        <v>45807</v>
      </c>
      <c r="E2713" t="s">
        <v>24</v>
      </c>
      <c r="F2713" t="s">
        <v>321</v>
      </c>
      <c r="G2713" t="str">
        <f>_xlfn.XLOOKUP(TRIM(E2714),MedicineInfo!A:A,MedicineInfo!B:B,"Not Found")</f>
        <v>Multivitamin</v>
      </c>
      <c r="H2713" s="1" t="str" cm="1">
        <f t="array" ref="H2713">_xlfn.IFS(
OR(E2713="Type 2 Diabetes",E2713="Essential Hypertension",E2713="Angina Pectoris",E2713="Bronchial Asthma",E2713="Cardiac Arrhythmia"), D2713+30,
OR(E2713="Gastritis",E2713="Osteoarthritis",E2713="Bronchitis",E2713="Iron Deficiency Anemia"), D2713+14,
OR(E2713="Lumbar Strain",E2713="Migraine Headache"), D2713+7,
OR(E2713="Viral Fever",E2713="General Checkup","Routine Health Check"), "",
TRUE,""
)</f>
        <v/>
      </c>
      <c r="I2713" s="1" t="str">
        <f t="shared" si="84"/>
        <v>No Follow-up Required</v>
      </c>
      <c r="J2713" t="str">
        <f>TEXT(Table8[[#This Row],[visit_Date]],"DDDD")</f>
        <v>Friday</v>
      </c>
      <c r="K2713" t="str">
        <f>TEXT(Table8[[#This Row],[visit_Date]],"mmmm")</f>
        <v>May</v>
      </c>
      <c r="L2713" t="str">
        <f t="shared" si="85"/>
        <v>Summer</v>
      </c>
    </row>
    <row r="2714" spans="1:12" x14ac:dyDescent="0.25">
      <c r="A2714">
        <v>2713</v>
      </c>
      <c r="B2714">
        <v>1093</v>
      </c>
      <c r="C2714">
        <v>481</v>
      </c>
      <c r="D2714" s="1">
        <v>45669</v>
      </c>
      <c r="E2714" t="s">
        <v>24</v>
      </c>
      <c r="F2714" t="s">
        <v>321</v>
      </c>
      <c r="G2714" t="str">
        <f>_xlfn.XLOOKUP(TRIM(E2715),MedicineInfo!A:A,MedicineInfo!B:B,"Not Found")</f>
        <v>Multivitamin</v>
      </c>
      <c r="H2714" s="1" t="str" cm="1">
        <f t="array" ref="H2714">_xlfn.IFS(
OR(E2714="Type 2 Diabetes",E2714="Essential Hypertension",E2714="Angina Pectoris",E2714="Bronchial Asthma",E2714="Cardiac Arrhythmia"), D2714+30,
OR(E2714="Gastritis",E2714="Osteoarthritis",E2714="Bronchitis",E2714="Iron Deficiency Anemia"), D2714+14,
OR(E2714="Lumbar Strain",E2714="Migraine Headache"), D2714+7,
OR(E2714="Viral Fever",E2714="General Checkup","Routine Health Check"), "",
TRUE,""
)</f>
        <v/>
      </c>
      <c r="I2714" s="1" t="str">
        <f t="shared" si="84"/>
        <v>No Follow-up Required</v>
      </c>
      <c r="J2714" t="str">
        <f>TEXT(Table8[[#This Row],[visit_Date]],"DDDD")</f>
        <v>Sunday</v>
      </c>
      <c r="K2714" t="str">
        <f>TEXT(Table8[[#This Row],[visit_Date]],"mmmm")</f>
        <v>January</v>
      </c>
      <c r="L2714" t="str">
        <f t="shared" si="85"/>
        <v>Winter</v>
      </c>
    </row>
    <row r="2715" spans="1:12" x14ac:dyDescent="0.25">
      <c r="A2715">
        <v>2714</v>
      </c>
      <c r="B2715">
        <v>1183</v>
      </c>
      <c r="C2715">
        <v>531</v>
      </c>
      <c r="D2715" s="1">
        <v>45741</v>
      </c>
      <c r="E2715" t="s">
        <v>24</v>
      </c>
      <c r="F2715" t="s">
        <v>321</v>
      </c>
      <c r="G2715" t="str">
        <f>_xlfn.XLOOKUP(TRIM(E2716),MedicineInfo!A:A,MedicineInfo!B:B,"Not Found")</f>
        <v>Multivitamin</v>
      </c>
      <c r="H2715" s="1" t="str" cm="1">
        <f t="array" ref="H2715">_xlfn.IFS(
OR(E2715="Type 2 Diabetes",E2715="Essential Hypertension",E2715="Angina Pectoris",E2715="Bronchial Asthma",E2715="Cardiac Arrhythmia"), D2715+30,
OR(E2715="Gastritis",E2715="Osteoarthritis",E2715="Bronchitis",E2715="Iron Deficiency Anemia"), D2715+14,
OR(E2715="Lumbar Strain",E2715="Migraine Headache"), D2715+7,
OR(E2715="Viral Fever",E2715="General Checkup","Routine Health Check"), "",
TRUE,""
)</f>
        <v/>
      </c>
      <c r="I2715" s="1" t="str">
        <f t="shared" si="84"/>
        <v>No Follow-up Required</v>
      </c>
      <c r="J2715" t="str">
        <f>TEXT(Table8[[#This Row],[visit_Date]],"DDDD")</f>
        <v>Tuesday</v>
      </c>
      <c r="K2715" t="str">
        <f>TEXT(Table8[[#This Row],[visit_Date]],"mmmm")</f>
        <v>March</v>
      </c>
      <c r="L2715" t="str">
        <f t="shared" si="85"/>
        <v>Summer</v>
      </c>
    </row>
    <row r="2716" spans="1:12" x14ac:dyDescent="0.25">
      <c r="A2716">
        <v>2715</v>
      </c>
      <c r="B2716">
        <v>1185</v>
      </c>
      <c r="C2716">
        <v>178</v>
      </c>
      <c r="D2716" s="1">
        <v>45819</v>
      </c>
      <c r="E2716" t="s">
        <v>24</v>
      </c>
      <c r="F2716" t="s">
        <v>321</v>
      </c>
      <c r="G2716" t="str">
        <f>_xlfn.XLOOKUP(TRIM(E2717),MedicineInfo!A:A,MedicineInfo!B:B,"Not Found")</f>
        <v>Amoxicillin</v>
      </c>
      <c r="H2716" s="1" t="str" cm="1">
        <f t="array" ref="H2716">_xlfn.IFS(
OR(E2716="Type 2 Diabetes",E2716="Essential Hypertension",E2716="Angina Pectoris",E2716="Bronchial Asthma",E2716="Cardiac Arrhythmia"), D2716+30,
OR(E2716="Gastritis",E2716="Osteoarthritis",E2716="Bronchitis",E2716="Iron Deficiency Anemia"), D2716+14,
OR(E2716="Lumbar Strain",E2716="Migraine Headache"), D2716+7,
OR(E2716="Viral Fever",E2716="General Checkup","Routine Health Check"), "",
TRUE,""
)</f>
        <v/>
      </c>
      <c r="I2716" s="1" t="str">
        <f t="shared" si="84"/>
        <v>No Follow-up Required</v>
      </c>
      <c r="J2716" t="str">
        <f>TEXT(Table8[[#This Row],[visit_Date]],"DDDD")</f>
        <v>Wednesday</v>
      </c>
      <c r="K2716" t="str">
        <f>TEXT(Table8[[#This Row],[visit_Date]],"mmmm")</f>
        <v>June</v>
      </c>
      <c r="L2716" t="str">
        <f t="shared" si="85"/>
        <v>Monsoon</v>
      </c>
    </row>
    <row r="2717" spans="1:12" x14ac:dyDescent="0.25">
      <c r="A2717">
        <v>2716</v>
      </c>
      <c r="B2717">
        <v>1194</v>
      </c>
      <c r="C2717">
        <v>996</v>
      </c>
      <c r="D2717" s="1">
        <v>45723</v>
      </c>
      <c r="E2717" t="s">
        <v>346</v>
      </c>
      <c r="F2717" t="s">
        <v>347</v>
      </c>
      <c r="G2717" t="str">
        <f>_xlfn.XLOOKUP(TRIM(E2718),MedicineInfo!A:A,MedicineInfo!B:B,"Not Found")</f>
        <v>Multivitamin</v>
      </c>
      <c r="H2717" s="1" cm="1">
        <f t="array" ref="H2717">_xlfn.IFS(
OR(E2717="Type 2 Diabetes",E2717="Essential Hypertension",E2717="Angina Pectoris",E2717="Bronchial Asthma",E2717="Cardiac Arrhythmia"), D2717+30,
OR(E2717="Gastritis",E2717="Osteoarthritis",E2717="Bronchitis",E2717="Iron Deficiency Anemia"), D2717+14,
OR(E2717="Lumbar Strain",E2717="Migraine Headache"), D2717+7,
OR(E2717="Viral Fever",E2717="General Checkup","Routine Health Check"), "",
TRUE,""
)</f>
        <v>45737</v>
      </c>
      <c r="I2717" s="1" t="str">
        <f t="shared" si="84"/>
        <v>Follow-up Scheduled</v>
      </c>
      <c r="J2717" t="str">
        <f>TEXT(Table8[[#This Row],[visit_Date]],"DDDD")</f>
        <v>Friday</v>
      </c>
      <c r="K2717" t="str">
        <f>TEXT(Table8[[#This Row],[visit_Date]],"mmmm")</f>
        <v>March</v>
      </c>
      <c r="L2717" t="str">
        <f t="shared" si="85"/>
        <v>Summer</v>
      </c>
    </row>
    <row r="2718" spans="1:12" x14ac:dyDescent="0.25">
      <c r="A2718">
        <v>2717</v>
      </c>
      <c r="B2718">
        <v>1392</v>
      </c>
      <c r="C2718">
        <v>564</v>
      </c>
      <c r="D2718" s="1">
        <v>45823</v>
      </c>
      <c r="E2718" t="s">
        <v>24</v>
      </c>
      <c r="F2718" t="s">
        <v>321</v>
      </c>
      <c r="G2718" t="str">
        <f>_xlfn.XLOOKUP(TRIM(E2719),MedicineInfo!A:A,MedicineInfo!B:B,"Not Found")</f>
        <v>Salbutamol Inhaler</v>
      </c>
      <c r="H2718" s="1" t="str" cm="1">
        <f t="array" ref="H2718">_xlfn.IFS(
OR(E2718="Type 2 Diabetes",E2718="Essential Hypertension",E2718="Angina Pectoris",E2718="Bronchial Asthma",E2718="Cardiac Arrhythmia"), D2718+30,
OR(E2718="Gastritis",E2718="Osteoarthritis",E2718="Bronchitis",E2718="Iron Deficiency Anemia"), D2718+14,
OR(E2718="Lumbar Strain",E2718="Migraine Headache"), D2718+7,
OR(E2718="Viral Fever",E2718="General Checkup","Routine Health Check"), "",
TRUE,""
)</f>
        <v/>
      </c>
      <c r="I2718" s="1" t="str">
        <f t="shared" si="84"/>
        <v>No Follow-up Required</v>
      </c>
      <c r="J2718" t="str">
        <f>TEXT(Table8[[#This Row],[visit_Date]],"DDDD")</f>
        <v>Sunday</v>
      </c>
      <c r="K2718" t="str">
        <f>TEXT(Table8[[#This Row],[visit_Date]],"mmmm")</f>
        <v>June</v>
      </c>
      <c r="L2718" t="str">
        <f t="shared" si="85"/>
        <v>Monsoon</v>
      </c>
    </row>
    <row r="2719" spans="1:12" x14ac:dyDescent="0.25">
      <c r="A2719">
        <v>2718</v>
      </c>
      <c r="B2719">
        <v>1202</v>
      </c>
      <c r="C2719">
        <v>405</v>
      </c>
      <c r="D2719" s="1">
        <v>45847</v>
      </c>
      <c r="E2719" t="s">
        <v>324</v>
      </c>
      <c r="F2719" t="s">
        <v>325</v>
      </c>
      <c r="G2719" t="str">
        <f>_xlfn.XLOOKUP(TRIM(E2720),MedicineInfo!A:A,MedicineInfo!B:B,"Not Found")</f>
        <v>Multivitamin</v>
      </c>
      <c r="H2719" s="1" cm="1">
        <f t="array" ref="H2719">_xlfn.IFS(
OR(E2719="Type 2 Diabetes",E2719="Essential Hypertension",E2719="Angina Pectoris",E2719="Bronchial Asthma",E2719="Cardiac Arrhythmia"), D2719+30,
OR(E2719="Gastritis",E2719="Osteoarthritis",E2719="Bronchitis",E2719="Iron Deficiency Anemia"), D2719+14,
OR(E2719="Lumbar Strain",E2719="Migraine Headache"), D2719+7,
OR(E2719="Viral Fever",E2719="General Checkup","Routine Health Check"), "",
TRUE,""
)</f>
        <v>45877</v>
      </c>
      <c r="I2719" s="1" t="str">
        <f t="shared" si="84"/>
        <v>Follow-up Scheduled</v>
      </c>
      <c r="J2719" t="str">
        <f>TEXT(Table8[[#This Row],[visit_Date]],"DDDD")</f>
        <v>Wednesday</v>
      </c>
      <c r="K2719" t="str">
        <f>TEXT(Table8[[#This Row],[visit_Date]],"mmmm")</f>
        <v>July</v>
      </c>
      <c r="L2719" t="str">
        <f t="shared" si="85"/>
        <v>Monsoon</v>
      </c>
    </row>
    <row r="2720" spans="1:12" x14ac:dyDescent="0.25">
      <c r="A2720">
        <v>2719</v>
      </c>
      <c r="B2720">
        <v>1069</v>
      </c>
      <c r="C2720">
        <v>1298</v>
      </c>
      <c r="D2720" s="1">
        <v>45722</v>
      </c>
      <c r="E2720" t="s">
        <v>24</v>
      </c>
      <c r="F2720" t="s">
        <v>321</v>
      </c>
      <c r="G2720" t="str">
        <f>_xlfn.XLOOKUP(TRIM(E2721),MedicineInfo!A:A,MedicineInfo!B:B,"Not Found")</f>
        <v>Sodium Valproate</v>
      </c>
      <c r="H2720" s="1" t="str" cm="1">
        <f t="array" ref="H2720">_xlfn.IFS(
OR(E2720="Type 2 Diabetes",E2720="Essential Hypertension",E2720="Angina Pectoris",E2720="Bronchial Asthma",E2720="Cardiac Arrhythmia"), D2720+30,
OR(E2720="Gastritis",E2720="Osteoarthritis",E2720="Bronchitis",E2720="Iron Deficiency Anemia"), D2720+14,
OR(E2720="Lumbar Strain",E2720="Migraine Headache"), D2720+7,
OR(E2720="Viral Fever",E2720="General Checkup","Routine Health Check"), "",
TRUE,""
)</f>
        <v/>
      </c>
      <c r="I2720" s="1" t="str">
        <f t="shared" si="84"/>
        <v>No Follow-up Required</v>
      </c>
      <c r="J2720" t="str">
        <f>TEXT(Table8[[#This Row],[visit_Date]],"DDDD")</f>
        <v>Thursday</v>
      </c>
      <c r="K2720" t="str">
        <f>TEXT(Table8[[#This Row],[visit_Date]],"mmmm")</f>
        <v>March</v>
      </c>
      <c r="L2720" t="str">
        <f t="shared" si="85"/>
        <v>Summer</v>
      </c>
    </row>
    <row r="2721" spans="1:12" x14ac:dyDescent="0.25">
      <c r="A2721">
        <v>2720</v>
      </c>
      <c r="B2721">
        <v>1374</v>
      </c>
      <c r="C2721">
        <v>230</v>
      </c>
      <c r="D2721" s="1">
        <v>45696</v>
      </c>
      <c r="E2721" t="s">
        <v>352</v>
      </c>
      <c r="F2721" t="s">
        <v>353</v>
      </c>
      <c r="G2721" t="str">
        <f>_xlfn.XLOOKUP(TRIM(E2722),MedicineInfo!A:A,MedicineInfo!B:B,"Not Found")</f>
        <v>Calcium Supplement</v>
      </c>
      <c r="H2721" s="1" t="str" cm="1">
        <f t="array" ref="H2721">_xlfn.IFS(
OR(E2721="Type 2 Diabetes",E2721="Essential Hypertension",E2721="Angina Pectoris",E2721="Bronchial Asthma",E2721="Cardiac Arrhythmia"), D2721+30,
OR(E2721="Gastritis",E2721="Osteoarthritis",E2721="Bronchitis",E2721="Iron Deficiency Anemia"), D2721+14,
OR(E2721="Lumbar Strain",E2721="Migraine Headache"), D2721+7,
OR(E2721="Viral Fever",E2721="General Checkup","Routine Health Check"), "",
TRUE,""
)</f>
        <v/>
      </c>
      <c r="I2721" s="1" t="str">
        <f t="shared" si="84"/>
        <v>No Follow-up Required</v>
      </c>
      <c r="J2721" t="str">
        <f>TEXT(Table8[[#This Row],[visit_Date]],"DDDD")</f>
        <v>Saturday</v>
      </c>
      <c r="K2721" t="str">
        <f>TEXT(Table8[[#This Row],[visit_Date]],"mmmm")</f>
        <v>February</v>
      </c>
      <c r="L2721" t="str">
        <f t="shared" si="85"/>
        <v>Winter</v>
      </c>
    </row>
    <row r="2722" spans="1:12" x14ac:dyDescent="0.25">
      <c r="A2722">
        <v>2721</v>
      </c>
      <c r="B2722">
        <v>1171</v>
      </c>
      <c r="C2722">
        <v>244</v>
      </c>
      <c r="D2722" s="1">
        <v>45694</v>
      </c>
      <c r="E2722" t="s">
        <v>336</v>
      </c>
      <c r="F2722" t="s">
        <v>337</v>
      </c>
      <c r="G2722" t="str">
        <f>_xlfn.XLOOKUP(TRIM(E2723),MedicineInfo!A:A,MedicineInfo!B:B,"Not Found")</f>
        <v>Multivitamin</v>
      </c>
      <c r="H2722" s="1" t="str" cm="1">
        <f t="array" ref="H2722">_xlfn.IFS(
OR(E2722="Type 2 Diabetes",E2722="Essential Hypertension",E2722="Angina Pectoris",E2722="Bronchial Asthma",E2722="Cardiac Arrhythmia"), D2722+30,
OR(E2722="Gastritis",E2722="Osteoarthritis",E2722="Bronchitis",E2722="Iron Deficiency Anemia"), D2722+14,
OR(E2722="Lumbar Strain",E2722="Migraine Headache"), D2722+7,
OR(E2722="Viral Fever",E2722="General Checkup","Routine Health Check"), "",
TRUE,""
)</f>
        <v/>
      </c>
      <c r="I2722" s="1" t="str">
        <f t="shared" si="84"/>
        <v>No Follow-up Required</v>
      </c>
      <c r="J2722" t="str">
        <f>TEXT(Table8[[#This Row],[visit_Date]],"DDDD")</f>
        <v>Thursday</v>
      </c>
      <c r="K2722" t="str">
        <f>TEXT(Table8[[#This Row],[visit_Date]],"mmmm")</f>
        <v>February</v>
      </c>
      <c r="L2722" t="str">
        <f t="shared" si="85"/>
        <v>Winter</v>
      </c>
    </row>
    <row r="2723" spans="1:12" x14ac:dyDescent="0.25">
      <c r="A2723">
        <v>2722</v>
      </c>
      <c r="B2723">
        <v>1321</v>
      </c>
      <c r="C2723">
        <v>830</v>
      </c>
      <c r="D2723" s="1">
        <v>45792</v>
      </c>
      <c r="E2723" t="s">
        <v>24</v>
      </c>
      <c r="F2723" t="s">
        <v>321</v>
      </c>
      <c r="G2723" t="str">
        <f>_xlfn.XLOOKUP(TRIM(E2724),MedicineInfo!A:A,MedicineInfo!B:B,"Not Found")</f>
        <v>Multivitamin</v>
      </c>
      <c r="H2723" s="1" t="str" cm="1">
        <f t="array" ref="H2723">_xlfn.IFS(
OR(E2723="Type 2 Diabetes",E2723="Essential Hypertension",E2723="Angina Pectoris",E2723="Bronchial Asthma",E2723="Cardiac Arrhythmia"), D2723+30,
OR(E2723="Gastritis",E2723="Osteoarthritis",E2723="Bronchitis",E2723="Iron Deficiency Anemia"), D2723+14,
OR(E2723="Lumbar Strain",E2723="Migraine Headache"), D2723+7,
OR(E2723="Viral Fever",E2723="General Checkup","Routine Health Check"), "",
TRUE,""
)</f>
        <v/>
      </c>
      <c r="I2723" s="1" t="str">
        <f t="shared" si="84"/>
        <v>No Follow-up Required</v>
      </c>
      <c r="J2723" t="str">
        <f>TEXT(Table8[[#This Row],[visit_Date]],"DDDD")</f>
        <v>Thursday</v>
      </c>
      <c r="K2723" t="str">
        <f>TEXT(Table8[[#This Row],[visit_Date]],"mmmm")</f>
        <v>May</v>
      </c>
      <c r="L2723" t="str">
        <f t="shared" si="85"/>
        <v>Summer</v>
      </c>
    </row>
    <row r="2724" spans="1:12" x14ac:dyDescent="0.25">
      <c r="A2724">
        <v>2723</v>
      </c>
      <c r="B2724">
        <v>1005</v>
      </c>
      <c r="C2724">
        <v>573</v>
      </c>
      <c r="D2724" s="1">
        <v>45744</v>
      </c>
      <c r="E2724" t="s">
        <v>24</v>
      </c>
      <c r="F2724" t="s">
        <v>321</v>
      </c>
      <c r="G2724" t="str">
        <f>_xlfn.XLOOKUP(TRIM(E2725),MedicineInfo!A:A,MedicineInfo!B:B,"Not Found")</f>
        <v>Multivitamin</v>
      </c>
      <c r="H2724" s="1" t="str" cm="1">
        <f t="array" ref="H2724">_xlfn.IFS(
OR(E2724="Type 2 Diabetes",E2724="Essential Hypertension",E2724="Angina Pectoris",E2724="Bronchial Asthma",E2724="Cardiac Arrhythmia"), D2724+30,
OR(E2724="Gastritis",E2724="Osteoarthritis",E2724="Bronchitis",E2724="Iron Deficiency Anemia"), D2724+14,
OR(E2724="Lumbar Strain",E2724="Migraine Headache"), D2724+7,
OR(E2724="Viral Fever",E2724="General Checkup","Routine Health Check"), "",
TRUE,""
)</f>
        <v/>
      </c>
      <c r="I2724" s="1" t="str">
        <f t="shared" si="84"/>
        <v>No Follow-up Required</v>
      </c>
      <c r="J2724" t="str">
        <f>TEXT(Table8[[#This Row],[visit_Date]],"DDDD")</f>
        <v>Friday</v>
      </c>
      <c r="K2724" t="str">
        <f>TEXT(Table8[[#This Row],[visit_Date]],"mmmm")</f>
        <v>March</v>
      </c>
      <c r="L2724" t="str">
        <f t="shared" si="85"/>
        <v>Summer</v>
      </c>
    </row>
    <row r="2725" spans="1:12" x14ac:dyDescent="0.25">
      <c r="A2725">
        <v>2724</v>
      </c>
      <c r="B2725">
        <v>1236</v>
      </c>
      <c r="C2725">
        <v>671</v>
      </c>
      <c r="D2725" s="1">
        <v>45813</v>
      </c>
      <c r="E2725" t="s">
        <v>24</v>
      </c>
      <c r="F2725" t="s">
        <v>321</v>
      </c>
      <c r="G2725" t="str">
        <f>_xlfn.XLOOKUP(TRIM(E2726),MedicineInfo!A:A,MedicineInfo!B:B,"Not Found")</f>
        <v>Multivitamin</v>
      </c>
      <c r="H2725" s="1" t="str" cm="1">
        <f t="array" ref="H2725">_xlfn.IFS(
OR(E2725="Type 2 Diabetes",E2725="Essential Hypertension",E2725="Angina Pectoris",E2725="Bronchial Asthma",E2725="Cardiac Arrhythmia"), D2725+30,
OR(E2725="Gastritis",E2725="Osteoarthritis",E2725="Bronchitis",E2725="Iron Deficiency Anemia"), D2725+14,
OR(E2725="Lumbar Strain",E2725="Migraine Headache"), D2725+7,
OR(E2725="Viral Fever",E2725="General Checkup","Routine Health Check"), "",
TRUE,""
)</f>
        <v/>
      </c>
      <c r="I2725" s="1" t="str">
        <f t="shared" si="84"/>
        <v>No Follow-up Required</v>
      </c>
      <c r="J2725" t="str">
        <f>TEXT(Table8[[#This Row],[visit_Date]],"DDDD")</f>
        <v>Thursday</v>
      </c>
      <c r="K2725" t="str">
        <f>TEXT(Table8[[#This Row],[visit_Date]],"mmmm")</f>
        <v>June</v>
      </c>
      <c r="L2725" t="str">
        <f t="shared" si="85"/>
        <v>Monsoon</v>
      </c>
    </row>
    <row r="2726" spans="1:12" x14ac:dyDescent="0.25">
      <c r="A2726">
        <v>2725</v>
      </c>
      <c r="B2726">
        <v>1128</v>
      </c>
      <c r="C2726">
        <v>743</v>
      </c>
      <c r="D2726" s="1">
        <v>45713</v>
      </c>
      <c r="E2726" t="s">
        <v>24</v>
      </c>
      <c r="F2726" t="s">
        <v>321</v>
      </c>
      <c r="G2726" t="str">
        <f>_xlfn.XLOOKUP(TRIM(E2727),MedicineInfo!A:A,MedicineInfo!B:B,"Not Found")</f>
        <v>Not Found</v>
      </c>
      <c r="H2726" s="1" t="str" cm="1">
        <f t="array" ref="H2726">_xlfn.IFS(
OR(E2726="Type 2 Diabetes",E2726="Essential Hypertension",E2726="Angina Pectoris",E2726="Bronchial Asthma",E2726="Cardiac Arrhythmia"), D2726+30,
OR(E2726="Gastritis",E2726="Osteoarthritis",E2726="Bronchitis",E2726="Iron Deficiency Anemia"), D2726+14,
OR(E2726="Lumbar Strain",E2726="Migraine Headache"), D2726+7,
OR(E2726="Viral Fever",E2726="General Checkup","Routine Health Check"), "",
TRUE,""
)</f>
        <v/>
      </c>
      <c r="I2726" s="1" t="str">
        <f t="shared" si="84"/>
        <v>No Follow-up Required</v>
      </c>
      <c r="J2726" t="str">
        <f>TEXT(Table8[[#This Row],[visit_Date]],"DDDD")</f>
        <v>Tuesday</v>
      </c>
      <c r="K2726" t="str">
        <f>TEXT(Table8[[#This Row],[visit_Date]],"mmmm")</f>
        <v>February</v>
      </c>
      <c r="L2726" t="str">
        <f t="shared" si="85"/>
        <v>Winter</v>
      </c>
    </row>
    <row r="2727" spans="1:12" x14ac:dyDescent="0.25">
      <c r="A2727">
        <v>2726</v>
      </c>
      <c r="B2727">
        <v>1400</v>
      </c>
      <c r="C2727">
        <v>383</v>
      </c>
      <c r="D2727" s="1">
        <v>45823</v>
      </c>
      <c r="E2727" t="s">
        <v>340</v>
      </c>
      <c r="F2727" t="s">
        <v>341</v>
      </c>
      <c r="G2727" t="str">
        <f>_xlfn.XLOOKUP(TRIM(E2728),MedicineInfo!A:A,MedicineInfo!B:B,"Not Found")</f>
        <v>Multivitamin</v>
      </c>
      <c r="H2727" s="1" t="str" cm="1">
        <f t="array" ref="H2727">_xlfn.IFS(
OR(E2727="Type 2 Diabetes",E2727="Essential Hypertension",E2727="Angina Pectoris",E2727="Bronchial Asthma",E2727="Cardiac Arrhythmia"), D2727+30,
OR(E2727="Gastritis",E2727="Osteoarthritis",E2727="Bronchitis",E2727="Iron Deficiency Anemia"), D2727+14,
OR(E2727="Lumbar Strain",E2727="Migraine Headache"), D2727+7,
OR(E2727="Viral Fever",E2727="General Checkup","Routine Health Check"), "",
TRUE,""
)</f>
        <v/>
      </c>
      <c r="I2727" s="1" t="str">
        <f t="shared" si="84"/>
        <v>No Follow-up Required</v>
      </c>
      <c r="J2727" t="str">
        <f>TEXT(Table8[[#This Row],[visit_Date]],"DDDD")</f>
        <v>Sunday</v>
      </c>
      <c r="K2727" t="str">
        <f>TEXT(Table8[[#This Row],[visit_Date]],"mmmm")</f>
        <v>June</v>
      </c>
      <c r="L2727" t="str">
        <f t="shared" si="85"/>
        <v>Monsoon</v>
      </c>
    </row>
    <row r="2728" spans="1:12" x14ac:dyDescent="0.25">
      <c r="A2728">
        <v>2727</v>
      </c>
      <c r="B2728">
        <v>1148</v>
      </c>
      <c r="C2728">
        <v>1122</v>
      </c>
      <c r="D2728" s="1">
        <v>45798</v>
      </c>
      <c r="E2728" t="s">
        <v>24</v>
      </c>
      <c r="F2728" t="s">
        <v>321</v>
      </c>
      <c r="G2728" t="str">
        <f>_xlfn.XLOOKUP(TRIM(E2729),MedicineInfo!A:A,MedicineInfo!B:B,"Not Found")</f>
        <v>Multivitamin</v>
      </c>
      <c r="H2728" s="1" t="str" cm="1">
        <f t="array" ref="H2728">_xlfn.IFS(
OR(E2728="Type 2 Diabetes",E2728="Essential Hypertension",E2728="Angina Pectoris",E2728="Bronchial Asthma",E2728="Cardiac Arrhythmia"), D2728+30,
OR(E2728="Gastritis",E2728="Osteoarthritis",E2728="Bronchitis",E2728="Iron Deficiency Anemia"), D2728+14,
OR(E2728="Lumbar Strain",E2728="Migraine Headache"), D2728+7,
OR(E2728="Viral Fever",E2728="General Checkup","Routine Health Check"), "",
TRUE,""
)</f>
        <v/>
      </c>
      <c r="I2728" s="1" t="str">
        <f t="shared" si="84"/>
        <v>No Follow-up Required</v>
      </c>
      <c r="J2728" t="str">
        <f>TEXT(Table8[[#This Row],[visit_Date]],"DDDD")</f>
        <v>Wednesday</v>
      </c>
      <c r="K2728" t="str">
        <f>TEXT(Table8[[#This Row],[visit_Date]],"mmmm")</f>
        <v>May</v>
      </c>
      <c r="L2728" t="str">
        <f t="shared" si="85"/>
        <v>Summer</v>
      </c>
    </row>
    <row r="2729" spans="1:12" x14ac:dyDescent="0.25">
      <c r="A2729">
        <v>2728</v>
      </c>
      <c r="B2729">
        <v>1278</v>
      </c>
      <c r="C2729">
        <v>1002</v>
      </c>
      <c r="D2729" s="1">
        <v>45823</v>
      </c>
      <c r="E2729" t="s">
        <v>24</v>
      </c>
      <c r="F2729" t="s">
        <v>321</v>
      </c>
      <c r="G2729" t="str">
        <f>_xlfn.XLOOKUP(TRIM(E2730),MedicineInfo!A:A,MedicineInfo!B:B,"Not Found")</f>
        <v>Multivitamin</v>
      </c>
      <c r="H2729" s="1" t="str" cm="1">
        <f t="array" ref="H2729">_xlfn.IFS(
OR(E2729="Type 2 Diabetes",E2729="Essential Hypertension",E2729="Angina Pectoris",E2729="Bronchial Asthma",E2729="Cardiac Arrhythmia"), D2729+30,
OR(E2729="Gastritis",E2729="Osteoarthritis",E2729="Bronchitis",E2729="Iron Deficiency Anemia"), D2729+14,
OR(E2729="Lumbar Strain",E2729="Migraine Headache"), D2729+7,
OR(E2729="Viral Fever",E2729="General Checkup","Routine Health Check"), "",
TRUE,""
)</f>
        <v/>
      </c>
      <c r="I2729" s="1" t="str">
        <f t="shared" si="84"/>
        <v>No Follow-up Required</v>
      </c>
      <c r="J2729" t="str">
        <f>TEXT(Table8[[#This Row],[visit_Date]],"DDDD")</f>
        <v>Sunday</v>
      </c>
      <c r="K2729" t="str">
        <f>TEXT(Table8[[#This Row],[visit_Date]],"mmmm")</f>
        <v>June</v>
      </c>
      <c r="L2729" t="str">
        <f t="shared" si="85"/>
        <v>Monsoon</v>
      </c>
    </row>
    <row r="2730" spans="1:12" x14ac:dyDescent="0.25">
      <c r="A2730">
        <v>2729</v>
      </c>
      <c r="B2730">
        <v>1278</v>
      </c>
      <c r="C2730">
        <v>1380</v>
      </c>
      <c r="D2730" s="1">
        <v>45725</v>
      </c>
      <c r="E2730" t="s">
        <v>24</v>
      </c>
      <c r="F2730" t="s">
        <v>321</v>
      </c>
      <c r="G2730" t="str">
        <f>_xlfn.XLOOKUP(TRIM(E2731),MedicineInfo!A:A,MedicineInfo!B:B,"Not Found")</f>
        <v>Multivitamin</v>
      </c>
      <c r="H2730" s="1" t="str" cm="1">
        <f t="array" ref="H2730">_xlfn.IFS(
OR(E2730="Type 2 Diabetes",E2730="Essential Hypertension",E2730="Angina Pectoris",E2730="Bronchial Asthma",E2730="Cardiac Arrhythmia"), D2730+30,
OR(E2730="Gastritis",E2730="Osteoarthritis",E2730="Bronchitis",E2730="Iron Deficiency Anemia"), D2730+14,
OR(E2730="Lumbar Strain",E2730="Migraine Headache"), D2730+7,
OR(E2730="Viral Fever",E2730="General Checkup","Routine Health Check"), "",
TRUE,""
)</f>
        <v/>
      </c>
      <c r="I2730" s="1" t="str">
        <f t="shared" si="84"/>
        <v>No Follow-up Required</v>
      </c>
      <c r="J2730" t="str">
        <f>TEXT(Table8[[#This Row],[visit_Date]],"DDDD")</f>
        <v>Sunday</v>
      </c>
      <c r="K2730" t="str">
        <f>TEXT(Table8[[#This Row],[visit_Date]],"mmmm")</f>
        <v>March</v>
      </c>
      <c r="L2730" t="str">
        <f t="shared" si="85"/>
        <v>Summer</v>
      </c>
    </row>
    <row r="2731" spans="1:12" x14ac:dyDescent="0.25">
      <c r="A2731">
        <v>2730</v>
      </c>
      <c r="B2731">
        <v>1275</v>
      </c>
      <c r="C2731">
        <v>865</v>
      </c>
      <c r="D2731" s="1">
        <v>45777</v>
      </c>
      <c r="E2731" t="s">
        <v>24</v>
      </c>
      <c r="F2731" t="s">
        <v>321</v>
      </c>
      <c r="G2731" t="str">
        <f>_xlfn.XLOOKUP(TRIM(E2732),MedicineInfo!A:A,MedicineInfo!B:B,"Not Found")</f>
        <v>Multivitamin</v>
      </c>
      <c r="H2731" s="1" t="str" cm="1">
        <f t="array" ref="H2731">_xlfn.IFS(
OR(E2731="Type 2 Diabetes",E2731="Essential Hypertension",E2731="Angina Pectoris",E2731="Bronchial Asthma",E2731="Cardiac Arrhythmia"), D2731+30,
OR(E2731="Gastritis",E2731="Osteoarthritis",E2731="Bronchitis",E2731="Iron Deficiency Anemia"), D2731+14,
OR(E2731="Lumbar Strain",E2731="Migraine Headache"), D2731+7,
OR(E2731="Viral Fever",E2731="General Checkup","Routine Health Check"), "",
TRUE,""
)</f>
        <v/>
      </c>
      <c r="I2731" s="1" t="str">
        <f t="shared" si="84"/>
        <v>No Follow-up Required</v>
      </c>
      <c r="J2731" t="str">
        <f>TEXT(Table8[[#This Row],[visit_Date]],"DDDD")</f>
        <v>Wednesday</v>
      </c>
      <c r="K2731" t="str">
        <f>TEXT(Table8[[#This Row],[visit_Date]],"mmmm")</f>
        <v>April</v>
      </c>
      <c r="L2731" t="str">
        <f t="shared" si="85"/>
        <v>Summer</v>
      </c>
    </row>
    <row r="2732" spans="1:12" x14ac:dyDescent="0.25">
      <c r="A2732">
        <v>2731</v>
      </c>
      <c r="B2732">
        <v>1084</v>
      </c>
      <c r="C2732">
        <v>1039</v>
      </c>
      <c r="D2732" s="1">
        <v>45691</v>
      </c>
      <c r="E2732" t="s">
        <v>24</v>
      </c>
      <c r="F2732" t="s">
        <v>321</v>
      </c>
      <c r="G2732" t="str">
        <f>_xlfn.XLOOKUP(TRIM(E2733),MedicineInfo!A:A,MedicineInfo!B:B,"Not Found")</f>
        <v>Folic Acid</v>
      </c>
      <c r="H2732" s="1" t="str" cm="1">
        <f t="array" ref="H2732">_xlfn.IFS(
OR(E2732="Type 2 Diabetes",E2732="Essential Hypertension",E2732="Angina Pectoris",E2732="Bronchial Asthma",E2732="Cardiac Arrhythmia"), D2732+30,
OR(E2732="Gastritis",E2732="Osteoarthritis",E2732="Bronchitis",E2732="Iron Deficiency Anemia"), D2732+14,
OR(E2732="Lumbar Strain",E2732="Migraine Headache"), D2732+7,
OR(E2732="Viral Fever",E2732="General Checkup","Routine Health Check"), "",
TRUE,""
)</f>
        <v/>
      </c>
      <c r="I2732" s="1" t="str">
        <f t="shared" si="84"/>
        <v>No Follow-up Required</v>
      </c>
      <c r="J2732" t="str">
        <f>TEXT(Table8[[#This Row],[visit_Date]],"DDDD")</f>
        <v>Monday</v>
      </c>
      <c r="K2732" t="str">
        <f>TEXT(Table8[[#This Row],[visit_Date]],"mmmm")</f>
        <v>February</v>
      </c>
      <c r="L2732" t="str">
        <f t="shared" si="85"/>
        <v>Winter</v>
      </c>
    </row>
    <row r="2733" spans="1:12" x14ac:dyDescent="0.25">
      <c r="A2733">
        <v>2732</v>
      </c>
      <c r="B2733">
        <v>1052</v>
      </c>
      <c r="C2733">
        <v>406</v>
      </c>
      <c r="D2733" s="1">
        <v>45750</v>
      </c>
      <c r="E2733" t="s">
        <v>356</v>
      </c>
      <c r="F2733" t="s">
        <v>357</v>
      </c>
      <c r="G2733" t="str">
        <f>_xlfn.XLOOKUP(TRIM(E2734),MedicineInfo!A:A,MedicineInfo!B:B,"Not Found")</f>
        <v>Multivitamin</v>
      </c>
      <c r="H2733" s="1" t="str" cm="1">
        <f t="array" ref="H2733">_xlfn.IFS(
OR(E2733="Type 2 Diabetes",E2733="Essential Hypertension",E2733="Angina Pectoris",E2733="Bronchial Asthma",E2733="Cardiac Arrhythmia"), D2733+30,
OR(E2733="Gastritis",E2733="Osteoarthritis",E2733="Bronchitis",E2733="Iron Deficiency Anemia"), D2733+14,
OR(E2733="Lumbar Strain",E2733="Migraine Headache"), D2733+7,
OR(E2733="Viral Fever",E2733="General Checkup","Routine Health Check"), "",
TRUE,""
)</f>
        <v/>
      </c>
      <c r="I2733" s="1" t="str">
        <f t="shared" si="84"/>
        <v>No Follow-up Required</v>
      </c>
      <c r="J2733" t="str">
        <f>TEXT(Table8[[#This Row],[visit_Date]],"DDDD")</f>
        <v>Thursday</v>
      </c>
      <c r="K2733" t="str">
        <f>TEXT(Table8[[#This Row],[visit_Date]],"mmmm")</f>
        <v>April</v>
      </c>
      <c r="L2733" t="str">
        <f t="shared" si="85"/>
        <v>Summer</v>
      </c>
    </row>
    <row r="2734" spans="1:12" x14ac:dyDescent="0.25">
      <c r="A2734">
        <v>2733</v>
      </c>
      <c r="B2734">
        <v>1064</v>
      </c>
      <c r="C2734">
        <v>553</v>
      </c>
      <c r="D2734" s="1">
        <v>45790</v>
      </c>
      <c r="E2734" t="s">
        <v>24</v>
      </c>
      <c r="F2734" t="s">
        <v>321</v>
      </c>
      <c r="G2734" t="str">
        <f>_xlfn.XLOOKUP(TRIM(E2735),MedicineInfo!A:A,MedicineInfo!B:B,"Not Found")</f>
        <v>Multivitamin</v>
      </c>
      <c r="H2734" s="1" t="str" cm="1">
        <f t="array" ref="H2734">_xlfn.IFS(
OR(E2734="Type 2 Diabetes",E2734="Essential Hypertension",E2734="Angina Pectoris",E2734="Bronchial Asthma",E2734="Cardiac Arrhythmia"), D2734+30,
OR(E2734="Gastritis",E2734="Osteoarthritis",E2734="Bronchitis",E2734="Iron Deficiency Anemia"), D2734+14,
OR(E2734="Lumbar Strain",E2734="Migraine Headache"), D2734+7,
OR(E2734="Viral Fever",E2734="General Checkup","Routine Health Check"), "",
TRUE,""
)</f>
        <v/>
      </c>
      <c r="I2734" s="1" t="str">
        <f t="shared" si="84"/>
        <v>No Follow-up Required</v>
      </c>
      <c r="J2734" t="str">
        <f>TEXT(Table8[[#This Row],[visit_Date]],"DDDD")</f>
        <v>Tuesday</v>
      </c>
      <c r="K2734" t="str">
        <f>TEXT(Table8[[#This Row],[visit_Date]],"mmmm")</f>
        <v>May</v>
      </c>
      <c r="L2734" t="str">
        <f t="shared" si="85"/>
        <v>Summer</v>
      </c>
    </row>
    <row r="2735" spans="1:12" x14ac:dyDescent="0.25">
      <c r="A2735">
        <v>2734</v>
      </c>
      <c r="B2735">
        <v>1017</v>
      </c>
      <c r="C2735">
        <v>1340</v>
      </c>
      <c r="D2735" s="1">
        <v>45802</v>
      </c>
      <c r="E2735" t="s">
        <v>24</v>
      </c>
      <c r="F2735" t="s">
        <v>321</v>
      </c>
      <c r="G2735" t="str">
        <f>_xlfn.XLOOKUP(TRIM(E2736),MedicineInfo!A:A,MedicineInfo!B:B,"Not Found")</f>
        <v>Multivitamin</v>
      </c>
      <c r="H2735" s="1" t="str" cm="1">
        <f t="array" ref="H2735">_xlfn.IFS(
OR(E2735="Type 2 Diabetes",E2735="Essential Hypertension",E2735="Angina Pectoris",E2735="Bronchial Asthma",E2735="Cardiac Arrhythmia"), D2735+30,
OR(E2735="Gastritis",E2735="Osteoarthritis",E2735="Bronchitis",E2735="Iron Deficiency Anemia"), D2735+14,
OR(E2735="Lumbar Strain",E2735="Migraine Headache"), D2735+7,
OR(E2735="Viral Fever",E2735="General Checkup","Routine Health Check"), "",
TRUE,""
)</f>
        <v/>
      </c>
      <c r="I2735" s="1" t="str">
        <f t="shared" si="84"/>
        <v>No Follow-up Required</v>
      </c>
      <c r="J2735" t="str">
        <f>TEXT(Table8[[#This Row],[visit_Date]],"DDDD")</f>
        <v>Sunday</v>
      </c>
      <c r="K2735" t="str">
        <f>TEXT(Table8[[#This Row],[visit_Date]],"mmmm")</f>
        <v>May</v>
      </c>
      <c r="L2735" t="str">
        <f t="shared" si="85"/>
        <v>Summer</v>
      </c>
    </row>
    <row r="2736" spans="1:12" x14ac:dyDescent="0.25">
      <c r="A2736">
        <v>2735</v>
      </c>
      <c r="B2736">
        <v>1101</v>
      </c>
      <c r="C2736">
        <v>1101</v>
      </c>
      <c r="D2736" s="1">
        <v>45691</v>
      </c>
      <c r="E2736" t="s">
        <v>24</v>
      </c>
      <c r="F2736" t="s">
        <v>321</v>
      </c>
      <c r="G2736" t="str">
        <f>_xlfn.XLOOKUP(TRIM(E2737),MedicineInfo!A:A,MedicineInfo!B:B,"Not Found")</f>
        <v>Donepezil</v>
      </c>
      <c r="H2736" s="1" t="str" cm="1">
        <f t="array" ref="H2736">_xlfn.IFS(
OR(E2736="Type 2 Diabetes",E2736="Essential Hypertension",E2736="Angina Pectoris",E2736="Bronchial Asthma",E2736="Cardiac Arrhythmia"), D2736+30,
OR(E2736="Gastritis",E2736="Osteoarthritis",E2736="Bronchitis",E2736="Iron Deficiency Anemia"), D2736+14,
OR(E2736="Lumbar Strain",E2736="Migraine Headache"), D2736+7,
OR(E2736="Viral Fever",E2736="General Checkup","Routine Health Check"), "",
TRUE,""
)</f>
        <v/>
      </c>
      <c r="I2736" s="1" t="str">
        <f t="shared" si="84"/>
        <v>No Follow-up Required</v>
      </c>
      <c r="J2736" t="str">
        <f>TEXT(Table8[[#This Row],[visit_Date]],"DDDD")</f>
        <v>Monday</v>
      </c>
      <c r="K2736" t="str">
        <f>TEXT(Table8[[#This Row],[visit_Date]],"mmmm")</f>
        <v>February</v>
      </c>
      <c r="L2736" t="str">
        <f t="shared" si="85"/>
        <v>Winter</v>
      </c>
    </row>
    <row r="2737" spans="1:12" x14ac:dyDescent="0.25">
      <c r="A2737">
        <v>2736</v>
      </c>
      <c r="B2737">
        <v>1278</v>
      </c>
      <c r="C2737">
        <v>1347</v>
      </c>
      <c r="D2737" s="1">
        <v>45806</v>
      </c>
      <c r="E2737" t="s">
        <v>350</v>
      </c>
      <c r="F2737" t="s">
        <v>351</v>
      </c>
      <c r="G2737" t="str">
        <f>_xlfn.XLOOKUP(TRIM(E2738),MedicineInfo!A:A,MedicineInfo!B:B,"Not Found")</f>
        <v>Multivitamin</v>
      </c>
      <c r="H2737" s="1" t="str" cm="1">
        <f t="array" ref="H2737">_xlfn.IFS(
OR(E2737="Type 2 Diabetes",E2737="Essential Hypertension",E2737="Angina Pectoris",E2737="Bronchial Asthma",E2737="Cardiac Arrhythmia"), D2737+30,
OR(E2737="Gastritis",E2737="Osteoarthritis",E2737="Bronchitis",E2737="Iron Deficiency Anemia"), D2737+14,
OR(E2737="Lumbar Strain",E2737="Migraine Headache"), D2737+7,
OR(E2737="Viral Fever",E2737="General Checkup","Routine Health Check"), "",
TRUE,""
)</f>
        <v/>
      </c>
      <c r="I2737" s="1" t="str">
        <f t="shared" si="84"/>
        <v>No Follow-up Required</v>
      </c>
      <c r="J2737" t="str">
        <f>TEXT(Table8[[#This Row],[visit_Date]],"DDDD")</f>
        <v>Thursday</v>
      </c>
      <c r="K2737" t="str">
        <f>TEXT(Table8[[#This Row],[visit_Date]],"mmmm")</f>
        <v>May</v>
      </c>
      <c r="L2737" t="str">
        <f t="shared" si="85"/>
        <v>Summer</v>
      </c>
    </row>
    <row r="2738" spans="1:12" x14ac:dyDescent="0.25">
      <c r="A2738">
        <v>2737</v>
      </c>
      <c r="B2738">
        <v>1262</v>
      </c>
      <c r="C2738">
        <v>508</v>
      </c>
      <c r="D2738" s="1">
        <v>45747</v>
      </c>
      <c r="E2738" t="s">
        <v>24</v>
      </c>
      <c r="F2738" t="s">
        <v>321</v>
      </c>
      <c r="G2738" t="str">
        <f>_xlfn.XLOOKUP(TRIM(E2739),MedicineInfo!A:A,MedicineInfo!B:B,"Not Found")</f>
        <v>Vitamin D3</v>
      </c>
      <c r="H2738" s="1" t="str" cm="1">
        <f t="array" ref="H2738">_xlfn.IFS(
OR(E2738="Type 2 Diabetes",E2738="Essential Hypertension",E2738="Angina Pectoris",E2738="Bronchial Asthma",E2738="Cardiac Arrhythmia"), D2738+30,
OR(E2738="Gastritis",E2738="Osteoarthritis",E2738="Bronchitis",E2738="Iron Deficiency Anemia"), D2738+14,
OR(E2738="Lumbar Strain",E2738="Migraine Headache"), D2738+7,
OR(E2738="Viral Fever",E2738="General Checkup","Routine Health Check"), "",
TRUE,""
)</f>
        <v/>
      </c>
      <c r="I2738" s="1" t="str">
        <f t="shared" si="84"/>
        <v>No Follow-up Required</v>
      </c>
      <c r="J2738" t="str">
        <f>TEXT(Table8[[#This Row],[visit_Date]],"DDDD")</f>
        <v>Monday</v>
      </c>
      <c r="K2738" t="str">
        <f>TEXT(Table8[[#This Row],[visit_Date]],"mmmm")</f>
        <v>March</v>
      </c>
      <c r="L2738" t="str">
        <f t="shared" si="85"/>
        <v>Summer</v>
      </c>
    </row>
    <row r="2739" spans="1:12" x14ac:dyDescent="0.25">
      <c r="A2739">
        <v>2738</v>
      </c>
      <c r="B2739">
        <v>1200</v>
      </c>
      <c r="C2739">
        <v>1401</v>
      </c>
      <c r="D2739" s="1">
        <v>45848</v>
      </c>
      <c r="E2739" t="s">
        <v>332</v>
      </c>
      <c r="F2739" t="s">
        <v>333</v>
      </c>
      <c r="G2739" t="str">
        <f>_xlfn.XLOOKUP(TRIM(E2740),MedicineInfo!A:A,MedicineInfo!B:B,"Not Found")</f>
        <v>Not Found</v>
      </c>
      <c r="H2739" s="1" t="str" cm="1">
        <f t="array" ref="H2739">_xlfn.IFS(
OR(E2739="Type 2 Diabetes",E2739="Essential Hypertension",E2739="Angina Pectoris",E2739="Bronchial Asthma",E2739="Cardiac Arrhythmia"), D2739+30,
OR(E2739="Gastritis",E2739="Osteoarthritis",E2739="Bronchitis",E2739="Iron Deficiency Anemia"), D2739+14,
OR(E2739="Lumbar Strain",E2739="Migraine Headache"), D2739+7,
OR(E2739="Viral Fever",E2739="General Checkup","Routine Health Check"), "",
TRUE,""
)</f>
        <v/>
      </c>
      <c r="I2739" s="1" t="str">
        <f t="shared" si="84"/>
        <v>No Follow-up Required</v>
      </c>
      <c r="J2739" t="str">
        <f>TEXT(Table8[[#This Row],[visit_Date]],"DDDD")</f>
        <v>Thursday</v>
      </c>
      <c r="K2739" t="str">
        <f>TEXT(Table8[[#This Row],[visit_Date]],"mmmm")</f>
        <v>July</v>
      </c>
      <c r="L2739" t="str">
        <f t="shared" si="85"/>
        <v>Monsoon</v>
      </c>
    </row>
    <row r="2740" spans="1:12" x14ac:dyDescent="0.25">
      <c r="A2740">
        <v>2739</v>
      </c>
      <c r="B2740">
        <v>1200</v>
      </c>
      <c r="C2740">
        <v>1447</v>
      </c>
      <c r="D2740" s="1">
        <v>45791</v>
      </c>
      <c r="E2740" t="s">
        <v>340</v>
      </c>
      <c r="F2740" t="s">
        <v>341</v>
      </c>
      <c r="G2740" t="str">
        <f>_xlfn.XLOOKUP(TRIM(E2741),MedicineInfo!A:A,MedicineInfo!B:B,"Not Found")</f>
        <v>Multivitamin</v>
      </c>
      <c r="H2740" s="1" t="str" cm="1">
        <f t="array" ref="H2740">_xlfn.IFS(
OR(E2740="Type 2 Diabetes",E2740="Essential Hypertension",E2740="Angina Pectoris",E2740="Bronchial Asthma",E2740="Cardiac Arrhythmia"), D2740+30,
OR(E2740="Gastritis",E2740="Osteoarthritis",E2740="Bronchitis",E2740="Iron Deficiency Anemia"), D2740+14,
OR(E2740="Lumbar Strain",E2740="Migraine Headache"), D2740+7,
OR(E2740="Viral Fever",E2740="General Checkup","Routine Health Check"), "",
TRUE,""
)</f>
        <v/>
      </c>
      <c r="I2740" s="1" t="str">
        <f t="shared" si="84"/>
        <v>No Follow-up Required</v>
      </c>
      <c r="J2740" t="str">
        <f>TEXT(Table8[[#This Row],[visit_Date]],"DDDD")</f>
        <v>Wednesday</v>
      </c>
      <c r="K2740" t="str">
        <f>TEXT(Table8[[#This Row],[visit_Date]],"mmmm")</f>
        <v>May</v>
      </c>
      <c r="L2740" t="str">
        <f t="shared" si="85"/>
        <v>Summer</v>
      </c>
    </row>
    <row r="2741" spans="1:12" x14ac:dyDescent="0.25">
      <c r="A2741">
        <v>2740</v>
      </c>
      <c r="B2741">
        <v>1388</v>
      </c>
      <c r="C2741">
        <v>1107</v>
      </c>
      <c r="D2741" s="1">
        <v>45819</v>
      </c>
      <c r="E2741" t="s">
        <v>24</v>
      </c>
      <c r="F2741" t="s">
        <v>321</v>
      </c>
      <c r="G2741" t="str">
        <f>_xlfn.XLOOKUP(TRIM(E2742),MedicineInfo!A:A,MedicineInfo!B:B,"Not Found")</f>
        <v>Multivitamin</v>
      </c>
      <c r="H2741" s="1" t="str" cm="1">
        <f t="array" ref="H2741">_xlfn.IFS(
OR(E2741="Type 2 Diabetes",E2741="Essential Hypertension",E2741="Angina Pectoris",E2741="Bronchial Asthma",E2741="Cardiac Arrhythmia"), D2741+30,
OR(E2741="Gastritis",E2741="Osteoarthritis",E2741="Bronchitis",E2741="Iron Deficiency Anemia"), D2741+14,
OR(E2741="Lumbar Strain",E2741="Migraine Headache"), D2741+7,
OR(E2741="Viral Fever",E2741="General Checkup","Routine Health Check"), "",
TRUE,""
)</f>
        <v/>
      </c>
      <c r="I2741" s="1" t="str">
        <f t="shared" si="84"/>
        <v>No Follow-up Required</v>
      </c>
      <c r="J2741" t="str">
        <f>TEXT(Table8[[#This Row],[visit_Date]],"DDDD")</f>
        <v>Wednesday</v>
      </c>
      <c r="K2741" t="str">
        <f>TEXT(Table8[[#This Row],[visit_Date]],"mmmm")</f>
        <v>June</v>
      </c>
      <c r="L2741" t="str">
        <f t="shared" si="85"/>
        <v>Monsoon</v>
      </c>
    </row>
    <row r="2742" spans="1:12" x14ac:dyDescent="0.25">
      <c r="A2742">
        <v>2741</v>
      </c>
      <c r="B2742">
        <v>1145</v>
      </c>
      <c r="C2742">
        <v>1198</v>
      </c>
      <c r="D2742" s="1">
        <v>45686</v>
      </c>
      <c r="E2742" t="s">
        <v>24</v>
      </c>
      <c r="F2742" t="s">
        <v>321</v>
      </c>
      <c r="G2742" t="str">
        <f>_xlfn.XLOOKUP(TRIM(E2743),MedicineInfo!A:A,MedicineInfo!B:B,"Not Found")</f>
        <v>Multivitamin</v>
      </c>
      <c r="H2742" s="1" t="str" cm="1">
        <f t="array" ref="H2742">_xlfn.IFS(
OR(E2742="Type 2 Diabetes",E2742="Essential Hypertension",E2742="Angina Pectoris",E2742="Bronchial Asthma",E2742="Cardiac Arrhythmia"), D2742+30,
OR(E2742="Gastritis",E2742="Osteoarthritis",E2742="Bronchitis",E2742="Iron Deficiency Anemia"), D2742+14,
OR(E2742="Lumbar Strain",E2742="Migraine Headache"), D2742+7,
OR(E2742="Viral Fever",E2742="General Checkup","Routine Health Check"), "",
TRUE,""
)</f>
        <v/>
      </c>
      <c r="I2742" s="1" t="str">
        <f t="shared" si="84"/>
        <v>No Follow-up Required</v>
      </c>
      <c r="J2742" t="str">
        <f>TEXT(Table8[[#This Row],[visit_Date]],"DDDD")</f>
        <v>Wednesday</v>
      </c>
      <c r="K2742" t="str">
        <f>TEXT(Table8[[#This Row],[visit_Date]],"mmmm")</f>
        <v>January</v>
      </c>
      <c r="L2742" t="str">
        <f t="shared" si="85"/>
        <v>Winter</v>
      </c>
    </row>
    <row r="2743" spans="1:12" x14ac:dyDescent="0.25">
      <c r="A2743">
        <v>2742</v>
      </c>
      <c r="B2743">
        <v>1296</v>
      </c>
      <c r="C2743">
        <v>328</v>
      </c>
      <c r="D2743" s="1">
        <v>45758</v>
      </c>
      <c r="E2743" t="s">
        <v>24</v>
      </c>
      <c r="F2743" t="s">
        <v>321</v>
      </c>
      <c r="G2743" t="str">
        <f>_xlfn.XLOOKUP(TRIM(E2744),MedicineInfo!A:A,MedicineInfo!B:B,"Not Found")</f>
        <v>Not Found</v>
      </c>
      <c r="H2743" s="1" t="str" cm="1">
        <f t="array" ref="H2743">_xlfn.IFS(
OR(E2743="Type 2 Diabetes",E2743="Essential Hypertension",E2743="Angina Pectoris",E2743="Bronchial Asthma",E2743="Cardiac Arrhythmia"), D2743+30,
OR(E2743="Gastritis",E2743="Osteoarthritis",E2743="Bronchitis",E2743="Iron Deficiency Anemia"), D2743+14,
OR(E2743="Lumbar Strain",E2743="Migraine Headache"), D2743+7,
OR(E2743="Viral Fever",E2743="General Checkup","Routine Health Check"), "",
TRUE,""
)</f>
        <v/>
      </c>
      <c r="I2743" s="1" t="str">
        <f t="shared" si="84"/>
        <v>No Follow-up Required</v>
      </c>
      <c r="J2743" t="str">
        <f>TEXT(Table8[[#This Row],[visit_Date]],"DDDD")</f>
        <v>Friday</v>
      </c>
      <c r="K2743" t="str">
        <f>TEXT(Table8[[#This Row],[visit_Date]],"mmmm")</f>
        <v>April</v>
      </c>
      <c r="L2743" t="str">
        <f t="shared" si="85"/>
        <v>Summer</v>
      </c>
    </row>
    <row r="2744" spans="1:12" x14ac:dyDescent="0.25">
      <c r="A2744">
        <v>2743</v>
      </c>
      <c r="B2744">
        <v>1347</v>
      </c>
      <c r="C2744">
        <v>751</v>
      </c>
      <c r="D2744" s="1">
        <v>45691</v>
      </c>
      <c r="E2744" t="s">
        <v>340</v>
      </c>
      <c r="F2744" t="s">
        <v>341</v>
      </c>
      <c r="G2744" t="str">
        <f>_xlfn.XLOOKUP(TRIM(E2745),MedicineInfo!A:A,MedicineInfo!B:B,"Not Found")</f>
        <v>Multivitamin</v>
      </c>
      <c r="H2744" s="1" t="str" cm="1">
        <f t="array" ref="H2744">_xlfn.IFS(
OR(E2744="Type 2 Diabetes",E2744="Essential Hypertension",E2744="Angina Pectoris",E2744="Bronchial Asthma",E2744="Cardiac Arrhythmia"), D2744+30,
OR(E2744="Gastritis",E2744="Osteoarthritis",E2744="Bronchitis",E2744="Iron Deficiency Anemia"), D2744+14,
OR(E2744="Lumbar Strain",E2744="Migraine Headache"), D2744+7,
OR(E2744="Viral Fever",E2744="General Checkup","Routine Health Check"), "",
TRUE,""
)</f>
        <v/>
      </c>
      <c r="I2744" s="1" t="str">
        <f t="shared" si="84"/>
        <v>No Follow-up Required</v>
      </c>
      <c r="J2744" t="str">
        <f>TEXT(Table8[[#This Row],[visit_Date]],"DDDD")</f>
        <v>Monday</v>
      </c>
      <c r="K2744" t="str">
        <f>TEXT(Table8[[#This Row],[visit_Date]],"mmmm")</f>
        <v>February</v>
      </c>
      <c r="L2744" t="str">
        <f t="shared" si="85"/>
        <v>Winter</v>
      </c>
    </row>
    <row r="2745" spans="1:12" x14ac:dyDescent="0.25">
      <c r="A2745">
        <v>2744</v>
      </c>
      <c r="B2745">
        <v>1362</v>
      </c>
      <c r="C2745">
        <v>849</v>
      </c>
      <c r="D2745" s="1">
        <v>45777</v>
      </c>
      <c r="E2745" t="s">
        <v>24</v>
      </c>
      <c r="F2745" t="s">
        <v>321</v>
      </c>
      <c r="G2745" t="str">
        <f>_xlfn.XLOOKUP(TRIM(E2746),MedicineInfo!A:A,MedicineInfo!B:B,"Not Found")</f>
        <v>Multivitamin</v>
      </c>
      <c r="H2745" s="1" t="str" cm="1">
        <f t="array" ref="H2745">_xlfn.IFS(
OR(E2745="Type 2 Diabetes",E2745="Essential Hypertension",E2745="Angina Pectoris",E2745="Bronchial Asthma",E2745="Cardiac Arrhythmia"), D2745+30,
OR(E2745="Gastritis",E2745="Osteoarthritis",E2745="Bronchitis",E2745="Iron Deficiency Anemia"), D2745+14,
OR(E2745="Lumbar Strain",E2745="Migraine Headache"), D2745+7,
OR(E2745="Viral Fever",E2745="General Checkup","Routine Health Check"), "",
TRUE,""
)</f>
        <v/>
      </c>
      <c r="I2745" s="1" t="str">
        <f t="shared" si="84"/>
        <v>No Follow-up Required</v>
      </c>
      <c r="J2745" t="str">
        <f>TEXT(Table8[[#This Row],[visit_Date]],"DDDD")</f>
        <v>Wednesday</v>
      </c>
      <c r="K2745" t="str">
        <f>TEXT(Table8[[#This Row],[visit_Date]],"mmmm")</f>
        <v>April</v>
      </c>
      <c r="L2745" t="str">
        <f t="shared" si="85"/>
        <v>Summer</v>
      </c>
    </row>
    <row r="2746" spans="1:12" x14ac:dyDescent="0.25">
      <c r="A2746">
        <v>2745</v>
      </c>
      <c r="B2746">
        <v>1265</v>
      </c>
      <c r="C2746">
        <v>861</v>
      </c>
      <c r="D2746" s="1">
        <v>45782</v>
      </c>
      <c r="E2746" t="s">
        <v>24</v>
      </c>
      <c r="F2746" t="s">
        <v>321</v>
      </c>
      <c r="G2746" t="str">
        <f>_xlfn.XLOOKUP(TRIM(E2747),MedicineInfo!A:A,MedicineInfo!B:B,"Not Found")</f>
        <v>Multivitamin</v>
      </c>
      <c r="H2746" s="1" t="str" cm="1">
        <f t="array" ref="H2746">_xlfn.IFS(
OR(E2746="Type 2 Diabetes",E2746="Essential Hypertension",E2746="Angina Pectoris",E2746="Bronchial Asthma",E2746="Cardiac Arrhythmia"), D2746+30,
OR(E2746="Gastritis",E2746="Osteoarthritis",E2746="Bronchitis",E2746="Iron Deficiency Anemia"), D2746+14,
OR(E2746="Lumbar Strain",E2746="Migraine Headache"), D2746+7,
OR(E2746="Viral Fever",E2746="General Checkup","Routine Health Check"), "",
TRUE,""
)</f>
        <v/>
      </c>
      <c r="I2746" s="1" t="str">
        <f t="shared" si="84"/>
        <v>No Follow-up Required</v>
      </c>
      <c r="J2746" t="str">
        <f>TEXT(Table8[[#This Row],[visit_Date]],"DDDD")</f>
        <v>Monday</v>
      </c>
      <c r="K2746" t="str">
        <f>TEXT(Table8[[#This Row],[visit_Date]],"mmmm")</f>
        <v>May</v>
      </c>
      <c r="L2746" t="str">
        <f t="shared" si="85"/>
        <v>Summer</v>
      </c>
    </row>
    <row r="2747" spans="1:12" x14ac:dyDescent="0.25">
      <c r="A2747">
        <v>2746</v>
      </c>
      <c r="B2747">
        <v>1081</v>
      </c>
      <c r="C2747">
        <v>307</v>
      </c>
      <c r="D2747" s="1">
        <v>45758</v>
      </c>
      <c r="E2747" t="s">
        <v>24</v>
      </c>
      <c r="F2747" t="s">
        <v>321</v>
      </c>
      <c r="G2747" t="str">
        <f>_xlfn.XLOOKUP(TRIM(E2748),MedicineInfo!A:A,MedicineInfo!B:B,"Not Found")</f>
        <v>Multivitamin</v>
      </c>
      <c r="H2747" s="1" t="str" cm="1">
        <f t="array" ref="H2747">_xlfn.IFS(
OR(E2747="Type 2 Diabetes",E2747="Essential Hypertension",E2747="Angina Pectoris",E2747="Bronchial Asthma",E2747="Cardiac Arrhythmia"), D2747+30,
OR(E2747="Gastritis",E2747="Osteoarthritis",E2747="Bronchitis",E2747="Iron Deficiency Anemia"), D2747+14,
OR(E2747="Lumbar Strain",E2747="Migraine Headache"), D2747+7,
OR(E2747="Viral Fever",E2747="General Checkup","Routine Health Check"), "",
TRUE,""
)</f>
        <v/>
      </c>
      <c r="I2747" s="1" t="str">
        <f t="shared" si="84"/>
        <v>No Follow-up Required</v>
      </c>
      <c r="J2747" t="str">
        <f>TEXT(Table8[[#This Row],[visit_Date]],"DDDD")</f>
        <v>Friday</v>
      </c>
      <c r="K2747" t="str">
        <f>TEXT(Table8[[#This Row],[visit_Date]],"mmmm")</f>
        <v>April</v>
      </c>
      <c r="L2747" t="str">
        <f t="shared" si="85"/>
        <v>Summer</v>
      </c>
    </row>
    <row r="2748" spans="1:12" x14ac:dyDescent="0.25">
      <c r="A2748">
        <v>2747</v>
      </c>
      <c r="B2748">
        <v>1327</v>
      </c>
      <c r="C2748">
        <v>794</v>
      </c>
      <c r="D2748" s="1">
        <v>45823</v>
      </c>
      <c r="E2748" t="s">
        <v>24</v>
      </c>
      <c r="F2748" t="s">
        <v>321</v>
      </c>
      <c r="G2748" t="str">
        <f>_xlfn.XLOOKUP(TRIM(E2749),MedicineInfo!A:A,MedicineInfo!B:B,"Not Found")</f>
        <v>Sodium Valproate</v>
      </c>
      <c r="H2748" s="1" t="str" cm="1">
        <f t="array" ref="H2748">_xlfn.IFS(
OR(E2748="Type 2 Diabetes",E2748="Essential Hypertension",E2748="Angina Pectoris",E2748="Bronchial Asthma",E2748="Cardiac Arrhythmia"), D2748+30,
OR(E2748="Gastritis",E2748="Osteoarthritis",E2748="Bronchitis",E2748="Iron Deficiency Anemia"), D2748+14,
OR(E2748="Lumbar Strain",E2748="Migraine Headache"), D2748+7,
OR(E2748="Viral Fever",E2748="General Checkup","Routine Health Check"), "",
TRUE,""
)</f>
        <v/>
      </c>
      <c r="I2748" s="1" t="str">
        <f t="shared" si="84"/>
        <v>No Follow-up Required</v>
      </c>
      <c r="J2748" t="str">
        <f>TEXT(Table8[[#This Row],[visit_Date]],"DDDD")</f>
        <v>Sunday</v>
      </c>
      <c r="K2748" t="str">
        <f>TEXT(Table8[[#This Row],[visit_Date]],"mmmm")</f>
        <v>June</v>
      </c>
      <c r="L2748" t="str">
        <f t="shared" si="85"/>
        <v>Monsoon</v>
      </c>
    </row>
    <row r="2749" spans="1:12" x14ac:dyDescent="0.25">
      <c r="A2749">
        <v>2748</v>
      </c>
      <c r="B2749">
        <v>1324</v>
      </c>
      <c r="C2749">
        <v>1075</v>
      </c>
      <c r="D2749" s="1">
        <v>45691</v>
      </c>
      <c r="E2749" t="s">
        <v>352</v>
      </c>
      <c r="F2749" t="s">
        <v>353</v>
      </c>
      <c r="G2749" t="str">
        <f>_xlfn.XLOOKUP(TRIM(E2750),MedicineInfo!A:A,MedicineInfo!B:B,"Not Found")</f>
        <v>Paracetamol</v>
      </c>
      <c r="H2749" s="1" t="str" cm="1">
        <f t="array" ref="H2749">_xlfn.IFS(
OR(E2749="Type 2 Diabetes",E2749="Essential Hypertension",E2749="Angina Pectoris",E2749="Bronchial Asthma",E2749="Cardiac Arrhythmia"), D2749+30,
OR(E2749="Gastritis",E2749="Osteoarthritis",E2749="Bronchitis",E2749="Iron Deficiency Anemia"), D2749+14,
OR(E2749="Lumbar Strain",E2749="Migraine Headache"), D2749+7,
OR(E2749="Viral Fever",E2749="General Checkup","Routine Health Check"), "",
TRUE,""
)</f>
        <v/>
      </c>
      <c r="I2749" s="1" t="str">
        <f t="shared" si="84"/>
        <v>No Follow-up Required</v>
      </c>
      <c r="J2749" t="str">
        <f>TEXT(Table8[[#This Row],[visit_Date]],"DDDD")</f>
        <v>Monday</v>
      </c>
      <c r="K2749" t="str">
        <f>TEXT(Table8[[#This Row],[visit_Date]],"mmmm")</f>
        <v>February</v>
      </c>
      <c r="L2749" t="str">
        <f t="shared" si="85"/>
        <v>Winter</v>
      </c>
    </row>
    <row r="2750" spans="1:12" x14ac:dyDescent="0.25">
      <c r="A2750">
        <v>2749</v>
      </c>
      <c r="B2750">
        <v>1227</v>
      </c>
      <c r="C2750">
        <v>683</v>
      </c>
      <c r="D2750" s="1">
        <v>45868</v>
      </c>
      <c r="E2750" t="s">
        <v>326</v>
      </c>
      <c r="F2750" t="s">
        <v>327</v>
      </c>
      <c r="G2750" t="str">
        <f>_xlfn.XLOOKUP(TRIM(E2751),MedicineInfo!A:A,MedicineInfo!B:B,"Not Found")</f>
        <v>Multivitamin</v>
      </c>
      <c r="H2750" s="1" t="str" cm="1">
        <f t="array" ref="H2750">_xlfn.IFS(
OR(E2750="Type 2 Diabetes",E2750="Essential Hypertension",E2750="Angina Pectoris",E2750="Bronchial Asthma",E2750="Cardiac Arrhythmia"), D2750+30,
OR(E2750="Gastritis",E2750="Osteoarthritis",E2750="Bronchitis",E2750="Iron Deficiency Anemia"), D2750+14,
OR(E2750="Lumbar Strain",E2750="Migraine Headache"), D2750+7,
OR(E2750="Viral Fever",E2750="General Checkup","Routine Health Check"), "",
TRUE,""
)</f>
        <v/>
      </c>
      <c r="I2750" s="1" t="str">
        <f t="shared" si="84"/>
        <v>No Follow-up Required</v>
      </c>
      <c r="J2750" t="str">
        <f>TEXT(Table8[[#This Row],[visit_Date]],"DDDD")</f>
        <v>Wednesday</v>
      </c>
      <c r="K2750" t="str">
        <f>TEXT(Table8[[#This Row],[visit_Date]],"mmmm")</f>
        <v>July</v>
      </c>
      <c r="L2750" t="str">
        <f t="shared" si="85"/>
        <v>Monsoon</v>
      </c>
    </row>
    <row r="2751" spans="1:12" x14ac:dyDescent="0.25">
      <c r="A2751">
        <v>2750</v>
      </c>
      <c r="B2751">
        <v>1289</v>
      </c>
      <c r="C2751">
        <v>1435</v>
      </c>
      <c r="D2751" s="1">
        <v>45717</v>
      </c>
      <c r="E2751" t="s">
        <v>24</v>
      </c>
      <c r="F2751" t="s">
        <v>321</v>
      </c>
      <c r="G2751" t="str">
        <f>_xlfn.XLOOKUP(TRIM(E2752),MedicineInfo!A:A,MedicineInfo!B:B,"Not Found")</f>
        <v>Multivitamin</v>
      </c>
      <c r="H2751" s="1" t="str" cm="1">
        <f t="array" ref="H2751">_xlfn.IFS(
OR(E2751="Type 2 Diabetes",E2751="Essential Hypertension",E2751="Angina Pectoris",E2751="Bronchial Asthma",E2751="Cardiac Arrhythmia"), D2751+30,
OR(E2751="Gastritis",E2751="Osteoarthritis",E2751="Bronchitis",E2751="Iron Deficiency Anemia"), D2751+14,
OR(E2751="Lumbar Strain",E2751="Migraine Headache"), D2751+7,
OR(E2751="Viral Fever",E2751="General Checkup","Routine Health Check"), "",
TRUE,""
)</f>
        <v/>
      </c>
      <c r="I2751" s="1" t="str">
        <f t="shared" si="84"/>
        <v>No Follow-up Required</v>
      </c>
      <c r="J2751" t="str">
        <f>TEXT(Table8[[#This Row],[visit_Date]],"DDDD")</f>
        <v>Saturday</v>
      </c>
      <c r="K2751" t="str">
        <f>TEXT(Table8[[#This Row],[visit_Date]],"mmmm")</f>
        <v>March</v>
      </c>
      <c r="L2751" t="str">
        <f t="shared" si="85"/>
        <v>Summer</v>
      </c>
    </row>
    <row r="2752" spans="1:12" x14ac:dyDescent="0.25">
      <c r="A2752">
        <v>2751</v>
      </c>
      <c r="B2752">
        <v>1232</v>
      </c>
      <c r="C2752">
        <v>1022</v>
      </c>
      <c r="D2752" s="1">
        <v>45792</v>
      </c>
      <c r="E2752" t="s">
        <v>24</v>
      </c>
      <c r="F2752" t="s">
        <v>321</v>
      </c>
      <c r="G2752" t="str">
        <f>_xlfn.XLOOKUP(TRIM(E2753),MedicineInfo!A:A,MedicineInfo!B:B,"Not Found")</f>
        <v>Multivitamin</v>
      </c>
      <c r="H2752" s="1" t="str" cm="1">
        <f t="array" ref="H2752">_xlfn.IFS(
OR(E2752="Type 2 Diabetes",E2752="Essential Hypertension",E2752="Angina Pectoris",E2752="Bronchial Asthma",E2752="Cardiac Arrhythmia"), D2752+30,
OR(E2752="Gastritis",E2752="Osteoarthritis",E2752="Bronchitis",E2752="Iron Deficiency Anemia"), D2752+14,
OR(E2752="Lumbar Strain",E2752="Migraine Headache"), D2752+7,
OR(E2752="Viral Fever",E2752="General Checkup","Routine Health Check"), "",
TRUE,""
)</f>
        <v/>
      </c>
      <c r="I2752" s="1" t="str">
        <f t="shared" si="84"/>
        <v>No Follow-up Required</v>
      </c>
      <c r="J2752" t="str">
        <f>TEXT(Table8[[#This Row],[visit_Date]],"DDDD")</f>
        <v>Thursday</v>
      </c>
      <c r="K2752" t="str">
        <f>TEXT(Table8[[#This Row],[visit_Date]],"mmmm")</f>
        <v>May</v>
      </c>
      <c r="L2752" t="str">
        <f t="shared" si="85"/>
        <v>Summer</v>
      </c>
    </row>
    <row r="2753" spans="1:12" x14ac:dyDescent="0.25">
      <c r="A2753">
        <v>2752</v>
      </c>
      <c r="B2753">
        <v>1034</v>
      </c>
      <c r="C2753">
        <v>620</v>
      </c>
      <c r="D2753" s="1">
        <v>45732</v>
      </c>
      <c r="E2753" t="s">
        <v>24</v>
      </c>
      <c r="F2753" t="s">
        <v>321</v>
      </c>
      <c r="G2753" t="str">
        <f>_xlfn.XLOOKUP(TRIM(E2754),MedicineInfo!A:A,MedicineInfo!B:B,"Not Found")</f>
        <v>Multivitamin</v>
      </c>
      <c r="H2753" s="1" t="str" cm="1">
        <f t="array" ref="H2753">_xlfn.IFS(
OR(E2753="Type 2 Diabetes",E2753="Essential Hypertension",E2753="Angina Pectoris",E2753="Bronchial Asthma",E2753="Cardiac Arrhythmia"), D2753+30,
OR(E2753="Gastritis",E2753="Osteoarthritis",E2753="Bronchitis",E2753="Iron Deficiency Anemia"), D2753+14,
OR(E2753="Lumbar Strain",E2753="Migraine Headache"), D2753+7,
OR(E2753="Viral Fever",E2753="General Checkup","Routine Health Check"), "",
TRUE,""
)</f>
        <v/>
      </c>
      <c r="I2753" s="1" t="str">
        <f t="shared" si="84"/>
        <v>No Follow-up Required</v>
      </c>
      <c r="J2753" t="str">
        <f>TEXT(Table8[[#This Row],[visit_Date]],"DDDD")</f>
        <v>Sunday</v>
      </c>
      <c r="K2753" t="str">
        <f>TEXT(Table8[[#This Row],[visit_Date]],"mmmm")</f>
        <v>March</v>
      </c>
      <c r="L2753" t="str">
        <f t="shared" si="85"/>
        <v>Summer</v>
      </c>
    </row>
    <row r="2754" spans="1:12" x14ac:dyDescent="0.25">
      <c r="A2754">
        <v>2753</v>
      </c>
      <c r="B2754">
        <v>1192</v>
      </c>
      <c r="C2754">
        <v>1096</v>
      </c>
      <c r="D2754" s="1">
        <v>45792</v>
      </c>
      <c r="E2754" t="s">
        <v>24</v>
      </c>
      <c r="F2754" t="s">
        <v>321</v>
      </c>
      <c r="G2754" t="str">
        <f>_xlfn.XLOOKUP(TRIM(E2755),MedicineInfo!A:A,MedicineInfo!B:B,"Not Found")</f>
        <v>Multivitamin</v>
      </c>
      <c r="H2754" s="1" t="str" cm="1">
        <f t="array" ref="H2754">_xlfn.IFS(
OR(E2754="Type 2 Diabetes",E2754="Essential Hypertension",E2754="Angina Pectoris",E2754="Bronchial Asthma",E2754="Cardiac Arrhythmia"), D2754+30,
OR(E2754="Gastritis",E2754="Osteoarthritis",E2754="Bronchitis",E2754="Iron Deficiency Anemia"), D2754+14,
OR(E2754="Lumbar Strain",E2754="Migraine Headache"), D2754+7,
OR(E2754="Viral Fever",E2754="General Checkup","Routine Health Check"), "",
TRUE,""
)</f>
        <v/>
      </c>
      <c r="I2754" s="1" t="str">
        <f t="shared" ref="I2754:I2817" si="86">IF(H2754="","No Follow-up Required","Follow-up Scheduled")</f>
        <v>No Follow-up Required</v>
      </c>
      <c r="J2754" t="str">
        <f>TEXT(Table8[[#This Row],[visit_Date]],"DDDD")</f>
        <v>Thursday</v>
      </c>
      <c r="K2754" t="str">
        <f>TEXT(Table8[[#This Row],[visit_Date]],"mmmm")</f>
        <v>May</v>
      </c>
      <c r="L2754" t="str">
        <f t="shared" ref="L2754:L2817" si="87">IF(OR(MONTH(D2754)=12,MONTH(D2754)&lt;=2),"Winter",
IF(MONTH(D2754)&lt;=5,"Summer","Monsoon"))</f>
        <v>Summer</v>
      </c>
    </row>
    <row r="2755" spans="1:12" x14ac:dyDescent="0.25">
      <c r="A2755">
        <v>2754</v>
      </c>
      <c r="B2755">
        <v>1020</v>
      </c>
      <c r="C2755">
        <v>779</v>
      </c>
      <c r="D2755" s="1">
        <v>45819</v>
      </c>
      <c r="E2755" t="s">
        <v>24</v>
      </c>
      <c r="F2755" t="s">
        <v>321</v>
      </c>
      <c r="G2755" t="str">
        <f>_xlfn.XLOOKUP(TRIM(E2756),MedicineInfo!A:A,MedicineInfo!B:B,"Not Found")</f>
        <v>Multivitamin</v>
      </c>
      <c r="H2755" s="1" t="str" cm="1">
        <f t="array" ref="H2755">_xlfn.IFS(
OR(E2755="Type 2 Diabetes",E2755="Essential Hypertension",E2755="Angina Pectoris",E2755="Bronchial Asthma",E2755="Cardiac Arrhythmia"), D2755+30,
OR(E2755="Gastritis",E2755="Osteoarthritis",E2755="Bronchitis",E2755="Iron Deficiency Anemia"), D2755+14,
OR(E2755="Lumbar Strain",E2755="Migraine Headache"), D2755+7,
OR(E2755="Viral Fever",E2755="General Checkup","Routine Health Check"), "",
TRUE,""
)</f>
        <v/>
      </c>
      <c r="I2755" s="1" t="str">
        <f t="shared" si="86"/>
        <v>No Follow-up Required</v>
      </c>
      <c r="J2755" t="str">
        <f>TEXT(Table8[[#This Row],[visit_Date]],"DDDD")</f>
        <v>Wednesday</v>
      </c>
      <c r="K2755" t="str">
        <f>TEXT(Table8[[#This Row],[visit_Date]],"mmmm")</f>
        <v>June</v>
      </c>
      <c r="L2755" t="str">
        <f t="shared" si="87"/>
        <v>Monsoon</v>
      </c>
    </row>
    <row r="2756" spans="1:12" x14ac:dyDescent="0.25">
      <c r="A2756">
        <v>2755</v>
      </c>
      <c r="B2756">
        <v>1343</v>
      </c>
      <c r="C2756">
        <v>1357</v>
      </c>
      <c r="D2756" s="1">
        <v>45675</v>
      </c>
      <c r="E2756" t="s">
        <v>24</v>
      </c>
      <c r="F2756" t="s">
        <v>321</v>
      </c>
      <c r="G2756" t="str">
        <f>_xlfn.XLOOKUP(TRIM(E2757),MedicineInfo!A:A,MedicineInfo!B:B,"Not Found")</f>
        <v>Multivitamin</v>
      </c>
      <c r="H2756" s="1" t="str" cm="1">
        <f t="array" ref="H2756">_xlfn.IFS(
OR(E2756="Type 2 Diabetes",E2756="Essential Hypertension",E2756="Angina Pectoris",E2756="Bronchial Asthma",E2756="Cardiac Arrhythmia"), D2756+30,
OR(E2756="Gastritis",E2756="Osteoarthritis",E2756="Bronchitis",E2756="Iron Deficiency Anemia"), D2756+14,
OR(E2756="Lumbar Strain",E2756="Migraine Headache"), D2756+7,
OR(E2756="Viral Fever",E2756="General Checkup","Routine Health Check"), "",
TRUE,""
)</f>
        <v/>
      </c>
      <c r="I2756" s="1" t="str">
        <f t="shared" si="86"/>
        <v>No Follow-up Required</v>
      </c>
      <c r="J2756" t="str">
        <f>TEXT(Table8[[#This Row],[visit_Date]],"DDDD")</f>
        <v>Saturday</v>
      </c>
      <c r="K2756" t="str">
        <f>TEXT(Table8[[#This Row],[visit_Date]],"mmmm")</f>
        <v>January</v>
      </c>
      <c r="L2756" t="str">
        <f t="shared" si="87"/>
        <v>Winter</v>
      </c>
    </row>
    <row r="2757" spans="1:12" x14ac:dyDescent="0.25">
      <c r="A2757">
        <v>2756</v>
      </c>
      <c r="B2757">
        <v>1066</v>
      </c>
      <c r="C2757">
        <v>1257</v>
      </c>
      <c r="D2757" s="1">
        <v>45791</v>
      </c>
      <c r="E2757" t="s">
        <v>24</v>
      </c>
      <c r="F2757" t="s">
        <v>321</v>
      </c>
      <c r="G2757" t="str">
        <f>_xlfn.XLOOKUP(TRIM(E2758),MedicineInfo!A:A,MedicineInfo!B:B,"Not Found")</f>
        <v>Nitroglycerin</v>
      </c>
      <c r="H2757" s="1" t="str" cm="1">
        <f t="array" ref="H2757">_xlfn.IFS(
OR(E2757="Type 2 Diabetes",E2757="Essential Hypertension",E2757="Angina Pectoris",E2757="Bronchial Asthma",E2757="Cardiac Arrhythmia"), D2757+30,
OR(E2757="Gastritis",E2757="Osteoarthritis",E2757="Bronchitis",E2757="Iron Deficiency Anemia"), D2757+14,
OR(E2757="Lumbar Strain",E2757="Migraine Headache"), D2757+7,
OR(E2757="Viral Fever",E2757="General Checkup","Routine Health Check"), "",
TRUE,""
)</f>
        <v/>
      </c>
      <c r="I2757" s="1" t="str">
        <f t="shared" si="86"/>
        <v>No Follow-up Required</v>
      </c>
      <c r="J2757" t="str">
        <f>TEXT(Table8[[#This Row],[visit_Date]],"DDDD")</f>
        <v>Wednesday</v>
      </c>
      <c r="K2757" t="str">
        <f>TEXT(Table8[[#This Row],[visit_Date]],"mmmm")</f>
        <v>May</v>
      </c>
      <c r="L2757" t="str">
        <f t="shared" si="87"/>
        <v>Summer</v>
      </c>
    </row>
    <row r="2758" spans="1:12" x14ac:dyDescent="0.25">
      <c r="A2758">
        <v>2757</v>
      </c>
      <c r="B2758">
        <v>1243</v>
      </c>
      <c r="C2758">
        <v>1528</v>
      </c>
      <c r="D2758" s="1">
        <v>45746</v>
      </c>
      <c r="E2758" t="s">
        <v>322</v>
      </c>
      <c r="F2758" t="s">
        <v>323</v>
      </c>
      <c r="G2758" t="str">
        <f>_xlfn.XLOOKUP(TRIM(E2759),MedicineInfo!A:A,MedicineInfo!B:B,"Not Found")</f>
        <v>Vitamin D3</v>
      </c>
      <c r="H2758" s="1" cm="1">
        <f t="array" ref="H2758">_xlfn.IFS(
OR(E2758="Type 2 Diabetes",E2758="Essential Hypertension",E2758="Angina Pectoris",E2758="Bronchial Asthma",E2758="Cardiac Arrhythmia"), D2758+30,
OR(E2758="Gastritis",E2758="Osteoarthritis",E2758="Bronchitis",E2758="Iron Deficiency Anemia"), D2758+14,
OR(E2758="Lumbar Strain",E2758="Migraine Headache"), D2758+7,
OR(E2758="Viral Fever",E2758="General Checkup","Routine Health Check"), "",
TRUE,""
)</f>
        <v>45776</v>
      </c>
      <c r="I2758" s="1" t="str">
        <f t="shared" si="86"/>
        <v>Follow-up Scheduled</v>
      </c>
      <c r="J2758" t="str">
        <f>TEXT(Table8[[#This Row],[visit_Date]],"DDDD")</f>
        <v>Sunday</v>
      </c>
      <c r="K2758" t="str">
        <f>TEXT(Table8[[#This Row],[visit_Date]],"mmmm")</f>
        <v>March</v>
      </c>
      <c r="L2758" t="str">
        <f t="shared" si="87"/>
        <v>Summer</v>
      </c>
    </row>
    <row r="2759" spans="1:12" x14ac:dyDescent="0.25">
      <c r="A2759">
        <v>2758</v>
      </c>
      <c r="B2759">
        <v>1041</v>
      </c>
      <c r="C2759">
        <v>1180</v>
      </c>
      <c r="D2759" s="1">
        <v>45793</v>
      </c>
      <c r="E2759" t="s">
        <v>332</v>
      </c>
      <c r="F2759" t="s">
        <v>333</v>
      </c>
      <c r="G2759" t="str">
        <f>_xlfn.XLOOKUP(TRIM(E2760),MedicineInfo!A:A,MedicineInfo!B:B,"Not Found")</f>
        <v>Multivitamin</v>
      </c>
      <c r="H2759" s="1" t="str" cm="1">
        <f t="array" ref="H2759">_xlfn.IFS(
OR(E2759="Type 2 Diabetes",E2759="Essential Hypertension",E2759="Angina Pectoris",E2759="Bronchial Asthma",E2759="Cardiac Arrhythmia"), D2759+30,
OR(E2759="Gastritis",E2759="Osteoarthritis",E2759="Bronchitis",E2759="Iron Deficiency Anemia"), D2759+14,
OR(E2759="Lumbar Strain",E2759="Migraine Headache"), D2759+7,
OR(E2759="Viral Fever",E2759="General Checkup","Routine Health Check"), "",
TRUE,""
)</f>
        <v/>
      </c>
      <c r="I2759" s="1" t="str">
        <f t="shared" si="86"/>
        <v>No Follow-up Required</v>
      </c>
      <c r="J2759" t="str">
        <f>TEXT(Table8[[#This Row],[visit_Date]],"DDDD")</f>
        <v>Friday</v>
      </c>
      <c r="K2759" t="str">
        <f>TEXT(Table8[[#This Row],[visit_Date]],"mmmm")</f>
        <v>May</v>
      </c>
      <c r="L2759" t="str">
        <f t="shared" si="87"/>
        <v>Summer</v>
      </c>
    </row>
    <row r="2760" spans="1:12" x14ac:dyDescent="0.25">
      <c r="A2760">
        <v>2759</v>
      </c>
      <c r="B2760">
        <v>1354</v>
      </c>
      <c r="C2760">
        <v>1226</v>
      </c>
      <c r="D2760" s="1">
        <v>45783</v>
      </c>
      <c r="E2760" t="s">
        <v>24</v>
      </c>
      <c r="F2760" t="s">
        <v>321</v>
      </c>
      <c r="G2760" t="str">
        <f>_xlfn.XLOOKUP(TRIM(E2761),MedicineInfo!A:A,MedicineInfo!B:B,"Not Found")</f>
        <v>Folic Acid</v>
      </c>
      <c r="H2760" s="1" t="str" cm="1">
        <f t="array" ref="H2760">_xlfn.IFS(
OR(E2760="Type 2 Diabetes",E2760="Essential Hypertension",E2760="Angina Pectoris",E2760="Bronchial Asthma",E2760="Cardiac Arrhythmia"), D2760+30,
OR(E2760="Gastritis",E2760="Osteoarthritis",E2760="Bronchitis",E2760="Iron Deficiency Anemia"), D2760+14,
OR(E2760="Lumbar Strain",E2760="Migraine Headache"), D2760+7,
OR(E2760="Viral Fever",E2760="General Checkup","Routine Health Check"), "",
TRUE,""
)</f>
        <v/>
      </c>
      <c r="I2760" s="1" t="str">
        <f t="shared" si="86"/>
        <v>No Follow-up Required</v>
      </c>
      <c r="J2760" t="str">
        <f>TEXT(Table8[[#This Row],[visit_Date]],"DDDD")</f>
        <v>Tuesday</v>
      </c>
      <c r="K2760" t="str">
        <f>TEXT(Table8[[#This Row],[visit_Date]],"mmmm")</f>
        <v>May</v>
      </c>
      <c r="L2760" t="str">
        <f t="shared" si="87"/>
        <v>Summer</v>
      </c>
    </row>
    <row r="2761" spans="1:12" x14ac:dyDescent="0.25">
      <c r="A2761">
        <v>2760</v>
      </c>
      <c r="B2761">
        <v>1007</v>
      </c>
      <c r="C2761">
        <v>868</v>
      </c>
      <c r="D2761" s="1">
        <v>45792</v>
      </c>
      <c r="E2761" t="s">
        <v>356</v>
      </c>
      <c r="F2761" t="s">
        <v>357</v>
      </c>
      <c r="G2761" t="str">
        <f>_xlfn.XLOOKUP(TRIM(E2762),MedicineInfo!A:A,MedicineInfo!B:B,"Not Found")</f>
        <v>Donepezil</v>
      </c>
      <c r="H2761" s="1" t="str" cm="1">
        <f t="array" ref="H2761">_xlfn.IFS(
OR(E2761="Type 2 Diabetes",E2761="Essential Hypertension",E2761="Angina Pectoris",E2761="Bronchial Asthma",E2761="Cardiac Arrhythmia"), D2761+30,
OR(E2761="Gastritis",E2761="Osteoarthritis",E2761="Bronchitis",E2761="Iron Deficiency Anemia"), D2761+14,
OR(E2761="Lumbar Strain",E2761="Migraine Headache"), D2761+7,
OR(E2761="Viral Fever",E2761="General Checkup","Routine Health Check"), "",
TRUE,""
)</f>
        <v/>
      </c>
      <c r="I2761" s="1" t="str">
        <f t="shared" si="86"/>
        <v>No Follow-up Required</v>
      </c>
      <c r="J2761" t="str">
        <f>TEXT(Table8[[#This Row],[visit_Date]],"DDDD")</f>
        <v>Thursday</v>
      </c>
      <c r="K2761" t="str">
        <f>TEXT(Table8[[#This Row],[visit_Date]],"mmmm")</f>
        <v>May</v>
      </c>
      <c r="L2761" t="str">
        <f t="shared" si="87"/>
        <v>Summer</v>
      </c>
    </row>
    <row r="2762" spans="1:12" x14ac:dyDescent="0.25">
      <c r="A2762">
        <v>2761</v>
      </c>
      <c r="B2762">
        <v>1328</v>
      </c>
      <c r="C2762">
        <v>151</v>
      </c>
      <c r="D2762" s="1">
        <v>45686</v>
      </c>
      <c r="E2762" t="s">
        <v>350</v>
      </c>
      <c r="F2762" t="s">
        <v>351</v>
      </c>
      <c r="G2762" t="str">
        <f>_xlfn.XLOOKUP(TRIM(E2763),MedicineInfo!A:A,MedicineInfo!B:B,"Not Found")</f>
        <v>Nitroglycerin</v>
      </c>
      <c r="H2762" s="1" t="str" cm="1">
        <f t="array" ref="H2762">_xlfn.IFS(
OR(E2762="Type 2 Diabetes",E2762="Essential Hypertension",E2762="Angina Pectoris",E2762="Bronchial Asthma",E2762="Cardiac Arrhythmia"), D2762+30,
OR(E2762="Gastritis",E2762="Osteoarthritis",E2762="Bronchitis",E2762="Iron Deficiency Anemia"), D2762+14,
OR(E2762="Lumbar Strain",E2762="Migraine Headache"), D2762+7,
OR(E2762="Viral Fever",E2762="General Checkup","Routine Health Check"), "",
TRUE,""
)</f>
        <v/>
      </c>
      <c r="I2762" s="1" t="str">
        <f t="shared" si="86"/>
        <v>No Follow-up Required</v>
      </c>
      <c r="J2762" t="str">
        <f>TEXT(Table8[[#This Row],[visit_Date]],"DDDD")</f>
        <v>Wednesday</v>
      </c>
      <c r="K2762" t="str">
        <f>TEXT(Table8[[#This Row],[visit_Date]],"mmmm")</f>
        <v>January</v>
      </c>
      <c r="L2762" t="str">
        <f t="shared" si="87"/>
        <v>Winter</v>
      </c>
    </row>
    <row r="2763" spans="1:12" x14ac:dyDescent="0.25">
      <c r="A2763">
        <v>2762</v>
      </c>
      <c r="B2763">
        <v>1265</v>
      </c>
      <c r="C2763">
        <v>1572</v>
      </c>
      <c r="D2763" s="1">
        <v>45672</v>
      </c>
      <c r="E2763" t="s">
        <v>322</v>
      </c>
      <c r="F2763" t="s">
        <v>323</v>
      </c>
      <c r="G2763" t="str">
        <f>_xlfn.XLOOKUP(TRIM(E2764),MedicineInfo!A:A,MedicineInfo!B:B,"Not Found")</f>
        <v>Aceclofenac</v>
      </c>
      <c r="H2763" s="1" cm="1">
        <f t="array" ref="H2763">_xlfn.IFS(
OR(E2763="Type 2 Diabetes",E2763="Essential Hypertension",E2763="Angina Pectoris",E2763="Bronchial Asthma",E2763="Cardiac Arrhythmia"), D2763+30,
OR(E2763="Gastritis",E2763="Osteoarthritis",E2763="Bronchitis",E2763="Iron Deficiency Anemia"), D2763+14,
OR(E2763="Lumbar Strain",E2763="Migraine Headache"), D2763+7,
OR(E2763="Viral Fever",E2763="General Checkup","Routine Health Check"), "",
TRUE,""
)</f>
        <v>45702</v>
      </c>
      <c r="I2763" s="1" t="str">
        <f t="shared" si="86"/>
        <v>Follow-up Scheduled</v>
      </c>
      <c r="J2763" t="str">
        <f>TEXT(Table8[[#This Row],[visit_Date]],"DDDD")</f>
        <v>Wednesday</v>
      </c>
      <c r="K2763" t="str">
        <f>TEXT(Table8[[#This Row],[visit_Date]],"mmmm")</f>
        <v>January</v>
      </c>
      <c r="L2763" t="str">
        <f t="shared" si="87"/>
        <v>Winter</v>
      </c>
    </row>
    <row r="2764" spans="1:12" x14ac:dyDescent="0.25">
      <c r="A2764">
        <v>2763</v>
      </c>
      <c r="B2764">
        <v>1306</v>
      </c>
      <c r="C2764">
        <v>554</v>
      </c>
      <c r="D2764" s="1">
        <v>45814</v>
      </c>
      <c r="E2764" t="s">
        <v>348</v>
      </c>
      <c r="F2764" t="s">
        <v>349</v>
      </c>
      <c r="G2764" t="str">
        <f>_xlfn.XLOOKUP(TRIM(E2765),MedicineInfo!A:A,MedicineInfo!B:B,"Not Found")</f>
        <v>Multivitamin</v>
      </c>
      <c r="H2764" s="1" cm="1">
        <f t="array" ref="H2764">_xlfn.IFS(
OR(E2764="Type 2 Diabetes",E2764="Essential Hypertension",E2764="Angina Pectoris",E2764="Bronchial Asthma",E2764="Cardiac Arrhythmia"), D2764+30,
OR(E2764="Gastritis",E2764="Osteoarthritis",E2764="Bronchitis",E2764="Iron Deficiency Anemia"), D2764+14,
OR(E2764="Lumbar Strain",E2764="Migraine Headache"), D2764+7,
OR(E2764="Viral Fever",E2764="General Checkup","Routine Health Check"), "",
TRUE,""
)</f>
        <v>45828</v>
      </c>
      <c r="I2764" s="1" t="str">
        <f t="shared" si="86"/>
        <v>Follow-up Scheduled</v>
      </c>
      <c r="J2764" t="str">
        <f>TEXT(Table8[[#This Row],[visit_Date]],"DDDD")</f>
        <v>Friday</v>
      </c>
      <c r="K2764" t="str">
        <f>TEXT(Table8[[#This Row],[visit_Date]],"mmmm")</f>
        <v>June</v>
      </c>
      <c r="L2764" t="str">
        <f t="shared" si="87"/>
        <v>Monsoon</v>
      </c>
    </row>
    <row r="2765" spans="1:12" x14ac:dyDescent="0.25">
      <c r="A2765">
        <v>2764</v>
      </c>
      <c r="B2765">
        <v>1074</v>
      </c>
      <c r="C2765">
        <v>1271</v>
      </c>
      <c r="D2765" s="1">
        <v>45798</v>
      </c>
      <c r="E2765" t="s">
        <v>24</v>
      </c>
      <c r="F2765" t="s">
        <v>321</v>
      </c>
      <c r="G2765" t="str">
        <f>_xlfn.XLOOKUP(TRIM(E2766),MedicineInfo!A:A,MedicineInfo!B:B,"Not Found")</f>
        <v>Multivitamin</v>
      </c>
      <c r="H2765" s="1" t="str" cm="1">
        <f t="array" ref="H2765">_xlfn.IFS(
OR(E2765="Type 2 Diabetes",E2765="Essential Hypertension",E2765="Angina Pectoris",E2765="Bronchial Asthma",E2765="Cardiac Arrhythmia"), D2765+30,
OR(E2765="Gastritis",E2765="Osteoarthritis",E2765="Bronchitis",E2765="Iron Deficiency Anemia"), D2765+14,
OR(E2765="Lumbar Strain",E2765="Migraine Headache"), D2765+7,
OR(E2765="Viral Fever",E2765="General Checkup","Routine Health Check"), "",
TRUE,""
)</f>
        <v/>
      </c>
      <c r="I2765" s="1" t="str">
        <f t="shared" si="86"/>
        <v>No Follow-up Required</v>
      </c>
      <c r="J2765" t="str">
        <f>TEXT(Table8[[#This Row],[visit_Date]],"DDDD")</f>
        <v>Wednesday</v>
      </c>
      <c r="K2765" t="str">
        <f>TEXT(Table8[[#This Row],[visit_Date]],"mmmm")</f>
        <v>May</v>
      </c>
      <c r="L2765" t="str">
        <f t="shared" si="87"/>
        <v>Summer</v>
      </c>
    </row>
    <row r="2766" spans="1:12" x14ac:dyDescent="0.25">
      <c r="A2766">
        <v>2765</v>
      </c>
      <c r="B2766">
        <v>1049</v>
      </c>
      <c r="C2766">
        <v>1239</v>
      </c>
      <c r="D2766" s="1">
        <v>45791</v>
      </c>
      <c r="E2766" t="s">
        <v>24</v>
      </c>
      <c r="F2766" t="s">
        <v>321</v>
      </c>
      <c r="G2766" t="str">
        <f>_xlfn.XLOOKUP(TRIM(E2767),MedicineInfo!A:A,MedicineInfo!B:B,"Not Found")</f>
        <v>Multivitamin</v>
      </c>
      <c r="H2766" s="1" t="str" cm="1">
        <f t="array" ref="H2766">_xlfn.IFS(
OR(E2766="Type 2 Diabetes",E2766="Essential Hypertension",E2766="Angina Pectoris",E2766="Bronchial Asthma",E2766="Cardiac Arrhythmia"), D2766+30,
OR(E2766="Gastritis",E2766="Osteoarthritis",E2766="Bronchitis",E2766="Iron Deficiency Anemia"), D2766+14,
OR(E2766="Lumbar Strain",E2766="Migraine Headache"), D2766+7,
OR(E2766="Viral Fever",E2766="General Checkup","Routine Health Check"), "",
TRUE,""
)</f>
        <v/>
      </c>
      <c r="I2766" s="1" t="str">
        <f t="shared" si="86"/>
        <v>No Follow-up Required</v>
      </c>
      <c r="J2766" t="str">
        <f>TEXT(Table8[[#This Row],[visit_Date]],"DDDD")</f>
        <v>Wednesday</v>
      </c>
      <c r="K2766" t="str">
        <f>TEXT(Table8[[#This Row],[visit_Date]],"mmmm")</f>
        <v>May</v>
      </c>
      <c r="L2766" t="str">
        <f t="shared" si="87"/>
        <v>Summer</v>
      </c>
    </row>
    <row r="2767" spans="1:12" x14ac:dyDescent="0.25">
      <c r="A2767">
        <v>2766</v>
      </c>
      <c r="B2767">
        <v>1144</v>
      </c>
      <c r="C2767">
        <v>413</v>
      </c>
      <c r="D2767" s="1">
        <v>45712</v>
      </c>
      <c r="E2767" t="s">
        <v>24</v>
      </c>
      <c r="F2767" t="s">
        <v>321</v>
      </c>
      <c r="G2767" t="str">
        <f>_xlfn.XLOOKUP(TRIM(E2768),MedicineInfo!A:A,MedicineInfo!B:B,"Not Found")</f>
        <v>Multivitamin</v>
      </c>
      <c r="H2767" s="1" t="str" cm="1">
        <f t="array" ref="H2767">_xlfn.IFS(
OR(E2767="Type 2 Diabetes",E2767="Essential Hypertension",E2767="Angina Pectoris",E2767="Bronchial Asthma",E2767="Cardiac Arrhythmia"), D2767+30,
OR(E2767="Gastritis",E2767="Osteoarthritis",E2767="Bronchitis",E2767="Iron Deficiency Anemia"), D2767+14,
OR(E2767="Lumbar Strain",E2767="Migraine Headache"), D2767+7,
OR(E2767="Viral Fever",E2767="General Checkup","Routine Health Check"), "",
TRUE,""
)</f>
        <v/>
      </c>
      <c r="I2767" s="1" t="str">
        <f t="shared" si="86"/>
        <v>No Follow-up Required</v>
      </c>
      <c r="J2767" t="str">
        <f>TEXT(Table8[[#This Row],[visit_Date]],"DDDD")</f>
        <v>Monday</v>
      </c>
      <c r="K2767" t="str">
        <f>TEXT(Table8[[#This Row],[visit_Date]],"mmmm")</f>
        <v>February</v>
      </c>
      <c r="L2767" t="str">
        <f t="shared" si="87"/>
        <v>Winter</v>
      </c>
    </row>
    <row r="2768" spans="1:12" x14ac:dyDescent="0.25">
      <c r="A2768">
        <v>2767</v>
      </c>
      <c r="B2768">
        <v>1177</v>
      </c>
      <c r="C2768">
        <v>1067</v>
      </c>
      <c r="D2768" s="1">
        <v>45792</v>
      </c>
      <c r="E2768" t="s">
        <v>24</v>
      </c>
      <c r="F2768" t="s">
        <v>321</v>
      </c>
      <c r="G2768" t="str">
        <f>_xlfn.XLOOKUP(TRIM(E2769),MedicineInfo!A:A,MedicineInfo!B:B,"Not Found")</f>
        <v>Amlodipine</v>
      </c>
      <c r="H2768" s="1" t="str" cm="1">
        <f t="array" ref="H2768">_xlfn.IFS(
OR(E2768="Type 2 Diabetes",E2768="Essential Hypertension",E2768="Angina Pectoris",E2768="Bronchial Asthma",E2768="Cardiac Arrhythmia"), D2768+30,
OR(E2768="Gastritis",E2768="Osteoarthritis",E2768="Bronchitis",E2768="Iron Deficiency Anemia"), D2768+14,
OR(E2768="Lumbar Strain",E2768="Migraine Headache"), D2768+7,
OR(E2768="Viral Fever",E2768="General Checkup","Routine Health Check"), "",
TRUE,""
)</f>
        <v/>
      </c>
      <c r="I2768" s="1" t="str">
        <f t="shared" si="86"/>
        <v>No Follow-up Required</v>
      </c>
      <c r="J2768" t="str">
        <f>TEXT(Table8[[#This Row],[visit_Date]],"DDDD")</f>
        <v>Thursday</v>
      </c>
      <c r="K2768" t="str">
        <f>TEXT(Table8[[#This Row],[visit_Date]],"mmmm")</f>
        <v>May</v>
      </c>
      <c r="L2768" t="str">
        <f t="shared" si="87"/>
        <v>Summer</v>
      </c>
    </row>
    <row r="2769" spans="1:12" x14ac:dyDescent="0.25">
      <c r="A2769">
        <v>2768</v>
      </c>
      <c r="B2769">
        <v>1031</v>
      </c>
      <c r="C2769">
        <v>705</v>
      </c>
      <c r="D2769" s="1">
        <v>45792</v>
      </c>
      <c r="E2769" t="s">
        <v>319</v>
      </c>
      <c r="F2769" t="s">
        <v>320</v>
      </c>
      <c r="G2769" t="str">
        <f>_xlfn.XLOOKUP(TRIM(E2770),MedicineInfo!A:A,MedicineInfo!B:B,"Not Found")</f>
        <v>Multivitamin</v>
      </c>
      <c r="H2769" s="1" cm="1">
        <f t="array" ref="H2769">_xlfn.IFS(
OR(E2769="Type 2 Diabetes",E2769="Essential Hypertension",E2769="Angina Pectoris",E2769="Bronchial Asthma",E2769="Cardiac Arrhythmia"), D2769+30,
OR(E2769="Gastritis",E2769="Osteoarthritis",E2769="Bronchitis",E2769="Iron Deficiency Anemia"), D2769+14,
OR(E2769="Lumbar Strain",E2769="Migraine Headache"), D2769+7,
OR(E2769="Viral Fever",E2769="General Checkup","Routine Health Check"), "",
TRUE,""
)</f>
        <v>45822</v>
      </c>
      <c r="I2769" s="1" t="str">
        <f t="shared" si="86"/>
        <v>Follow-up Scheduled</v>
      </c>
      <c r="J2769" t="str">
        <f>TEXT(Table8[[#This Row],[visit_Date]],"DDDD")</f>
        <v>Thursday</v>
      </c>
      <c r="K2769" t="str">
        <f>TEXT(Table8[[#This Row],[visit_Date]],"mmmm")</f>
        <v>May</v>
      </c>
      <c r="L2769" t="str">
        <f t="shared" si="87"/>
        <v>Summer</v>
      </c>
    </row>
    <row r="2770" spans="1:12" x14ac:dyDescent="0.25">
      <c r="A2770">
        <v>2769</v>
      </c>
      <c r="B2770">
        <v>1286</v>
      </c>
      <c r="C2770">
        <v>1499</v>
      </c>
      <c r="D2770" s="1">
        <v>45816</v>
      </c>
      <c r="E2770" t="s">
        <v>24</v>
      </c>
      <c r="F2770" t="s">
        <v>321</v>
      </c>
      <c r="G2770" t="str">
        <f>_xlfn.XLOOKUP(TRIM(E2771),MedicineInfo!A:A,MedicineInfo!B:B,"Not Found")</f>
        <v>Multivitamin</v>
      </c>
      <c r="H2770" s="1" t="str" cm="1">
        <f t="array" ref="H2770">_xlfn.IFS(
OR(E2770="Type 2 Diabetes",E2770="Essential Hypertension",E2770="Angina Pectoris",E2770="Bronchial Asthma",E2770="Cardiac Arrhythmia"), D2770+30,
OR(E2770="Gastritis",E2770="Osteoarthritis",E2770="Bronchitis",E2770="Iron Deficiency Anemia"), D2770+14,
OR(E2770="Lumbar Strain",E2770="Migraine Headache"), D2770+7,
OR(E2770="Viral Fever",E2770="General Checkup","Routine Health Check"), "",
TRUE,""
)</f>
        <v/>
      </c>
      <c r="I2770" s="1" t="str">
        <f t="shared" si="86"/>
        <v>No Follow-up Required</v>
      </c>
      <c r="J2770" t="str">
        <f>TEXT(Table8[[#This Row],[visit_Date]],"DDDD")</f>
        <v>Sunday</v>
      </c>
      <c r="K2770" t="str">
        <f>TEXT(Table8[[#This Row],[visit_Date]],"mmmm")</f>
        <v>June</v>
      </c>
      <c r="L2770" t="str">
        <f t="shared" si="87"/>
        <v>Monsoon</v>
      </c>
    </row>
    <row r="2771" spans="1:12" x14ac:dyDescent="0.25">
      <c r="A2771">
        <v>2770</v>
      </c>
      <c r="B2771">
        <v>1098</v>
      </c>
      <c r="C2771">
        <v>632</v>
      </c>
      <c r="D2771" s="1">
        <v>45669</v>
      </c>
      <c r="E2771" t="s">
        <v>24</v>
      </c>
      <c r="F2771" t="s">
        <v>321</v>
      </c>
      <c r="G2771" t="str">
        <f>_xlfn.XLOOKUP(TRIM(E2772),MedicineInfo!A:A,MedicineInfo!B:B,"Not Found")</f>
        <v>Multivitamin</v>
      </c>
      <c r="H2771" s="1" t="str" cm="1">
        <f t="array" ref="H2771">_xlfn.IFS(
OR(E2771="Type 2 Diabetes",E2771="Essential Hypertension",E2771="Angina Pectoris",E2771="Bronchial Asthma",E2771="Cardiac Arrhythmia"), D2771+30,
OR(E2771="Gastritis",E2771="Osteoarthritis",E2771="Bronchitis",E2771="Iron Deficiency Anemia"), D2771+14,
OR(E2771="Lumbar Strain",E2771="Migraine Headache"), D2771+7,
OR(E2771="Viral Fever",E2771="General Checkup","Routine Health Check"), "",
TRUE,""
)</f>
        <v/>
      </c>
      <c r="I2771" s="1" t="str">
        <f t="shared" si="86"/>
        <v>No Follow-up Required</v>
      </c>
      <c r="J2771" t="str">
        <f>TEXT(Table8[[#This Row],[visit_Date]],"DDDD")</f>
        <v>Sunday</v>
      </c>
      <c r="K2771" t="str">
        <f>TEXT(Table8[[#This Row],[visit_Date]],"mmmm")</f>
        <v>January</v>
      </c>
      <c r="L2771" t="str">
        <f t="shared" si="87"/>
        <v>Winter</v>
      </c>
    </row>
    <row r="2772" spans="1:12" x14ac:dyDescent="0.25">
      <c r="A2772">
        <v>2771</v>
      </c>
      <c r="B2772">
        <v>1273</v>
      </c>
      <c r="C2772">
        <v>1086</v>
      </c>
      <c r="D2772" s="1">
        <v>45823</v>
      </c>
      <c r="E2772" t="s">
        <v>24</v>
      </c>
      <c r="F2772" t="s">
        <v>321</v>
      </c>
      <c r="G2772" t="str">
        <f>_xlfn.XLOOKUP(TRIM(E2773),MedicineInfo!A:A,MedicineInfo!B:B,"Not Found")</f>
        <v>Multivitamin</v>
      </c>
      <c r="H2772" s="1" t="str" cm="1">
        <f t="array" ref="H2772">_xlfn.IFS(
OR(E2772="Type 2 Diabetes",E2772="Essential Hypertension",E2772="Angina Pectoris",E2772="Bronchial Asthma",E2772="Cardiac Arrhythmia"), D2772+30,
OR(E2772="Gastritis",E2772="Osteoarthritis",E2772="Bronchitis",E2772="Iron Deficiency Anemia"), D2772+14,
OR(E2772="Lumbar Strain",E2772="Migraine Headache"), D2772+7,
OR(E2772="Viral Fever",E2772="General Checkup","Routine Health Check"), "",
TRUE,""
)</f>
        <v/>
      </c>
      <c r="I2772" s="1" t="str">
        <f t="shared" si="86"/>
        <v>No Follow-up Required</v>
      </c>
      <c r="J2772" t="str">
        <f>TEXT(Table8[[#This Row],[visit_Date]],"DDDD")</f>
        <v>Sunday</v>
      </c>
      <c r="K2772" t="str">
        <f>TEXT(Table8[[#This Row],[visit_Date]],"mmmm")</f>
        <v>June</v>
      </c>
      <c r="L2772" t="str">
        <f t="shared" si="87"/>
        <v>Monsoon</v>
      </c>
    </row>
    <row r="2773" spans="1:12" x14ac:dyDescent="0.25">
      <c r="A2773">
        <v>2772</v>
      </c>
      <c r="B2773">
        <v>1205</v>
      </c>
      <c r="C2773">
        <v>1360</v>
      </c>
      <c r="D2773" s="1">
        <v>45777</v>
      </c>
      <c r="E2773" t="s">
        <v>24</v>
      </c>
      <c r="F2773" t="s">
        <v>321</v>
      </c>
      <c r="G2773" t="str">
        <f>_xlfn.XLOOKUP(TRIM(E2774),MedicineInfo!A:A,MedicineInfo!B:B,"Not Found")</f>
        <v>Multivitamin</v>
      </c>
      <c r="H2773" s="1" t="str" cm="1">
        <f t="array" ref="H2773">_xlfn.IFS(
OR(E2773="Type 2 Diabetes",E2773="Essential Hypertension",E2773="Angina Pectoris",E2773="Bronchial Asthma",E2773="Cardiac Arrhythmia"), D2773+30,
OR(E2773="Gastritis",E2773="Osteoarthritis",E2773="Bronchitis",E2773="Iron Deficiency Anemia"), D2773+14,
OR(E2773="Lumbar Strain",E2773="Migraine Headache"), D2773+7,
OR(E2773="Viral Fever",E2773="General Checkup","Routine Health Check"), "",
TRUE,""
)</f>
        <v/>
      </c>
      <c r="I2773" s="1" t="str">
        <f t="shared" si="86"/>
        <v>No Follow-up Required</v>
      </c>
      <c r="J2773" t="str">
        <f>TEXT(Table8[[#This Row],[visit_Date]],"DDDD")</f>
        <v>Wednesday</v>
      </c>
      <c r="K2773" t="str">
        <f>TEXT(Table8[[#This Row],[visit_Date]],"mmmm")</f>
        <v>April</v>
      </c>
      <c r="L2773" t="str">
        <f t="shared" si="87"/>
        <v>Summer</v>
      </c>
    </row>
    <row r="2774" spans="1:12" x14ac:dyDescent="0.25">
      <c r="A2774">
        <v>2773</v>
      </c>
      <c r="B2774">
        <v>1360</v>
      </c>
      <c r="C2774">
        <v>253</v>
      </c>
      <c r="D2774" s="1">
        <v>45712</v>
      </c>
      <c r="E2774" t="s">
        <v>24</v>
      </c>
      <c r="F2774" t="s">
        <v>321</v>
      </c>
      <c r="G2774" t="str">
        <f>_xlfn.XLOOKUP(TRIM(E2775),MedicineInfo!A:A,MedicineInfo!B:B,"Not Found")</f>
        <v>Multivitamin</v>
      </c>
      <c r="H2774" s="1" t="str" cm="1">
        <f t="array" ref="H2774">_xlfn.IFS(
OR(E2774="Type 2 Diabetes",E2774="Essential Hypertension",E2774="Angina Pectoris",E2774="Bronchial Asthma",E2774="Cardiac Arrhythmia"), D2774+30,
OR(E2774="Gastritis",E2774="Osteoarthritis",E2774="Bronchitis",E2774="Iron Deficiency Anemia"), D2774+14,
OR(E2774="Lumbar Strain",E2774="Migraine Headache"), D2774+7,
OR(E2774="Viral Fever",E2774="General Checkup","Routine Health Check"), "",
TRUE,""
)</f>
        <v/>
      </c>
      <c r="I2774" s="1" t="str">
        <f t="shared" si="86"/>
        <v>No Follow-up Required</v>
      </c>
      <c r="J2774" t="str">
        <f>TEXT(Table8[[#This Row],[visit_Date]],"DDDD")</f>
        <v>Monday</v>
      </c>
      <c r="K2774" t="str">
        <f>TEXT(Table8[[#This Row],[visit_Date]],"mmmm")</f>
        <v>February</v>
      </c>
      <c r="L2774" t="str">
        <f t="shared" si="87"/>
        <v>Winter</v>
      </c>
    </row>
    <row r="2775" spans="1:12" x14ac:dyDescent="0.25">
      <c r="A2775">
        <v>2774</v>
      </c>
      <c r="B2775">
        <v>1268</v>
      </c>
      <c r="C2775">
        <v>129</v>
      </c>
      <c r="D2775" s="1">
        <v>45792</v>
      </c>
      <c r="E2775" t="s">
        <v>24</v>
      </c>
      <c r="F2775" t="s">
        <v>321</v>
      </c>
      <c r="G2775" t="str">
        <f>_xlfn.XLOOKUP(TRIM(E2776),MedicineInfo!A:A,MedicineInfo!B:B,"Not Found")</f>
        <v>Multivitamin</v>
      </c>
      <c r="H2775" s="1" t="str" cm="1">
        <f t="array" ref="H2775">_xlfn.IFS(
OR(E2775="Type 2 Diabetes",E2775="Essential Hypertension",E2775="Angina Pectoris",E2775="Bronchial Asthma",E2775="Cardiac Arrhythmia"), D2775+30,
OR(E2775="Gastritis",E2775="Osteoarthritis",E2775="Bronchitis",E2775="Iron Deficiency Anemia"), D2775+14,
OR(E2775="Lumbar Strain",E2775="Migraine Headache"), D2775+7,
OR(E2775="Viral Fever",E2775="General Checkup","Routine Health Check"), "",
TRUE,""
)</f>
        <v/>
      </c>
      <c r="I2775" s="1" t="str">
        <f t="shared" si="86"/>
        <v>No Follow-up Required</v>
      </c>
      <c r="J2775" t="str">
        <f>TEXT(Table8[[#This Row],[visit_Date]],"DDDD")</f>
        <v>Thursday</v>
      </c>
      <c r="K2775" t="str">
        <f>TEXT(Table8[[#This Row],[visit_Date]],"mmmm")</f>
        <v>May</v>
      </c>
      <c r="L2775" t="str">
        <f t="shared" si="87"/>
        <v>Summer</v>
      </c>
    </row>
    <row r="2776" spans="1:12" x14ac:dyDescent="0.25">
      <c r="A2776">
        <v>2775</v>
      </c>
      <c r="B2776">
        <v>1150</v>
      </c>
      <c r="C2776">
        <v>1415</v>
      </c>
      <c r="D2776" s="1">
        <v>45814</v>
      </c>
      <c r="E2776" t="s">
        <v>24</v>
      </c>
      <c r="F2776" t="s">
        <v>321</v>
      </c>
      <c r="G2776" t="str">
        <f>_xlfn.XLOOKUP(TRIM(E2777),MedicineInfo!A:A,MedicineInfo!B:B,"Not Found")</f>
        <v>Multivitamin</v>
      </c>
      <c r="H2776" s="1" t="str" cm="1">
        <f t="array" ref="H2776">_xlfn.IFS(
OR(E2776="Type 2 Diabetes",E2776="Essential Hypertension",E2776="Angina Pectoris",E2776="Bronchial Asthma",E2776="Cardiac Arrhythmia"), D2776+30,
OR(E2776="Gastritis",E2776="Osteoarthritis",E2776="Bronchitis",E2776="Iron Deficiency Anemia"), D2776+14,
OR(E2776="Lumbar Strain",E2776="Migraine Headache"), D2776+7,
OR(E2776="Viral Fever",E2776="General Checkup","Routine Health Check"), "",
TRUE,""
)</f>
        <v/>
      </c>
      <c r="I2776" s="1" t="str">
        <f t="shared" si="86"/>
        <v>No Follow-up Required</v>
      </c>
      <c r="J2776" t="str">
        <f>TEXT(Table8[[#This Row],[visit_Date]],"DDDD")</f>
        <v>Friday</v>
      </c>
      <c r="K2776" t="str">
        <f>TEXT(Table8[[#This Row],[visit_Date]],"mmmm")</f>
        <v>June</v>
      </c>
      <c r="L2776" t="str">
        <f t="shared" si="87"/>
        <v>Monsoon</v>
      </c>
    </row>
    <row r="2777" spans="1:12" x14ac:dyDescent="0.25">
      <c r="A2777">
        <v>2776</v>
      </c>
      <c r="B2777">
        <v>1354</v>
      </c>
      <c r="C2777">
        <v>670</v>
      </c>
      <c r="D2777" s="1">
        <v>45773</v>
      </c>
      <c r="E2777" t="s">
        <v>24</v>
      </c>
      <c r="F2777" t="s">
        <v>321</v>
      </c>
      <c r="G2777" t="str">
        <f>_xlfn.XLOOKUP(TRIM(E2778),MedicineInfo!A:A,MedicineInfo!B:B,"Not Found")</f>
        <v>Multivitamin</v>
      </c>
      <c r="H2777" s="1" t="str" cm="1">
        <f t="array" ref="H2777">_xlfn.IFS(
OR(E2777="Type 2 Diabetes",E2777="Essential Hypertension",E2777="Angina Pectoris",E2777="Bronchial Asthma",E2777="Cardiac Arrhythmia"), D2777+30,
OR(E2777="Gastritis",E2777="Osteoarthritis",E2777="Bronchitis",E2777="Iron Deficiency Anemia"), D2777+14,
OR(E2777="Lumbar Strain",E2777="Migraine Headache"), D2777+7,
OR(E2777="Viral Fever",E2777="General Checkup","Routine Health Check"), "",
TRUE,""
)</f>
        <v/>
      </c>
      <c r="I2777" s="1" t="str">
        <f t="shared" si="86"/>
        <v>No Follow-up Required</v>
      </c>
      <c r="J2777" t="str">
        <f>TEXT(Table8[[#This Row],[visit_Date]],"DDDD")</f>
        <v>Saturday</v>
      </c>
      <c r="K2777" t="str">
        <f>TEXT(Table8[[#This Row],[visit_Date]],"mmmm")</f>
        <v>April</v>
      </c>
      <c r="L2777" t="str">
        <f t="shared" si="87"/>
        <v>Summer</v>
      </c>
    </row>
    <row r="2778" spans="1:12" x14ac:dyDescent="0.25">
      <c r="A2778">
        <v>2777</v>
      </c>
      <c r="B2778">
        <v>1077</v>
      </c>
      <c r="C2778">
        <v>1257</v>
      </c>
      <c r="D2778" s="1">
        <v>45759</v>
      </c>
      <c r="E2778" t="s">
        <v>24</v>
      </c>
      <c r="F2778" t="s">
        <v>321</v>
      </c>
      <c r="G2778" t="str">
        <f>_xlfn.XLOOKUP(TRIM(E2779),MedicineInfo!A:A,MedicineInfo!B:B,"Not Found")</f>
        <v>Multivitamin</v>
      </c>
      <c r="H2778" s="1" t="str" cm="1">
        <f t="array" ref="H2778">_xlfn.IFS(
OR(E2778="Type 2 Diabetes",E2778="Essential Hypertension",E2778="Angina Pectoris",E2778="Bronchial Asthma",E2778="Cardiac Arrhythmia"), D2778+30,
OR(E2778="Gastritis",E2778="Osteoarthritis",E2778="Bronchitis",E2778="Iron Deficiency Anemia"), D2778+14,
OR(E2778="Lumbar Strain",E2778="Migraine Headache"), D2778+7,
OR(E2778="Viral Fever",E2778="General Checkup","Routine Health Check"), "",
TRUE,""
)</f>
        <v/>
      </c>
      <c r="I2778" s="1" t="str">
        <f t="shared" si="86"/>
        <v>No Follow-up Required</v>
      </c>
      <c r="J2778" t="str">
        <f>TEXT(Table8[[#This Row],[visit_Date]],"DDDD")</f>
        <v>Saturday</v>
      </c>
      <c r="K2778" t="str">
        <f>TEXT(Table8[[#This Row],[visit_Date]],"mmmm")</f>
        <v>April</v>
      </c>
      <c r="L2778" t="str">
        <f t="shared" si="87"/>
        <v>Summer</v>
      </c>
    </row>
    <row r="2779" spans="1:12" x14ac:dyDescent="0.25">
      <c r="A2779">
        <v>2778</v>
      </c>
      <c r="B2779">
        <v>1313</v>
      </c>
      <c r="C2779">
        <v>1269</v>
      </c>
      <c r="D2779" s="1">
        <v>45763</v>
      </c>
      <c r="E2779" t="s">
        <v>24</v>
      </c>
      <c r="F2779" t="s">
        <v>321</v>
      </c>
      <c r="G2779" t="str">
        <f>_xlfn.XLOOKUP(TRIM(E2780),MedicineInfo!A:A,MedicineInfo!B:B,"Not Found")</f>
        <v>Multivitamin</v>
      </c>
      <c r="H2779" s="1" t="str" cm="1">
        <f t="array" ref="H2779">_xlfn.IFS(
OR(E2779="Type 2 Diabetes",E2779="Essential Hypertension",E2779="Angina Pectoris",E2779="Bronchial Asthma",E2779="Cardiac Arrhythmia"), D2779+30,
OR(E2779="Gastritis",E2779="Osteoarthritis",E2779="Bronchitis",E2779="Iron Deficiency Anemia"), D2779+14,
OR(E2779="Lumbar Strain",E2779="Migraine Headache"), D2779+7,
OR(E2779="Viral Fever",E2779="General Checkup","Routine Health Check"), "",
TRUE,""
)</f>
        <v/>
      </c>
      <c r="I2779" s="1" t="str">
        <f t="shared" si="86"/>
        <v>No Follow-up Required</v>
      </c>
      <c r="J2779" t="str">
        <f>TEXT(Table8[[#This Row],[visit_Date]],"DDDD")</f>
        <v>Wednesday</v>
      </c>
      <c r="K2779" t="str">
        <f>TEXT(Table8[[#This Row],[visit_Date]],"mmmm")</f>
        <v>April</v>
      </c>
      <c r="L2779" t="str">
        <f t="shared" si="87"/>
        <v>Summer</v>
      </c>
    </row>
    <row r="2780" spans="1:12" x14ac:dyDescent="0.25">
      <c r="A2780">
        <v>2779</v>
      </c>
      <c r="B2780">
        <v>1213</v>
      </c>
      <c r="C2780">
        <v>889</v>
      </c>
      <c r="D2780" s="1">
        <v>45690</v>
      </c>
      <c r="E2780" t="s">
        <v>24</v>
      </c>
      <c r="F2780" t="s">
        <v>321</v>
      </c>
      <c r="G2780" t="str">
        <f>_xlfn.XLOOKUP(TRIM(E2781),MedicineInfo!A:A,MedicineInfo!B:B,"Not Found")</f>
        <v>Multivitamin</v>
      </c>
      <c r="H2780" s="1" t="str" cm="1">
        <f t="array" ref="H2780">_xlfn.IFS(
OR(E2780="Type 2 Diabetes",E2780="Essential Hypertension",E2780="Angina Pectoris",E2780="Bronchial Asthma",E2780="Cardiac Arrhythmia"), D2780+30,
OR(E2780="Gastritis",E2780="Osteoarthritis",E2780="Bronchitis",E2780="Iron Deficiency Anemia"), D2780+14,
OR(E2780="Lumbar Strain",E2780="Migraine Headache"), D2780+7,
OR(E2780="Viral Fever",E2780="General Checkup","Routine Health Check"), "",
TRUE,""
)</f>
        <v/>
      </c>
      <c r="I2780" s="1" t="str">
        <f t="shared" si="86"/>
        <v>No Follow-up Required</v>
      </c>
      <c r="J2780" t="str">
        <f>TEXT(Table8[[#This Row],[visit_Date]],"DDDD")</f>
        <v>Sunday</v>
      </c>
      <c r="K2780" t="str">
        <f>TEXT(Table8[[#This Row],[visit_Date]],"mmmm")</f>
        <v>February</v>
      </c>
      <c r="L2780" t="str">
        <f t="shared" si="87"/>
        <v>Winter</v>
      </c>
    </row>
    <row r="2781" spans="1:12" x14ac:dyDescent="0.25">
      <c r="A2781">
        <v>2780</v>
      </c>
      <c r="B2781">
        <v>1171</v>
      </c>
      <c r="C2781">
        <v>1077</v>
      </c>
      <c r="D2781" s="1">
        <v>45814</v>
      </c>
      <c r="E2781" t="s">
        <v>24</v>
      </c>
      <c r="F2781" t="s">
        <v>321</v>
      </c>
      <c r="G2781" t="str">
        <f>_xlfn.XLOOKUP(TRIM(E2782),MedicineInfo!A:A,MedicineInfo!B:B,"Not Found")</f>
        <v>Multivitamin</v>
      </c>
      <c r="H2781" s="1" t="str" cm="1">
        <f t="array" ref="H2781">_xlfn.IFS(
OR(E2781="Type 2 Diabetes",E2781="Essential Hypertension",E2781="Angina Pectoris",E2781="Bronchial Asthma",E2781="Cardiac Arrhythmia"), D2781+30,
OR(E2781="Gastritis",E2781="Osteoarthritis",E2781="Bronchitis",E2781="Iron Deficiency Anemia"), D2781+14,
OR(E2781="Lumbar Strain",E2781="Migraine Headache"), D2781+7,
OR(E2781="Viral Fever",E2781="General Checkup","Routine Health Check"), "",
TRUE,""
)</f>
        <v/>
      </c>
      <c r="I2781" s="1" t="str">
        <f t="shared" si="86"/>
        <v>No Follow-up Required</v>
      </c>
      <c r="J2781" t="str">
        <f>TEXT(Table8[[#This Row],[visit_Date]],"DDDD")</f>
        <v>Friday</v>
      </c>
      <c r="K2781" t="str">
        <f>TEXT(Table8[[#This Row],[visit_Date]],"mmmm")</f>
        <v>June</v>
      </c>
      <c r="L2781" t="str">
        <f t="shared" si="87"/>
        <v>Monsoon</v>
      </c>
    </row>
    <row r="2782" spans="1:12" x14ac:dyDescent="0.25">
      <c r="A2782">
        <v>2781</v>
      </c>
      <c r="B2782">
        <v>1208</v>
      </c>
      <c r="C2782">
        <v>265</v>
      </c>
      <c r="D2782" s="1">
        <v>45791</v>
      </c>
      <c r="E2782" t="s">
        <v>24</v>
      </c>
      <c r="F2782" t="s">
        <v>321</v>
      </c>
      <c r="G2782" t="str">
        <f>_xlfn.XLOOKUP(TRIM(E2783),MedicineInfo!A:A,MedicineInfo!B:B,"Not Found")</f>
        <v>Multivitamin</v>
      </c>
      <c r="H2782" s="1" t="str" cm="1">
        <f t="array" ref="H2782">_xlfn.IFS(
OR(E2782="Type 2 Diabetes",E2782="Essential Hypertension",E2782="Angina Pectoris",E2782="Bronchial Asthma",E2782="Cardiac Arrhythmia"), D2782+30,
OR(E2782="Gastritis",E2782="Osteoarthritis",E2782="Bronchitis",E2782="Iron Deficiency Anemia"), D2782+14,
OR(E2782="Lumbar Strain",E2782="Migraine Headache"), D2782+7,
OR(E2782="Viral Fever",E2782="General Checkup","Routine Health Check"), "",
TRUE,""
)</f>
        <v/>
      </c>
      <c r="I2782" s="1" t="str">
        <f t="shared" si="86"/>
        <v>No Follow-up Required</v>
      </c>
      <c r="J2782" t="str">
        <f>TEXT(Table8[[#This Row],[visit_Date]],"DDDD")</f>
        <v>Wednesday</v>
      </c>
      <c r="K2782" t="str">
        <f>TEXT(Table8[[#This Row],[visit_Date]],"mmmm")</f>
        <v>May</v>
      </c>
      <c r="L2782" t="str">
        <f t="shared" si="87"/>
        <v>Summer</v>
      </c>
    </row>
    <row r="2783" spans="1:12" x14ac:dyDescent="0.25">
      <c r="A2783">
        <v>2782</v>
      </c>
      <c r="B2783">
        <v>1213</v>
      </c>
      <c r="C2783">
        <v>1090</v>
      </c>
      <c r="D2783" s="1">
        <v>45783</v>
      </c>
      <c r="E2783" t="s">
        <v>24</v>
      </c>
      <c r="F2783" t="s">
        <v>321</v>
      </c>
      <c r="G2783" t="str">
        <f>_xlfn.XLOOKUP(TRIM(E2784),MedicineInfo!A:A,MedicineInfo!B:B,"Not Found")</f>
        <v>Multivitamin</v>
      </c>
      <c r="H2783" s="1" t="str" cm="1">
        <f t="array" ref="H2783">_xlfn.IFS(
OR(E2783="Type 2 Diabetes",E2783="Essential Hypertension",E2783="Angina Pectoris",E2783="Bronchial Asthma",E2783="Cardiac Arrhythmia"), D2783+30,
OR(E2783="Gastritis",E2783="Osteoarthritis",E2783="Bronchitis",E2783="Iron Deficiency Anemia"), D2783+14,
OR(E2783="Lumbar Strain",E2783="Migraine Headache"), D2783+7,
OR(E2783="Viral Fever",E2783="General Checkup","Routine Health Check"), "",
TRUE,""
)</f>
        <v/>
      </c>
      <c r="I2783" s="1" t="str">
        <f t="shared" si="86"/>
        <v>No Follow-up Required</v>
      </c>
      <c r="J2783" t="str">
        <f>TEXT(Table8[[#This Row],[visit_Date]],"DDDD")</f>
        <v>Tuesday</v>
      </c>
      <c r="K2783" t="str">
        <f>TEXT(Table8[[#This Row],[visit_Date]],"mmmm")</f>
        <v>May</v>
      </c>
      <c r="L2783" t="str">
        <f t="shared" si="87"/>
        <v>Summer</v>
      </c>
    </row>
    <row r="2784" spans="1:12" x14ac:dyDescent="0.25">
      <c r="A2784">
        <v>2783</v>
      </c>
      <c r="B2784">
        <v>1356</v>
      </c>
      <c r="C2784">
        <v>712</v>
      </c>
      <c r="D2784" s="1">
        <v>45740</v>
      </c>
      <c r="E2784" t="s">
        <v>24</v>
      </c>
      <c r="F2784" t="s">
        <v>321</v>
      </c>
      <c r="G2784" t="str">
        <f>_xlfn.XLOOKUP(TRIM(E2785),MedicineInfo!A:A,MedicineInfo!B:B,"Not Found")</f>
        <v>Calcium Supplement</v>
      </c>
      <c r="H2784" s="1" t="str" cm="1">
        <f t="array" ref="H2784">_xlfn.IFS(
OR(E2784="Type 2 Diabetes",E2784="Essential Hypertension",E2784="Angina Pectoris",E2784="Bronchial Asthma",E2784="Cardiac Arrhythmia"), D2784+30,
OR(E2784="Gastritis",E2784="Osteoarthritis",E2784="Bronchitis",E2784="Iron Deficiency Anemia"), D2784+14,
OR(E2784="Lumbar Strain",E2784="Migraine Headache"), D2784+7,
OR(E2784="Viral Fever",E2784="General Checkup","Routine Health Check"), "",
TRUE,""
)</f>
        <v/>
      </c>
      <c r="I2784" s="1" t="str">
        <f t="shared" si="86"/>
        <v>No Follow-up Required</v>
      </c>
      <c r="J2784" t="str">
        <f>TEXT(Table8[[#This Row],[visit_Date]],"DDDD")</f>
        <v>Monday</v>
      </c>
      <c r="K2784" t="str">
        <f>TEXT(Table8[[#This Row],[visit_Date]],"mmmm")</f>
        <v>March</v>
      </c>
      <c r="L2784" t="str">
        <f t="shared" si="87"/>
        <v>Summer</v>
      </c>
    </row>
    <row r="2785" spans="1:12" x14ac:dyDescent="0.25">
      <c r="A2785">
        <v>2784</v>
      </c>
      <c r="B2785">
        <v>1202</v>
      </c>
      <c r="C2785">
        <v>478</v>
      </c>
      <c r="D2785" s="1">
        <v>45691</v>
      </c>
      <c r="E2785" t="s">
        <v>336</v>
      </c>
      <c r="F2785" t="s">
        <v>337</v>
      </c>
      <c r="G2785" t="str">
        <f>_xlfn.XLOOKUP(TRIM(E2786),MedicineInfo!A:A,MedicineInfo!B:B,"Not Found")</f>
        <v>Aceclofenac</v>
      </c>
      <c r="H2785" s="1" t="str" cm="1">
        <f t="array" ref="H2785">_xlfn.IFS(
OR(E2785="Type 2 Diabetes",E2785="Essential Hypertension",E2785="Angina Pectoris",E2785="Bronchial Asthma",E2785="Cardiac Arrhythmia"), D2785+30,
OR(E2785="Gastritis",E2785="Osteoarthritis",E2785="Bronchitis",E2785="Iron Deficiency Anemia"), D2785+14,
OR(E2785="Lumbar Strain",E2785="Migraine Headache"), D2785+7,
OR(E2785="Viral Fever",E2785="General Checkup","Routine Health Check"), "",
TRUE,""
)</f>
        <v/>
      </c>
      <c r="I2785" s="1" t="str">
        <f t="shared" si="86"/>
        <v>No Follow-up Required</v>
      </c>
      <c r="J2785" t="str">
        <f>TEXT(Table8[[#This Row],[visit_Date]],"DDDD")</f>
        <v>Monday</v>
      </c>
      <c r="K2785" t="str">
        <f>TEXT(Table8[[#This Row],[visit_Date]],"mmmm")</f>
        <v>February</v>
      </c>
      <c r="L2785" t="str">
        <f t="shared" si="87"/>
        <v>Winter</v>
      </c>
    </row>
    <row r="2786" spans="1:12" x14ac:dyDescent="0.25">
      <c r="A2786">
        <v>2785</v>
      </c>
      <c r="B2786">
        <v>1379</v>
      </c>
      <c r="C2786">
        <v>357</v>
      </c>
      <c r="D2786" s="1">
        <v>45677</v>
      </c>
      <c r="E2786" t="s">
        <v>348</v>
      </c>
      <c r="F2786" t="s">
        <v>349</v>
      </c>
      <c r="G2786" t="str">
        <f>_xlfn.XLOOKUP(TRIM(E2787),MedicineInfo!A:A,MedicineInfo!B:B,"Not Found")</f>
        <v>Multivitamin</v>
      </c>
      <c r="H2786" s="1" cm="1">
        <f t="array" ref="H2786">_xlfn.IFS(
OR(E2786="Type 2 Diabetes",E2786="Essential Hypertension",E2786="Angina Pectoris",E2786="Bronchial Asthma",E2786="Cardiac Arrhythmia"), D2786+30,
OR(E2786="Gastritis",E2786="Osteoarthritis",E2786="Bronchitis",E2786="Iron Deficiency Anemia"), D2786+14,
OR(E2786="Lumbar Strain",E2786="Migraine Headache"), D2786+7,
OR(E2786="Viral Fever",E2786="General Checkup","Routine Health Check"), "",
TRUE,""
)</f>
        <v>45691</v>
      </c>
      <c r="I2786" s="1" t="str">
        <f t="shared" si="86"/>
        <v>Follow-up Scheduled</v>
      </c>
      <c r="J2786" t="str">
        <f>TEXT(Table8[[#This Row],[visit_Date]],"DDDD")</f>
        <v>Monday</v>
      </c>
      <c r="K2786" t="str">
        <f>TEXT(Table8[[#This Row],[visit_Date]],"mmmm")</f>
        <v>January</v>
      </c>
      <c r="L2786" t="str">
        <f t="shared" si="87"/>
        <v>Winter</v>
      </c>
    </row>
    <row r="2787" spans="1:12" x14ac:dyDescent="0.25">
      <c r="A2787">
        <v>2786</v>
      </c>
      <c r="B2787">
        <v>1111</v>
      </c>
      <c r="C2787">
        <v>932</v>
      </c>
      <c r="D2787" s="1">
        <v>45819</v>
      </c>
      <c r="E2787" t="s">
        <v>24</v>
      </c>
      <c r="F2787" t="s">
        <v>321</v>
      </c>
      <c r="G2787" t="str">
        <f>_xlfn.XLOOKUP(TRIM(E2788),MedicineInfo!A:A,MedicineInfo!B:B,"Not Found")</f>
        <v>Multivitamin</v>
      </c>
      <c r="H2787" s="1" t="str" cm="1">
        <f t="array" ref="H2787">_xlfn.IFS(
OR(E2787="Type 2 Diabetes",E2787="Essential Hypertension",E2787="Angina Pectoris",E2787="Bronchial Asthma",E2787="Cardiac Arrhythmia"), D2787+30,
OR(E2787="Gastritis",E2787="Osteoarthritis",E2787="Bronchitis",E2787="Iron Deficiency Anemia"), D2787+14,
OR(E2787="Lumbar Strain",E2787="Migraine Headache"), D2787+7,
OR(E2787="Viral Fever",E2787="General Checkup","Routine Health Check"), "",
TRUE,""
)</f>
        <v/>
      </c>
      <c r="I2787" s="1" t="str">
        <f t="shared" si="86"/>
        <v>No Follow-up Required</v>
      </c>
      <c r="J2787" t="str">
        <f>TEXT(Table8[[#This Row],[visit_Date]],"DDDD")</f>
        <v>Wednesday</v>
      </c>
      <c r="K2787" t="str">
        <f>TEXT(Table8[[#This Row],[visit_Date]],"mmmm")</f>
        <v>June</v>
      </c>
      <c r="L2787" t="str">
        <f t="shared" si="87"/>
        <v>Monsoon</v>
      </c>
    </row>
    <row r="2788" spans="1:12" x14ac:dyDescent="0.25">
      <c r="A2788">
        <v>2787</v>
      </c>
      <c r="B2788">
        <v>1049</v>
      </c>
      <c r="C2788">
        <v>1266</v>
      </c>
      <c r="D2788" s="1">
        <v>45853</v>
      </c>
      <c r="E2788" t="s">
        <v>24</v>
      </c>
      <c r="F2788" t="s">
        <v>321</v>
      </c>
      <c r="G2788" t="str">
        <f>_xlfn.XLOOKUP(TRIM(E2789),MedicineInfo!A:A,MedicineInfo!B:B,"Not Found")</f>
        <v>Multivitamin</v>
      </c>
      <c r="H2788" s="1" t="str" cm="1">
        <f t="array" ref="H2788">_xlfn.IFS(
OR(E2788="Type 2 Diabetes",E2788="Essential Hypertension",E2788="Angina Pectoris",E2788="Bronchial Asthma",E2788="Cardiac Arrhythmia"), D2788+30,
OR(E2788="Gastritis",E2788="Osteoarthritis",E2788="Bronchitis",E2788="Iron Deficiency Anemia"), D2788+14,
OR(E2788="Lumbar Strain",E2788="Migraine Headache"), D2788+7,
OR(E2788="Viral Fever",E2788="General Checkup","Routine Health Check"), "",
TRUE,""
)</f>
        <v/>
      </c>
      <c r="I2788" s="1" t="str">
        <f t="shared" si="86"/>
        <v>No Follow-up Required</v>
      </c>
      <c r="J2788" t="str">
        <f>TEXT(Table8[[#This Row],[visit_Date]],"DDDD")</f>
        <v>Tuesday</v>
      </c>
      <c r="K2788" t="str">
        <f>TEXT(Table8[[#This Row],[visit_Date]],"mmmm")</f>
        <v>July</v>
      </c>
      <c r="L2788" t="str">
        <f t="shared" si="87"/>
        <v>Monsoon</v>
      </c>
    </row>
    <row r="2789" spans="1:12" x14ac:dyDescent="0.25">
      <c r="A2789">
        <v>2788</v>
      </c>
      <c r="B2789">
        <v>1100</v>
      </c>
      <c r="C2789">
        <v>844</v>
      </c>
      <c r="D2789" s="1">
        <v>45694</v>
      </c>
      <c r="E2789" t="s">
        <v>24</v>
      </c>
      <c r="F2789" t="s">
        <v>321</v>
      </c>
      <c r="G2789" t="str">
        <f>_xlfn.XLOOKUP(TRIM(E2790),MedicineInfo!A:A,MedicineInfo!B:B,"Not Found")</f>
        <v>Multivitamin</v>
      </c>
      <c r="H2789" s="1" t="str" cm="1">
        <f t="array" ref="H2789">_xlfn.IFS(
OR(E2789="Type 2 Diabetes",E2789="Essential Hypertension",E2789="Angina Pectoris",E2789="Bronchial Asthma",E2789="Cardiac Arrhythmia"), D2789+30,
OR(E2789="Gastritis",E2789="Osteoarthritis",E2789="Bronchitis",E2789="Iron Deficiency Anemia"), D2789+14,
OR(E2789="Lumbar Strain",E2789="Migraine Headache"), D2789+7,
OR(E2789="Viral Fever",E2789="General Checkup","Routine Health Check"), "",
TRUE,""
)</f>
        <v/>
      </c>
      <c r="I2789" s="1" t="str">
        <f t="shared" si="86"/>
        <v>No Follow-up Required</v>
      </c>
      <c r="J2789" t="str">
        <f>TEXT(Table8[[#This Row],[visit_Date]],"DDDD")</f>
        <v>Thursday</v>
      </c>
      <c r="K2789" t="str">
        <f>TEXT(Table8[[#This Row],[visit_Date]],"mmmm")</f>
        <v>February</v>
      </c>
      <c r="L2789" t="str">
        <f t="shared" si="87"/>
        <v>Winter</v>
      </c>
    </row>
    <row r="2790" spans="1:12" x14ac:dyDescent="0.25">
      <c r="A2790">
        <v>2789</v>
      </c>
      <c r="B2790">
        <v>1270</v>
      </c>
      <c r="C2790">
        <v>998</v>
      </c>
      <c r="D2790" s="1">
        <v>45777</v>
      </c>
      <c r="E2790" t="s">
        <v>24</v>
      </c>
      <c r="F2790" t="s">
        <v>321</v>
      </c>
      <c r="G2790" t="str">
        <f>_xlfn.XLOOKUP(TRIM(E2791),MedicineInfo!A:A,MedicineInfo!B:B,"Not Found")</f>
        <v>Multivitamin</v>
      </c>
      <c r="H2790" s="1" t="str" cm="1">
        <f t="array" ref="H2790">_xlfn.IFS(
OR(E2790="Type 2 Diabetes",E2790="Essential Hypertension",E2790="Angina Pectoris",E2790="Bronchial Asthma",E2790="Cardiac Arrhythmia"), D2790+30,
OR(E2790="Gastritis",E2790="Osteoarthritis",E2790="Bronchitis",E2790="Iron Deficiency Anemia"), D2790+14,
OR(E2790="Lumbar Strain",E2790="Migraine Headache"), D2790+7,
OR(E2790="Viral Fever",E2790="General Checkup","Routine Health Check"), "",
TRUE,""
)</f>
        <v/>
      </c>
      <c r="I2790" s="1" t="str">
        <f t="shared" si="86"/>
        <v>No Follow-up Required</v>
      </c>
      <c r="J2790" t="str">
        <f>TEXT(Table8[[#This Row],[visit_Date]],"DDDD")</f>
        <v>Wednesday</v>
      </c>
      <c r="K2790" t="str">
        <f>TEXT(Table8[[#This Row],[visit_Date]],"mmmm")</f>
        <v>April</v>
      </c>
      <c r="L2790" t="str">
        <f t="shared" si="87"/>
        <v>Summer</v>
      </c>
    </row>
    <row r="2791" spans="1:12" x14ac:dyDescent="0.25">
      <c r="A2791">
        <v>2790</v>
      </c>
      <c r="B2791">
        <v>1357</v>
      </c>
      <c r="C2791">
        <v>1176</v>
      </c>
      <c r="D2791" s="1">
        <v>45751</v>
      </c>
      <c r="E2791" t="s">
        <v>24</v>
      </c>
      <c r="F2791" t="s">
        <v>321</v>
      </c>
      <c r="G2791" t="str">
        <f>_xlfn.XLOOKUP(TRIM(E2792),MedicineInfo!A:A,MedicineInfo!B:B,"Not Found")</f>
        <v>Multivitamin</v>
      </c>
      <c r="H2791" s="1" t="str" cm="1">
        <f t="array" ref="H2791">_xlfn.IFS(
OR(E2791="Type 2 Diabetes",E2791="Essential Hypertension",E2791="Angina Pectoris",E2791="Bronchial Asthma",E2791="Cardiac Arrhythmia"), D2791+30,
OR(E2791="Gastritis",E2791="Osteoarthritis",E2791="Bronchitis",E2791="Iron Deficiency Anemia"), D2791+14,
OR(E2791="Lumbar Strain",E2791="Migraine Headache"), D2791+7,
OR(E2791="Viral Fever",E2791="General Checkup","Routine Health Check"), "",
TRUE,""
)</f>
        <v/>
      </c>
      <c r="I2791" s="1" t="str">
        <f t="shared" si="86"/>
        <v>No Follow-up Required</v>
      </c>
      <c r="J2791" t="str">
        <f>TEXT(Table8[[#This Row],[visit_Date]],"DDDD")</f>
        <v>Friday</v>
      </c>
      <c r="K2791" t="str">
        <f>TEXT(Table8[[#This Row],[visit_Date]],"mmmm")</f>
        <v>April</v>
      </c>
      <c r="L2791" t="str">
        <f t="shared" si="87"/>
        <v>Summer</v>
      </c>
    </row>
    <row r="2792" spans="1:12" x14ac:dyDescent="0.25">
      <c r="A2792">
        <v>2791</v>
      </c>
      <c r="B2792">
        <v>1111</v>
      </c>
      <c r="C2792">
        <v>1409</v>
      </c>
      <c r="D2792" s="1">
        <v>45824</v>
      </c>
      <c r="E2792" t="s">
        <v>24</v>
      </c>
      <c r="F2792" t="s">
        <v>321</v>
      </c>
      <c r="G2792" t="str">
        <f>_xlfn.XLOOKUP(TRIM(E2793),MedicineInfo!A:A,MedicineInfo!B:B,"Not Found")</f>
        <v>Multivitamin</v>
      </c>
      <c r="H2792" s="1" t="str" cm="1">
        <f t="array" ref="H2792">_xlfn.IFS(
OR(E2792="Type 2 Diabetes",E2792="Essential Hypertension",E2792="Angina Pectoris",E2792="Bronchial Asthma",E2792="Cardiac Arrhythmia"), D2792+30,
OR(E2792="Gastritis",E2792="Osteoarthritis",E2792="Bronchitis",E2792="Iron Deficiency Anemia"), D2792+14,
OR(E2792="Lumbar Strain",E2792="Migraine Headache"), D2792+7,
OR(E2792="Viral Fever",E2792="General Checkup","Routine Health Check"), "",
TRUE,""
)</f>
        <v/>
      </c>
      <c r="I2792" s="1" t="str">
        <f t="shared" si="86"/>
        <v>No Follow-up Required</v>
      </c>
      <c r="J2792" t="str">
        <f>TEXT(Table8[[#This Row],[visit_Date]],"DDDD")</f>
        <v>Monday</v>
      </c>
      <c r="K2792" t="str">
        <f>TEXT(Table8[[#This Row],[visit_Date]],"mmmm")</f>
        <v>June</v>
      </c>
      <c r="L2792" t="str">
        <f t="shared" si="87"/>
        <v>Monsoon</v>
      </c>
    </row>
    <row r="2793" spans="1:12" x14ac:dyDescent="0.25">
      <c r="A2793">
        <v>2792</v>
      </c>
      <c r="B2793">
        <v>1260</v>
      </c>
      <c r="C2793">
        <v>1413</v>
      </c>
      <c r="D2793" s="1">
        <v>45672</v>
      </c>
      <c r="E2793" t="s">
        <v>24</v>
      </c>
      <c r="F2793" t="s">
        <v>321</v>
      </c>
      <c r="G2793" t="str">
        <f>_xlfn.XLOOKUP(TRIM(E2794),MedicineInfo!A:A,MedicineInfo!B:B,"Not Found")</f>
        <v>Multivitamin</v>
      </c>
      <c r="H2793" s="1" t="str" cm="1">
        <f t="array" ref="H2793">_xlfn.IFS(
OR(E2793="Type 2 Diabetes",E2793="Essential Hypertension",E2793="Angina Pectoris",E2793="Bronchial Asthma",E2793="Cardiac Arrhythmia"), D2793+30,
OR(E2793="Gastritis",E2793="Osteoarthritis",E2793="Bronchitis",E2793="Iron Deficiency Anemia"), D2793+14,
OR(E2793="Lumbar Strain",E2793="Migraine Headache"), D2793+7,
OR(E2793="Viral Fever",E2793="General Checkup","Routine Health Check"), "",
TRUE,""
)</f>
        <v/>
      </c>
      <c r="I2793" s="1" t="str">
        <f t="shared" si="86"/>
        <v>No Follow-up Required</v>
      </c>
      <c r="J2793" t="str">
        <f>TEXT(Table8[[#This Row],[visit_Date]],"DDDD")</f>
        <v>Wednesday</v>
      </c>
      <c r="K2793" t="str">
        <f>TEXT(Table8[[#This Row],[visit_Date]],"mmmm")</f>
        <v>January</v>
      </c>
      <c r="L2793" t="str">
        <f t="shared" si="87"/>
        <v>Winter</v>
      </c>
    </row>
    <row r="2794" spans="1:12" x14ac:dyDescent="0.25">
      <c r="A2794">
        <v>2793</v>
      </c>
      <c r="B2794">
        <v>1183</v>
      </c>
      <c r="C2794">
        <v>1450</v>
      </c>
      <c r="D2794" s="1">
        <v>45814</v>
      </c>
      <c r="E2794" t="s">
        <v>24</v>
      </c>
      <c r="F2794" t="s">
        <v>321</v>
      </c>
      <c r="G2794" t="str">
        <f>_xlfn.XLOOKUP(TRIM(E2795),MedicineInfo!A:A,MedicineInfo!B:B,"Not Found")</f>
        <v>Multivitamin</v>
      </c>
      <c r="H2794" s="1" t="str" cm="1">
        <f t="array" ref="H2794">_xlfn.IFS(
OR(E2794="Type 2 Diabetes",E2794="Essential Hypertension",E2794="Angina Pectoris",E2794="Bronchial Asthma",E2794="Cardiac Arrhythmia"), D2794+30,
OR(E2794="Gastritis",E2794="Osteoarthritis",E2794="Bronchitis",E2794="Iron Deficiency Anemia"), D2794+14,
OR(E2794="Lumbar Strain",E2794="Migraine Headache"), D2794+7,
OR(E2794="Viral Fever",E2794="General Checkup","Routine Health Check"), "",
TRUE,""
)</f>
        <v/>
      </c>
      <c r="I2794" s="1" t="str">
        <f t="shared" si="86"/>
        <v>No Follow-up Required</v>
      </c>
      <c r="J2794" t="str">
        <f>TEXT(Table8[[#This Row],[visit_Date]],"DDDD")</f>
        <v>Friday</v>
      </c>
      <c r="K2794" t="str">
        <f>TEXT(Table8[[#This Row],[visit_Date]],"mmmm")</f>
        <v>June</v>
      </c>
      <c r="L2794" t="str">
        <f t="shared" si="87"/>
        <v>Monsoon</v>
      </c>
    </row>
    <row r="2795" spans="1:12" x14ac:dyDescent="0.25">
      <c r="A2795">
        <v>2794</v>
      </c>
      <c r="B2795">
        <v>1212</v>
      </c>
      <c r="C2795">
        <v>1120</v>
      </c>
      <c r="D2795" s="1">
        <v>45686</v>
      </c>
      <c r="E2795" t="s">
        <v>24</v>
      </c>
      <c r="F2795" t="s">
        <v>321</v>
      </c>
      <c r="G2795" t="str">
        <f>_xlfn.XLOOKUP(TRIM(E2796),MedicineInfo!A:A,MedicineInfo!B:B,"Not Found")</f>
        <v>Multivitamin</v>
      </c>
      <c r="H2795" s="1" t="str" cm="1">
        <f t="array" ref="H2795">_xlfn.IFS(
OR(E2795="Type 2 Diabetes",E2795="Essential Hypertension",E2795="Angina Pectoris",E2795="Bronchial Asthma",E2795="Cardiac Arrhythmia"), D2795+30,
OR(E2795="Gastritis",E2795="Osteoarthritis",E2795="Bronchitis",E2795="Iron Deficiency Anemia"), D2795+14,
OR(E2795="Lumbar Strain",E2795="Migraine Headache"), D2795+7,
OR(E2795="Viral Fever",E2795="General Checkup","Routine Health Check"), "",
TRUE,""
)</f>
        <v/>
      </c>
      <c r="I2795" s="1" t="str">
        <f t="shared" si="86"/>
        <v>No Follow-up Required</v>
      </c>
      <c r="J2795" t="str">
        <f>TEXT(Table8[[#This Row],[visit_Date]],"DDDD")</f>
        <v>Wednesday</v>
      </c>
      <c r="K2795" t="str">
        <f>TEXT(Table8[[#This Row],[visit_Date]],"mmmm")</f>
        <v>January</v>
      </c>
      <c r="L2795" t="str">
        <f t="shared" si="87"/>
        <v>Winter</v>
      </c>
    </row>
    <row r="2796" spans="1:12" x14ac:dyDescent="0.25">
      <c r="A2796">
        <v>2795</v>
      </c>
      <c r="B2796">
        <v>1243</v>
      </c>
      <c r="C2796">
        <v>1544</v>
      </c>
      <c r="D2796" s="1">
        <v>45719</v>
      </c>
      <c r="E2796" t="s">
        <v>24</v>
      </c>
      <c r="F2796" t="s">
        <v>321</v>
      </c>
      <c r="G2796" t="str">
        <f>_xlfn.XLOOKUP(TRIM(E2797),MedicineInfo!A:A,MedicineInfo!B:B,"Not Found")</f>
        <v>Ferrous Sulfate</v>
      </c>
      <c r="H2796" s="1" t="str" cm="1">
        <f t="array" ref="H2796">_xlfn.IFS(
OR(E2796="Type 2 Diabetes",E2796="Essential Hypertension",E2796="Angina Pectoris",E2796="Bronchial Asthma",E2796="Cardiac Arrhythmia"), D2796+30,
OR(E2796="Gastritis",E2796="Osteoarthritis",E2796="Bronchitis",E2796="Iron Deficiency Anemia"), D2796+14,
OR(E2796="Lumbar Strain",E2796="Migraine Headache"), D2796+7,
OR(E2796="Viral Fever",E2796="General Checkup","Routine Health Check"), "",
TRUE,""
)</f>
        <v/>
      </c>
      <c r="I2796" s="1" t="str">
        <f t="shared" si="86"/>
        <v>No Follow-up Required</v>
      </c>
      <c r="J2796" t="str">
        <f>TEXT(Table8[[#This Row],[visit_Date]],"DDDD")</f>
        <v>Monday</v>
      </c>
      <c r="K2796" t="str">
        <f>TEXT(Table8[[#This Row],[visit_Date]],"mmmm")</f>
        <v>March</v>
      </c>
      <c r="L2796" t="str">
        <f t="shared" si="87"/>
        <v>Summer</v>
      </c>
    </row>
    <row r="2797" spans="1:12" x14ac:dyDescent="0.25">
      <c r="A2797">
        <v>2796</v>
      </c>
      <c r="B2797">
        <v>1296</v>
      </c>
      <c r="C2797">
        <v>916</v>
      </c>
      <c r="D2797" s="1">
        <v>45783</v>
      </c>
      <c r="E2797" t="s">
        <v>358</v>
      </c>
      <c r="F2797" t="s">
        <v>359</v>
      </c>
      <c r="G2797" t="str">
        <f>_xlfn.XLOOKUP(TRIM(E2798),MedicineInfo!A:A,MedicineInfo!B:B,"Not Found")</f>
        <v>Multivitamin</v>
      </c>
      <c r="H2797" s="1" cm="1">
        <f t="array" ref="H2797">_xlfn.IFS(
OR(E2797="Type 2 Diabetes",E2797="Essential Hypertension",E2797="Angina Pectoris",E2797="Bronchial Asthma",E2797="Cardiac Arrhythmia"), D2797+30,
OR(E2797="Gastritis",E2797="Osteoarthritis",E2797="Bronchitis",E2797="Iron Deficiency Anemia"), D2797+14,
OR(E2797="Lumbar Strain",E2797="Migraine Headache"), D2797+7,
OR(E2797="Viral Fever",E2797="General Checkup","Routine Health Check"), "",
TRUE,""
)</f>
        <v>45797</v>
      </c>
      <c r="I2797" s="1" t="str">
        <f t="shared" si="86"/>
        <v>Follow-up Scheduled</v>
      </c>
      <c r="J2797" t="str">
        <f>TEXT(Table8[[#This Row],[visit_Date]],"DDDD")</f>
        <v>Tuesday</v>
      </c>
      <c r="K2797" t="str">
        <f>TEXT(Table8[[#This Row],[visit_Date]],"mmmm")</f>
        <v>May</v>
      </c>
      <c r="L2797" t="str">
        <f t="shared" si="87"/>
        <v>Summer</v>
      </c>
    </row>
    <row r="2798" spans="1:12" x14ac:dyDescent="0.25">
      <c r="A2798">
        <v>2797</v>
      </c>
      <c r="B2798">
        <v>1098</v>
      </c>
      <c r="C2798">
        <v>1112</v>
      </c>
      <c r="D2798" s="1">
        <v>45767</v>
      </c>
      <c r="E2798" t="s">
        <v>24</v>
      </c>
      <c r="F2798" t="s">
        <v>321</v>
      </c>
      <c r="G2798" t="str">
        <f>_xlfn.XLOOKUP(TRIM(E2799),MedicineInfo!A:A,MedicineInfo!B:B,"Not Found")</f>
        <v>Multivitamin</v>
      </c>
      <c r="H2798" s="1" t="str" cm="1">
        <f t="array" ref="H2798">_xlfn.IFS(
OR(E2798="Type 2 Diabetes",E2798="Essential Hypertension",E2798="Angina Pectoris",E2798="Bronchial Asthma",E2798="Cardiac Arrhythmia"), D2798+30,
OR(E2798="Gastritis",E2798="Osteoarthritis",E2798="Bronchitis",E2798="Iron Deficiency Anemia"), D2798+14,
OR(E2798="Lumbar Strain",E2798="Migraine Headache"), D2798+7,
OR(E2798="Viral Fever",E2798="General Checkup","Routine Health Check"), "",
TRUE,""
)</f>
        <v/>
      </c>
      <c r="I2798" s="1" t="str">
        <f t="shared" si="86"/>
        <v>No Follow-up Required</v>
      </c>
      <c r="J2798" t="str">
        <f>TEXT(Table8[[#This Row],[visit_Date]],"DDDD")</f>
        <v>Sunday</v>
      </c>
      <c r="K2798" t="str">
        <f>TEXT(Table8[[#This Row],[visit_Date]],"mmmm")</f>
        <v>April</v>
      </c>
      <c r="L2798" t="str">
        <f t="shared" si="87"/>
        <v>Summer</v>
      </c>
    </row>
    <row r="2799" spans="1:12" x14ac:dyDescent="0.25">
      <c r="A2799">
        <v>2798</v>
      </c>
      <c r="B2799">
        <v>1248</v>
      </c>
      <c r="C2799">
        <v>550</v>
      </c>
      <c r="D2799" s="1">
        <v>45669</v>
      </c>
      <c r="E2799" t="s">
        <v>24</v>
      </c>
      <c r="F2799" t="s">
        <v>321</v>
      </c>
      <c r="G2799" t="str">
        <f>_xlfn.XLOOKUP(TRIM(E2800),MedicineInfo!A:A,MedicineInfo!B:B,"Not Found")</f>
        <v>Multivitamin</v>
      </c>
      <c r="H2799" s="1" t="str" cm="1">
        <f t="array" ref="H2799">_xlfn.IFS(
OR(E2799="Type 2 Diabetes",E2799="Essential Hypertension",E2799="Angina Pectoris",E2799="Bronchial Asthma",E2799="Cardiac Arrhythmia"), D2799+30,
OR(E2799="Gastritis",E2799="Osteoarthritis",E2799="Bronchitis",E2799="Iron Deficiency Anemia"), D2799+14,
OR(E2799="Lumbar Strain",E2799="Migraine Headache"), D2799+7,
OR(E2799="Viral Fever",E2799="General Checkup","Routine Health Check"), "",
TRUE,""
)</f>
        <v/>
      </c>
      <c r="I2799" s="1" t="str">
        <f t="shared" si="86"/>
        <v>No Follow-up Required</v>
      </c>
      <c r="J2799" t="str">
        <f>TEXT(Table8[[#This Row],[visit_Date]],"DDDD")</f>
        <v>Sunday</v>
      </c>
      <c r="K2799" t="str">
        <f>TEXT(Table8[[#This Row],[visit_Date]],"mmmm")</f>
        <v>January</v>
      </c>
      <c r="L2799" t="str">
        <f t="shared" si="87"/>
        <v>Winter</v>
      </c>
    </row>
    <row r="2800" spans="1:12" x14ac:dyDescent="0.25">
      <c r="A2800">
        <v>2799</v>
      </c>
      <c r="B2800">
        <v>1186</v>
      </c>
      <c r="C2800">
        <v>392</v>
      </c>
      <c r="D2800" s="1">
        <v>45691</v>
      </c>
      <c r="E2800" t="s">
        <v>24</v>
      </c>
      <c r="F2800" t="s">
        <v>321</v>
      </c>
      <c r="G2800" t="str">
        <f>_xlfn.XLOOKUP(TRIM(E2801),MedicineInfo!A:A,MedicineInfo!B:B,"Not Found")</f>
        <v>Multivitamin</v>
      </c>
      <c r="H2800" s="1" t="str" cm="1">
        <f t="array" ref="H2800">_xlfn.IFS(
OR(E2800="Type 2 Diabetes",E2800="Essential Hypertension",E2800="Angina Pectoris",E2800="Bronchial Asthma",E2800="Cardiac Arrhythmia"), D2800+30,
OR(E2800="Gastritis",E2800="Osteoarthritis",E2800="Bronchitis",E2800="Iron Deficiency Anemia"), D2800+14,
OR(E2800="Lumbar Strain",E2800="Migraine Headache"), D2800+7,
OR(E2800="Viral Fever",E2800="General Checkup","Routine Health Check"), "",
TRUE,""
)</f>
        <v/>
      </c>
      <c r="I2800" s="1" t="str">
        <f t="shared" si="86"/>
        <v>No Follow-up Required</v>
      </c>
      <c r="J2800" t="str">
        <f>TEXT(Table8[[#This Row],[visit_Date]],"DDDD")</f>
        <v>Monday</v>
      </c>
      <c r="K2800" t="str">
        <f>TEXT(Table8[[#This Row],[visit_Date]],"mmmm")</f>
        <v>February</v>
      </c>
      <c r="L2800" t="str">
        <f t="shared" si="87"/>
        <v>Winter</v>
      </c>
    </row>
    <row r="2801" spans="1:12" x14ac:dyDescent="0.25">
      <c r="A2801">
        <v>2800</v>
      </c>
      <c r="B2801">
        <v>1179</v>
      </c>
      <c r="C2801">
        <v>1284</v>
      </c>
      <c r="D2801" s="1">
        <v>45777</v>
      </c>
      <c r="E2801" t="s">
        <v>24</v>
      </c>
      <c r="F2801" t="s">
        <v>321</v>
      </c>
      <c r="G2801" t="str">
        <f>_xlfn.XLOOKUP(TRIM(E2802),MedicineInfo!A:A,MedicineInfo!B:B,"Not Found")</f>
        <v>Multivitamin</v>
      </c>
      <c r="H2801" s="1" t="str" cm="1">
        <f t="array" ref="H2801">_xlfn.IFS(
OR(E2801="Type 2 Diabetes",E2801="Essential Hypertension",E2801="Angina Pectoris",E2801="Bronchial Asthma",E2801="Cardiac Arrhythmia"), D2801+30,
OR(E2801="Gastritis",E2801="Osteoarthritis",E2801="Bronchitis",E2801="Iron Deficiency Anemia"), D2801+14,
OR(E2801="Lumbar Strain",E2801="Migraine Headache"), D2801+7,
OR(E2801="Viral Fever",E2801="General Checkup","Routine Health Check"), "",
TRUE,""
)</f>
        <v/>
      </c>
      <c r="I2801" s="1" t="str">
        <f t="shared" si="86"/>
        <v>No Follow-up Required</v>
      </c>
      <c r="J2801" t="str">
        <f>TEXT(Table8[[#This Row],[visit_Date]],"DDDD")</f>
        <v>Wednesday</v>
      </c>
      <c r="K2801" t="str">
        <f>TEXT(Table8[[#This Row],[visit_Date]],"mmmm")</f>
        <v>April</v>
      </c>
      <c r="L2801" t="str">
        <f t="shared" si="87"/>
        <v>Summer</v>
      </c>
    </row>
    <row r="2802" spans="1:12" x14ac:dyDescent="0.25">
      <c r="A2802">
        <v>2801</v>
      </c>
      <c r="B2802">
        <v>1217</v>
      </c>
      <c r="C2802">
        <v>1201</v>
      </c>
      <c r="D2802" s="1">
        <v>45799</v>
      </c>
      <c r="E2802" t="s">
        <v>24</v>
      </c>
      <c r="F2802" t="s">
        <v>321</v>
      </c>
      <c r="G2802" t="str">
        <f>_xlfn.XLOOKUP(TRIM(E2803),MedicineInfo!A:A,MedicineInfo!B:B,"Not Found")</f>
        <v>Multivitamin</v>
      </c>
      <c r="H2802" s="1" t="str" cm="1">
        <f t="array" ref="H2802">_xlfn.IFS(
OR(E2802="Type 2 Diabetes",E2802="Essential Hypertension",E2802="Angina Pectoris",E2802="Bronchial Asthma",E2802="Cardiac Arrhythmia"), D2802+30,
OR(E2802="Gastritis",E2802="Osteoarthritis",E2802="Bronchitis",E2802="Iron Deficiency Anemia"), D2802+14,
OR(E2802="Lumbar Strain",E2802="Migraine Headache"), D2802+7,
OR(E2802="Viral Fever",E2802="General Checkup","Routine Health Check"), "",
TRUE,""
)</f>
        <v/>
      </c>
      <c r="I2802" s="1" t="str">
        <f t="shared" si="86"/>
        <v>No Follow-up Required</v>
      </c>
      <c r="J2802" t="str">
        <f>TEXT(Table8[[#This Row],[visit_Date]],"DDDD")</f>
        <v>Thursday</v>
      </c>
      <c r="K2802" t="str">
        <f>TEXT(Table8[[#This Row],[visit_Date]],"mmmm")</f>
        <v>May</v>
      </c>
      <c r="L2802" t="str">
        <f t="shared" si="87"/>
        <v>Summer</v>
      </c>
    </row>
    <row r="2803" spans="1:12" x14ac:dyDescent="0.25">
      <c r="A2803">
        <v>2802</v>
      </c>
      <c r="B2803">
        <v>1209</v>
      </c>
      <c r="C2803">
        <v>536</v>
      </c>
      <c r="D2803" s="1">
        <v>45767</v>
      </c>
      <c r="E2803" t="s">
        <v>24</v>
      </c>
      <c r="F2803" t="s">
        <v>321</v>
      </c>
      <c r="G2803" t="str">
        <f>_xlfn.XLOOKUP(TRIM(E2804),MedicineInfo!A:A,MedicineInfo!B:B,"Not Found")</f>
        <v>Multivitamin</v>
      </c>
      <c r="H2803" s="1" t="str" cm="1">
        <f t="array" ref="H2803">_xlfn.IFS(
OR(E2803="Type 2 Diabetes",E2803="Essential Hypertension",E2803="Angina Pectoris",E2803="Bronchial Asthma",E2803="Cardiac Arrhythmia"), D2803+30,
OR(E2803="Gastritis",E2803="Osteoarthritis",E2803="Bronchitis",E2803="Iron Deficiency Anemia"), D2803+14,
OR(E2803="Lumbar Strain",E2803="Migraine Headache"), D2803+7,
OR(E2803="Viral Fever",E2803="General Checkup","Routine Health Check"), "",
TRUE,""
)</f>
        <v/>
      </c>
      <c r="I2803" s="1" t="str">
        <f t="shared" si="86"/>
        <v>No Follow-up Required</v>
      </c>
      <c r="J2803" t="str">
        <f>TEXT(Table8[[#This Row],[visit_Date]],"DDDD")</f>
        <v>Sunday</v>
      </c>
      <c r="K2803" t="str">
        <f>TEXT(Table8[[#This Row],[visit_Date]],"mmmm")</f>
        <v>April</v>
      </c>
      <c r="L2803" t="str">
        <f t="shared" si="87"/>
        <v>Summer</v>
      </c>
    </row>
    <row r="2804" spans="1:12" x14ac:dyDescent="0.25">
      <c r="A2804">
        <v>2803</v>
      </c>
      <c r="B2804">
        <v>1305</v>
      </c>
      <c r="C2804">
        <v>254</v>
      </c>
      <c r="D2804" s="1">
        <v>45790</v>
      </c>
      <c r="E2804" t="s">
        <v>24</v>
      </c>
      <c r="F2804" t="s">
        <v>321</v>
      </c>
      <c r="G2804" t="str">
        <f>_xlfn.XLOOKUP(TRIM(E2805),MedicineInfo!A:A,MedicineInfo!B:B,"Not Found")</f>
        <v>Multivitamin</v>
      </c>
      <c r="H2804" s="1" t="str" cm="1">
        <f t="array" ref="H2804">_xlfn.IFS(
OR(E2804="Type 2 Diabetes",E2804="Essential Hypertension",E2804="Angina Pectoris",E2804="Bronchial Asthma",E2804="Cardiac Arrhythmia"), D2804+30,
OR(E2804="Gastritis",E2804="Osteoarthritis",E2804="Bronchitis",E2804="Iron Deficiency Anemia"), D2804+14,
OR(E2804="Lumbar Strain",E2804="Migraine Headache"), D2804+7,
OR(E2804="Viral Fever",E2804="General Checkup","Routine Health Check"), "",
TRUE,""
)</f>
        <v/>
      </c>
      <c r="I2804" s="1" t="str">
        <f t="shared" si="86"/>
        <v>No Follow-up Required</v>
      </c>
      <c r="J2804" t="str">
        <f>TEXT(Table8[[#This Row],[visit_Date]],"DDDD")</f>
        <v>Tuesday</v>
      </c>
      <c r="K2804" t="str">
        <f>TEXT(Table8[[#This Row],[visit_Date]],"mmmm")</f>
        <v>May</v>
      </c>
      <c r="L2804" t="str">
        <f t="shared" si="87"/>
        <v>Summer</v>
      </c>
    </row>
    <row r="2805" spans="1:12" x14ac:dyDescent="0.25">
      <c r="A2805">
        <v>2804</v>
      </c>
      <c r="B2805">
        <v>1323</v>
      </c>
      <c r="C2805">
        <v>1138</v>
      </c>
      <c r="D2805" s="1">
        <v>45686</v>
      </c>
      <c r="E2805" t="s">
        <v>24</v>
      </c>
      <c r="F2805" t="s">
        <v>321</v>
      </c>
      <c r="G2805" t="str">
        <f>_xlfn.XLOOKUP(TRIM(E2806),MedicineInfo!A:A,MedicineInfo!B:B,"Not Found")</f>
        <v>Multivitamin</v>
      </c>
      <c r="H2805" s="1" t="str" cm="1">
        <f t="array" ref="H2805">_xlfn.IFS(
OR(E2805="Type 2 Diabetes",E2805="Essential Hypertension",E2805="Angina Pectoris",E2805="Bronchial Asthma",E2805="Cardiac Arrhythmia"), D2805+30,
OR(E2805="Gastritis",E2805="Osteoarthritis",E2805="Bronchitis",E2805="Iron Deficiency Anemia"), D2805+14,
OR(E2805="Lumbar Strain",E2805="Migraine Headache"), D2805+7,
OR(E2805="Viral Fever",E2805="General Checkup","Routine Health Check"), "",
TRUE,""
)</f>
        <v/>
      </c>
      <c r="I2805" s="1" t="str">
        <f t="shared" si="86"/>
        <v>No Follow-up Required</v>
      </c>
      <c r="J2805" t="str">
        <f>TEXT(Table8[[#This Row],[visit_Date]],"DDDD")</f>
        <v>Wednesday</v>
      </c>
      <c r="K2805" t="str">
        <f>TEXT(Table8[[#This Row],[visit_Date]],"mmmm")</f>
        <v>January</v>
      </c>
      <c r="L2805" t="str">
        <f t="shared" si="87"/>
        <v>Winter</v>
      </c>
    </row>
    <row r="2806" spans="1:12" x14ac:dyDescent="0.25">
      <c r="A2806">
        <v>2805</v>
      </c>
      <c r="B2806">
        <v>1122</v>
      </c>
      <c r="C2806">
        <v>981</v>
      </c>
      <c r="D2806" s="1">
        <v>45767</v>
      </c>
      <c r="E2806" t="s">
        <v>24</v>
      </c>
      <c r="F2806" t="s">
        <v>321</v>
      </c>
      <c r="G2806" t="str">
        <f>_xlfn.XLOOKUP(TRIM(E2807),MedicineInfo!A:A,MedicineInfo!B:B,"Not Found")</f>
        <v>Escitalopram</v>
      </c>
      <c r="H2806" s="1" t="str" cm="1">
        <f t="array" ref="H2806">_xlfn.IFS(
OR(E2806="Type 2 Diabetes",E2806="Essential Hypertension",E2806="Angina Pectoris",E2806="Bronchial Asthma",E2806="Cardiac Arrhythmia"), D2806+30,
OR(E2806="Gastritis",E2806="Osteoarthritis",E2806="Bronchitis",E2806="Iron Deficiency Anemia"), D2806+14,
OR(E2806="Lumbar Strain",E2806="Migraine Headache"), D2806+7,
OR(E2806="Viral Fever",E2806="General Checkup","Routine Health Check"), "",
TRUE,""
)</f>
        <v/>
      </c>
      <c r="I2806" s="1" t="str">
        <f t="shared" si="86"/>
        <v>No Follow-up Required</v>
      </c>
      <c r="J2806" t="str">
        <f>TEXT(Table8[[#This Row],[visit_Date]],"DDDD")</f>
        <v>Sunday</v>
      </c>
      <c r="K2806" t="str">
        <f>TEXT(Table8[[#This Row],[visit_Date]],"mmmm")</f>
        <v>April</v>
      </c>
      <c r="L2806" t="str">
        <f t="shared" si="87"/>
        <v>Summer</v>
      </c>
    </row>
    <row r="2807" spans="1:12" x14ac:dyDescent="0.25">
      <c r="A2807">
        <v>2806</v>
      </c>
      <c r="B2807">
        <v>1155</v>
      </c>
      <c r="C2807">
        <v>833</v>
      </c>
      <c r="D2807" s="1">
        <v>45792</v>
      </c>
      <c r="E2807" t="s">
        <v>328</v>
      </c>
      <c r="F2807" t="s">
        <v>329</v>
      </c>
      <c r="G2807" t="str">
        <f>_xlfn.XLOOKUP(TRIM(E2808),MedicineInfo!A:A,MedicineInfo!B:B,"Not Found")</f>
        <v>Multivitamin</v>
      </c>
      <c r="H2807" s="1" t="str" cm="1">
        <f t="array" ref="H2807">_xlfn.IFS(
OR(E2807="Type 2 Diabetes",E2807="Essential Hypertension",E2807="Angina Pectoris",E2807="Bronchial Asthma",E2807="Cardiac Arrhythmia"), D2807+30,
OR(E2807="Gastritis",E2807="Osteoarthritis",E2807="Bronchitis",E2807="Iron Deficiency Anemia"), D2807+14,
OR(E2807="Lumbar Strain",E2807="Migraine Headache"), D2807+7,
OR(E2807="Viral Fever",E2807="General Checkup","Routine Health Check"), "",
TRUE,""
)</f>
        <v/>
      </c>
      <c r="I2807" s="1" t="str">
        <f t="shared" si="86"/>
        <v>No Follow-up Required</v>
      </c>
      <c r="J2807" t="str">
        <f>TEXT(Table8[[#This Row],[visit_Date]],"DDDD")</f>
        <v>Thursday</v>
      </c>
      <c r="K2807" t="str">
        <f>TEXT(Table8[[#This Row],[visit_Date]],"mmmm")</f>
        <v>May</v>
      </c>
      <c r="L2807" t="str">
        <f t="shared" si="87"/>
        <v>Summer</v>
      </c>
    </row>
    <row r="2808" spans="1:12" x14ac:dyDescent="0.25">
      <c r="A2808">
        <v>2807</v>
      </c>
      <c r="B2808">
        <v>1229</v>
      </c>
      <c r="C2808">
        <v>1426</v>
      </c>
      <c r="D2808" s="1">
        <v>45758</v>
      </c>
      <c r="E2808" t="s">
        <v>24</v>
      </c>
      <c r="F2808" t="s">
        <v>321</v>
      </c>
      <c r="G2808" t="str">
        <f>_xlfn.XLOOKUP(TRIM(E2809),MedicineInfo!A:A,MedicineInfo!B:B,"Not Found")</f>
        <v>Paracetamol</v>
      </c>
      <c r="H2808" s="1" t="str" cm="1">
        <f t="array" ref="H2808">_xlfn.IFS(
OR(E2808="Type 2 Diabetes",E2808="Essential Hypertension",E2808="Angina Pectoris",E2808="Bronchial Asthma",E2808="Cardiac Arrhythmia"), D2808+30,
OR(E2808="Gastritis",E2808="Osteoarthritis",E2808="Bronchitis",E2808="Iron Deficiency Anemia"), D2808+14,
OR(E2808="Lumbar Strain",E2808="Migraine Headache"), D2808+7,
OR(E2808="Viral Fever",E2808="General Checkup","Routine Health Check"), "",
TRUE,""
)</f>
        <v/>
      </c>
      <c r="I2808" s="1" t="str">
        <f t="shared" si="86"/>
        <v>No Follow-up Required</v>
      </c>
      <c r="J2808" t="str">
        <f>TEXT(Table8[[#This Row],[visit_Date]],"DDDD")</f>
        <v>Friday</v>
      </c>
      <c r="K2808" t="str">
        <f>TEXT(Table8[[#This Row],[visit_Date]],"mmmm")</f>
        <v>April</v>
      </c>
      <c r="L2808" t="str">
        <f t="shared" si="87"/>
        <v>Summer</v>
      </c>
    </row>
    <row r="2809" spans="1:12" x14ac:dyDescent="0.25">
      <c r="A2809">
        <v>2808</v>
      </c>
      <c r="B2809">
        <v>1216</v>
      </c>
      <c r="C2809">
        <v>781</v>
      </c>
      <c r="D2809" s="1">
        <v>45799</v>
      </c>
      <c r="E2809" t="s">
        <v>326</v>
      </c>
      <c r="F2809" t="s">
        <v>327</v>
      </c>
      <c r="G2809" t="str">
        <f>_xlfn.XLOOKUP(TRIM(E2810),MedicineInfo!A:A,MedicineInfo!B:B,"Not Found")</f>
        <v>Levothyroxine</v>
      </c>
      <c r="H2809" s="1" t="str" cm="1">
        <f t="array" ref="H2809">_xlfn.IFS(
OR(E2809="Type 2 Diabetes",E2809="Essential Hypertension",E2809="Angina Pectoris",E2809="Bronchial Asthma",E2809="Cardiac Arrhythmia"), D2809+30,
OR(E2809="Gastritis",E2809="Osteoarthritis",E2809="Bronchitis",E2809="Iron Deficiency Anemia"), D2809+14,
OR(E2809="Lumbar Strain",E2809="Migraine Headache"), D2809+7,
OR(E2809="Viral Fever",E2809="General Checkup","Routine Health Check"), "",
TRUE,""
)</f>
        <v/>
      </c>
      <c r="I2809" s="1" t="str">
        <f t="shared" si="86"/>
        <v>No Follow-up Required</v>
      </c>
      <c r="J2809" t="str">
        <f>TEXT(Table8[[#This Row],[visit_Date]],"DDDD")</f>
        <v>Thursday</v>
      </c>
      <c r="K2809" t="str">
        <f>TEXT(Table8[[#This Row],[visit_Date]],"mmmm")</f>
        <v>May</v>
      </c>
      <c r="L2809" t="str">
        <f t="shared" si="87"/>
        <v>Summer</v>
      </c>
    </row>
    <row r="2810" spans="1:12" x14ac:dyDescent="0.25">
      <c r="A2810">
        <v>2809</v>
      </c>
      <c r="B2810">
        <v>1146</v>
      </c>
      <c r="C2810">
        <v>1250</v>
      </c>
      <c r="D2810" s="1">
        <v>45792</v>
      </c>
      <c r="E2810" t="s">
        <v>360</v>
      </c>
      <c r="F2810" t="s">
        <v>361</v>
      </c>
      <c r="G2810" t="str">
        <f>_xlfn.XLOOKUP(TRIM(E2811),MedicineInfo!A:A,MedicineInfo!B:B,"Not Found")</f>
        <v>Multivitamin</v>
      </c>
      <c r="H2810" s="1" t="str" cm="1">
        <f t="array" ref="H2810">_xlfn.IFS(
OR(E2810="Type 2 Diabetes",E2810="Essential Hypertension",E2810="Angina Pectoris",E2810="Bronchial Asthma",E2810="Cardiac Arrhythmia"), D2810+30,
OR(E2810="Gastritis",E2810="Osteoarthritis",E2810="Bronchitis",E2810="Iron Deficiency Anemia"), D2810+14,
OR(E2810="Lumbar Strain",E2810="Migraine Headache"), D2810+7,
OR(E2810="Viral Fever",E2810="General Checkup","Routine Health Check"), "",
TRUE,""
)</f>
        <v/>
      </c>
      <c r="I2810" s="1" t="str">
        <f t="shared" si="86"/>
        <v>No Follow-up Required</v>
      </c>
      <c r="J2810" t="str">
        <f>TEXT(Table8[[#This Row],[visit_Date]],"DDDD")</f>
        <v>Thursday</v>
      </c>
      <c r="K2810" t="str">
        <f>TEXT(Table8[[#This Row],[visit_Date]],"mmmm")</f>
        <v>May</v>
      </c>
      <c r="L2810" t="str">
        <f t="shared" si="87"/>
        <v>Summer</v>
      </c>
    </row>
    <row r="2811" spans="1:12" x14ac:dyDescent="0.25">
      <c r="A2811">
        <v>2810</v>
      </c>
      <c r="B2811">
        <v>1300</v>
      </c>
      <c r="C2811">
        <v>1362</v>
      </c>
      <c r="D2811" s="1">
        <v>45792</v>
      </c>
      <c r="E2811" t="s">
        <v>24</v>
      </c>
      <c r="F2811" t="s">
        <v>321</v>
      </c>
      <c r="G2811" t="str">
        <f>_xlfn.XLOOKUP(TRIM(E2812),MedicineInfo!A:A,MedicineInfo!B:B,"Not Found")</f>
        <v>Multivitamin</v>
      </c>
      <c r="H2811" s="1" t="str" cm="1">
        <f t="array" ref="H2811">_xlfn.IFS(
OR(E2811="Type 2 Diabetes",E2811="Essential Hypertension",E2811="Angina Pectoris",E2811="Bronchial Asthma",E2811="Cardiac Arrhythmia"), D2811+30,
OR(E2811="Gastritis",E2811="Osteoarthritis",E2811="Bronchitis",E2811="Iron Deficiency Anemia"), D2811+14,
OR(E2811="Lumbar Strain",E2811="Migraine Headache"), D2811+7,
OR(E2811="Viral Fever",E2811="General Checkup","Routine Health Check"), "",
TRUE,""
)</f>
        <v/>
      </c>
      <c r="I2811" s="1" t="str">
        <f t="shared" si="86"/>
        <v>No Follow-up Required</v>
      </c>
      <c r="J2811" t="str">
        <f>TEXT(Table8[[#This Row],[visit_Date]],"DDDD")</f>
        <v>Thursday</v>
      </c>
      <c r="K2811" t="str">
        <f>TEXT(Table8[[#This Row],[visit_Date]],"mmmm")</f>
        <v>May</v>
      </c>
      <c r="L2811" t="str">
        <f t="shared" si="87"/>
        <v>Summer</v>
      </c>
    </row>
    <row r="2812" spans="1:12" x14ac:dyDescent="0.25">
      <c r="A2812">
        <v>2811</v>
      </c>
      <c r="B2812">
        <v>1303</v>
      </c>
      <c r="C2812">
        <v>348</v>
      </c>
      <c r="D2812" s="1">
        <v>45665</v>
      </c>
      <c r="E2812" t="s">
        <v>24</v>
      </c>
      <c r="F2812" t="s">
        <v>321</v>
      </c>
      <c r="G2812" t="str">
        <f>_xlfn.XLOOKUP(TRIM(E2813),MedicineInfo!A:A,MedicineInfo!B:B,"Not Found")</f>
        <v>Multivitamin</v>
      </c>
      <c r="H2812" s="1" t="str" cm="1">
        <f t="array" ref="H2812">_xlfn.IFS(
OR(E2812="Type 2 Diabetes",E2812="Essential Hypertension",E2812="Angina Pectoris",E2812="Bronchial Asthma",E2812="Cardiac Arrhythmia"), D2812+30,
OR(E2812="Gastritis",E2812="Osteoarthritis",E2812="Bronchitis",E2812="Iron Deficiency Anemia"), D2812+14,
OR(E2812="Lumbar Strain",E2812="Migraine Headache"), D2812+7,
OR(E2812="Viral Fever",E2812="General Checkup","Routine Health Check"), "",
TRUE,""
)</f>
        <v/>
      </c>
      <c r="I2812" s="1" t="str">
        <f t="shared" si="86"/>
        <v>No Follow-up Required</v>
      </c>
      <c r="J2812" t="str">
        <f>TEXT(Table8[[#This Row],[visit_Date]],"DDDD")</f>
        <v>Wednesday</v>
      </c>
      <c r="K2812" t="str">
        <f>TEXT(Table8[[#This Row],[visit_Date]],"mmmm")</f>
        <v>January</v>
      </c>
      <c r="L2812" t="str">
        <f t="shared" si="87"/>
        <v>Winter</v>
      </c>
    </row>
    <row r="2813" spans="1:12" x14ac:dyDescent="0.25">
      <c r="A2813">
        <v>2812</v>
      </c>
      <c r="B2813">
        <v>1306</v>
      </c>
      <c r="C2813">
        <v>388</v>
      </c>
      <c r="D2813" s="1">
        <v>45819</v>
      </c>
      <c r="E2813" t="s">
        <v>24</v>
      </c>
      <c r="F2813" t="s">
        <v>321</v>
      </c>
      <c r="G2813" t="str">
        <f>_xlfn.XLOOKUP(TRIM(E2814),MedicineInfo!A:A,MedicineInfo!B:B,"Not Found")</f>
        <v>Sumatriptan</v>
      </c>
      <c r="H2813" s="1" t="str" cm="1">
        <f t="array" ref="H2813">_xlfn.IFS(
OR(E2813="Type 2 Diabetes",E2813="Essential Hypertension",E2813="Angina Pectoris",E2813="Bronchial Asthma",E2813="Cardiac Arrhythmia"), D2813+30,
OR(E2813="Gastritis",E2813="Osteoarthritis",E2813="Bronchitis",E2813="Iron Deficiency Anemia"), D2813+14,
OR(E2813="Lumbar Strain",E2813="Migraine Headache"), D2813+7,
OR(E2813="Viral Fever",E2813="General Checkup","Routine Health Check"), "",
TRUE,""
)</f>
        <v/>
      </c>
      <c r="I2813" s="1" t="str">
        <f t="shared" si="86"/>
        <v>No Follow-up Required</v>
      </c>
      <c r="J2813" t="str">
        <f>TEXT(Table8[[#This Row],[visit_Date]],"DDDD")</f>
        <v>Wednesday</v>
      </c>
      <c r="K2813" t="str">
        <f>TEXT(Table8[[#This Row],[visit_Date]],"mmmm")</f>
        <v>June</v>
      </c>
      <c r="L2813" t="str">
        <f t="shared" si="87"/>
        <v>Monsoon</v>
      </c>
    </row>
    <row r="2814" spans="1:12" x14ac:dyDescent="0.25">
      <c r="A2814">
        <v>2813</v>
      </c>
      <c r="B2814">
        <v>1058</v>
      </c>
      <c r="C2814">
        <v>275</v>
      </c>
      <c r="D2814" s="1">
        <v>45672</v>
      </c>
      <c r="E2814" t="s">
        <v>315</v>
      </c>
      <c r="F2814" t="s">
        <v>316</v>
      </c>
      <c r="G2814" t="str">
        <f>_xlfn.XLOOKUP(TRIM(E2815),MedicineInfo!A:A,MedicineInfo!B:B,"Not Found")</f>
        <v>Multivitamin</v>
      </c>
      <c r="H2814" s="1" cm="1">
        <f t="array" ref="H2814">_xlfn.IFS(
OR(E2814="Type 2 Diabetes",E2814="Essential Hypertension",E2814="Angina Pectoris",E2814="Bronchial Asthma",E2814="Cardiac Arrhythmia"), D2814+30,
OR(E2814="Gastritis",E2814="Osteoarthritis",E2814="Bronchitis",E2814="Iron Deficiency Anemia"), D2814+14,
OR(E2814="Lumbar Strain",E2814="Migraine Headache"), D2814+7,
OR(E2814="Viral Fever",E2814="General Checkup","Routine Health Check"), "",
TRUE,""
)</f>
        <v>45679</v>
      </c>
      <c r="I2814" s="1" t="str">
        <f t="shared" si="86"/>
        <v>Follow-up Scheduled</v>
      </c>
      <c r="J2814" t="str">
        <f>TEXT(Table8[[#This Row],[visit_Date]],"DDDD")</f>
        <v>Wednesday</v>
      </c>
      <c r="K2814" t="str">
        <f>TEXT(Table8[[#This Row],[visit_Date]],"mmmm")</f>
        <v>January</v>
      </c>
      <c r="L2814" t="str">
        <f t="shared" si="87"/>
        <v>Winter</v>
      </c>
    </row>
    <row r="2815" spans="1:12" x14ac:dyDescent="0.25">
      <c r="A2815">
        <v>2814</v>
      </c>
      <c r="B2815">
        <v>1030</v>
      </c>
      <c r="C2815">
        <v>814</v>
      </c>
      <c r="D2815" s="1">
        <v>45720</v>
      </c>
      <c r="E2815" t="s">
        <v>24</v>
      </c>
      <c r="F2815" t="s">
        <v>321</v>
      </c>
      <c r="G2815" t="str">
        <f>_xlfn.XLOOKUP(TRIM(E2816),MedicineInfo!A:A,MedicineInfo!B:B,"Not Found")</f>
        <v>Multivitamin</v>
      </c>
      <c r="H2815" s="1" t="str" cm="1">
        <f t="array" ref="H2815">_xlfn.IFS(
OR(E2815="Type 2 Diabetes",E2815="Essential Hypertension",E2815="Angina Pectoris",E2815="Bronchial Asthma",E2815="Cardiac Arrhythmia"), D2815+30,
OR(E2815="Gastritis",E2815="Osteoarthritis",E2815="Bronchitis",E2815="Iron Deficiency Anemia"), D2815+14,
OR(E2815="Lumbar Strain",E2815="Migraine Headache"), D2815+7,
OR(E2815="Viral Fever",E2815="General Checkup","Routine Health Check"), "",
TRUE,""
)</f>
        <v/>
      </c>
      <c r="I2815" s="1" t="str">
        <f t="shared" si="86"/>
        <v>No Follow-up Required</v>
      </c>
      <c r="J2815" t="str">
        <f>TEXT(Table8[[#This Row],[visit_Date]],"DDDD")</f>
        <v>Tuesday</v>
      </c>
      <c r="K2815" t="str">
        <f>TEXT(Table8[[#This Row],[visit_Date]],"mmmm")</f>
        <v>March</v>
      </c>
      <c r="L2815" t="str">
        <f t="shared" si="87"/>
        <v>Summer</v>
      </c>
    </row>
    <row r="2816" spans="1:12" x14ac:dyDescent="0.25">
      <c r="A2816">
        <v>2815</v>
      </c>
      <c r="B2816">
        <v>1131</v>
      </c>
      <c r="C2816">
        <v>452</v>
      </c>
      <c r="D2816" s="1">
        <v>45758</v>
      </c>
      <c r="E2816" t="s">
        <v>24</v>
      </c>
      <c r="F2816" t="s">
        <v>321</v>
      </c>
      <c r="G2816" t="str">
        <f>_xlfn.XLOOKUP(TRIM(E2817),MedicineInfo!A:A,MedicineInfo!B:B,"Not Found")</f>
        <v>Multivitamin</v>
      </c>
      <c r="H2816" s="1" t="str" cm="1">
        <f t="array" ref="H2816">_xlfn.IFS(
OR(E2816="Type 2 Diabetes",E2816="Essential Hypertension",E2816="Angina Pectoris",E2816="Bronchial Asthma",E2816="Cardiac Arrhythmia"), D2816+30,
OR(E2816="Gastritis",E2816="Osteoarthritis",E2816="Bronchitis",E2816="Iron Deficiency Anemia"), D2816+14,
OR(E2816="Lumbar Strain",E2816="Migraine Headache"), D2816+7,
OR(E2816="Viral Fever",E2816="General Checkup","Routine Health Check"), "",
TRUE,""
)</f>
        <v/>
      </c>
      <c r="I2816" s="1" t="str">
        <f t="shared" si="86"/>
        <v>No Follow-up Required</v>
      </c>
      <c r="J2816" t="str">
        <f>TEXT(Table8[[#This Row],[visit_Date]],"DDDD")</f>
        <v>Friday</v>
      </c>
      <c r="K2816" t="str">
        <f>TEXT(Table8[[#This Row],[visit_Date]],"mmmm")</f>
        <v>April</v>
      </c>
      <c r="L2816" t="str">
        <f t="shared" si="87"/>
        <v>Summer</v>
      </c>
    </row>
    <row r="2817" spans="1:12" x14ac:dyDescent="0.25">
      <c r="A2817">
        <v>2816</v>
      </c>
      <c r="B2817">
        <v>1383</v>
      </c>
      <c r="C2817">
        <v>1186</v>
      </c>
      <c r="D2817" s="1">
        <v>45814</v>
      </c>
      <c r="E2817" t="s">
        <v>24</v>
      </c>
      <c r="F2817" t="s">
        <v>321</v>
      </c>
      <c r="G2817" t="str">
        <f>_xlfn.XLOOKUP(TRIM(E2818),MedicineInfo!A:A,MedicineInfo!B:B,"Not Found")</f>
        <v>Multivitamin</v>
      </c>
      <c r="H2817" s="1" t="str" cm="1">
        <f t="array" ref="H2817">_xlfn.IFS(
OR(E2817="Type 2 Diabetes",E2817="Essential Hypertension",E2817="Angina Pectoris",E2817="Bronchial Asthma",E2817="Cardiac Arrhythmia"), D2817+30,
OR(E2817="Gastritis",E2817="Osteoarthritis",E2817="Bronchitis",E2817="Iron Deficiency Anemia"), D2817+14,
OR(E2817="Lumbar Strain",E2817="Migraine Headache"), D2817+7,
OR(E2817="Viral Fever",E2817="General Checkup","Routine Health Check"), "",
TRUE,""
)</f>
        <v/>
      </c>
      <c r="I2817" s="1" t="str">
        <f t="shared" si="86"/>
        <v>No Follow-up Required</v>
      </c>
      <c r="J2817" t="str">
        <f>TEXT(Table8[[#This Row],[visit_Date]],"DDDD")</f>
        <v>Friday</v>
      </c>
      <c r="K2817" t="str">
        <f>TEXT(Table8[[#This Row],[visit_Date]],"mmmm")</f>
        <v>June</v>
      </c>
      <c r="L2817" t="str">
        <f t="shared" si="87"/>
        <v>Monsoon</v>
      </c>
    </row>
    <row r="2818" spans="1:12" x14ac:dyDescent="0.25">
      <c r="A2818">
        <v>2817</v>
      </c>
      <c r="B2818">
        <v>1175</v>
      </c>
      <c r="C2818">
        <v>921</v>
      </c>
      <c r="D2818" s="1">
        <v>45758</v>
      </c>
      <c r="E2818" t="s">
        <v>24</v>
      </c>
      <c r="F2818" t="s">
        <v>321</v>
      </c>
      <c r="G2818" t="str">
        <f>_xlfn.XLOOKUP(TRIM(E2819),MedicineInfo!A:A,MedicineInfo!B:B,"Not Found")</f>
        <v>Calcium Supplement</v>
      </c>
      <c r="H2818" s="1" t="str" cm="1">
        <f t="array" ref="H2818">_xlfn.IFS(
OR(E2818="Type 2 Diabetes",E2818="Essential Hypertension",E2818="Angina Pectoris",E2818="Bronchial Asthma",E2818="Cardiac Arrhythmia"), D2818+30,
OR(E2818="Gastritis",E2818="Osteoarthritis",E2818="Bronchitis",E2818="Iron Deficiency Anemia"), D2818+14,
OR(E2818="Lumbar Strain",E2818="Migraine Headache"), D2818+7,
OR(E2818="Viral Fever",E2818="General Checkup","Routine Health Check"), "",
TRUE,""
)</f>
        <v/>
      </c>
      <c r="I2818" s="1" t="str">
        <f t="shared" ref="I2818:I2881" si="88">IF(H2818="","No Follow-up Required","Follow-up Scheduled")</f>
        <v>No Follow-up Required</v>
      </c>
      <c r="J2818" t="str">
        <f>TEXT(Table8[[#This Row],[visit_Date]],"DDDD")</f>
        <v>Friday</v>
      </c>
      <c r="K2818" t="str">
        <f>TEXT(Table8[[#This Row],[visit_Date]],"mmmm")</f>
        <v>April</v>
      </c>
      <c r="L2818" t="str">
        <f t="shared" ref="L2818:L2881" si="89">IF(OR(MONTH(D2818)=12,MONTH(D2818)&lt;=2),"Winter",
IF(MONTH(D2818)&lt;=5,"Summer","Monsoon"))</f>
        <v>Summer</v>
      </c>
    </row>
    <row r="2819" spans="1:12" x14ac:dyDescent="0.25">
      <c r="A2819">
        <v>2818</v>
      </c>
      <c r="B2819">
        <v>1183</v>
      </c>
      <c r="C2819">
        <v>177</v>
      </c>
      <c r="D2819" s="1">
        <v>45767</v>
      </c>
      <c r="E2819" t="s">
        <v>336</v>
      </c>
      <c r="F2819" t="s">
        <v>337</v>
      </c>
      <c r="G2819" t="str">
        <f>_xlfn.XLOOKUP(TRIM(E2820),MedicineInfo!A:A,MedicineInfo!B:B,"Not Found")</f>
        <v>Multivitamin</v>
      </c>
      <c r="H2819" s="1" t="str" cm="1">
        <f t="array" ref="H2819">_xlfn.IFS(
OR(E2819="Type 2 Diabetes",E2819="Essential Hypertension",E2819="Angina Pectoris",E2819="Bronchial Asthma",E2819="Cardiac Arrhythmia"), D2819+30,
OR(E2819="Gastritis",E2819="Osteoarthritis",E2819="Bronchitis",E2819="Iron Deficiency Anemia"), D2819+14,
OR(E2819="Lumbar Strain",E2819="Migraine Headache"), D2819+7,
OR(E2819="Viral Fever",E2819="General Checkup","Routine Health Check"), "",
TRUE,""
)</f>
        <v/>
      </c>
      <c r="I2819" s="1" t="str">
        <f t="shared" si="88"/>
        <v>No Follow-up Required</v>
      </c>
      <c r="J2819" t="str">
        <f>TEXT(Table8[[#This Row],[visit_Date]],"DDDD")</f>
        <v>Sunday</v>
      </c>
      <c r="K2819" t="str">
        <f>TEXT(Table8[[#This Row],[visit_Date]],"mmmm")</f>
        <v>April</v>
      </c>
      <c r="L2819" t="str">
        <f t="shared" si="89"/>
        <v>Summer</v>
      </c>
    </row>
    <row r="2820" spans="1:12" x14ac:dyDescent="0.25">
      <c r="A2820">
        <v>2819</v>
      </c>
      <c r="B2820">
        <v>1242</v>
      </c>
      <c r="C2820">
        <v>1551</v>
      </c>
      <c r="D2820" s="1">
        <v>45790</v>
      </c>
      <c r="E2820" t="s">
        <v>24</v>
      </c>
      <c r="F2820" t="s">
        <v>321</v>
      </c>
      <c r="G2820" t="str">
        <f>_xlfn.XLOOKUP(TRIM(E2821),MedicineInfo!A:A,MedicineInfo!B:B,"Not Found")</f>
        <v>Multivitamin</v>
      </c>
      <c r="H2820" s="1" t="str" cm="1">
        <f t="array" ref="H2820">_xlfn.IFS(
OR(E2820="Type 2 Diabetes",E2820="Essential Hypertension",E2820="Angina Pectoris",E2820="Bronchial Asthma",E2820="Cardiac Arrhythmia"), D2820+30,
OR(E2820="Gastritis",E2820="Osteoarthritis",E2820="Bronchitis",E2820="Iron Deficiency Anemia"), D2820+14,
OR(E2820="Lumbar Strain",E2820="Migraine Headache"), D2820+7,
OR(E2820="Viral Fever",E2820="General Checkup","Routine Health Check"), "",
TRUE,""
)</f>
        <v/>
      </c>
      <c r="I2820" s="1" t="str">
        <f t="shared" si="88"/>
        <v>No Follow-up Required</v>
      </c>
      <c r="J2820" t="str">
        <f>TEXT(Table8[[#This Row],[visit_Date]],"DDDD")</f>
        <v>Tuesday</v>
      </c>
      <c r="K2820" t="str">
        <f>TEXT(Table8[[#This Row],[visit_Date]],"mmmm")</f>
        <v>May</v>
      </c>
      <c r="L2820" t="str">
        <f t="shared" si="89"/>
        <v>Summer</v>
      </c>
    </row>
    <row r="2821" spans="1:12" x14ac:dyDescent="0.25">
      <c r="A2821">
        <v>2820</v>
      </c>
      <c r="B2821">
        <v>1227</v>
      </c>
      <c r="C2821">
        <v>115</v>
      </c>
      <c r="D2821" s="1">
        <v>45747</v>
      </c>
      <c r="E2821" t="s">
        <v>24</v>
      </c>
      <c r="F2821" t="s">
        <v>321</v>
      </c>
      <c r="G2821" t="str">
        <f>_xlfn.XLOOKUP(TRIM(E2822),MedicineInfo!A:A,MedicineInfo!B:B,"Not Found")</f>
        <v>Multivitamin</v>
      </c>
      <c r="H2821" s="1" t="str" cm="1">
        <f t="array" ref="H2821">_xlfn.IFS(
OR(E2821="Type 2 Diabetes",E2821="Essential Hypertension",E2821="Angina Pectoris",E2821="Bronchial Asthma",E2821="Cardiac Arrhythmia"), D2821+30,
OR(E2821="Gastritis",E2821="Osteoarthritis",E2821="Bronchitis",E2821="Iron Deficiency Anemia"), D2821+14,
OR(E2821="Lumbar Strain",E2821="Migraine Headache"), D2821+7,
OR(E2821="Viral Fever",E2821="General Checkup","Routine Health Check"), "",
TRUE,""
)</f>
        <v/>
      </c>
      <c r="I2821" s="1" t="str">
        <f t="shared" si="88"/>
        <v>No Follow-up Required</v>
      </c>
      <c r="J2821" t="str">
        <f>TEXT(Table8[[#This Row],[visit_Date]],"DDDD")</f>
        <v>Monday</v>
      </c>
      <c r="K2821" t="str">
        <f>TEXT(Table8[[#This Row],[visit_Date]],"mmmm")</f>
        <v>March</v>
      </c>
      <c r="L2821" t="str">
        <f t="shared" si="89"/>
        <v>Summer</v>
      </c>
    </row>
    <row r="2822" spans="1:12" x14ac:dyDescent="0.25">
      <c r="A2822">
        <v>2821</v>
      </c>
      <c r="B2822">
        <v>1216</v>
      </c>
      <c r="C2822">
        <v>1107</v>
      </c>
      <c r="D2822" s="1">
        <v>45791</v>
      </c>
      <c r="E2822" t="s">
        <v>24</v>
      </c>
      <c r="F2822" t="s">
        <v>321</v>
      </c>
      <c r="G2822" t="str">
        <f>_xlfn.XLOOKUP(TRIM(E2823),MedicineInfo!A:A,MedicineInfo!B:B,"Not Found")</f>
        <v>Multivitamin</v>
      </c>
      <c r="H2822" s="1" t="str" cm="1">
        <f t="array" ref="H2822">_xlfn.IFS(
OR(E2822="Type 2 Diabetes",E2822="Essential Hypertension",E2822="Angina Pectoris",E2822="Bronchial Asthma",E2822="Cardiac Arrhythmia"), D2822+30,
OR(E2822="Gastritis",E2822="Osteoarthritis",E2822="Bronchitis",E2822="Iron Deficiency Anemia"), D2822+14,
OR(E2822="Lumbar Strain",E2822="Migraine Headache"), D2822+7,
OR(E2822="Viral Fever",E2822="General Checkup","Routine Health Check"), "",
TRUE,""
)</f>
        <v/>
      </c>
      <c r="I2822" s="1" t="str">
        <f t="shared" si="88"/>
        <v>No Follow-up Required</v>
      </c>
      <c r="J2822" t="str">
        <f>TEXT(Table8[[#This Row],[visit_Date]],"DDDD")</f>
        <v>Wednesday</v>
      </c>
      <c r="K2822" t="str">
        <f>TEXT(Table8[[#This Row],[visit_Date]],"mmmm")</f>
        <v>May</v>
      </c>
      <c r="L2822" t="str">
        <f t="shared" si="89"/>
        <v>Summer</v>
      </c>
    </row>
    <row r="2823" spans="1:12" x14ac:dyDescent="0.25">
      <c r="A2823">
        <v>2822</v>
      </c>
      <c r="B2823">
        <v>1056</v>
      </c>
      <c r="C2823">
        <v>1351</v>
      </c>
      <c r="D2823" s="1">
        <v>45686</v>
      </c>
      <c r="E2823" t="s">
        <v>24</v>
      </c>
      <c r="F2823" t="s">
        <v>321</v>
      </c>
      <c r="G2823" t="str">
        <f>_xlfn.XLOOKUP(TRIM(E2824),MedicineInfo!A:A,MedicineInfo!B:B,"Not Found")</f>
        <v>Multivitamin</v>
      </c>
      <c r="H2823" s="1" t="str" cm="1">
        <f t="array" ref="H2823">_xlfn.IFS(
OR(E2823="Type 2 Diabetes",E2823="Essential Hypertension",E2823="Angina Pectoris",E2823="Bronchial Asthma",E2823="Cardiac Arrhythmia"), D2823+30,
OR(E2823="Gastritis",E2823="Osteoarthritis",E2823="Bronchitis",E2823="Iron Deficiency Anemia"), D2823+14,
OR(E2823="Lumbar Strain",E2823="Migraine Headache"), D2823+7,
OR(E2823="Viral Fever",E2823="General Checkup","Routine Health Check"), "",
TRUE,""
)</f>
        <v/>
      </c>
      <c r="I2823" s="1" t="str">
        <f t="shared" si="88"/>
        <v>No Follow-up Required</v>
      </c>
      <c r="J2823" t="str">
        <f>TEXT(Table8[[#This Row],[visit_Date]],"DDDD")</f>
        <v>Wednesday</v>
      </c>
      <c r="K2823" t="str">
        <f>TEXT(Table8[[#This Row],[visit_Date]],"mmmm")</f>
        <v>January</v>
      </c>
      <c r="L2823" t="str">
        <f t="shared" si="89"/>
        <v>Winter</v>
      </c>
    </row>
    <row r="2824" spans="1:12" x14ac:dyDescent="0.25">
      <c r="A2824">
        <v>2823</v>
      </c>
      <c r="B2824">
        <v>1351</v>
      </c>
      <c r="C2824">
        <v>563</v>
      </c>
      <c r="D2824" s="1">
        <v>45814</v>
      </c>
      <c r="E2824" t="s">
        <v>24</v>
      </c>
      <c r="F2824" t="s">
        <v>321</v>
      </c>
      <c r="G2824" t="str">
        <f>_xlfn.XLOOKUP(TRIM(E2825),MedicineInfo!A:A,MedicineInfo!B:B,"Not Found")</f>
        <v>Multivitamin</v>
      </c>
      <c r="H2824" s="1" t="str" cm="1">
        <f t="array" ref="H2824">_xlfn.IFS(
OR(E2824="Type 2 Diabetes",E2824="Essential Hypertension",E2824="Angina Pectoris",E2824="Bronchial Asthma",E2824="Cardiac Arrhythmia"), D2824+30,
OR(E2824="Gastritis",E2824="Osteoarthritis",E2824="Bronchitis",E2824="Iron Deficiency Anemia"), D2824+14,
OR(E2824="Lumbar Strain",E2824="Migraine Headache"), D2824+7,
OR(E2824="Viral Fever",E2824="General Checkup","Routine Health Check"), "",
TRUE,""
)</f>
        <v/>
      </c>
      <c r="I2824" s="1" t="str">
        <f t="shared" si="88"/>
        <v>No Follow-up Required</v>
      </c>
      <c r="J2824" t="str">
        <f>TEXT(Table8[[#This Row],[visit_Date]],"DDDD")</f>
        <v>Friday</v>
      </c>
      <c r="K2824" t="str">
        <f>TEXT(Table8[[#This Row],[visit_Date]],"mmmm")</f>
        <v>June</v>
      </c>
      <c r="L2824" t="str">
        <f t="shared" si="89"/>
        <v>Monsoon</v>
      </c>
    </row>
    <row r="2825" spans="1:12" x14ac:dyDescent="0.25">
      <c r="A2825">
        <v>2824</v>
      </c>
      <c r="B2825">
        <v>1201</v>
      </c>
      <c r="C2825">
        <v>1222</v>
      </c>
      <c r="D2825" s="1">
        <v>45792</v>
      </c>
      <c r="E2825" t="s">
        <v>24</v>
      </c>
      <c r="F2825" t="s">
        <v>321</v>
      </c>
      <c r="G2825" t="str">
        <f>_xlfn.XLOOKUP(TRIM(E2826),MedicineInfo!A:A,MedicineInfo!B:B,"Not Found")</f>
        <v>Multivitamin</v>
      </c>
      <c r="H2825" s="1" t="str" cm="1">
        <f t="array" ref="H2825">_xlfn.IFS(
OR(E2825="Type 2 Diabetes",E2825="Essential Hypertension",E2825="Angina Pectoris",E2825="Bronchial Asthma",E2825="Cardiac Arrhythmia"), D2825+30,
OR(E2825="Gastritis",E2825="Osteoarthritis",E2825="Bronchitis",E2825="Iron Deficiency Anemia"), D2825+14,
OR(E2825="Lumbar Strain",E2825="Migraine Headache"), D2825+7,
OR(E2825="Viral Fever",E2825="General Checkup","Routine Health Check"), "",
TRUE,""
)</f>
        <v/>
      </c>
      <c r="I2825" s="1" t="str">
        <f t="shared" si="88"/>
        <v>No Follow-up Required</v>
      </c>
      <c r="J2825" t="str">
        <f>TEXT(Table8[[#This Row],[visit_Date]],"DDDD")</f>
        <v>Thursday</v>
      </c>
      <c r="K2825" t="str">
        <f>TEXT(Table8[[#This Row],[visit_Date]],"mmmm")</f>
        <v>May</v>
      </c>
      <c r="L2825" t="str">
        <f t="shared" si="89"/>
        <v>Summer</v>
      </c>
    </row>
    <row r="2826" spans="1:12" x14ac:dyDescent="0.25">
      <c r="A2826">
        <v>2825</v>
      </c>
      <c r="B2826">
        <v>1371</v>
      </c>
      <c r="C2826">
        <v>828</v>
      </c>
      <c r="D2826" s="1">
        <v>45669</v>
      </c>
      <c r="E2826" t="s">
        <v>24</v>
      </c>
      <c r="F2826" t="s">
        <v>321</v>
      </c>
      <c r="G2826" t="str">
        <f>_xlfn.XLOOKUP(TRIM(E2827),MedicineInfo!A:A,MedicineInfo!B:B,"Not Found")</f>
        <v>Multivitamin</v>
      </c>
      <c r="H2826" s="1" t="str" cm="1">
        <f t="array" ref="H2826">_xlfn.IFS(
OR(E2826="Type 2 Diabetes",E2826="Essential Hypertension",E2826="Angina Pectoris",E2826="Bronchial Asthma",E2826="Cardiac Arrhythmia"), D2826+30,
OR(E2826="Gastritis",E2826="Osteoarthritis",E2826="Bronchitis",E2826="Iron Deficiency Anemia"), D2826+14,
OR(E2826="Lumbar Strain",E2826="Migraine Headache"), D2826+7,
OR(E2826="Viral Fever",E2826="General Checkup","Routine Health Check"), "",
TRUE,""
)</f>
        <v/>
      </c>
      <c r="I2826" s="1" t="str">
        <f t="shared" si="88"/>
        <v>No Follow-up Required</v>
      </c>
      <c r="J2826" t="str">
        <f>TEXT(Table8[[#This Row],[visit_Date]],"DDDD")</f>
        <v>Sunday</v>
      </c>
      <c r="K2826" t="str">
        <f>TEXT(Table8[[#This Row],[visit_Date]],"mmmm")</f>
        <v>January</v>
      </c>
      <c r="L2826" t="str">
        <f t="shared" si="89"/>
        <v>Winter</v>
      </c>
    </row>
    <row r="2827" spans="1:12" x14ac:dyDescent="0.25">
      <c r="A2827">
        <v>2826</v>
      </c>
      <c r="B2827">
        <v>1305</v>
      </c>
      <c r="C2827">
        <v>527</v>
      </c>
      <c r="D2827" s="1">
        <v>45783</v>
      </c>
      <c r="E2827" t="s">
        <v>24</v>
      </c>
      <c r="F2827" t="s">
        <v>321</v>
      </c>
      <c r="G2827" t="str">
        <f>_xlfn.XLOOKUP(TRIM(E2828),MedicineInfo!A:A,MedicineInfo!B:B,"Not Found")</f>
        <v>Multivitamin</v>
      </c>
      <c r="H2827" s="1" t="str" cm="1">
        <f t="array" ref="H2827">_xlfn.IFS(
OR(E2827="Type 2 Diabetes",E2827="Essential Hypertension",E2827="Angina Pectoris",E2827="Bronchial Asthma",E2827="Cardiac Arrhythmia"), D2827+30,
OR(E2827="Gastritis",E2827="Osteoarthritis",E2827="Bronchitis",E2827="Iron Deficiency Anemia"), D2827+14,
OR(E2827="Lumbar Strain",E2827="Migraine Headache"), D2827+7,
OR(E2827="Viral Fever",E2827="General Checkup","Routine Health Check"), "",
TRUE,""
)</f>
        <v/>
      </c>
      <c r="I2827" s="1" t="str">
        <f t="shared" si="88"/>
        <v>No Follow-up Required</v>
      </c>
      <c r="J2827" t="str">
        <f>TEXT(Table8[[#This Row],[visit_Date]],"DDDD")</f>
        <v>Tuesday</v>
      </c>
      <c r="K2827" t="str">
        <f>TEXT(Table8[[#This Row],[visit_Date]],"mmmm")</f>
        <v>May</v>
      </c>
      <c r="L2827" t="str">
        <f t="shared" si="89"/>
        <v>Summer</v>
      </c>
    </row>
    <row r="2828" spans="1:12" x14ac:dyDescent="0.25">
      <c r="A2828">
        <v>2827</v>
      </c>
      <c r="B2828">
        <v>1302</v>
      </c>
      <c r="C2828">
        <v>901</v>
      </c>
      <c r="D2828" s="1">
        <v>45788</v>
      </c>
      <c r="E2828" t="s">
        <v>24</v>
      </c>
      <c r="F2828" t="s">
        <v>321</v>
      </c>
      <c r="G2828" t="str">
        <f>_xlfn.XLOOKUP(TRIM(E2829),MedicineInfo!A:A,MedicineInfo!B:B,"Not Found")</f>
        <v>Multivitamin</v>
      </c>
      <c r="H2828" s="1" t="str" cm="1">
        <f t="array" ref="H2828">_xlfn.IFS(
OR(E2828="Type 2 Diabetes",E2828="Essential Hypertension",E2828="Angina Pectoris",E2828="Bronchial Asthma",E2828="Cardiac Arrhythmia"), D2828+30,
OR(E2828="Gastritis",E2828="Osteoarthritis",E2828="Bronchitis",E2828="Iron Deficiency Anemia"), D2828+14,
OR(E2828="Lumbar Strain",E2828="Migraine Headache"), D2828+7,
OR(E2828="Viral Fever",E2828="General Checkup","Routine Health Check"), "",
TRUE,""
)</f>
        <v/>
      </c>
      <c r="I2828" s="1" t="str">
        <f t="shared" si="88"/>
        <v>No Follow-up Required</v>
      </c>
      <c r="J2828" t="str">
        <f>TEXT(Table8[[#This Row],[visit_Date]],"DDDD")</f>
        <v>Sunday</v>
      </c>
      <c r="K2828" t="str">
        <f>TEXT(Table8[[#This Row],[visit_Date]],"mmmm")</f>
        <v>May</v>
      </c>
      <c r="L2828" t="str">
        <f t="shared" si="89"/>
        <v>Summer</v>
      </c>
    </row>
    <row r="2829" spans="1:12" x14ac:dyDescent="0.25">
      <c r="A2829">
        <v>2828</v>
      </c>
      <c r="B2829">
        <v>1280</v>
      </c>
      <c r="C2829">
        <v>155</v>
      </c>
      <c r="D2829" s="1">
        <v>45692</v>
      </c>
      <c r="E2829" t="s">
        <v>24</v>
      </c>
      <c r="F2829" t="s">
        <v>321</v>
      </c>
      <c r="G2829" t="str">
        <f>_xlfn.XLOOKUP(TRIM(E2830),MedicineInfo!A:A,MedicineInfo!B:B,"Not Found")</f>
        <v>Multivitamin</v>
      </c>
      <c r="H2829" s="1" t="str" cm="1">
        <f t="array" ref="H2829">_xlfn.IFS(
OR(E2829="Type 2 Diabetes",E2829="Essential Hypertension",E2829="Angina Pectoris",E2829="Bronchial Asthma",E2829="Cardiac Arrhythmia"), D2829+30,
OR(E2829="Gastritis",E2829="Osteoarthritis",E2829="Bronchitis",E2829="Iron Deficiency Anemia"), D2829+14,
OR(E2829="Lumbar Strain",E2829="Migraine Headache"), D2829+7,
OR(E2829="Viral Fever",E2829="General Checkup","Routine Health Check"), "",
TRUE,""
)</f>
        <v/>
      </c>
      <c r="I2829" s="1" t="str">
        <f t="shared" si="88"/>
        <v>No Follow-up Required</v>
      </c>
      <c r="J2829" t="str">
        <f>TEXT(Table8[[#This Row],[visit_Date]],"DDDD")</f>
        <v>Tuesday</v>
      </c>
      <c r="K2829" t="str">
        <f>TEXT(Table8[[#This Row],[visit_Date]],"mmmm")</f>
        <v>February</v>
      </c>
      <c r="L2829" t="str">
        <f t="shared" si="89"/>
        <v>Winter</v>
      </c>
    </row>
    <row r="2830" spans="1:12" x14ac:dyDescent="0.25">
      <c r="A2830">
        <v>2829</v>
      </c>
      <c r="B2830">
        <v>1389</v>
      </c>
      <c r="C2830">
        <v>205</v>
      </c>
      <c r="D2830" s="1">
        <v>45804</v>
      </c>
      <c r="E2830" t="s">
        <v>24</v>
      </c>
      <c r="F2830" t="s">
        <v>321</v>
      </c>
      <c r="G2830" t="str">
        <f>_xlfn.XLOOKUP(TRIM(E2831),MedicineInfo!A:A,MedicineInfo!B:B,"Not Found")</f>
        <v>Sumatriptan</v>
      </c>
      <c r="H2830" s="1" t="str" cm="1">
        <f t="array" ref="H2830">_xlfn.IFS(
OR(E2830="Type 2 Diabetes",E2830="Essential Hypertension",E2830="Angina Pectoris",E2830="Bronchial Asthma",E2830="Cardiac Arrhythmia"), D2830+30,
OR(E2830="Gastritis",E2830="Osteoarthritis",E2830="Bronchitis",E2830="Iron Deficiency Anemia"), D2830+14,
OR(E2830="Lumbar Strain",E2830="Migraine Headache"), D2830+7,
OR(E2830="Viral Fever",E2830="General Checkup","Routine Health Check"), "",
TRUE,""
)</f>
        <v/>
      </c>
      <c r="I2830" s="1" t="str">
        <f t="shared" si="88"/>
        <v>No Follow-up Required</v>
      </c>
      <c r="J2830" t="str">
        <f>TEXT(Table8[[#This Row],[visit_Date]],"DDDD")</f>
        <v>Tuesday</v>
      </c>
      <c r="K2830" t="str">
        <f>TEXT(Table8[[#This Row],[visit_Date]],"mmmm")</f>
        <v>May</v>
      </c>
      <c r="L2830" t="str">
        <f t="shared" si="89"/>
        <v>Summer</v>
      </c>
    </row>
    <row r="2831" spans="1:12" x14ac:dyDescent="0.25">
      <c r="A2831">
        <v>2830</v>
      </c>
      <c r="B2831">
        <v>1164</v>
      </c>
      <c r="C2831">
        <v>715</v>
      </c>
      <c r="D2831" s="1">
        <v>45778</v>
      </c>
      <c r="E2831" t="s">
        <v>315</v>
      </c>
      <c r="F2831" t="s">
        <v>316</v>
      </c>
      <c r="G2831" t="str">
        <f>_xlfn.XLOOKUP(TRIM(E2832),MedicineInfo!A:A,MedicineInfo!B:B,"Not Found")</f>
        <v>Multivitamin</v>
      </c>
      <c r="H2831" s="1" cm="1">
        <f t="array" ref="H2831">_xlfn.IFS(
OR(E2831="Type 2 Diabetes",E2831="Essential Hypertension",E2831="Angina Pectoris",E2831="Bronchial Asthma",E2831="Cardiac Arrhythmia"), D2831+30,
OR(E2831="Gastritis",E2831="Osteoarthritis",E2831="Bronchitis",E2831="Iron Deficiency Anemia"), D2831+14,
OR(E2831="Lumbar Strain",E2831="Migraine Headache"), D2831+7,
OR(E2831="Viral Fever",E2831="General Checkup","Routine Health Check"), "",
TRUE,""
)</f>
        <v>45785</v>
      </c>
      <c r="I2831" s="1" t="str">
        <f t="shared" si="88"/>
        <v>Follow-up Scheduled</v>
      </c>
      <c r="J2831" t="str">
        <f>TEXT(Table8[[#This Row],[visit_Date]],"DDDD")</f>
        <v>Thursday</v>
      </c>
      <c r="K2831" t="str">
        <f>TEXT(Table8[[#This Row],[visit_Date]],"mmmm")</f>
        <v>May</v>
      </c>
      <c r="L2831" t="str">
        <f t="shared" si="89"/>
        <v>Summer</v>
      </c>
    </row>
    <row r="2832" spans="1:12" x14ac:dyDescent="0.25">
      <c r="A2832">
        <v>2831</v>
      </c>
      <c r="B2832">
        <v>1379</v>
      </c>
      <c r="C2832">
        <v>1403</v>
      </c>
      <c r="D2832" s="1">
        <v>45767</v>
      </c>
      <c r="E2832" t="s">
        <v>24</v>
      </c>
      <c r="F2832" t="s">
        <v>321</v>
      </c>
      <c r="G2832" t="str">
        <f>_xlfn.XLOOKUP(TRIM(E2833),MedicineInfo!A:A,MedicineInfo!B:B,"Not Found")</f>
        <v>Multivitamin</v>
      </c>
      <c r="H2832" s="1" t="str" cm="1">
        <f t="array" ref="H2832">_xlfn.IFS(
OR(E2832="Type 2 Diabetes",E2832="Essential Hypertension",E2832="Angina Pectoris",E2832="Bronchial Asthma",E2832="Cardiac Arrhythmia"), D2832+30,
OR(E2832="Gastritis",E2832="Osteoarthritis",E2832="Bronchitis",E2832="Iron Deficiency Anemia"), D2832+14,
OR(E2832="Lumbar Strain",E2832="Migraine Headache"), D2832+7,
OR(E2832="Viral Fever",E2832="General Checkup","Routine Health Check"), "",
TRUE,""
)</f>
        <v/>
      </c>
      <c r="I2832" s="1" t="str">
        <f t="shared" si="88"/>
        <v>No Follow-up Required</v>
      </c>
      <c r="J2832" t="str">
        <f>TEXT(Table8[[#This Row],[visit_Date]],"DDDD")</f>
        <v>Sunday</v>
      </c>
      <c r="K2832" t="str">
        <f>TEXT(Table8[[#This Row],[visit_Date]],"mmmm")</f>
        <v>April</v>
      </c>
      <c r="L2832" t="str">
        <f t="shared" si="89"/>
        <v>Summer</v>
      </c>
    </row>
    <row r="2833" spans="1:12" x14ac:dyDescent="0.25">
      <c r="A2833">
        <v>2832</v>
      </c>
      <c r="B2833">
        <v>1030</v>
      </c>
      <c r="C2833">
        <v>1411</v>
      </c>
      <c r="D2833" s="1">
        <v>45853</v>
      </c>
      <c r="E2833" t="s">
        <v>24</v>
      </c>
      <c r="F2833" t="s">
        <v>321</v>
      </c>
      <c r="G2833" t="str">
        <f>_xlfn.XLOOKUP(TRIM(E2834),MedicineInfo!A:A,MedicineInfo!B:B,"Not Found")</f>
        <v>Multivitamin</v>
      </c>
      <c r="H2833" s="1" t="str" cm="1">
        <f t="array" ref="H2833">_xlfn.IFS(
OR(E2833="Type 2 Diabetes",E2833="Essential Hypertension",E2833="Angina Pectoris",E2833="Bronchial Asthma",E2833="Cardiac Arrhythmia"), D2833+30,
OR(E2833="Gastritis",E2833="Osteoarthritis",E2833="Bronchitis",E2833="Iron Deficiency Anemia"), D2833+14,
OR(E2833="Lumbar Strain",E2833="Migraine Headache"), D2833+7,
OR(E2833="Viral Fever",E2833="General Checkup","Routine Health Check"), "",
TRUE,""
)</f>
        <v/>
      </c>
      <c r="I2833" s="1" t="str">
        <f t="shared" si="88"/>
        <v>No Follow-up Required</v>
      </c>
      <c r="J2833" t="str">
        <f>TEXT(Table8[[#This Row],[visit_Date]],"DDDD")</f>
        <v>Tuesday</v>
      </c>
      <c r="K2833" t="str">
        <f>TEXT(Table8[[#This Row],[visit_Date]],"mmmm")</f>
        <v>July</v>
      </c>
      <c r="L2833" t="str">
        <f t="shared" si="89"/>
        <v>Monsoon</v>
      </c>
    </row>
    <row r="2834" spans="1:12" x14ac:dyDescent="0.25">
      <c r="A2834">
        <v>2833</v>
      </c>
      <c r="B2834">
        <v>1016</v>
      </c>
      <c r="C2834">
        <v>852</v>
      </c>
      <c r="D2834" s="1">
        <v>45725</v>
      </c>
      <c r="E2834" t="s">
        <v>24</v>
      </c>
      <c r="F2834" t="s">
        <v>321</v>
      </c>
      <c r="G2834" t="str">
        <f>_xlfn.XLOOKUP(TRIM(E2835),MedicineInfo!A:A,MedicineInfo!B:B,"Not Found")</f>
        <v>Multivitamin</v>
      </c>
      <c r="H2834" s="1" t="str" cm="1">
        <f t="array" ref="H2834">_xlfn.IFS(
OR(E2834="Type 2 Diabetes",E2834="Essential Hypertension",E2834="Angina Pectoris",E2834="Bronchial Asthma",E2834="Cardiac Arrhythmia"), D2834+30,
OR(E2834="Gastritis",E2834="Osteoarthritis",E2834="Bronchitis",E2834="Iron Deficiency Anemia"), D2834+14,
OR(E2834="Lumbar Strain",E2834="Migraine Headache"), D2834+7,
OR(E2834="Viral Fever",E2834="General Checkup","Routine Health Check"), "",
TRUE,""
)</f>
        <v/>
      </c>
      <c r="I2834" s="1" t="str">
        <f t="shared" si="88"/>
        <v>No Follow-up Required</v>
      </c>
      <c r="J2834" t="str">
        <f>TEXT(Table8[[#This Row],[visit_Date]],"DDDD")</f>
        <v>Sunday</v>
      </c>
      <c r="K2834" t="str">
        <f>TEXT(Table8[[#This Row],[visit_Date]],"mmmm")</f>
        <v>March</v>
      </c>
      <c r="L2834" t="str">
        <f t="shared" si="89"/>
        <v>Summer</v>
      </c>
    </row>
    <row r="2835" spans="1:12" x14ac:dyDescent="0.25">
      <c r="A2835">
        <v>2834</v>
      </c>
      <c r="B2835">
        <v>1168</v>
      </c>
      <c r="C2835">
        <v>1330</v>
      </c>
      <c r="D2835" s="1">
        <v>45686</v>
      </c>
      <c r="E2835" t="s">
        <v>24</v>
      </c>
      <c r="F2835" t="s">
        <v>321</v>
      </c>
      <c r="G2835" t="str">
        <f>_xlfn.XLOOKUP(TRIM(E2836),MedicineInfo!A:A,MedicineInfo!B:B,"Not Found")</f>
        <v>Multivitamin</v>
      </c>
      <c r="H2835" s="1" t="str" cm="1">
        <f t="array" ref="H2835">_xlfn.IFS(
OR(E2835="Type 2 Diabetes",E2835="Essential Hypertension",E2835="Angina Pectoris",E2835="Bronchial Asthma",E2835="Cardiac Arrhythmia"), D2835+30,
OR(E2835="Gastritis",E2835="Osteoarthritis",E2835="Bronchitis",E2835="Iron Deficiency Anemia"), D2835+14,
OR(E2835="Lumbar Strain",E2835="Migraine Headache"), D2835+7,
OR(E2835="Viral Fever",E2835="General Checkup","Routine Health Check"), "",
TRUE,""
)</f>
        <v/>
      </c>
      <c r="I2835" s="1" t="str">
        <f t="shared" si="88"/>
        <v>No Follow-up Required</v>
      </c>
      <c r="J2835" t="str">
        <f>TEXT(Table8[[#This Row],[visit_Date]],"DDDD")</f>
        <v>Wednesday</v>
      </c>
      <c r="K2835" t="str">
        <f>TEXT(Table8[[#This Row],[visit_Date]],"mmmm")</f>
        <v>January</v>
      </c>
      <c r="L2835" t="str">
        <f t="shared" si="89"/>
        <v>Winter</v>
      </c>
    </row>
    <row r="2836" spans="1:12" x14ac:dyDescent="0.25">
      <c r="A2836">
        <v>2835</v>
      </c>
      <c r="B2836">
        <v>1182</v>
      </c>
      <c r="C2836">
        <v>997</v>
      </c>
      <c r="D2836" s="1">
        <v>45669</v>
      </c>
      <c r="E2836" t="s">
        <v>24</v>
      </c>
      <c r="F2836" t="s">
        <v>321</v>
      </c>
      <c r="G2836" t="str">
        <f>_xlfn.XLOOKUP(TRIM(E2837),MedicineInfo!A:A,MedicineInfo!B:B,"Not Found")</f>
        <v>Multivitamin</v>
      </c>
      <c r="H2836" s="1" t="str" cm="1">
        <f t="array" ref="H2836">_xlfn.IFS(
OR(E2836="Type 2 Diabetes",E2836="Essential Hypertension",E2836="Angina Pectoris",E2836="Bronchial Asthma",E2836="Cardiac Arrhythmia"), D2836+30,
OR(E2836="Gastritis",E2836="Osteoarthritis",E2836="Bronchitis",E2836="Iron Deficiency Anemia"), D2836+14,
OR(E2836="Lumbar Strain",E2836="Migraine Headache"), D2836+7,
OR(E2836="Viral Fever",E2836="General Checkup","Routine Health Check"), "",
TRUE,""
)</f>
        <v/>
      </c>
      <c r="I2836" s="1" t="str">
        <f t="shared" si="88"/>
        <v>No Follow-up Required</v>
      </c>
      <c r="J2836" t="str">
        <f>TEXT(Table8[[#This Row],[visit_Date]],"DDDD")</f>
        <v>Sunday</v>
      </c>
      <c r="K2836" t="str">
        <f>TEXT(Table8[[#This Row],[visit_Date]],"mmmm")</f>
        <v>January</v>
      </c>
      <c r="L2836" t="str">
        <f t="shared" si="89"/>
        <v>Winter</v>
      </c>
    </row>
    <row r="2837" spans="1:12" x14ac:dyDescent="0.25">
      <c r="A2837">
        <v>2836</v>
      </c>
      <c r="B2837">
        <v>1105</v>
      </c>
      <c r="C2837">
        <v>1165</v>
      </c>
      <c r="D2837" s="1">
        <v>45853</v>
      </c>
      <c r="E2837" t="s">
        <v>24</v>
      </c>
      <c r="F2837" t="s">
        <v>321</v>
      </c>
      <c r="G2837" t="str">
        <f>_xlfn.XLOOKUP(TRIM(E2838),MedicineInfo!A:A,MedicineInfo!B:B,"Not Found")</f>
        <v>Multivitamin</v>
      </c>
      <c r="H2837" s="1" t="str" cm="1">
        <f t="array" ref="H2837">_xlfn.IFS(
OR(E2837="Type 2 Diabetes",E2837="Essential Hypertension",E2837="Angina Pectoris",E2837="Bronchial Asthma",E2837="Cardiac Arrhythmia"), D2837+30,
OR(E2837="Gastritis",E2837="Osteoarthritis",E2837="Bronchitis",E2837="Iron Deficiency Anemia"), D2837+14,
OR(E2837="Lumbar Strain",E2837="Migraine Headache"), D2837+7,
OR(E2837="Viral Fever",E2837="General Checkup","Routine Health Check"), "",
TRUE,""
)</f>
        <v/>
      </c>
      <c r="I2837" s="1" t="str">
        <f t="shared" si="88"/>
        <v>No Follow-up Required</v>
      </c>
      <c r="J2837" t="str">
        <f>TEXT(Table8[[#This Row],[visit_Date]],"DDDD")</f>
        <v>Tuesday</v>
      </c>
      <c r="K2837" t="str">
        <f>TEXT(Table8[[#This Row],[visit_Date]],"mmmm")</f>
        <v>July</v>
      </c>
      <c r="L2837" t="str">
        <f t="shared" si="89"/>
        <v>Monsoon</v>
      </c>
    </row>
    <row r="2838" spans="1:12" x14ac:dyDescent="0.25">
      <c r="A2838">
        <v>2837</v>
      </c>
      <c r="B2838">
        <v>1230</v>
      </c>
      <c r="C2838">
        <v>1374</v>
      </c>
      <c r="D2838" s="1">
        <v>45852</v>
      </c>
      <c r="E2838" t="s">
        <v>24</v>
      </c>
      <c r="F2838" t="s">
        <v>321</v>
      </c>
      <c r="G2838" t="str">
        <f>_xlfn.XLOOKUP(TRIM(E2839),MedicineInfo!A:A,MedicineInfo!B:B,"Not Found")</f>
        <v>Multivitamin</v>
      </c>
      <c r="H2838" s="1" t="str" cm="1">
        <f t="array" ref="H2838">_xlfn.IFS(
OR(E2838="Type 2 Diabetes",E2838="Essential Hypertension",E2838="Angina Pectoris",E2838="Bronchial Asthma",E2838="Cardiac Arrhythmia"), D2838+30,
OR(E2838="Gastritis",E2838="Osteoarthritis",E2838="Bronchitis",E2838="Iron Deficiency Anemia"), D2838+14,
OR(E2838="Lumbar Strain",E2838="Migraine Headache"), D2838+7,
OR(E2838="Viral Fever",E2838="General Checkup","Routine Health Check"), "",
TRUE,""
)</f>
        <v/>
      </c>
      <c r="I2838" s="1" t="str">
        <f t="shared" si="88"/>
        <v>No Follow-up Required</v>
      </c>
      <c r="J2838" t="str">
        <f>TEXT(Table8[[#This Row],[visit_Date]],"DDDD")</f>
        <v>Monday</v>
      </c>
      <c r="K2838" t="str">
        <f>TEXT(Table8[[#This Row],[visit_Date]],"mmmm")</f>
        <v>July</v>
      </c>
      <c r="L2838" t="str">
        <f t="shared" si="89"/>
        <v>Monsoon</v>
      </c>
    </row>
    <row r="2839" spans="1:12" x14ac:dyDescent="0.25">
      <c r="A2839">
        <v>2838</v>
      </c>
      <c r="B2839">
        <v>1390</v>
      </c>
      <c r="C2839">
        <v>1214</v>
      </c>
      <c r="D2839" s="1">
        <v>45724</v>
      </c>
      <c r="E2839" t="s">
        <v>24</v>
      </c>
      <c r="F2839" t="s">
        <v>321</v>
      </c>
      <c r="G2839" t="str">
        <f>_xlfn.XLOOKUP(TRIM(E2840),MedicineInfo!A:A,MedicineInfo!B:B,"Not Found")</f>
        <v>Multivitamin</v>
      </c>
      <c r="H2839" s="1" t="str" cm="1">
        <f t="array" ref="H2839">_xlfn.IFS(
OR(E2839="Type 2 Diabetes",E2839="Essential Hypertension",E2839="Angina Pectoris",E2839="Bronchial Asthma",E2839="Cardiac Arrhythmia"), D2839+30,
OR(E2839="Gastritis",E2839="Osteoarthritis",E2839="Bronchitis",E2839="Iron Deficiency Anemia"), D2839+14,
OR(E2839="Lumbar Strain",E2839="Migraine Headache"), D2839+7,
OR(E2839="Viral Fever",E2839="General Checkup","Routine Health Check"), "",
TRUE,""
)</f>
        <v/>
      </c>
      <c r="I2839" s="1" t="str">
        <f t="shared" si="88"/>
        <v>No Follow-up Required</v>
      </c>
      <c r="J2839" t="str">
        <f>TEXT(Table8[[#This Row],[visit_Date]],"DDDD")</f>
        <v>Saturday</v>
      </c>
      <c r="K2839" t="str">
        <f>TEXT(Table8[[#This Row],[visit_Date]],"mmmm")</f>
        <v>March</v>
      </c>
      <c r="L2839" t="str">
        <f t="shared" si="89"/>
        <v>Summer</v>
      </c>
    </row>
    <row r="2840" spans="1:12" x14ac:dyDescent="0.25">
      <c r="A2840">
        <v>2839</v>
      </c>
      <c r="B2840">
        <v>1188</v>
      </c>
      <c r="C2840">
        <v>991</v>
      </c>
      <c r="D2840" s="1">
        <v>45819</v>
      </c>
      <c r="E2840" t="s">
        <v>24</v>
      </c>
      <c r="F2840" t="s">
        <v>321</v>
      </c>
      <c r="G2840" t="str">
        <f>_xlfn.XLOOKUP(TRIM(E2841),MedicineInfo!A:A,MedicineInfo!B:B,"Not Found")</f>
        <v>Multivitamin</v>
      </c>
      <c r="H2840" s="1" t="str" cm="1">
        <f t="array" ref="H2840">_xlfn.IFS(
OR(E2840="Type 2 Diabetes",E2840="Essential Hypertension",E2840="Angina Pectoris",E2840="Bronchial Asthma",E2840="Cardiac Arrhythmia"), D2840+30,
OR(E2840="Gastritis",E2840="Osteoarthritis",E2840="Bronchitis",E2840="Iron Deficiency Anemia"), D2840+14,
OR(E2840="Lumbar Strain",E2840="Migraine Headache"), D2840+7,
OR(E2840="Viral Fever",E2840="General Checkup","Routine Health Check"), "",
TRUE,""
)</f>
        <v/>
      </c>
      <c r="I2840" s="1" t="str">
        <f t="shared" si="88"/>
        <v>No Follow-up Required</v>
      </c>
      <c r="J2840" t="str">
        <f>TEXT(Table8[[#This Row],[visit_Date]],"DDDD")</f>
        <v>Wednesday</v>
      </c>
      <c r="K2840" t="str">
        <f>TEXT(Table8[[#This Row],[visit_Date]],"mmmm")</f>
        <v>June</v>
      </c>
      <c r="L2840" t="str">
        <f t="shared" si="89"/>
        <v>Monsoon</v>
      </c>
    </row>
    <row r="2841" spans="1:12" x14ac:dyDescent="0.25">
      <c r="A2841">
        <v>2840</v>
      </c>
      <c r="B2841">
        <v>1312</v>
      </c>
      <c r="C2841">
        <v>203</v>
      </c>
      <c r="D2841" s="1">
        <v>45747</v>
      </c>
      <c r="E2841" t="s">
        <v>24</v>
      </c>
      <c r="F2841" t="s">
        <v>321</v>
      </c>
      <c r="G2841" t="str">
        <f>_xlfn.XLOOKUP(TRIM(E2842),MedicineInfo!A:A,MedicineInfo!B:B,"Not Found")</f>
        <v>Amoxicillin</v>
      </c>
      <c r="H2841" s="1" t="str" cm="1">
        <f t="array" ref="H2841">_xlfn.IFS(
OR(E2841="Type 2 Diabetes",E2841="Essential Hypertension",E2841="Angina Pectoris",E2841="Bronchial Asthma",E2841="Cardiac Arrhythmia"), D2841+30,
OR(E2841="Gastritis",E2841="Osteoarthritis",E2841="Bronchitis",E2841="Iron Deficiency Anemia"), D2841+14,
OR(E2841="Lumbar Strain",E2841="Migraine Headache"), D2841+7,
OR(E2841="Viral Fever",E2841="General Checkup","Routine Health Check"), "",
TRUE,""
)</f>
        <v/>
      </c>
      <c r="I2841" s="1" t="str">
        <f t="shared" si="88"/>
        <v>No Follow-up Required</v>
      </c>
      <c r="J2841" t="str">
        <f>TEXT(Table8[[#This Row],[visit_Date]],"DDDD")</f>
        <v>Monday</v>
      </c>
      <c r="K2841" t="str">
        <f>TEXT(Table8[[#This Row],[visit_Date]],"mmmm")</f>
        <v>March</v>
      </c>
      <c r="L2841" t="str">
        <f t="shared" si="89"/>
        <v>Summer</v>
      </c>
    </row>
    <row r="2842" spans="1:12" x14ac:dyDescent="0.25">
      <c r="A2842">
        <v>2841</v>
      </c>
      <c r="B2842">
        <v>1267</v>
      </c>
      <c r="C2842">
        <v>306</v>
      </c>
      <c r="D2842" s="1">
        <v>45791</v>
      </c>
      <c r="E2842" t="s">
        <v>346</v>
      </c>
      <c r="F2842" t="s">
        <v>347</v>
      </c>
      <c r="G2842" t="str">
        <f>_xlfn.XLOOKUP(TRIM(E2843),MedicineInfo!A:A,MedicineInfo!B:B,"Not Found")</f>
        <v>Multivitamin</v>
      </c>
      <c r="H2842" s="1" cm="1">
        <f t="array" ref="H2842">_xlfn.IFS(
OR(E2842="Type 2 Diabetes",E2842="Essential Hypertension",E2842="Angina Pectoris",E2842="Bronchial Asthma",E2842="Cardiac Arrhythmia"), D2842+30,
OR(E2842="Gastritis",E2842="Osteoarthritis",E2842="Bronchitis",E2842="Iron Deficiency Anemia"), D2842+14,
OR(E2842="Lumbar Strain",E2842="Migraine Headache"), D2842+7,
OR(E2842="Viral Fever",E2842="General Checkup","Routine Health Check"), "",
TRUE,""
)</f>
        <v>45805</v>
      </c>
      <c r="I2842" s="1" t="str">
        <f t="shared" si="88"/>
        <v>Follow-up Scheduled</v>
      </c>
      <c r="J2842" t="str">
        <f>TEXT(Table8[[#This Row],[visit_Date]],"DDDD")</f>
        <v>Wednesday</v>
      </c>
      <c r="K2842" t="str">
        <f>TEXT(Table8[[#This Row],[visit_Date]],"mmmm")</f>
        <v>May</v>
      </c>
      <c r="L2842" t="str">
        <f t="shared" si="89"/>
        <v>Summer</v>
      </c>
    </row>
    <row r="2843" spans="1:12" x14ac:dyDescent="0.25">
      <c r="A2843">
        <v>2842</v>
      </c>
      <c r="B2843">
        <v>1295</v>
      </c>
      <c r="C2843">
        <v>513</v>
      </c>
      <c r="D2843" s="1">
        <v>45777</v>
      </c>
      <c r="E2843" t="s">
        <v>24</v>
      </c>
      <c r="F2843" t="s">
        <v>321</v>
      </c>
      <c r="G2843" t="str">
        <f>_xlfn.XLOOKUP(TRIM(E2844),MedicineInfo!A:A,MedicineInfo!B:B,"Not Found")</f>
        <v>Multivitamin</v>
      </c>
      <c r="H2843" s="1" t="str" cm="1">
        <f t="array" ref="H2843">_xlfn.IFS(
OR(E2843="Type 2 Diabetes",E2843="Essential Hypertension",E2843="Angina Pectoris",E2843="Bronchial Asthma",E2843="Cardiac Arrhythmia"), D2843+30,
OR(E2843="Gastritis",E2843="Osteoarthritis",E2843="Bronchitis",E2843="Iron Deficiency Anemia"), D2843+14,
OR(E2843="Lumbar Strain",E2843="Migraine Headache"), D2843+7,
OR(E2843="Viral Fever",E2843="General Checkup","Routine Health Check"), "",
TRUE,""
)</f>
        <v/>
      </c>
      <c r="I2843" s="1" t="str">
        <f t="shared" si="88"/>
        <v>No Follow-up Required</v>
      </c>
      <c r="J2843" t="str">
        <f>TEXT(Table8[[#This Row],[visit_Date]],"DDDD")</f>
        <v>Wednesday</v>
      </c>
      <c r="K2843" t="str">
        <f>TEXT(Table8[[#This Row],[visit_Date]],"mmmm")</f>
        <v>April</v>
      </c>
      <c r="L2843" t="str">
        <f t="shared" si="89"/>
        <v>Summer</v>
      </c>
    </row>
    <row r="2844" spans="1:12" x14ac:dyDescent="0.25">
      <c r="A2844">
        <v>2843</v>
      </c>
      <c r="B2844">
        <v>1191</v>
      </c>
      <c r="C2844">
        <v>391</v>
      </c>
      <c r="D2844" s="1">
        <v>45758</v>
      </c>
      <c r="E2844" t="s">
        <v>24</v>
      </c>
      <c r="F2844" t="s">
        <v>321</v>
      </c>
      <c r="G2844" t="str">
        <f>_xlfn.XLOOKUP(TRIM(E2845),MedicineInfo!A:A,MedicineInfo!B:B,"Not Found")</f>
        <v>Multivitamin</v>
      </c>
      <c r="H2844" s="1" t="str" cm="1">
        <f t="array" ref="H2844">_xlfn.IFS(
OR(E2844="Type 2 Diabetes",E2844="Essential Hypertension",E2844="Angina Pectoris",E2844="Bronchial Asthma",E2844="Cardiac Arrhythmia"), D2844+30,
OR(E2844="Gastritis",E2844="Osteoarthritis",E2844="Bronchitis",E2844="Iron Deficiency Anemia"), D2844+14,
OR(E2844="Lumbar Strain",E2844="Migraine Headache"), D2844+7,
OR(E2844="Viral Fever",E2844="General Checkup","Routine Health Check"), "",
TRUE,""
)</f>
        <v/>
      </c>
      <c r="I2844" s="1" t="str">
        <f t="shared" si="88"/>
        <v>No Follow-up Required</v>
      </c>
      <c r="J2844" t="str">
        <f>TEXT(Table8[[#This Row],[visit_Date]],"DDDD")</f>
        <v>Friday</v>
      </c>
      <c r="K2844" t="str">
        <f>TEXT(Table8[[#This Row],[visit_Date]],"mmmm")</f>
        <v>April</v>
      </c>
      <c r="L2844" t="str">
        <f t="shared" si="89"/>
        <v>Summer</v>
      </c>
    </row>
    <row r="2845" spans="1:12" x14ac:dyDescent="0.25">
      <c r="A2845">
        <v>2844</v>
      </c>
      <c r="B2845">
        <v>1365</v>
      </c>
      <c r="C2845">
        <v>889</v>
      </c>
      <c r="D2845" s="1">
        <v>45810</v>
      </c>
      <c r="E2845" t="s">
        <v>24</v>
      </c>
      <c r="F2845" t="s">
        <v>321</v>
      </c>
      <c r="G2845" t="str">
        <f>_xlfn.XLOOKUP(TRIM(E2846),MedicineInfo!A:A,MedicineInfo!B:B,"Not Found")</f>
        <v>Sumatriptan</v>
      </c>
      <c r="H2845" s="1" t="str" cm="1">
        <f t="array" ref="H2845">_xlfn.IFS(
OR(E2845="Type 2 Diabetes",E2845="Essential Hypertension",E2845="Angina Pectoris",E2845="Bronchial Asthma",E2845="Cardiac Arrhythmia"), D2845+30,
OR(E2845="Gastritis",E2845="Osteoarthritis",E2845="Bronchitis",E2845="Iron Deficiency Anemia"), D2845+14,
OR(E2845="Lumbar Strain",E2845="Migraine Headache"), D2845+7,
OR(E2845="Viral Fever",E2845="General Checkup","Routine Health Check"), "",
TRUE,""
)</f>
        <v/>
      </c>
      <c r="I2845" s="1" t="str">
        <f t="shared" si="88"/>
        <v>No Follow-up Required</v>
      </c>
      <c r="J2845" t="str">
        <f>TEXT(Table8[[#This Row],[visit_Date]],"DDDD")</f>
        <v>Monday</v>
      </c>
      <c r="K2845" t="str">
        <f>TEXT(Table8[[#This Row],[visit_Date]],"mmmm")</f>
        <v>June</v>
      </c>
      <c r="L2845" t="str">
        <f t="shared" si="89"/>
        <v>Monsoon</v>
      </c>
    </row>
    <row r="2846" spans="1:12" x14ac:dyDescent="0.25">
      <c r="A2846">
        <v>2845</v>
      </c>
      <c r="B2846">
        <v>1363</v>
      </c>
      <c r="C2846">
        <v>739</v>
      </c>
      <c r="D2846" s="1">
        <v>45861</v>
      </c>
      <c r="E2846" t="s">
        <v>315</v>
      </c>
      <c r="F2846" t="s">
        <v>316</v>
      </c>
      <c r="G2846" t="str">
        <f>_xlfn.XLOOKUP(TRIM(E2847),MedicineInfo!A:A,MedicineInfo!B:B,"Not Found")</f>
        <v>Multivitamin</v>
      </c>
      <c r="H2846" s="1" cm="1">
        <f t="array" ref="H2846">_xlfn.IFS(
OR(E2846="Type 2 Diabetes",E2846="Essential Hypertension",E2846="Angina Pectoris",E2846="Bronchial Asthma",E2846="Cardiac Arrhythmia"), D2846+30,
OR(E2846="Gastritis",E2846="Osteoarthritis",E2846="Bronchitis",E2846="Iron Deficiency Anemia"), D2846+14,
OR(E2846="Lumbar Strain",E2846="Migraine Headache"), D2846+7,
OR(E2846="Viral Fever",E2846="General Checkup","Routine Health Check"), "",
TRUE,""
)</f>
        <v>45868</v>
      </c>
      <c r="I2846" s="1" t="str">
        <f t="shared" si="88"/>
        <v>Follow-up Scheduled</v>
      </c>
      <c r="J2846" t="str">
        <f>TEXT(Table8[[#This Row],[visit_Date]],"DDDD")</f>
        <v>Wednesday</v>
      </c>
      <c r="K2846" t="str">
        <f>TEXT(Table8[[#This Row],[visit_Date]],"mmmm")</f>
        <v>July</v>
      </c>
      <c r="L2846" t="str">
        <f t="shared" si="89"/>
        <v>Monsoon</v>
      </c>
    </row>
    <row r="2847" spans="1:12" x14ac:dyDescent="0.25">
      <c r="A2847">
        <v>2846</v>
      </c>
      <c r="B2847">
        <v>1117</v>
      </c>
      <c r="C2847">
        <v>1452</v>
      </c>
      <c r="D2847" s="1">
        <v>45783</v>
      </c>
      <c r="E2847" t="s">
        <v>24</v>
      </c>
      <c r="F2847" t="s">
        <v>321</v>
      </c>
      <c r="G2847" t="str">
        <f>_xlfn.XLOOKUP(TRIM(E2848),MedicineInfo!A:A,MedicineInfo!B:B,"Not Found")</f>
        <v>Metformin</v>
      </c>
      <c r="H2847" s="1" t="str" cm="1">
        <f t="array" ref="H2847">_xlfn.IFS(
OR(E2847="Type 2 Diabetes",E2847="Essential Hypertension",E2847="Angina Pectoris",E2847="Bronchial Asthma",E2847="Cardiac Arrhythmia"), D2847+30,
OR(E2847="Gastritis",E2847="Osteoarthritis",E2847="Bronchitis",E2847="Iron Deficiency Anemia"), D2847+14,
OR(E2847="Lumbar Strain",E2847="Migraine Headache"), D2847+7,
OR(E2847="Viral Fever",E2847="General Checkup","Routine Health Check"), "",
TRUE,""
)</f>
        <v/>
      </c>
      <c r="I2847" s="1" t="str">
        <f t="shared" si="88"/>
        <v>No Follow-up Required</v>
      </c>
      <c r="J2847" t="str">
        <f>TEXT(Table8[[#This Row],[visit_Date]],"DDDD")</f>
        <v>Tuesday</v>
      </c>
      <c r="K2847" t="str">
        <f>TEXT(Table8[[#This Row],[visit_Date]],"mmmm")</f>
        <v>May</v>
      </c>
      <c r="L2847" t="str">
        <f t="shared" si="89"/>
        <v>Summer</v>
      </c>
    </row>
    <row r="2848" spans="1:12" x14ac:dyDescent="0.25">
      <c r="A2848">
        <v>2847</v>
      </c>
      <c r="B2848">
        <v>1070</v>
      </c>
      <c r="C2848">
        <v>291</v>
      </c>
      <c r="D2848" s="1">
        <v>45820</v>
      </c>
      <c r="E2848" t="s">
        <v>317</v>
      </c>
      <c r="F2848" t="s">
        <v>318</v>
      </c>
      <c r="G2848" t="str">
        <f>_xlfn.XLOOKUP(TRIM(E2849),MedicineInfo!A:A,MedicineInfo!B:B,"Not Found")</f>
        <v>Metformin</v>
      </c>
      <c r="H2848" s="1" cm="1">
        <f t="array" ref="H2848">_xlfn.IFS(
OR(E2848="Type 2 Diabetes",E2848="Essential Hypertension",E2848="Angina Pectoris",E2848="Bronchial Asthma",E2848="Cardiac Arrhythmia"), D2848+30,
OR(E2848="Gastritis",E2848="Osteoarthritis",E2848="Bronchitis",E2848="Iron Deficiency Anemia"), D2848+14,
OR(E2848="Lumbar Strain",E2848="Migraine Headache"), D2848+7,
OR(E2848="Viral Fever",E2848="General Checkup","Routine Health Check"), "",
TRUE,""
)</f>
        <v>45850</v>
      </c>
      <c r="I2848" s="1" t="str">
        <f t="shared" si="88"/>
        <v>Follow-up Scheduled</v>
      </c>
      <c r="J2848" t="str">
        <f>TEXT(Table8[[#This Row],[visit_Date]],"DDDD")</f>
        <v>Thursday</v>
      </c>
      <c r="K2848" t="str">
        <f>TEXT(Table8[[#This Row],[visit_Date]],"mmmm")</f>
        <v>June</v>
      </c>
      <c r="L2848" t="str">
        <f t="shared" si="89"/>
        <v>Monsoon</v>
      </c>
    </row>
    <row r="2849" spans="1:12" x14ac:dyDescent="0.25">
      <c r="A2849">
        <v>2848</v>
      </c>
      <c r="B2849">
        <v>1333</v>
      </c>
      <c r="C2849">
        <v>816</v>
      </c>
      <c r="D2849" s="1">
        <v>45790</v>
      </c>
      <c r="E2849" t="s">
        <v>317</v>
      </c>
      <c r="F2849" t="s">
        <v>318</v>
      </c>
      <c r="G2849" t="str">
        <f>_xlfn.XLOOKUP(TRIM(E2850),MedicineInfo!A:A,MedicineInfo!B:B,"Not Found")</f>
        <v>Amlodipine</v>
      </c>
      <c r="H2849" s="1" cm="1">
        <f t="array" ref="H2849">_xlfn.IFS(
OR(E2849="Type 2 Diabetes",E2849="Essential Hypertension",E2849="Angina Pectoris",E2849="Bronchial Asthma",E2849="Cardiac Arrhythmia"), D2849+30,
OR(E2849="Gastritis",E2849="Osteoarthritis",E2849="Bronchitis",E2849="Iron Deficiency Anemia"), D2849+14,
OR(E2849="Lumbar Strain",E2849="Migraine Headache"), D2849+7,
OR(E2849="Viral Fever",E2849="General Checkup","Routine Health Check"), "",
TRUE,""
)</f>
        <v>45820</v>
      </c>
      <c r="I2849" s="1" t="str">
        <f t="shared" si="88"/>
        <v>Follow-up Scheduled</v>
      </c>
      <c r="J2849" t="str">
        <f>TEXT(Table8[[#This Row],[visit_Date]],"DDDD")</f>
        <v>Tuesday</v>
      </c>
      <c r="K2849" t="str">
        <f>TEXT(Table8[[#This Row],[visit_Date]],"mmmm")</f>
        <v>May</v>
      </c>
      <c r="L2849" t="str">
        <f t="shared" si="89"/>
        <v>Summer</v>
      </c>
    </row>
    <row r="2850" spans="1:12" x14ac:dyDescent="0.25">
      <c r="A2850">
        <v>2849</v>
      </c>
      <c r="B2850">
        <v>1211</v>
      </c>
      <c r="C2850">
        <v>284</v>
      </c>
      <c r="D2850" s="1">
        <v>45672</v>
      </c>
      <c r="E2850" t="s">
        <v>319</v>
      </c>
      <c r="F2850" t="s">
        <v>320</v>
      </c>
      <c r="G2850" t="str">
        <f>_xlfn.XLOOKUP(TRIM(E2851),MedicineInfo!A:A,MedicineInfo!B:B,"Not Found")</f>
        <v>Multivitamin</v>
      </c>
      <c r="H2850" s="1" cm="1">
        <f t="array" ref="H2850">_xlfn.IFS(
OR(E2850="Type 2 Diabetes",E2850="Essential Hypertension",E2850="Angina Pectoris",E2850="Bronchial Asthma",E2850="Cardiac Arrhythmia"), D2850+30,
OR(E2850="Gastritis",E2850="Osteoarthritis",E2850="Bronchitis",E2850="Iron Deficiency Anemia"), D2850+14,
OR(E2850="Lumbar Strain",E2850="Migraine Headache"), D2850+7,
OR(E2850="Viral Fever",E2850="General Checkup","Routine Health Check"), "",
TRUE,""
)</f>
        <v>45702</v>
      </c>
      <c r="I2850" s="1" t="str">
        <f t="shared" si="88"/>
        <v>Follow-up Scheduled</v>
      </c>
      <c r="J2850" t="str">
        <f>TEXT(Table8[[#This Row],[visit_Date]],"DDDD")</f>
        <v>Wednesday</v>
      </c>
      <c r="K2850" t="str">
        <f>TEXT(Table8[[#This Row],[visit_Date]],"mmmm")</f>
        <v>January</v>
      </c>
      <c r="L2850" t="str">
        <f t="shared" si="89"/>
        <v>Winter</v>
      </c>
    </row>
    <row r="2851" spans="1:12" x14ac:dyDescent="0.25">
      <c r="A2851">
        <v>2850</v>
      </c>
      <c r="B2851">
        <v>1226</v>
      </c>
      <c r="C2851">
        <v>224</v>
      </c>
      <c r="D2851" s="1">
        <v>45705</v>
      </c>
      <c r="E2851" t="s">
        <v>24</v>
      </c>
      <c r="F2851" t="s">
        <v>321</v>
      </c>
      <c r="G2851" t="str">
        <f>_xlfn.XLOOKUP(TRIM(E2852),MedicineInfo!A:A,MedicineInfo!B:B,"Not Found")</f>
        <v>Multivitamin</v>
      </c>
      <c r="H2851" s="1" t="str" cm="1">
        <f t="array" ref="H2851">_xlfn.IFS(
OR(E2851="Type 2 Diabetes",E2851="Essential Hypertension",E2851="Angina Pectoris",E2851="Bronchial Asthma",E2851="Cardiac Arrhythmia"), D2851+30,
OR(E2851="Gastritis",E2851="Osteoarthritis",E2851="Bronchitis",E2851="Iron Deficiency Anemia"), D2851+14,
OR(E2851="Lumbar Strain",E2851="Migraine Headache"), D2851+7,
OR(E2851="Viral Fever",E2851="General Checkup","Routine Health Check"), "",
TRUE,""
)</f>
        <v/>
      </c>
      <c r="I2851" s="1" t="str">
        <f t="shared" si="88"/>
        <v>No Follow-up Required</v>
      </c>
      <c r="J2851" t="str">
        <f>TEXT(Table8[[#This Row],[visit_Date]],"DDDD")</f>
        <v>Monday</v>
      </c>
      <c r="K2851" t="str">
        <f>TEXT(Table8[[#This Row],[visit_Date]],"mmmm")</f>
        <v>February</v>
      </c>
      <c r="L2851" t="str">
        <f t="shared" si="89"/>
        <v>Winter</v>
      </c>
    </row>
    <row r="2852" spans="1:12" x14ac:dyDescent="0.25">
      <c r="A2852">
        <v>2851</v>
      </c>
      <c r="B2852">
        <v>1281</v>
      </c>
      <c r="C2852">
        <v>871</v>
      </c>
      <c r="D2852" s="1">
        <v>45791</v>
      </c>
      <c r="E2852" t="s">
        <v>24</v>
      </c>
      <c r="F2852" t="s">
        <v>321</v>
      </c>
      <c r="G2852" t="str">
        <f>_xlfn.XLOOKUP(TRIM(E2853),MedicineInfo!A:A,MedicineInfo!B:B,"Not Found")</f>
        <v>Multivitamin</v>
      </c>
      <c r="H2852" s="1" t="str" cm="1">
        <f t="array" ref="H2852">_xlfn.IFS(
OR(E2852="Type 2 Diabetes",E2852="Essential Hypertension",E2852="Angina Pectoris",E2852="Bronchial Asthma",E2852="Cardiac Arrhythmia"), D2852+30,
OR(E2852="Gastritis",E2852="Osteoarthritis",E2852="Bronchitis",E2852="Iron Deficiency Anemia"), D2852+14,
OR(E2852="Lumbar Strain",E2852="Migraine Headache"), D2852+7,
OR(E2852="Viral Fever",E2852="General Checkup","Routine Health Check"), "",
TRUE,""
)</f>
        <v/>
      </c>
      <c r="I2852" s="1" t="str">
        <f t="shared" si="88"/>
        <v>No Follow-up Required</v>
      </c>
      <c r="J2852" t="str">
        <f>TEXT(Table8[[#This Row],[visit_Date]],"DDDD")</f>
        <v>Wednesday</v>
      </c>
      <c r="K2852" t="str">
        <f>TEXT(Table8[[#This Row],[visit_Date]],"mmmm")</f>
        <v>May</v>
      </c>
      <c r="L2852" t="str">
        <f t="shared" si="89"/>
        <v>Summer</v>
      </c>
    </row>
    <row r="2853" spans="1:12" x14ac:dyDescent="0.25">
      <c r="A2853">
        <v>2852</v>
      </c>
      <c r="B2853">
        <v>1207</v>
      </c>
      <c r="C2853">
        <v>822</v>
      </c>
      <c r="D2853" s="1">
        <v>45790</v>
      </c>
      <c r="E2853" t="s">
        <v>24</v>
      </c>
      <c r="F2853" t="s">
        <v>321</v>
      </c>
      <c r="G2853" t="str">
        <f>_xlfn.XLOOKUP(TRIM(E2854),MedicineInfo!A:A,MedicineInfo!B:B,"Not Found")</f>
        <v>Multivitamin</v>
      </c>
      <c r="H2853" s="1" t="str" cm="1">
        <f t="array" ref="H2853">_xlfn.IFS(
OR(E2853="Type 2 Diabetes",E2853="Essential Hypertension",E2853="Angina Pectoris",E2853="Bronchial Asthma",E2853="Cardiac Arrhythmia"), D2853+30,
OR(E2853="Gastritis",E2853="Osteoarthritis",E2853="Bronchitis",E2853="Iron Deficiency Anemia"), D2853+14,
OR(E2853="Lumbar Strain",E2853="Migraine Headache"), D2853+7,
OR(E2853="Viral Fever",E2853="General Checkup","Routine Health Check"), "",
TRUE,""
)</f>
        <v/>
      </c>
      <c r="I2853" s="1" t="str">
        <f t="shared" si="88"/>
        <v>No Follow-up Required</v>
      </c>
      <c r="J2853" t="str">
        <f>TEXT(Table8[[#This Row],[visit_Date]],"DDDD")</f>
        <v>Tuesday</v>
      </c>
      <c r="K2853" t="str">
        <f>TEXT(Table8[[#This Row],[visit_Date]],"mmmm")</f>
        <v>May</v>
      </c>
      <c r="L2853" t="str">
        <f t="shared" si="89"/>
        <v>Summer</v>
      </c>
    </row>
    <row r="2854" spans="1:12" x14ac:dyDescent="0.25">
      <c r="A2854">
        <v>2853</v>
      </c>
      <c r="B2854">
        <v>1145</v>
      </c>
      <c r="C2854">
        <v>871</v>
      </c>
      <c r="D2854" s="1">
        <v>45691</v>
      </c>
      <c r="E2854" t="s">
        <v>24</v>
      </c>
      <c r="F2854" t="s">
        <v>321</v>
      </c>
      <c r="G2854" t="str">
        <f>_xlfn.XLOOKUP(TRIM(E2855),MedicineInfo!A:A,MedicineInfo!B:B,"Not Found")</f>
        <v>Multivitamin</v>
      </c>
      <c r="H2854" s="1" t="str" cm="1">
        <f t="array" ref="H2854">_xlfn.IFS(
OR(E2854="Type 2 Diabetes",E2854="Essential Hypertension",E2854="Angina Pectoris",E2854="Bronchial Asthma",E2854="Cardiac Arrhythmia"), D2854+30,
OR(E2854="Gastritis",E2854="Osteoarthritis",E2854="Bronchitis",E2854="Iron Deficiency Anemia"), D2854+14,
OR(E2854="Lumbar Strain",E2854="Migraine Headache"), D2854+7,
OR(E2854="Viral Fever",E2854="General Checkup","Routine Health Check"), "",
TRUE,""
)</f>
        <v/>
      </c>
      <c r="I2854" s="1" t="str">
        <f t="shared" si="88"/>
        <v>No Follow-up Required</v>
      </c>
      <c r="J2854" t="str">
        <f>TEXT(Table8[[#This Row],[visit_Date]],"DDDD")</f>
        <v>Monday</v>
      </c>
      <c r="K2854" t="str">
        <f>TEXT(Table8[[#This Row],[visit_Date]],"mmmm")</f>
        <v>February</v>
      </c>
      <c r="L2854" t="str">
        <f t="shared" si="89"/>
        <v>Winter</v>
      </c>
    </row>
    <row r="2855" spans="1:12" x14ac:dyDescent="0.25">
      <c r="A2855">
        <v>2854</v>
      </c>
      <c r="B2855">
        <v>1086</v>
      </c>
      <c r="C2855">
        <v>307</v>
      </c>
      <c r="D2855" s="1">
        <v>45694</v>
      </c>
      <c r="E2855" t="s">
        <v>24</v>
      </c>
      <c r="F2855" t="s">
        <v>321</v>
      </c>
      <c r="G2855" t="str">
        <f>_xlfn.XLOOKUP(TRIM(E2856),MedicineInfo!A:A,MedicineInfo!B:B,"Not Found")</f>
        <v>Multivitamin</v>
      </c>
      <c r="H2855" s="1" t="str" cm="1">
        <f t="array" ref="H2855">_xlfn.IFS(
OR(E2855="Type 2 Diabetes",E2855="Essential Hypertension",E2855="Angina Pectoris",E2855="Bronchial Asthma",E2855="Cardiac Arrhythmia"), D2855+30,
OR(E2855="Gastritis",E2855="Osteoarthritis",E2855="Bronchitis",E2855="Iron Deficiency Anemia"), D2855+14,
OR(E2855="Lumbar Strain",E2855="Migraine Headache"), D2855+7,
OR(E2855="Viral Fever",E2855="General Checkup","Routine Health Check"), "",
TRUE,""
)</f>
        <v/>
      </c>
      <c r="I2855" s="1" t="str">
        <f t="shared" si="88"/>
        <v>No Follow-up Required</v>
      </c>
      <c r="J2855" t="str">
        <f>TEXT(Table8[[#This Row],[visit_Date]],"DDDD")</f>
        <v>Thursday</v>
      </c>
      <c r="K2855" t="str">
        <f>TEXT(Table8[[#This Row],[visit_Date]],"mmmm")</f>
        <v>February</v>
      </c>
      <c r="L2855" t="str">
        <f t="shared" si="89"/>
        <v>Winter</v>
      </c>
    </row>
    <row r="2856" spans="1:12" x14ac:dyDescent="0.25">
      <c r="A2856">
        <v>2855</v>
      </c>
      <c r="B2856">
        <v>1127</v>
      </c>
      <c r="C2856">
        <v>156</v>
      </c>
      <c r="D2856" s="1">
        <v>45714</v>
      </c>
      <c r="E2856" t="s">
        <v>24</v>
      </c>
      <c r="F2856" t="s">
        <v>321</v>
      </c>
      <c r="G2856" t="str">
        <f>_xlfn.XLOOKUP(TRIM(E2857),MedicineInfo!A:A,MedicineInfo!B:B,"Not Found")</f>
        <v>Sumatriptan</v>
      </c>
      <c r="H2856" s="1" t="str" cm="1">
        <f t="array" ref="H2856">_xlfn.IFS(
OR(E2856="Type 2 Diabetes",E2856="Essential Hypertension",E2856="Angina Pectoris",E2856="Bronchial Asthma",E2856="Cardiac Arrhythmia"), D2856+30,
OR(E2856="Gastritis",E2856="Osteoarthritis",E2856="Bronchitis",E2856="Iron Deficiency Anemia"), D2856+14,
OR(E2856="Lumbar Strain",E2856="Migraine Headache"), D2856+7,
OR(E2856="Viral Fever",E2856="General Checkup","Routine Health Check"), "",
TRUE,""
)</f>
        <v/>
      </c>
      <c r="I2856" s="1" t="str">
        <f t="shared" si="88"/>
        <v>No Follow-up Required</v>
      </c>
      <c r="J2856" t="str">
        <f>TEXT(Table8[[#This Row],[visit_Date]],"DDDD")</f>
        <v>Wednesday</v>
      </c>
      <c r="K2856" t="str">
        <f>TEXT(Table8[[#This Row],[visit_Date]],"mmmm")</f>
        <v>February</v>
      </c>
      <c r="L2856" t="str">
        <f t="shared" si="89"/>
        <v>Winter</v>
      </c>
    </row>
    <row r="2857" spans="1:12" x14ac:dyDescent="0.25">
      <c r="A2857">
        <v>2856</v>
      </c>
      <c r="B2857">
        <v>1222</v>
      </c>
      <c r="C2857">
        <v>606</v>
      </c>
      <c r="D2857" s="1">
        <v>45672</v>
      </c>
      <c r="E2857" t="s">
        <v>315</v>
      </c>
      <c r="F2857" t="s">
        <v>316</v>
      </c>
      <c r="G2857" t="str">
        <f>_xlfn.XLOOKUP(TRIM(E2858),MedicineInfo!A:A,MedicineInfo!B:B,"Not Found")</f>
        <v>Folic Acid</v>
      </c>
      <c r="H2857" s="1" cm="1">
        <f t="array" ref="H2857">_xlfn.IFS(
OR(E2857="Type 2 Diabetes",E2857="Essential Hypertension",E2857="Angina Pectoris",E2857="Bronchial Asthma",E2857="Cardiac Arrhythmia"), D2857+30,
OR(E2857="Gastritis",E2857="Osteoarthritis",E2857="Bronchitis",E2857="Iron Deficiency Anemia"), D2857+14,
OR(E2857="Lumbar Strain",E2857="Migraine Headache"), D2857+7,
OR(E2857="Viral Fever",E2857="General Checkup","Routine Health Check"), "",
TRUE,""
)</f>
        <v>45679</v>
      </c>
      <c r="I2857" s="1" t="str">
        <f t="shared" si="88"/>
        <v>Follow-up Scheduled</v>
      </c>
      <c r="J2857" t="str">
        <f>TEXT(Table8[[#This Row],[visit_Date]],"DDDD")</f>
        <v>Wednesday</v>
      </c>
      <c r="K2857" t="str">
        <f>TEXT(Table8[[#This Row],[visit_Date]],"mmmm")</f>
        <v>January</v>
      </c>
      <c r="L2857" t="str">
        <f t="shared" si="89"/>
        <v>Winter</v>
      </c>
    </row>
    <row r="2858" spans="1:12" x14ac:dyDescent="0.25">
      <c r="A2858">
        <v>2857</v>
      </c>
      <c r="B2858">
        <v>1185</v>
      </c>
      <c r="C2858">
        <v>651</v>
      </c>
      <c r="D2858" s="1">
        <v>45792</v>
      </c>
      <c r="E2858" t="s">
        <v>356</v>
      </c>
      <c r="F2858" t="s">
        <v>357</v>
      </c>
      <c r="G2858" t="str">
        <f>_xlfn.XLOOKUP(TRIM(E2859),MedicineInfo!A:A,MedicineInfo!B:B,"Not Found")</f>
        <v>Calcium Supplement</v>
      </c>
      <c r="H2858" s="1" t="str" cm="1">
        <f t="array" ref="H2858">_xlfn.IFS(
OR(E2858="Type 2 Diabetes",E2858="Essential Hypertension",E2858="Angina Pectoris",E2858="Bronchial Asthma",E2858="Cardiac Arrhythmia"), D2858+30,
OR(E2858="Gastritis",E2858="Osteoarthritis",E2858="Bronchitis",E2858="Iron Deficiency Anemia"), D2858+14,
OR(E2858="Lumbar Strain",E2858="Migraine Headache"), D2858+7,
OR(E2858="Viral Fever",E2858="General Checkup","Routine Health Check"), "",
TRUE,""
)</f>
        <v/>
      </c>
      <c r="I2858" s="1" t="str">
        <f t="shared" si="88"/>
        <v>No Follow-up Required</v>
      </c>
      <c r="J2858" t="str">
        <f>TEXT(Table8[[#This Row],[visit_Date]],"DDDD")</f>
        <v>Thursday</v>
      </c>
      <c r="K2858" t="str">
        <f>TEXT(Table8[[#This Row],[visit_Date]],"mmmm")</f>
        <v>May</v>
      </c>
      <c r="L2858" t="str">
        <f t="shared" si="89"/>
        <v>Summer</v>
      </c>
    </row>
    <row r="2859" spans="1:12" x14ac:dyDescent="0.25">
      <c r="A2859">
        <v>2858</v>
      </c>
      <c r="B2859">
        <v>1019</v>
      </c>
      <c r="C2859">
        <v>653</v>
      </c>
      <c r="D2859" s="1">
        <v>45669</v>
      </c>
      <c r="E2859" t="s">
        <v>336</v>
      </c>
      <c r="F2859" t="s">
        <v>337</v>
      </c>
      <c r="G2859" t="str">
        <f>_xlfn.XLOOKUP(TRIM(E2860),MedicineInfo!A:A,MedicineInfo!B:B,"Not Found")</f>
        <v>Paracetamol</v>
      </c>
      <c r="H2859" s="1" t="str" cm="1">
        <f t="array" ref="H2859">_xlfn.IFS(
OR(E2859="Type 2 Diabetes",E2859="Essential Hypertension",E2859="Angina Pectoris",E2859="Bronchial Asthma",E2859="Cardiac Arrhythmia"), D2859+30,
OR(E2859="Gastritis",E2859="Osteoarthritis",E2859="Bronchitis",E2859="Iron Deficiency Anemia"), D2859+14,
OR(E2859="Lumbar Strain",E2859="Migraine Headache"), D2859+7,
OR(E2859="Viral Fever",E2859="General Checkup","Routine Health Check"), "",
TRUE,""
)</f>
        <v/>
      </c>
      <c r="I2859" s="1" t="str">
        <f t="shared" si="88"/>
        <v>No Follow-up Required</v>
      </c>
      <c r="J2859" t="str">
        <f>TEXT(Table8[[#This Row],[visit_Date]],"DDDD")</f>
        <v>Sunday</v>
      </c>
      <c r="K2859" t="str">
        <f>TEXT(Table8[[#This Row],[visit_Date]],"mmmm")</f>
        <v>January</v>
      </c>
      <c r="L2859" t="str">
        <f t="shared" si="89"/>
        <v>Winter</v>
      </c>
    </row>
    <row r="2860" spans="1:12" x14ac:dyDescent="0.25">
      <c r="A2860">
        <v>2859</v>
      </c>
      <c r="B2860">
        <v>1269</v>
      </c>
      <c r="C2860">
        <v>791</v>
      </c>
      <c r="D2860" s="1">
        <v>45786</v>
      </c>
      <c r="E2860" t="s">
        <v>326</v>
      </c>
      <c r="F2860" t="s">
        <v>327</v>
      </c>
      <c r="G2860" t="str">
        <f>_xlfn.XLOOKUP(TRIM(E2861),MedicineInfo!A:A,MedicineInfo!B:B,"Not Found")</f>
        <v>Multivitamin</v>
      </c>
      <c r="H2860" s="1" t="str" cm="1">
        <f t="array" ref="H2860">_xlfn.IFS(
OR(E2860="Type 2 Diabetes",E2860="Essential Hypertension",E2860="Angina Pectoris",E2860="Bronchial Asthma",E2860="Cardiac Arrhythmia"), D2860+30,
OR(E2860="Gastritis",E2860="Osteoarthritis",E2860="Bronchitis",E2860="Iron Deficiency Anemia"), D2860+14,
OR(E2860="Lumbar Strain",E2860="Migraine Headache"), D2860+7,
OR(E2860="Viral Fever",E2860="General Checkup","Routine Health Check"), "",
TRUE,""
)</f>
        <v/>
      </c>
      <c r="I2860" s="1" t="str">
        <f t="shared" si="88"/>
        <v>No Follow-up Required</v>
      </c>
      <c r="J2860" t="str">
        <f>TEXT(Table8[[#This Row],[visit_Date]],"DDDD")</f>
        <v>Friday</v>
      </c>
      <c r="K2860" t="str">
        <f>TEXT(Table8[[#This Row],[visit_Date]],"mmmm")</f>
        <v>May</v>
      </c>
      <c r="L2860" t="str">
        <f t="shared" si="89"/>
        <v>Summer</v>
      </c>
    </row>
    <row r="2861" spans="1:12" x14ac:dyDescent="0.25">
      <c r="A2861">
        <v>2860</v>
      </c>
      <c r="B2861">
        <v>1300</v>
      </c>
      <c r="C2861">
        <v>263</v>
      </c>
      <c r="D2861" s="1">
        <v>45812</v>
      </c>
      <c r="E2861" t="s">
        <v>24</v>
      </c>
      <c r="F2861" t="s">
        <v>321</v>
      </c>
      <c r="G2861" t="str">
        <f>_xlfn.XLOOKUP(TRIM(E2862),MedicineInfo!A:A,MedicineInfo!B:B,"Not Found")</f>
        <v>Multivitamin</v>
      </c>
      <c r="H2861" s="1" t="str" cm="1">
        <f t="array" ref="H2861">_xlfn.IFS(
OR(E2861="Type 2 Diabetes",E2861="Essential Hypertension",E2861="Angina Pectoris",E2861="Bronchial Asthma",E2861="Cardiac Arrhythmia"), D2861+30,
OR(E2861="Gastritis",E2861="Osteoarthritis",E2861="Bronchitis",E2861="Iron Deficiency Anemia"), D2861+14,
OR(E2861="Lumbar Strain",E2861="Migraine Headache"), D2861+7,
OR(E2861="Viral Fever",E2861="General Checkup","Routine Health Check"), "",
TRUE,""
)</f>
        <v/>
      </c>
      <c r="I2861" s="1" t="str">
        <f t="shared" si="88"/>
        <v>No Follow-up Required</v>
      </c>
      <c r="J2861" t="str">
        <f>TEXT(Table8[[#This Row],[visit_Date]],"DDDD")</f>
        <v>Wednesday</v>
      </c>
      <c r="K2861" t="str">
        <f>TEXT(Table8[[#This Row],[visit_Date]],"mmmm")</f>
        <v>June</v>
      </c>
      <c r="L2861" t="str">
        <f t="shared" si="89"/>
        <v>Monsoon</v>
      </c>
    </row>
    <row r="2862" spans="1:12" x14ac:dyDescent="0.25">
      <c r="A2862">
        <v>2861</v>
      </c>
      <c r="B2862">
        <v>1378</v>
      </c>
      <c r="C2862">
        <v>773</v>
      </c>
      <c r="D2862" s="1">
        <v>45669</v>
      </c>
      <c r="E2862" t="s">
        <v>24</v>
      </c>
      <c r="F2862" t="s">
        <v>321</v>
      </c>
      <c r="G2862" t="str">
        <f>_xlfn.XLOOKUP(TRIM(E2863),MedicineInfo!A:A,MedicineInfo!B:B,"Not Found")</f>
        <v>Multivitamin</v>
      </c>
      <c r="H2862" s="1" t="str" cm="1">
        <f t="array" ref="H2862">_xlfn.IFS(
OR(E2862="Type 2 Diabetes",E2862="Essential Hypertension",E2862="Angina Pectoris",E2862="Bronchial Asthma",E2862="Cardiac Arrhythmia"), D2862+30,
OR(E2862="Gastritis",E2862="Osteoarthritis",E2862="Bronchitis",E2862="Iron Deficiency Anemia"), D2862+14,
OR(E2862="Lumbar Strain",E2862="Migraine Headache"), D2862+7,
OR(E2862="Viral Fever",E2862="General Checkup","Routine Health Check"), "",
TRUE,""
)</f>
        <v/>
      </c>
      <c r="I2862" s="1" t="str">
        <f t="shared" si="88"/>
        <v>No Follow-up Required</v>
      </c>
      <c r="J2862" t="str">
        <f>TEXT(Table8[[#This Row],[visit_Date]],"DDDD")</f>
        <v>Sunday</v>
      </c>
      <c r="K2862" t="str">
        <f>TEXT(Table8[[#This Row],[visit_Date]],"mmmm")</f>
        <v>January</v>
      </c>
      <c r="L2862" t="str">
        <f t="shared" si="89"/>
        <v>Winter</v>
      </c>
    </row>
    <row r="2863" spans="1:12" x14ac:dyDescent="0.25">
      <c r="A2863">
        <v>2862</v>
      </c>
      <c r="B2863">
        <v>1072</v>
      </c>
      <c r="C2863">
        <v>510</v>
      </c>
      <c r="D2863" s="1">
        <v>45817</v>
      </c>
      <c r="E2863" t="s">
        <v>24</v>
      </c>
      <c r="F2863" t="s">
        <v>321</v>
      </c>
      <c r="G2863" t="str">
        <f>_xlfn.XLOOKUP(TRIM(E2864),MedicineInfo!A:A,MedicineInfo!B:B,"Not Found")</f>
        <v>Multivitamin</v>
      </c>
      <c r="H2863" s="1" t="str" cm="1">
        <f t="array" ref="H2863">_xlfn.IFS(
OR(E2863="Type 2 Diabetes",E2863="Essential Hypertension",E2863="Angina Pectoris",E2863="Bronchial Asthma",E2863="Cardiac Arrhythmia"), D2863+30,
OR(E2863="Gastritis",E2863="Osteoarthritis",E2863="Bronchitis",E2863="Iron Deficiency Anemia"), D2863+14,
OR(E2863="Lumbar Strain",E2863="Migraine Headache"), D2863+7,
OR(E2863="Viral Fever",E2863="General Checkup","Routine Health Check"), "",
TRUE,""
)</f>
        <v/>
      </c>
      <c r="I2863" s="1" t="str">
        <f t="shared" si="88"/>
        <v>No Follow-up Required</v>
      </c>
      <c r="J2863" t="str">
        <f>TEXT(Table8[[#This Row],[visit_Date]],"DDDD")</f>
        <v>Monday</v>
      </c>
      <c r="K2863" t="str">
        <f>TEXT(Table8[[#This Row],[visit_Date]],"mmmm")</f>
        <v>June</v>
      </c>
      <c r="L2863" t="str">
        <f t="shared" si="89"/>
        <v>Monsoon</v>
      </c>
    </row>
    <row r="2864" spans="1:12" x14ac:dyDescent="0.25">
      <c r="A2864">
        <v>2863</v>
      </c>
      <c r="B2864">
        <v>1066</v>
      </c>
      <c r="C2864">
        <v>752</v>
      </c>
      <c r="D2864" s="1">
        <v>45669</v>
      </c>
      <c r="E2864" t="s">
        <v>24</v>
      </c>
      <c r="F2864" t="s">
        <v>321</v>
      </c>
      <c r="G2864" t="str">
        <f>_xlfn.XLOOKUP(TRIM(E2865),MedicineInfo!A:A,MedicineInfo!B:B,"Not Found")</f>
        <v>Multivitamin</v>
      </c>
      <c r="H2864" s="1" t="str" cm="1">
        <f t="array" ref="H2864">_xlfn.IFS(
OR(E2864="Type 2 Diabetes",E2864="Essential Hypertension",E2864="Angina Pectoris",E2864="Bronchial Asthma",E2864="Cardiac Arrhythmia"), D2864+30,
OR(E2864="Gastritis",E2864="Osteoarthritis",E2864="Bronchitis",E2864="Iron Deficiency Anemia"), D2864+14,
OR(E2864="Lumbar Strain",E2864="Migraine Headache"), D2864+7,
OR(E2864="Viral Fever",E2864="General Checkup","Routine Health Check"), "",
TRUE,""
)</f>
        <v/>
      </c>
      <c r="I2864" s="1" t="str">
        <f t="shared" si="88"/>
        <v>No Follow-up Required</v>
      </c>
      <c r="J2864" t="str">
        <f>TEXT(Table8[[#This Row],[visit_Date]],"DDDD")</f>
        <v>Sunday</v>
      </c>
      <c r="K2864" t="str">
        <f>TEXT(Table8[[#This Row],[visit_Date]],"mmmm")</f>
        <v>January</v>
      </c>
      <c r="L2864" t="str">
        <f t="shared" si="89"/>
        <v>Winter</v>
      </c>
    </row>
    <row r="2865" spans="1:12" x14ac:dyDescent="0.25">
      <c r="A2865">
        <v>2864</v>
      </c>
      <c r="B2865">
        <v>1163</v>
      </c>
      <c r="C2865">
        <v>948</v>
      </c>
      <c r="D2865" s="1">
        <v>45667</v>
      </c>
      <c r="E2865" t="s">
        <v>24</v>
      </c>
      <c r="F2865" t="s">
        <v>321</v>
      </c>
      <c r="G2865" t="str">
        <f>_xlfn.XLOOKUP(TRIM(E2866),MedicineInfo!A:A,MedicineInfo!B:B,"Not Found")</f>
        <v>Multivitamin</v>
      </c>
      <c r="H2865" s="1" t="str" cm="1">
        <f t="array" ref="H2865">_xlfn.IFS(
OR(E2865="Type 2 Diabetes",E2865="Essential Hypertension",E2865="Angina Pectoris",E2865="Bronchial Asthma",E2865="Cardiac Arrhythmia"), D2865+30,
OR(E2865="Gastritis",E2865="Osteoarthritis",E2865="Bronchitis",E2865="Iron Deficiency Anemia"), D2865+14,
OR(E2865="Lumbar Strain",E2865="Migraine Headache"), D2865+7,
OR(E2865="Viral Fever",E2865="General Checkup","Routine Health Check"), "",
TRUE,""
)</f>
        <v/>
      </c>
      <c r="I2865" s="1" t="str">
        <f t="shared" si="88"/>
        <v>No Follow-up Required</v>
      </c>
      <c r="J2865" t="str">
        <f>TEXT(Table8[[#This Row],[visit_Date]],"DDDD")</f>
        <v>Friday</v>
      </c>
      <c r="K2865" t="str">
        <f>TEXT(Table8[[#This Row],[visit_Date]],"mmmm")</f>
        <v>January</v>
      </c>
      <c r="L2865" t="str">
        <f t="shared" si="89"/>
        <v>Winter</v>
      </c>
    </row>
    <row r="2866" spans="1:12" x14ac:dyDescent="0.25">
      <c r="A2866">
        <v>2865</v>
      </c>
      <c r="B2866">
        <v>1103</v>
      </c>
      <c r="C2866">
        <v>1510</v>
      </c>
      <c r="D2866" s="1">
        <v>45827</v>
      </c>
      <c r="E2866" t="s">
        <v>24</v>
      </c>
      <c r="F2866" t="s">
        <v>321</v>
      </c>
      <c r="G2866" t="str">
        <f>_xlfn.XLOOKUP(TRIM(E2867),MedicineInfo!A:A,MedicineInfo!B:B,"Not Found")</f>
        <v>Multivitamin</v>
      </c>
      <c r="H2866" s="1" t="str" cm="1">
        <f t="array" ref="H2866">_xlfn.IFS(
OR(E2866="Type 2 Diabetes",E2866="Essential Hypertension",E2866="Angina Pectoris",E2866="Bronchial Asthma",E2866="Cardiac Arrhythmia"), D2866+30,
OR(E2866="Gastritis",E2866="Osteoarthritis",E2866="Bronchitis",E2866="Iron Deficiency Anemia"), D2866+14,
OR(E2866="Lumbar Strain",E2866="Migraine Headache"), D2866+7,
OR(E2866="Viral Fever",E2866="General Checkup","Routine Health Check"), "",
TRUE,""
)</f>
        <v/>
      </c>
      <c r="I2866" s="1" t="str">
        <f t="shared" si="88"/>
        <v>No Follow-up Required</v>
      </c>
      <c r="J2866" t="str">
        <f>TEXT(Table8[[#This Row],[visit_Date]],"DDDD")</f>
        <v>Thursday</v>
      </c>
      <c r="K2866" t="str">
        <f>TEXT(Table8[[#This Row],[visit_Date]],"mmmm")</f>
        <v>June</v>
      </c>
      <c r="L2866" t="str">
        <f t="shared" si="89"/>
        <v>Monsoon</v>
      </c>
    </row>
    <row r="2867" spans="1:12" x14ac:dyDescent="0.25">
      <c r="A2867">
        <v>2866</v>
      </c>
      <c r="B2867">
        <v>1308</v>
      </c>
      <c r="C2867">
        <v>175</v>
      </c>
      <c r="D2867" s="1">
        <v>45759</v>
      </c>
      <c r="E2867" t="s">
        <v>24</v>
      </c>
      <c r="F2867" t="s">
        <v>321</v>
      </c>
      <c r="G2867" t="str">
        <f>_xlfn.XLOOKUP(TRIM(E2868),MedicineInfo!A:A,MedicineInfo!B:B,"Not Found")</f>
        <v>Multivitamin</v>
      </c>
      <c r="H2867" s="1" t="str" cm="1">
        <f t="array" ref="H2867">_xlfn.IFS(
OR(E2867="Type 2 Diabetes",E2867="Essential Hypertension",E2867="Angina Pectoris",E2867="Bronchial Asthma",E2867="Cardiac Arrhythmia"), D2867+30,
OR(E2867="Gastritis",E2867="Osteoarthritis",E2867="Bronchitis",E2867="Iron Deficiency Anemia"), D2867+14,
OR(E2867="Lumbar Strain",E2867="Migraine Headache"), D2867+7,
OR(E2867="Viral Fever",E2867="General Checkup","Routine Health Check"), "",
TRUE,""
)</f>
        <v/>
      </c>
      <c r="I2867" s="1" t="str">
        <f t="shared" si="88"/>
        <v>No Follow-up Required</v>
      </c>
      <c r="J2867" t="str">
        <f>TEXT(Table8[[#This Row],[visit_Date]],"DDDD")</f>
        <v>Saturday</v>
      </c>
      <c r="K2867" t="str">
        <f>TEXT(Table8[[#This Row],[visit_Date]],"mmmm")</f>
        <v>April</v>
      </c>
      <c r="L2867" t="str">
        <f t="shared" si="89"/>
        <v>Summer</v>
      </c>
    </row>
    <row r="2868" spans="1:12" x14ac:dyDescent="0.25">
      <c r="A2868">
        <v>2867</v>
      </c>
      <c r="B2868">
        <v>1119</v>
      </c>
      <c r="C2868">
        <v>763</v>
      </c>
      <c r="D2868" s="1">
        <v>45792</v>
      </c>
      <c r="E2868" t="s">
        <v>24</v>
      </c>
      <c r="F2868" t="s">
        <v>321</v>
      </c>
      <c r="G2868" t="str">
        <f>_xlfn.XLOOKUP(TRIM(E2869),MedicineInfo!A:A,MedicineInfo!B:B,"Not Found")</f>
        <v>Nitroglycerin</v>
      </c>
      <c r="H2868" s="1" t="str" cm="1">
        <f t="array" ref="H2868">_xlfn.IFS(
OR(E2868="Type 2 Diabetes",E2868="Essential Hypertension",E2868="Angina Pectoris",E2868="Bronchial Asthma",E2868="Cardiac Arrhythmia"), D2868+30,
OR(E2868="Gastritis",E2868="Osteoarthritis",E2868="Bronchitis",E2868="Iron Deficiency Anemia"), D2868+14,
OR(E2868="Lumbar Strain",E2868="Migraine Headache"), D2868+7,
OR(E2868="Viral Fever",E2868="General Checkup","Routine Health Check"), "",
TRUE,""
)</f>
        <v/>
      </c>
      <c r="I2868" s="1" t="str">
        <f t="shared" si="88"/>
        <v>No Follow-up Required</v>
      </c>
      <c r="J2868" t="str">
        <f>TEXT(Table8[[#This Row],[visit_Date]],"DDDD")</f>
        <v>Thursday</v>
      </c>
      <c r="K2868" t="str">
        <f>TEXT(Table8[[#This Row],[visit_Date]],"mmmm")</f>
        <v>May</v>
      </c>
      <c r="L2868" t="str">
        <f t="shared" si="89"/>
        <v>Summer</v>
      </c>
    </row>
    <row r="2869" spans="1:12" x14ac:dyDescent="0.25">
      <c r="A2869">
        <v>2868</v>
      </c>
      <c r="B2869">
        <v>1278</v>
      </c>
      <c r="C2869">
        <v>172</v>
      </c>
      <c r="D2869" s="1">
        <v>45814</v>
      </c>
      <c r="E2869" t="s">
        <v>322</v>
      </c>
      <c r="F2869" t="s">
        <v>323</v>
      </c>
      <c r="G2869" t="str">
        <f>_xlfn.XLOOKUP(TRIM(E2870),MedicineInfo!A:A,MedicineInfo!B:B,"Not Found")</f>
        <v>Sertraline</v>
      </c>
      <c r="H2869" s="1" cm="1">
        <f t="array" ref="H2869">_xlfn.IFS(
OR(E2869="Type 2 Diabetes",E2869="Essential Hypertension",E2869="Angina Pectoris",E2869="Bronchial Asthma",E2869="Cardiac Arrhythmia"), D2869+30,
OR(E2869="Gastritis",E2869="Osteoarthritis",E2869="Bronchitis",E2869="Iron Deficiency Anemia"), D2869+14,
OR(E2869="Lumbar Strain",E2869="Migraine Headache"), D2869+7,
OR(E2869="Viral Fever",E2869="General Checkup","Routine Health Check"), "",
TRUE,""
)</f>
        <v>45844</v>
      </c>
      <c r="I2869" s="1" t="str">
        <f t="shared" si="88"/>
        <v>Follow-up Scheduled</v>
      </c>
      <c r="J2869" t="str">
        <f>TEXT(Table8[[#This Row],[visit_Date]],"DDDD")</f>
        <v>Friday</v>
      </c>
      <c r="K2869" t="str">
        <f>TEXT(Table8[[#This Row],[visit_Date]],"mmmm")</f>
        <v>June</v>
      </c>
      <c r="L2869" t="str">
        <f t="shared" si="89"/>
        <v>Monsoon</v>
      </c>
    </row>
    <row r="2870" spans="1:12" x14ac:dyDescent="0.25">
      <c r="A2870">
        <v>2869</v>
      </c>
      <c r="B2870">
        <v>1293</v>
      </c>
      <c r="C2870">
        <v>422</v>
      </c>
      <c r="D2870" s="1">
        <v>45812</v>
      </c>
      <c r="E2870" t="s">
        <v>334</v>
      </c>
      <c r="F2870" t="s">
        <v>335</v>
      </c>
      <c r="G2870" t="str">
        <f>_xlfn.XLOOKUP(TRIM(E2871),MedicineInfo!A:A,MedicineInfo!B:B,"Not Found")</f>
        <v>Multivitamin</v>
      </c>
      <c r="H2870" s="1" t="str" cm="1">
        <f t="array" ref="H2870">_xlfn.IFS(
OR(E2870="Type 2 Diabetes",E2870="Essential Hypertension",E2870="Angina Pectoris",E2870="Bronchial Asthma",E2870="Cardiac Arrhythmia"), D2870+30,
OR(E2870="Gastritis",E2870="Osteoarthritis",E2870="Bronchitis",E2870="Iron Deficiency Anemia"), D2870+14,
OR(E2870="Lumbar Strain",E2870="Migraine Headache"), D2870+7,
OR(E2870="Viral Fever",E2870="General Checkup","Routine Health Check"), "",
TRUE,""
)</f>
        <v/>
      </c>
      <c r="I2870" s="1" t="str">
        <f t="shared" si="88"/>
        <v>No Follow-up Required</v>
      </c>
      <c r="J2870" t="str">
        <f>TEXT(Table8[[#This Row],[visit_Date]],"DDDD")</f>
        <v>Wednesday</v>
      </c>
      <c r="K2870" t="str">
        <f>TEXT(Table8[[#This Row],[visit_Date]],"mmmm")</f>
        <v>June</v>
      </c>
      <c r="L2870" t="str">
        <f t="shared" si="89"/>
        <v>Monsoon</v>
      </c>
    </row>
    <row r="2871" spans="1:12" x14ac:dyDescent="0.25">
      <c r="A2871">
        <v>2870</v>
      </c>
      <c r="B2871">
        <v>1066</v>
      </c>
      <c r="C2871">
        <v>957</v>
      </c>
      <c r="D2871" s="1">
        <v>45758</v>
      </c>
      <c r="E2871" t="s">
        <v>24</v>
      </c>
      <c r="F2871" t="s">
        <v>321</v>
      </c>
      <c r="G2871" t="str">
        <f>_xlfn.XLOOKUP(TRIM(E2872),MedicineInfo!A:A,MedicineInfo!B:B,"Not Found")</f>
        <v>Nitroglycerin</v>
      </c>
      <c r="H2871" s="1" t="str" cm="1">
        <f t="array" ref="H2871">_xlfn.IFS(
OR(E2871="Type 2 Diabetes",E2871="Essential Hypertension",E2871="Angina Pectoris",E2871="Bronchial Asthma",E2871="Cardiac Arrhythmia"), D2871+30,
OR(E2871="Gastritis",E2871="Osteoarthritis",E2871="Bronchitis",E2871="Iron Deficiency Anemia"), D2871+14,
OR(E2871="Lumbar Strain",E2871="Migraine Headache"), D2871+7,
OR(E2871="Viral Fever",E2871="General Checkup","Routine Health Check"), "",
TRUE,""
)</f>
        <v/>
      </c>
      <c r="I2871" s="1" t="str">
        <f t="shared" si="88"/>
        <v>No Follow-up Required</v>
      </c>
      <c r="J2871" t="str">
        <f>TEXT(Table8[[#This Row],[visit_Date]],"DDDD")</f>
        <v>Friday</v>
      </c>
      <c r="K2871" t="str">
        <f>TEXT(Table8[[#This Row],[visit_Date]],"mmmm")</f>
        <v>April</v>
      </c>
      <c r="L2871" t="str">
        <f t="shared" si="89"/>
        <v>Summer</v>
      </c>
    </row>
    <row r="2872" spans="1:12" x14ac:dyDescent="0.25">
      <c r="A2872">
        <v>2871</v>
      </c>
      <c r="B2872">
        <v>1074</v>
      </c>
      <c r="C2872">
        <v>284</v>
      </c>
      <c r="D2872" s="1">
        <v>45710</v>
      </c>
      <c r="E2872" t="s">
        <v>322</v>
      </c>
      <c r="F2872" t="s">
        <v>323</v>
      </c>
      <c r="G2872" t="str">
        <f>_xlfn.XLOOKUP(TRIM(E2873),MedicineInfo!A:A,MedicineInfo!B:B,"Not Found")</f>
        <v>Multivitamin</v>
      </c>
      <c r="H2872" s="1" cm="1">
        <f t="array" ref="H2872">_xlfn.IFS(
OR(E2872="Type 2 Diabetes",E2872="Essential Hypertension",E2872="Angina Pectoris",E2872="Bronchial Asthma",E2872="Cardiac Arrhythmia"), D2872+30,
OR(E2872="Gastritis",E2872="Osteoarthritis",E2872="Bronchitis",E2872="Iron Deficiency Anemia"), D2872+14,
OR(E2872="Lumbar Strain",E2872="Migraine Headache"), D2872+7,
OR(E2872="Viral Fever",E2872="General Checkup","Routine Health Check"), "",
TRUE,""
)</f>
        <v>45740</v>
      </c>
      <c r="I2872" s="1" t="str">
        <f t="shared" si="88"/>
        <v>Follow-up Scheduled</v>
      </c>
      <c r="J2872" t="str">
        <f>TEXT(Table8[[#This Row],[visit_Date]],"DDDD")</f>
        <v>Saturday</v>
      </c>
      <c r="K2872" t="str">
        <f>TEXT(Table8[[#This Row],[visit_Date]],"mmmm")</f>
        <v>February</v>
      </c>
      <c r="L2872" t="str">
        <f t="shared" si="89"/>
        <v>Winter</v>
      </c>
    </row>
    <row r="2873" spans="1:12" x14ac:dyDescent="0.25">
      <c r="A2873">
        <v>2872</v>
      </c>
      <c r="B2873">
        <v>1252</v>
      </c>
      <c r="C2873">
        <v>980</v>
      </c>
      <c r="D2873" s="1">
        <v>45817</v>
      </c>
      <c r="E2873" t="s">
        <v>24</v>
      </c>
      <c r="F2873" t="s">
        <v>321</v>
      </c>
      <c r="G2873" t="str">
        <f>_xlfn.XLOOKUP(TRIM(E2874),MedicineInfo!A:A,MedicineInfo!B:B,"Not Found")</f>
        <v>Multivitamin</v>
      </c>
      <c r="H2873" s="1" t="str" cm="1">
        <f t="array" ref="H2873">_xlfn.IFS(
OR(E2873="Type 2 Diabetes",E2873="Essential Hypertension",E2873="Angina Pectoris",E2873="Bronchial Asthma",E2873="Cardiac Arrhythmia"), D2873+30,
OR(E2873="Gastritis",E2873="Osteoarthritis",E2873="Bronchitis",E2873="Iron Deficiency Anemia"), D2873+14,
OR(E2873="Lumbar Strain",E2873="Migraine Headache"), D2873+7,
OR(E2873="Viral Fever",E2873="General Checkup","Routine Health Check"), "",
TRUE,""
)</f>
        <v/>
      </c>
      <c r="I2873" s="1" t="str">
        <f t="shared" si="88"/>
        <v>No Follow-up Required</v>
      </c>
      <c r="J2873" t="str">
        <f>TEXT(Table8[[#This Row],[visit_Date]],"DDDD")</f>
        <v>Monday</v>
      </c>
      <c r="K2873" t="str">
        <f>TEXT(Table8[[#This Row],[visit_Date]],"mmmm")</f>
        <v>June</v>
      </c>
      <c r="L2873" t="str">
        <f t="shared" si="89"/>
        <v>Monsoon</v>
      </c>
    </row>
    <row r="2874" spans="1:12" x14ac:dyDescent="0.25">
      <c r="A2874">
        <v>2873</v>
      </c>
      <c r="B2874">
        <v>1070</v>
      </c>
      <c r="C2874">
        <v>1206</v>
      </c>
      <c r="D2874" s="1">
        <v>45686</v>
      </c>
      <c r="E2874" t="s">
        <v>24</v>
      </c>
      <c r="F2874" t="s">
        <v>321</v>
      </c>
      <c r="G2874" t="str">
        <f>_xlfn.XLOOKUP(TRIM(E2875),MedicineInfo!A:A,MedicineInfo!B:B,"Not Found")</f>
        <v>Multivitamin</v>
      </c>
      <c r="H2874" s="1" t="str" cm="1">
        <f t="array" ref="H2874">_xlfn.IFS(
OR(E2874="Type 2 Diabetes",E2874="Essential Hypertension",E2874="Angina Pectoris",E2874="Bronchial Asthma",E2874="Cardiac Arrhythmia"), D2874+30,
OR(E2874="Gastritis",E2874="Osteoarthritis",E2874="Bronchitis",E2874="Iron Deficiency Anemia"), D2874+14,
OR(E2874="Lumbar Strain",E2874="Migraine Headache"), D2874+7,
OR(E2874="Viral Fever",E2874="General Checkup","Routine Health Check"), "",
TRUE,""
)</f>
        <v/>
      </c>
      <c r="I2874" s="1" t="str">
        <f t="shared" si="88"/>
        <v>No Follow-up Required</v>
      </c>
      <c r="J2874" t="str">
        <f>TEXT(Table8[[#This Row],[visit_Date]],"DDDD")</f>
        <v>Wednesday</v>
      </c>
      <c r="K2874" t="str">
        <f>TEXT(Table8[[#This Row],[visit_Date]],"mmmm")</f>
        <v>January</v>
      </c>
      <c r="L2874" t="str">
        <f t="shared" si="89"/>
        <v>Winter</v>
      </c>
    </row>
    <row r="2875" spans="1:12" x14ac:dyDescent="0.25">
      <c r="A2875">
        <v>2874</v>
      </c>
      <c r="B2875">
        <v>1064</v>
      </c>
      <c r="C2875">
        <v>1090</v>
      </c>
      <c r="D2875" s="1">
        <v>45670</v>
      </c>
      <c r="E2875" t="s">
        <v>24</v>
      </c>
      <c r="F2875" t="s">
        <v>321</v>
      </c>
      <c r="G2875" t="str">
        <f>_xlfn.XLOOKUP(TRIM(E2876),MedicineInfo!A:A,MedicineInfo!B:B,"Not Found")</f>
        <v>Multivitamin</v>
      </c>
      <c r="H2875" s="1" t="str" cm="1">
        <f t="array" ref="H2875">_xlfn.IFS(
OR(E2875="Type 2 Diabetes",E2875="Essential Hypertension",E2875="Angina Pectoris",E2875="Bronchial Asthma",E2875="Cardiac Arrhythmia"), D2875+30,
OR(E2875="Gastritis",E2875="Osteoarthritis",E2875="Bronchitis",E2875="Iron Deficiency Anemia"), D2875+14,
OR(E2875="Lumbar Strain",E2875="Migraine Headache"), D2875+7,
OR(E2875="Viral Fever",E2875="General Checkup","Routine Health Check"), "",
TRUE,""
)</f>
        <v/>
      </c>
      <c r="I2875" s="1" t="str">
        <f t="shared" si="88"/>
        <v>No Follow-up Required</v>
      </c>
      <c r="J2875" t="str">
        <f>TEXT(Table8[[#This Row],[visit_Date]],"DDDD")</f>
        <v>Monday</v>
      </c>
      <c r="K2875" t="str">
        <f>TEXT(Table8[[#This Row],[visit_Date]],"mmmm")</f>
        <v>January</v>
      </c>
      <c r="L2875" t="str">
        <f t="shared" si="89"/>
        <v>Winter</v>
      </c>
    </row>
    <row r="2876" spans="1:12" x14ac:dyDescent="0.25">
      <c r="A2876">
        <v>2875</v>
      </c>
      <c r="B2876">
        <v>1360</v>
      </c>
      <c r="C2876">
        <v>436</v>
      </c>
      <c r="D2876" s="1">
        <v>45715</v>
      </c>
      <c r="E2876" t="s">
        <v>24</v>
      </c>
      <c r="F2876" t="s">
        <v>321</v>
      </c>
      <c r="G2876" t="str">
        <f>_xlfn.XLOOKUP(TRIM(E2877),MedicineInfo!A:A,MedicineInfo!B:B,"Not Found")</f>
        <v>Multivitamin</v>
      </c>
      <c r="H2876" s="1" t="str" cm="1">
        <f t="array" ref="H2876">_xlfn.IFS(
OR(E2876="Type 2 Diabetes",E2876="Essential Hypertension",E2876="Angina Pectoris",E2876="Bronchial Asthma",E2876="Cardiac Arrhythmia"), D2876+30,
OR(E2876="Gastritis",E2876="Osteoarthritis",E2876="Bronchitis",E2876="Iron Deficiency Anemia"), D2876+14,
OR(E2876="Lumbar Strain",E2876="Migraine Headache"), D2876+7,
OR(E2876="Viral Fever",E2876="General Checkup","Routine Health Check"), "",
TRUE,""
)</f>
        <v/>
      </c>
      <c r="I2876" s="1" t="str">
        <f t="shared" si="88"/>
        <v>No Follow-up Required</v>
      </c>
      <c r="J2876" t="str">
        <f>TEXT(Table8[[#This Row],[visit_Date]],"DDDD")</f>
        <v>Thursday</v>
      </c>
      <c r="K2876" t="str">
        <f>TEXT(Table8[[#This Row],[visit_Date]],"mmmm")</f>
        <v>February</v>
      </c>
      <c r="L2876" t="str">
        <f t="shared" si="89"/>
        <v>Winter</v>
      </c>
    </row>
    <row r="2877" spans="1:12" x14ac:dyDescent="0.25">
      <c r="A2877">
        <v>2876</v>
      </c>
      <c r="B2877">
        <v>1108</v>
      </c>
      <c r="C2877">
        <v>543</v>
      </c>
      <c r="D2877" s="1">
        <v>45784</v>
      </c>
      <c r="E2877" t="s">
        <v>24</v>
      </c>
      <c r="F2877" t="s">
        <v>321</v>
      </c>
      <c r="G2877" t="str">
        <f>_xlfn.XLOOKUP(TRIM(E2878),MedicineInfo!A:A,MedicineInfo!B:B,"Not Found")</f>
        <v>Aceclofenac</v>
      </c>
      <c r="H2877" s="1" t="str" cm="1">
        <f t="array" ref="H2877">_xlfn.IFS(
OR(E2877="Type 2 Diabetes",E2877="Essential Hypertension",E2877="Angina Pectoris",E2877="Bronchial Asthma",E2877="Cardiac Arrhythmia"), D2877+30,
OR(E2877="Gastritis",E2877="Osteoarthritis",E2877="Bronchitis",E2877="Iron Deficiency Anemia"), D2877+14,
OR(E2877="Lumbar Strain",E2877="Migraine Headache"), D2877+7,
OR(E2877="Viral Fever",E2877="General Checkup","Routine Health Check"), "",
TRUE,""
)</f>
        <v/>
      </c>
      <c r="I2877" s="1" t="str">
        <f t="shared" si="88"/>
        <v>No Follow-up Required</v>
      </c>
      <c r="J2877" t="str">
        <f>TEXT(Table8[[#This Row],[visit_Date]],"DDDD")</f>
        <v>Wednesday</v>
      </c>
      <c r="K2877" t="str">
        <f>TEXT(Table8[[#This Row],[visit_Date]],"mmmm")</f>
        <v>May</v>
      </c>
      <c r="L2877" t="str">
        <f t="shared" si="89"/>
        <v>Summer</v>
      </c>
    </row>
    <row r="2878" spans="1:12" x14ac:dyDescent="0.25">
      <c r="A2878">
        <v>2877</v>
      </c>
      <c r="B2878">
        <v>1020</v>
      </c>
      <c r="C2878">
        <v>1488</v>
      </c>
      <c r="D2878" s="1">
        <v>45702</v>
      </c>
      <c r="E2878" t="s">
        <v>348</v>
      </c>
      <c r="F2878" t="s">
        <v>349</v>
      </c>
      <c r="G2878" t="str">
        <f>_xlfn.XLOOKUP(TRIM(E2879),MedicineInfo!A:A,MedicineInfo!B:B,"Not Found")</f>
        <v>Escitalopram</v>
      </c>
      <c r="H2878" s="1" cm="1">
        <f t="array" ref="H2878">_xlfn.IFS(
OR(E2878="Type 2 Diabetes",E2878="Essential Hypertension",E2878="Angina Pectoris",E2878="Bronchial Asthma",E2878="Cardiac Arrhythmia"), D2878+30,
OR(E2878="Gastritis",E2878="Osteoarthritis",E2878="Bronchitis",E2878="Iron Deficiency Anemia"), D2878+14,
OR(E2878="Lumbar Strain",E2878="Migraine Headache"), D2878+7,
OR(E2878="Viral Fever",E2878="General Checkup","Routine Health Check"), "",
TRUE,""
)</f>
        <v>45716</v>
      </c>
      <c r="I2878" s="1" t="str">
        <f t="shared" si="88"/>
        <v>Follow-up Scheduled</v>
      </c>
      <c r="J2878" t="str">
        <f>TEXT(Table8[[#This Row],[visit_Date]],"DDDD")</f>
        <v>Friday</v>
      </c>
      <c r="K2878" t="str">
        <f>TEXT(Table8[[#This Row],[visit_Date]],"mmmm")</f>
        <v>February</v>
      </c>
      <c r="L2878" t="str">
        <f t="shared" si="89"/>
        <v>Winter</v>
      </c>
    </row>
    <row r="2879" spans="1:12" x14ac:dyDescent="0.25">
      <c r="A2879">
        <v>2878</v>
      </c>
      <c r="B2879">
        <v>1378</v>
      </c>
      <c r="C2879">
        <v>370</v>
      </c>
      <c r="D2879" s="1">
        <v>45783</v>
      </c>
      <c r="E2879" t="s">
        <v>328</v>
      </c>
      <c r="F2879" t="s">
        <v>329</v>
      </c>
      <c r="G2879" t="str">
        <f>_xlfn.XLOOKUP(TRIM(E2880),MedicineInfo!A:A,MedicineInfo!B:B,"Not Found")</f>
        <v>Multivitamin</v>
      </c>
      <c r="H2879" s="1" t="str" cm="1">
        <f t="array" ref="H2879">_xlfn.IFS(
OR(E2879="Type 2 Diabetes",E2879="Essential Hypertension",E2879="Angina Pectoris",E2879="Bronchial Asthma",E2879="Cardiac Arrhythmia"), D2879+30,
OR(E2879="Gastritis",E2879="Osteoarthritis",E2879="Bronchitis",E2879="Iron Deficiency Anemia"), D2879+14,
OR(E2879="Lumbar Strain",E2879="Migraine Headache"), D2879+7,
OR(E2879="Viral Fever",E2879="General Checkup","Routine Health Check"), "",
TRUE,""
)</f>
        <v/>
      </c>
      <c r="I2879" s="1" t="str">
        <f t="shared" si="88"/>
        <v>No Follow-up Required</v>
      </c>
      <c r="J2879" t="str">
        <f>TEXT(Table8[[#This Row],[visit_Date]],"DDDD")</f>
        <v>Tuesday</v>
      </c>
      <c r="K2879" t="str">
        <f>TEXT(Table8[[#This Row],[visit_Date]],"mmmm")</f>
        <v>May</v>
      </c>
      <c r="L2879" t="str">
        <f t="shared" si="89"/>
        <v>Summer</v>
      </c>
    </row>
    <row r="2880" spans="1:12" x14ac:dyDescent="0.25">
      <c r="A2880">
        <v>2879</v>
      </c>
      <c r="B2880">
        <v>1244</v>
      </c>
      <c r="C2880">
        <v>1295</v>
      </c>
      <c r="D2880" s="1">
        <v>45811</v>
      </c>
      <c r="E2880" t="s">
        <v>24</v>
      </c>
      <c r="F2880" t="s">
        <v>321</v>
      </c>
      <c r="G2880" t="str">
        <f>_xlfn.XLOOKUP(TRIM(E2881),MedicineInfo!A:A,MedicineInfo!B:B,"Not Found")</f>
        <v>Multivitamin</v>
      </c>
      <c r="H2880" s="1" t="str" cm="1">
        <f t="array" ref="H2880">_xlfn.IFS(
OR(E2880="Type 2 Diabetes",E2880="Essential Hypertension",E2880="Angina Pectoris",E2880="Bronchial Asthma",E2880="Cardiac Arrhythmia"), D2880+30,
OR(E2880="Gastritis",E2880="Osteoarthritis",E2880="Bronchitis",E2880="Iron Deficiency Anemia"), D2880+14,
OR(E2880="Lumbar Strain",E2880="Migraine Headache"), D2880+7,
OR(E2880="Viral Fever",E2880="General Checkup","Routine Health Check"), "",
TRUE,""
)</f>
        <v/>
      </c>
      <c r="I2880" s="1" t="str">
        <f t="shared" si="88"/>
        <v>No Follow-up Required</v>
      </c>
      <c r="J2880" t="str">
        <f>TEXT(Table8[[#This Row],[visit_Date]],"DDDD")</f>
        <v>Tuesday</v>
      </c>
      <c r="K2880" t="str">
        <f>TEXT(Table8[[#This Row],[visit_Date]],"mmmm")</f>
        <v>June</v>
      </c>
      <c r="L2880" t="str">
        <f t="shared" si="89"/>
        <v>Monsoon</v>
      </c>
    </row>
    <row r="2881" spans="1:12" x14ac:dyDescent="0.25">
      <c r="A2881">
        <v>2880</v>
      </c>
      <c r="B2881">
        <v>1193</v>
      </c>
      <c r="C2881">
        <v>1181</v>
      </c>
      <c r="D2881" s="1">
        <v>45777</v>
      </c>
      <c r="E2881" t="s">
        <v>24</v>
      </c>
      <c r="F2881" t="s">
        <v>321</v>
      </c>
      <c r="G2881" t="str">
        <f>_xlfn.XLOOKUP(TRIM(E2882),MedicineInfo!A:A,MedicineInfo!B:B,"Not Found")</f>
        <v>Multivitamin</v>
      </c>
      <c r="H2881" s="1" t="str" cm="1">
        <f t="array" ref="H2881">_xlfn.IFS(
OR(E2881="Type 2 Diabetes",E2881="Essential Hypertension",E2881="Angina Pectoris",E2881="Bronchial Asthma",E2881="Cardiac Arrhythmia"), D2881+30,
OR(E2881="Gastritis",E2881="Osteoarthritis",E2881="Bronchitis",E2881="Iron Deficiency Anemia"), D2881+14,
OR(E2881="Lumbar Strain",E2881="Migraine Headache"), D2881+7,
OR(E2881="Viral Fever",E2881="General Checkup","Routine Health Check"), "",
TRUE,""
)</f>
        <v/>
      </c>
      <c r="I2881" s="1" t="str">
        <f t="shared" si="88"/>
        <v>No Follow-up Required</v>
      </c>
      <c r="J2881" t="str">
        <f>TEXT(Table8[[#This Row],[visit_Date]],"DDDD")</f>
        <v>Wednesday</v>
      </c>
      <c r="K2881" t="str">
        <f>TEXT(Table8[[#This Row],[visit_Date]],"mmmm")</f>
        <v>April</v>
      </c>
      <c r="L2881" t="str">
        <f t="shared" si="89"/>
        <v>Summer</v>
      </c>
    </row>
    <row r="2882" spans="1:12" x14ac:dyDescent="0.25">
      <c r="A2882">
        <v>2881</v>
      </c>
      <c r="B2882">
        <v>1275</v>
      </c>
      <c r="C2882">
        <v>1285</v>
      </c>
      <c r="D2882" s="1">
        <v>45669</v>
      </c>
      <c r="E2882" t="s">
        <v>24</v>
      </c>
      <c r="F2882" t="s">
        <v>321</v>
      </c>
      <c r="G2882" t="str">
        <f>_xlfn.XLOOKUP(TRIM(E2883),MedicineInfo!A:A,MedicineInfo!B:B,"Not Found")</f>
        <v>Donepezil</v>
      </c>
      <c r="H2882" s="1" t="str" cm="1">
        <f t="array" ref="H2882">_xlfn.IFS(
OR(E2882="Type 2 Diabetes",E2882="Essential Hypertension",E2882="Angina Pectoris",E2882="Bronchial Asthma",E2882="Cardiac Arrhythmia"), D2882+30,
OR(E2882="Gastritis",E2882="Osteoarthritis",E2882="Bronchitis",E2882="Iron Deficiency Anemia"), D2882+14,
OR(E2882="Lumbar Strain",E2882="Migraine Headache"), D2882+7,
OR(E2882="Viral Fever",E2882="General Checkup","Routine Health Check"), "",
TRUE,""
)</f>
        <v/>
      </c>
      <c r="I2882" s="1" t="str">
        <f t="shared" ref="I2882:I2945" si="90">IF(H2882="","No Follow-up Required","Follow-up Scheduled")</f>
        <v>No Follow-up Required</v>
      </c>
      <c r="J2882" t="str">
        <f>TEXT(Table8[[#This Row],[visit_Date]],"DDDD")</f>
        <v>Sunday</v>
      </c>
      <c r="K2882" t="str">
        <f>TEXT(Table8[[#This Row],[visit_Date]],"mmmm")</f>
        <v>January</v>
      </c>
      <c r="L2882" t="str">
        <f t="shared" ref="L2882:L2945" si="91">IF(OR(MONTH(D2882)=12,MONTH(D2882)&lt;=2),"Winter",
IF(MONTH(D2882)&lt;=5,"Summer","Monsoon"))</f>
        <v>Winter</v>
      </c>
    </row>
    <row r="2883" spans="1:12" x14ac:dyDescent="0.25">
      <c r="A2883">
        <v>2882</v>
      </c>
      <c r="B2883">
        <v>1153</v>
      </c>
      <c r="C2883">
        <v>1197</v>
      </c>
      <c r="D2883" s="1">
        <v>45783</v>
      </c>
      <c r="E2883" t="s">
        <v>350</v>
      </c>
      <c r="F2883" t="s">
        <v>351</v>
      </c>
      <c r="G2883" t="str">
        <f>_xlfn.XLOOKUP(TRIM(E2884),MedicineInfo!A:A,MedicineInfo!B:B,"Not Found")</f>
        <v>Multivitamin</v>
      </c>
      <c r="H2883" s="1" t="str" cm="1">
        <f t="array" ref="H2883">_xlfn.IFS(
OR(E2883="Type 2 Diabetes",E2883="Essential Hypertension",E2883="Angina Pectoris",E2883="Bronchial Asthma",E2883="Cardiac Arrhythmia"), D2883+30,
OR(E2883="Gastritis",E2883="Osteoarthritis",E2883="Bronchitis",E2883="Iron Deficiency Anemia"), D2883+14,
OR(E2883="Lumbar Strain",E2883="Migraine Headache"), D2883+7,
OR(E2883="Viral Fever",E2883="General Checkup","Routine Health Check"), "",
TRUE,""
)</f>
        <v/>
      </c>
      <c r="I2883" s="1" t="str">
        <f t="shared" si="90"/>
        <v>No Follow-up Required</v>
      </c>
      <c r="J2883" t="str">
        <f>TEXT(Table8[[#This Row],[visit_Date]],"DDDD")</f>
        <v>Tuesday</v>
      </c>
      <c r="K2883" t="str">
        <f>TEXT(Table8[[#This Row],[visit_Date]],"mmmm")</f>
        <v>May</v>
      </c>
      <c r="L2883" t="str">
        <f t="shared" si="91"/>
        <v>Summer</v>
      </c>
    </row>
    <row r="2884" spans="1:12" x14ac:dyDescent="0.25">
      <c r="A2884">
        <v>2883</v>
      </c>
      <c r="B2884">
        <v>1137</v>
      </c>
      <c r="C2884">
        <v>1038</v>
      </c>
      <c r="D2884" s="1">
        <v>45792</v>
      </c>
      <c r="E2884" t="s">
        <v>24</v>
      </c>
      <c r="F2884" t="s">
        <v>321</v>
      </c>
      <c r="G2884" t="str">
        <f>_xlfn.XLOOKUP(TRIM(E2885),MedicineInfo!A:A,MedicineInfo!B:B,"Not Found")</f>
        <v>Multivitamin</v>
      </c>
      <c r="H2884" s="1" t="str" cm="1">
        <f t="array" ref="H2884">_xlfn.IFS(
OR(E2884="Type 2 Diabetes",E2884="Essential Hypertension",E2884="Angina Pectoris",E2884="Bronchial Asthma",E2884="Cardiac Arrhythmia"), D2884+30,
OR(E2884="Gastritis",E2884="Osteoarthritis",E2884="Bronchitis",E2884="Iron Deficiency Anemia"), D2884+14,
OR(E2884="Lumbar Strain",E2884="Migraine Headache"), D2884+7,
OR(E2884="Viral Fever",E2884="General Checkup","Routine Health Check"), "",
TRUE,""
)</f>
        <v/>
      </c>
      <c r="I2884" s="1" t="str">
        <f t="shared" si="90"/>
        <v>No Follow-up Required</v>
      </c>
      <c r="J2884" t="str">
        <f>TEXT(Table8[[#This Row],[visit_Date]],"DDDD")</f>
        <v>Thursday</v>
      </c>
      <c r="K2884" t="str">
        <f>TEXT(Table8[[#This Row],[visit_Date]],"mmmm")</f>
        <v>May</v>
      </c>
      <c r="L2884" t="str">
        <f t="shared" si="91"/>
        <v>Summer</v>
      </c>
    </row>
    <row r="2885" spans="1:12" x14ac:dyDescent="0.25">
      <c r="A2885">
        <v>2884</v>
      </c>
      <c r="B2885">
        <v>1314</v>
      </c>
      <c r="C2885">
        <v>1287</v>
      </c>
      <c r="D2885" s="1">
        <v>45799</v>
      </c>
      <c r="E2885" t="s">
        <v>24</v>
      </c>
      <c r="F2885" t="s">
        <v>321</v>
      </c>
      <c r="G2885" t="str">
        <f>_xlfn.XLOOKUP(TRIM(E2886),MedicineInfo!A:A,MedicineInfo!B:B,"Not Found")</f>
        <v>Multivitamin</v>
      </c>
      <c r="H2885" s="1" t="str" cm="1">
        <f t="array" ref="H2885">_xlfn.IFS(
OR(E2885="Type 2 Diabetes",E2885="Essential Hypertension",E2885="Angina Pectoris",E2885="Bronchial Asthma",E2885="Cardiac Arrhythmia"), D2885+30,
OR(E2885="Gastritis",E2885="Osteoarthritis",E2885="Bronchitis",E2885="Iron Deficiency Anemia"), D2885+14,
OR(E2885="Lumbar Strain",E2885="Migraine Headache"), D2885+7,
OR(E2885="Viral Fever",E2885="General Checkup","Routine Health Check"), "",
TRUE,""
)</f>
        <v/>
      </c>
      <c r="I2885" s="1" t="str">
        <f t="shared" si="90"/>
        <v>No Follow-up Required</v>
      </c>
      <c r="J2885" t="str">
        <f>TEXT(Table8[[#This Row],[visit_Date]],"DDDD")</f>
        <v>Thursday</v>
      </c>
      <c r="K2885" t="str">
        <f>TEXT(Table8[[#This Row],[visit_Date]],"mmmm")</f>
        <v>May</v>
      </c>
      <c r="L2885" t="str">
        <f t="shared" si="91"/>
        <v>Summer</v>
      </c>
    </row>
    <row r="2886" spans="1:12" x14ac:dyDescent="0.25">
      <c r="A2886">
        <v>2885</v>
      </c>
      <c r="B2886">
        <v>1102</v>
      </c>
      <c r="C2886">
        <v>1285</v>
      </c>
      <c r="D2886" s="1">
        <v>45669</v>
      </c>
      <c r="E2886" t="s">
        <v>24</v>
      </c>
      <c r="F2886" t="s">
        <v>321</v>
      </c>
      <c r="G2886" t="str">
        <f>_xlfn.XLOOKUP(TRIM(E2887),MedicineInfo!A:A,MedicineInfo!B:B,"Not Found")</f>
        <v>Multivitamin</v>
      </c>
      <c r="H2886" s="1" t="str" cm="1">
        <f t="array" ref="H2886">_xlfn.IFS(
OR(E2886="Type 2 Diabetes",E2886="Essential Hypertension",E2886="Angina Pectoris",E2886="Bronchial Asthma",E2886="Cardiac Arrhythmia"), D2886+30,
OR(E2886="Gastritis",E2886="Osteoarthritis",E2886="Bronchitis",E2886="Iron Deficiency Anemia"), D2886+14,
OR(E2886="Lumbar Strain",E2886="Migraine Headache"), D2886+7,
OR(E2886="Viral Fever",E2886="General Checkup","Routine Health Check"), "",
TRUE,""
)</f>
        <v/>
      </c>
      <c r="I2886" s="1" t="str">
        <f t="shared" si="90"/>
        <v>No Follow-up Required</v>
      </c>
      <c r="J2886" t="str">
        <f>TEXT(Table8[[#This Row],[visit_Date]],"DDDD")</f>
        <v>Sunday</v>
      </c>
      <c r="K2886" t="str">
        <f>TEXT(Table8[[#This Row],[visit_Date]],"mmmm")</f>
        <v>January</v>
      </c>
      <c r="L2886" t="str">
        <f t="shared" si="91"/>
        <v>Winter</v>
      </c>
    </row>
    <row r="2887" spans="1:12" x14ac:dyDescent="0.25">
      <c r="A2887">
        <v>2886</v>
      </c>
      <c r="B2887">
        <v>1139</v>
      </c>
      <c r="C2887">
        <v>226</v>
      </c>
      <c r="D2887" s="1">
        <v>45694</v>
      </c>
      <c r="E2887" t="s">
        <v>24</v>
      </c>
      <c r="F2887" t="s">
        <v>321</v>
      </c>
      <c r="G2887" t="str">
        <f>_xlfn.XLOOKUP(TRIM(E2888),MedicineInfo!A:A,MedicineInfo!B:B,"Not Found")</f>
        <v>Multivitamin</v>
      </c>
      <c r="H2887" s="1" t="str" cm="1">
        <f t="array" ref="H2887">_xlfn.IFS(
OR(E2887="Type 2 Diabetes",E2887="Essential Hypertension",E2887="Angina Pectoris",E2887="Bronchial Asthma",E2887="Cardiac Arrhythmia"), D2887+30,
OR(E2887="Gastritis",E2887="Osteoarthritis",E2887="Bronchitis",E2887="Iron Deficiency Anemia"), D2887+14,
OR(E2887="Lumbar Strain",E2887="Migraine Headache"), D2887+7,
OR(E2887="Viral Fever",E2887="General Checkup","Routine Health Check"), "",
TRUE,""
)</f>
        <v/>
      </c>
      <c r="I2887" s="1" t="str">
        <f t="shared" si="90"/>
        <v>No Follow-up Required</v>
      </c>
      <c r="J2887" t="str">
        <f>TEXT(Table8[[#This Row],[visit_Date]],"DDDD")</f>
        <v>Thursday</v>
      </c>
      <c r="K2887" t="str">
        <f>TEXT(Table8[[#This Row],[visit_Date]],"mmmm")</f>
        <v>February</v>
      </c>
      <c r="L2887" t="str">
        <f t="shared" si="91"/>
        <v>Winter</v>
      </c>
    </row>
    <row r="2888" spans="1:12" x14ac:dyDescent="0.25">
      <c r="A2888">
        <v>2887</v>
      </c>
      <c r="B2888">
        <v>1165</v>
      </c>
      <c r="C2888">
        <v>999</v>
      </c>
      <c r="D2888" s="1">
        <v>45718</v>
      </c>
      <c r="E2888" t="s">
        <v>24</v>
      </c>
      <c r="F2888" t="s">
        <v>321</v>
      </c>
      <c r="G2888" t="str">
        <f>_xlfn.XLOOKUP(TRIM(E2889),MedicineInfo!A:A,MedicineInfo!B:B,"Not Found")</f>
        <v>Multivitamin</v>
      </c>
      <c r="H2888" s="1" t="str" cm="1">
        <f t="array" ref="H2888">_xlfn.IFS(
OR(E2888="Type 2 Diabetes",E2888="Essential Hypertension",E2888="Angina Pectoris",E2888="Bronchial Asthma",E2888="Cardiac Arrhythmia"), D2888+30,
OR(E2888="Gastritis",E2888="Osteoarthritis",E2888="Bronchitis",E2888="Iron Deficiency Anemia"), D2888+14,
OR(E2888="Lumbar Strain",E2888="Migraine Headache"), D2888+7,
OR(E2888="Viral Fever",E2888="General Checkup","Routine Health Check"), "",
TRUE,""
)</f>
        <v/>
      </c>
      <c r="I2888" s="1" t="str">
        <f t="shared" si="90"/>
        <v>No Follow-up Required</v>
      </c>
      <c r="J2888" t="str">
        <f>TEXT(Table8[[#This Row],[visit_Date]],"DDDD")</f>
        <v>Sunday</v>
      </c>
      <c r="K2888" t="str">
        <f>TEXT(Table8[[#This Row],[visit_Date]],"mmmm")</f>
        <v>March</v>
      </c>
      <c r="L2888" t="str">
        <f t="shared" si="91"/>
        <v>Summer</v>
      </c>
    </row>
    <row r="2889" spans="1:12" x14ac:dyDescent="0.25">
      <c r="A2889">
        <v>2888</v>
      </c>
      <c r="B2889">
        <v>1105</v>
      </c>
      <c r="C2889">
        <v>268</v>
      </c>
      <c r="D2889" s="1">
        <v>45691</v>
      </c>
      <c r="E2889" t="s">
        <v>24</v>
      </c>
      <c r="F2889" t="s">
        <v>321</v>
      </c>
      <c r="G2889" t="str">
        <f>_xlfn.XLOOKUP(TRIM(E2890),MedicineInfo!A:A,MedicineInfo!B:B,"Not Found")</f>
        <v>Hydrocortisone Cream</v>
      </c>
      <c r="H2889" s="1" t="str" cm="1">
        <f t="array" ref="H2889">_xlfn.IFS(
OR(E2889="Type 2 Diabetes",E2889="Essential Hypertension",E2889="Angina Pectoris",E2889="Bronchial Asthma",E2889="Cardiac Arrhythmia"), D2889+30,
OR(E2889="Gastritis",E2889="Osteoarthritis",E2889="Bronchitis",E2889="Iron Deficiency Anemia"), D2889+14,
OR(E2889="Lumbar Strain",E2889="Migraine Headache"), D2889+7,
OR(E2889="Viral Fever",E2889="General Checkup","Routine Health Check"), "",
TRUE,""
)</f>
        <v/>
      </c>
      <c r="I2889" s="1" t="str">
        <f t="shared" si="90"/>
        <v>No Follow-up Required</v>
      </c>
      <c r="J2889" t="str">
        <f>TEXT(Table8[[#This Row],[visit_Date]],"DDDD")</f>
        <v>Monday</v>
      </c>
      <c r="K2889" t="str">
        <f>TEXT(Table8[[#This Row],[visit_Date]],"mmmm")</f>
        <v>February</v>
      </c>
      <c r="L2889" t="str">
        <f t="shared" si="91"/>
        <v>Winter</v>
      </c>
    </row>
    <row r="2890" spans="1:12" x14ac:dyDescent="0.25">
      <c r="A2890">
        <v>2889</v>
      </c>
      <c r="B2890">
        <v>1012</v>
      </c>
      <c r="C2890">
        <v>1206</v>
      </c>
      <c r="D2890" s="1">
        <v>45707</v>
      </c>
      <c r="E2890" t="s">
        <v>338</v>
      </c>
      <c r="F2890" t="s">
        <v>339</v>
      </c>
      <c r="G2890" t="str">
        <f>_xlfn.XLOOKUP(TRIM(E2891),MedicineInfo!A:A,MedicineInfo!B:B,"Not Found")</f>
        <v>Multivitamin</v>
      </c>
      <c r="H2890" s="1" t="str" cm="1">
        <f t="array" ref="H2890">_xlfn.IFS(
OR(E2890="Type 2 Diabetes",E2890="Essential Hypertension",E2890="Angina Pectoris",E2890="Bronchial Asthma",E2890="Cardiac Arrhythmia"), D2890+30,
OR(E2890="Gastritis",E2890="Osteoarthritis",E2890="Bronchitis",E2890="Iron Deficiency Anemia"), D2890+14,
OR(E2890="Lumbar Strain",E2890="Migraine Headache"), D2890+7,
OR(E2890="Viral Fever",E2890="General Checkup","Routine Health Check"), "",
TRUE,""
)</f>
        <v/>
      </c>
      <c r="I2890" s="1" t="str">
        <f t="shared" si="90"/>
        <v>No Follow-up Required</v>
      </c>
      <c r="J2890" t="str">
        <f>TEXT(Table8[[#This Row],[visit_Date]],"DDDD")</f>
        <v>Wednesday</v>
      </c>
      <c r="K2890" t="str">
        <f>TEXT(Table8[[#This Row],[visit_Date]],"mmmm")</f>
        <v>February</v>
      </c>
      <c r="L2890" t="str">
        <f t="shared" si="91"/>
        <v>Winter</v>
      </c>
    </row>
    <row r="2891" spans="1:12" x14ac:dyDescent="0.25">
      <c r="A2891">
        <v>2890</v>
      </c>
      <c r="B2891">
        <v>1338</v>
      </c>
      <c r="C2891">
        <v>879</v>
      </c>
      <c r="D2891" s="1">
        <v>45819</v>
      </c>
      <c r="E2891" t="s">
        <v>24</v>
      </c>
      <c r="F2891" t="s">
        <v>321</v>
      </c>
      <c r="G2891" t="str">
        <f>_xlfn.XLOOKUP(TRIM(E2892),MedicineInfo!A:A,MedicineInfo!B:B,"Not Found")</f>
        <v>Multivitamin</v>
      </c>
      <c r="H2891" s="1" t="str" cm="1">
        <f t="array" ref="H2891">_xlfn.IFS(
OR(E2891="Type 2 Diabetes",E2891="Essential Hypertension",E2891="Angina Pectoris",E2891="Bronchial Asthma",E2891="Cardiac Arrhythmia"), D2891+30,
OR(E2891="Gastritis",E2891="Osteoarthritis",E2891="Bronchitis",E2891="Iron Deficiency Anemia"), D2891+14,
OR(E2891="Lumbar Strain",E2891="Migraine Headache"), D2891+7,
OR(E2891="Viral Fever",E2891="General Checkup","Routine Health Check"), "",
TRUE,""
)</f>
        <v/>
      </c>
      <c r="I2891" s="1" t="str">
        <f t="shared" si="90"/>
        <v>No Follow-up Required</v>
      </c>
      <c r="J2891" t="str">
        <f>TEXT(Table8[[#This Row],[visit_Date]],"DDDD")</f>
        <v>Wednesday</v>
      </c>
      <c r="K2891" t="str">
        <f>TEXT(Table8[[#This Row],[visit_Date]],"mmmm")</f>
        <v>June</v>
      </c>
      <c r="L2891" t="str">
        <f t="shared" si="91"/>
        <v>Monsoon</v>
      </c>
    </row>
    <row r="2892" spans="1:12" x14ac:dyDescent="0.25">
      <c r="A2892">
        <v>2891</v>
      </c>
      <c r="B2892">
        <v>1164</v>
      </c>
      <c r="C2892">
        <v>698</v>
      </c>
      <c r="D2892" s="1">
        <v>45687</v>
      </c>
      <c r="E2892" t="s">
        <v>24</v>
      </c>
      <c r="F2892" t="s">
        <v>321</v>
      </c>
      <c r="G2892" t="str">
        <f>_xlfn.XLOOKUP(TRIM(E2893),MedicineInfo!A:A,MedicineInfo!B:B,"Not Found")</f>
        <v>Ferrous Sulfate</v>
      </c>
      <c r="H2892" s="1" t="str" cm="1">
        <f t="array" ref="H2892">_xlfn.IFS(
OR(E2892="Type 2 Diabetes",E2892="Essential Hypertension",E2892="Angina Pectoris",E2892="Bronchial Asthma",E2892="Cardiac Arrhythmia"), D2892+30,
OR(E2892="Gastritis",E2892="Osteoarthritis",E2892="Bronchitis",E2892="Iron Deficiency Anemia"), D2892+14,
OR(E2892="Lumbar Strain",E2892="Migraine Headache"), D2892+7,
OR(E2892="Viral Fever",E2892="General Checkup","Routine Health Check"), "",
TRUE,""
)</f>
        <v/>
      </c>
      <c r="I2892" s="1" t="str">
        <f t="shared" si="90"/>
        <v>No Follow-up Required</v>
      </c>
      <c r="J2892" t="str">
        <f>TEXT(Table8[[#This Row],[visit_Date]],"DDDD")</f>
        <v>Thursday</v>
      </c>
      <c r="K2892" t="str">
        <f>TEXT(Table8[[#This Row],[visit_Date]],"mmmm")</f>
        <v>January</v>
      </c>
      <c r="L2892" t="str">
        <f t="shared" si="91"/>
        <v>Winter</v>
      </c>
    </row>
    <row r="2893" spans="1:12" x14ac:dyDescent="0.25">
      <c r="A2893">
        <v>2892</v>
      </c>
      <c r="B2893">
        <v>1019</v>
      </c>
      <c r="C2893">
        <v>644</v>
      </c>
      <c r="D2893" s="1">
        <v>45799</v>
      </c>
      <c r="E2893" t="s">
        <v>358</v>
      </c>
      <c r="F2893" t="s">
        <v>359</v>
      </c>
      <c r="G2893" t="str">
        <f>_xlfn.XLOOKUP(TRIM(E2894),MedicineInfo!A:A,MedicineInfo!B:B,"Not Found")</f>
        <v>Diclofenac</v>
      </c>
      <c r="H2893" s="1" cm="1">
        <f t="array" ref="H2893">_xlfn.IFS(
OR(E2893="Type 2 Diabetes",E2893="Essential Hypertension",E2893="Angina Pectoris",E2893="Bronchial Asthma",E2893="Cardiac Arrhythmia"), D2893+30,
OR(E2893="Gastritis",E2893="Osteoarthritis",E2893="Bronchitis",E2893="Iron Deficiency Anemia"), D2893+14,
OR(E2893="Lumbar Strain",E2893="Migraine Headache"), D2893+7,
OR(E2893="Viral Fever",E2893="General Checkup","Routine Health Check"), "",
TRUE,""
)</f>
        <v>45813</v>
      </c>
      <c r="I2893" s="1" t="str">
        <f t="shared" si="90"/>
        <v>Follow-up Scheduled</v>
      </c>
      <c r="J2893" t="str">
        <f>TEXT(Table8[[#This Row],[visit_Date]],"DDDD")</f>
        <v>Thursday</v>
      </c>
      <c r="K2893" t="str">
        <f>TEXT(Table8[[#This Row],[visit_Date]],"mmmm")</f>
        <v>May</v>
      </c>
      <c r="L2893" t="str">
        <f t="shared" si="91"/>
        <v>Summer</v>
      </c>
    </row>
    <row r="2894" spans="1:12" x14ac:dyDescent="0.25">
      <c r="A2894">
        <v>2893</v>
      </c>
      <c r="B2894">
        <v>1312</v>
      </c>
      <c r="C2894">
        <v>300</v>
      </c>
      <c r="D2894" s="1">
        <v>45725</v>
      </c>
      <c r="E2894" t="s">
        <v>313</v>
      </c>
      <c r="F2894" t="s">
        <v>314</v>
      </c>
      <c r="G2894" t="str">
        <f>_xlfn.XLOOKUP(TRIM(E2895),MedicineInfo!A:A,MedicineInfo!B:B,"Not Found")</f>
        <v>Multivitamin</v>
      </c>
      <c r="H2894" s="1" cm="1">
        <f t="array" ref="H2894">_xlfn.IFS(
OR(E2894="Type 2 Diabetes",E2894="Essential Hypertension",E2894="Angina Pectoris",E2894="Bronchial Asthma",E2894="Cardiac Arrhythmia"), D2894+30,
OR(E2894="Gastritis",E2894="Osteoarthritis",E2894="Bronchitis",E2894="Iron Deficiency Anemia"), D2894+14,
OR(E2894="Lumbar Strain",E2894="Migraine Headache"), D2894+7,
OR(E2894="Viral Fever",E2894="General Checkup","Routine Health Check"), "",
TRUE,""
)</f>
        <v>45732</v>
      </c>
      <c r="I2894" s="1" t="str">
        <f t="shared" si="90"/>
        <v>Follow-up Scheduled</v>
      </c>
      <c r="J2894" t="str">
        <f>TEXT(Table8[[#This Row],[visit_Date]],"DDDD")</f>
        <v>Sunday</v>
      </c>
      <c r="K2894" t="str">
        <f>TEXT(Table8[[#This Row],[visit_Date]],"mmmm")</f>
        <v>March</v>
      </c>
      <c r="L2894" t="str">
        <f t="shared" si="91"/>
        <v>Summer</v>
      </c>
    </row>
    <row r="2895" spans="1:12" x14ac:dyDescent="0.25">
      <c r="A2895">
        <v>2894</v>
      </c>
      <c r="B2895">
        <v>1066</v>
      </c>
      <c r="C2895">
        <v>808</v>
      </c>
      <c r="D2895" s="1">
        <v>45790</v>
      </c>
      <c r="E2895" t="s">
        <v>24</v>
      </c>
      <c r="F2895" t="s">
        <v>321</v>
      </c>
      <c r="G2895" t="str">
        <f>_xlfn.XLOOKUP(TRIM(E2896),MedicineInfo!A:A,MedicineInfo!B:B,"Not Found")</f>
        <v>Cefixime</v>
      </c>
      <c r="H2895" s="1" t="str" cm="1">
        <f t="array" ref="H2895">_xlfn.IFS(
OR(E2895="Type 2 Diabetes",E2895="Essential Hypertension",E2895="Angina Pectoris",E2895="Bronchial Asthma",E2895="Cardiac Arrhythmia"), D2895+30,
OR(E2895="Gastritis",E2895="Osteoarthritis",E2895="Bronchitis",E2895="Iron Deficiency Anemia"), D2895+14,
OR(E2895="Lumbar Strain",E2895="Migraine Headache"), D2895+7,
OR(E2895="Viral Fever",E2895="General Checkup","Routine Health Check"), "",
TRUE,""
)</f>
        <v/>
      </c>
      <c r="I2895" s="1" t="str">
        <f t="shared" si="90"/>
        <v>No Follow-up Required</v>
      </c>
      <c r="J2895" t="str">
        <f>TEXT(Table8[[#This Row],[visit_Date]],"DDDD")</f>
        <v>Tuesday</v>
      </c>
      <c r="K2895" t="str">
        <f>TEXT(Table8[[#This Row],[visit_Date]],"mmmm")</f>
        <v>May</v>
      </c>
      <c r="L2895" t="str">
        <f t="shared" si="91"/>
        <v>Summer</v>
      </c>
    </row>
    <row r="2896" spans="1:12" x14ac:dyDescent="0.25">
      <c r="A2896">
        <v>2895</v>
      </c>
      <c r="B2896">
        <v>1164</v>
      </c>
      <c r="C2896">
        <v>1428</v>
      </c>
      <c r="D2896" s="1">
        <v>45853</v>
      </c>
      <c r="E2896" t="s">
        <v>354</v>
      </c>
      <c r="F2896" t="s">
        <v>355</v>
      </c>
      <c r="G2896" t="str">
        <f>_xlfn.XLOOKUP(TRIM(E2897),MedicineInfo!A:A,MedicineInfo!B:B,"Not Found")</f>
        <v>Multivitamin</v>
      </c>
      <c r="H2896" s="1" t="str" cm="1">
        <f t="array" ref="H2896">_xlfn.IFS(
OR(E2896="Type 2 Diabetes",E2896="Essential Hypertension",E2896="Angina Pectoris",E2896="Bronchial Asthma",E2896="Cardiac Arrhythmia"), D2896+30,
OR(E2896="Gastritis",E2896="Osteoarthritis",E2896="Bronchitis",E2896="Iron Deficiency Anemia"), D2896+14,
OR(E2896="Lumbar Strain",E2896="Migraine Headache"), D2896+7,
OR(E2896="Viral Fever",E2896="General Checkup","Routine Health Check"), "",
TRUE,""
)</f>
        <v/>
      </c>
      <c r="I2896" s="1" t="str">
        <f t="shared" si="90"/>
        <v>No Follow-up Required</v>
      </c>
      <c r="J2896" t="str">
        <f>TEXT(Table8[[#This Row],[visit_Date]],"DDDD")</f>
        <v>Tuesday</v>
      </c>
      <c r="K2896" t="str">
        <f>TEXT(Table8[[#This Row],[visit_Date]],"mmmm")</f>
        <v>July</v>
      </c>
      <c r="L2896" t="str">
        <f t="shared" si="91"/>
        <v>Monsoon</v>
      </c>
    </row>
    <row r="2897" spans="1:12" x14ac:dyDescent="0.25">
      <c r="A2897">
        <v>2896</v>
      </c>
      <c r="B2897">
        <v>1008</v>
      </c>
      <c r="C2897">
        <v>131</v>
      </c>
      <c r="D2897" s="1">
        <v>45758</v>
      </c>
      <c r="E2897" t="s">
        <v>24</v>
      </c>
      <c r="F2897" t="s">
        <v>321</v>
      </c>
      <c r="G2897" t="str">
        <f>_xlfn.XLOOKUP(TRIM(E2898),MedicineInfo!A:A,MedicineInfo!B:B,"Not Found")</f>
        <v>Multivitamin</v>
      </c>
      <c r="H2897" s="1" t="str" cm="1">
        <f t="array" ref="H2897">_xlfn.IFS(
OR(E2897="Type 2 Diabetes",E2897="Essential Hypertension",E2897="Angina Pectoris",E2897="Bronchial Asthma",E2897="Cardiac Arrhythmia"), D2897+30,
OR(E2897="Gastritis",E2897="Osteoarthritis",E2897="Bronchitis",E2897="Iron Deficiency Anemia"), D2897+14,
OR(E2897="Lumbar Strain",E2897="Migraine Headache"), D2897+7,
OR(E2897="Viral Fever",E2897="General Checkup","Routine Health Check"), "",
TRUE,""
)</f>
        <v/>
      </c>
      <c r="I2897" s="1" t="str">
        <f t="shared" si="90"/>
        <v>No Follow-up Required</v>
      </c>
      <c r="J2897" t="str">
        <f>TEXT(Table8[[#This Row],[visit_Date]],"DDDD")</f>
        <v>Friday</v>
      </c>
      <c r="K2897" t="str">
        <f>TEXT(Table8[[#This Row],[visit_Date]],"mmmm")</f>
        <v>April</v>
      </c>
      <c r="L2897" t="str">
        <f t="shared" si="91"/>
        <v>Summer</v>
      </c>
    </row>
    <row r="2898" spans="1:12" x14ac:dyDescent="0.25">
      <c r="A2898">
        <v>2897</v>
      </c>
      <c r="B2898">
        <v>1144</v>
      </c>
      <c r="C2898">
        <v>1491</v>
      </c>
      <c r="D2898" s="1">
        <v>45852</v>
      </c>
      <c r="E2898" t="s">
        <v>24</v>
      </c>
      <c r="F2898" t="s">
        <v>321</v>
      </c>
      <c r="G2898" t="str">
        <f>_xlfn.XLOOKUP(TRIM(E2899),MedicineInfo!A:A,MedicineInfo!B:B,"Not Found")</f>
        <v>Multivitamin</v>
      </c>
      <c r="H2898" s="1" t="str" cm="1">
        <f t="array" ref="H2898">_xlfn.IFS(
OR(E2898="Type 2 Diabetes",E2898="Essential Hypertension",E2898="Angina Pectoris",E2898="Bronchial Asthma",E2898="Cardiac Arrhythmia"), D2898+30,
OR(E2898="Gastritis",E2898="Osteoarthritis",E2898="Bronchitis",E2898="Iron Deficiency Anemia"), D2898+14,
OR(E2898="Lumbar Strain",E2898="Migraine Headache"), D2898+7,
OR(E2898="Viral Fever",E2898="General Checkup","Routine Health Check"), "",
TRUE,""
)</f>
        <v/>
      </c>
      <c r="I2898" s="1" t="str">
        <f t="shared" si="90"/>
        <v>No Follow-up Required</v>
      </c>
      <c r="J2898" t="str">
        <f>TEXT(Table8[[#This Row],[visit_Date]],"DDDD")</f>
        <v>Monday</v>
      </c>
      <c r="K2898" t="str">
        <f>TEXT(Table8[[#This Row],[visit_Date]],"mmmm")</f>
        <v>July</v>
      </c>
      <c r="L2898" t="str">
        <f t="shared" si="91"/>
        <v>Monsoon</v>
      </c>
    </row>
    <row r="2899" spans="1:12" x14ac:dyDescent="0.25">
      <c r="A2899">
        <v>2898</v>
      </c>
      <c r="B2899">
        <v>1315</v>
      </c>
      <c r="C2899">
        <v>1452</v>
      </c>
      <c r="D2899" s="1">
        <v>45809</v>
      </c>
      <c r="E2899" t="s">
        <v>24</v>
      </c>
      <c r="F2899" t="s">
        <v>321</v>
      </c>
      <c r="G2899" t="str">
        <f>_xlfn.XLOOKUP(TRIM(E2900),MedicineInfo!A:A,MedicineInfo!B:B,"Not Found")</f>
        <v>Multivitamin</v>
      </c>
      <c r="H2899" s="1" t="str" cm="1">
        <f t="array" ref="H2899">_xlfn.IFS(
OR(E2899="Type 2 Diabetes",E2899="Essential Hypertension",E2899="Angina Pectoris",E2899="Bronchial Asthma",E2899="Cardiac Arrhythmia"), D2899+30,
OR(E2899="Gastritis",E2899="Osteoarthritis",E2899="Bronchitis",E2899="Iron Deficiency Anemia"), D2899+14,
OR(E2899="Lumbar Strain",E2899="Migraine Headache"), D2899+7,
OR(E2899="Viral Fever",E2899="General Checkup","Routine Health Check"), "",
TRUE,""
)</f>
        <v/>
      </c>
      <c r="I2899" s="1" t="str">
        <f t="shared" si="90"/>
        <v>No Follow-up Required</v>
      </c>
      <c r="J2899" t="str">
        <f>TEXT(Table8[[#This Row],[visit_Date]],"DDDD")</f>
        <v>Sunday</v>
      </c>
      <c r="K2899" t="str">
        <f>TEXT(Table8[[#This Row],[visit_Date]],"mmmm")</f>
        <v>June</v>
      </c>
      <c r="L2899" t="str">
        <f t="shared" si="91"/>
        <v>Monsoon</v>
      </c>
    </row>
    <row r="2900" spans="1:12" x14ac:dyDescent="0.25">
      <c r="A2900">
        <v>2899</v>
      </c>
      <c r="B2900">
        <v>1224</v>
      </c>
      <c r="C2900">
        <v>1524</v>
      </c>
      <c r="D2900" s="1">
        <v>45773</v>
      </c>
      <c r="E2900" t="s">
        <v>24</v>
      </c>
      <c r="F2900" t="s">
        <v>321</v>
      </c>
      <c r="G2900" t="str">
        <f>_xlfn.XLOOKUP(TRIM(E2901),MedicineInfo!A:A,MedicineInfo!B:B,"Not Found")</f>
        <v>Multivitamin</v>
      </c>
      <c r="H2900" s="1" t="str" cm="1">
        <f t="array" ref="H2900">_xlfn.IFS(
OR(E2900="Type 2 Diabetes",E2900="Essential Hypertension",E2900="Angina Pectoris",E2900="Bronchial Asthma",E2900="Cardiac Arrhythmia"), D2900+30,
OR(E2900="Gastritis",E2900="Osteoarthritis",E2900="Bronchitis",E2900="Iron Deficiency Anemia"), D2900+14,
OR(E2900="Lumbar Strain",E2900="Migraine Headache"), D2900+7,
OR(E2900="Viral Fever",E2900="General Checkup","Routine Health Check"), "",
TRUE,""
)</f>
        <v/>
      </c>
      <c r="I2900" s="1" t="str">
        <f t="shared" si="90"/>
        <v>No Follow-up Required</v>
      </c>
      <c r="J2900" t="str">
        <f>TEXT(Table8[[#This Row],[visit_Date]],"DDDD")</f>
        <v>Saturday</v>
      </c>
      <c r="K2900" t="str">
        <f>TEXT(Table8[[#This Row],[visit_Date]],"mmmm")</f>
        <v>April</v>
      </c>
      <c r="L2900" t="str">
        <f t="shared" si="91"/>
        <v>Summer</v>
      </c>
    </row>
    <row r="2901" spans="1:12" x14ac:dyDescent="0.25">
      <c r="A2901">
        <v>2900</v>
      </c>
      <c r="B2901">
        <v>1060</v>
      </c>
      <c r="C2901">
        <v>1395</v>
      </c>
      <c r="D2901" s="1">
        <v>45783</v>
      </c>
      <c r="E2901" t="s">
        <v>24</v>
      </c>
      <c r="F2901" t="s">
        <v>321</v>
      </c>
      <c r="G2901" t="str">
        <f>_xlfn.XLOOKUP(TRIM(E2902),MedicineInfo!A:A,MedicineInfo!B:B,"Not Found")</f>
        <v>Multivitamin</v>
      </c>
      <c r="H2901" s="1" t="str" cm="1">
        <f t="array" ref="H2901">_xlfn.IFS(
OR(E2901="Type 2 Diabetes",E2901="Essential Hypertension",E2901="Angina Pectoris",E2901="Bronchial Asthma",E2901="Cardiac Arrhythmia"), D2901+30,
OR(E2901="Gastritis",E2901="Osteoarthritis",E2901="Bronchitis",E2901="Iron Deficiency Anemia"), D2901+14,
OR(E2901="Lumbar Strain",E2901="Migraine Headache"), D2901+7,
OR(E2901="Viral Fever",E2901="General Checkup","Routine Health Check"), "",
TRUE,""
)</f>
        <v/>
      </c>
      <c r="I2901" s="1" t="str">
        <f t="shared" si="90"/>
        <v>No Follow-up Required</v>
      </c>
      <c r="J2901" t="str">
        <f>TEXT(Table8[[#This Row],[visit_Date]],"DDDD")</f>
        <v>Tuesday</v>
      </c>
      <c r="K2901" t="str">
        <f>TEXT(Table8[[#This Row],[visit_Date]],"mmmm")</f>
        <v>May</v>
      </c>
      <c r="L2901" t="str">
        <f t="shared" si="91"/>
        <v>Summer</v>
      </c>
    </row>
    <row r="2902" spans="1:12" x14ac:dyDescent="0.25">
      <c r="A2902">
        <v>2901</v>
      </c>
      <c r="B2902">
        <v>1188</v>
      </c>
      <c r="C2902">
        <v>454</v>
      </c>
      <c r="D2902" s="1">
        <v>45672</v>
      </c>
      <c r="E2902" t="s">
        <v>24</v>
      </c>
      <c r="F2902" t="s">
        <v>321</v>
      </c>
      <c r="G2902" t="str">
        <f>_xlfn.XLOOKUP(TRIM(E2903),MedicineInfo!A:A,MedicineInfo!B:B,"Not Found")</f>
        <v>Multivitamin</v>
      </c>
      <c r="H2902" s="1" t="str" cm="1">
        <f t="array" ref="H2902">_xlfn.IFS(
OR(E2902="Type 2 Diabetes",E2902="Essential Hypertension",E2902="Angina Pectoris",E2902="Bronchial Asthma",E2902="Cardiac Arrhythmia"), D2902+30,
OR(E2902="Gastritis",E2902="Osteoarthritis",E2902="Bronchitis",E2902="Iron Deficiency Anemia"), D2902+14,
OR(E2902="Lumbar Strain",E2902="Migraine Headache"), D2902+7,
OR(E2902="Viral Fever",E2902="General Checkup","Routine Health Check"), "",
TRUE,""
)</f>
        <v/>
      </c>
      <c r="I2902" s="1" t="str">
        <f t="shared" si="90"/>
        <v>No Follow-up Required</v>
      </c>
      <c r="J2902" t="str">
        <f>TEXT(Table8[[#This Row],[visit_Date]],"DDDD")</f>
        <v>Wednesday</v>
      </c>
      <c r="K2902" t="str">
        <f>TEXT(Table8[[#This Row],[visit_Date]],"mmmm")</f>
        <v>January</v>
      </c>
      <c r="L2902" t="str">
        <f t="shared" si="91"/>
        <v>Winter</v>
      </c>
    </row>
    <row r="2903" spans="1:12" x14ac:dyDescent="0.25">
      <c r="A2903">
        <v>2902</v>
      </c>
      <c r="B2903">
        <v>1326</v>
      </c>
      <c r="C2903">
        <v>992</v>
      </c>
      <c r="D2903" s="1">
        <v>45686</v>
      </c>
      <c r="E2903" t="s">
        <v>24</v>
      </c>
      <c r="F2903" t="s">
        <v>321</v>
      </c>
      <c r="G2903" t="str">
        <f>_xlfn.XLOOKUP(TRIM(E2904),MedicineInfo!A:A,MedicineInfo!B:B,"Not Found")</f>
        <v>Multivitamin</v>
      </c>
      <c r="H2903" s="1" t="str" cm="1">
        <f t="array" ref="H2903">_xlfn.IFS(
OR(E2903="Type 2 Diabetes",E2903="Essential Hypertension",E2903="Angina Pectoris",E2903="Bronchial Asthma",E2903="Cardiac Arrhythmia"), D2903+30,
OR(E2903="Gastritis",E2903="Osteoarthritis",E2903="Bronchitis",E2903="Iron Deficiency Anemia"), D2903+14,
OR(E2903="Lumbar Strain",E2903="Migraine Headache"), D2903+7,
OR(E2903="Viral Fever",E2903="General Checkup","Routine Health Check"), "",
TRUE,""
)</f>
        <v/>
      </c>
      <c r="I2903" s="1" t="str">
        <f t="shared" si="90"/>
        <v>No Follow-up Required</v>
      </c>
      <c r="J2903" t="str">
        <f>TEXT(Table8[[#This Row],[visit_Date]],"DDDD")</f>
        <v>Wednesday</v>
      </c>
      <c r="K2903" t="str">
        <f>TEXT(Table8[[#This Row],[visit_Date]],"mmmm")</f>
        <v>January</v>
      </c>
      <c r="L2903" t="str">
        <f t="shared" si="91"/>
        <v>Winter</v>
      </c>
    </row>
    <row r="2904" spans="1:12" x14ac:dyDescent="0.25">
      <c r="A2904">
        <v>2903</v>
      </c>
      <c r="B2904">
        <v>1318</v>
      </c>
      <c r="C2904">
        <v>392</v>
      </c>
      <c r="D2904" s="1">
        <v>45868</v>
      </c>
      <c r="E2904" t="s">
        <v>24</v>
      </c>
      <c r="F2904" t="s">
        <v>321</v>
      </c>
      <c r="G2904" t="str">
        <f>_xlfn.XLOOKUP(TRIM(E2905),MedicineInfo!A:A,MedicineInfo!B:B,"Not Found")</f>
        <v>Sumatriptan</v>
      </c>
      <c r="H2904" s="1" t="str" cm="1">
        <f t="array" ref="H2904">_xlfn.IFS(
OR(E2904="Type 2 Diabetes",E2904="Essential Hypertension",E2904="Angina Pectoris",E2904="Bronchial Asthma",E2904="Cardiac Arrhythmia"), D2904+30,
OR(E2904="Gastritis",E2904="Osteoarthritis",E2904="Bronchitis",E2904="Iron Deficiency Anemia"), D2904+14,
OR(E2904="Lumbar Strain",E2904="Migraine Headache"), D2904+7,
OR(E2904="Viral Fever",E2904="General Checkup","Routine Health Check"), "",
TRUE,""
)</f>
        <v/>
      </c>
      <c r="I2904" s="1" t="str">
        <f t="shared" si="90"/>
        <v>No Follow-up Required</v>
      </c>
      <c r="J2904" t="str">
        <f>TEXT(Table8[[#This Row],[visit_Date]],"DDDD")</f>
        <v>Wednesday</v>
      </c>
      <c r="K2904" t="str">
        <f>TEXT(Table8[[#This Row],[visit_Date]],"mmmm")</f>
        <v>July</v>
      </c>
      <c r="L2904" t="str">
        <f t="shared" si="91"/>
        <v>Monsoon</v>
      </c>
    </row>
    <row r="2905" spans="1:12" x14ac:dyDescent="0.25">
      <c r="A2905">
        <v>2904</v>
      </c>
      <c r="B2905">
        <v>1043</v>
      </c>
      <c r="C2905">
        <v>292</v>
      </c>
      <c r="D2905" s="1">
        <v>45784</v>
      </c>
      <c r="E2905" t="s">
        <v>315</v>
      </c>
      <c r="F2905" t="s">
        <v>316</v>
      </c>
      <c r="G2905" t="str">
        <f>_xlfn.XLOOKUP(TRIM(E2906),MedicineInfo!A:A,MedicineInfo!B:B,"Not Found")</f>
        <v>Multivitamin</v>
      </c>
      <c r="H2905" s="1" cm="1">
        <f t="array" ref="H2905">_xlfn.IFS(
OR(E2905="Type 2 Diabetes",E2905="Essential Hypertension",E2905="Angina Pectoris",E2905="Bronchial Asthma",E2905="Cardiac Arrhythmia"), D2905+30,
OR(E2905="Gastritis",E2905="Osteoarthritis",E2905="Bronchitis",E2905="Iron Deficiency Anemia"), D2905+14,
OR(E2905="Lumbar Strain",E2905="Migraine Headache"), D2905+7,
OR(E2905="Viral Fever",E2905="General Checkup","Routine Health Check"), "",
TRUE,""
)</f>
        <v>45791</v>
      </c>
      <c r="I2905" s="1" t="str">
        <f t="shared" si="90"/>
        <v>Follow-up Scheduled</v>
      </c>
      <c r="J2905" t="str">
        <f>TEXT(Table8[[#This Row],[visit_Date]],"DDDD")</f>
        <v>Wednesday</v>
      </c>
      <c r="K2905" t="str">
        <f>TEXT(Table8[[#This Row],[visit_Date]],"mmmm")</f>
        <v>May</v>
      </c>
      <c r="L2905" t="str">
        <f t="shared" si="91"/>
        <v>Summer</v>
      </c>
    </row>
    <row r="2906" spans="1:12" x14ac:dyDescent="0.25">
      <c r="A2906">
        <v>2905</v>
      </c>
      <c r="B2906">
        <v>1143</v>
      </c>
      <c r="C2906">
        <v>905</v>
      </c>
      <c r="D2906" s="1">
        <v>45699</v>
      </c>
      <c r="E2906" t="s">
        <v>24</v>
      </c>
      <c r="F2906" t="s">
        <v>321</v>
      </c>
      <c r="G2906" t="str">
        <f>_xlfn.XLOOKUP(TRIM(E2907),MedicineInfo!A:A,MedicineInfo!B:B,"Not Found")</f>
        <v>Multivitamin</v>
      </c>
      <c r="H2906" s="1" t="str" cm="1">
        <f t="array" ref="H2906">_xlfn.IFS(
OR(E2906="Type 2 Diabetes",E2906="Essential Hypertension",E2906="Angina Pectoris",E2906="Bronchial Asthma",E2906="Cardiac Arrhythmia"), D2906+30,
OR(E2906="Gastritis",E2906="Osteoarthritis",E2906="Bronchitis",E2906="Iron Deficiency Anemia"), D2906+14,
OR(E2906="Lumbar Strain",E2906="Migraine Headache"), D2906+7,
OR(E2906="Viral Fever",E2906="General Checkup","Routine Health Check"), "",
TRUE,""
)</f>
        <v/>
      </c>
      <c r="I2906" s="1" t="str">
        <f t="shared" si="90"/>
        <v>No Follow-up Required</v>
      </c>
      <c r="J2906" t="str">
        <f>TEXT(Table8[[#This Row],[visit_Date]],"DDDD")</f>
        <v>Tuesday</v>
      </c>
      <c r="K2906" t="str">
        <f>TEXT(Table8[[#This Row],[visit_Date]],"mmmm")</f>
        <v>February</v>
      </c>
      <c r="L2906" t="str">
        <f t="shared" si="91"/>
        <v>Winter</v>
      </c>
    </row>
    <row r="2907" spans="1:12" x14ac:dyDescent="0.25">
      <c r="A2907">
        <v>2906</v>
      </c>
      <c r="B2907">
        <v>1387</v>
      </c>
      <c r="C2907">
        <v>1328</v>
      </c>
      <c r="D2907" s="1">
        <v>45791</v>
      </c>
      <c r="E2907" t="s">
        <v>24</v>
      </c>
      <c r="F2907" t="s">
        <v>321</v>
      </c>
      <c r="G2907" t="str">
        <f>_xlfn.XLOOKUP(TRIM(E2908),MedicineInfo!A:A,MedicineInfo!B:B,"Not Found")</f>
        <v>Multivitamin</v>
      </c>
      <c r="H2907" s="1" t="str" cm="1">
        <f t="array" ref="H2907">_xlfn.IFS(
OR(E2907="Type 2 Diabetes",E2907="Essential Hypertension",E2907="Angina Pectoris",E2907="Bronchial Asthma",E2907="Cardiac Arrhythmia"), D2907+30,
OR(E2907="Gastritis",E2907="Osteoarthritis",E2907="Bronchitis",E2907="Iron Deficiency Anemia"), D2907+14,
OR(E2907="Lumbar Strain",E2907="Migraine Headache"), D2907+7,
OR(E2907="Viral Fever",E2907="General Checkup","Routine Health Check"), "",
TRUE,""
)</f>
        <v/>
      </c>
      <c r="I2907" s="1" t="str">
        <f t="shared" si="90"/>
        <v>No Follow-up Required</v>
      </c>
      <c r="J2907" t="str">
        <f>TEXT(Table8[[#This Row],[visit_Date]],"DDDD")</f>
        <v>Wednesday</v>
      </c>
      <c r="K2907" t="str">
        <f>TEXT(Table8[[#This Row],[visit_Date]],"mmmm")</f>
        <v>May</v>
      </c>
      <c r="L2907" t="str">
        <f t="shared" si="91"/>
        <v>Summer</v>
      </c>
    </row>
    <row r="2908" spans="1:12" x14ac:dyDescent="0.25">
      <c r="A2908">
        <v>2907</v>
      </c>
      <c r="B2908">
        <v>1297</v>
      </c>
      <c r="C2908">
        <v>1422</v>
      </c>
      <c r="D2908" s="1">
        <v>45707</v>
      </c>
      <c r="E2908" t="s">
        <v>24</v>
      </c>
      <c r="F2908" t="s">
        <v>321</v>
      </c>
      <c r="G2908" t="str">
        <f>_xlfn.XLOOKUP(TRIM(E2909),MedicineInfo!A:A,MedicineInfo!B:B,"Not Found")</f>
        <v>Multivitamin</v>
      </c>
      <c r="H2908" s="1" t="str" cm="1">
        <f t="array" ref="H2908">_xlfn.IFS(
OR(E2908="Type 2 Diabetes",E2908="Essential Hypertension",E2908="Angina Pectoris",E2908="Bronchial Asthma",E2908="Cardiac Arrhythmia"), D2908+30,
OR(E2908="Gastritis",E2908="Osteoarthritis",E2908="Bronchitis",E2908="Iron Deficiency Anemia"), D2908+14,
OR(E2908="Lumbar Strain",E2908="Migraine Headache"), D2908+7,
OR(E2908="Viral Fever",E2908="General Checkup","Routine Health Check"), "",
TRUE,""
)</f>
        <v/>
      </c>
      <c r="I2908" s="1" t="str">
        <f t="shared" si="90"/>
        <v>No Follow-up Required</v>
      </c>
      <c r="J2908" t="str">
        <f>TEXT(Table8[[#This Row],[visit_Date]],"DDDD")</f>
        <v>Wednesday</v>
      </c>
      <c r="K2908" t="str">
        <f>TEXT(Table8[[#This Row],[visit_Date]],"mmmm")</f>
        <v>February</v>
      </c>
      <c r="L2908" t="str">
        <f t="shared" si="91"/>
        <v>Winter</v>
      </c>
    </row>
    <row r="2909" spans="1:12" x14ac:dyDescent="0.25">
      <c r="A2909">
        <v>2908</v>
      </c>
      <c r="B2909">
        <v>1098</v>
      </c>
      <c r="C2909">
        <v>1366</v>
      </c>
      <c r="D2909" s="1">
        <v>45814</v>
      </c>
      <c r="E2909" t="s">
        <v>24</v>
      </c>
      <c r="F2909" t="s">
        <v>321</v>
      </c>
      <c r="G2909" t="str">
        <f>_xlfn.XLOOKUP(TRIM(E2910),MedicineInfo!A:A,MedicineInfo!B:B,"Not Found")</f>
        <v>Multivitamin</v>
      </c>
      <c r="H2909" s="1" t="str" cm="1">
        <f t="array" ref="H2909">_xlfn.IFS(
OR(E2909="Type 2 Diabetes",E2909="Essential Hypertension",E2909="Angina Pectoris",E2909="Bronchial Asthma",E2909="Cardiac Arrhythmia"), D2909+30,
OR(E2909="Gastritis",E2909="Osteoarthritis",E2909="Bronchitis",E2909="Iron Deficiency Anemia"), D2909+14,
OR(E2909="Lumbar Strain",E2909="Migraine Headache"), D2909+7,
OR(E2909="Viral Fever",E2909="General Checkup","Routine Health Check"), "",
TRUE,""
)</f>
        <v/>
      </c>
      <c r="I2909" s="1" t="str">
        <f t="shared" si="90"/>
        <v>No Follow-up Required</v>
      </c>
      <c r="J2909" t="str">
        <f>TEXT(Table8[[#This Row],[visit_Date]],"DDDD")</f>
        <v>Friday</v>
      </c>
      <c r="K2909" t="str">
        <f>TEXT(Table8[[#This Row],[visit_Date]],"mmmm")</f>
        <v>June</v>
      </c>
      <c r="L2909" t="str">
        <f t="shared" si="91"/>
        <v>Monsoon</v>
      </c>
    </row>
    <row r="2910" spans="1:12" x14ac:dyDescent="0.25">
      <c r="A2910">
        <v>2909</v>
      </c>
      <c r="B2910">
        <v>1389</v>
      </c>
      <c r="C2910">
        <v>845</v>
      </c>
      <c r="D2910" s="1">
        <v>45777</v>
      </c>
      <c r="E2910" t="s">
        <v>24</v>
      </c>
      <c r="F2910" t="s">
        <v>321</v>
      </c>
      <c r="G2910" t="str">
        <f>_xlfn.XLOOKUP(TRIM(E2911),MedicineInfo!A:A,MedicineInfo!B:B,"Not Found")</f>
        <v>Multivitamin</v>
      </c>
      <c r="H2910" s="1" t="str" cm="1">
        <f t="array" ref="H2910">_xlfn.IFS(
OR(E2910="Type 2 Diabetes",E2910="Essential Hypertension",E2910="Angina Pectoris",E2910="Bronchial Asthma",E2910="Cardiac Arrhythmia"), D2910+30,
OR(E2910="Gastritis",E2910="Osteoarthritis",E2910="Bronchitis",E2910="Iron Deficiency Anemia"), D2910+14,
OR(E2910="Lumbar Strain",E2910="Migraine Headache"), D2910+7,
OR(E2910="Viral Fever",E2910="General Checkup","Routine Health Check"), "",
TRUE,""
)</f>
        <v/>
      </c>
      <c r="I2910" s="1" t="str">
        <f t="shared" si="90"/>
        <v>No Follow-up Required</v>
      </c>
      <c r="J2910" t="str">
        <f>TEXT(Table8[[#This Row],[visit_Date]],"DDDD")</f>
        <v>Wednesday</v>
      </c>
      <c r="K2910" t="str">
        <f>TEXT(Table8[[#This Row],[visit_Date]],"mmmm")</f>
        <v>April</v>
      </c>
      <c r="L2910" t="str">
        <f t="shared" si="91"/>
        <v>Summer</v>
      </c>
    </row>
    <row r="2911" spans="1:12" x14ac:dyDescent="0.25">
      <c r="A2911">
        <v>2910</v>
      </c>
      <c r="B2911">
        <v>1254</v>
      </c>
      <c r="C2911">
        <v>282</v>
      </c>
      <c r="D2911" s="1">
        <v>45853</v>
      </c>
      <c r="E2911" t="s">
        <v>24</v>
      </c>
      <c r="F2911" t="s">
        <v>321</v>
      </c>
      <c r="G2911" t="str">
        <f>_xlfn.XLOOKUP(TRIM(E2912),MedicineInfo!A:A,MedicineInfo!B:B,"Not Found")</f>
        <v>Multivitamin</v>
      </c>
      <c r="H2911" s="1" t="str" cm="1">
        <f t="array" ref="H2911">_xlfn.IFS(
OR(E2911="Type 2 Diabetes",E2911="Essential Hypertension",E2911="Angina Pectoris",E2911="Bronchial Asthma",E2911="Cardiac Arrhythmia"), D2911+30,
OR(E2911="Gastritis",E2911="Osteoarthritis",E2911="Bronchitis",E2911="Iron Deficiency Anemia"), D2911+14,
OR(E2911="Lumbar Strain",E2911="Migraine Headache"), D2911+7,
OR(E2911="Viral Fever",E2911="General Checkup","Routine Health Check"), "",
TRUE,""
)</f>
        <v/>
      </c>
      <c r="I2911" s="1" t="str">
        <f t="shared" si="90"/>
        <v>No Follow-up Required</v>
      </c>
      <c r="J2911" t="str">
        <f>TEXT(Table8[[#This Row],[visit_Date]],"DDDD")</f>
        <v>Tuesday</v>
      </c>
      <c r="K2911" t="str">
        <f>TEXT(Table8[[#This Row],[visit_Date]],"mmmm")</f>
        <v>July</v>
      </c>
      <c r="L2911" t="str">
        <f t="shared" si="91"/>
        <v>Monsoon</v>
      </c>
    </row>
    <row r="2912" spans="1:12" x14ac:dyDescent="0.25">
      <c r="A2912">
        <v>2911</v>
      </c>
      <c r="B2912">
        <v>1190</v>
      </c>
      <c r="C2912">
        <v>1198</v>
      </c>
      <c r="D2912" s="1">
        <v>45696</v>
      </c>
      <c r="E2912" t="s">
        <v>24</v>
      </c>
      <c r="F2912" t="s">
        <v>321</v>
      </c>
      <c r="G2912" t="str">
        <f>_xlfn.XLOOKUP(TRIM(E2913),MedicineInfo!A:A,MedicineInfo!B:B,"Not Found")</f>
        <v>Multivitamin</v>
      </c>
      <c r="H2912" s="1" t="str" cm="1">
        <f t="array" ref="H2912">_xlfn.IFS(
OR(E2912="Type 2 Diabetes",E2912="Essential Hypertension",E2912="Angina Pectoris",E2912="Bronchial Asthma",E2912="Cardiac Arrhythmia"), D2912+30,
OR(E2912="Gastritis",E2912="Osteoarthritis",E2912="Bronchitis",E2912="Iron Deficiency Anemia"), D2912+14,
OR(E2912="Lumbar Strain",E2912="Migraine Headache"), D2912+7,
OR(E2912="Viral Fever",E2912="General Checkup","Routine Health Check"), "",
TRUE,""
)</f>
        <v/>
      </c>
      <c r="I2912" s="1" t="str">
        <f t="shared" si="90"/>
        <v>No Follow-up Required</v>
      </c>
      <c r="J2912" t="str">
        <f>TEXT(Table8[[#This Row],[visit_Date]],"DDDD")</f>
        <v>Saturday</v>
      </c>
      <c r="K2912" t="str">
        <f>TEXT(Table8[[#This Row],[visit_Date]],"mmmm")</f>
        <v>February</v>
      </c>
      <c r="L2912" t="str">
        <f t="shared" si="91"/>
        <v>Winter</v>
      </c>
    </row>
    <row r="2913" spans="1:12" x14ac:dyDescent="0.25">
      <c r="A2913">
        <v>2912</v>
      </c>
      <c r="B2913">
        <v>1032</v>
      </c>
      <c r="C2913">
        <v>1367</v>
      </c>
      <c r="D2913" s="1">
        <v>45783</v>
      </c>
      <c r="E2913" t="s">
        <v>24</v>
      </c>
      <c r="F2913" t="s">
        <v>321</v>
      </c>
      <c r="G2913" t="str">
        <f>_xlfn.XLOOKUP(TRIM(E2914),MedicineInfo!A:A,MedicineInfo!B:B,"Not Found")</f>
        <v>Multivitamin</v>
      </c>
      <c r="H2913" s="1" t="str" cm="1">
        <f t="array" ref="H2913">_xlfn.IFS(
OR(E2913="Type 2 Diabetes",E2913="Essential Hypertension",E2913="Angina Pectoris",E2913="Bronchial Asthma",E2913="Cardiac Arrhythmia"), D2913+30,
OR(E2913="Gastritis",E2913="Osteoarthritis",E2913="Bronchitis",E2913="Iron Deficiency Anemia"), D2913+14,
OR(E2913="Lumbar Strain",E2913="Migraine Headache"), D2913+7,
OR(E2913="Viral Fever",E2913="General Checkup","Routine Health Check"), "",
TRUE,""
)</f>
        <v/>
      </c>
      <c r="I2913" s="1" t="str">
        <f t="shared" si="90"/>
        <v>No Follow-up Required</v>
      </c>
      <c r="J2913" t="str">
        <f>TEXT(Table8[[#This Row],[visit_Date]],"DDDD")</f>
        <v>Tuesday</v>
      </c>
      <c r="K2913" t="str">
        <f>TEXT(Table8[[#This Row],[visit_Date]],"mmmm")</f>
        <v>May</v>
      </c>
      <c r="L2913" t="str">
        <f t="shared" si="91"/>
        <v>Summer</v>
      </c>
    </row>
    <row r="2914" spans="1:12" x14ac:dyDescent="0.25">
      <c r="A2914">
        <v>2913</v>
      </c>
      <c r="B2914">
        <v>1140</v>
      </c>
      <c r="C2914">
        <v>669</v>
      </c>
      <c r="D2914" s="1">
        <v>45758</v>
      </c>
      <c r="E2914" t="s">
        <v>24</v>
      </c>
      <c r="F2914" t="s">
        <v>321</v>
      </c>
      <c r="G2914" t="str">
        <f>_xlfn.XLOOKUP(TRIM(E2915),MedicineInfo!A:A,MedicineInfo!B:B,"Not Found")</f>
        <v>Multivitamin</v>
      </c>
      <c r="H2914" s="1" t="str" cm="1">
        <f t="array" ref="H2914">_xlfn.IFS(
OR(E2914="Type 2 Diabetes",E2914="Essential Hypertension",E2914="Angina Pectoris",E2914="Bronchial Asthma",E2914="Cardiac Arrhythmia"), D2914+30,
OR(E2914="Gastritis",E2914="Osteoarthritis",E2914="Bronchitis",E2914="Iron Deficiency Anemia"), D2914+14,
OR(E2914="Lumbar Strain",E2914="Migraine Headache"), D2914+7,
OR(E2914="Viral Fever",E2914="General Checkup","Routine Health Check"), "",
TRUE,""
)</f>
        <v/>
      </c>
      <c r="I2914" s="1" t="str">
        <f t="shared" si="90"/>
        <v>No Follow-up Required</v>
      </c>
      <c r="J2914" t="str">
        <f>TEXT(Table8[[#This Row],[visit_Date]],"DDDD")</f>
        <v>Friday</v>
      </c>
      <c r="K2914" t="str">
        <f>TEXT(Table8[[#This Row],[visit_Date]],"mmmm")</f>
        <v>April</v>
      </c>
      <c r="L2914" t="str">
        <f t="shared" si="91"/>
        <v>Summer</v>
      </c>
    </row>
    <row r="2915" spans="1:12" x14ac:dyDescent="0.25">
      <c r="A2915">
        <v>2914</v>
      </c>
      <c r="B2915">
        <v>1106</v>
      </c>
      <c r="C2915">
        <v>1336</v>
      </c>
      <c r="D2915" s="1">
        <v>45853</v>
      </c>
      <c r="E2915" t="s">
        <v>24</v>
      </c>
      <c r="F2915" t="s">
        <v>321</v>
      </c>
      <c r="G2915" t="str">
        <f>_xlfn.XLOOKUP(TRIM(E2916),MedicineInfo!A:A,MedicineInfo!B:B,"Not Found")</f>
        <v>Multivitamin</v>
      </c>
      <c r="H2915" s="1" t="str" cm="1">
        <f t="array" ref="H2915">_xlfn.IFS(
OR(E2915="Type 2 Diabetes",E2915="Essential Hypertension",E2915="Angina Pectoris",E2915="Bronchial Asthma",E2915="Cardiac Arrhythmia"), D2915+30,
OR(E2915="Gastritis",E2915="Osteoarthritis",E2915="Bronchitis",E2915="Iron Deficiency Anemia"), D2915+14,
OR(E2915="Lumbar Strain",E2915="Migraine Headache"), D2915+7,
OR(E2915="Viral Fever",E2915="General Checkup","Routine Health Check"), "",
TRUE,""
)</f>
        <v/>
      </c>
      <c r="I2915" s="1" t="str">
        <f t="shared" si="90"/>
        <v>No Follow-up Required</v>
      </c>
      <c r="J2915" t="str">
        <f>TEXT(Table8[[#This Row],[visit_Date]],"DDDD")</f>
        <v>Tuesday</v>
      </c>
      <c r="K2915" t="str">
        <f>TEXT(Table8[[#This Row],[visit_Date]],"mmmm")</f>
        <v>July</v>
      </c>
      <c r="L2915" t="str">
        <f t="shared" si="91"/>
        <v>Monsoon</v>
      </c>
    </row>
    <row r="2916" spans="1:12" x14ac:dyDescent="0.25">
      <c r="A2916">
        <v>2915</v>
      </c>
      <c r="B2916">
        <v>1202</v>
      </c>
      <c r="C2916">
        <v>1024</v>
      </c>
      <c r="D2916" s="1">
        <v>45676</v>
      </c>
      <c r="E2916" t="s">
        <v>24</v>
      </c>
      <c r="F2916" t="s">
        <v>321</v>
      </c>
      <c r="G2916" t="str">
        <f>_xlfn.XLOOKUP(TRIM(E2917),MedicineInfo!A:A,MedicineInfo!B:B,"Not Found")</f>
        <v>Multivitamin</v>
      </c>
      <c r="H2916" s="1" t="str" cm="1">
        <f t="array" ref="H2916">_xlfn.IFS(
OR(E2916="Type 2 Diabetes",E2916="Essential Hypertension",E2916="Angina Pectoris",E2916="Bronchial Asthma",E2916="Cardiac Arrhythmia"), D2916+30,
OR(E2916="Gastritis",E2916="Osteoarthritis",E2916="Bronchitis",E2916="Iron Deficiency Anemia"), D2916+14,
OR(E2916="Lumbar Strain",E2916="Migraine Headache"), D2916+7,
OR(E2916="Viral Fever",E2916="General Checkup","Routine Health Check"), "",
TRUE,""
)</f>
        <v/>
      </c>
      <c r="I2916" s="1" t="str">
        <f t="shared" si="90"/>
        <v>No Follow-up Required</v>
      </c>
      <c r="J2916" t="str">
        <f>TEXT(Table8[[#This Row],[visit_Date]],"DDDD")</f>
        <v>Sunday</v>
      </c>
      <c r="K2916" t="str">
        <f>TEXT(Table8[[#This Row],[visit_Date]],"mmmm")</f>
        <v>January</v>
      </c>
      <c r="L2916" t="str">
        <f t="shared" si="91"/>
        <v>Winter</v>
      </c>
    </row>
    <row r="2917" spans="1:12" x14ac:dyDescent="0.25">
      <c r="A2917">
        <v>2916</v>
      </c>
      <c r="B2917">
        <v>1099</v>
      </c>
      <c r="C2917">
        <v>1164</v>
      </c>
      <c r="D2917" s="1">
        <v>45767</v>
      </c>
      <c r="E2917" t="s">
        <v>24</v>
      </c>
      <c r="F2917" t="s">
        <v>321</v>
      </c>
      <c r="G2917" t="str">
        <f>_xlfn.XLOOKUP(TRIM(E2918),MedicineInfo!A:A,MedicineInfo!B:B,"Not Found")</f>
        <v>Ferrous Sulfate</v>
      </c>
      <c r="H2917" s="1" t="str" cm="1">
        <f t="array" ref="H2917">_xlfn.IFS(
OR(E2917="Type 2 Diabetes",E2917="Essential Hypertension",E2917="Angina Pectoris",E2917="Bronchial Asthma",E2917="Cardiac Arrhythmia"), D2917+30,
OR(E2917="Gastritis",E2917="Osteoarthritis",E2917="Bronchitis",E2917="Iron Deficiency Anemia"), D2917+14,
OR(E2917="Lumbar Strain",E2917="Migraine Headache"), D2917+7,
OR(E2917="Viral Fever",E2917="General Checkup","Routine Health Check"), "",
TRUE,""
)</f>
        <v/>
      </c>
      <c r="I2917" s="1" t="str">
        <f t="shared" si="90"/>
        <v>No Follow-up Required</v>
      </c>
      <c r="J2917" t="str">
        <f>TEXT(Table8[[#This Row],[visit_Date]],"DDDD")</f>
        <v>Sunday</v>
      </c>
      <c r="K2917" t="str">
        <f>TEXT(Table8[[#This Row],[visit_Date]],"mmmm")</f>
        <v>April</v>
      </c>
      <c r="L2917" t="str">
        <f t="shared" si="91"/>
        <v>Summer</v>
      </c>
    </row>
    <row r="2918" spans="1:12" x14ac:dyDescent="0.25">
      <c r="A2918">
        <v>2917</v>
      </c>
      <c r="B2918">
        <v>1316</v>
      </c>
      <c r="C2918">
        <v>1448</v>
      </c>
      <c r="D2918" s="1">
        <v>45817</v>
      </c>
      <c r="E2918" t="s">
        <v>358</v>
      </c>
      <c r="F2918" t="s">
        <v>359</v>
      </c>
      <c r="G2918" t="str">
        <f>_xlfn.XLOOKUP(TRIM(E2919),MedicineInfo!A:A,MedicineInfo!B:B,"Not Found")</f>
        <v>Neuro Vitamins</v>
      </c>
      <c r="H2918" s="1" cm="1">
        <f t="array" ref="H2918">_xlfn.IFS(
OR(E2918="Type 2 Diabetes",E2918="Essential Hypertension",E2918="Angina Pectoris",E2918="Bronchial Asthma",E2918="Cardiac Arrhythmia"), D2918+30,
OR(E2918="Gastritis",E2918="Osteoarthritis",E2918="Bronchitis",E2918="Iron Deficiency Anemia"), D2918+14,
OR(E2918="Lumbar Strain",E2918="Migraine Headache"), D2918+7,
OR(E2918="Viral Fever",E2918="General Checkup","Routine Health Check"), "",
TRUE,""
)</f>
        <v>45831</v>
      </c>
      <c r="I2918" s="1" t="str">
        <f t="shared" si="90"/>
        <v>Follow-up Scheduled</v>
      </c>
      <c r="J2918" t="str">
        <f>TEXT(Table8[[#This Row],[visit_Date]],"DDDD")</f>
        <v>Monday</v>
      </c>
      <c r="K2918" t="str">
        <f>TEXT(Table8[[#This Row],[visit_Date]],"mmmm")</f>
        <v>June</v>
      </c>
      <c r="L2918" t="str">
        <f t="shared" si="91"/>
        <v>Monsoon</v>
      </c>
    </row>
    <row r="2919" spans="1:12" x14ac:dyDescent="0.25">
      <c r="A2919">
        <v>2918</v>
      </c>
      <c r="B2919">
        <v>1315</v>
      </c>
      <c r="C2919">
        <v>777</v>
      </c>
      <c r="D2919" s="1">
        <v>45659</v>
      </c>
      <c r="E2919" t="s">
        <v>342</v>
      </c>
      <c r="F2919" t="s">
        <v>343</v>
      </c>
      <c r="G2919" t="str">
        <f>_xlfn.XLOOKUP(TRIM(E2920),MedicineInfo!A:A,MedicineInfo!B:B,"Not Found")</f>
        <v>Multivitamin</v>
      </c>
      <c r="H2919" s="1" t="str" cm="1">
        <f t="array" ref="H2919">_xlfn.IFS(
OR(E2919="Type 2 Diabetes",E2919="Essential Hypertension",E2919="Angina Pectoris",E2919="Bronchial Asthma",E2919="Cardiac Arrhythmia"), D2919+30,
OR(E2919="Gastritis",E2919="Osteoarthritis",E2919="Bronchitis",E2919="Iron Deficiency Anemia"), D2919+14,
OR(E2919="Lumbar Strain",E2919="Migraine Headache"), D2919+7,
OR(E2919="Viral Fever",E2919="General Checkup","Routine Health Check"), "",
TRUE,""
)</f>
        <v/>
      </c>
      <c r="I2919" s="1" t="str">
        <f t="shared" si="90"/>
        <v>No Follow-up Required</v>
      </c>
      <c r="J2919" t="str">
        <f>TEXT(Table8[[#This Row],[visit_Date]],"DDDD")</f>
        <v>Thursday</v>
      </c>
      <c r="K2919" t="str">
        <f>TEXT(Table8[[#This Row],[visit_Date]],"mmmm")</f>
        <v>January</v>
      </c>
      <c r="L2919" t="str">
        <f t="shared" si="91"/>
        <v>Winter</v>
      </c>
    </row>
    <row r="2920" spans="1:12" x14ac:dyDescent="0.25">
      <c r="A2920">
        <v>2919</v>
      </c>
      <c r="B2920">
        <v>1099</v>
      </c>
      <c r="C2920">
        <v>485</v>
      </c>
      <c r="D2920" s="1">
        <v>45777</v>
      </c>
      <c r="E2920" t="s">
        <v>24</v>
      </c>
      <c r="F2920" t="s">
        <v>321</v>
      </c>
      <c r="G2920" t="str">
        <f>_xlfn.XLOOKUP(TRIM(E2921),MedicineInfo!A:A,MedicineInfo!B:B,"Not Found")</f>
        <v>Multivitamin</v>
      </c>
      <c r="H2920" s="1" t="str" cm="1">
        <f t="array" ref="H2920">_xlfn.IFS(
OR(E2920="Type 2 Diabetes",E2920="Essential Hypertension",E2920="Angina Pectoris",E2920="Bronchial Asthma",E2920="Cardiac Arrhythmia"), D2920+30,
OR(E2920="Gastritis",E2920="Osteoarthritis",E2920="Bronchitis",E2920="Iron Deficiency Anemia"), D2920+14,
OR(E2920="Lumbar Strain",E2920="Migraine Headache"), D2920+7,
OR(E2920="Viral Fever",E2920="General Checkup","Routine Health Check"), "",
TRUE,""
)</f>
        <v/>
      </c>
      <c r="I2920" s="1" t="str">
        <f t="shared" si="90"/>
        <v>No Follow-up Required</v>
      </c>
      <c r="J2920" t="str">
        <f>TEXT(Table8[[#This Row],[visit_Date]],"DDDD")</f>
        <v>Wednesday</v>
      </c>
      <c r="K2920" t="str">
        <f>TEXT(Table8[[#This Row],[visit_Date]],"mmmm")</f>
        <v>April</v>
      </c>
      <c r="L2920" t="str">
        <f t="shared" si="91"/>
        <v>Summer</v>
      </c>
    </row>
    <row r="2921" spans="1:12" x14ac:dyDescent="0.25">
      <c r="A2921">
        <v>2920</v>
      </c>
      <c r="B2921">
        <v>1396</v>
      </c>
      <c r="C2921">
        <v>183</v>
      </c>
      <c r="D2921" s="1">
        <v>45791</v>
      </c>
      <c r="E2921" t="s">
        <v>24</v>
      </c>
      <c r="F2921" t="s">
        <v>321</v>
      </c>
      <c r="G2921" t="str">
        <f>_xlfn.XLOOKUP(TRIM(E2922),MedicineInfo!A:A,MedicineInfo!B:B,"Not Found")</f>
        <v>Multivitamin</v>
      </c>
      <c r="H2921" s="1" t="str" cm="1">
        <f t="array" ref="H2921">_xlfn.IFS(
OR(E2921="Type 2 Diabetes",E2921="Essential Hypertension",E2921="Angina Pectoris",E2921="Bronchial Asthma",E2921="Cardiac Arrhythmia"), D2921+30,
OR(E2921="Gastritis",E2921="Osteoarthritis",E2921="Bronchitis",E2921="Iron Deficiency Anemia"), D2921+14,
OR(E2921="Lumbar Strain",E2921="Migraine Headache"), D2921+7,
OR(E2921="Viral Fever",E2921="General Checkup","Routine Health Check"), "",
TRUE,""
)</f>
        <v/>
      </c>
      <c r="I2921" s="1" t="str">
        <f t="shared" si="90"/>
        <v>No Follow-up Required</v>
      </c>
      <c r="J2921" t="str">
        <f>TEXT(Table8[[#This Row],[visit_Date]],"DDDD")</f>
        <v>Wednesday</v>
      </c>
      <c r="K2921" t="str">
        <f>TEXT(Table8[[#This Row],[visit_Date]],"mmmm")</f>
        <v>May</v>
      </c>
      <c r="L2921" t="str">
        <f t="shared" si="91"/>
        <v>Summer</v>
      </c>
    </row>
    <row r="2922" spans="1:12" x14ac:dyDescent="0.25">
      <c r="A2922">
        <v>2921</v>
      </c>
      <c r="B2922">
        <v>1291</v>
      </c>
      <c r="C2922">
        <v>275</v>
      </c>
      <c r="D2922" s="1">
        <v>45777</v>
      </c>
      <c r="E2922" t="s">
        <v>24</v>
      </c>
      <c r="F2922" t="s">
        <v>321</v>
      </c>
      <c r="G2922" t="str">
        <f>_xlfn.XLOOKUP(TRIM(E2923),MedicineInfo!A:A,MedicineInfo!B:B,"Not Found")</f>
        <v>Multivitamin</v>
      </c>
      <c r="H2922" s="1" t="str" cm="1">
        <f t="array" ref="H2922">_xlfn.IFS(
OR(E2922="Type 2 Diabetes",E2922="Essential Hypertension",E2922="Angina Pectoris",E2922="Bronchial Asthma",E2922="Cardiac Arrhythmia"), D2922+30,
OR(E2922="Gastritis",E2922="Osteoarthritis",E2922="Bronchitis",E2922="Iron Deficiency Anemia"), D2922+14,
OR(E2922="Lumbar Strain",E2922="Migraine Headache"), D2922+7,
OR(E2922="Viral Fever",E2922="General Checkup","Routine Health Check"), "",
TRUE,""
)</f>
        <v/>
      </c>
      <c r="I2922" s="1" t="str">
        <f t="shared" si="90"/>
        <v>No Follow-up Required</v>
      </c>
      <c r="J2922" t="str">
        <f>TEXT(Table8[[#This Row],[visit_Date]],"DDDD")</f>
        <v>Wednesday</v>
      </c>
      <c r="K2922" t="str">
        <f>TEXT(Table8[[#This Row],[visit_Date]],"mmmm")</f>
        <v>April</v>
      </c>
      <c r="L2922" t="str">
        <f t="shared" si="91"/>
        <v>Summer</v>
      </c>
    </row>
    <row r="2923" spans="1:12" x14ac:dyDescent="0.25">
      <c r="A2923">
        <v>2922</v>
      </c>
      <c r="B2923">
        <v>1048</v>
      </c>
      <c r="C2923">
        <v>365</v>
      </c>
      <c r="D2923" s="1">
        <v>45777</v>
      </c>
      <c r="E2923" t="s">
        <v>24</v>
      </c>
      <c r="F2923" t="s">
        <v>321</v>
      </c>
      <c r="G2923" t="str">
        <f>_xlfn.XLOOKUP(TRIM(E2924),MedicineInfo!A:A,MedicineInfo!B:B,"Not Found")</f>
        <v>Multivitamin</v>
      </c>
      <c r="H2923" s="1" t="str" cm="1">
        <f t="array" ref="H2923">_xlfn.IFS(
OR(E2923="Type 2 Diabetes",E2923="Essential Hypertension",E2923="Angina Pectoris",E2923="Bronchial Asthma",E2923="Cardiac Arrhythmia"), D2923+30,
OR(E2923="Gastritis",E2923="Osteoarthritis",E2923="Bronchitis",E2923="Iron Deficiency Anemia"), D2923+14,
OR(E2923="Lumbar Strain",E2923="Migraine Headache"), D2923+7,
OR(E2923="Viral Fever",E2923="General Checkup","Routine Health Check"), "",
TRUE,""
)</f>
        <v/>
      </c>
      <c r="I2923" s="1" t="str">
        <f t="shared" si="90"/>
        <v>No Follow-up Required</v>
      </c>
      <c r="J2923" t="str">
        <f>TEXT(Table8[[#This Row],[visit_Date]],"DDDD")</f>
        <v>Wednesday</v>
      </c>
      <c r="K2923" t="str">
        <f>TEXT(Table8[[#This Row],[visit_Date]],"mmmm")</f>
        <v>April</v>
      </c>
      <c r="L2923" t="str">
        <f t="shared" si="91"/>
        <v>Summer</v>
      </c>
    </row>
    <row r="2924" spans="1:12" x14ac:dyDescent="0.25">
      <c r="A2924">
        <v>2923</v>
      </c>
      <c r="B2924">
        <v>1289</v>
      </c>
      <c r="C2924">
        <v>668</v>
      </c>
      <c r="D2924" s="1">
        <v>45792</v>
      </c>
      <c r="E2924" t="s">
        <v>24</v>
      </c>
      <c r="F2924" t="s">
        <v>321</v>
      </c>
      <c r="G2924" t="str">
        <f>_xlfn.XLOOKUP(TRIM(E2925),MedicineInfo!A:A,MedicineInfo!B:B,"Not Found")</f>
        <v>Multivitamin</v>
      </c>
      <c r="H2924" s="1" t="str" cm="1">
        <f t="array" ref="H2924">_xlfn.IFS(
OR(E2924="Type 2 Diabetes",E2924="Essential Hypertension",E2924="Angina Pectoris",E2924="Bronchial Asthma",E2924="Cardiac Arrhythmia"), D2924+30,
OR(E2924="Gastritis",E2924="Osteoarthritis",E2924="Bronchitis",E2924="Iron Deficiency Anemia"), D2924+14,
OR(E2924="Lumbar Strain",E2924="Migraine Headache"), D2924+7,
OR(E2924="Viral Fever",E2924="General Checkup","Routine Health Check"), "",
TRUE,""
)</f>
        <v/>
      </c>
      <c r="I2924" s="1" t="str">
        <f t="shared" si="90"/>
        <v>No Follow-up Required</v>
      </c>
      <c r="J2924" t="str">
        <f>TEXT(Table8[[#This Row],[visit_Date]],"DDDD")</f>
        <v>Thursday</v>
      </c>
      <c r="K2924" t="str">
        <f>TEXT(Table8[[#This Row],[visit_Date]],"mmmm")</f>
        <v>May</v>
      </c>
      <c r="L2924" t="str">
        <f t="shared" si="91"/>
        <v>Summer</v>
      </c>
    </row>
    <row r="2925" spans="1:12" x14ac:dyDescent="0.25">
      <c r="A2925">
        <v>2924</v>
      </c>
      <c r="B2925">
        <v>1321</v>
      </c>
      <c r="C2925">
        <v>1160</v>
      </c>
      <c r="D2925" s="1">
        <v>45691</v>
      </c>
      <c r="E2925" t="s">
        <v>24</v>
      </c>
      <c r="F2925" t="s">
        <v>321</v>
      </c>
      <c r="G2925" t="str">
        <f>_xlfn.XLOOKUP(TRIM(E2926),MedicineInfo!A:A,MedicineInfo!B:B,"Not Found")</f>
        <v>Multivitamin</v>
      </c>
      <c r="H2925" s="1" t="str" cm="1">
        <f t="array" ref="H2925">_xlfn.IFS(
OR(E2925="Type 2 Diabetes",E2925="Essential Hypertension",E2925="Angina Pectoris",E2925="Bronchial Asthma",E2925="Cardiac Arrhythmia"), D2925+30,
OR(E2925="Gastritis",E2925="Osteoarthritis",E2925="Bronchitis",E2925="Iron Deficiency Anemia"), D2925+14,
OR(E2925="Lumbar Strain",E2925="Migraine Headache"), D2925+7,
OR(E2925="Viral Fever",E2925="General Checkup","Routine Health Check"), "",
TRUE,""
)</f>
        <v/>
      </c>
      <c r="I2925" s="1" t="str">
        <f t="shared" si="90"/>
        <v>No Follow-up Required</v>
      </c>
      <c r="J2925" t="str">
        <f>TEXT(Table8[[#This Row],[visit_Date]],"DDDD")</f>
        <v>Monday</v>
      </c>
      <c r="K2925" t="str">
        <f>TEXT(Table8[[#This Row],[visit_Date]],"mmmm")</f>
        <v>February</v>
      </c>
      <c r="L2925" t="str">
        <f t="shared" si="91"/>
        <v>Winter</v>
      </c>
    </row>
    <row r="2926" spans="1:12" x14ac:dyDescent="0.25">
      <c r="A2926">
        <v>2925</v>
      </c>
      <c r="B2926">
        <v>1121</v>
      </c>
      <c r="C2926">
        <v>931</v>
      </c>
      <c r="D2926" s="1">
        <v>45686</v>
      </c>
      <c r="E2926" t="s">
        <v>24</v>
      </c>
      <c r="F2926" t="s">
        <v>321</v>
      </c>
      <c r="G2926" t="str">
        <f>_xlfn.XLOOKUP(TRIM(E2927),MedicineInfo!A:A,MedicineInfo!B:B,"Not Found")</f>
        <v>Salbutamol Inhaler</v>
      </c>
      <c r="H2926" s="1" t="str" cm="1">
        <f t="array" ref="H2926">_xlfn.IFS(
OR(E2926="Type 2 Diabetes",E2926="Essential Hypertension",E2926="Angina Pectoris",E2926="Bronchial Asthma",E2926="Cardiac Arrhythmia"), D2926+30,
OR(E2926="Gastritis",E2926="Osteoarthritis",E2926="Bronchitis",E2926="Iron Deficiency Anemia"), D2926+14,
OR(E2926="Lumbar Strain",E2926="Migraine Headache"), D2926+7,
OR(E2926="Viral Fever",E2926="General Checkup","Routine Health Check"), "",
TRUE,""
)</f>
        <v/>
      </c>
      <c r="I2926" s="1" t="str">
        <f t="shared" si="90"/>
        <v>No Follow-up Required</v>
      </c>
      <c r="J2926" t="str">
        <f>TEXT(Table8[[#This Row],[visit_Date]],"DDDD")</f>
        <v>Wednesday</v>
      </c>
      <c r="K2926" t="str">
        <f>TEXT(Table8[[#This Row],[visit_Date]],"mmmm")</f>
        <v>January</v>
      </c>
      <c r="L2926" t="str">
        <f t="shared" si="91"/>
        <v>Winter</v>
      </c>
    </row>
    <row r="2927" spans="1:12" x14ac:dyDescent="0.25">
      <c r="A2927">
        <v>2926</v>
      </c>
      <c r="B2927">
        <v>1100</v>
      </c>
      <c r="C2927">
        <v>309</v>
      </c>
      <c r="D2927" s="1">
        <v>45758</v>
      </c>
      <c r="E2927" t="s">
        <v>324</v>
      </c>
      <c r="F2927" t="s">
        <v>325</v>
      </c>
      <c r="G2927" t="str">
        <f>_xlfn.XLOOKUP(TRIM(E2928),MedicineInfo!A:A,MedicineInfo!B:B,"Not Found")</f>
        <v>Nitroglycerin</v>
      </c>
      <c r="H2927" s="1" cm="1">
        <f t="array" ref="H2927">_xlfn.IFS(
OR(E2927="Type 2 Diabetes",E2927="Essential Hypertension",E2927="Angina Pectoris",E2927="Bronchial Asthma",E2927="Cardiac Arrhythmia"), D2927+30,
OR(E2927="Gastritis",E2927="Osteoarthritis",E2927="Bronchitis",E2927="Iron Deficiency Anemia"), D2927+14,
OR(E2927="Lumbar Strain",E2927="Migraine Headache"), D2927+7,
OR(E2927="Viral Fever",E2927="General Checkup","Routine Health Check"), "",
TRUE,""
)</f>
        <v>45788</v>
      </c>
      <c r="I2927" s="1" t="str">
        <f t="shared" si="90"/>
        <v>Follow-up Scheduled</v>
      </c>
      <c r="J2927" t="str">
        <f>TEXT(Table8[[#This Row],[visit_Date]],"DDDD")</f>
        <v>Friday</v>
      </c>
      <c r="K2927" t="str">
        <f>TEXT(Table8[[#This Row],[visit_Date]],"mmmm")</f>
        <v>April</v>
      </c>
      <c r="L2927" t="str">
        <f t="shared" si="91"/>
        <v>Summer</v>
      </c>
    </row>
    <row r="2928" spans="1:12" x14ac:dyDescent="0.25">
      <c r="A2928">
        <v>2927</v>
      </c>
      <c r="B2928">
        <v>1338</v>
      </c>
      <c r="C2928">
        <v>487</v>
      </c>
      <c r="D2928" s="1">
        <v>45790</v>
      </c>
      <c r="E2928" t="s">
        <v>322</v>
      </c>
      <c r="F2928" t="s">
        <v>323</v>
      </c>
      <c r="G2928" t="str">
        <f>_xlfn.XLOOKUP(TRIM(E2929),MedicineInfo!A:A,MedicineInfo!B:B,"Not Found")</f>
        <v>Multivitamin</v>
      </c>
      <c r="H2928" s="1" cm="1">
        <f t="array" ref="H2928">_xlfn.IFS(
OR(E2928="Type 2 Diabetes",E2928="Essential Hypertension",E2928="Angina Pectoris",E2928="Bronchial Asthma",E2928="Cardiac Arrhythmia"), D2928+30,
OR(E2928="Gastritis",E2928="Osteoarthritis",E2928="Bronchitis",E2928="Iron Deficiency Anemia"), D2928+14,
OR(E2928="Lumbar Strain",E2928="Migraine Headache"), D2928+7,
OR(E2928="Viral Fever",E2928="General Checkup","Routine Health Check"), "",
TRUE,""
)</f>
        <v>45820</v>
      </c>
      <c r="I2928" s="1" t="str">
        <f t="shared" si="90"/>
        <v>Follow-up Scheduled</v>
      </c>
      <c r="J2928" t="str">
        <f>TEXT(Table8[[#This Row],[visit_Date]],"DDDD")</f>
        <v>Tuesday</v>
      </c>
      <c r="K2928" t="str">
        <f>TEXT(Table8[[#This Row],[visit_Date]],"mmmm")</f>
        <v>May</v>
      </c>
      <c r="L2928" t="str">
        <f t="shared" si="91"/>
        <v>Summer</v>
      </c>
    </row>
    <row r="2929" spans="1:12" x14ac:dyDescent="0.25">
      <c r="A2929">
        <v>2928</v>
      </c>
      <c r="B2929">
        <v>1370</v>
      </c>
      <c r="C2929">
        <v>728</v>
      </c>
      <c r="D2929" s="1">
        <v>45690</v>
      </c>
      <c r="E2929" t="s">
        <v>24</v>
      </c>
      <c r="F2929" t="s">
        <v>321</v>
      </c>
      <c r="G2929" t="str">
        <f>_xlfn.XLOOKUP(TRIM(E2930),MedicineInfo!A:A,MedicineInfo!B:B,"Not Found")</f>
        <v>Sumatriptan</v>
      </c>
      <c r="H2929" s="1" t="str" cm="1">
        <f t="array" ref="H2929">_xlfn.IFS(
OR(E2929="Type 2 Diabetes",E2929="Essential Hypertension",E2929="Angina Pectoris",E2929="Bronchial Asthma",E2929="Cardiac Arrhythmia"), D2929+30,
OR(E2929="Gastritis",E2929="Osteoarthritis",E2929="Bronchitis",E2929="Iron Deficiency Anemia"), D2929+14,
OR(E2929="Lumbar Strain",E2929="Migraine Headache"), D2929+7,
OR(E2929="Viral Fever",E2929="General Checkup","Routine Health Check"), "",
TRUE,""
)</f>
        <v/>
      </c>
      <c r="I2929" s="1" t="str">
        <f t="shared" si="90"/>
        <v>No Follow-up Required</v>
      </c>
      <c r="J2929" t="str">
        <f>TEXT(Table8[[#This Row],[visit_Date]],"DDDD")</f>
        <v>Sunday</v>
      </c>
      <c r="K2929" t="str">
        <f>TEXT(Table8[[#This Row],[visit_Date]],"mmmm")</f>
        <v>February</v>
      </c>
      <c r="L2929" t="str">
        <f t="shared" si="91"/>
        <v>Winter</v>
      </c>
    </row>
    <row r="2930" spans="1:12" x14ac:dyDescent="0.25">
      <c r="A2930">
        <v>2929</v>
      </c>
      <c r="B2930">
        <v>1054</v>
      </c>
      <c r="C2930">
        <v>1015</v>
      </c>
      <c r="D2930" s="1">
        <v>45747</v>
      </c>
      <c r="E2930" t="s">
        <v>315</v>
      </c>
      <c r="F2930" t="s">
        <v>316</v>
      </c>
      <c r="G2930" t="str">
        <f>_xlfn.XLOOKUP(TRIM(E2931),MedicineInfo!A:A,MedicineInfo!B:B,"Not Found")</f>
        <v>Multivitamin</v>
      </c>
      <c r="H2930" s="1" cm="1">
        <f t="array" ref="H2930">_xlfn.IFS(
OR(E2930="Type 2 Diabetes",E2930="Essential Hypertension",E2930="Angina Pectoris",E2930="Bronchial Asthma",E2930="Cardiac Arrhythmia"), D2930+30,
OR(E2930="Gastritis",E2930="Osteoarthritis",E2930="Bronchitis",E2930="Iron Deficiency Anemia"), D2930+14,
OR(E2930="Lumbar Strain",E2930="Migraine Headache"), D2930+7,
OR(E2930="Viral Fever",E2930="General Checkup","Routine Health Check"), "",
TRUE,""
)</f>
        <v>45754</v>
      </c>
      <c r="I2930" s="1" t="str">
        <f t="shared" si="90"/>
        <v>Follow-up Scheduled</v>
      </c>
      <c r="J2930" t="str">
        <f>TEXT(Table8[[#This Row],[visit_Date]],"DDDD")</f>
        <v>Monday</v>
      </c>
      <c r="K2930" t="str">
        <f>TEXT(Table8[[#This Row],[visit_Date]],"mmmm")</f>
        <v>March</v>
      </c>
      <c r="L2930" t="str">
        <f t="shared" si="91"/>
        <v>Summer</v>
      </c>
    </row>
    <row r="2931" spans="1:12" x14ac:dyDescent="0.25">
      <c r="A2931">
        <v>2930</v>
      </c>
      <c r="B2931">
        <v>1144</v>
      </c>
      <c r="C2931">
        <v>1167</v>
      </c>
      <c r="D2931" s="1">
        <v>45758</v>
      </c>
      <c r="E2931" t="s">
        <v>24</v>
      </c>
      <c r="F2931" t="s">
        <v>321</v>
      </c>
      <c r="G2931" t="str">
        <f>_xlfn.XLOOKUP(TRIM(E2932),MedicineInfo!A:A,MedicineInfo!B:B,"Not Found")</f>
        <v>Salbutamol Inhaler</v>
      </c>
      <c r="H2931" s="1" t="str" cm="1">
        <f t="array" ref="H2931">_xlfn.IFS(
OR(E2931="Type 2 Diabetes",E2931="Essential Hypertension",E2931="Angina Pectoris",E2931="Bronchial Asthma",E2931="Cardiac Arrhythmia"), D2931+30,
OR(E2931="Gastritis",E2931="Osteoarthritis",E2931="Bronchitis",E2931="Iron Deficiency Anemia"), D2931+14,
OR(E2931="Lumbar Strain",E2931="Migraine Headache"), D2931+7,
OR(E2931="Viral Fever",E2931="General Checkup","Routine Health Check"), "",
TRUE,""
)</f>
        <v/>
      </c>
      <c r="I2931" s="1" t="str">
        <f t="shared" si="90"/>
        <v>No Follow-up Required</v>
      </c>
      <c r="J2931" t="str">
        <f>TEXT(Table8[[#This Row],[visit_Date]],"DDDD")</f>
        <v>Friday</v>
      </c>
      <c r="K2931" t="str">
        <f>TEXT(Table8[[#This Row],[visit_Date]],"mmmm")</f>
        <v>April</v>
      </c>
      <c r="L2931" t="str">
        <f t="shared" si="91"/>
        <v>Summer</v>
      </c>
    </row>
    <row r="2932" spans="1:12" x14ac:dyDescent="0.25">
      <c r="A2932">
        <v>2931</v>
      </c>
      <c r="B2932">
        <v>1363</v>
      </c>
      <c r="C2932">
        <v>1070</v>
      </c>
      <c r="D2932" s="1">
        <v>45681</v>
      </c>
      <c r="E2932" t="s">
        <v>324</v>
      </c>
      <c r="F2932" t="s">
        <v>325</v>
      </c>
      <c r="G2932" t="str">
        <f>_xlfn.XLOOKUP(TRIM(E2933),MedicineInfo!A:A,MedicineInfo!B:B,"Not Found")</f>
        <v>Sertraline</v>
      </c>
      <c r="H2932" s="1" cm="1">
        <f t="array" ref="H2932">_xlfn.IFS(
OR(E2932="Type 2 Diabetes",E2932="Essential Hypertension",E2932="Angina Pectoris",E2932="Bronchial Asthma",E2932="Cardiac Arrhythmia"), D2932+30,
OR(E2932="Gastritis",E2932="Osteoarthritis",E2932="Bronchitis",E2932="Iron Deficiency Anemia"), D2932+14,
OR(E2932="Lumbar Strain",E2932="Migraine Headache"), D2932+7,
OR(E2932="Viral Fever",E2932="General Checkup","Routine Health Check"), "",
TRUE,""
)</f>
        <v>45711</v>
      </c>
      <c r="I2932" s="1" t="str">
        <f t="shared" si="90"/>
        <v>Follow-up Scheduled</v>
      </c>
      <c r="J2932" t="str">
        <f>TEXT(Table8[[#This Row],[visit_Date]],"DDDD")</f>
        <v>Friday</v>
      </c>
      <c r="K2932" t="str">
        <f>TEXT(Table8[[#This Row],[visit_Date]],"mmmm")</f>
        <v>January</v>
      </c>
      <c r="L2932" t="str">
        <f t="shared" si="91"/>
        <v>Winter</v>
      </c>
    </row>
    <row r="2933" spans="1:12" x14ac:dyDescent="0.25">
      <c r="A2933">
        <v>2932</v>
      </c>
      <c r="B2933">
        <v>1113</v>
      </c>
      <c r="C2933">
        <v>1020</v>
      </c>
      <c r="D2933" s="1">
        <v>45853</v>
      </c>
      <c r="E2933" t="s">
        <v>334</v>
      </c>
      <c r="F2933" t="s">
        <v>335</v>
      </c>
      <c r="G2933" t="str">
        <f>_xlfn.XLOOKUP(TRIM(E2934),MedicineInfo!A:A,MedicineInfo!B:B,"Not Found")</f>
        <v>Multivitamin</v>
      </c>
      <c r="H2933" s="1" t="str" cm="1">
        <f t="array" ref="H2933">_xlfn.IFS(
OR(E2933="Type 2 Diabetes",E2933="Essential Hypertension",E2933="Angina Pectoris",E2933="Bronchial Asthma",E2933="Cardiac Arrhythmia"), D2933+30,
OR(E2933="Gastritis",E2933="Osteoarthritis",E2933="Bronchitis",E2933="Iron Deficiency Anemia"), D2933+14,
OR(E2933="Lumbar Strain",E2933="Migraine Headache"), D2933+7,
OR(E2933="Viral Fever",E2933="General Checkup","Routine Health Check"), "",
TRUE,""
)</f>
        <v/>
      </c>
      <c r="I2933" s="1" t="str">
        <f t="shared" si="90"/>
        <v>No Follow-up Required</v>
      </c>
      <c r="J2933" t="str">
        <f>TEXT(Table8[[#This Row],[visit_Date]],"DDDD")</f>
        <v>Tuesday</v>
      </c>
      <c r="K2933" t="str">
        <f>TEXT(Table8[[#This Row],[visit_Date]],"mmmm")</f>
        <v>July</v>
      </c>
      <c r="L2933" t="str">
        <f t="shared" si="91"/>
        <v>Monsoon</v>
      </c>
    </row>
    <row r="2934" spans="1:12" x14ac:dyDescent="0.25">
      <c r="A2934">
        <v>2933</v>
      </c>
      <c r="B2934">
        <v>1298</v>
      </c>
      <c r="C2934">
        <v>483</v>
      </c>
      <c r="D2934" s="1">
        <v>45853</v>
      </c>
      <c r="E2934" t="s">
        <v>24</v>
      </c>
      <c r="F2934" t="s">
        <v>321</v>
      </c>
      <c r="G2934" t="str">
        <f>_xlfn.XLOOKUP(TRIM(E2935),MedicineInfo!A:A,MedicineInfo!B:B,"Not Found")</f>
        <v>Nitroglycerin</v>
      </c>
      <c r="H2934" s="1" t="str" cm="1">
        <f t="array" ref="H2934">_xlfn.IFS(
OR(E2934="Type 2 Diabetes",E2934="Essential Hypertension",E2934="Angina Pectoris",E2934="Bronchial Asthma",E2934="Cardiac Arrhythmia"), D2934+30,
OR(E2934="Gastritis",E2934="Osteoarthritis",E2934="Bronchitis",E2934="Iron Deficiency Anemia"), D2934+14,
OR(E2934="Lumbar Strain",E2934="Migraine Headache"), D2934+7,
OR(E2934="Viral Fever",E2934="General Checkup","Routine Health Check"), "",
TRUE,""
)</f>
        <v/>
      </c>
      <c r="I2934" s="1" t="str">
        <f t="shared" si="90"/>
        <v>No Follow-up Required</v>
      </c>
      <c r="J2934" t="str">
        <f>TEXT(Table8[[#This Row],[visit_Date]],"DDDD")</f>
        <v>Tuesday</v>
      </c>
      <c r="K2934" t="str">
        <f>TEXT(Table8[[#This Row],[visit_Date]],"mmmm")</f>
        <v>July</v>
      </c>
      <c r="L2934" t="str">
        <f t="shared" si="91"/>
        <v>Monsoon</v>
      </c>
    </row>
    <row r="2935" spans="1:12" x14ac:dyDescent="0.25">
      <c r="A2935">
        <v>2934</v>
      </c>
      <c r="B2935">
        <v>1025</v>
      </c>
      <c r="C2935">
        <v>1100</v>
      </c>
      <c r="D2935" s="1">
        <v>45790</v>
      </c>
      <c r="E2935" t="s">
        <v>322</v>
      </c>
      <c r="F2935" t="s">
        <v>323</v>
      </c>
      <c r="G2935" t="str">
        <f>_xlfn.XLOOKUP(TRIM(E2936),MedicineInfo!A:A,MedicineInfo!B:B,"Not Found")</f>
        <v>Multivitamin</v>
      </c>
      <c r="H2935" s="1" cm="1">
        <f t="array" ref="H2935">_xlfn.IFS(
OR(E2935="Type 2 Diabetes",E2935="Essential Hypertension",E2935="Angina Pectoris",E2935="Bronchial Asthma",E2935="Cardiac Arrhythmia"), D2935+30,
OR(E2935="Gastritis",E2935="Osteoarthritis",E2935="Bronchitis",E2935="Iron Deficiency Anemia"), D2935+14,
OR(E2935="Lumbar Strain",E2935="Migraine Headache"), D2935+7,
OR(E2935="Viral Fever",E2935="General Checkup","Routine Health Check"), "",
TRUE,""
)</f>
        <v>45820</v>
      </c>
      <c r="I2935" s="1" t="str">
        <f t="shared" si="90"/>
        <v>Follow-up Scheduled</v>
      </c>
      <c r="J2935" t="str">
        <f>TEXT(Table8[[#This Row],[visit_Date]],"DDDD")</f>
        <v>Tuesday</v>
      </c>
      <c r="K2935" t="str">
        <f>TEXT(Table8[[#This Row],[visit_Date]],"mmmm")</f>
        <v>May</v>
      </c>
      <c r="L2935" t="str">
        <f t="shared" si="91"/>
        <v>Summer</v>
      </c>
    </row>
    <row r="2936" spans="1:12" x14ac:dyDescent="0.25">
      <c r="A2936">
        <v>2935</v>
      </c>
      <c r="B2936">
        <v>1328</v>
      </c>
      <c r="C2936">
        <v>100</v>
      </c>
      <c r="D2936" s="1">
        <v>45691</v>
      </c>
      <c r="E2936" t="s">
        <v>24</v>
      </c>
      <c r="F2936" t="s">
        <v>321</v>
      </c>
      <c r="G2936" t="str">
        <f>_xlfn.XLOOKUP(TRIM(E2937),MedicineInfo!A:A,MedicineInfo!B:B,"Not Found")</f>
        <v>Multivitamin</v>
      </c>
      <c r="H2936" s="1" t="str" cm="1">
        <f t="array" ref="H2936">_xlfn.IFS(
OR(E2936="Type 2 Diabetes",E2936="Essential Hypertension",E2936="Angina Pectoris",E2936="Bronchial Asthma",E2936="Cardiac Arrhythmia"), D2936+30,
OR(E2936="Gastritis",E2936="Osteoarthritis",E2936="Bronchitis",E2936="Iron Deficiency Anemia"), D2936+14,
OR(E2936="Lumbar Strain",E2936="Migraine Headache"), D2936+7,
OR(E2936="Viral Fever",E2936="General Checkup","Routine Health Check"), "",
TRUE,""
)</f>
        <v/>
      </c>
      <c r="I2936" s="1" t="str">
        <f t="shared" si="90"/>
        <v>No Follow-up Required</v>
      </c>
      <c r="J2936" t="str">
        <f>TEXT(Table8[[#This Row],[visit_Date]],"DDDD")</f>
        <v>Monday</v>
      </c>
      <c r="K2936" t="str">
        <f>TEXT(Table8[[#This Row],[visit_Date]],"mmmm")</f>
        <v>February</v>
      </c>
      <c r="L2936" t="str">
        <f t="shared" si="91"/>
        <v>Winter</v>
      </c>
    </row>
    <row r="2937" spans="1:12" x14ac:dyDescent="0.25">
      <c r="A2937">
        <v>2936</v>
      </c>
      <c r="B2937">
        <v>1107</v>
      </c>
      <c r="C2937">
        <v>1122</v>
      </c>
      <c r="D2937" s="1">
        <v>45672</v>
      </c>
      <c r="E2937" t="s">
        <v>24</v>
      </c>
      <c r="F2937" t="s">
        <v>321</v>
      </c>
      <c r="G2937" t="str">
        <f>_xlfn.XLOOKUP(TRIM(E2938),MedicineInfo!A:A,MedicineInfo!B:B,"Not Found")</f>
        <v>Multivitamin</v>
      </c>
      <c r="H2937" s="1" t="str" cm="1">
        <f t="array" ref="H2937">_xlfn.IFS(
OR(E2937="Type 2 Diabetes",E2937="Essential Hypertension",E2937="Angina Pectoris",E2937="Bronchial Asthma",E2937="Cardiac Arrhythmia"), D2937+30,
OR(E2937="Gastritis",E2937="Osteoarthritis",E2937="Bronchitis",E2937="Iron Deficiency Anemia"), D2937+14,
OR(E2937="Lumbar Strain",E2937="Migraine Headache"), D2937+7,
OR(E2937="Viral Fever",E2937="General Checkup","Routine Health Check"), "",
TRUE,""
)</f>
        <v/>
      </c>
      <c r="I2937" s="1" t="str">
        <f t="shared" si="90"/>
        <v>No Follow-up Required</v>
      </c>
      <c r="J2937" t="str">
        <f>TEXT(Table8[[#This Row],[visit_Date]],"DDDD")</f>
        <v>Wednesday</v>
      </c>
      <c r="K2937" t="str">
        <f>TEXT(Table8[[#This Row],[visit_Date]],"mmmm")</f>
        <v>January</v>
      </c>
      <c r="L2937" t="str">
        <f t="shared" si="91"/>
        <v>Winter</v>
      </c>
    </row>
    <row r="2938" spans="1:12" x14ac:dyDescent="0.25">
      <c r="A2938">
        <v>2937</v>
      </c>
      <c r="B2938">
        <v>1061</v>
      </c>
      <c r="C2938">
        <v>601</v>
      </c>
      <c r="D2938" s="1">
        <v>45791</v>
      </c>
      <c r="E2938" t="s">
        <v>24</v>
      </c>
      <c r="F2938" t="s">
        <v>321</v>
      </c>
      <c r="G2938" t="str">
        <f>_xlfn.XLOOKUP(TRIM(E2939),MedicineInfo!A:A,MedicineInfo!B:B,"Not Found")</f>
        <v>Multivitamin</v>
      </c>
      <c r="H2938" s="1" t="str" cm="1">
        <f t="array" ref="H2938">_xlfn.IFS(
OR(E2938="Type 2 Diabetes",E2938="Essential Hypertension",E2938="Angina Pectoris",E2938="Bronchial Asthma",E2938="Cardiac Arrhythmia"), D2938+30,
OR(E2938="Gastritis",E2938="Osteoarthritis",E2938="Bronchitis",E2938="Iron Deficiency Anemia"), D2938+14,
OR(E2938="Lumbar Strain",E2938="Migraine Headache"), D2938+7,
OR(E2938="Viral Fever",E2938="General Checkup","Routine Health Check"), "",
TRUE,""
)</f>
        <v/>
      </c>
      <c r="I2938" s="1" t="str">
        <f t="shared" si="90"/>
        <v>No Follow-up Required</v>
      </c>
      <c r="J2938" t="str">
        <f>TEXT(Table8[[#This Row],[visit_Date]],"DDDD")</f>
        <v>Wednesday</v>
      </c>
      <c r="K2938" t="str">
        <f>TEXT(Table8[[#This Row],[visit_Date]],"mmmm")</f>
        <v>May</v>
      </c>
      <c r="L2938" t="str">
        <f t="shared" si="91"/>
        <v>Summer</v>
      </c>
    </row>
    <row r="2939" spans="1:12" x14ac:dyDescent="0.25">
      <c r="A2939">
        <v>2938</v>
      </c>
      <c r="B2939">
        <v>1388</v>
      </c>
      <c r="C2939">
        <v>186</v>
      </c>
      <c r="D2939" s="1">
        <v>45769</v>
      </c>
      <c r="E2939" t="s">
        <v>24</v>
      </c>
      <c r="F2939" t="s">
        <v>321</v>
      </c>
      <c r="G2939" t="str">
        <f>_xlfn.XLOOKUP(TRIM(E2940),MedicineInfo!A:A,MedicineInfo!B:B,"Not Found")</f>
        <v>Multivitamin</v>
      </c>
      <c r="H2939" s="1" t="str" cm="1">
        <f t="array" ref="H2939">_xlfn.IFS(
OR(E2939="Type 2 Diabetes",E2939="Essential Hypertension",E2939="Angina Pectoris",E2939="Bronchial Asthma",E2939="Cardiac Arrhythmia"), D2939+30,
OR(E2939="Gastritis",E2939="Osteoarthritis",E2939="Bronchitis",E2939="Iron Deficiency Anemia"), D2939+14,
OR(E2939="Lumbar Strain",E2939="Migraine Headache"), D2939+7,
OR(E2939="Viral Fever",E2939="General Checkup","Routine Health Check"), "",
TRUE,""
)</f>
        <v/>
      </c>
      <c r="I2939" s="1" t="str">
        <f t="shared" si="90"/>
        <v>No Follow-up Required</v>
      </c>
      <c r="J2939" t="str">
        <f>TEXT(Table8[[#This Row],[visit_Date]],"DDDD")</f>
        <v>Tuesday</v>
      </c>
      <c r="K2939" t="str">
        <f>TEXT(Table8[[#This Row],[visit_Date]],"mmmm")</f>
        <v>April</v>
      </c>
      <c r="L2939" t="str">
        <f t="shared" si="91"/>
        <v>Summer</v>
      </c>
    </row>
    <row r="2940" spans="1:12" x14ac:dyDescent="0.25">
      <c r="A2940">
        <v>2939</v>
      </c>
      <c r="B2940">
        <v>1087</v>
      </c>
      <c r="C2940">
        <v>1405</v>
      </c>
      <c r="D2940" s="1">
        <v>45739</v>
      </c>
      <c r="E2940" t="s">
        <v>24</v>
      </c>
      <c r="F2940" t="s">
        <v>321</v>
      </c>
      <c r="G2940" t="str">
        <f>_xlfn.XLOOKUP(TRIM(E2941),MedicineInfo!A:A,MedicineInfo!B:B,"Not Found")</f>
        <v>Ferrous Sulfate</v>
      </c>
      <c r="H2940" s="1" t="str" cm="1">
        <f t="array" ref="H2940">_xlfn.IFS(
OR(E2940="Type 2 Diabetes",E2940="Essential Hypertension",E2940="Angina Pectoris",E2940="Bronchial Asthma",E2940="Cardiac Arrhythmia"), D2940+30,
OR(E2940="Gastritis",E2940="Osteoarthritis",E2940="Bronchitis",E2940="Iron Deficiency Anemia"), D2940+14,
OR(E2940="Lumbar Strain",E2940="Migraine Headache"), D2940+7,
OR(E2940="Viral Fever",E2940="General Checkup","Routine Health Check"), "",
TRUE,""
)</f>
        <v/>
      </c>
      <c r="I2940" s="1" t="str">
        <f t="shared" si="90"/>
        <v>No Follow-up Required</v>
      </c>
      <c r="J2940" t="str">
        <f>TEXT(Table8[[#This Row],[visit_Date]],"DDDD")</f>
        <v>Sunday</v>
      </c>
      <c r="K2940" t="str">
        <f>TEXT(Table8[[#This Row],[visit_Date]],"mmmm")</f>
        <v>March</v>
      </c>
      <c r="L2940" t="str">
        <f t="shared" si="91"/>
        <v>Summer</v>
      </c>
    </row>
    <row r="2941" spans="1:12" x14ac:dyDescent="0.25">
      <c r="A2941">
        <v>2940</v>
      </c>
      <c r="B2941">
        <v>1038</v>
      </c>
      <c r="C2941">
        <v>183</v>
      </c>
      <c r="D2941" s="1">
        <v>45838</v>
      </c>
      <c r="E2941" t="s">
        <v>358</v>
      </c>
      <c r="F2941" t="s">
        <v>359</v>
      </c>
      <c r="G2941" t="str">
        <f>_xlfn.XLOOKUP(TRIM(E2942),MedicineInfo!A:A,MedicineInfo!B:B,"Not Found")</f>
        <v>Multivitamin</v>
      </c>
      <c r="H2941" s="1" cm="1">
        <f t="array" ref="H2941">_xlfn.IFS(
OR(E2941="Type 2 Diabetes",E2941="Essential Hypertension",E2941="Angina Pectoris",E2941="Bronchial Asthma",E2941="Cardiac Arrhythmia"), D2941+30,
OR(E2941="Gastritis",E2941="Osteoarthritis",E2941="Bronchitis",E2941="Iron Deficiency Anemia"), D2941+14,
OR(E2941="Lumbar Strain",E2941="Migraine Headache"), D2941+7,
OR(E2941="Viral Fever",E2941="General Checkup","Routine Health Check"), "",
TRUE,""
)</f>
        <v>45852</v>
      </c>
      <c r="I2941" s="1" t="str">
        <f t="shared" si="90"/>
        <v>Follow-up Scheduled</v>
      </c>
      <c r="J2941" t="str">
        <f>TEXT(Table8[[#This Row],[visit_Date]],"DDDD")</f>
        <v>Monday</v>
      </c>
      <c r="K2941" t="str">
        <f>TEXT(Table8[[#This Row],[visit_Date]],"mmmm")</f>
        <v>June</v>
      </c>
      <c r="L2941" t="str">
        <f t="shared" si="91"/>
        <v>Monsoon</v>
      </c>
    </row>
    <row r="2942" spans="1:12" x14ac:dyDescent="0.25">
      <c r="A2942">
        <v>2941</v>
      </c>
      <c r="B2942">
        <v>1237</v>
      </c>
      <c r="C2942">
        <v>655</v>
      </c>
      <c r="D2942" s="1">
        <v>45767</v>
      </c>
      <c r="E2942" t="s">
        <v>24</v>
      </c>
      <c r="F2942" t="s">
        <v>321</v>
      </c>
      <c r="G2942" t="str">
        <f>_xlfn.XLOOKUP(TRIM(E2943),MedicineInfo!A:A,MedicineInfo!B:B,"Not Found")</f>
        <v>Multivitamin</v>
      </c>
      <c r="H2942" s="1" t="str" cm="1">
        <f t="array" ref="H2942">_xlfn.IFS(
OR(E2942="Type 2 Diabetes",E2942="Essential Hypertension",E2942="Angina Pectoris",E2942="Bronchial Asthma",E2942="Cardiac Arrhythmia"), D2942+30,
OR(E2942="Gastritis",E2942="Osteoarthritis",E2942="Bronchitis",E2942="Iron Deficiency Anemia"), D2942+14,
OR(E2942="Lumbar Strain",E2942="Migraine Headache"), D2942+7,
OR(E2942="Viral Fever",E2942="General Checkup","Routine Health Check"), "",
TRUE,""
)</f>
        <v/>
      </c>
      <c r="I2942" s="1" t="str">
        <f t="shared" si="90"/>
        <v>No Follow-up Required</v>
      </c>
      <c r="J2942" t="str">
        <f>TEXT(Table8[[#This Row],[visit_Date]],"DDDD")</f>
        <v>Sunday</v>
      </c>
      <c r="K2942" t="str">
        <f>TEXT(Table8[[#This Row],[visit_Date]],"mmmm")</f>
        <v>April</v>
      </c>
      <c r="L2942" t="str">
        <f t="shared" si="91"/>
        <v>Summer</v>
      </c>
    </row>
    <row r="2943" spans="1:12" x14ac:dyDescent="0.25">
      <c r="A2943">
        <v>2942</v>
      </c>
      <c r="B2943">
        <v>1373</v>
      </c>
      <c r="C2943">
        <v>617</v>
      </c>
      <c r="D2943" s="1">
        <v>45669</v>
      </c>
      <c r="E2943" t="s">
        <v>24</v>
      </c>
      <c r="F2943" t="s">
        <v>321</v>
      </c>
      <c r="G2943" t="str">
        <f>_xlfn.XLOOKUP(TRIM(E2944),MedicineInfo!A:A,MedicineInfo!B:B,"Not Found")</f>
        <v>Diclofenac</v>
      </c>
      <c r="H2943" s="1" t="str" cm="1">
        <f t="array" ref="H2943">_xlfn.IFS(
OR(E2943="Type 2 Diabetes",E2943="Essential Hypertension",E2943="Angina Pectoris",E2943="Bronchial Asthma",E2943="Cardiac Arrhythmia"), D2943+30,
OR(E2943="Gastritis",E2943="Osteoarthritis",E2943="Bronchitis",E2943="Iron Deficiency Anemia"), D2943+14,
OR(E2943="Lumbar Strain",E2943="Migraine Headache"), D2943+7,
OR(E2943="Viral Fever",E2943="General Checkup","Routine Health Check"), "",
TRUE,""
)</f>
        <v/>
      </c>
      <c r="I2943" s="1" t="str">
        <f t="shared" si="90"/>
        <v>No Follow-up Required</v>
      </c>
      <c r="J2943" t="str">
        <f>TEXT(Table8[[#This Row],[visit_Date]],"DDDD")</f>
        <v>Sunday</v>
      </c>
      <c r="K2943" t="str">
        <f>TEXT(Table8[[#This Row],[visit_Date]],"mmmm")</f>
        <v>January</v>
      </c>
      <c r="L2943" t="str">
        <f t="shared" si="91"/>
        <v>Winter</v>
      </c>
    </row>
    <row r="2944" spans="1:12" x14ac:dyDescent="0.25">
      <c r="A2944">
        <v>2943</v>
      </c>
      <c r="B2944">
        <v>1236</v>
      </c>
      <c r="C2944">
        <v>108</v>
      </c>
      <c r="D2944" s="1">
        <v>45792</v>
      </c>
      <c r="E2944" t="s">
        <v>313</v>
      </c>
      <c r="F2944" t="s">
        <v>314</v>
      </c>
      <c r="G2944" t="str">
        <f>_xlfn.XLOOKUP(TRIM(E2945),MedicineInfo!A:A,MedicineInfo!B:B,"Not Found")</f>
        <v>Multivitamin</v>
      </c>
      <c r="H2944" s="1" cm="1">
        <f t="array" ref="H2944">_xlfn.IFS(
OR(E2944="Type 2 Diabetes",E2944="Essential Hypertension",E2944="Angina Pectoris",E2944="Bronchial Asthma",E2944="Cardiac Arrhythmia"), D2944+30,
OR(E2944="Gastritis",E2944="Osteoarthritis",E2944="Bronchitis",E2944="Iron Deficiency Anemia"), D2944+14,
OR(E2944="Lumbar Strain",E2944="Migraine Headache"), D2944+7,
OR(E2944="Viral Fever",E2944="General Checkup","Routine Health Check"), "",
TRUE,""
)</f>
        <v>45799</v>
      </c>
      <c r="I2944" s="1" t="str">
        <f t="shared" si="90"/>
        <v>Follow-up Scheduled</v>
      </c>
      <c r="J2944" t="str">
        <f>TEXT(Table8[[#This Row],[visit_Date]],"DDDD")</f>
        <v>Thursday</v>
      </c>
      <c r="K2944" t="str">
        <f>TEXT(Table8[[#This Row],[visit_Date]],"mmmm")</f>
        <v>May</v>
      </c>
      <c r="L2944" t="str">
        <f t="shared" si="91"/>
        <v>Summer</v>
      </c>
    </row>
    <row r="2945" spans="1:12" x14ac:dyDescent="0.25">
      <c r="A2945">
        <v>2944</v>
      </c>
      <c r="B2945">
        <v>1341</v>
      </c>
      <c r="C2945">
        <v>1565</v>
      </c>
      <c r="D2945" s="1">
        <v>45782</v>
      </c>
      <c r="E2945" t="s">
        <v>24</v>
      </c>
      <c r="F2945" t="s">
        <v>321</v>
      </c>
      <c r="G2945" t="str">
        <f>_xlfn.XLOOKUP(TRIM(E2946),MedicineInfo!A:A,MedicineInfo!B:B,"Not Found")</f>
        <v>Multivitamin</v>
      </c>
      <c r="H2945" s="1" t="str" cm="1">
        <f t="array" ref="H2945">_xlfn.IFS(
OR(E2945="Type 2 Diabetes",E2945="Essential Hypertension",E2945="Angina Pectoris",E2945="Bronchial Asthma",E2945="Cardiac Arrhythmia"), D2945+30,
OR(E2945="Gastritis",E2945="Osteoarthritis",E2945="Bronchitis",E2945="Iron Deficiency Anemia"), D2945+14,
OR(E2945="Lumbar Strain",E2945="Migraine Headache"), D2945+7,
OR(E2945="Viral Fever",E2945="General Checkup","Routine Health Check"), "",
TRUE,""
)</f>
        <v/>
      </c>
      <c r="I2945" s="1" t="str">
        <f t="shared" si="90"/>
        <v>No Follow-up Required</v>
      </c>
      <c r="J2945" t="str">
        <f>TEXT(Table8[[#This Row],[visit_Date]],"DDDD")</f>
        <v>Monday</v>
      </c>
      <c r="K2945" t="str">
        <f>TEXT(Table8[[#This Row],[visit_Date]],"mmmm")</f>
        <v>May</v>
      </c>
      <c r="L2945" t="str">
        <f t="shared" si="91"/>
        <v>Summer</v>
      </c>
    </row>
    <row r="2946" spans="1:12" x14ac:dyDescent="0.25">
      <c r="A2946">
        <v>2945</v>
      </c>
      <c r="B2946">
        <v>1036</v>
      </c>
      <c r="C2946">
        <v>826</v>
      </c>
      <c r="D2946" s="1">
        <v>45785</v>
      </c>
      <c r="E2946" t="s">
        <v>24</v>
      </c>
      <c r="F2946" t="s">
        <v>321</v>
      </c>
      <c r="G2946" t="str">
        <f>_xlfn.XLOOKUP(TRIM(E2947),MedicineInfo!A:A,MedicineInfo!B:B,"Not Found")</f>
        <v>Multivitamin</v>
      </c>
      <c r="H2946" s="1" t="str" cm="1">
        <f t="array" ref="H2946">_xlfn.IFS(
OR(E2946="Type 2 Diabetes",E2946="Essential Hypertension",E2946="Angina Pectoris",E2946="Bronchial Asthma",E2946="Cardiac Arrhythmia"), D2946+30,
OR(E2946="Gastritis",E2946="Osteoarthritis",E2946="Bronchitis",E2946="Iron Deficiency Anemia"), D2946+14,
OR(E2946="Lumbar Strain",E2946="Migraine Headache"), D2946+7,
OR(E2946="Viral Fever",E2946="General Checkup","Routine Health Check"), "",
TRUE,""
)</f>
        <v/>
      </c>
      <c r="I2946" s="1" t="str">
        <f t="shared" ref="I2946:I3001" si="92">IF(H2946="","No Follow-up Required","Follow-up Scheduled")</f>
        <v>No Follow-up Required</v>
      </c>
      <c r="J2946" t="str">
        <f>TEXT(Table8[[#This Row],[visit_Date]],"DDDD")</f>
        <v>Thursday</v>
      </c>
      <c r="K2946" t="str">
        <f>TEXT(Table8[[#This Row],[visit_Date]],"mmmm")</f>
        <v>May</v>
      </c>
      <c r="L2946" t="str">
        <f t="shared" ref="L2946:L3001" si="93">IF(OR(MONTH(D2946)=12,MONTH(D2946)&lt;=2),"Winter",
IF(MONTH(D2946)&lt;=5,"Summer","Monsoon"))</f>
        <v>Summer</v>
      </c>
    </row>
    <row r="2947" spans="1:12" x14ac:dyDescent="0.25">
      <c r="A2947">
        <v>2946</v>
      </c>
      <c r="B2947">
        <v>1065</v>
      </c>
      <c r="C2947">
        <v>856</v>
      </c>
      <c r="D2947" s="1">
        <v>45814</v>
      </c>
      <c r="E2947" t="s">
        <v>24</v>
      </c>
      <c r="F2947" t="s">
        <v>321</v>
      </c>
      <c r="G2947" t="str">
        <f>_xlfn.XLOOKUP(TRIM(E2948),MedicineInfo!A:A,MedicineInfo!B:B,"Not Found")</f>
        <v>Multivitamin</v>
      </c>
      <c r="H2947" s="1" t="str" cm="1">
        <f t="array" ref="H2947">_xlfn.IFS(
OR(E2947="Type 2 Diabetes",E2947="Essential Hypertension",E2947="Angina Pectoris",E2947="Bronchial Asthma",E2947="Cardiac Arrhythmia"), D2947+30,
OR(E2947="Gastritis",E2947="Osteoarthritis",E2947="Bronchitis",E2947="Iron Deficiency Anemia"), D2947+14,
OR(E2947="Lumbar Strain",E2947="Migraine Headache"), D2947+7,
OR(E2947="Viral Fever",E2947="General Checkup","Routine Health Check"), "",
TRUE,""
)</f>
        <v/>
      </c>
      <c r="I2947" s="1" t="str">
        <f t="shared" si="92"/>
        <v>No Follow-up Required</v>
      </c>
      <c r="J2947" t="str">
        <f>TEXT(Table8[[#This Row],[visit_Date]],"DDDD")</f>
        <v>Friday</v>
      </c>
      <c r="K2947" t="str">
        <f>TEXT(Table8[[#This Row],[visit_Date]],"mmmm")</f>
        <v>June</v>
      </c>
      <c r="L2947" t="str">
        <f t="shared" si="93"/>
        <v>Monsoon</v>
      </c>
    </row>
    <row r="2948" spans="1:12" x14ac:dyDescent="0.25">
      <c r="A2948">
        <v>2947</v>
      </c>
      <c r="B2948">
        <v>1237</v>
      </c>
      <c r="C2948">
        <v>1196</v>
      </c>
      <c r="D2948" s="1">
        <v>45672</v>
      </c>
      <c r="E2948" t="s">
        <v>24</v>
      </c>
      <c r="F2948" t="s">
        <v>321</v>
      </c>
      <c r="G2948" t="str">
        <f>_xlfn.XLOOKUP(TRIM(E2949),MedicineInfo!A:A,MedicineInfo!B:B,"Not Found")</f>
        <v>Multivitamin</v>
      </c>
      <c r="H2948" s="1" t="str" cm="1">
        <f t="array" ref="H2948">_xlfn.IFS(
OR(E2948="Type 2 Diabetes",E2948="Essential Hypertension",E2948="Angina Pectoris",E2948="Bronchial Asthma",E2948="Cardiac Arrhythmia"), D2948+30,
OR(E2948="Gastritis",E2948="Osteoarthritis",E2948="Bronchitis",E2948="Iron Deficiency Anemia"), D2948+14,
OR(E2948="Lumbar Strain",E2948="Migraine Headache"), D2948+7,
OR(E2948="Viral Fever",E2948="General Checkup","Routine Health Check"), "",
TRUE,""
)</f>
        <v/>
      </c>
      <c r="I2948" s="1" t="str">
        <f t="shared" si="92"/>
        <v>No Follow-up Required</v>
      </c>
      <c r="J2948" t="str">
        <f>TEXT(Table8[[#This Row],[visit_Date]],"DDDD")</f>
        <v>Wednesday</v>
      </c>
      <c r="K2948" t="str">
        <f>TEXT(Table8[[#This Row],[visit_Date]],"mmmm")</f>
        <v>January</v>
      </c>
      <c r="L2948" t="str">
        <f t="shared" si="93"/>
        <v>Winter</v>
      </c>
    </row>
    <row r="2949" spans="1:12" x14ac:dyDescent="0.25">
      <c r="A2949">
        <v>2948</v>
      </c>
      <c r="B2949">
        <v>1267</v>
      </c>
      <c r="C2949">
        <v>1204</v>
      </c>
      <c r="D2949" s="1">
        <v>45823</v>
      </c>
      <c r="E2949" t="s">
        <v>24</v>
      </c>
      <c r="F2949" t="s">
        <v>321</v>
      </c>
      <c r="G2949" t="str">
        <f>_xlfn.XLOOKUP(TRIM(E2950),MedicineInfo!A:A,MedicineInfo!B:B,"Not Found")</f>
        <v>Multivitamin</v>
      </c>
      <c r="H2949" s="1" t="str" cm="1">
        <f t="array" ref="H2949">_xlfn.IFS(
OR(E2949="Type 2 Diabetes",E2949="Essential Hypertension",E2949="Angina Pectoris",E2949="Bronchial Asthma",E2949="Cardiac Arrhythmia"), D2949+30,
OR(E2949="Gastritis",E2949="Osteoarthritis",E2949="Bronchitis",E2949="Iron Deficiency Anemia"), D2949+14,
OR(E2949="Lumbar Strain",E2949="Migraine Headache"), D2949+7,
OR(E2949="Viral Fever",E2949="General Checkup","Routine Health Check"), "",
TRUE,""
)</f>
        <v/>
      </c>
      <c r="I2949" s="1" t="str">
        <f t="shared" si="92"/>
        <v>No Follow-up Required</v>
      </c>
      <c r="J2949" t="str">
        <f>TEXT(Table8[[#This Row],[visit_Date]],"DDDD")</f>
        <v>Sunday</v>
      </c>
      <c r="K2949" t="str">
        <f>TEXT(Table8[[#This Row],[visit_Date]],"mmmm")</f>
        <v>June</v>
      </c>
      <c r="L2949" t="str">
        <f t="shared" si="93"/>
        <v>Monsoon</v>
      </c>
    </row>
    <row r="2950" spans="1:12" x14ac:dyDescent="0.25">
      <c r="A2950">
        <v>2949</v>
      </c>
      <c r="B2950">
        <v>1264</v>
      </c>
      <c r="C2950">
        <v>1528</v>
      </c>
      <c r="D2950" s="1">
        <v>45700</v>
      </c>
      <c r="E2950" t="s">
        <v>24</v>
      </c>
      <c r="F2950" t="s">
        <v>321</v>
      </c>
      <c r="G2950" t="str">
        <f>_xlfn.XLOOKUP(TRIM(E2951),MedicineInfo!A:A,MedicineInfo!B:B,"Not Found")</f>
        <v>Multivitamin</v>
      </c>
      <c r="H2950" s="1" t="str" cm="1">
        <f t="array" ref="H2950">_xlfn.IFS(
OR(E2950="Type 2 Diabetes",E2950="Essential Hypertension",E2950="Angina Pectoris",E2950="Bronchial Asthma",E2950="Cardiac Arrhythmia"), D2950+30,
OR(E2950="Gastritis",E2950="Osteoarthritis",E2950="Bronchitis",E2950="Iron Deficiency Anemia"), D2950+14,
OR(E2950="Lumbar Strain",E2950="Migraine Headache"), D2950+7,
OR(E2950="Viral Fever",E2950="General Checkup","Routine Health Check"), "",
TRUE,""
)</f>
        <v/>
      </c>
      <c r="I2950" s="1" t="str">
        <f t="shared" si="92"/>
        <v>No Follow-up Required</v>
      </c>
      <c r="J2950" t="str">
        <f>TEXT(Table8[[#This Row],[visit_Date]],"DDDD")</f>
        <v>Wednesday</v>
      </c>
      <c r="K2950" t="str">
        <f>TEXT(Table8[[#This Row],[visit_Date]],"mmmm")</f>
        <v>February</v>
      </c>
      <c r="L2950" t="str">
        <f t="shared" si="93"/>
        <v>Winter</v>
      </c>
    </row>
    <row r="2951" spans="1:12" x14ac:dyDescent="0.25">
      <c r="A2951">
        <v>2950</v>
      </c>
      <c r="B2951">
        <v>1318</v>
      </c>
      <c r="C2951">
        <v>676</v>
      </c>
      <c r="D2951" s="1">
        <v>45783</v>
      </c>
      <c r="E2951" t="s">
        <v>24</v>
      </c>
      <c r="F2951" t="s">
        <v>321</v>
      </c>
      <c r="G2951" t="str">
        <f>_xlfn.XLOOKUP(TRIM(E2952),MedicineInfo!A:A,MedicineInfo!B:B,"Not Found")</f>
        <v>Multivitamin</v>
      </c>
      <c r="H2951" s="1" t="str" cm="1">
        <f t="array" ref="H2951">_xlfn.IFS(
OR(E2951="Type 2 Diabetes",E2951="Essential Hypertension",E2951="Angina Pectoris",E2951="Bronchial Asthma",E2951="Cardiac Arrhythmia"), D2951+30,
OR(E2951="Gastritis",E2951="Osteoarthritis",E2951="Bronchitis",E2951="Iron Deficiency Anemia"), D2951+14,
OR(E2951="Lumbar Strain",E2951="Migraine Headache"), D2951+7,
OR(E2951="Viral Fever",E2951="General Checkup","Routine Health Check"), "",
TRUE,""
)</f>
        <v/>
      </c>
      <c r="I2951" s="1" t="str">
        <f t="shared" si="92"/>
        <v>No Follow-up Required</v>
      </c>
      <c r="J2951" t="str">
        <f>TEXT(Table8[[#This Row],[visit_Date]],"DDDD")</f>
        <v>Tuesday</v>
      </c>
      <c r="K2951" t="str">
        <f>TEXT(Table8[[#This Row],[visit_Date]],"mmmm")</f>
        <v>May</v>
      </c>
      <c r="L2951" t="str">
        <f t="shared" si="93"/>
        <v>Summer</v>
      </c>
    </row>
    <row r="2952" spans="1:12" x14ac:dyDescent="0.25">
      <c r="A2952">
        <v>2951</v>
      </c>
      <c r="B2952">
        <v>1269</v>
      </c>
      <c r="C2952">
        <v>177</v>
      </c>
      <c r="D2952" s="1">
        <v>45704</v>
      </c>
      <c r="E2952" t="s">
        <v>24</v>
      </c>
      <c r="F2952" t="s">
        <v>321</v>
      </c>
      <c r="G2952" t="str">
        <f>_xlfn.XLOOKUP(TRIM(E2953),MedicineInfo!A:A,MedicineInfo!B:B,"Not Found")</f>
        <v>Sertraline</v>
      </c>
      <c r="H2952" s="1" t="str" cm="1">
        <f t="array" ref="H2952">_xlfn.IFS(
OR(E2952="Type 2 Diabetes",E2952="Essential Hypertension",E2952="Angina Pectoris",E2952="Bronchial Asthma",E2952="Cardiac Arrhythmia"), D2952+30,
OR(E2952="Gastritis",E2952="Osteoarthritis",E2952="Bronchitis",E2952="Iron Deficiency Anemia"), D2952+14,
OR(E2952="Lumbar Strain",E2952="Migraine Headache"), D2952+7,
OR(E2952="Viral Fever",E2952="General Checkup","Routine Health Check"), "",
TRUE,""
)</f>
        <v/>
      </c>
      <c r="I2952" s="1" t="str">
        <f t="shared" si="92"/>
        <v>No Follow-up Required</v>
      </c>
      <c r="J2952" t="str">
        <f>TEXT(Table8[[#This Row],[visit_Date]],"DDDD")</f>
        <v>Sunday</v>
      </c>
      <c r="K2952" t="str">
        <f>TEXT(Table8[[#This Row],[visit_Date]],"mmmm")</f>
        <v>February</v>
      </c>
      <c r="L2952" t="str">
        <f t="shared" si="93"/>
        <v>Winter</v>
      </c>
    </row>
    <row r="2953" spans="1:12" x14ac:dyDescent="0.25">
      <c r="A2953">
        <v>2952</v>
      </c>
      <c r="B2953">
        <v>1325</v>
      </c>
      <c r="C2953">
        <v>732</v>
      </c>
      <c r="D2953" s="1">
        <v>45783</v>
      </c>
      <c r="E2953" t="s">
        <v>334</v>
      </c>
      <c r="F2953" t="s">
        <v>335</v>
      </c>
      <c r="G2953" t="str">
        <f>_xlfn.XLOOKUP(TRIM(E2954),MedicineInfo!A:A,MedicineInfo!B:B,"Not Found")</f>
        <v>Multivitamin</v>
      </c>
      <c r="H2953" s="1" t="str" cm="1">
        <f t="array" ref="H2953">_xlfn.IFS(
OR(E2953="Type 2 Diabetes",E2953="Essential Hypertension",E2953="Angina Pectoris",E2953="Bronchial Asthma",E2953="Cardiac Arrhythmia"), D2953+30,
OR(E2953="Gastritis",E2953="Osteoarthritis",E2953="Bronchitis",E2953="Iron Deficiency Anemia"), D2953+14,
OR(E2953="Lumbar Strain",E2953="Migraine Headache"), D2953+7,
OR(E2953="Viral Fever",E2953="General Checkup","Routine Health Check"), "",
TRUE,""
)</f>
        <v/>
      </c>
      <c r="I2953" s="1" t="str">
        <f t="shared" si="92"/>
        <v>No Follow-up Required</v>
      </c>
      <c r="J2953" t="str">
        <f>TEXT(Table8[[#This Row],[visit_Date]],"DDDD")</f>
        <v>Tuesday</v>
      </c>
      <c r="K2953" t="str">
        <f>TEXT(Table8[[#This Row],[visit_Date]],"mmmm")</f>
        <v>May</v>
      </c>
      <c r="L2953" t="str">
        <f t="shared" si="93"/>
        <v>Summer</v>
      </c>
    </row>
    <row r="2954" spans="1:12" x14ac:dyDescent="0.25">
      <c r="A2954">
        <v>2953</v>
      </c>
      <c r="B2954">
        <v>1383</v>
      </c>
      <c r="C2954">
        <v>323</v>
      </c>
      <c r="D2954" s="1">
        <v>45767</v>
      </c>
      <c r="E2954" t="s">
        <v>24</v>
      </c>
      <c r="F2954" t="s">
        <v>321</v>
      </c>
      <c r="G2954" t="str">
        <f>_xlfn.XLOOKUP(TRIM(E2955),MedicineInfo!A:A,MedicineInfo!B:B,"Not Found")</f>
        <v>Multivitamin</v>
      </c>
      <c r="H2954" s="1" t="str" cm="1">
        <f t="array" ref="H2954">_xlfn.IFS(
OR(E2954="Type 2 Diabetes",E2954="Essential Hypertension",E2954="Angina Pectoris",E2954="Bronchial Asthma",E2954="Cardiac Arrhythmia"), D2954+30,
OR(E2954="Gastritis",E2954="Osteoarthritis",E2954="Bronchitis",E2954="Iron Deficiency Anemia"), D2954+14,
OR(E2954="Lumbar Strain",E2954="Migraine Headache"), D2954+7,
OR(E2954="Viral Fever",E2954="General Checkup","Routine Health Check"), "",
TRUE,""
)</f>
        <v/>
      </c>
      <c r="I2954" s="1" t="str">
        <f t="shared" si="92"/>
        <v>No Follow-up Required</v>
      </c>
      <c r="J2954" t="str">
        <f>TEXT(Table8[[#This Row],[visit_Date]],"DDDD")</f>
        <v>Sunday</v>
      </c>
      <c r="K2954" t="str">
        <f>TEXT(Table8[[#This Row],[visit_Date]],"mmmm")</f>
        <v>April</v>
      </c>
      <c r="L2954" t="str">
        <f t="shared" si="93"/>
        <v>Summer</v>
      </c>
    </row>
    <row r="2955" spans="1:12" x14ac:dyDescent="0.25">
      <c r="A2955">
        <v>2954</v>
      </c>
      <c r="B2955">
        <v>1244</v>
      </c>
      <c r="C2955">
        <v>1561</v>
      </c>
      <c r="D2955" s="1">
        <v>45691</v>
      </c>
      <c r="E2955" t="s">
        <v>24</v>
      </c>
      <c r="F2955" t="s">
        <v>321</v>
      </c>
      <c r="G2955" t="str">
        <f>_xlfn.XLOOKUP(TRIM(E2956),MedicineInfo!A:A,MedicineInfo!B:B,"Not Found")</f>
        <v>Multivitamin</v>
      </c>
      <c r="H2955" s="1" t="str" cm="1">
        <f t="array" ref="H2955">_xlfn.IFS(
OR(E2955="Type 2 Diabetes",E2955="Essential Hypertension",E2955="Angina Pectoris",E2955="Bronchial Asthma",E2955="Cardiac Arrhythmia"), D2955+30,
OR(E2955="Gastritis",E2955="Osteoarthritis",E2955="Bronchitis",E2955="Iron Deficiency Anemia"), D2955+14,
OR(E2955="Lumbar Strain",E2955="Migraine Headache"), D2955+7,
OR(E2955="Viral Fever",E2955="General Checkup","Routine Health Check"), "",
TRUE,""
)</f>
        <v/>
      </c>
      <c r="I2955" s="1" t="str">
        <f t="shared" si="92"/>
        <v>No Follow-up Required</v>
      </c>
      <c r="J2955" t="str">
        <f>TEXT(Table8[[#This Row],[visit_Date]],"DDDD")</f>
        <v>Monday</v>
      </c>
      <c r="K2955" t="str">
        <f>TEXT(Table8[[#This Row],[visit_Date]],"mmmm")</f>
        <v>February</v>
      </c>
      <c r="L2955" t="str">
        <f t="shared" si="93"/>
        <v>Winter</v>
      </c>
    </row>
    <row r="2956" spans="1:12" x14ac:dyDescent="0.25">
      <c r="A2956">
        <v>2955</v>
      </c>
      <c r="B2956">
        <v>1398</v>
      </c>
      <c r="C2956">
        <v>1176</v>
      </c>
      <c r="D2956" s="1">
        <v>45692</v>
      </c>
      <c r="E2956" t="s">
        <v>24</v>
      </c>
      <c r="F2956" t="s">
        <v>321</v>
      </c>
      <c r="G2956" t="str">
        <f>_xlfn.XLOOKUP(TRIM(E2957),MedicineInfo!A:A,MedicineInfo!B:B,"Not Found")</f>
        <v>Multivitamin</v>
      </c>
      <c r="H2956" s="1" t="str" cm="1">
        <f t="array" ref="H2956">_xlfn.IFS(
OR(E2956="Type 2 Diabetes",E2956="Essential Hypertension",E2956="Angina Pectoris",E2956="Bronchial Asthma",E2956="Cardiac Arrhythmia"), D2956+30,
OR(E2956="Gastritis",E2956="Osteoarthritis",E2956="Bronchitis",E2956="Iron Deficiency Anemia"), D2956+14,
OR(E2956="Lumbar Strain",E2956="Migraine Headache"), D2956+7,
OR(E2956="Viral Fever",E2956="General Checkup","Routine Health Check"), "",
TRUE,""
)</f>
        <v/>
      </c>
      <c r="I2956" s="1" t="str">
        <f t="shared" si="92"/>
        <v>No Follow-up Required</v>
      </c>
      <c r="J2956" t="str">
        <f>TEXT(Table8[[#This Row],[visit_Date]],"DDDD")</f>
        <v>Tuesday</v>
      </c>
      <c r="K2956" t="str">
        <f>TEXT(Table8[[#This Row],[visit_Date]],"mmmm")</f>
        <v>February</v>
      </c>
      <c r="L2956" t="str">
        <f t="shared" si="93"/>
        <v>Winter</v>
      </c>
    </row>
    <row r="2957" spans="1:12" x14ac:dyDescent="0.25">
      <c r="A2957">
        <v>2956</v>
      </c>
      <c r="B2957">
        <v>1309</v>
      </c>
      <c r="C2957">
        <v>1254</v>
      </c>
      <c r="D2957" s="1">
        <v>45792</v>
      </c>
      <c r="E2957" t="s">
        <v>24</v>
      </c>
      <c r="F2957" t="s">
        <v>321</v>
      </c>
      <c r="G2957" t="str">
        <f>_xlfn.XLOOKUP(TRIM(E2958),MedicineInfo!A:A,MedicineInfo!B:B,"Not Found")</f>
        <v>Multivitamin</v>
      </c>
      <c r="H2957" s="1" t="str" cm="1">
        <f t="array" ref="H2957">_xlfn.IFS(
OR(E2957="Type 2 Diabetes",E2957="Essential Hypertension",E2957="Angina Pectoris",E2957="Bronchial Asthma",E2957="Cardiac Arrhythmia"), D2957+30,
OR(E2957="Gastritis",E2957="Osteoarthritis",E2957="Bronchitis",E2957="Iron Deficiency Anemia"), D2957+14,
OR(E2957="Lumbar Strain",E2957="Migraine Headache"), D2957+7,
OR(E2957="Viral Fever",E2957="General Checkup","Routine Health Check"), "",
TRUE,""
)</f>
        <v/>
      </c>
      <c r="I2957" s="1" t="str">
        <f t="shared" si="92"/>
        <v>No Follow-up Required</v>
      </c>
      <c r="J2957" t="str">
        <f>TEXT(Table8[[#This Row],[visit_Date]],"DDDD")</f>
        <v>Thursday</v>
      </c>
      <c r="K2957" t="str">
        <f>TEXT(Table8[[#This Row],[visit_Date]],"mmmm")</f>
        <v>May</v>
      </c>
      <c r="L2957" t="str">
        <f t="shared" si="93"/>
        <v>Summer</v>
      </c>
    </row>
    <row r="2958" spans="1:12" x14ac:dyDescent="0.25">
      <c r="A2958">
        <v>2957</v>
      </c>
      <c r="B2958">
        <v>1014</v>
      </c>
      <c r="C2958">
        <v>1464</v>
      </c>
      <c r="D2958" s="1">
        <v>45672</v>
      </c>
      <c r="E2958" t="s">
        <v>24</v>
      </c>
      <c r="F2958" t="s">
        <v>321</v>
      </c>
      <c r="G2958" t="str">
        <f>_xlfn.XLOOKUP(TRIM(E2959),MedicineInfo!A:A,MedicineInfo!B:B,"Not Found")</f>
        <v>Multivitamin</v>
      </c>
      <c r="H2958" s="1" t="str" cm="1">
        <f t="array" ref="H2958">_xlfn.IFS(
OR(E2958="Type 2 Diabetes",E2958="Essential Hypertension",E2958="Angina Pectoris",E2958="Bronchial Asthma",E2958="Cardiac Arrhythmia"), D2958+30,
OR(E2958="Gastritis",E2958="Osteoarthritis",E2958="Bronchitis",E2958="Iron Deficiency Anemia"), D2958+14,
OR(E2958="Lumbar Strain",E2958="Migraine Headache"), D2958+7,
OR(E2958="Viral Fever",E2958="General Checkup","Routine Health Check"), "",
TRUE,""
)</f>
        <v/>
      </c>
      <c r="I2958" s="1" t="str">
        <f t="shared" si="92"/>
        <v>No Follow-up Required</v>
      </c>
      <c r="J2958" t="str">
        <f>TEXT(Table8[[#This Row],[visit_Date]],"DDDD")</f>
        <v>Wednesday</v>
      </c>
      <c r="K2958" t="str">
        <f>TEXT(Table8[[#This Row],[visit_Date]],"mmmm")</f>
        <v>January</v>
      </c>
      <c r="L2958" t="str">
        <f t="shared" si="93"/>
        <v>Winter</v>
      </c>
    </row>
    <row r="2959" spans="1:12" x14ac:dyDescent="0.25">
      <c r="A2959">
        <v>2958</v>
      </c>
      <c r="B2959">
        <v>1055</v>
      </c>
      <c r="C2959">
        <v>927</v>
      </c>
      <c r="D2959" s="1">
        <v>45704</v>
      </c>
      <c r="E2959" t="s">
        <v>24</v>
      </c>
      <c r="F2959" t="s">
        <v>321</v>
      </c>
      <c r="G2959" t="str">
        <f>_xlfn.XLOOKUP(TRIM(E2960),MedicineInfo!A:A,MedicineInfo!B:B,"Not Found")</f>
        <v>Metformin</v>
      </c>
      <c r="H2959" s="1" t="str" cm="1">
        <f t="array" ref="H2959">_xlfn.IFS(
OR(E2959="Type 2 Diabetes",E2959="Essential Hypertension",E2959="Angina Pectoris",E2959="Bronchial Asthma",E2959="Cardiac Arrhythmia"), D2959+30,
OR(E2959="Gastritis",E2959="Osteoarthritis",E2959="Bronchitis",E2959="Iron Deficiency Anemia"), D2959+14,
OR(E2959="Lumbar Strain",E2959="Migraine Headache"), D2959+7,
OR(E2959="Viral Fever",E2959="General Checkup","Routine Health Check"), "",
TRUE,""
)</f>
        <v/>
      </c>
      <c r="I2959" s="1" t="str">
        <f t="shared" si="92"/>
        <v>No Follow-up Required</v>
      </c>
      <c r="J2959" t="str">
        <f>TEXT(Table8[[#This Row],[visit_Date]],"DDDD")</f>
        <v>Sunday</v>
      </c>
      <c r="K2959" t="str">
        <f>TEXT(Table8[[#This Row],[visit_Date]],"mmmm")</f>
        <v>February</v>
      </c>
      <c r="L2959" t="str">
        <f t="shared" si="93"/>
        <v>Winter</v>
      </c>
    </row>
    <row r="2960" spans="1:12" x14ac:dyDescent="0.25">
      <c r="A2960">
        <v>2959</v>
      </c>
      <c r="B2960">
        <v>1120</v>
      </c>
      <c r="C2960">
        <v>801</v>
      </c>
      <c r="D2960" s="1">
        <v>45792</v>
      </c>
      <c r="E2960" t="s">
        <v>317</v>
      </c>
      <c r="F2960" t="s">
        <v>318</v>
      </c>
      <c r="G2960" t="str">
        <f>_xlfn.XLOOKUP(TRIM(E2961),MedicineInfo!A:A,MedicineInfo!B:B,"Not Found")</f>
        <v>Sodium Valproate</v>
      </c>
      <c r="H2960" s="1" cm="1">
        <f t="array" ref="H2960">_xlfn.IFS(
OR(E2960="Type 2 Diabetes",E2960="Essential Hypertension",E2960="Angina Pectoris",E2960="Bronchial Asthma",E2960="Cardiac Arrhythmia"), D2960+30,
OR(E2960="Gastritis",E2960="Osteoarthritis",E2960="Bronchitis",E2960="Iron Deficiency Anemia"), D2960+14,
OR(E2960="Lumbar Strain",E2960="Migraine Headache"), D2960+7,
OR(E2960="Viral Fever",E2960="General Checkup","Routine Health Check"), "",
TRUE,""
)</f>
        <v>45822</v>
      </c>
      <c r="I2960" s="1" t="str">
        <f t="shared" si="92"/>
        <v>Follow-up Scheduled</v>
      </c>
      <c r="J2960" t="str">
        <f>TEXT(Table8[[#This Row],[visit_Date]],"DDDD")</f>
        <v>Thursday</v>
      </c>
      <c r="K2960" t="str">
        <f>TEXT(Table8[[#This Row],[visit_Date]],"mmmm")</f>
        <v>May</v>
      </c>
      <c r="L2960" t="str">
        <f t="shared" si="93"/>
        <v>Summer</v>
      </c>
    </row>
    <row r="2961" spans="1:12" x14ac:dyDescent="0.25">
      <c r="A2961">
        <v>2960</v>
      </c>
      <c r="B2961">
        <v>1096</v>
      </c>
      <c r="C2961">
        <v>547</v>
      </c>
      <c r="D2961" s="1">
        <v>45853</v>
      </c>
      <c r="E2961" t="s">
        <v>352</v>
      </c>
      <c r="F2961" t="s">
        <v>353</v>
      </c>
      <c r="G2961" t="str">
        <f>_xlfn.XLOOKUP(TRIM(E2962),MedicineInfo!A:A,MedicineInfo!B:B,"Not Found")</f>
        <v>Multivitamin</v>
      </c>
      <c r="H2961" s="1" t="str" cm="1">
        <f t="array" ref="H2961">_xlfn.IFS(
OR(E2961="Type 2 Diabetes",E2961="Essential Hypertension",E2961="Angina Pectoris",E2961="Bronchial Asthma",E2961="Cardiac Arrhythmia"), D2961+30,
OR(E2961="Gastritis",E2961="Osteoarthritis",E2961="Bronchitis",E2961="Iron Deficiency Anemia"), D2961+14,
OR(E2961="Lumbar Strain",E2961="Migraine Headache"), D2961+7,
OR(E2961="Viral Fever",E2961="General Checkup","Routine Health Check"), "",
TRUE,""
)</f>
        <v/>
      </c>
      <c r="I2961" s="1" t="str">
        <f t="shared" si="92"/>
        <v>No Follow-up Required</v>
      </c>
      <c r="J2961" t="str">
        <f>TEXT(Table8[[#This Row],[visit_Date]],"DDDD")</f>
        <v>Tuesday</v>
      </c>
      <c r="K2961" t="str">
        <f>TEXT(Table8[[#This Row],[visit_Date]],"mmmm")</f>
        <v>July</v>
      </c>
      <c r="L2961" t="str">
        <f t="shared" si="93"/>
        <v>Monsoon</v>
      </c>
    </row>
    <row r="2962" spans="1:12" x14ac:dyDescent="0.25">
      <c r="A2962">
        <v>2961</v>
      </c>
      <c r="B2962">
        <v>1226</v>
      </c>
      <c r="C2962">
        <v>426</v>
      </c>
      <c r="D2962" s="1">
        <v>45781</v>
      </c>
      <c r="E2962" t="s">
        <v>24</v>
      </c>
      <c r="F2962" t="s">
        <v>321</v>
      </c>
      <c r="G2962" t="str">
        <f>_xlfn.XLOOKUP(TRIM(E2963),MedicineInfo!A:A,MedicineInfo!B:B,"Not Found")</f>
        <v>Multivitamin</v>
      </c>
      <c r="H2962" s="1" t="str" cm="1">
        <f t="array" ref="H2962">_xlfn.IFS(
OR(E2962="Type 2 Diabetes",E2962="Essential Hypertension",E2962="Angina Pectoris",E2962="Bronchial Asthma",E2962="Cardiac Arrhythmia"), D2962+30,
OR(E2962="Gastritis",E2962="Osteoarthritis",E2962="Bronchitis",E2962="Iron Deficiency Anemia"), D2962+14,
OR(E2962="Lumbar Strain",E2962="Migraine Headache"), D2962+7,
OR(E2962="Viral Fever",E2962="General Checkup","Routine Health Check"), "",
TRUE,""
)</f>
        <v/>
      </c>
      <c r="I2962" s="1" t="str">
        <f t="shared" si="92"/>
        <v>No Follow-up Required</v>
      </c>
      <c r="J2962" t="str">
        <f>TEXT(Table8[[#This Row],[visit_Date]],"DDDD")</f>
        <v>Sunday</v>
      </c>
      <c r="K2962" t="str">
        <f>TEXT(Table8[[#This Row],[visit_Date]],"mmmm")</f>
        <v>May</v>
      </c>
      <c r="L2962" t="str">
        <f t="shared" si="93"/>
        <v>Summer</v>
      </c>
    </row>
    <row r="2963" spans="1:12" x14ac:dyDescent="0.25">
      <c r="A2963">
        <v>2962</v>
      </c>
      <c r="B2963">
        <v>1225</v>
      </c>
      <c r="C2963">
        <v>1175</v>
      </c>
      <c r="D2963" s="1">
        <v>45758</v>
      </c>
      <c r="E2963" t="s">
        <v>24</v>
      </c>
      <c r="F2963" t="s">
        <v>321</v>
      </c>
      <c r="G2963" t="str">
        <f>_xlfn.XLOOKUP(TRIM(E2964),MedicineInfo!A:A,MedicineInfo!B:B,"Not Found")</f>
        <v>Multivitamin</v>
      </c>
      <c r="H2963" s="1" t="str" cm="1">
        <f t="array" ref="H2963">_xlfn.IFS(
OR(E2963="Type 2 Diabetes",E2963="Essential Hypertension",E2963="Angina Pectoris",E2963="Bronchial Asthma",E2963="Cardiac Arrhythmia"), D2963+30,
OR(E2963="Gastritis",E2963="Osteoarthritis",E2963="Bronchitis",E2963="Iron Deficiency Anemia"), D2963+14,
OR(E2963="Lumbar Strain",E2963="Migraine Headache"), D2963+7,
OR(E2963="Viral Fever",E2963="General Checkup","Routine Health Check"), "",
TRUE,""
)</f>
        <v/>
      </c>
      <c r="I2963" s="1" t="str">
        <f t="shared" si="92"/>
        <v>No Follow-up Required</v>
      </c>
      <c r="J2963" t="str">
        <f>TEXT(Table8[[#This Row],[visit_Date]],"DDDD")</f>
        <v>Friday</v>
      </c>
      <c r="K2963" t="str">
        <f>TEXT(Table8[[#This Row],[visit_Date]],"mmmm")</f>
        <v>April</v>
      </c>
      <c r="L2963" t="str">
        <f t="shared" si="93"/>
        <v>Summer</v>
      </c>
    </row>
    <row r="2964" spans="1:12" x14ac:dyDescent="0.25">
      <c r="A2964">
        <v>2963</v>
      </c>
      <c r="B2964">
        <v>1243</v>
      </c>
      <c r="C2964">
        <v>403</v>
      </c>
      <c r="D2964" s="1">
        <v>45837</v>
      </c>
      <c r="E2964" t="s">
        <v>24</v>
      </c>
      <c r="F2964" t="s">
        <v>321</v>
      </c>
      <c r="G2964" t="str">
        <f>_xlfn.XLOOKUP(TRIM(E2965),MedicineInfo!A:A,MedicineInfo!B:B,"Not Found")</f>
        <v>Multivitamin</v>
      </c>
      <c r="H2964" s="1" t="str" cm="1">
        <f t="array" ref="H2964">_xlfn.IFS(
OR(E2964="Type 2 Diabetes",E2964="Essential Hypertension",E2964="Angina Pectoris",E2964="Bronchial Asthma",E2964="Cardiac Arrhythmia"), D2964+30,
OR(E2964="Gastritis",E2964="Osteoarthritis",E2964="Bronchitis",E2964="Iron Deficiency Anemia"), D2964+14,
OR(E2964="Lumbar Strain",E2964="Migraine Headache"), D2964+7,
OR(E2964="Viral Fever",E2964="General Checkup","Routine Health Check"), "",
TRUE,""
)</f>
        <v/>
      </c>
      <c r="I2964" s="1" t="str">
        <f t="shared" si="92"/>
        <v>No Follow-up Required</v>
      </c>
      <c r="J2964" t="str">
        <f>TEXT(Table8[[#This Row],[visit_Date]],"DDDD")</f>
        <v>Sunday</v>
      </c>
      <c r="K2964" t="str">
        <f>TEXT(Table8[[#This Row],[visit_Date]],"mmmm")</f>
        <v>June</v>
      </c>
      <c r="L2964" t="str">
        <f t="shared" si="93"/>
        <v>Monsoon</v>
      </c>
    </row>
    <row r="2965" spans="1:12" x14ac:dyDescent="0.25">
      <c r="A2965">
        <v>2964</v>
      </c>
      <c r="B2965">
        <v>1313</v>
      </c>
      <c r="C2965">
        <v>908</v>
      </c>
      <c r="D2965" s="1">
        <v>45691</v>
      </c>
      <c r="E2965" t="s">
        <v>24</v>
      </c>
      <c r="F2965" t="s">
        <v>321</v>
      </c>
      <c r="G2965" t="str">
        <f>_xlfn.XLOOKUP(TRIM(E2966),MedicineInfo!A:A,MedicineInfo!B:B,"Not Found")</f>
        <v>Multivitamin</v>
      </c>
      <c r="H2965" s="1" t="str" cm="1">
        <f t="array" ref="H2965">_xlfn.IFS(
OR(E2965="Type 2 Diabetes",E2965="Essential Hypertension",E2965="Angina Pectoris",E2965="Bronchial Asthma",E2965="Cardiac Arrhythmia"), D2965+30,
OR(E2965="Gastritis",E2965="Osteoarthritis",E2965="Bronchitis",E2965="Iron Deficiency Anemia"), D2965+14,
OR(E2965="Lumbar Strain",E2965="Migraine Headache"), D2965+7,
OR(E2965="Viral Fever",E2965="General Checkup","Routine Health Check"), "",
TRUE,""
)</f>
        <v/>
      </c>
      <c r="I2965" s="1" t="str">
        <f t="shared" si="92"/>
        <v>No Follow-up Required</v>
      </c>
      <c r="J2965" t="str">
        <f>TEXT(Table8[[#This Row],[visit_Date]],"DDDD")</f>
        <v>Monday</v>
      </c>
      <c r="K2965" t="str">
        <f>TEXT(Table8[[#This Row],[visit_Date]],"mmmm")</f>
        <v>February</v>
      </c>
      <c r="L2965" t="str">
        <f t="shared" si="93"/>
        <v>Winter</v>
      </c>
    </row>
    <row r="2966" spans="1:12" x14ac:dyDescent="0.25">
      <c r="A2966">
        <v>2965</v>
      </c>
      <c r="B2966">
        <v>1299</v>
      </c>
      <c r="C2966">
        <v>1152</v>
      </c>
      <c r="D2966" s="1">
        <v>45718</v>
      </c>
      <c r="E2966" t="s">
        <v>24</v>
      </c>
      <c r="F2966" t="s">
        <v>321</v>
      </c>
      <c r="G2966" t="str">
        <f>_xlfn.XLOOKUP(TRIM(E2967),MedicineInfo!A:A,MedicineInfo!B:B,"Not Found")</f>
        <v>Multivitamin</v>
      </c>
      <c r="H2966" s="1" t="str" cm="1">
        <f t="array" ref="H2966">_xlfn.IFS(
OR(E2966="Type 2 Diabetes",E2966="Essential Hypertension",E2966="Angina Pectoris",E2966="Bronchial Asthma",E2966="Cardiac Arrhythmia"), D2966+30,
OR(E2966="Gastritis",E2966="Osteoarthritis",E2966="Bronchitis",E2966="Iron Deficiency Anemia"), D2966+14,
OR(E2966="Lumbar Strain",E2966="Migraine Headache"), D2966+7,
OR(E2966="Viral Fever",E2966="General Checkup","Routine Health Check"), "",
TRUE,""
)</f>
        <v/>
      </c>
      <c r="I2966" s="1" t="str">
        <f t="shared" si="92"/>
        <v>No Follow-up Required</v>
      </c>
      <c r="J2966" t="str">
        <f>TEXT(Table8[[#This Row],[visit_Date]],"DDDD")</f>
        <v>Sunday</v>
      </c>
      <c r="K2966" t="str">
        <f>TEXT(Table8[[#This Row],[visit_Date]],"mmmm")</f>
        <v>March</v>
      </c>
      <c r="L2966" t="str">
        <f t="shared" si="93"/>
        <v>Summer</v>
      </c>
    </row>
    <row r="2967" spans="1:12" x14ac:dyDescent="0.25">
      <c r="A2967">
        <v>2966</v>
      </c>
      <c r="B2967">
        <v>1202</v>
      </c>
      <c r="C2967">
        <v>1185</v>
      </c>
      <c r="D2967" s="1">
        <v>45669</v>
      </c>
      <c r="E2967" t="s">
        <v>24</v>
      </c>
      <c r="F2967" t="s">
        <v>321</v>
      </c>
      <c r="G2967" t="str">
        <f>_xlfn.XLOOKUP(TRIM(E2968),MedicineInfo!A:A,MedicineInfo!B:B,"Not Found")</f>
        <v>Pantoprazole</v>
      </c>
      <c r="H2967" s="1" t="str" cm="1">
        <f t="array" ref="H2967">_xlfn.IFS(
OR(E2967="Type 2 Diabetes",E2967="Essential Hypertension",E2967="Angina Pectoris",E2967="Bronchial Asthma",E2967="Cardiac Arrhythmia"), D2967+30,
OR(E2967="Gastritis",E2967="Osteoarthritis",E2967="Bronchitis",E2967="Iron Deficiency Anemia"), D2967+14,
OR(E2967="Lumbar Strain",E2967="Migraine Headache"), D2967+7,
OR(E2967="Viral Fever",E2967="General Checkup","Routine Health Check"), "",
TRUE,""
)</f>
        <v/>
      </c>
      <c r="I2967" s="1" t="str">
        <f t="shared" si="92"/>
        <v>No Follow-up Required</v>
      </c>
      <c r="J2967" t="str">
        <f>TEXT(Table8[[#This Row],[visit_Date]],"DDDD")</f>
        <v>Sunday</v>
      </c>
      <c r="K2967" t="str">
        <f>TEXT(Table8[[#This Row],[visit_Date]],"mmmm")</f>
        <v>January</v>
      </c>
      <c r="L2967" t="str">
        <f t="shared" si="93"/>
        <v>Winter</v>
      </c>
    </row>
    <row r="2968" spans="1:12" x14ac:dyDescent="0.25">
      <c r="A2968">
        <v>2967</v>
      </c>
      <c r="B2968">
        <v>1103</v>
      </c>
      <c r="C2968">
        <v>503</v>
      </c>
      <c r="D2968" s="1">
        <v>45832</v>
      </c>
      <c r="E2968" t="s">
        <v>344</v>
      </c>
      <c r="F2968" t="s">
        <v>345</v>
      </c>
      <c r="G2968" t="str">
        <f>_xlfn.XLOOKUP(TRIM(E2969),MedicineInfo!A:A,MedicineInfo!B:B,"Not Found")</f>
        <v>Hydrocortisone Cream</v>
      </c>
      <c r="H2968" s="1" cm="1">
        <f t="array" ref="H2968">_xlfn.IFS(
OR(E2968="Type 2 Diabetes",E2968="Essential Hypertension",E2968="Angina Pectoris",E2968="Bronchial Asthma",E2968="Cardiac Arrhythmia"), D2968+30,
OR(E2968="Gastritis",E2968="Osteoarthritis",E2968="Bronchitis",E2968="Iron Deficiency Anemia"), D2968+14,
OR(E2968="Lumbar Strain",E2968="Migraine Headache"), D2968+7,
OR(E2968="Viral Fever",E2968="General Checkup","Routine Health Check"), "",
TRUE,""
)</f>
        <v>45846</v>
      </c>
      <c r="I2968" s="1" t="str">
        <f t="shared" si="92"/>
        <v>Follow-up Scheduled</v>
      </c>
      <c r="J2968" t="str">
        <f>TEXT(Table8[[#This Row],[visit_Date]],"DDDD")</f>
        <v>Tuesday</v>
      </c>
      <c r="K2968" t="str">
        <f>TEXT(Table8[[#This Row],[visit_Date]],"mmmm")</f>
        <v>June</v>
      </c>
      <c r="L2968" t="str">
        <f t="shared" si="93"/>
        <v>Monsoon</v>
      </c>
    </row>
    <row r="2969" spans="1:12" x14ac:dyDescent="0.25">
      <c r="A2969">
        <v>2968</v>
      </c>
      <c r="B2969">
        <v>1155</v>
      </c>
      <c r="C2969">
        <v>871</v>
      </c>
      <c r="D2969" s="1">
        <v>45669</v>
      </c>
      <c r="E2969" t="s">
        <v>338</v>
      </c>
      <c r="F2969" t="s">
        <v>339</v>
      </c>
      <c r="G2969" t="str">
        <f>_xlfn.XLOOKUP(TRIM(E2970),MedicineInfo!A:A,MedicineInfo!B:B,"Not Found")</f>
        <v>Aceclofenac</v>
      </c>
      <c r="H2969" s="1" t="str" cm="1">
        <f t="array" ref="H2969">_xlfn.IFS(
OR(E2969="Type 2 Diabetes",E2969="Essential Hypertension",E2969="Angina Pectoris",E2969="Bronchial Asthma",E2969="Cardiac Arrhythmia"), D2969+30,
OR(E2969="Gastritis",E2969="Osteoarthritis",E2969="Bronchitis",E2969="Iron Deficiency Anemia"), D2969+14,
OR(E2969="Lumbar Strain",E2969="Migraine Headache"), D2969+7,
OR(E2969="Viral Fever",E2969="General Checkup","Routine Health Check"), "",
TRUE,""
)</f>
        <v/>
      </c>
      <c r="I2969" s="1" t="str">
        <f t="shared" si="92"/>
        <v>No Follow-up Required</v>
      </c>
      <c r="J2969" t="str">
        <f>TEXT(Table8[[#This Row],[visit_Date]],"DDDD")</f>
        <v>Sunday</v>
      </c>
      <c r="K2969" t="str">
        <f>TEXT(Table8[[#This Row],[visit_Date]],"mmmm")</f>
        <v>January</v>
      </c>
      <c r="L2969" t="str">
        <f t="shared" si="93"/>
        <v>Winter</v>
      </c>
    </row>
    <row r="2970" spans="1:12" x14ac:dyDescent="0.25">
      <c r="A2970">
        <v>2969</v>
      </c>
      <c r="B2970">
        <v>1052</v>
      </c>
      <c r="C2970">
        <v>1532</v>
      </c>
      <c r="D2970" s="1">
        <v>45844</v>
      </c>
      <c r="E2970" t="s">
        <v>348</v>
      </c>
      <c r="F2970" t="s">
        <v>349</v>
      </c>
      <c r="G2970" t="str">
        <f>_xlfn.XLOOKUP(TRIM(E2971),MedicineInfo!A:A,MedicineInfo!B:B,"Not Found")</f>
        <v>Multivitamin</v>
      </c>
      <c r="H2970" s="1" cm="1">
        <f t="array" ref="H2970">_xlfn.IFS(
OR(E2970="Type 2 Diabetes",E2970="Essential Hypertension",E2970="Angina Pectoris",E2970="Bronchial Asthma",E2970="Cardiac Arrhythmia"), D2970+30,
OR(E2970="Gastritis",E2970="Osteoarthritis",E2970="Bronchitis",E2970="Iron Deficiency Anemia"), D2970+14,
OR(E2970="Lumbar Strain",E2970="Migraine Headache"), D2970+7,
OR(E2970="Viral Fever",E2970="General Checkup","Routine Health Check"), "",
TRUE,""
)</f>
        <v>45858</v>
      </c>
      <c r="I2970" s="1" t="str">
        <f t="shared" si="92"/>
        <v>Follow-up Scheduled</v>
      </c>
      <c r="J2970" t="str">
        <f>TEXT(Table8[[#This Row],[visit_Date]],"DDDD")</f>
        <v>Sunday</v>
      </c>
      <c r="K2970" t="str">
        <f>TEXT(Table8[[#This Row],[visit_Date]],"mmmm")</f>
        <v>July</v>
      </c>
      <c r="L2970" t="str">
        <f t="shared" si="93"/>
        <v>Monsoon</v>
      </c>
    </row>
    <row r="2971" spans="1:12" x14ac:dyDescent="0.25">
      <c r="A2971">
        <v>2970</v>
      </c>
      <c r="B2971">
        <v>1137</v>
      </c>
      <c r="C2971">
        <v>869</v>
      </c>
      <c r="D2971" s="1">
        <v>45852</v>
      </c>
      <c r="E2971" t="s">
        <v>24</v>
      </c>
      <c r="F2971" t="s">
        <v>321</v>
      </c>
      <c r="G2971" t="str">
        <f>_xlfn.XLOOKUP(TRIM(E2972),MedicineInfo!A:A,MedicineInfo!B:B,"Not Found")</f>
        <v>Multivitamin</v>
      </c>
      <c r="H2971" s="1" t="str" cm="1">
        <f t="array" ref="H2971">_xlfn.IFS(
OR(E2971="Type 2 Diabetes",E2971="Essential Hypertension",E2971="Angina Pectoris",E2971="Bronchial Asthma",E2971="Cardiac Arrhythmia"), D2971+30,
OR(E2971="Gastritis",E2971="Osteoarthritis",E2971="Bronchitis",E2971="Iron Deficiency Anemia"), D2971+14,
OR(E2971="Lumbar Strain",E2971="Migraine Headache"), D2971+7,
OR(E2971="Viral Fever",E2971="General Checkup","Routine Health Check"), "",
TRUE,""
)</f>
        <v/>
      </c>
      <c r="I2971" s="1" t="str">
        <f t="shared" si="92"/>
        <v>No Follow-up Required</v>
      </c>
      <c r="J2971" t="str">
        <f>TEXT(Table8[[#This Row],[visit_Date]],"DDDD")</f>
        <v>Monday</v>
      </c>
      <c r="K2971" t="str">
        <f>TEXT(Table8[[#This Row],[visit_Date]],"mmmm")</f>
        <v>July</v>
      </c>
      <c r="L2971" t="str">
        <f t="shared" si="93"/>
        <v>Monsoon</v>
      </c>
    </row>
    <row r="2972" spans="1:12" x14ac:dyDescent="0.25">
      <c r="A2972">
        <v>2971</v>
      </c>
      <c r="B2972">
        <v>1341</v>
      </c>
      <c r="C2972">
        <v>408</v>
      </c>
      <c r="D2972" s="1">
        <v>45760</v>
      </c>
      <c r="E2972" t="s">
        <v>24</v>
      </c>
      <c r="F2972" t="s">
        <v>321</v>
      </c>
      <c r="G2972" t="str">
        <f>_xlfn.XLOOKUP(TRIM(E2973),MedicineInfo!A:A,MedicineInfo!B:B,"Not Found")</f>
        <v>Escitalopram</v>
      </c>
      <c r="H2972" s="1" t="str" cm="1">
        <f t="array" ref="H2972">_xlfn.IFS(
OR(E2972="Type 2 Diabetes",E2972="Essential Hypertension",E2972="Angina Pectoris",E2972="Bronchial Asthma",E2972="Cardiac Arrhythmia"), D2972+30,
OR(E2972="Gastritis",E2972="Osteoarthritis",E2972="Bronchitis",E2972="Iron Deficiency Anemia"), D2972+14,
OR(E2972="Lumbar Strain",E2972="Migraine Headache"), D2972+7,
OR(E2972="Viral Fever",E2972="General Checkup","Routine Health Check"), "",
TRUE,""
)</f>
        <v/>
      </c>
      <c r="I2972" s="1" t="str">
        <f t="shared" si="92"/>
        <v>No Follow-up Required</v>
      </c>
      <c r="J2972" t="str">
        <f>TEXT(Table8[[#This Row],[visit_Date]],"DDDD")</f>
        <v>Sunday</v>
      </c>
      <c r="K2972" t="str">
        <f>TEXT(Table8[[#This Row],[visit_Date]],"mmmm")</f>
        <v>April</v>
      </c>
      <c r="L2972" t="str">
        <f t="shared" si="93"/>
        <v>Summer</v>
      </c>
    </row>
    <row r="2973" spans="1:12" x14ac:dyDescent="0.25">
      <c r="A2973">
        <v>2972</v>
      </c>
      <c r="B2973">
        <v>1179</v>
      </c>
      <c r="C2973">
        <v>1095</v>
      </c>
      <c r="D2973" s="1">
        <v>45691</v>
      </c>
      <c r="E2973" t="s">
        <v>328</v>
      </c>
      <c r="F2973" t="s">
        <v>329</v>
      </c>
      <c r="G2973" t="str">
        <f>_xlfn.XLOOKUP(TRIM(E2974),MedicineInfo!A:A,MedicineInfo!B:B,"Not Found")</f>
        <v>Multivitamin</v>
      </c>
      <c r="H2973" s="1" t="str" cm="1">
        <f t="array" ref="H2973">_xlfn.IFS(
OR(E2973="Type 2 Diabetes",E2973="Essential Hypertension",E2973="Angina Pectoris",E2973="Bronchial Asthma",E2973="Cardiac Arrhythmia"), D2973+30,
OR(E2973="Gastritis",E2973="Osteoarthritis",E2973="Bronchitis",E2973="Iron Deficiency Anemia"), D2973+14,
OR(E2973="Lumbar Strain",E2973="Migraine Headache"), D2973+7,
OR(E2973="Viral Fever",E2973="General Checkup","Routine Health Check"), "",
TRUE,""
)</f>
        <v/>
      </c>
      <c r="I2973" s="1" t="str">
        <f t="shared" si="92"/>
        <v>No Follow-up Required</v>
      </c>
      <c r="J2973" t="str">
        <f>TEXT(Table8[[#This Row],[visit_Date]],"DDDD")</f>
        <v>Monday</v>
      </c>
      <c r="K2973" t="str">
        <f>TEXT(Table8[[#This Row],[visit_Date]],"mmmm")</f>
        <v>February</v>
      </c>
      <c r="L2973" t="str">
        <f t="shared" si="93"/>
        <v>Winter</v>
      </c>
    </row>
    <row r="2974" spans="1:12" x14ac:dyDescent="0.25">
      <c r="A2974">
        <v>2973</v>
      </c>
      <c r="B2974">
        <v>1088</v>
      </c>
      <c r="C2974">
        <v>299</v>
      </c>
      <c r="D2974" s="1">
        <v>45669</v>
      </c>
      <c r="E2974" t="s">
        <v>24</v>
      </c>
      <c r="F2974" t="s">
        <v>321</v>
      </c>
      <c r="G2974" t="str">
        <f>_xlfn.XLOOKUP(TRIM(E2975),MedicineInfo!A:A,MedicineInfo!B:B,"Not Found")</f>
        <v>Multivitamin</v>
      </c>
      <c r="H2974" s="1" t="str" cm="1">
        <f t="array" ref="H2974">_xlfn.IFS(
OR(E2974="Type 2 Diabetes",E2974="Essential Hypertension",E2974="Angina Pectoris",E2974="Bronchial Asthma",E2974="Cardiac Arrhythmia"), D2974+30,
OR(E2974="Gastritis",E2974="Osteoarthritis",E2974="Bronchitis",E2974="Iron Deficiency Anemia"), D2974+14,
OR(E2974="Lumbar Strain",E2974="Migraine Headache"), D2974+7,
OR(E2974="Viral Fever",E2974="General Checkup","Routine Health Check"), "",
TRUE,""
)</f>
        <v/>
      </c>
      <c r="I2974" s="1" t="str">
        <f t="shared" si="92"/>
        <v>No Follow-up Required</v>
      </c>
      <c r="J2974" t="str">
        <f>TEXT(Table8[[#This Row],[visit_Date]],"DDDD")</f>
        <v>Sunday</v>
      </c>
      <c r="K2974" t="str">
        <f>TEXT(Table8[[#This Row],[visit_Date]],"mmmm")</f>
        <v>January</v>
      </c>
      <c r="L2974" t="str">
        <f t="shared" si="93"/>
        <v>Winter</v>
      </c>
    </row>
    <row r="2975" spans="1:12" x14ac:dyDescent="0.25">
      <c r="A2975">
        <v>2974</v>
      </c>
      <c r="B2975">
        <v>1344</v>
      </c>
      <c r="C2975">
        <v>1464</v>
      </c>
      <c r="D2975" s="1">
        <v>45823</v>
      </c>
      <c r="E2975" t="s">
        <v>24</v>
      </c>
      <c r="F2975" t="s">
        <v>321</v>
      </c>
      <c r="G2975" t="str">
        <f>_xlfn.XLOOKUP(TRIM(E2976),MedicineInfo!A:A,MedicineInfo!B:B,"Not Found")</f>
        <v>Multivitamin</v>
      </c>
      <c r="H2975" s="1" t="str" cm="1">
        <f t="array" ref="H2975">_xlfn.IFS(
OR(E2975="Type 2 Diabetes",E2975="Essential Hypertension",E2975="Angina Pectoris",E2975="Bronchial Asthma",E2975="Cardiac Arrhythmia"), D2975+30,
OR(E2975="Gastritis",E2975="Osteoarthritis",E2975="Bronchitis",E2975="Iron Deficiency Anemia"), D2975+14,
OR(E2975="Lumbar Strain",E2975="Migraine Headache"), D2975+7,
OR(E2975="Viral Fever",E2975="General Checkup","Routine Health Check"), "",
TRUE,""
)</f>
        <v/>
      </c>
      <c r="I2975" s="1" t="str">
        <f t="shared" si="92"/>
        <v>No Follow-up Required</v>
      </c>
      <c r="J2975" t="str">
        <f>TEXT(Table8[[#This Row],[visit_Date]],"DDDD")</f>
        <v>Sunday</v>
      </c>
      <c r="K2975" t="str">
        <f>TEXT(Table8[[#This Row],[visit_Date]],"mmmm")</f>
        <v>June</v>
      </c>
      <c r="L2975" t="str">
        <f t="shared" si="93"/>
        <v>Monsoon</v>
      </c>
    </row>
    <row r="2976" spans="1:12" x14ac:dyDescent="0.25">
      <c r="A2976">
        <v>2975</v>
      </c>
      <c r="B2976">
        <v>1360</v>
      </c>
      <c r="C2976">
        <v>764</v>
      </c>
      <c r="D2976" s="1">
        <v>45816</v>
      </c>
      <c r="E2976" t="s">
        <v>24</v>
      </c>
      <c r="F2976" t="s">
        <v>321</v>
      </c>
      <c r="G2976" t="str">
        <f>_xlfn.XLOOKUP(TRIM(E2977),MedicineInfo!A:A,MedicineInfo!B:B,"Not Found")</f>
        <v>Amlodipine</v>
      </c>
      <c r="H2976" s="1" t="str" cm="1">
        <f t="array" ref="H2976">_xlfn.IFS(
OR(E2976="Type 2 Diabetes",E2976="Essential Hypertension",E2976="Angina Pectoris",E2976="Bronchial Asthma",E2976="Cardiac Arrhythmia"), D2976+30,
OR(E2976="Gastritis",E2976="Osteoarthritis",E2976="Bronchitis",E2976="Iron Deficiency Anemia"), D2976+14,
OR(E2976="Lumbar Strain",E2976="Migraine Headache"), D2976+7,
OR(E2976="Viral Fever",E2976="General Checkup","Routine Health Check"), "",
TRUE,""
)</f>
        <v/>
      </c>
      <c r="I2976" s="1" t="str">
        <f t="shared" si="92"/>
        <v>No Follow-up Required</v>
      </c>
      <c r="J2976" t="str">
        <f>TEXT(Table8[[#This Row],[visit_Date]],"DDDD")</f>
        <v>Sunday</v>
      </c>
      <c r="K2976" t="str">
        <f>TEXT(Table8[[#This Row],[visit_Date]],"mmmm")</f>
        <v>June</v>
      </c>
      <c r="L2976" t="str">
        <f t="shared" si="93"/>
        <v>Monsoon</v>
      </c>
    </row>
    <row r="2977" spans="1:12" x14ac:dyDescent="0.25">
      <c r="A2977">
        <v>2976</v>
      </c>
      <c r="B2977">
        <v>1160</v>
      </c>
      <c r="C2977">
        <v>636</v>
      </c>
      <c r="D2977" s="1">
        <v>45690</v>
      </c>
      <c r="E2977" t="s">
        <v>319</v>
      </c>
      <c r="F2977" t="s">
        <v>320</v>
      </c>
      <c r="G2977" t="str">
        <f>_xlfn.XLOOKUP(TRIM(E2978),MedicineInfo!A:A,MedicineInfo!B:B,"Not Found")</f>
        <v>Multivitamin</v>
      </c>
      <c r="H2977" s="1" cm="1">
        <f t="array" ref="H2977">_xlfn.IFS(
OR(E2977="Type 2 Diabetes",E2977="Essential Hypertension",E2977="Angina Pectoris",E2977="Bronchial Asthma",E2977="Cardiac Arrhythmia"), D2977+30,
OR(E2977="Gastritis",E2977="Osteoarthritis",E2977="Bronchitis",E2977="Iron Deficiency Anemia"), D2977+14,
OR(E2977="Lumbar Strain",E2977="Migraine Headache"), D2977+7,
OR(E2977="Viral Fever",E2977="General Checkup","Routine Health Check"), "",
TRUE,""
)</f>
        <v>45720</v>
      </c>
      <c r="I2977" s="1" t="str">
        <f t="shared" si="92"/>
        <v>Follow-up Scheduled</v>
      </c>
      <c r="J2977" t="str">
        <f>TEXT(Table8[[#This Row],[visit_Date]],"DDDD")</f>
        <v>Sunday</v>
      </c>
      <c r="K2977" t="str">
        <f>TEXT(Table8[[#This Row],[visit_Date]],"mmmm")</f>
        <v>February</v>
      </c>
      <c r="L2977" t="str">
        <f t="shared" si="93"/>
        <v>Winter</v>
      </c>
    </row>
    <row r="2978" spans="1:12" x14ac:dyDescent="0.25">
      <c r="A2978">
        <v>2977</v>
      </c>
      <c r="B2978">
        <v>1273</v>
      </c>
      <c r="C2978">
        <v>1291</v>
      </c>
      <c r="D2978" s="1">
        <v>45717</v>
      </c>
      <c r="E2978" t="s">
        <v>24</v>
      </c>
      <c r="F2978" t="s">
        <v>321</v>
      </c>
      <c r="G2978" t="str">
        <f>_xlfn.XLOOKUP(TRIM(E2979),MedicineInfo!A:A,MedicineInfo!B:B,"Not Found")</f>
        <v>Multivitamin</v>
      </c>
      <c r="H2978" s="1" t="str" cm="1">
        <f t="array" ref="H2978">_xlfn.IFS(
OR(E2978="Type 2 Diabetes",E2978="Essential Hypertension",E2978="Angina Pectoris",E2978="Bronchial Asthma",E2978="Cardiac Arrhythmia"), D2978+30,
OR(E2978="Gastritis",E2978="Osteoarthritis",E2978="Bronchitis",E2978="Iron Deficiency Anemia"), D2978+14,
OR(E2978="Lumbar Strain",E2978="Migraine Headache"), D2978+7,
OR(E2978="Viral Fever",E2978="General Checkup","Routine Health Check"), "",
TRUE,""
)</f>
        <v/>
      </c>
      <c r="I2978" s="1" t="str">
        <f t="shared" si="92"/>
        <v>No Follow-up Required</v>
      </c>
      <c r="J2978" t="str">
        <f>TEXT(Table8[[#This Row],[visit_Date]],"DDDD")</f>
        <v>Saturday</v>
      </c>
      <c r="K2978" t="str">
        <f>TEXT(Table8[[#This Row],[visit_Date]],"mmmm")</f>
        <v>March</v>
      </c>
      <c r="L2978" t="str">
        <f t="shared" si="93"/>
        <v>Summer</v>
      </c>
    </row>
    <row r="2979" spans="1:12" x14ac:dyDescent="0.25">
      <c r="A2979">
        <v>2978</v>
      </c>
      <c r="B2979">
        <v>1365</v>
      </c>
      <c r="C2979">
        <v>852</v>
      </c>
      <c r="D2979" s="1">
        <v>45678</v>
      </c>
      <c r="E2979" t="s">
        <v>24</v>
      </c>
      <c r="F2979" t="s">
        <v>321</v>
      </c>
      <c r="G2979" t="str">
        <f>_xlfn.XLOOKUP(TRIM(E2980),MedicineInfo!A:A,MedicineInfo!B:B,"Not Found")</f>
        <v>Multivitamin</v>
      </c>
      <c r="H2979" s="1" t="str" cm="1">
        <f t="array" ref="H2979">_xlfn.IFS(
OR(E2979="Type 2 Diabetes",E2979="Essential Hypertension",E2979="Angina Pectoris",E2979="Bronchial Asthma",E2979="Cardiac Arrhythmia"), D2979+30,
OR(E2979="Gastritis",E2979="Osteoarthritis",E2979="Bronchitis",E2979="Iron Deficiency Anemia"), D2979+14,
OR(E2979="Lumbar Strain",E2979="Migraine Headache"), D2979+7,
OR(E2979="Viral Fever",E2979="General Checkup","Routine Health Check"), "",
TRUE,""
)</f>
        <v/>
      </c>
      <c r="I2979" s="1" t="str">
        <f t="shared" si="92"/>
        <v>No Follow-up Required</v>
      </c>
      <c r="J2979" t="str">
        <f>TEXT(Table8[[#This Row],[visit_Date]],"DDDD")</f>
        <v>Tuesday</v>
      </c>
      <c r="K2979" t="str">
        <f>TEXT(Table8[[#This Row],[visit_Date]],"mmmm")</f>
        <v>January</v>
      </c>
      <c r="L2979" t="str">
        <f t="shared" si="93"/>
        <v>Winter</v>
      </c>
    </row>
    <row r="2980" spans="1:12" x14ac:dyDescent="0.25">
      <c r="A2980">
        <v>2979</v>
      </c>
      <c r="B2980">
        <v>1242</v>
      </c>
      <c r="C2980">
        <v>1182</v>
      </c>
      <c r="D2980" s="1">
        <v>45702</v>
      </c>
      <c r="E2980" t="s">
        <v>24</v>
      </c>
      <c r="F2980" t="s">
        <v>321</v>
      </c>
      <c r="G2980" t="str">
        <f>_xlfn.XLOOKUP(TRIM(E2981),MedicineInfo!A:A,MedicineInfo!B:B,"Not Found")</f>
        <v>Multivitamin</v>
      </c>
      <c r="H2980" s="1" t="str" cm="1">
        <f t="array" ref="H2980">_xlfn.IFS(
OR(E2980="Type 2 Diabetes",E2980="Essential Hypertension",E2980="Angina Pectoris",E2980="Bronchial Asthma",E2980="Cardiac Arrhythmia"), D2980+30,
OR(E2980="Gastritis",E2980="Osteoarthritis",E2980="Bronchitis",E2980="Iron Deficiency Anemia"), D2980+14,
OR(E2980="Lumbar Strain",E2980="Migraine Headache"), D2980+7,
OR(E2980="Viral Fever",E2980="General Checkup","Routine Health Check"), "",
TRUE,""
)</f>
        <v/>
      </c>
      <c r="I2980" s="1" t="str">
        <f t="shared" si="92"/>
        <v>No Follow-up Required</v>
      </c>
      <c r="J2980" t="str">
        <f>TEXT(Table8[[#This Row],[visit_Date]],"DDDD")</f>
        <v>Friday</v>
      </c>
      <c r="K2980" t="str">
        <f>TEXT(Table8[[#This Row],[visit_Date]],"mmmm")</f>
        <v>February</v>
      </c>
      <c r="L2980" t="str">
        <f t="shared" si="93"/>
        <v>Winter</v>
      </c>
    </row>
    <row r="2981" spans="1:12" x14ac:dyDescent="0.25">
      <c r="A2981">
        <v>2980</v>
      </c>
      <c r="B2981">
        <v>1171</v>
      </c>
      <c r="C2981">
        <v>273</v>
      </c>
      <c r="D2981" s="1">
        <v>45691</v>
      </c>
      <c r="E2981" t="s">
        <v>24</v>
      </c>
      <c r="F2981" t="s">
        <v>321</v>
      </c>
      <c r="G2981" t="str">
        <f>_xlfn.XLOOKUP(TRIM(E2982),MedicineInfo!A:A,MedicineInfo!B:B,"Not Found")</f>
        <v>Sertraline</v>
      </c>
      <c r="H2981" s="1" t="str" cm="1">
        <f t="array" ref="H2981">_xlfn.IFS(
OR(E2981="Type 2 Diabetes",E2981="Essential Hypertension",E2981="Angina Pectoris",E2981="Bronchial Asthma",E2981="Cardiac Arrhythmia"), D2981+30,
OR(E2981="Gastritis",E2981="Osteoarthritis",E2981="Bronchitis",E2981="Iron Deficiency Anemia"), D2981+14,
OR(E2981="Lumbar Strain",E2981="Migraine Headache"), D2981+7,
OR(E2981="Viral Fever",E2981="General Checkup","Routine Health Check"), "",
TRUE,""
)</f>
        <v/>
      </c>
      <c r="I2981" s="1" t="str">
        <f t="shared" si="92"/>
        <v>No Follow-up Required</v>
      </c>
      <c r="J2981" t="str">
        <f>TEXT(Table8[[#This Row],[visit_Date]],"DDDD")</f>
        <v>Monday</v>
      </c>
      <c r="K2981" t="str">
        <f>TEXT(Table8[[#This Row],[visit_Date]],"mmmm")</f>
        <v>February</v>
      </c>
      <c r="L2981" t="str">
        <f t="shared" si="93"/>
        <v>Winter</v>
      </c>
    </row>
    <row r="2982" spans="1:12" x14ac:dyDescent="0.25">
      <c r="A2982">
        <v>2981</v>
      </c>
      <c r="B2982">
        <v>1012</v>
      </c>
      <c r="C2982">
        <v>770</v>
      </c>
      <c r="D2982" s="1">
        <v>45767</v>
      </c>
      <c r="E2982" t="s">
        <v>334</v>
      </c>
      <c r="F2982" t="s">
        <v>335</v>
      </c>
      <c r="G2982" t="str">
        <f>_xlfn.XLOOKUP(TRIM(E2983),MedicineInfo!A:A,MedicineInfo!B:B,"Not Found")</f>
        <v>Pantoprazole</v>
      </c>
      <c r="H2982" s="1" t="str" cm="1">
        <f t="array" ref="H2982">_xlfn.IFS(
OR(E2982="Type 2 Diabetes",E2982="Essential Hypertension",E2982="Angina Pectoris",E2982="Bronchial Asthma",E2982="Cardiac Arrhythmia"), D2982+30,
OR(E2982="Gastritis",E2982="Osteoarthritis",E2982="Bronchitis",E2982="Iron Deficiency Anemia"), D2982+14,
OR(E2982="Lumbar Strain",E2982="Migraine Headache"), D2982+7,
OR(E2982="Viral Fever",E2982="General Checkup","Routine Health Check"), "",
TRUE,""
)</f>
        <v/>
      </c>
      <c r="I2982" s="1" t="str">
        <f t="shared" si="92"/>
        <v>No Follow-up Required</v>
      </c>
      <c r="J2982" t="str">
        <f>TEXT(Table8[[#This Row],[visit_Date]],"DDDD")</f>
        <v>Sunday</v>
      </c>
      <c r="K2982" t="str">
        <f>TEXT(Table8[[#This Row],[visit_Date]],"mmmm")</f>
        <v>April</v>
      </c>
      <c r="L2982" t="str">
        <f t="shared" si="93"/>
        <v>Summer</v>
      </c>
    </row>
    <row r="2983" spans="1:12" x14ac:dyDescent="0.25">
      <c r="A2983">
        <v>2982</v>
      </c>
      <c r="B2983">
        <v>1114</v>
      </c>
      <c r="C2983">
        <v>1205</v>
      </c>
      <c r="D2983" s="1">
        <v>45669</v>
      </c>
      <c r="E2983" t="s">
        <v>344</v>
      </c>
      <c r="F2983" t="s">
        <v>345</v>
      </c>
      <c r="G2983" t="str">
        <f>_xlfn.XLOOKUP(TRIM(E2984),MedicineInfo!A:A,MedicineInfo!B:B,"Not Found")</f>
        <v>Hydrocortisone Cream</v>
      </c>
      <c r="H2983" s="1" cm="1">
        <f t="array" ref="H2983">_xlfn.IFS(
OR(E2983="Type 2 Diabetes",E2983="Essential Hypertension",E2983="Angina Pectoris",E2983="Bronchial Asthma",E2983="Cardiac Arrhythmia"), D2983+30,
OR(E2983="Gastritis",E2983="Osteoarthritis",E2983="Bronchitis",E2983="Iron Deficiency Anemia"), D2983+14,
OR(E2983="Lumbar Strain",E2983="Migraine Headache"), D2983+7,
OR(E2983="Viral Fever",E2983="General Checkup","Routine Health Check"), "",
TRUE,""
)</f>
        <v>45683</v>
      </c>
      <c r="I2983" s="1" t="str">
        <f t="shared" si="92"/>
        <v>Follow-up Scheduled</v>
      </c>
      <c r="J2983" t="str">
        <f>TEXT(Table8[[#This Row],[visit_Date]],"DDDD")</f>
        <v>Sunday</v>
      </c>
      <c r="K2983" t="str">
        <f>TEXT(Table8[[#This Row],[visit_Date]],"mmmm")</f>
        <v>January</v>
      </c>
      <c r="L2983" t="str">
        <f t="shared" si="93"/>
        <v>Winter</v>
      </c>
    </row>
    <row r="2984" spans="1:12" x14ac:dyDescent="0.25">
      <c r="A2984">
        <v>2983</v>
      </c>
      <c r="B2984">
        <v>1334</v>
      </c>
      <c r="C2984">
        <v>355</v>
      </c>
      <c r="D2984" s="1">
        <v>45758</v>
      </c>
      <c r="E2984" t="s">
        <v>338</v>
      </c>
      <c r="F2984" t="s">
        <v>339</v>
      </c>
      <c r="G2984" t="str">
        <f>_xlfn.XLOOKUP(TRIM(E2985),MedicineInfo!A:A,MedicineInfo!B:B,"Not Found")</f>
        <v>Multivitamin</v>
      </c>
      <c r="H2984" s="1" t="str" cm="1">
        <f t="array" ref="H2984">_xlfn.IFS(
OR(E2984="Type 2 Diabetes",E2984="Essential Hypertension",E2984="Angina Pectoris",E2984="Bronchial Asthma",E2984="Cardiac Arrhythmia"), D2984+30,
OR(E2984="Gastritis",E2984="Osteoarthritis",E2984="Bronchitis",E2984="Iron Deficiency Anemia"), D2984+14,
OR(E2984="Lumbar Strain",E2984="Migraine Headache"), D2984+7,
OR(E2984="Viral Fever",E2984="General Checkup","Routine Health Check"), "",
TRUE,""
)</f>
        <v/>
      </c>
      <c r="I2984" s="1" t="str">
        <f t="shared" si="92"/>
        <v>No Follow-up Required</v>
      </c>
      <c r="J2984" t="str">
        <f>TEXT(Table8[[#This Row],[visit_Date]],"DDDD")</f>
        <v>Friday</v>
      </c>
      <c r="K2984" t="str">
        <f>TEXT(Table8[[#This Row],[visit_Date]],"mmmm")</f>
        <v>April</v>
      </c>
      <c r="L2984" t="str">
        <f t="shared" si="93"/>
        <v>Summer</v>
      </c>
    </row>
    <row r="2985" spans="1:12" x14ac:dyDescent="0.25">
      <c r="A2985">
        <v>2984</v>
      </c>
      <c r="B2985">
        <v>1034</v>
      </c>
      <c r="C2985">
        <v>1395</v>
      </c>
      <c r="D2985" s="1">
        <v>45814</v>
      </c>
      <c r="E2985" t="s">
        <v>24</v>
      </c>
      <c r="F2985" t="s">
        <v>321</v>
      </c>
      <c r="G2985" t="str">
        <f>_xlfn.XLOOKUP(TRIM(E2986),MedicineInfo!A:A,MedicineInfo!B:B,"Not Found")</f>
        <v>Multivitamin</v>
      </c>
      <c r="H2985" s="1" t="str" cm="1">
        <f t="array" ref="H2985">_xlfn.IFS(
OR(E2985="Type 2 Diabetes",E2985="Essential Hypertension",E2985="Angina Pectoris",E2985="Bronchial Asthma",E2985="Cardiac Arrhythmia"), D2985+30,
OR(E2985="Gastritis",E2985="Osteoarthritis",E2985="Bronchitis",E2985="Iron Deficiency Anemia"), D2985+14,
OR(E2985="Lumbar Strain",E2985="Migraine Headache"), D2985+7,
OR(E2985="Viral Fever",E2985="General Checkup","Routine Health Check"), "",
TRUE,""
)</f>
        <v/>
      </c>
      <c r="I2985" s="1" t="str">
        <f t="shared" si="92"/>
        <v>No Follow-up Required</v>
      </c>
      <c r="J2985" t="str">
        <f>TEXT(Table8[[#This Row],[visit_Date]],"DDDD")</f>
        <v>Friday</v>
      </c>
      <c r="K2985" t="str">
        <f>TEXT(Table8[[#This Row],[visit_Date]],"mmmm")</f>
        <v>June</v>
      </c>
      <c r="L2985" t="str">
        <f t="shared" si="93"/>
        <v>Monsoon</v>
      </c>
    </row>
    <row r="2986" spans="1:12" x14ac:dyDescent="0.25">
      <c r="A2986">
        <v>2985</v>
      </c>
      <c r="B2986">
        <v>1252</v>
      </c>
      <c r="C2986">
        <v>1008</v>
      </c>
      <c r="D2986" s="1">
        <v>45814</v>
      </c>
      <c r="E2986" t="s">
        <v>24</v>
      </c>
      <c r="F2986" t="s">
        <v>321</v>
      </c>
      <c r="G2986" t="str">
        <f>_xlfn.XLOOKUP(TRIM(E2987),MedicineInfo!A:A,MedicineInfo!B:B,"Not Found")</f>
        <v>Multivitamin</v>
      </c>
      <c r="H2986" s="1" t="str" cm="1">
        <f t="array" ref="H2986">_xlfn.IFS(
OR(E2986="Type 2 Diabetes",E2986="Essential Hypertension",E2986="Angina Pectoris",E2986="Bronchial Asthma",E2986="Cardiac Arrhythmia"), D2986+30,
OR(E2986="Gastritis",E2986="Osteoarthritis",E2986="Bronchitis",E2986="Iron Deficiency Anemia"), D2986+14,
OR(E2986="Lumbar Strain",E2986="Migraine Headache"), D2986+7,
OR(E2986="Viral Fever",E2986="General Checkup","Routine Health Check"), "",
TRUE,""
)</f>
        <v/>
      </c>
      <c r="I2986" s="1" t="str">
        <f t="shared" si="92"/>
        <v>No Follow-up Required</v>
      </c>
      <c r="J2986" t="str">
        <f>TEXT(Table8[[#This Row],[visit_Date]],"DDDD")</f>
        <v>Friday</v>
      </c>
      <c r="K2986" t="str">
        <f>TEXT(Table8[[#This Row],[visit_Date]],"mmmm")</f>
        <v>June</v>
      </c>
      <c r="L2986" t="str">
        <f t="shared" si="93"/>
        <v>Monsoon</v>
      </c>
    </row>
    <row r="2987" spans="1:12" x14ac:dyDescent="0.25">
      <c r="A2987">
        <v>2986</v>
      </c>
      <c r="B2987">
        <v>1147</v>
      </c>
      <c r="C2987">
        <v>398</v>
      </c>
      <c r="D2987" s="1">
        <v>45783</v>
      </c>
      <c r="E2987" t="s">
        <v>24</v>
      </c>
      <c r="F2987" t="s">
        <v>321</v>
      </c>
      <c r="G2987" t="str">
        <f>_xlfn.XLOOKUP(TRIM(E2988),MedicineInfo!A:A,MedicineInfo!B:B,"Not Found")</f>
        <v>Multivitamin</v>
      </c>
      <c r="H2987" s="1" t="str" cm="1">
        <f t="array" ref="H2987">_xlfn.IFS(
OR(E2987="Type 2 Diabetes",E2987="Essential Hypertension",E2987="Angina Pectoris",E2987="Bronchial Asthma",E2987="Cardiac Arrhythmia"), D2987+30,
OR(E2987="Gastritis",E2987="Osteoarthritis",E2987="Bronchitis",E2987="Iron Deficiency Anemia"), D2987+14,
OR(E2987="Lumbar Strain",E2987="Migraine Headache"), D2987+7,
OR(E2987="Viral Fever",E2987="General Checkup","Routine Health Check"), "",
TRUE,""
)</f>
        <v/>
      </c>
      <c r="I2987" s="1" t="str">
        <f t="shared" si="92"/>
        <v>No Follow-up Required</v>
      </c>
      <c r="J2987" t="str">
        <f>TEXT(Table8[[#This Row],[visit_Date]],"DDDD")</f>
        <v>Tuesday</v>
      </c>
      <c r="K2987" t="str">
        <f>TEXT(Table8[[#This Row],[visit_Date]],"mmmm")</f>
        <v>May</v>
      </c>
      <c r="L2987" t="str">
        <f t="shared" si="93"/>
        <v>Summer</v>
      </c>
    </row>
    <row r="2988" spans="1:12" x14ac:dyDescent="0.25">
      <c r="A2988">
        <v>2987</v>
      </c>
      <c r="B2988">
        <v>1291</v>
      </c>
      <c r="C2988">
        <v>920</v>
      </c>
      <c r="D2988" s="1">
        <v>45792</v>
      </c>
      <c r="E2988" t="s">
        <v>24</v>
      </c>
      <c r="F2988" t="s">
        <v>321</v>
      </c>
      <c r="G2988" t="str">
        <f>_xlfn.XLOOKUP(TRIM(E2989),MedicineInfo!A:A,MedicineInfo!B:B,"Not Found")</f>
        <v>Multivitamin</v>
      </c>
      <c r="H2988" s="1" t="str" cm="1">
        <f t="array" ref="H2988">_xlfn.IFS(
OR(E2988="Type 2 Diabetes",E2988="Essential Hypertension",E2988="Angina Pectoris",E2988="Bronchial Asthma",E2988="Cardiac Arrhythmia"), D2988+30,
OR(E2988="Gastritis",E2988="Osteoarthritis",E2988="Bronchitis",E2988="Iron Deficiency Anemia"), D2988+14,
OR(E2988="Lumbar Strain",E2988="Migraine Headache"), D2988+7,
OR(E2988="Viral Fever",E2988="General Checkup","Routine Health Check"), "",
TRUE,""
)</f>
        <v/>
      </c>
      <c r="I2988" s="1" t="str">
        <f t="shared" si="92"/>
        <v>No Follow-up Required</v>
      </c>
      <c r="J2988" t="str">
        <f>TEXT(Table8[[#This Row],[visit_Date]],"DDDD")</f>
        <v>Thursday</v>
      </c>
      <c r="K2988" t="str">
        <f>TEXT(Table8[[#This Row],[visit_Date]],"mmmm")</f>
        <v>May</v>
      </c>
      <c r="L2988" t="str">
        <f t="shared" si="93"/>
        <v>Summer</v>
      </c>
    </row>
    <row r="2989" spans="1:12" x14ac:dyDescent="0.25">
      <c r="A2989">
        <v>2988</v>
      </c>
      <c r="B2989">
        <v>1343</v>
      </c>
      <c r="C2989">
        <v>1594</v>
      </c>
      <c r="D2989" s="1">
        <v>45715</v>
      </c>
      <c r="E2989" t="s">
        <v>24</v>
      </c>
      <c r="F2989" t="s">
        <v>321</v>
      </c>
      <c r="G2989" t="str">
        <f>_xlfn.XLOOKUP(TRIM(E2990),MedicineInfo!A:A,MedicineInfo!B:B,"Not Found")</f>
        <v>Multivitamin</v>
      </c>
      <c r="H2989" s="1" t="str" cm="1">
        <f t="array" ref="H2989">_xlfn.IFS(
OR(E2989="Type 2 Diabetes",E2989="Essential Hypertension",E2989="Angina Pectoris",E2989="Bronchial Asthma",E2989="Cardiac Arrhythmia"), D2989+30,
OR(E2989="Gastritis",E2989="Osteoarthritis",E2989="Bronchitis",E2989="Iron Deficiency Anemia"), D2989+14,
OR(E2989="Lumbar Strain",E2989="Migraine Headache"), D2989+7,
OR(E2989="Viral Fever",E2989="General Checkup","Routine Health Check"), "",
TRUE,""
)</f>
        <v/>
      </c>
      <c r="I2989" s="1" t="str">
        <f t="shared" si="92"/>
        <v>No Follow-up Required</v>
      </c>
      <c r="J2989" t="str">
        <f>TEXT(Table8[[#This Row],[visit_Date]],"DDDD")</f>
        <v>Thursday</v>
      </c>
      <c r="K2989" t="str">
        <f>TEXT(Table8[[#This Row],[visit_Date]],"mmmm")</f>
        <v>February</v>
      </c>
      <c r="L2989" t="str">
        <f t="shared" si="93"/>
        <v>Winter</v>
      </c>
    </row>
    <row r="2990" spans="1:12" x14ac:dyDescent="0.25">
      <c r="A2990">
        <v>2989</v>
      </c>
      <c r="B2990">
        <v>1204</v>
      </c>
      <c r="C2990">
        <v>581</v>
      </c>
      <c r="D2990" s="1">
        <v>45757</v>
      </c>
      <c r="E2990" t="s">
        <v>24</v>
      </c>
      <c r="F2990" t="s">
        <v>321</v>
      </c>
      <c r="G2990" t="str">
        <f>_xlfn.XLOOKUP(TRIM(E2991),MedicineInfo!A:A,MedicineInfo!B:B,"Not Found")</f>
        <v>Multivitamin</v>
      </c>
      <c r="H2990" s="1" t="str" cm="1">
        <f t="array" ref="H2990">_xlfn.IFS(
OR(E2990="Type 2 Diabetes",E2990="Essential Hypertension",E2990="Angina Pectoris",E2990="Bronchial Asthma",E2990="Cardiac Arrhythmia"), D2990+30,
OR(E2990="Gastritis",E2990="Osteoarthritis",E2990="Bronchitis",E2990="Iron Deficiency Anemia"), D2990+14,
OR(E2990="Lumbar Strain",E2990="Migraine Headache"), D2990+7,
OR(E2990="Viral Fever",E2990="General Checkup","Routine Health Check"), "",
TRUE,""
)</f>
        <v/>
      </c>
      <c r="I2990" s="1" t="str">
        <f t="shared" si="92"/>
        <v>No Follow-up Required</v>
      </c>
      <c r="J2990" t="str">
        <f>TEXT(Table8[[#This Row],[visit_Date]],"DDDD")</f>
        <v>Thursday</v>
      </c>
      <c r="K2990" t="str">
        <f>TEXT(Table8[[#This Row],[visit_Date]],"mmmm")</f>
        <v>April</v>
      </c>
      <c r="L2990" t="str">
        <f t="shared" si="93"/>
        <v>Summer</v>
      </c>
    </row>
    <row r="2991" spans="1:12" x14ac:dyDescent="0.25">
      <c r="A2991">
        <v>2990</v>
      </c>
      <c r="B2991">
        <v>1268</v>
      </c>
      <c r="C2991">
        <v>528</v>
      </c>
      <c r="D2991" s="1">
        <v>45799</v>
      </c>
      <c r="E2991" t="s">
        <v>24</v>
      </c>
      <c r="F2991" t="s">
        <v>321</v>
      </c>
      <c r="G2991" t="str">
        <f>_xlfn.XLOOKUP(TRIM(E2992),MedicineInfo!A:A,MedicineInfo!B:B,"Not Found")</f>
        <v>Multivitamin</v>
      </c>
      <c r="H2991" s="1" t="str" cm="1">
        <f t="array" ref="H2991">_xlfn.IFS(
OR(E2991="Type 2 Diabetes",E2991="Essential Hypertension",E2991="Angina Pectoris",E2991="Bronchial Asthma",E2991="Cardiac Arrhythmia"), D2991+30,
OR(E2991="Gastritis",E2991="Osteoarthritis",E2991="Bronchitis",E2991="Iron Deficiency Anemia"), D2991+14,
OR(E2991="Lumbar Strain",E2991="Migraine Headache"), D2991+7,
OR(E2991="Viral Fever",E2991="General Checkup","Routine Health Check"), "",
TRUE,""
)</f>
        <v/>
      </c>
      <c r="I2991" s="1" t="str">
        <f t="shared" si="92"/>
        <v>No Follow-up Required</v>
      </c>
      <c r="J2991" t="str">
        <f>TEXT(Table8[[#This Row],[visit_Date]],"DDDD")</f>
        <v>Thursday</v>
      </c>
      <c r="K2991" t="str">
        <f>TEXT(Table8[[#This Row],[visit_Date]],"mmmm")</f>
        <v>May</v>
      </c>
      <c r="L2991" t="str">
        <f t="shared" si="93"/>
        <v>Summer</v>
      </c>
    </row>
    <row r="2992" spans="1:12" x14ac:dyDescent="0.25">
      <c r="A2992">
        <v>2991</v>
      </c>
      <c r="B2992">
        <v>1325</v>
      </c>
      <c r="C2992">
        <v>459</v>
      </c>
      <c r="D2992" s="1">
        <v>45721</v>
      </c>
      <c r="E2992" t="s">
        <v>24</v>
      </c>
      <c r="F2992" t="s">
        <v>321</v>
      </c>
      <c r="G2992" t="str">
        <f>_xlfn.XLOOKUP(TRIM(E2993),MedicineInfo!A:A,MedicineInfo!B:B,"Not Found")</f>
        <v>Multivitamin</v>
      </c>
      <c r="H2992" s="1" t="str" cm="1">
        <f t="array" ref="H2992">_xlfn.IFS(
OR(E2992="Type 2 Diabetes",E2992="Essential Hypertension",E2992="Angina Pectoris",E2992="Bronchial Asthma",E2992="Cardiac Arrhythmia"), D2992+30,
OR(E2992="Gastritis",E2992="Osteoarthritis",E2992="Bronchitis",E2992="Iron Deficiency Anemia"), D2992+14,
OR(E2992="Lumbar Strain",E2992="Migraine Headache"), D2992+7,
OR(E2992="Viral Fever",E2992="General Checkup","Routine Health Check"), "",
TRUE,""
)</f>
        <v/>
      </c>
      <c r="I2992" s="1" t="str">
        <f t="shared" si="92"/>
        <v>No Follow-up Required</v>
      </c>
      <c r="J2992" t="str">
        <f>TEXT(Table8[[#This Row],[visit_Date]],"DDDD")</f>
        <v>Wednesday</v>
      </c>
      <c r="K2992" t="str">
        <f>TEXT(Table8[[#This Row],[visit_Date]],"mmmm")</f>
        <v>March</v>
      </c>
      <c r="L2992" t="str">
        <f t="shared" si="93"/>
        <v>Summer</v>
      </c>
    </row>
    <row r="2993" spans="1:12" x14ac:dyDescent="0.25">
      <c r="A2993">
        <v>2992</v>
      </c>
      <c r="B2993">
        <v>1038</v>
      </c>
      <c r="C2993">
        <v>848</v>
      </c>
      <c r="D2993" s="1">
        <v>45814</v>
      </c>
      <c r="E2993" t="s">
        <v>24</v>
      </c>
      <c r="F2993" t="s">
        <v>321</v>
      </c>
      <c r="G2993" t="str">
        <f>_xlfn.XLOOKUP(TRIM(E2994),MedicineInfo!A:A,MedicineInfo!B:B,"Not Found")</f>
        <v>Vitamin D3</v>
      </c>
      <c r="H2993" s="1" t="str" cm="1">
        <f t="array" ref="H2993">_xlfn.IFS(
OR(E2993="Type 2 Diabetes",E2993="Essential Hypertension",E2993="Angina Pectoris",E2993="Bronchial Asthma",E2993="Cardiac Arrhythmia"), D2993+30,
OR(E2993="Gastritis",E2993="Osteoarthritis",E2993="Bronchitis",E2993="Iron Deficiency Anemia"), D2993+14,
OR(E2993="Lumbar Strain",E2993="Migraine Headache"), D2993+7,
OR(E2993="Viral Fever",E2993="General Checkup","Routine Health Check"), "",
TRUE,""
)</f>
        <v/>
      </c>
      <c r="I2993" s="1" t="str">
        <f t="shared" si="92"/>
        <v>No Follow-up Required</v>
      </c>
      <c r="J2993" t="str">
        <f>TEXT(Table8[[#This Row],[visit_Date]],"DDDD")</f>
        <v>Friday</v>
      </c>
      <c r="K2993" t="str">
        <f>TEXT(Table8[[#This Row],[visit_Date]],"mmmm")</f>
        <v>June</v>
      </c>
      <c r="L2993" t="str">
        <f t="shared" si="93"/>
        <v>Monsoon</v>
      </c>
    </row>
    <row r="2994" spans="1:12" x14ac:dyDescent="0.25">
      <c r="A2994">
        <v>2993</v>
      </c>
      <c r="B2994">
        <v>1200</v>
      </c>
      <c r="C2994">
        <v>1514</v>
      </c>
      <c r="D2994" s="1">
        <v>45747</v>
      </c>
      <c r="E2994" t="s">
        <v>332</v>
      </c>
      <c r="F2994" t="s">
        <v>333</v>
      </c>
      <c r="G2994" t="str">
        <f>_xlfn.XLOOKUP(TRIM(E2995),MedicineInfo!A:A,MedicineInfo!B:B,"Not Found")</f>
        <v>Multivitamin</v>
      </c>
      <c r="H2994" s="1" t="str" cm="1">
        <f t="array" ref="H2994">_xlfn.IFS(
OR(E2994="Type 2 Diabetes",E2994="Essential Hypertension",E2994="Angina Pectoris",E2994="Bronchial Asthma",E2994="Cardiac Arrhythmia"), D2994+30,
OR(E2994="Gastritis",E2994="Osteoarthritis",E2994="Bronchitis",E2994="Iron Deficiency Anemia"), D2994+14,
OR(E2994="Lumbar Strain",E2994="Migraine Headache"), D2994+7,
OR(E2994="Viral Fever",E2994="General Checkup","Routine Health Check"), "",
TRUE,""
)</f>
        <v/>
      </c>
      <c r="I2994" s="1" t="str">
        <f t="shared" si="92"/>
        <v>No Follow-up Required</v>
      </c>
      <c r="J2994" t="str">
        <f>TEXT(Table8[[#This Row],[visit_Date]],"DDDD")</f>
        <v>Monday</v>
      </c>
      <c r="K2994" t="str">
        <f>TEXT(Table8[[#This Row],[visit_Date]],"mmmm")</f>
        <v>March</v>
      </c>
      <c r="L2994" t="str">
        <f t="shared" si="93"/>
        <v>Summer</v>
      </c>
    </row>
    <row r="2995" spans="1:12" x14ac:dyDescent="0.25">
      <c r="A2995">
        <v>2994</v>
      </c>
      <c r="B2995">
        <v>1349</v>
      </c>
      <c r="C2995">
        <v>1125</v>
      </c>
      <c r="D2995" s="1">
        <v>45783</v>
      </c>
      <c r="E2995" t="s">
        <v>24</v>
      </c>
      <c r="F2995" t="s">
        <v>321</v>
      </c>
      <c r="G2995" t="str">
        <f>_xlfn.XLOOKUP(TRIM(E2996),MedicineInfo!A:A,MedicineInfo!B:B,"Not Found")</f>
        <v>Multivitamin</v>
      </c>
      <c r="H2995" s="1" t="str" cm="1">
        <f t="array" ref="H2995">_xlfn.IFS(
OR(E2995="Type 2 Diabetes",E2995="Essential Hypertension",E2995="Angina Pectoris",E2995="Bronchial Asthma",E2995="Cardiac Arrhythmia"), D2995+30,
OR(E2995="Gastritis",E2995="Osteoarthritis",E2995="Bronchitis",E2995="Iron Deficiency Anemia"), D2995+14,
OR(E2995="Lumbar Strain",E2995="Migraine Headache"), D2995+7,
OR(E2995="Viral Fever",E2995="General Checkup","Routine Health Check"), "",
TRUE,""
)</f>
        <v/>
      </c>
      <c r="I2995" s="1" t="str">
        <f t="shared" si="92"/>
        <v>No Follow-up Required</v>
      </c>
      <c r="J2995" t="str">
        <f>TEXT(Table8[[#This Row],[visit_Date]],"DDDD")</f>
        <v>Tuesday</v>
      </c>
      <c r="K2995" t="str">
        <f>TEXT(Table8[[#This Row],[visit_Date]],"mmmm")</f>
        <v>May</v>
      </c>
      <c r="L2995" t="str">
        <f t="shared" si="93"/>
        <v>Summer</v>
      </c>
    </row>
    <row r="2996" spans="1:12" x14ac:dyDescent="0.25">
      <c r="A2996">
        <v>2995</v>
      </c>
      <c r="B2996">
        <v>1197</v>
      </c>
      <c r="C2996">
        <v>837</v>
      </c>
      <c r="D2996" s="1">
        <v>45685</v>
      </c>
      <c r="E2996" t="s">
        <v>24</v>
      </c>
      <c r="F2996" t="s">
        <v>321</v>
      </c>
      <c r="G2996" t="str">
        <f>_xlfn.XLOOKUP(TRIM(E2997),MedicineInfo!A:A,MedicineInfo!B:B,"Not Found")</f>
        <v>Multivitamin</v>
      </c>
      <c r="H2996" s="1" t="str" cm="1">
        <f t="array" ref="H2996">_xlfn.IFS(
OR(E2996="Type 2 Diabetes",E2996="Essential Hypertension",E2996="Angina Pectoris",E2996="Bronchial Asthma",E2996="Cardiac Arrhythmia"), D2996+30,
OR(E2996="Gastritis",E2996="Osteoarthritis",E2996="Bronchitis",E2996="Iron Deficiency Anemia"), D2996+14,
OR(E2996="Lumbar Strain",E2996="Migraine Headache"), D2996+7,
OR(E2996="Viral Fever",E2996="General Checkup","Routine Health Check"), "",
TRUE,""
)</f>
        <v/>
      </c>
      <c r="I2996" s="1" t="str">
        <f t="shared" si="92"/>
        <v>No Follow-up Required</v>
      </c>
      <c r="J2996" t="str">
        <f>TEXT(Table8[[#This Row],[visit_Date]],"DDDD")</f>
        <v>Tuesday</v>
      </c>
      <c r="K2996" t="str">
        <f>TEXT(Table8[[#This Row],[visit_Date]],"mmmm")</f>
        <v>January</v>
      </c>
      <c r="L2996" t="str">
        <f t="shared" si="93"/>
        <v>Winter</v>
      </c>
    </row>
    <row r="2997" spans="1:12" x14ac:dyDescent="0.25">
      <c r="A2997">
        <v>2996</v>
      </c>
      <c r="B2997">
        <v>1124</v>
      </c>
      <c r="C2997">
        <v>1329</v>
      </c>
      <c r="D2997" s="1">
        <v>45819</v>
      </c>
      <c r="E2997" t="s">
        <v>24</v>
      </c>
      <c r="F2997" t="s">
        <v>321</v>
      </c>
      <c r="G2997" t="str">
        <f>_xlfn.XLOOKUP(TRIM(E2998),MedicineInfo!A:A,MedicineInfo!B:B,"Not Found")</f>
        <v>Multivitamin</v>
      </c>
      <c r="H2997" s="1" t="str" cm="1">
        <f t="array" ref="H2997">_xlfn.IFS(
OR(E2997="Type 2 Diabetes",E2997="Essential Hypertension",E2997="Angina Pectoris",E2997="Bronchial Asthma",E2997="Cardiac Arrhythmia"), D2997+30,
OR(E2997="Gastritis",E2997="Osteoarthritis",E2997="Bronchitis",E2997="Iron Deficiency Anemia"), D2997+14,
OR(E2997="Lumbar Strain",E2997="Migraine Headache"), D2997+7,
OR(E2997="Viral Fever",E2997="General Checkup","Routine Health Check"), "",
TRUE,""
)</f>
        <v/>
      </c>
      <c r="I2997" s="1" t="str">
        <f t="shared" si="92"/>
        <v>No Follow-up Required</v>
      </c>
      <c r="J2997" t="str">
        <f>TEXT(Table8[[#This Row],[visit_Date]],"DDDD")</f>
        <v>Wednesday</v>
      </c>
      <c r="K2997" t="str">
        <f>TEXT(Table8[[#This Row],[visit_Date]],"mmmm")</f>
        <v>June</v>
      </c>
      <c r="L2997" t="str">
        <f t="shared" si="93"/>
        <v>Monsoon</v>
      </c>
    </row>
    <row r="2998" spans="1:12" x14ac:dyDescent="0.25">
      <c r="A2998">
        <v>2997</v>
      </c>
      <c r="B2998">
        <v>1376</v>
      </c>
      <c r="C2998">
        <v>475</v>
      </c>
      <c r="D2998" s="1">
        <v>45686</v>
      </c>
      <c r="E2998" t="s">
        <v>24</v>
      </c>
      <c r="F2998" t="s">
        <v>321</v>
      </c>
      <c r="G2998" t="str">
        <f>_xlfn.XLOOKUP(TRIM(E2999),MedicineInfo!A:A,MedicineInfo!B:B,"Not Found")</f>
        <v>Multivitamin</v>
      </c>
      <c r="H2998" s="1" t="str" cm="1">
        <f t="array" ref="H2998">_xlfn.IFS(
OR(E2998="Type 2 Diabetes",E2998="Essential Hypertension",E2998="Angina Pectoris",E2998="Bronchial Asthma",E2998="Cardiac Arrhythmia"), D2998+30,
OR(E2998="Gastritis",E2998="Osteoarthritis",E2998="Bronchitis",E2998="Iron Deficiency Anemia"), D2998+14,
OR(E2998="Lumbar Strain",E2998="Migraine Headache"), D2998+7,
OR(E2998="Viral Fever",E2998="General Checkup","Routine Health Check"), "",
TRUE,""
)</f>
        <v/>
      </c>
      <c r="I2998" s="1" t="str">
        <f t="shared" si="92"/>
        <v>No Follow-up Required</v>
      </c>
      <c r="J2998" t="str">
        <f>TEXT(Table8[[#This Row],[visit_Date]],"DDDD")</f>
        <v>Wednesday</v>
      </c>
      <c r="K2998" t="str">
        <f>TEXT(Table8[[#This Row],[visit_Date]],"mmmm")</f>
        <v>January</v>
      </c>
      <c r="L2998" t="str">
        <f t="shared" si="93"/>
        <v>Winter</v>
      </c>
    </row>
    <row r="2999" spans="1:12" x14ac:dyDescent="0.25">
      <c r="A2999">
        <v>2998</v>
      </c>
      <c r="B2999">
        <v>1049</v>
      </c>
      <c r="C2999">
        <v>954</v>
      </c>
      <c r="D2999" s="1">
        <v>45693</v>
      </c>
      <c r="E2999" t="s">
        <v>24</v>
      </c>
      <c r="F2999" t="s">
        <v>321</v>
      </c>
      <c r="G2999" t="str">
        <f>_xlfn.XLOOKUP(TRIM(E3000),MedicineInfo!A:A,MedicineInfo!B:B,"Not Found")</f>
        <v>Multivitamin</v>
      </c>
      <c r="H2999" s="1" t="str" cm="1">
        <f t="array" ref="H2999">_xlfn.IFS(
OR(E2999="Type 2 Diabetes",E2999="Essential Hypertension",E2999="Angina Pectoris",E2999="Bronchial Asthma",E2999="Cardiac Arrhythmia"), D2999+30,
OR(E2999="Gastritis",E2999="Osteoarthritis",E2999="Bronchitis",E2999="Iron Deficiency Anemia"), D2999+14,
OR(E2999="Lumbar Strain",E2999="Migraine Headache"), D2999+7,
OR(E2999="Viral Fever",E2999="General Checkup","Routine Health Check"), "",
TRUE,""
)</f>
        <v/>
      </c>
      <c r="I2999" s="1" t="str">
        <f t="shared" si="92"/>
        <v>No Follow-up Required</v>
      </c>
      <c r="J2999" t="str">
        <f>TEXT(Table8[[#This Row],[visit_Date]],"DDDD")</f>
        <v>Wednesday</v>
      </c>
      <c r="K2999" t="str">
        <f>TEXT(Table8[[#This Row],[visit_Date]],"mmmm")</f>
        <v>February</v>
      </c>
      <c r="L2999" t="str">
        <f t="shared" si="93"/>
        <v>Winter</v>
      </c>
    </row>
    <row r="3000" spans="1:12" x14ac:dyDescent="0.25">
      <c r="A3000">
        <v>2999</v>
      </c>
      <c r="B3000">
        <v>1389</v>
      </c>
      <c r="C3000">
        <v>1257</v>
      </c>
      <c r="D3000" s="1">
        <v>45863</v>
      </c>
      <c r="E3000" t="s">
        <v>24</v>
      </c>
      <c r="F3000" t="s">
        <v>321</v>
      </c>
      <c r="G3000" t="str">
        <f>_xlfn.XLOOKUP(TRIM(E3001),MedicineInfo!A:A,MedicineInfo!B:B,"Not Found")</f>
        <v>Multivitamin</v>
      </c>
      <c r="H3000" s="1" t="str" cm="1">
        <f t="array" ref="H3000">_xlfn.IFS(
OR(E3000="Type 2 Diabetes",E3000="Essential Hypertension",E3000="Angina Pectoris",E3000="Bronchial Asthma",E3000="Cardiac Arrhythmia"), D3000+30,
OR(E3000="Gastritis",E3000="Osteoarthritis",E3000="Bronchitis",E3000="Iron Deficiency Anemia"), D3000+14,
OR(E3000="Lumbar Strain",E3000="Migraine Headache"), D3000+7,
OR(E3000="Viral Fever",E3000="General Checkup","Routine Health Check"), "",
TRUE,""
)</f>
        <v/>
      </c>
      <c r="I3000" s="1" t="str">
        <f t="shared" si="92"/>
        <v>No Follow-up Required</v>
      </c>
      <c r="J3000" t="str">
        <f>TEXT(Table8[[#This Row],[visit_Date]],"DDDD")</f>
        <v>Friday</v>
      </c>
      <c r="K3000" t="str">
        <f>TEXT(Table8[[#This Row],[visit_Date]],"mmmm")</f>
        <v>July</v>
      </c>
      <c r="L3000" t="str">
        <f t="shared" si="93"/>
        <v>Monsoon</v>
      </c>
    </row>
    <row r="3001" spans="1:12" x14ac:dyDescent="0.25">
      <c r="A3001">
        <v>3000</v>
      </c>
      <c r="B3001">
        <v>1201</v>
      </c>
      <c r="C3001">
        <v>571</v>
      </c>
      <c r="D3001" s="1">
        <v>45696</v>
      </c>
      <c r="E3001" t="s">
        <v>24</v>
      </c>
      <c r="F3001" t="s">
        <v>321</v>
      </c>
      <c r="G3001" t="str">
        <f>_xlfn.XLOOKUP(TRIM(E3002),MedicineInfo!A:A,MedicineInfo!B:B,"Not Found")</f>
        <v>Not Found</v>
      </c>
      <c r="H3001" s="1" t="str" cm="1">
        <f t="array" ref="H3001">_xlfn.IFS(
OR(E3001="Type 2 Diabetes",E3001="Essential Hypertension",E3001="Angina Pectoris",E3001="Bronchial Asthma",E3001="Cardiac Arrhythmia"), D3001+30,
OR(E3001="Gastritis",E3001="Osteoarthritis",E3001="Bronchitis",E3001="Iron Deficiency Anemia"), D3001+14,
OR(E3001="Lumbar Strain",E3001="Migraine Headache"), D3001+7,
OR(E3001="Viral Fever",E3001="General Checkup","Routine Health Check"), "",
TRUE,""
)</f>
        <v/>
      </c>
      <c r="I3001" s="1" t="str">
        <f t="shared" si="92"/>
        <v>No Follow-up Required</v>
      </c>
      <c r="J3001" t="str">
        <f>TEXT(Table8[[#This Row],[visit_Date]],"DDDD")</f>
        <v>Saturday</v>
      </c>
      <c r="K3001" t="str">
        <f>TEXT(Table8[[#This Row],[visit_Date]],"mmmm")</f>
        <v>February</v>
      </c>
      <c r="L3001" t="str">
        <f t="shared" si="93"/>
        <v>Winter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8DB1-351D-4641-BE7B-874CAAA9E1EA}">
  <dimension ref="A1:G26"/>
  <sheetViews>
    <sheetView zoomScale="138" workbookViewId="0">
      <selection activeCell="C9" sqref="C9"/>
    </sheetView>
  </sheetViews>
  <sheetFormatPr defaultRowHeight="15" x14ac:dyDescent="0.25"/>
  <cols>
    <col min="1" max="1" width="32.140625" bestFit="1" customWidth="1"/>
    <col min="2" max="2" width="21" bestFit="1" customWidth="1"/>
    <col min="3" max="3" width="10.5703125" style="14" customWidth="1"/>
    <col min="4" max="4" width="12.5703125" customWidth="1"/>
    <col min="5" max="5" width="13.7109375" customWidth="1"/>
    <col min="6" max="6" width="18.85546875" bestFit="1" customWidth="1"/>
    <col min="7" max="7" width="13.42578125" bestFit="1" customWidth="1"/>
  </cols>
  <sheetData>
    <row r="1" spans="1:7" x14ac:dyDescent="0.25">
      <c r="A1" s="8" t="s">
        <v>1966</v>
      </c>
      <c r="B1" s="8" t="s">
        <v>1945</v>
      </c>
      <c r="C1" s="12" t="s">
        <v>1967</v>
      </c>
      <c r="D1" s="8" t="s">
        <v>1968</v>
      </c>
      <c r="E1" s="8" t="s">
        <v>1969</v>
      </c>
      <c r="F1" s="8" t="s">
        <v>1997</v>
      </c>
      <c r="G1" s="8" t="s">
        <v>1998</v>
      </c>
    </row>
    <row r="2" spans="1:7" x14ac:dyDescent="0.25">
      <c r="A2" s="9" t="s">
        <v>313</v>
      </c>
      <c r="B2" s="9" t="s">
        <v>1970</v>
      </c>
      <c r="C2" s="13">
        <v>120</v>
      </c>
      <c r="D2" s="10">
        <v>45658</v>
      </c>
      <c r="E2" s="10">
        <v>46388</v>
      </c>
      <c r="F2" s="9">
        <v>107</v>
      </c>
      <c r="G2" s="9" t="str">
        <f t="shared" ref="G2:G26" si="0">IF(F2=0,"Out of Stock",
IF(F2&lt;=40,"Low Stock",
IF(F2&lt;=120,"Available","Overstock")))</f>
        <v>Available</v>
      </c>
    </row>
    <row r="3" spans="1:7" x14ac:dyDescent="0.25">
      <c r="A3" s="9" t="s">
        <v>315</v>
      </c>
      <c r="B3" s="9" t="s">
        <v>1971</v>
      </c>
      <c r="C3" s="13">
        <v>250</v>
      </c>
      <c r="D3" s="10">
        <v>45703</v>
      </c>
      <c r="E3" s="10">
        <v>46433</v>
      </c>
      <c r="F3" s="9">
        <v>109</v>
      </c>
      <c r="G3" s="9" t="str">
        <f t="shared" si="0"/>
        <v>Available</v>
      </c>
    </row>
    <row r="4" spans="1:7" x14ac:dyDescent="0.25">
      <c r="A4" s="9" t="s">
        <v>317</v>
      </c>
      <c r="B4" s="9" t="s">
        <v>1972</v>
      </c>
      <c r="C4" s="13">
        <v>180</v>
      </c>
      <c r="D4" s="10">
        <v>45726</v>
      </c>
      <c r="E4" s="10">
        <v>46456</v>
      </c>
      <c r="F4" s="9">
        <v>197</v>
      </c>
      <c r="G4" s="9" t="str">
        <f t="shared" si="0"/>
        <v>Overstock</v>
      </c>
    </row>
    <row r="5" spans="1:7" x14ac:dyDescent="0.25">
      <c r="A5" s="9" t="s">
        <v>319</v>
      </c>
      <c r="B5" s="9" t="s">
        <v>1973</v>
      </c>
      <c r="C5" s="13">
        <v>150</v>
      </c>
      <c r="D5" s="10">
        <v>45677</v>
      </c>
      <c r="E5" s="10">
        <v>46407</v>
      </c>
      <c r="F5" s="9">
        <v>93</v>
      </c>
      <c r="G5" s="9" t="str">
        <f t="shared" si="0"/>
        <v>Available</v>
      </c>
    </row>
    <row r="6" spans="1:7" x14ac:dyDescent="0.25">
      <c r="A6" s="9" t="s">
        <v>324</v>
      </c>
      <c r="B6" s="9" t="s">
        <v>1974</v>
      </c>
      <c r="C6" s="13">
        <v>320</v>
      </c>
      <c r="D6" s="10">
        <v>45752</v>
      </c>
      <c r="E6" s="10">
        <v>46482</v>
      </c>
      <c r="F6" s="9">
        <v>173</v>
      </c>
      <c r="G6" s="9" t="str">
        <f t="shared" si="0"/>
        <v>Overstock</v>
      </c>
    </row>
    <row r="7" spans="1:7" x14ac:dyDescent="0.25">
      <c r="A7" s="9" t="s">
        <v>326</v>
      </c>
      <c r="B7" s="9" t="s">
        <v>1975</v>
      </c>
      <c r="C7" s="13">
        <v>60</v>
      </c>
      <c r="D7" s="10">
        <v>45789</v>
      </c>
      <c r="E7" s="10">
        <v>46519</v>
      </c>
      <c r="F7" s="9">
        <v>107</v>
      </c>
      <c r="G7" s="9" t="str">
        <f t="shared" si="0"/>
        <v>Available</v>
      </c>
    </row>
    <row r="8" spans="1:7" x14ac:dyDescent="0.25">
      <c r="A8" s="9" t="s">
        <v>322</v>
      </c>
      <c r="B8" s="9" t="s">
        <v>1976</v>
      </c>
      <c r="C8" s="13">
        <v>410</v>
      </c>
      <c r="D8" s="10">
        <v>45706</v>
      </c>
      <c r="E8" s="10">
        <v>46436</v>
      </c>
      <c r="F8" s="9">
        <v>168</v>
      </c>
      <c r="G8" s="9" t="str">
        <f t="shared" si="0"/>
        <v>Overstock</v>
      </c>
    </row>
    <row r="9" spans="1:7" x14ac:dyDescent="0.25">
      <c r="A9" s="9" t="s">
        <v>24</v>
      </c>
      <c r="B9" s="9" t="s">
        <v>1977</v>
      </c>
      <c r="C9" s="13">
        <v>90</v>
      </c>
      <c r="D9" s="10">
        <v>45741</v>
      </c>
      <c r="E9" s="10">
        <v>46471</v>
      </c>
      <c r="F9" s="9">
        <v>178</v>
      </c>
      <c r="G9" s="9" t="str">
        <f t="shared" si="0"/>
        <v>Overstock</v>
      </c>
    </row>
    <row r="10" spans="1:7" x14ac:dyDescent="0.25">
      <c r="A10" s="9" t="s">
        <v>344</v>
      </c>
      <c r="B10" s="9" t="s">
        <v>1978</v>
      </c>
      <c r="C10" s="13">
        <v>140</v>
      </c>
      <c r="D10" s="10">
        <v>45734</v>
      </c>
      <c r="E10" s="10">
        <v>46464</v>
      </c>
      <c r="F10" s="9">
        <v>45</v>
      </c>
      <c r="G10" s="9" t="str">
        <f t="shared" si="0"/>
        <v>Available</v>
      </c>
    </row>
    <row r="11" spans="1:7" x14ac:dyDescent="0.25">
      <c r="A11" s="9" t="s">
        <v>348</v>
      </c>
      <c r="B11" s="9" t="s">
        <v>1979</v>
      </c>
      <c r="C11" s="13">
        <v>210</v>
      </c>
      <c r="D11" s="10">
        <v>45695</v>
      </c>
      <c r="E11" s="10">
        <v>46425</v>
      </c>
      <c r="F11" s="9">
        <v>40</v>
      </c>
      <c r="G11" s="9" t="str">
        <f t="shared" si="0"/>
        <v>Low Stock</v>
      </c>
    </row>
    <row r="12" spans="1:7" x14ac:dyDescent="0.25">
      <c r="A12" s="9" t="s">
        <v>358</v>
      </c>
      <c r="B12" s="9" t="s">
        <v>1980</v>
      </c>
      <c r="C12" s="13">
        <v>110</v>
      </c>
      <c r="D12" s="10">
        <v>45679</v>
      </c>
      <c r="E12" s="10">
        <v>46409</v>
      </c>
      <c r="F12" s="9">
        <v>132</v>
      </c>
      <c r="G12" s="9" t="str">
        <f t="shared" si="0"/>
        <v>Overstock</v>
      </c>
    </row>
    <row r="13" spans="1:7" x14ac:dyDescent="0.25">
      <c r="A13" s="9" t="s">
        <v>360</v>
      </c>
      <c r="B13" s="9" t="s">
        <v>1981</v>
      </c>
      <c r="C13" s="13">
        <v>190</v>
      </c>
      <c r="D13" s="10">
        <v>45819</v>
      </c>
      <c r="E13" s="10">
        <v>46549</v>
      </c>
      <c r="F13" s="9">
        <v>76</v>
      </c>
      <c r="G13" s="9" t="str">
        <f t="shared" si="0"/>
        <v>Available</v>
      </c>
    </row>
    <row r="14" spans="1:7" x14ac:dyDescent="0.25">
      <c r="A14" s="9" t="s">
        <v>352</v>
      </c>
      <c r="B14" s="9" t="s">
        <v>1982</v>
      </c>
      <c r="C14" s="13">
        <v>350</v>
      </c>
      <c r="D14" s="10">
        <v>45761</v>
      </c>
      <c r="E14" s="10">
        <v>46491</v>
      </c>
      <c r="F14" s="9">
        <v>142</v>
      </c>
      <c r="G14" s="9" t="str">
        <f t="shared" si="0"/>
        <v>Overstock</v>
      </c>
    </row>
    <row r="15" spans="1:7" x14ac:dyDescent="0.25">
      <c r="A15" s="9" t="s">
        <v>338</v>
      </c>
      <c r="B15" s="9" t="s">
        <v>1983</v>
      </c>
      <c r="C15" s="13">
        <v>130</v>
      </c>
      <c r="D15" s="10">
        <v>45786</v>
      </c>
      <c r="E15" s="10">
        <v>46516</v>
      </c>
      <c r="F15" s="9">
        <v>71</v>
      </c>
      <c r="G15" s="9" t="str">
        <f t="shared" si="0"/>
        <v>Available</v>
      </c>
    </row>
    <row r="16" spans="1:7" x14ac:dyDescent="0.25">
      <c r="A16" s="9" t="s">
        <v>346</v>
      </c>
      <c r="B16" s="9" t="s">
        <v>1984</v>
      </c>
      <c r="C16" s="13">
        <v>200</v>
      </c>
      <c r="D16" s="10">
        <v>45719</v>
      </c>
      <c r="E16" s="10">
        <v>46449</v>
      </c>
      <c r="F16" s="9">
        <v>39</v>
      </c>
      <c r="G16" s="9" t="str">
        <f t="shared" si="0"/>
        <v>Low Stock</v>
      </c>
    </row>
    <row r="17" spans="1:7" x14ac:dyDescent="0.25">
      <c r="A17" s="9" t="s">
        <v>1985</v>
      </c>
      <c r="B17" s="9" t="s">
        <v>1986</v>
      </c>
      <c r="C17" s="13">
        <v>275</v>
      </c>
      <c r="D17" s="10">
        <v>45716</v>
      </c>
      <c r="E17" s="10">
        <v>46446</v>
      </c>
      <c r="F17" s="9">
        <v>172</v>
      </c>
      <c r="G17" s="9" t="str">
        <f t="shared" si="0"/>
        <v>Overstock</v>
      </c>
    </row>
    <row r="18" spans="1:7" x14ac:dyDescent="0.25">
      <c r="A18" s="9" t="s">
        <v>330</v>
      </c>
      <c r="B18" s="9" t="s">
        <v>1987</v>
      </c>
      <c r="C18" s="13">
        <v>480</v>
      </c>
      <c r="D18" s="10">
        <v>45663</v>
      </c>
      <c r="E18" s="10">
        <v>46393</v>
      </c>
      <c r="F18" s="9">
        <v>118</v>
      </c>
      <c r="G18" s="9" t="str">
        <f t="shared" si="0"/>
        <v>Available</v>
      </c>
    </row>
    <row r="19" spans="1:7" x14ac:dyDescent="0.25">
      <c r="A19" s="9" t="s">
        <v>334</v>
      </c>
      <c r="B19" s="9" t="s">
        <v>1988</v>
      </c>
      <c r="C19" s="13">
        <v>300</v>
      </c>
      <c r="D19" s="10">
        <v>45733</v>
      </c>
      <c r="E19" s="10">
        <v>46463</v>
      </c>
      <c r="F19" s="9">
        <v>113</v>
      </c>
      <c r="G19" s="9" t="str">
        <f t="shared" si="0"/>
        <v>Available</v>
      </c>
    </row>
    <row r="20" spans="1:7" x14ac:dyDescent="0.25">
      <c r="A20" s="9" t="s">
        <v>328</v>
      </c>
      <c r="B20" s="9" t="s">
        <v>1989</v>
      </c>
      <c r="C20" s="13">
        <v>260</v>
      </c>
      <c r="D20" s="10">
        <v>45768</v>
      </c>
      <c r="E20" s="10">
        <v>46498</v>
      </c>
      <c r="F20" s="9">
        <v>95</v>
      </c>
      <c r="G20" s="9" t="str">
        <f t="shared" si="0"/>
        <v>Available</v>
      </c>
    </row>
    <row r="21" spans="1:7" x14ac:dyDescent="0.25">
      <c r="A21" s="9" t="s">
        <v>356</v>
      </c>
      <c r="B21" s="9" t="s">
        <v>1990</v>
      </c>
      <c r="C21" s="13">
        <v>95</v>
      </c>
      <c r="D21" s="10">
        <v>45810</v>
      </c>
      <c r="E21" s="10">
        <v>46540</v>
      </c>
      <c r="F21" s="9">
        <v>53</v>
      </c>
      <c r="G21" s="9" t="str">
        <f t="shared" si="0"/>
        <v>Available</v>
      </c>
    </row>
    <row r="22" spans="1:7" x14ac:dyDescent="0.25">
      <c r="A22" s="9" t="s">
        <v>354</v>
      </c>
      <c r="B22" s="9" t="s">
        <v>1991</v>
      </c>
      <c r="C22" s="13">
        <v>230</v>
      </c>
      <c r="D22" s="10">
        <v>45707</v>
      </c>
      <c r="E22" s="10">
        <v>46437</v>
      </c>
      <c r="F22" s="9">
        <v>122</v>
      </c>
      <c r="G22" s="9" t="str">
        <f t="shared" si="0"/>
        <v>Overstock</v>
      </c>
    </row>
    <row r="23" spans="1:7" x14ac:dyDescent="0.25">
      <c r="A23" s="9" t="s">
        <v>332</v>
      </c>
      <c r="B23" s="9" t="s">
        <v>1992</v>
      </c>
      <c r="C23" s="13">
        <v>150</v>
      </c>
      <c r="D23" s="10">
        <v>45785</v>
      </c>
      <c r="E23" s="10">
        <v>46515</v>
      </c>
      <c r="F23" s="9">
        <v>41</v>
      </c>
      <c r="G23" s="9" t="str">
        <f t="shared" si="0"/>
        <v>Available</v>
      </c>
    </row>
    <row r="24" spans="1:7" x14ac:dyDescent="0.25">
      <c r="A24" s="9" t="s">
        <v>336</v>
      </c>
      <c r="B24" s="9" t="s">
        <v>1993</v>
      </c>
      <c r="C24" s="13">
        <v>170</v>
      </c>
      <c r="D24" s="10">
        <v>45729</v>
      </c>
      <c r="E24" s="10">
        <v>46459</v>
      </c>
      <c r="F24" s="9">
        <v>108</v>
      </c>
      <c r="G24" s="9" t="str">
        <f t="shared" si="0"/>
        <v>Available</v>
      </c>
    </row>
    <row r="25" spans="1:7" x14ac:dyDescent="0.25">
      <c r="A25" s="9" t="s">
        <v>350</v>
      </c>
      <c r="B25" s="9" t="s">
        <v>1994</v>
      </c>
      <c r="C25" s="13">
        <v>520</v>
      </c>
      <c r="D25" s="10">
        <v>45687</v>
      </c>
      <c r="E25" s="10">
        <v>46417</v>
      </c>
      <c r="F25" s="9">
        <v>149</v>
      </c>
      <c r="G25" s="9" t="str">
        <f t="shared" si="0"/>
        <v>Overstock</v>
      </c>
    </row>
    <row r="26" spans="1:7" x14ac:dyDescent="0.25">
      <c r="A26" s="9" t="s">
        <v>342</v>
      </c>
      <c r="B26" s="9" t="s">
        <v>1995</v>
      </c>
      <c r="C26" s="13">
        <v>210</v>
      </c>
      <c r="D26" s="10">
        <v>45759</v>
      </c>
      <c r="E26" s="10">
        <v>46489</v>
      </c>
      <c r="F26" s="9">
        <v>84</v>
      </c>
      <c r="G26" s="9" t="str">
        <f t="shared" si="0"/>
        <v>Available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01"/>
  <sheetViews>
    <sheetView zoomScale="152" workbookViewId="0">
      <selection activeCell="E1" sqref="E1"/>
    </sheetView>
  </sheetViews>
  <sheetFormatPr defaultRowHeight="15" x14ac:dyDescent="0.25"/>
  <cols>
    <col min="1" max="1" width="10.5703125" bestFit="1" customWidth="1"/>
    <col min="2" max="2" width="10" customWidth="1"/>
    <col min="3" max="3" width="16.5703125" bestFit="1" customWidth="1"/>
    <col min="4" max="4" width="9.85546875" customWidth="1"/>
    <col min="5" max="5" width="15.140625" bestFit="1" customWidth="1"/>
    <col min="6" max="6" width="18.28515625" style="1" bestFit="1" customWidth="1"/>
    <col min="7" max="7" width="14.5703125" customWidth="1"/>
    <col min="8" max="8" width="14.140625" customWidth="1"/>
    <col min="9" max="9" width="7.28515625" customWidth="1"/>
  </cols>
  <sheetData>
    <row r="1" spans="1:9" x14ac:dyDescent="0.25">
      <c r="A1" s="2" t="s">
        <v>32</v>
      </c>
      <c r="B1" s="2" t="s">
        <v>36</v>
      </c>
      <c r="C1" s="2" t="s">
        <v>362</v>
      </c>
      <c r="D1" s="2" t="s">
        <v>70</v>
      </c>
      <c r="E1" s="2" t="s">
        <v>71</v>
      </c>
      <c r="F1" s="6" t="s">
        <v>1963</v>
      </c>
      <c r="G1" s="7" t="s">
        <v>1948</v>
      </c>
      <c r="H1" s="7" t="s">
        <v>1947</v>
      </c>
      <c r="I1" s="7" t="s">
        <v>1946</v>
      </c>
    </row>
    <row r="2" spans="1:9" x14ac:dyDescent="0.25">
      <c r="A2">
        <v>3001</v>
      </c>
      <c r="B2">
        <v>101</v>
      </c>
      <c r="C2" t="s">
        <v>80</v>
      </c>
      <c r="D2" t="s">
        <v>73</v>
      </c>
      <c r="E2" t="s">
        <v>363</v>
      </c>
      <c r="F2" s="1">
        <v>43795.85491898148</v>
      </c>
      <c r="G2">
        <v>342</v>
      </c>
      <c r="H2">
        <v>23</v>
      </c>
      <c r="I2">
        <v>28395</v>
      </c>
    </row>
    <row r="3" spans="1:9" x14ac:dyDescent="0.25">
      <c r="A3">
        <v>3002</v>
      </c>
      <c r="B3">
        <v>101</v>
      </c>
      <c r="C3" t="s">
        <v>75</v>
      </c>
      <c r="D3" t="s">
        <v>76</v>
      </c>
      <c r="E3" t="s">
        <v>364</v>
      </c>
      <c r="F3" s="1">
        <v>45159.930335648147</v>
      </c>
      <c r="G3">
        <v>351</v>
      </c>
      <c r="H3">
        <v>14</v>
      </c>
      <c r="I3">
        <v>18361</v>
      </c>
    </row>
    <row r="4" spans="1:9" x14ac:dyDescent="0.25">
      <c r="A4">
        <v>3003</v>
      </c>
      <c r="B4">
        <v>101</v>
      </c>
      <c r="C4" t="s">
        <v>104</v>
      </c>
      <c r="D4" t="s">
        <v>76</v>
      </c>
      <c r="E4" t="s">
        <v>365</v>
      </c>
      <c r="F4" s="1">
        <v>43767.584861111107</v>
      </c>
      <c r="G4">
        <v>350</v>
      </c>
      <c r="H4">
        <v>15</v>
      </c>
      <c r="I4">
        <v>29279</v>
      </c>
    </row>
    <row r="5" spans="1:9" x14ac:dyDescent="0.25">
      <c r="A5">
        <v>3004</v>
      </c>
      <c r="B5">
        <v>101</v>
      </c>
      <c r="C5" t="s">
        <v>92</v>
      </c>
      <c r="D5" t="s">
        <v>76</v>
      </c>
      <c r="E5" t="s">
        <v>366</v>
      </c>
      <c r="F5" s="1">
        <v>45573.955729166657</v>
      </c>
      <c r="G5">
        <v>352</v>
      </c>
      <c r="H5">
        <v>13</v>
      </c>
      <c r="I5">
        <v>15132</v>
      </c>
    </row>
    <row r="6" spans="1:9" x14ac:dyDescent="0.25">
      <c r="A6">
        <v>3005</v>
      </c>
      <c r="B6">
        <v>101</v>
      </c>
      <c r="C6" t="s">
        <v>86</v>
      </c>
      <c r="D6" t="s">
        <v>76</v>
      </c>
      <c r="E6" t="s">
        <v>367</v>
      </c>
      <c r="F6" s="1">
        <v>43165.905925925923</v>
      </c>
      <c r="G6">
        <v>360</v>
      </c>
      <c r="H6">
        <v>5</v>
      </c>
      <c r="I6">
        <v>34996</v>
      </c>
    </row>
    <row r="7" spans="1:9" x14ac:dyDescent="0.25">
      <c r="A7">
        <v>3006</v>
      </c>
      <c r="B7">
        <v>101</v>
      </c>
      <c r="C7" t="s">
        <v>120</v>
      </c>
      <c r="D7" t="s">
        <v>73</v>
      </c>
      <c r="E7" t="s">
        <v>368</v>
      </c>
      <c r="F7" s="1">
        <v>43010.149456018517</v>
      </c>
      <c r="G7">
        <v>353</v>
      </c>
      <c r="H7">
        <v>12</v>
      </c>
      <c r="I7">
        <v>35548</v>
      </c>
    </row>
    <row r="8" spans="1:9" x14ac:dyDescent="0.25">
      <c r="A8">
        <v>3007</v>
      </c>
      <c r="B8">
        <v>101</v>
      </c>
      <c r="C8" t="s">
        <v>127</v>
      </c>
      <c r="D8" t="s">
        <v>76</v>
      </c>
      <c r="E8" t="s">
        <v>369</v>
      </c>
      <c r="F8" s="1">
        <v>43700.944027777783</v>
      </c>
      <c r="G8">
        <v>356</v>
      </c>
      <c r="H8">
        <v>9</v>
      </c>
      <c r="I8">
        <v>30318</v>
      </c>
    </row>
    <row r="9" spans="1:9" x14ac:dyDescent="0.25">
      <c r="A9">
        <v>3008</v>
      </c>
      <c r="B9">
        <v>101</v>
      </c>
      <c r="C9" t="s">
        <v>72</v>
      </c>
      <c r="D9" t="s">
        <v>73</v>
      </c>
      <c r="E9" t="s">
        <v>370</v>
      </c>
      <c r="F9" s="1">
        <v>43771.054409722223</v>
      </c>
      <c r="G9">
        <v>346</v>
      </c>
      <c r="H9">
        <v>19</v>
      </c>
      <c r="I9">
        <v>28914</v>
      </c>
    </row>
    <row r="10" spans="1:9" x14ac:dyDescent="0.25">
      <c r="A10">
        <v>3009</v>
      </c>
      <c r="B10">
        <v>101</v>
      </c>
      <c r="C10" t="s">
        <v>80</v>
      </c>
      <c r="D10" t="s">
        <v>73</v>
      </c>
      <c r="E10" t="s">
        <v>371</v>
      </c>
      <c r="F10" s="1">
        <v>44590.02648148148</v>
      </c>
      <c r="G10">
        <v>357</v>
      </c>
      <c r="H10">
        <v>8</v>
      </c>
      <c r="I10">
        <v>23249</v>
      </c>
    </row>
    <row r="11" spans="1:9" x14ac:dyDescent="0.25">
      <c r="A11">
        <v>3010</v>
      </c>
      <c r="B11">
        <v>101</v>
      </c>
      <c r="C11" t="s">
        <v>82</v>
      </c>
      <c r="D11" t="s">
        <v>73</v>
      </c>
      <c r="E11" t="s">
        <v>372</v>
      </c>
      <c r="F11" s="1">
        <v>43987.293668981481</v>
      </c>
      <c r="G11">
        <v>345</v>
      </c>
      <c r="H11">
        <v>20</v>
      </c>
      <c r="I11">
        <v>27152</v>
      </c>
    </row>
    <row r="12" spans="1:9" x14ac:dyDescent="0.25">
      <c r="A12">
        <v>3011</v>
      </c>
      <c r="B12">
        <v>101</v>
      </c>
      <c r="C12" t="s">
        <v>92</v>
      </c>
      <c r="D12" t="s">
        <v>76</v>
      </c>
      <c r="E12" t="s">
        <v>373</v>
      </c>
      <c r="F12" s="1">
        <v>43261.082789351851</v>
      </c>
      <c r="G12">
        <v>355</v>
      </c>
      <c r="H12">
        <v>10</v>
      </c>
      <c r="I12">
        <v>33743</v>
      </c>
    </row>
    <row r="13" spans="1:9" x14ac:dyDescent="0.25">
      <c r="A13">
        <v>3012</v>
      </c>
      <c r="B13">
        <v>101</v>
      </c>
      <c r="C13" t="s">
        <v>92</v>
      </c>
      <c r="D13" t="s">
        <v>76</v>
      </c>
      <c r="E13" t="s">
        <v>374</v>
      </c>
      <c r="F13" s="1">
        <v>43815.111041666663</v>
      </c>
      <c r="G13">
        <v>345</v>
      </c>
      <c r="H13">
        <v>20</v>
      </c>
      <c r="I13">
        <v>28488</v>
      </c>
    </row>
    <row r="14" spans="1:9" x14ac:dyDescent="0.25">
      <c r="A14">
        <v>3013</v>
      </c>
      <c r="B14">
        <v>101</v>
      </c>
      <c r="C14" t="s">
        <v>78</v>
      </c>
      <c r="D14" t="s">
        <v>73</v>
      </c>
      <c r="E14" t="s">
        <v>375</v>
      </c>
      <c r="F14" s="1">
        <v>43259.484537037039</v>
      </c>
      <c r="G14">
        <v>357</v>
      </c>
      <c r="H14">
        <v>8</v>
      </c>
      <c r="I14">
        <v>33949</v>
      </c>
    </row>
    <row r="15" spans="1:9" x14ac:dyDescent="0.25">
      <c r="A15">
        <v>3014</v>
      </c>
      <c r="B15">
        <v>101</v>
      </c>
      <c r="C15" t="s">
        <v>104</v>
      </c>
      <c r="D15" t="s">
        <v>76</v>
      </c>
      <c r="E15" t="s">
        <v>376</v>
      </c>
      <c r="F15" s="1">
        <v>43509.796400462961</v>
      </c>
      <c r="G15">
        <v>346</v>
      </c>
      <c r="H15">
        <v>19</v>
      </c>
      <c r="I15">
        <v>30955</v>
      </c>
    </row>
    <row r="16" spans="1:9" x14ac:dyDescent="0.25">
      <c r="A16">
        <v>3015</v>
      </c>
      <c r="B16">
        <v>101</v>
      </c>
      <c r="C16" t="s">
        <v>78</v>
      </c>
      <c r="D16" t="s">
        <v>73</v>
      </c>
      <c r="E16" t="s">
        <v>377</v>
      </c>
      <c r="F16" s="1">
        <v>44928.761481481481</v>
      </c>
      <c r="G16">
        <v>355</v>
      </c>
      <c r="H16">
        <v>10</v>
      </c>
      <c r="I16">
        <v>20417</v>
      </c>
    </row>
    <row r="17" spans="1:9" x14ac:dyDescent="0.25">
      <c r="A17">
        <v>3016</v>
      </c>
      <c r="B17">
        <v>101</v>
      </c>
      <c r="C17" t="s">
        <v>120</v>
      </c>
      <c r="D17" t="s">
        <v>73</v>
      </c>
      <c r="E17" t="s">
        <v>378</v>
      </c>
      <c r="F17" s="1">
        <v>43412.201226851852</v>
      </c>
      <c r="G17">
        <v>346</v>
      </c>
      <c r="H17">
        <v>19</v>
      </c>
      <c r="I17">
        <v>31711</v>
      </c>
    </row>
    <row r="18" spans="1:9" x14ac:dyDescent="0.25">
      <c r="A18">
        <v>3017</v>
      </c>
      <c r="B18">
        <v>101</v>
      </c>
      <c r="C18" t="s">
        <v>89</v>
      </c>
      <c r="D18" t="s">
        <v>76</v>
      </c>
      <c r="E18" t="s">
        <v>379</v>
      </c>
      <c r="F18" s="1">
        <v>44020.504166666673</v>
      </c>
      <c r="G18">
        <v>348</v>
      </c>
      <c r="H18">
        <v>17</v>
      </c>
      <c r="I18">
        <v>27130</v>
      </c>
    </row>
    <row r="19" spans="1:9" x14ac:dyDescent="0.25">
      <c r="A19">
        <v>3018</v>
      </c>
      <c r="B19">
        <v>101</v>
      </c>
      <c r="C19" t="s">
        <v>84</v>
      </c>
      <c r="D19" t="s">
        <v>73</v>
      </c>
      <c r="E19" t="s">
        <v>380</v>
      </c>
      <c r="F19" s="1">
        <v>43997.540625000001</v>
      </c>
      <c r="G19">
        <v>358</v>
      </c>
      <c r="H19">
        <v>7</v>
      </c>
      <c r="I19">
        <v>28095</v>
      </c>
    </row>
    <row r="20" spans="1:9" x14ac:dyDescent="0.25">
      <c r="A20">
        <v>3019</v>
      </c>
      <c r="B20">
        <v>101</v>
      </c>
      <c r="C20" t="s">
        <v>99</v>
      </c>
      <c r="D20" t="s">
        <v>76</v>
      </c>
      <c r="E20" t="s">
        <v>381</v>
      </c>
      <c r="F20" s="1">
        <v>43526.062407407408</v>
      </c>
      <c r="G20">
        <v>341</v>
      </c>
      <c r="H20">
        <v>24</v>
      </c>
      <c r="I20">
        <v>30377</v>
      </c>
    </row>
    <row r="21" spans="1:9" x14ac:dyDescent="0.25">
      <c r="A21">
        <v>3020</v>
      </c>
      <c r="B21">
        <v>101</v>
      </c>
      <c r="C21" t="s">
        <v>92</v>
      </c>
      <c r="D21" t="s">
        <v>76</v>
      </c>
      <c r="E21" t="s">
        <v>382</v>
      </c>
      <c r="F21" s="1">
        <v>42939.903379629628</v>
      </c>
      <c r="G21">
        <v>342</v>
      </c>
      <c r="H21">
        <v>23</v>
      </c>
      <c r="I21">
        <v>34987</v>
      </c>
    </row>
    <row r="22" spans="1:9" x14ac:dyDescent="0.25">
      <c r="A22">
        <v>3021</v>
      </c>
      <c r="B22">
        <v>101</v>
      </c>
      <c r="C22" t="s">
        <v>84</v>
      </c>
      <c r="D22" t="s">
        <v>73</v>
      </c>
      <c r="E22" t="s">
        <v>383</v>
      </c>
      <c r="F22" s="1">
        <v>42932.269432870373</v>
      </c>
      <c r="G22">
        <v>342</v>
      </c>
      <c r="H22">
        <v>23</v>
      </c>
      <c r="I22">
        <v>35041</v>
      </c>
    </row>
    <row r="23" spans="1:9" x14ac:dyDescent="0.25">
      <c r="A23">
        <v>3022</v>
      </c>
      <c r="B23">
        <v>101</v>
      </c>
      <c r="C23" t="s">
        <v>94</v>
      </c>
      <c r="D23" t="s">
        <v>73</v>
      </c>
      <c r="E23" t="s">
        <v>384</v>
      </c>
      <c r="F23" s="1">
        <v>43907.749756944453</v>
      </c>
      <c r="G23">
        <v>346</v>
      </c>
      <c r="H23">
        <v>19</v>
      </c>
      <c r="I23">
        <v>27854</v>
      </c>
    </row>
    <row r="24" spans="1:9" x14ac:dyDescent="0.25">
      <c r="A24">
        <v>3023</v>
      </c>
      <c r="B24">
        <v>101</v>
      </c>
      <c r="C24" t="s">
        <v>82</v>
      </c>
      <c r="D24" t="s">
        <v>73</v>
      </c>
      <c r="E24" t="s">
        <v>385</v>
      </c>
      <c r="F24" s="1">
        <v>43342.080625000002</v>
      </c>
      <c r="G24">
        <v>343</v>
      </c>
      <c r="H24">
        <v>22</v>
      </c>
      <c r="I24">
        <v>31976</v>
      </c>
    </row>
    <row r="25" spans="1:9" x14ac:dyDescent="0.25">
      <c r="A25">
        <v>3024</v>
      </c>
      <c r="B25">
        <v>101</v>
      </c>
      <c r="C25" t="s">
        <v>125</v>
      </c>
      <c r="D25" t="s">
        <v>76</v>
      </c>
      <c r="E25" t="s">
        <v>386</v>
      </c>
      <c r="F25" s="1">
        <v>43522.243981481479</v>
      </c>
      <c r="G25">
        <v>354</v>
      </c>
      <c r="H25">
        <v>11</v>
      </c>
      <c r="I25">
        <v>31567</v>
      </c>
    </row>
    <row r="26" spans="1:9" x14ac:dyDescent="0.25">
      <c r="A26">
        <v>3025</v>
      </c>
      <c r="B26">
        <v>101</v>
      </c>
      <c r="C26" t="s">
        <v>94</v>
      </c>
      <c r="D26" t="s">
        <v>73</v>
      </c>
      <c r="E26" t="s">
        <v>387</v>
      </c>
      <c r="F26" s="1">
        <v>42742.013090277767</v>
      </c>
      <c r="G26">
        <v>350</v>
      </c>
      <c r="H26">
        <v>15</v>
      </c>
      <c r="I26">
        <v>37358</v>
      </c>
    </row>
    <row r="27" spans="1:9" x14ac:dyDescent="0.25">
      <c r="A27">
        <v>3026</v>
      </c>
      <c r="B27">
        <v>101</v>
      </c>
      <c r="C27" t="s">
        <v>92</v>
      </c>
      <c r="D27" t="s">
        <v>76</v>
      </c>
      <c r="E27" t="s">
        <v>388</v>
      </c>
      <c r="F27" s="1">
        <v>43264.01326388889</v>
      </c>
      <c r="G27">
        <v>359</v>
      </c>
      <c r="H27">
        <v>6</v>
      </c>
      <c r="I27">
        <v>34099</v>
      </c>
    </row>
    <row r="28" spans="1:9" x14ac:dyDescent="0.25">
      <c r="A28">
        <v>3027</v>
      </c>
      <c r="B28">
        <v>101</v>
      </c>
      <c r="C28" t="s">
        <v>86</v>
      </c>
      <c r="D28" t="s">
        <v>76</v>
      </c>
      <c r="E28" t="s">
        <v>389</v>
      </c>
      <c r="F28" s="1">
        <v>45222.809606481482</v>
      </c>
      <c r="G28">
        <v>350</v>
      </c>
      <c r="H28">
        <v>15</v>
      </c>
      <c r="I28">
        <v>17812</v>
      </c>
    </row>
    <row r="29" spans="1:9" x14ac:dyDescent="0.25">
      <c r="A29">
        <v>3028</v>
      </c>
      <c r="B29">
        <v>101</v>
      </c>
      <c r="C29" t="s">
        <v>127</v>
      </c>
      <c r="D29" t="s">
        <v>76</v>
      </c>
      <c r="E29" t="s">
        <v>390</v>
      </c>
      <c r="F29" s="1">
        <v>44257.961863425917</v>
      </c>
      <c r="G29">
        <v>349</v>
      </c>
      <c r="H29">
        <v>16</v>
      </c>
      <c r="I29">
        <v>25345</v>
      </c>
    </row>
    <row r="30" spans="1:9" x14ac:dyDescent="0.25">
      <c r="A30">
        <v>3029</v>
      </c>
      <c r="B30">
        <v>101</v>
      </c>
      <c r="C30" t="s">
        <v>94</v>
      </c>
      <c r="D30" t="s">
        <v>73</v>
      </c>
      <c r="E30" t="s">
        <v>391</v>
      </c>
      <c r="F30" s="1">
        <v>44438.840833333343</v>
      </c>
      <c r="G30">
        <v>359</v>
      </c>
      <c r="H30">
        <v>6</v>
      </c>
      <c r="I30">
        <v>24608</v>
      </c>
    </row>
    <row r="31" spans="1:9" x14ac:dyDescent="0.25">
      <c r="A31">
        <v>3030</v>
      </c>
      <c r="B31">
        <v>102</v>
      </c>
      <c r="C31" t="s">
        <v>127</v>
      </c>
      <c r="D31" t="s">
        <v>76</v>
      </c>
      <c r="E31" t="s">
        <v>392</v>
      </c>
      <c r="F31" s="1">
        <v>42865.989305555559</v>
      </c>
      <c r="G31">
        <v>342</v>
      </c>
      <c r="H31">
        <v>23</v>
      </c>
      <c r="I31">
        <v>35557</v>
      </c>
    </row>
    <row r="32" spans="1:9" x14ac:dyDescent="0.25">
      <c r="A32">
        <v>3031</v>
      </c>
      <c r="B32">
        <v>102</v>
      </c>
      <c r="C32" t="s">
        <v>75</v>
      </c>
      <c r="D32" t="s">
        <v>76</v>
      </c>
      <c r="E32" t="s">
        <v>393</v>
      </c>
      <c r="F32" s="1">
        <v>44817.670532407406</v>
      </c>
      <c r="G32">
        <v>358</v>
      </c>
      <c r="H32">
        <v>7</v>
      </c>
      <c r="I32">
        <v>21484</v>
      </c>
    </row>
    <row r="33" spans="1:9" x14ac:dyDescent="0.25">
      <c r="A33">
        <v>3032</v>
      </c>
      <c r="B33">
        <v>102</v>
      </c>
      <c r="C33" t="s">
        <v>78</v>
      </c>
      <c r="D33" t="s">
        <v>73</v>
      </c>
      <c r="E33" t="s">
        <v>394</v>
      </c>
      <c r="F33" s="1">
        <v>44721.205011574071</v>
      </c>
      <c r="G33">
        <v>349</v>
      </c>
      <c r="H33">
        <v>16</v>
      </c>
      <c r="I33">
        <v>21698</v>
      </c>
    </row>
    <row r="34" spans="1:9" x14ac:dyDescent="0.25">
      <c r="A34">
        <v>3033</v>
      </c>
      <c r="B34">
        <v>102</v>
      </c>
      <c r="C34" t="s">
        <v>84</v>
      </c>
      <c r="D34" t="s">
        <v>73</v>
      </c>
      <c r="E34" t="s">
        <v>395</v>
      </c>
      <c r="F34" s="1">
        <v>44862.31318287037</v>
      </c>
      <c r="G34">
        <v>346</v>
      </c>
      <c r="H34">
        <v>19</v>
      </c>
      <c r="I34">
        <v>20413</v>
      </c>
    </row>
    <row r="35" spans="1:9" x14ac:dyDescent="0.25">
      <c r="A35">
        <v>3034</v>
      </c>
      <c r="B35">
        <v>102</v>
      </c>
      <c r="C35" t="s">
        <v>94</v>
      </c>
      <c r="D35" t="s">
        <v>73</v>
      </c>
      <c r="E35" t="s">
        <v>396</v>
      </c>
      <c r="F35" s="1">
        <v>44768.202106481483</v>
      </c>
      <c r="G35">
        <v>350</v>
      </c>
      <c r="H35">
        <v>15</v>
      </c>
      <c r="I35">
        <v>21390</v>
      </c>
    </row>
    <row r="36" spans="1:9" x14ac:dyDescent="0.25">
      <c r="A36">
        <v>3035</v>
      </c>
      <c r="B36">
        <v>102</v>
      </c>
      <c r="C36" t="s">
        <v>75</v>
      </c>
      <c r="D36" t="s">
        <v>76</v>
      </c>
      <c r="E36" t="s">
        <v>397</v>
      </c>
      <c r="F36" s="1">
        <v>44081.944594907407</v>
      </c>
      <c r="G36">
        <v>356</v>
      </c>
      <c r="H36">
        <v>9</v>
      </c>
      <c r="I36">
        <v>27264</v>
      </c>
    </row>
    <row r="37" spans="1:9" x14ac:dyDescent="0.25">
      <c r="A37">
        <v>3036</v>
      </c>
      <c r="B37">
        <v>102</v>
      </c>
      <c r="C37" t="s">
        <v>78</v>
      </c>
      <c r="D37" t="s">
        <v>73</v>
      </c>
      <c r="E37" t="s">
        <v>398</v>
      </c>
      <c r="F37" s="1">
        <v>43057.036354166667</v>
      </c>
      <c r="G37">
        <v>354</v>
      </c>
      <c r="H37">
        <v>11</v>
      </c>
      <c r="I37">
        <v>35274</v>
      </c>
    </row>
    <row r="38" spans="1:9" x14ac:dyDescent="0.25">
      <c r="A38">
        <v>3037</v>
      </c>
      <c r="B38">
        <v>102</v>
      </c>
      <c r="C38" t="s">
        <v>84</v>
      </c>
      <c r="D38" t="s">
        <v>73</v>
      </c>
      <c r="E38" t="s">
        <v>399</v>
      </c>
      <c r="F38" s="1">
        <v>44850.892002314817</v>
      </c>
      <c r="G38">
        <v>357</v>
      </c>
      <c r="H38">
        <v>8</v>
      </c>
      <c r="I38">
        <v>21159</v>
      </c>
    </row>
    <row r="39" spans="1:9" x14ac:dyDescent="0.25">
      <c r="A39">
        <v>3038</v>
      </c>
      <c r="B39">
        <v>102</v>
      </c>
      <c r="C39" t="s">
        <v>127</v>
      </c>
      <c r="D39" t="s">
        <v>76</v>
      </c>
      <c r="E39" t="s">
        <v>400</v>
      </c>
      <c r="F39" s="1">
        <v>44658.165775462963</v>
      </c>
      <c r="G39">
        <v>342</v>
      </c>
      <c r="H39">
        <v>23</v>
      </c>
      <c r="I39">
        <v>21748</v>
      </c>
    </row>
    <row r="40" spans="1:9" x14ac:dyDescent="0.25">
      <c r="A40">
        <v>3039</v>
      </c>
      <c r="B40">
        <v>102</v>
      </c>
      <c r="C40" t="s">
        <v>86</v>
      </c>
      <c r="D40" t="s">
        <v>76</v>
      </c>
      <c r="E40" t="s">
        <v>401</v>
      </c>
      <c r="F40" s="1">
        <v>43589.527696759258</v>
      </c>
      <c r="G40">
        <v>341</v>
      </c>
      <c r="H40">
        <v>24</v>
      </c>
      <c r="I40">
        <v>29893</v>
      </c>
    </row>
    <row r="41" spans="1:9" x14ac:dyDescent="0.25">
      <c r="A41">
        <v>3040</v>
      </c>
      <c r="B41">
        <v>102</v>
      </c>
      <c r="C41" t="s">
        <v>75</v>
      </c>
      <c r="D41" t="s">
        <v>76</v>
      </c>
      <c r="E41" t="s">
        <v>402</v>
      </c>
      <c r="F41" s="1">
        <v>44164.117013888892</v>
      </c>
      <c r="G41">
        <v>358</v>
      </c>
      <c r="H41">
        <v>7</v>
      </c>
      <c r="I41">
        <v>26748</v>
      </c>
    </row>
    <row r="42" spans="1:9" x14ac:dyDescent="0.25">
      <c r="A42">
        <v>3041</v>
      </c>
      <c r="B42">
        <v>102</v>
      </c>
      <c r="C42" t="s">
        <v>86</v>
      </c>
      <c r="D42" t="s">
        <v>76</v>
      </c>
      <c r="E42" t="s">
        <v>403</v>
      </c>
      <c r="F42" s="1">
        <v>43799.867731481478</v>
      </c>
      <c r="G42">
        <v>344</v>
      </c>
      <c r="H42">
        <v>21</v>
      </c>
      <c r="I42">
        <v>28530</v>
      </c>
    </row>
    <row r="43" spans="1:9" x14ac:dyDescent="0.25">
      <c r="A43">
        <v>3042</v>
      </c>
      <c r="B43">
        <v>102</v>
      </c>
      <c r="C43" t="s">
        <v>89</v>
      </c>
      <c r="D43" t="s">
        <v>76</v>
      </c>
      <c r="E43" t="s">
        <v>404</v>
      </c>
      <c r="F43" s="1">
        <v>45178.445439814823</v>
      </c>
      <c r="G43">
        <v>353</v>
      </c>
      <c r="H43">
        <v>12</v>
      </c>
      <c r="I43">
        <v>18314</v>
      </c>
    </row>
    <row r="44" spans="1:9" x14ac:dyDescent="0.25">
      <c r="A44">
        <v>3043</v>
      </c>
      <c r="B44">
        <v>102</v>
      </c>
      <c r="C44" t="s">
        <v>84</v>
      </c>
      <c r="D44" t="s">
        <v>73</v>
      </c>
      <c r="E44" t="s">
        <v>405</v>
      </c>
      <c r="F44" s="1">
        <v>45600.874421296299</v>
      </c>
      <c r="G44">
        <v>342</v>
      </c>
      <c r="H44">
        <v>23</v>
      </c>
      <c r="I44">
        <v>14494</v>
      </c>
    </row>
    <row r="45" spans="1:9" x14ac:dyDescent="0.25">
      <c r="A45">
        <v>3044</v>
      </c>
      <c r="B45">
        <v>102</v>
      </c>
      <c r="C45" t="s">
        <v>72</v>
      </c>
      <c r="D45" t="s">
        <v>73</v>
      </c>
      <c r="E45" t="s">
        <v>406</v>
      </c>
      <c r="F45" s="1">
        <v>42951.403310185182</v>
      </c>
      <c r="G45">
        <v>341</v>
      </c>
      <c r="H45">
        <v>24</v>
      </c>
      <c r="I45">
        <v>34792</v>
      </c>
    </row>
    <row r="46" spans="1:9" x14ac:dyDescent="0.25">
      <c r="A46">
        <v>3045</v>
      </c>
      <c r="B46">
        <v>102</v>
      </c>
      <c r="C46" t="s">
        <v>99</v>
      </c>
      <c r="D46" t="s">
        <v>76</v>
      </c>
      <c r="E46" t="s">
        <v>407</v>
      </c>
      <c r="F46" s="1">
        <v>43411.17732638889</v>
      </c>
      <c r="G46">
        <v>353</v>
      </c>
      <c r="H46">
        <v>12</v>
      </c>
      <c r="I46">
        <v>32360</v>
      </c>
    </row>
    <row r="47" spans="1:9" x14ac:dyDescent="0.25">
      <c r="A47">
        <v>3046</v>
      </c>
      <c r="B47">
        <v>102</v>
      </c>
      <c r="C47" t="s">
        <v>86</v>
      </c>
      <c r="D47" t="s">
        <v>76</v>
      </c>
      <c r="E47" t="s">
        <v>408</v>
      </c>
      <c r="F47" s="1">
        <v>44868.661493055559</v>
      </c>
      <c r="G47">
        <v>344</v>
      </c>
      <c r="H47">
        <v>21</v>
      </c>
      <c r="I47">
        <v>20249</v>
      </c>
    </row>
    <row r="48" spans="1:9" x14ac:dyDescent="0.25">
      <c r="A48">
        <v>3047</v>
      </c>
      <c r="B48">
        <v>102</v>
      </c>
      <c r="C48" t="s">
        <v>89</v>
      </c>
      <c r="D48" t="s">
        <v>76</v>
      </c>
      <c r="E48" t="s">
        <v>409</v>
      </c>
      <c r="F48" s="1">
        <v>45483.336655092593</v>
      </c>
      <c r="G48">
        <v>357</v>
      </c>
      <c r="H48">
        <v>8</v>
      </c>
      <c r="I48">
        <v>16070</v>
      </c>
    </row>
    <row r="49" spans="1:9" x14ac:dyDescent="0.25">
      <c r="A49">
        <v>3048</v>
      </c>
      <c r="B49">
        <v>102</v>
      </c>
      <c r="C49" t="s">
        <v>125</v>
      </c>
      <c r="D49" t="s">
        <v>76</v>
      </c>
      <c r="E49" t="s">
        <v>410</v>
      </c>
      <c r="F49" s="1">
        <v>44405.105844907397</v>
      </c>
      <c r="G49">
        <v>354</v>
      </c>
      <c r="H49">
        <v>11</v>
      </c>
      <c r="I49">
        <v>24528</v>
      </c>
    </row>
    <row r="50" spans="1:9" x14ac:dyDescent="0.25">
      <c r="A50">
        <v>3049</v>
      </c>
      <c r="B50">
        <v>102</v>
      </c>
      <c r="C50" t="s">
        <v>80</v>
      </c>
      <c r="D50" t="s">
        <v>73</v>
      </c>
      <c r="E50" t="s">
        <v>411</v>
      </c>
      <c r="F50" s="1">
        <v>43389.10560185185</v>
      </c>
      <c r="G50">
        <v>360</v>
      </c>
      <c r="H50">
        <v>5</v>
      </c>
      <c r="I50">
        <v>33180</v>
      </c>
    </row>
    <row r="51" spans="1:9" x14ac:dyDescent="0.25">
      <c r="A51">
        <v>3050</v>
      </c>
      <c r="B51">
        <v>103</v>
      </c>
      <c r="C51" t="s">
        <v>89</v>
      </c>
      <c r="D51" t="s">
        <v>76</v>
      </c>
      <c r="E51" t="s">
        <v>412</v>
      </c>
      <c r="F51" s="1">
        <v>42888.275868055563</v>
      </c>
      <c r="G51">
        <v>358</v>
      </c>
      <c r="H51">
        <v>7</v>
      </c>
      <c r="I51">
        <v>37035</v>
      </c>
    </row>
    <row r="52" spans="1:9" x14ac:dyDescent="0.25">
      <c r="A52">
        <v>3051</v>
      </c>
      <c r="B52">
        <v>103</v>
      </c>
      <c r="C52" t="s">
        <v>82</v>
      </c>
      <c r="D52" t="s">
        <v>73</v>
      </c>
      <c r="E52" t="s">
        <v>413</v>
      </c>
      <c r="F52" s="1">
        <v>43998.500949074078</v>
      </c>
      <c r="G52">
        <v>343</v>
      </c>
      <c r="H52">
        <v>22</v>
      </c>
      <c r="I52">
        <v>26910</v>
      </c>
    </row>
    <row r="53" spans="1:9" x14ac:dyDescent="0.25">
      <c r="A53">
        <v>3052</v>
      </c>
      <c r="B53">
        <v>103</v>
      </c>
      <c r="C53" t="s">
        <v>127</v>
      </c>
      <c r="D53" t="s">
        <v>76</v>
      </c>
      <c r="E53" t="s">
        <v>414</v>
      </c>
      <c r="F53" s="1">
        <v>45541.855891203697</v>
      </c>
      <c r="G53">
        <v>344</v>
      </c>
      <c r="H53">
        <v>21</v>
      </c>
      <c r="I53">
        <v>15036</v>
      </c>
    </row>
    <row r="54" spans="1:9" x14ac:dyDescent="0.25">
      <c r="A54">
        <v>3053</v>
      </c>
      <c r="B54">
        <v>103</v>
      </c>
      <c r="C54" t="s">
        <v>122</v>
      </c>
      <c r="D54" t="s">
        <v>73</v>
      </c>
      <c r="E54" t="s">
        <v>415</v>
      </c>
      <c r="F54" s="1">
        <v>44651.781631944446</v>
      </c>
      <c r="G54">
        <v>342</v>
      </c>
      <c r="H54">
        <v>23</v>
      </c>
      <c r="I54">
        <v>21802</v>
      </c>
    </row>
    <row r="55" spans="1:9" x14ac:dyDescent="0.25">
      <c r="A55">
        <v>3054</v>
      </c>
      <c r="B55">
        <v>103</v>
      </c>
      <c r="C55" t="s">
        <v>125</v>
      </c>
      <c r="D55" t="s">
        <v>76</v>
      </c>
      <c r="E55" t="s">
        <v>416</v>
      </c>
      <c r="F55" s="1">
        <v>43504.312847222223</v>
      </c>
      <c r="G55">
        <v>341</v>
      </c>
      <c r="H55">
        <v>24</v>
      </c>
      <c r="I55">
        <v>30546</v>
      </c>
    </row>
    <row r="56" spans="1:9" x14ac:dyDescent="0.25">
      <c r="A56">
        <v>3055</v>
      </c>
      <c r="B56">
        <v>103</v>
      </c>
      <c r="C56" t="s">
        <v>78</v>
      </c>
      <c r="D56" t="s">
        <v>73</v>
      </c>
      <c r="E56" t="s">
        <v>417</v>
      </c>
      <c r="F56" s="1">
        <v>45481.160266203697</v>
      </c>
      <c r="G56">
        <v>343</v>
      </c>
      <c r="H56">
        <v>22</v>
      </c>
      <c r="I56">
        <v>15455</v>
      </c>
    </row>
    <row r="57" spans="1:9" x14ac:dyDescent="0.25">
      <c r="A57">
        <v>3056</v>
      </c>
      <c r="B57">
        <v>103</v>
      </c>
      <c r="C57" t="s">
        <v>92</v>
      </c>
      <c r="D57" t="s">
        <v>76</v>
      </c>
      <c r="E57" t="s">
        <v>418</v>
      </c>
      <c r="F57" s="1">
        <v>43321.986273148148</v>
      </c>
      <c r="G57">
        <v>342</v>
      </c>
      <c r="H57">
        <v>23</v>
      </c>
      <c r="I57">
        <v>32045</v>
      </c>
    </row>
    <row r="58" spans="1:9" x14ac:dyDescent="0.25">
      <c r="A58">
        <v>3057</v>
      </c>
      <c r="B58">
        <v>103</v>
      </c>
      <c r="C58" t="s">
        <v>82</v>
      </c>
      <c r="D58" t="s">
        <v>73</v>
      </c>
      <c r="E58" t="s">
        <v>419</v>
      </c>
      <c r="F58" s="1">
        <v>43812.085833333331</v>
      </c>
      <c r="G58">
        <v>360</v>
      </c>
      <c r="H58">
        <v>5</v>
      </c>
      <c r="I58">
        <v>29751</v>
      </c>
    </row>
    <row r="59" spans="1:9" x14ac:dyDescent="0.25">
      <c r="A59">
        <v>3058</v>
      </c>
      <c r="B59">
        <v>103</v>
      </c>
      <c r="C59" t="s">
        <v>94</v>
      </c>
      <c r="D59" t="s">
        <v>73</v>
      </c>
      <c r="E59" t="s">
        <v>420</v>
      </c>
      <c r="F59" s="1">
        <v>45193.841608796298</v>
      </c>
      <c r="G59">
        <v>342</v>
      </c>
      <c r="H59">
        <v>23</v>
      </c>
      <c r="I59">
        <v>17628</v>
      </c>
    </row>
    <row r="60" spans="1:9" x14ac:dyDescent="0.25">
      <c r="A60">
        <v>3059</v>
      </c>
      <c r="B60">
        <v>103</v>
      </c>
      <c r="C60" t="s">
        <v>80</v>
      </c>
      <c r="D60" t="s">
        <v>73</v>
      </c>
      <c r="E60" t="s">
        <v>421</v>
      </c>
      <c r="F60" s="1">
        <v>44408.695138888892</v>
      </c>
      <c r="G60">
        <v>352</v>
      </c>
      <c r="H60">
        <v>13</v>
      </c>
      <c r="I60">
        <v>24366</v>
      </c>
    </row>
    <row r="61" spans="1:9" x14ac:dyDescent="0.25">
      <c r="A61">
        <v>3060</v>
      </c>
      <c r="B61">
        <v>103</v>
      </c>
      <c r="C61" t="s">
        <v>120</v>
      </c>
      <c r="D61" t="s">
        <v>73</v>
      </c>
      <c r="E61" t="s">
        <v>422</v>
      </c>
      <c r="F61" s="1">
        <v>43699.497152777767</v>
      </c>
      <c r="G61">
        <v>352</v>
      </c>
      <c r="H61">
        <v>13</v>
      </c>
      <c r="I61">
        <v>29986</v>
      </c>
    </row>
    <row r="62" spans="1:9" x14ac:dyDescent="0.25">
      <c r="A62">
        <v>3061</v>
      </c>
      <c r="B62">
        <v>103</v>
      </c>
      <c r="C62" t="s">
        <v>84</v>
      </c>
      <c r="D62" t="s">
        <v>73</v>
      </c>
      <c r="E62" t="s">
        <v>423</v>
      </c>
      <c r="F62" s="1">
        <v>43070.852870370371</v>
      </c>
      <c r="G62">
        <v>349</v>
      </c>
      <c r="H62">
        <v>16</v>
      </c>
      <c r="I62">
        <v>34673</v>
      </c>
    </row>
    <row r="63" spans="1:9" x14ac:dyDescent="0.25">
      <c r="A63">
        <v>3062</v>
      </c>
      <c r="B63">
        <v>103</v>
      </c>
      <c r="C63" t="s">
        <v>122</v>
      </c>
      <c r="D63" t="s">
        <v>73</v>
      </c>
      <c r="E63" t="s">
        <v>424</v>
      </c>
      <c r="F63" s="1">
        <v>44125.866840277777</v>
      </c>
      <c r="G63">
        <v>352</v>
      </c>
      <c r="H63">
        <v>13</v>
      </c>
      <c r="I63">
        <v>26609</v>
      </c>
    </row>
    <row r="64" spans="1:9" x14ac:dyDescent="0.25">
      <c r="A64">
        <v>3063</v>
      </c>
      <c r="B64">
        <v>103</v>
      </c>
      <c r="C64" t="s">
        <v>82</v>
      </c>
      <c r="D64" t="s">
        <v>73</v>
      </c>
      <c r="E64" t="s">
        <v>425</v>
      </c>
      <c r="F64" s="1">
        <v>43879.318726851852</v>
      </c>
      <c r="G64">
        <v>352</v>
      </c>
      <c r="H64">
        <v>13</v>
      </c>
      <c r="I64">
        <v>28559</v>
      </c>
    </row>
    <row r="65" spans="1:9" x14ac:dyDescent="0.25">
      <c r="A65">
        <v>3064</v>
      </c>
      <c r="B65">
        <v>103</v>
      </c>
      <c r="C65" t="s">
        <v>125</v>
      </c>
      <c r="D65" t="s">
        <v>76</v>
      </c>
      <c r="E65" t="s">
        <v>426</v>
      </c>
      <c r="F65" s="1">
        <v>45256.313518518517</v>
      </c>
      <c r="G65">
        <v>344</v>
      </c>
      <c r="H65">
        <v>21</v>
      </c>
      <c r="I65">
        <v>17243</v>
      </c>
    </row>
    <row r="66" spans="1:9" x14ac:dyDescent="0.25">
      <c r="A66">
        <v>3065</v>
      </c>
      <c r="B66">
        <v>104</v>
      </c>
      <c r="C66" t="s">
        <v>99</v>
      </c>
      <c r="D66" t="s">
        <v>76</v>
      </c>
      <c r="E66" t="s">
        <v>427</v>
      </c>
      <c r="F66" s="1">
        <v>44534.644328703696</v>
      </c>
      <c r="G66">
        <v>359</v>
      </c>
      <c r="H66">
        <v>6</v>
      </c>
      <c r="I66">
        <v>23832</v>
      </c>
    </row>
    <row r="67" spans="1:9" x14ac:dyDescent="0.25">
      <c r="A67">
        <v>3066</v>
      </c>
      <c r="B67">
        <v>104</v>
      </c>
      <c r="C67" t="s">
        <v>80</v>
      </c>
      <c r="D67" t="s">
        <v>73</v>
      </c>
      <c r="E67" t="s">
        <v>428</v>
      </c>
      <c r="F67" s="1">
        <v>45295.301562499997</v>
      </c>
      <c r="G67">
        <v>358</v>
      </c>
      <c r="H67">
        <v>7</v>
      </c>
      <c r="I67">
        <v>17631</v>
      </c>
    </row>
    <row r="68" spans="1:9" x14ac:dyDescent="0.25">
      <c r="A68">
        <v>3067</v>
      </c>
      <c r="B68">
        <v>104</v>
      </c>
      <c r="C68" t="s">
        <v>120</v>
      </c>
      <c r="D68" t="s">
        <v>73</v>
      </c>
      <c r="E68" t="s">
        <v>429</v>
      </c>
      <c r="F68" s="1">
        <v>43449.615833333337</v>
      </c>
      <c r="G68">
        <v>341</v>
      </c>
      <c r="H68">
        <v>24</v>
      </c>
      <c r="I68">
        <v>30968</v>
      </c>
    </row>
    <row r="69" spans="1:9" x14ac:dyDescent="0.25">
      <c r="A69">
        <v>3068</v>
      </c>
      <c r="B69">
        <v>104</v>
      </c>
      <c r="C69" t="s">
        <v>122</v>
      </c>
      <c r="D69" t="s">
        <v>73</v>
      </c>
      <c r="E69" t="s">
        <v>430</v>
      </c>
      <c r="F69" s="1">
        <v>43540.377905092602</v>
      </c>
      <c r="G69">
        <v>347</v>
      </c>
      <c r="H69">
        <v>18</v>
      </c>
      <c r="I69">
        <v>30802</v>
      </c>
    </row>
    <row r="70" spans="1:9" x14ac:dyDescent="0.25">
      <c r="A70">
        <v>3069</v>
      </c>
      <c r="B70">
        <v>104</v>
      </c>
      <c r="C70" t="s">
        <v>86</v>
      </c>
      <c r="D70" t="s">
        <v>76</v>
      </c>
      <c r="E70" t="s">
        <v>431</v>
      </c>
      <c r="F70" s="1">
        <v>44751.40315972222</v>
      </c>
      <c r="G70">
        <v>347</v>
      </c>
      <c r="H70">
        <v>18</v>
      </c>
      <c r="I70">
        <v>21340</v>
      </c>
    </row>
    <row r="71" spans="1:9" x14ac:dyDescent="0.25">
      <c r="A71">
        <v>3070</v>
      </c>
      <c r="B71">
        <v>104</v>
      </c>
      <c r="C71" t="s">
        <v>120</v>
      </c>
      <c r="D71" t="s">
        <v>73</v>
      </c>
      <c r="E71" t="s">
        <v>432</v>
      </c>
      <c r="F71" s="1">
        <v>45067.228680555563</v>
      </c>
      <c r="G71">
        <v>352</v>
      </c>
      <c r="H71">
        <v>13</v>
      </c>
      <c r="I71">
        <v>19142</v>
      </c>
    </row>
    <row r="72" spans="1:9" x14ac:dyDescent="0.25">
      <c r="A72">
        <v>3071</v>
      </c>
      <c r="B72">
        <v>104</v>
      </c>
      <c r="C72" t="s">
        <v>82</v>
      </c>
      <c r="D72" t="s">
        <v>73</v>
      </c>
      <c r="E72" t="s">
        <v>433</v>
      </c>
      <c r="F72" s="1">
        <v>42859.651932870373</v>
      </c>
      <c r="G72">
        <v>354</v>
      </c>
      <c r="H72">
        <v>11</v>
      </c>
      <c r="I72">
        <v>36852</v>
      </c>
    </row>
    <row r="73" spans="1:9" x14ac:dyDescent="0.25">
      <c r="A73">
        <v>3072</v>
      </c>
      <c r="B73">
        <v>104</v>
      </c>
      <c r="C73" t="s">
        <v>99</v>
      </c>
      <c r="D73" t="s">
        <v>76</v>
      </c>
      <c r="E73" t="s">
        <v>434</v>
      </c>
      <c r="F73" s="1">
        <v>42799.984571759262</v>
      </c>
      <c r="G73">
        <v>353</v>
      </c>
      <c r="H73">
        <v>12</v>
      </c>
      <c r="I73">
        <v>37225</v>
      </c>
    </row>
    <row r="74" spans="1:9" x14ac:dyDescent="0.25">
      <c r="A74">
        <v>3073</v>
      </c>
      <c r="B74">
        <v>104</v>
      </c>
      <c r="C74" t="s">
        <v>104</v>
      </c>
      <c r="D74" t="s">
        <v>76</v>
      </c>
      <c r="E74" t="s">
        <v>435</v>
      </c>
      <c r="F74" s="1">
        <v>45101.520381944443</v>
      </c>
      <c r="G74">
        <v>345</v>
      </c>
      <c r="H74">
        <v>20</v>
      </c>
      <c r="I74">
        <v>18498</v>
      </c>
    </row>
    <row r="75" spans="1:9" x14ac:dyDescent="0.25">
      <c r="A75">
        <v>3074</v>
      </c>
      <c r="B75">
        <v>104</v>
      </c>
      <c r="C75" t="s">
        <v>84</v>
      </c>
      <c r="D75" t="s">
        <v>73</v>
      </c>
      <c r="E75" t="s">
        <v>436</v>
      </c>
      <c r="F75" s="1">
        <v>44934.915046296293</v>
      </c>
      <c r="G75">
        <v>355</v>
      </c>
      <c r="H75">
        <v>10</v>
      </c>
      <c r="I75">
        <v>20369</v>
      </c>
    </row>
    <row r="76" spans="1:9" x14ac:dyDescent="0.25">
      <c r="A76">
        <v>3075</v>
      </c>
      <c r="B76">
        <v>104</v>
      </c>
      <c r="C76" t="s">
        <v>82</v>
      </c>
      <c r="D76" t="s">
        <v>73</v>
      </c>
      <c r="E76" t="s">
        <v>437</v>
      </c>
      <c r="F76" s="1">
        <v>43073.383634259262</v>
      </c>
      <c r="G76">
        <v>343</v>
      </c>
      <c r="H76">
        <v>22</v>
      </c>
      <c r="I76">
        <v>34054</v>
      </c>
    </row>
    <row r="77" spans="1:9" x14ac:dyDescent="0.25">
      <c r="A77">
        <v>3076</v>
      </c>
      <c r="B77">
        <v>104</v>
      </c>
      <c r="C77" t="s">
        <v>80</v>
      </c>
      <c r="D77" t="s">
        <v>73</v>
      </c>
      <c r="E77" t="s">
        <v>438</v>
      </c>
      <c r="F77" s="1">
        <v>43421.13</v>
      </c>
      <c r="G77">
        <v>354</v>
      </c>
      <c r="H77">
        <v>11</v>
      </c>
      <c r="I77">
        <v>32372</v>
      </c>
    </row>
    <row r="78" spans="1:9" x14ac:dyDescent="0.25">
      <c r="A78">
        <v>3077</v>
      </c>
      <c r="B78">
        <v>104</v>
      </c>
      <c r="C78" t="s">
        <v>78</v>
      </c>
      <c r="D78" t="s">
        <v>73</v>
      </c>
      <c r="E78" t="s">
        <v>439</v>
      </c>
      <c r="F78" s="1">
        <v>43305.060277777768</v>
      </c>
      <c r="G78">
        <v>354</v>
      </c>
      <c r="H78">
        <v>11</v>
      </c>
      <c r="I78">
        <v>33297</v>
      </c>
    </row>
    <row r="79" spans="1:9" x14ac:dyDescent="0.25">
      <c r="A79">
        <v>3078</v>
      </c>
      <c r="B79">
        <v>104</v>
      </c>
      <c r="C79" t="s">
        <v>78</v>
      </c>
      <c r="D79" t="s">
        <v>73</v>
      </c>
      <c r="E79" t="s">
        <v>440</v>
      </c>
      <c r="F79" s="1">
        <v>43575.111620370371</v>
      </c>
      <c r="G79">
        <v>349</v>
      </c>
      <c r="H79">
        <v>16</v>
      </c>
      <c r="I79">
        <v>30705</v>
      </c>
    </row>
    <row r="80" spans="1:9" x14ac:dyDescent="0.25">
      <c r="A80">
        <v>3079</v>
      </c>
      <c r="B80">
        <v>104</v>
      </c>
      <c r="C80" t="s">
        <v>94</v>
      </c>
      <c r="D80" t="s">
        <v>73</v>
      </c>
      <c r="E80" t="s">
        <v>441</v>
      </c>
      <c r="F80" s="1">
        <v>44940.665243055562</v>
      </c>
      <c r="G80">
        <v>355</v>
      </c>
      <c r="H80">
        <v>10</v>
      </c>
      <c r="I80">
        <v>20321</v>
      </c>
    </row>
    <row r="81" spans="1:9" x14ac:dyDescent="0.25">
      <c r="A81">
        <v>3080</v>
      </c>
      <c r="B81">
        <v>105</v>
      </c>
      <c r="C81" t="s">
        <v>99</v>
      </c>
      <c r="D81" t="s">
        <v>76</v>
      </c>
      <c r="E81" t="s">
        <v>442</v>
      </c>
      <c r="F81" s="1">
        <v>43704.841527777768</v>
      </c>
      <c r="G81">
        <v>351</v>
      </c>
      <c r="H81">
        <v>14</v>
      </c>
      <c r="I81">
        <v>29861</v>
      </c>
    </row>
    <row r="82" spans="1:9" x14ac:dyDescent="0.25">
      <c r="A82">
        <v>3081</v>
      </c>
      <c r="B82">
        <v>105</v>
      </c>
      <c r="C82" t="s">
        <v>120</v>
      </c>
      <c r="D82" t="s">
        <v>73</v>
      </c>
      <c r="E82" t="s">
        <v>443</v>
      </c>
      <c r="F82" s="1">
        <v>44682.288229166668</v>
      </c>
      <c r="G82">
        <v>358</v>
      </c>
      <c r="H82">
        <v>7</v>
      </c>
      <c r="I82">
        <v>22572</v>
      </c>
    </row>
    <row r="83" spans="1:9" x14ac:dyDescent="0.25">
      <c r="A83">
        <v>3082</v>
      </c>
      <c r="B83">
        <v>105</v>
      </c>
      <c r="C83" t="s">
        <v>89</v>
      </c>
      <c r="D83" t="s">
        <v>76</v>
      </c>
      <c r="E83" t="s">
        <v>444</v>
      </c>
      <c r="F83" s="1">
        <v>42967.038055555553</v>
      </c>
      <c r="G83">
        <v>356</v>
      </c>
      <c r="H83">
        <v>9</v>
      </c>
      <c r="I83">
        <v>36195</v>
      </c>
    </row>
    <row r="84" spans="1:9" x14ac:dyDescent="0.25">
      <c r="A84">
        <v>3083</v>
      </c>
      <c r="B84">
        <v>105</v>
      </c>
      <c r="C84" t="s">
        <v>120</v>
      </c>
      <c r="D84" t="s">
        <v>73</v>
      </c>
      <c r="E84" t="s">
        <v>445</v>
      </c>
      <c r="F84" s="1">
        <v>44479.950208333343</v>
      </c>
      <c r="G84">
        <v>350</v>
      </c>
      <c r="H84">
        <v>15</v>
      </c>
      <c r="I84">
        <v>23668</v>
      </c>
    </row>
    <row r="85" spans="1:9" x14ac:dyDescent="0.25">
      <c r="A85">
        <v>3084</v>
      </c>
      <c r="B85">
        <v>105</v>
      </c>
      <c r="C85" t="s">
        <v>89</v>
      </c>
      <c r="D85" t="s">
        <v>76</v>
      </c>
      <c r="E85" t="s">
        <v>446</v>
      </c>
      <c r="F85" s="1">
        <v>45020.768657407411</v>
      </c>
      <c r="G85">
        <v>342</v>
      </c>
      <c r="H85">
        <v>23</v>
      </c>
      <c r="I85">
        <v>18960</v>
      </c>
    </row>
    <row r="86" spans="1:9" x14ac:dyDescent="0.25">
      <c r="A86">
        <v>3085</v>
      </c>
      <c r="B86">
        <v>105</v>
      </c>
      <c r="C86" t="s">
        <v>82</v>
      </c>
      <c r="D86" t="s">
        <v>73</v>
      </c>
      <c r="E86" t="s">
        <v>447</v>
      </c>
      <c r="F86" s="1">
        <v>43180.234467592592</v>
      </c>
      <c r="G86">
        <v>360</v>
      </c>
      <c r="H86">
        <v>5</v>
      </c>
      <c r="I86">
        <v>34875</v>
      </c>
    </row>
    <row r="87" spans="1:9" x14ac:dyDescent="0.25">
      <c r="A87">
        <v>3086</v>
      </c>
      <c r="B87">
        <v>105</v>
      </c>
      <c r="C87" t="s">
        <v>80</v>
      </c>
      <c r="D87" t="s">
        <v>73</v>
      </c>
      <c r="E87" t="s">
        <v>448</v>
      </c>
      <c r="F87" s="1">
        <v>44998.854537037027</v>
      </c>
      <c r="G87">
        <v>344</v>
      </c>
      <c r="H87">
        <v>21</v>
      </c>
      <c r="I87">
        <v>19242</v>
      </c>
    </row>
    <row r="88" spans="1:9" x14ac:dyDescent="0.25">
      <c r="A88">
        <v>3087</v>
      </c>
      <c r="B88">
        <v>105</v>
      </c>
      <c r="C88" t="s">
        <v>94</v>
      </c>
      <c r="D88" t="s">
        <v>73</v>
      </c>
      <c r="E88" t="s">
        <v>449</v>
      </c>
      <c r="F88" s="1">
        <v>43382.812025462961</v>
      </c>
      <c r="G88">
        <v>352</v>
      </c>
      <c r="H88">
        <v>13</v>
      </c>
      <c r="I88">
        <v>32498</v>
      </c>
    </row>
    <row r="89" spans="1:9" x14ac:dyDescent="0.25">
      <c r="A89">
        <v>3088</v>
      </c>
      <c r="B89">
        <v>105</v>
      </c>
      <c r="C89" t="s">
        <v>89</v>
      </c>
      <c r="D89" t="s">
        <v>76</v>
      </c>
      <c r="E89" t="s">
        <v>450</v>
      </c>
      <c r="F89" s="1">
        <v>44222.500150462962</v>
      </c>
      <c r="G89">
        <v>346</v>
      </c>
      <c r="H89">
        <v>19</v>
      </c>
      <c r="I89">
        <v>25400</v>
      </c>
    </row>
    <row r="90" spans="1:9" x14ac:dyDescent="0.25">
      <c r="A90">
        <v>3089</v>
      </c>
      <c r="B90">
        <v>105</v>
      </c>
      <c r="C90" t="s">
        <v>89</v>
      </c>
      <c r="D90" t="s">
        <v>76</v>
      </c>
      <c r="E90" t="s">
        <v>451</v>
      </c>
      <c r="F90" s="1">
        <v>44725.201018518521</v>
      </c>
      <c r="G90">
        <v>354</v>
      </c>
      <c r="H90">
        <v>11</v>
      </c>
      <c r="I90">
        <v>21977</v>
      </c>
    </row>
    <row r="91" spans="1:9" x14ac:dyDescent="0.25">
      <c r="A91">
        <v>3090</v>
      </c>
      <c r="B91">
        <v>105</v>
      </c>
      <c r="C91" t="s">
        <v>125</v>
      </c>
      <c r="D91" t="s">
        <v>76</v>
      </c>
      <c r="E91" t="s">
        <v>452</v>
      </c>
      <c r="F91" s="1">
        <v>42773.009062500001</v>
      </c>
      <c r="G91">
        <v>356</v>
      </c>
      <c r="H91">
        <v>9</v>
      </c>
      <c r="I91">
        <v>37750</v>
      </c>
    </row>
    <row r="92" spans="1:9" x14ac:dyDescent="0.25">
      <c r="A92">
        <v>3091</v>
      </c>
      <c r="B92">
        <v>105</v>
      </c>
      <c r="C92" t="s">
        <v>94</v>
      </c>
      <c r="D92" t="s">
        <v>73</v>
      </c>
      <c r="E92" t="s">
        <v>453</v>
      </c>
      <c r="F92" s="1">
        <v>43607.383668981478</v>
      </c>
      <c r="G92">
        <v>353</v>
      </c>
      <c r="H92">
        <v>12</v>
      </c>
      <c r="I92">
        <v>30802</v>
      </c>
    </row>
    <row r="93" spans="1:9" x14ac:dyDescent="0.25">
      <c r="A93">
        <v>3092</v>
      </c>
      <c r="B93">
        <v>105</v>
      </c>
      <c r="C93" t="s">
        <v>72</v>
      </c>
      <c r="D93" t="s">
        <v>73</v>
      </c>
      <c r="E93" t="s">
        <v>454</v>
      </c>
      <c r="F93" s="1">
        <v>45026.087476851862</v>
      </c>
      <c r="G93">
        <v>360</v>
      </c>
      <c r="H93">
        <v>5</v>
      </c>
      <c r="I93">
        <v>19910</v>
      </c>
    </row>
    <row r="94" spans="1:9" x14ac:dyDescent="0.25">
      <c r="A94">
        <v>3093</v>
      </c>
      <c r="B94">
        <v>105</v>
      </c>
      <c r="C94" t="s">
        <v>75</v>
      </c>
      <c r="D94" t="s">
        <v>76</v>
      </c>
      <c r="E94" t="s">
        <v>455</v>
      </c>
      <c r="F94" s="1">
        <v>44275.048773148148</v>
      </c>
      <c r="G94">
        <v>354</v>
      </c>
      <c r="H94">
        <v>11</v>
      </c>
      <c r="I94">
        <v>25565</v>
      </c>
    </row>
    <row r="95" spans="1:9" x14ac:dyDescent="0.25">
      <c r="A95">
        <v>3094</v>
      </c>
      <c r="B95">
        <v>105</v>
      </c>
      <c r="C95" t="s">
        <v>84</v>
      </c>
      <c r="D95" t="s">
        <v>73</v>
      </c>
      <c r="E95" t="s">
        <v>456</v>
      </c>
      <c r="F95" s="1">
        <v>43048.729872685188</v>
      </c>
      <c r="G95">
        <v>346</v>
      </c>
      <c r="H95">
        <v>19</v>
      </c>
      <c r="I95">
        <v>34547</v>
      </c>
    </row>
    <row r="96" spans="1:9" x14ac:dyDescent="0.25">
      <c r="A96">
        <v>3095</v>
      </c>
      <c r="B96">
        <v>105</v>
      </c>
      <c r="C96" t="s">
        <v>122</v>
      </c>
      <c r="D96" t="s">
        <v>73</v>
      </c>
      <c r="E96" t="s">
        <v>457</v>
      </c>
      <c r="F96" s="1">
        <v>43163.789375</v>
      </c>
      <c r="G96">
        <v>347</v>
      </c>
      <c r="H96">
        <v>18</v>
      </c>
      <c r="I96">
        <v>33748</v>
      </c>
    </row>
    <row r="97" spans="1:9" x14ac:dyDescent="0.25">
      <c r="A97">
        <v>3096</v>
      </c>
      <c r="B97">
        <v>105</v>
      </c>
      <c r="C97" t="s">
        <v>89</v>
      </c>
      <c r="D97" t="s">
        <v>76</v>
      </c>
      <c r="E97" t="s">
        <v>458</v>
      </c>
      <c r="F97" s="1">
        <v>44243.112847222219</v>
      </c>
      <c r="G97">
        <v>351</v>
      </c>
      <c r="H97">
        <v>14</v>
      </c>
      <c r="I97">
        <v>25601</v>
      </c>
    </row>
    <row r="98" spans="1:9" x14ac:dyDescent="0.25">
      <c r="A98">
        <v>3097</v>
      </c>
      <c r="B98">
        <v>105</v>
      </c>
      <c r="C98" t="s">
        <v>125</v>
      </c>
      <c r="D98" t="s">
        <v>76</v>
      </c>
      <c r="E98" t="s">
        <v>459</v>
      </c>
      <c r="F98" s="1">
        <v>44036.023831018523</v>
      </c>
      <c r="G98">
        <v>348</v>
      </c>
      <c r="H98">
        <v>17</v>
      </c>
      <c r="I98">
        <v>27004</v>
      </c>
    </row>
    <row r="99" spans="1:9" x14ac:dyDescent="0.25">
      <c r="A99">
        <v>3098</v>
      </c>
      <c r="B99">
        <v>105</v>
      </c>
      <c r="C99" t="s">
        <v>89</v>
      </c>
      <c r="D99" t="s">
        <v>76</v>
      </c>
      <c r="E99" t="s">
        <v>460</v>
      </c>
      <c r="F99" s="1">
        <v>44427.953888888893</v>
      </c>
      <c r="G99">
        <v>353</v>
      </c>
      <c r="H99">
        <v>12</v>
      </c>
      <c r="I99">
        <v>24284</v>
      </c>
    </row>
    <row r="100" spans="1:9" x14ac:dyDescent="0.25">
      <c r="A100">
        <v>3099</v>
      </c>
      <c r="B100">
        <v>105</v>
      </c>
      <c r="C100" t="s">
        <v>94</v>
      </c>
      <c r="D100" t="s">
        <v>73</v>
      </c>
      <c r="E100" t="s">
        <v>461</v>
      </c>
      <c r="F100" s="1">
        <v>43189.081620370373</v>
      </c>
      <c r="G100">
        <v>343</v>
      </c>
      <c r="H100">
        <v>22</v>
      </c>
      <c r="I100">
        <v>33158</v>
      </c>
    </row>
    <row r="101" spans="1:9" x14ac:dyDescent="0.25">
      <c r="A101">
        <v>3100</v>
      </c>
      <c r="B101">
        <v>107</v>
      </c>
      <c r="C101" t="s">
        <v>72</v>
      </c>
      <c r="D101" t="s">
        <v>73</v>
      </c>
      <c r="E101" t="s">
        <v>462</v>
      </c>
      <c r="F101" s="1">
        <v>44373.436620370368</v>
      </c>
      <c r="G101">
        <v>355</v>
      </c>
      <c r="H101">
        <v>10</v>
      </c>
      <c r="I101">
        <v>24853</v>
      </c>
    </row>
    <row r="102" spans="1:9" x14ac:dyDescent="0.25">
      <c r="A102">
        <v>3101</v>
      </c>
      <c r="B102">
        <v>107</v>
      </c>
      <c r="C102" t="s">
        <v>125</v>
      </c>
      <c r="D102" t="s">
        <v>76</v>
      </c>
      <c r="E102" t="s">
        <v>463</v>
      </c>
      <c r="F102" s="1">
        <v>43072.076666666668</v>
      </c>
      <c r="G102">
        <v>359</v>
      </c>
      <c r="H102">
        <v>6</v>
      </c>
      <c r="I102">
        <v>35651</v>
      </c>
    </row>
    <row r="103" spans="1:9" x14ac:dyDescent="0.25">
      <c r="A103">
        <v>3102</v>
      </c>
      <c r="B103">
        <v>107</v>
      </c>
      <c r="C103" t="s">
        <v>125</v>
      </c>
      <c r="D103" t="s">
        <v>76</v>
      </c>
      <c r="E103" t="s">
        <v>464</v>
      </c>
      <c r="F103" s="1">
        <v>45227.75099537037</v>
      </c>
      <c r="G103">
        <v>348</v>
      </c>
      <c r="H103">
        <v>17</v>
      </c>
      <c r="I103">
        <v>17671</v>
      </c>
    </row>
    <row r="104" spans="1:9" x14ac:dyDescent="0.25">
      <c r="A104">
        <v>3103</v>
      </c>
      <c r="B104">
        <v>107</v>
      </c>
      <c r="C104" t="s">
        <v>94</v>
      </c>
      <c r="D104" t="s">
        <v>73</v>
      </c>
      <c r="E104" t="s">
        <v>465</v>
      </c>
      <c r="F104" s="1">
        <v>44910.84065972222</v>
      </c>
      <c r="G104">
        <v>357</v>
      </c>
      <c r="H104">
        <v>8</v>
      </c>
      <c r="I104">
        <v>20676</v>
      </c>
    </row>
    <row r="105" spans="1:9" x14ac:dyDescent="0.25">
      <c r="A105">
        <v>3104</v>
      </c>
      <c r="B105">
        <v>107</v>
      </c>
      <c r="C105" t="s">
        <v>125</v>
      </c>
      <c r="D105" t="s">
        <v>76</v>
      </c>
      <c r="E105" t="s">
        <v>466</v>
      </c>
      <c r="F105" s="1">
        <v>43670.779085648152</v>
      </c>
      <c r="G105">
        <v>341</v>
      </c>
      <c r="H105">
        <v>24</v>
      </c>
      <c r="I105">
        <v>29271</v>
      </c>
    </row>
    <row r="106" spans="1:9" x14ac:dyDescent="0.25">
      <c r="A106">
        <v>3105</v>
      </c>
      <c r="B106">
        <v>107</v>
      </c>
      <c r="C106" t="s">
        <v>99</v>
      </c>
      <c r="D106" t="s">
        <v>76</v>
      </c>
      <c r="E106" t="s">
        <v>467</v>
      </c>
      <c r="F106" s="1">
        <v>43960.409803240742</v>
      </c>
      <c r="G106">
        <v>343</v>
      </c>
      <c r="H106">
        <v>22</v>
      </c>
      <c r="I106">
        <v>27203</v>
      </c>
    </row>
    <row r="107" spans="1:9" x14ac:dyDescent="0.25">
      <c r="A107">
        <v>3106</v>
      </c>
      <c r="B107">
        <v>107</v>
      </c>
      <c r="C107" t="s">
        <v>125</v>
      </c>
      <c r="D107" t="s">
        <v>76</v>
      </c>
      <c r="E107" t="s">
        <v>468</v>
      </c>
      <c r="F107" s="1">
        <v>43413.195324074077</v>
      </c>
      <c r="G107">
        <v>360</v>
      </c>
      <c r="H107">
        <v>5</v>
      </c>
      <c r="I107">
        <v>32986</v>
      </c>
    </row>
    <row r="108" spans="1:9" x14ac:dyDescent="0.25">
      <c r="A108">
        <v>3107</v>
      </c>
      <c r="B108">
        <v>107</v>
      </c>
      <c r="C108" t="s">
        <v>82</v>
      </c>
      <c r="D108" t="s">
        <v>73</v>
      </c>
      <c r="E108" t="s">
        <v>469</v>
      </c>
      <c r="F108" s="1">
        <v>43952.476759259262</v>
      </c>
      <c r="G108">
        <v>353</v>
      </c>
      <c r="H108">
        <v>12</v>
      </c>
      <c r="I108">
        <v>28060</v>
      </c>
    </row>
    <row r="109" spans="1:9" x14ac:dyDescent="0.25">
      <c r="A109">
        <v>3108</v>
      </c>
      <c r="B109">
        <v>107</v>
      </c>
      <c r="C109" t="s">
        <v>89</v>
      </c>
      <c r="D109" t="s">
        <v>76</v>
      </c>
      <c r="E109" t="s">
        <v>470</v>
      </c>
      <c r="F109" s="1">
        <v>42804.308634259258</v>
      </c>
      <c r="G109">
        <v>360</v>
      </c>
      <c r="H109">
        <v>5</v>
      </c>
      <c r="I109">
        <v>37923</v>
      </c>
    </row>
    <row r="110" spans="1:9" x14ac:dyDescent="0.25">
      <c r="A110">
        <v>3109</v>
      </c>
      <c r="B110">
        <v>107</v>
      </c>
      <c r="C110" t="s">
        <v>94</v>
      </c>
      <c r="D110" t="s">
        <v>73</v>
      </c>
      <c r="E110" t="s">
        <v>471</v>
      </c>
      <c r="F110" s="1">
        <v>45034.533113425918</v>
      </c>
      <c r="G110">
        <v>341</v>
      </c>
      <c r="H110">
        <v>24</v>
      </c>
      <c r="I110">
        <v>18798</v>
      </c>
    </row>
    <row r="111" spans="1:9" x14ac:dyDescent="0.25">
      <c r="A111">
        <v>3110</v>
      </c>
      <c r="B111">
        <v>107</v>
      </c>
      <c r="C111" t="s">
        <v>84</v>
      </c>
      <c r="D111" t="s">
        <v>73</v>
      </c>
      <c r="E111" t="s">
        <v>472</v>
      </c>
      <c r="F111" s="1">
        <v>44469.479178240741</v>
      </c>
      <c r="G111">
        <v>342</v>
      </c>
      <c r="H111">
        <v>23</v>
      </c>
      <c r="I111">
        <v>23204</v>
      </c>
    </row>
    <row r="112" spans="1:9" x14ac:dyDescent="0.25">
      <c r="A112">
        <v>3111</v>
      </c>
      <c r="B112">
        <v>107</v>
      </c>
      <c r="C112" t="s">
        <v>82</v>
      </c>
      <c r="D112" t="s">
        <v>73</v>
      </c>
      <c r="E112" t="s">
        <v>473</v>
      </c>
      <c r="F112" s="1">
        <v>43837.804201388892</v>
      </c>
      <c r="G112">
        <v>353</v>
      </c>
      <c r="H112">
        <v>12</v>
      </c>
      <c r="I112">
        <v>28974</v>
      </c>
    </row>
    <row r="113" spans="1:9" x14ac:dyDescent="0.25">
      <c r="A113">
        <v>3112</v>
      </c>
      <c r="B113">
        <v>107</v>
      </c>
      <c r="C113" t="s">
        <v>80</v>
      </c>
      <c r="D113" t="s">
        <v>73</v>
      </c>
      <c r="E113" t="s">
        <v>474</v>
      </c>
      <c r="F113" s="1">
        <v>44119.524085648147</v>
      </c>
      <c r="G113">
        <v>355</v>
      </c>
      <c r="H113">
        <v>10</v>
      </c>
      <c r="I113">
        <v>26884</v>
      </c>
    </row>
    <row r="114" spans="1:9" x14ac:dyDescent="0.25">
      <c r="A114">
        <v>3113</v>
      </c>
      <c r="B114">
        <v>107</v>
      </c>
      <c r="C114" t="s">
        <v>84</v>
      </c>
      <c r="D114" t="s">
        <v>73</v>
      </c>
      <c r="E114" t="s">
        <v>475</v>
      </c>
      <c r="F114" s="1">
        <v>43379.82576388889</v>
      </c>
      <c r="G114">
        <v>359</v>
      </c>
      <c r="H114">
        <v>6</v>
      </c>
      <c r="I114">
        <v>33169</v>
      </c>
    </row>
    <row r="115" spans="1:9" x14ac:dyDescent="0.25">
      <c r="A115">
        <v>3114</v>
      </c>
      <c r="B115">
        <v>107</v>
      </c>
      <c r="C115" t="s">
        <v>72</v>
      </c>
      <c r="D115" t="s">
        <v>73</v>
      </c>
      <c r="E115" t="s">
        <v>476</v>
      </c>
      <c r="F115" s="1">
        <v>44453.884965277779</v>
      </c>
      <c r="G115">
        <v>354</v>
      </c>
      <c r="H115">
        <v>11</v>
      </c>
      <c r="I115">
        <v>24146</v>
      </c>
    </row>
    <row r="116" spans="1:9" x14ac:dyDescent="0.25">
      <c r="A116">
        <v>3115</v>
      </c>
      <c r="B116">
        <v>107</v>
      </c>
      <c r="C116" t="s">
        <v>122</v>
      </c>
      <c r="D116" t="s">
        <v>73</v>
      </c>
      <c r="E116" t="s">
        <v>477</v>
      </c>
      <c r="F116" s="1">
        <v>44113.042511574073</v>
      </c>
      <c r="G116">
        <v>341</v>
      </c>
      <c r="H116">
        <v>24</v>
      </c>
      <c r="I116">
        <v>25870</v>
      </c>
    </row>
    <row r="117" spans="1:9" x14ac:dyDescent="0.25">
      <c r="A117">
        <v>3116</v>
      </c>
      <c r="B117">
        <v>107</v>
      </c>
      <c r="C117" t="s">
        <v>92</v>
      </c>
      <c r="D117" t="s">
        <v>76</v>
      </c>
      <c r="E117" t="s">
        <v>478</v>
      </c>
      <c r="F117" s="1">
        <v>42855.640844907408</v>
      </c>
      <c r="G117">
        <v>342</v>
      </c>
      <c r="H117">
        <v>23</v>
      </c>
      <c r="I117">
        <v>35634</v>
      </c>
    </row>
    <row r="118" spans="1:9" x14ac:dyDescent="0.25">
      <c r="A118">
        <v>3117</v>
      </c>
      <c r="B118">
        <v>107</v>
      </c>
      <c r="C118" t="s">
        <v>120</v>
      </c>
      <c r="D118" t="s">
        <v>73</v>
      </c>
      <c r="E118" t="s">
        <v>479</v>
      </c>
      <c r="F118" s="1">
        <v>44688.707094907397</v>
      </c>
      <c r="G118">
        <v>357</v>
      </c>
      <c r="H118">
        <v>8</v>
      </c>
      <c r="I118">
        <v>22461</v>
      </c>
    </row>
    <row r="119" spans="1:9" x14ac:dyDescent="0.25">
      <c r="A119">
        <v>3118</v>
      </c>
      <c r="B119">
        <v>107</v>
      </c>
      <c r="C119" t="s">
        <v>92</v>
      </c>
      <c r="D119" t="s">
        <v>76</v>
      </c>
      <c r="E119" t="s">
        <v>480</v>
      </c>
      <c r="F119" s="1">
        <v>45162.674074074072</v>
      </c>
      <c r="G119">
        <v>356</v>
      </c>
      <c r="H119">
        <v>9</v>
      </c>
      <c r="I119">
        <v>18598</v>
      </c>
    </row>
    <row r="120" spans="1:9" x14ac:dyDescent="0.25">
      <c r="A120">
        <v>3119</v>
      </c>
      <c r="B120">
        <v>107</v>
      </c>
      <c r="C120" t="s">
        <v>86</v>
      </c>
      <c r="D120" t="s">
        <v>76</v>
      </c>
      <c r="E120" t="s">
        <v>481</v>
      </c>
      <c r="F120" s="1">
        <v>44957.142430555563</v>
      </c>
      <c r="G120">
        <v>354</v>
      </c>
      <c r="H120">
        <v>11</v>
      </c>
      <c r="I120">
        <v>20128</v>
      </c>
    </row>
    <row r="121" spans="1:9" x14ac:dyDescent="0.25">
      <c r="A121">
        <v>3120</v>
      </c>
      <c r="B121">
        <v>107</v>
      </c>
      <c r="C121" t="s">
        <v>72</v>
      </c>
      <c r="D121" t="s">
        <v>73</v>
      </c>
      <c r="E121" t="s">
        <v>482</v>
      </c>
      <c r="F121" s="1">
        <v>42834.021006944437</v>
      </c>
      <c r="G121">
        <v>356</v>
      </c>
      <c r="H121">
        <v>9</v>
      </c>
      <c r="I121">
        <v>37261</v>
      </c>
    </row>
    <row r="122" spans="1:9" x14ac:dyDescent="0.25">
      <c r="A122">
        <v>3121</v>
      </c>
      <c r="B122">
        <v>107</v>
      </c>
      <c r="C122" t="s">
        <v>80</v>
      </c>
      <c r="D122" t="s">
        <v>73</v>
      </c>
      <c r="E122" t="s">
        <v>483</v>
      </c>
      <c r="F122" s="1">
        <v>43586.696331018517</v>
      </c>
      <c r="G122">
        <v>358</v>
      </c>
      <c r="H122">
        <v>7</v>
      </c>
      <c r="I122">
        <v>31408</v>
      </c>
    </row>
    <row r="123" spans="1:9" x14ac:dyDescent="0.25">
      <c r="A123">
        <v>3122</v>
      </c>
      <c r="B123">
        <v>107</v>
      </c>
      <c r="C123" t="s">
        <v>92</v>
      </c>
      <c r="D123" t="s">
        <v>76</v>
      </c>
      <c r="E123" t="s">
        <v>484</v>
      </c>
      <c r="F123" s="1">
        <v>43595.624039351853</v>
      </c>
      <c r="G123">
        <v>352</v>
      </c>
      <c r="H123">
        <v>13</v>
      </c>
      <c r="I123">
        <v>30810</v>
      </c>
    </row>
    <row r="124" spans="1:9" x14ac:dyDescent="0.25">
      <c r="A124">
        <v>3123</v>
      </c>
      <c r="B124">
        <v>107</v>
      </c>
      <c r="C124" t="s">
        <v>82</v>
      </c>
      <c r="D124" t="s">
        <v>73</v>
      </c>
      <c r="E124" t="s">
        <v>485</v>
      </c>
      <c r="F124" s="1">
        <v>45492.92759259259</v>
      </c>
      <c r="G124">
        <v>352</v>
      </c>
      <c r="H124">
        <v>13</v>
      </c>
      <c r="I124">
        <v>15774</v>
      </c>
    </row>
    <row r="125" spans="1:9" x14ac:dyDescent="0.25">
      <c r="A125">
        <v>3124</v>
      </c>
      <c r="B125">
        <v>107</v>
      </c>
      <c r="C125" t="s">
        <v>86</v>
      </c>
      <c r="D125" t="s">
        <v>76</v>
      </c>
      <c r="E125" t="s">
        <v>486</v>
      </c>
      <c r="F125" s="1">
        <v>45099.156527777777</v>
      </c>
      <c r="G125">
        <v>350</v>
      </c>
      <c r="H125">
        <v>15</v>
      </c>
      <c r="I125">
        <v>18781</v>
      </c>
    </row>
    <row r="126" spans="1:9" x14ac:dyDescent="0.25">
      <c r="A126">
        <v>3125</v>
      </c>
      <c r="B126">
        <v>107</v>
      </c>
      <c r="C126" t="s">
        <v>89</v>
      </c>
      <c r="D126" t="s">
        <v>76</v>
      </c>
      <c r="E126" t="s">
        <v>487</v>
      </c>
      <c r="F126" s="1">
        <v>43641.686874999999</v>
      </c>
      <c r="G126">
        <v>351</v>
      </c>
      <c r="H126">
        <v>14</v>
      </c>
      <c r="I126">
        <v>30359</v>
      </c>
    </row>
    <row r="127" spans="1:9" x14ac:dyDescent="0.25">
      <c r="A127">
        <v>3126</v>
      </c>
      <c r="B127">
        <v>107</v>
      </c>
      <c r="C127" t="s">
        <v>80</v>
      </c>
      <c r="D127" t="s">
        <v>73</v>
      </c>
      <c r="E127" t="s">
        <v>488</v>
      </c>
      <c r="F127" s="1">
        <v>44474.116851851853</v>
      </c>
      <c r="G127">
        <v>356</v>
      </c>
      <c r="H127">
        <v>9</v>
      </c>
      <c r="I127">
        <v>24114</v>
      </c>
    </row>
    <row r="128" spans="1:9" x14ac:dyDescent="0.25">
      <c r="A128">
        <v>3127</v>
      </c>
      <c r="B128">
        <v>107</v>
      </c>
      <c r="C128" t="s">
        <v>89</v>
      </c>
      <c r="D128" t="s">
        <v>76</v>
      </c>
      <c r="E128" t="s">
        <v>489</v>
      </c>
      <c r="F128" s="1">
        <v>43920.610532407409</v>
      </c>
      <c r="G128">
        <v>348</v>
      </c>
      <c r="H128">
        <v>17</v>
      </c>
      <c r="I128">
        <v>27913</v>
      </c>
    </row>
    <row r="129" spans="1:9" x14ac:dyDescent="0.25">
      <c r="A129">
        <v>3128</v>
      </c>
      <c r="B129">
        <v>107</v>
      </c>
      <c r="C129" t="s">
        <v>127</v>
      </c>
      <c r="D129" t="s">
        <v>76</v>
      </c>
      <c r="E129" t="s">
        <v>490</v>
      </c>
      <c r="F129" s="1">
        <v>44100.705775462957</v>
      </c>
      <c r="G129">
        <v>359</v>
      </c>
      <c r="H129">
        <v>6</v>
      </c>
      <c r="I129">
        <v>27340</v>
      </c>
    </row>
    <row r="130" spans="1:9" x14ac:dyDescent="0.25">
      <c r="A130">
        <v>3129</v>
      </c>
      <c r="B130">
        <v>107</v>
      </c>
      <c r="C130" t="s">
        <v>89</v>
      </c>
      <c r="D130" t="s">
        <v>76</v>
      </c>
      <c r="E130" t="s">
        <v>491</v>
      </c>
      <c r="F130" s="1">
        <v>44722.383136574077</v>
      </c>
      <c r="G130">
        <v>353</v>
      </c>
      <c r="H130">
        <v>12</v>
      </c>
      <c r="I130">
        <v>21939</v>
      </c>
    </row>
    <row r="131" spans="1:9" x14ac:dyDescent="0.25">
      <c r="A131">
        <v>3130</v>
      </c>
      <c r="B131">
        <v>107</v>
      </c>
      <c r="C131" t="s">
        <v>80</v>
      </c>
      <c r="D131" t="s">
        <v>73</v>
      </c>
      <c r="E131" t="s">
        <v>492</v>
      </c>
      <c r="F131" s="1">
        <v>43508.826516203713</v>
      </c>
      <c r="G131">
        <v>352</v>
      </c>
      <c r="H131">
        <v>13</v>
      </c>
      <c r="I131">
        <v>31500</v>
      </c>
    </row>
    <row r="132" spans="1:9" x14ac:dyDescent="0.25">
      <c r="A132">
        <v>3131</v>
      </c>
      <c r="B132">
        <v>107</v>
      </c>
      <c r="C132" t="s">
        <v>127</v>
      </c>
      <c r="D132" t="s">
        <v>76</v>
      </c>
      <c r="E132" t="s">
        <v>493</v>
      </c>
      <c r="F132" s="1">
        <v>45444.820937500001</v>
      </c>
      <c r="G132">
        <v>349</v>
      </c>
      <c r="H132">
        <v>16</v>
      </c>
      <c r="I132">
        <v>16016</v>
      </c>
    </row>
    <row r="133" spans="1:9" x14ac:dyDescent="0.25">
      <c r="A133">
        <v>3132</v>
      </c>
      <c r="B133">
        <v>107</v>
      </c>
      <c r="C133" t="s">
        <v>86</v>
      </c>
      <c r="D133" t="s">
        <v>76</v>
      </c>
      <c r="E133" t="s">
        <v>494</v>
      </c>
      <c r="F133" s="1">
        <v>43126.976875</v>
      </c>
      <c r="G133">
        <v>344</v>
      </c>
      <c r="H133">
        <v>21</v>
      </c>
      <c r="I133">
        <v>33743</v>
      </c>
    </row>
    <row r="134" spans="1:9" x14ac:dyDescent="0.25">
      <c r="A134">
        <v>3133</v>
      </c>
      <c r="B134">
        <v>107</v>
      </c>
      <c r="C134" t="s">
        <v>84</v>
      </c>
      <c r="D134" t="s">
        <v>73</v>
      </c>
      <c r="E134" t="s">
        <v>495</v>
      </c>
      <c r="F134" s="1">
        <v>42856.640613425923</v>
      </c>
      <c r="G134">
        <v>350</v>
      </c>
      <c r="H134">
        <v>15</v>
      </c>
      <c r="I134">
        <v>36459</v>
      </c>
    </row>
    <row r="135" spans="1:9" x14ac:dyDescent="0.25">
      <c r="A135">
        <v>3134</v>
      </c>
      <c r="B135">
        <v>107</v>
      </c>
      <c r="C135" t="s">
        <v>122</v>
      </c>
      <c r="D135" t="s">
        <v>73</v>
      </c>
      <c r="E135" t="s">
        <v>496</v>
      </c>
      <c r="F135" s="1">
        <v>44593.812141203707</v>
      </c>
      <c r="G135">
        <v>346</v>
      </c>
      <c r="H135">
        <v>19</v>
      </c>
      <c r="I135">
        <v>22509</v>
      </c>
    </row>
    <row r="136" spans="1:9" x14ac:dyDescent="0.25">
      <c r="A136">
        <v>3135</v>
      </c>
      <c r="B136">
        <v>107</v>
      </c>
      <c r="C136" t="s">
        <v>104</v>
      </c>
      <c r="D136" t="s">
        <v>76</v>
      </c>
      <c r="E136" t="s">
        <v>497</v>
      </c>
      <c r="F136" s="1">
        <v>43307.227939814817</v>
      </c>
      <c r="G136">
        <v>342</v>
      </c>
      <c r="H136">
        <v>23</v>
      </c>
      <c r="I136">
        <v>32153</v>
      </c>
    </row>
    <row r="137" spans="1:9" x14ac:dyDescent="0.25">
      <c r="A137">
        <v>3136</v>
      </c>
      <c r="B137">
        <v>107</v>
      </c>
      <c r="C137" t="s">
        <v>80</v>
      </c>
      <c r="D137" t="s">
        <v>73</v>
      </c>
      <c r="E137" t="s">
        <v>498</v>
      </c>
      <c r="F137" s="1">
        <v>45328.330925925933</v>
      </c>
      <c r="G137">
        <v>341</v>
      </c>
      <c r="H137">
        <v>24</v>
      </c>
      <c r="I137">
        <v>16540</v>
      </c>
    </row>
    <row r="138" spans="1:9" x14ac:dyDescent="0.25">
      <c r="A138">
        <v>3137</v>
      </c>
      <c r="B138">
        <v>107</v>
      </c>
      <c r="C138" t="s">
        <v>82</v>
      </c>
      <c r="D138" t="s">
        <v>73</v>
      </c>
      <c r="E138" t="s">
        <v>499</v>
      </c>
      <c r="F138" s="1">
        <v>44418.550856481481</v>
      </c>
      <c r="G138">
        <v>346</v>
      </c>
      <c r="H138">
        <v>19</v>
      </c>
      <c r="I138">
        <v>23873</v>
      </c>
    </row>
    <row r="139" spans="1:9" x14ac:dyDescent="0.25">
      <c r="A139">
        <v>3138</v>
      </c>
      <c r="B139">
        <v>107</v>
      </c>
      <c r="C139" t="s">
        <v>120</v>
      </c>
      <c r="D139" t="s">
        <v>73</v>
      </c>
      <c r="E139" t="s">
        <v>500</v>
      </c>
      <c r="F139" s="1">
        <v>43755.90834490741</v>
      </c>
      <c r="G139">
        <v>355</v>
      </c>
      <c r="H139">
        <v>10</v>
      </c>
      <c r="I139">
        <v>29794</v>
      </c>
    </row>
    <row r="140" spans="1:9" x14ac:dyDescent="0.25">
      <c r="A140">
        <v>3139</v>
      </c>
      <c r="B140">
        <v>107</v>
      </c>
      <c r="C140" t="s">
        <v>104</v>
      </c>
      <c r="D140" t="s">
        <v>76</v>
      </c>
      <c r="E140" t="s">
        <v>501</v>
      </c>
      <c r="F140" s="1">
        <v>44878.381111111114</v>
      </c>
      <c r="G140">
        <v>357</v>
      </c>
      <c r="H140">
        <v>8</v>
      </c>
      <c r="I140">
        <v>20934</v>
      </c>
    </row>
    <row r="141" spans="1:9" x14ac:dyDescent="0.25">
      <c r="A141">
        <v>3140</v>
      </c>
      <c r="B141">
        <v>108</v>
      </c>
      <c r="C141" t="s">
        <v>104</v>
      </c>
      <c r="D141" t="s">
        <v>76</v>
      </c>
      <c r="E141" t="s">
        <v>502</v>
      </c>
      <c r="F141" s="1">
        <v>44979.974270833343</v>
      </c>
      <c r="G141">
        <v>360</v>
      </c>
      <c r="H141">
        <v>5</v>
      </c>
      <c r="I141">
        <v>20291</v>
      </c>
    </row>
    <row r="142" spans="1:9" x14ac:dyDescent="0.25">
      <c r="A142">
        <v>3141</v>
      </c>
      <c r="B142">
        <v>108</v>
      </c>
      <c r="C142" t="s">
        <v>78</v>
      </c>
      <c r="D142" t="s">
        <v>73</v>
      </c>
      <c r="E142" t="s">
        <v>503</v>
      </c>
      <c r="F142" s="1">
        <v>42980.334548611107</v>
      </c>
      <c r="G142">
        <v>345</v>
      </c>
      <c r="H142">
        <v>20</v>
      </c>
      <c r="I142">
        <v>34975</v>
      </c>
    </row>
    <row r="143" spans="1:9" x14ac:dyDescent="0.25">
      <c r="A143">
        <v>3142</v>
      </c>
      <c r="B143">
        <v>108</v>
      </c>
      <c r="C143" t="s">
        <v>72</v>
      </c>
      <c r="D143" t="s">
        <v>73</v>
      </c>
      <c r="E143" t="s">
        <v>504</v>
      </c>
      <c r="F143" s="1">
        <v>45545.534259259257</v>
      </c>
      <c r="G143">
        <v>345</v>
      </c>
      <c r="H143">
        <v>20</v>
      </c>
      <c r="I143">
        <v>15048</v>
      </c>
    </row>
    <row r="144" spans="1:9" x14ac:dyDescent="0.25">
      <c r="A144">
        <v>3143</v>
      </c>
      <c r="B144">
        <v>108</v>
      </c>
      <c r="C144" t="s">
        <v>104</v>
      </c>
      <c r="D144" t="s">
        <v>76</v>
      </c>
      <c r="E144" t="s">
        <v>505</v>
      </c>
      <c r="F144" s="1">
        <v>43394.193067129629</v>
      </c>
      <c r="G144">
        <v>358</v>
      </c>
      <c r="H144">
        <v>7</v>
      </c>
      <c r="I144">
        <v>32956</v>
      </c>
    </row>
    <row r="145" spans="1:9" x14ac:dyDescent="0.25">
      <c r="A145">
        <v>3144</v>
      </c>
      <c r="B145">
        <v>108</v>
      </c>
      <c r="C145" t="s">
        <v>89</v>
      </c>
      <c r="D145" t="s">
        <v>76</v>
      </c>
      <c r="E145" t="s">
        <v>506</v>
      </c>
      <c r="F145" s="1">
        <v>43919.645486111112</v>
      </c>
      <c r="G145">
        <v>360</v>
      </c>
      <c r="H145">
        <v>5</v>
      </c>
      <c r="I145">
        <v>28884</v>
      </c>
    </row>
    <row r="146" spans="1:9" x14ac:dyDescent="0.25">
      <c r="A146">
        <v>3145</v>
      </c>
      <c r="B146">
        <v>108</v>
      </c>
      <c r="C146" t="s">
        <v>80</v>
      </c>
      <c r="D146" t="s">
        <v>73</v>
      </c>
      <c r="E146" t="s">
        <v>507</v>
      </c>
      <c r="F146" s="1">
        <v>42889.934953703712</v>
      </c>
      <c r="G146">
        <v>357</v>
      </c>
      <c r="H146">
        <v>8</v>
      </c>
      <c r="I146">
        <v>36923</v>
      </c>
    </row>
    <row r="147" spans="1:9" x14ac:dyDescent="0.25">
      <c r="A147">
        <v>3146</v>
      </c>
      <c r="B147">
        <v>108</v>
      </c>
      <c r="C147" t="s">
        <v>84</v>
      </c>
      <c r="D147" t="s">
        <v>73</v>
      </c>
      <c r="E147" t="s">
        <v>508</v>
      </c>
      <c r="F147" s="1">
        <v>44647.768726851849</v>
      </c>
      <c r="G147">
        <v>343</v>
      </c>
      <c r="H147">
        <v>22</v>
      </c>
      <c r="I147">
        <v>21897</v>
      </c>
    </row>
    <row r="148" spans="1:9" x14ac:dyDescent="0.25">
      <c r="A148">
        <v>3147</v>
      </c>
      <c r="B148">
        <v>108</v>
      </c>
      <c r="C148" t="s">
        <v>84</v>
      </c>
      <c r="D148" t="s">
        <v>73</v>
      </c>
      <c r="E148" t="s">
        <v>509</v>
      </c>
      <c r="F148" s="1">
        <v>44849.141087962962</v>
      </c>
      <c r="G148">
        <v>351</v>
      </c>
      <c r="H148">
        <v>14</v>
      </c>
      <c r="I148">
        <v>20811</v>
      </c>
    </row>
    <row r="149" spans="1:9" x14ac:dyDescent="0.25">
      <c r="A149">
        <v>3148</v>
      </c>
      <c r="B149">
        <v>108</v>
      </c>
      <c r="C149" t="s">
        <v>94</v>
      </c>
      <c r="D149" t="s">
        <v>73</v>
      </c>
      <c r="E149" t="s">
        <v>510</v>
      </c>
      <c r="F149" s="1">
        <v>43622.414270833331</v>
      </c>
      <c r="G149">
        <v>360</v>
      </c>
      <c r="H149">
        <v>5</v>
      </c>
      <c r="I149">
        <v>31291</v>
      </c>
    </row>
    <row r="150" spans="1:9" x14ac:dyDescent="0.25">
      <c r="A150">
        <v>3149</v>
      </c>
      <c r="B150">
        <v>108</v>
      </c>
      <c r="C150" t="s">
        <v>82</v>
      </c>
      <c r="D150" t="s">
        <v>73</v>
      </c>
      <c r="E150" t="s">
        <v>511</v>
      </c>
      <c r="F150" s="1">
        <v>44877.397233796299</v>
      </c>
      <c r="G150">
        <v>360</v>
      </c>
      <c r="H150">
        <v>5</v>
      </c>
      <c r="I150">
        <v>21118</v>
      </c>
    </row>
    <row r="151" spans="1:9" x14ac:dyDescent="0.25">
      <c r="A151">
        <v>3150</v>
      </c>
      <c r="B151">
        <v>108</v>
      </c>
      <c r="C151" t="s">
        <v>75</v>
      </c>
      <c r="D151" t="s">
        <v>76</v>
      </c>
      <c r="E151" t="s">
        <v>512</v>
      </c>
      <c r="F151" s="1">
        <v>43143.810324074067</v>
      </c>
      <c r="G151">
        <v>345</v>
      </c>
      <c r="H151">
        <v>20</v>
      </c>
      <c r="I151">
        <v>33709</v>
      </c>
    </row>
    <row r="152" spans="1:9" x14ac:dyDescent="0.25">
      <c r="A152">
        <v>3151</v>
      </c>
      <c r="B152">
        <v>108</v>
      </c>
      <c r="C152" t="s">
        <v>127</v>
      </c>
      <c r="D152" t="s">
        <v>76</v>
      </c>
      <c r="E152" t="s">
        <v>513</v>
      </c>
      <c r="F152" s="1">
        <v>43405.429814814823</v>
      </c>
      <c r="G152">
        <v>342</v>
      </c>
      <c r="H152">
        <v>23</v>
      </c>
      <c r="I152">
        <v>31398</v>
      </c>
    </row>
    <row r="153" spans="1:9" x14ac:dyDescent="0.25">
      <c r="A153">
        <v>3152</v>
      </c>
      <c r="B153">
        <v>108</v>
      </c>
      <c r="C153" t="s">
        <v>82</v>
      </c>
      <c r="D153" t="s">
        <v>73</v>
      </c>
      <c r="E153" t="s">
        <v>514</v>
      </c>
      <c r="F153" s="1">
        <v>43211.379259259258</v>
      </c>
      <c r="G153">
        <v>356</v>
      </c>
      <c r="H153">
        <v>9</v>
      </c>
      <c r="I153">
        <v>34239</v>
      </c>
    </row>
    <row r="154" spans="1:9" x14ac:dyDescent="0.25">
      <c r="A154">
        <v>3153</v>
      </c>
      <c r="B154">
        <v>108</v>
      </c>
      <c r="C154" t="s">
        <v>99</v>
      </c>
      <c r="D154" t="s">
        <v>76</v>
      </c>
      <c r="E154" t="s">
        <v>515</v>
      </c>
      <c r="F154" s="1">
        <v>44492.59443287037</v>
      </c>
      <c r="G154">
        <v>358</v>
      </c>
      <c r="H154">
        <v>7</v>
      </c>
      <c r="I154">
        <v>24104</v>
      </c>
    </row>
    <row r="155" spans="1:9" x14ac:dyDescent="0.25">
      <c r="A155">
        <v>3154</v>
      </c>
      <c r="B155">
        <v>108</v>
      </c>
      <c r="C155" t="s">
        <v>120</v>
      </c>
      <c r="D155" t="s">
        <v>73</v>
      </c>
      <c r="E155" t="s">
        <v>516</v>
      </c>
      <c r="F155" s="1">
        <v>44835.073761574073</v>
      </c>
      <c r="G155">
        <v>345</v>
      </c>
      <c r="H155">
        <v>20</v>
      </c>
      <c r="I155">
        <v>20564</v>
      </c>
    </row>
    <row r="156" spans="1:9" x14ac:dyDescent="0.25">
      <c r="A156">
        <v>3155</v>
      </c>
      <c r="B156">
        <v>108</v>
      </c>
      <c r="C156" t="s">
        <v>75</v>
      </c>
      <c r="D156" t="s">
        <v>76</v>
      </c>
      <c r="E156" t="s">
        <v>517</v>
      </c>
      <c r="F156" s="1">
        <v>43343.243807870371</v>
      </c>
      <c r="G156">
        <v>351</v>
      </c>
      <c r="H156">
        <v>14</v>
      </c>
      <c r="I156">
        <v>32714</v>
      </c>
    </row>
    <row r="157" spans="1:9" x14ac:dyDescent="0.25">
      <c r="A157">
        <v>3156</v>
      </c>
      <c r="B157">
        <v>108</v>
      </c>
      <c r="C157" t="s">
        <v>86</v>
      </c>
      <c r="D157" t="s">
        <v>76</v>
      </c>
      <c r="E157" t="s">
        <v>518</v>
      </c>
      <c r="F157" s="1">
        <v>44383.809629629628</v>
      </c>
      <c r="G157">
        <v>353</v>
      </c>
      <c r="H157">
        <v>12</v>
      </c>
      <c r="I157">
        <v>24634</v>
      </c>
    </row>
    <row r="158" spans="1:9" x14ac:dyDescent="0.25">
      <c r="A158">
        <v>3157</v>
      </c>
      <c r="B158">
        <v>108</v>
      </c>
      <c r="C158" t="s">
        <v>127</v>
      </c>
      <c r="D158" t="s">
        <v>76</v>
      </c>
      <c r="E158" t="s">
        <v>519</v>
      </c>
      <c r="F158" s="1">
        <v>45264.826527777783</v>
      </c>
      <c r="G158">
        <v>359</v>
      </c>
      <c r="H158">
        <v>6</v>
      </c>
      <c r="I158">
        <v>17930</v>
      </c>
    </row>
    <row r="159" spans="1:9" x14ac:dyDescent="0.25">
      <c r="A159">
        <v>3158</v>
      </c>
      <c r="B159">
        <v>108</v>
      </c>
      <c r="C159" t="s">
        <v>125</v>
      </c>
      <c r="D159" t="s">
        <v>76</v>
      </c>
      <c r="E159" t="s">
        <v>520</v>
      </c>
      <c r="F159" s="1">
        <v>43054.534768518519</v>
      </c>
      <c r="G159">
        <v>350</v>
      </c>
      <c r="H159">
        <v>15</v>
      </c>
      <c r="I159">
        <v>34899</v>
      </c>
    </row>
    <row r="160" spans="1:9" x14ac:dyDescent="0.25">
      <c r="A160">
        <v>3159</v>
      </c>
      <c r="B160">
        <v>108</v>
      </c>
      <c r="C160" t="s">
        <v>86</v>
      </c>
      <c r="D160" t="s">
        <v>76</v>
      </c>
      <c r="E160" t="s">
        <v>521</v>
      </c>
      <c r="F160" s="1">
        <v>43998.630069444444</v>
      </c>
      <c r="G160">
        <v>341</v>
      </c>
      <c r="H160">
        <v>24</v>
      </c>
      <c r="I160">
        <v>26753</v>
      </c>
    </row>
    <row r="161" spans="1:9" x14ac:dyDescent="0.25">
      <c r="A161">
        <v>3160</v>
      </c>
      <c r="B161">
        <v>109</v>
      </c>
      <c r="C161" t="s">
        <v>94</v>
      </c>
      <c r="D161" t="s">
        <v>73</v>
      </c>
      <c r="E161" t="s">
        <v>522</v>
      </c>
      <c r="F161" s="1">
        <v>44647.878495370373</v>
      </c>
      <c r="G161">
        <v>355</v>
      </c>
      <c r="H161">
        <v>10</v>
      </c>
      <c r="I161">
        <v>22663</v>
      </c>
    </row>
    <row r="162" spans="1:9" x14ac:dyDescent="0.25">
      <c r="A162">
        <v>3161</v>
      </c>
      <c r="B162">
        <v>109</v>
      </c>
      <c r="C162" t="s">
        <v>82</v>
      </c>
      <c r="D162" t="s">
        <v>73</v>
      </c>
      <c r="E162" t="s">
        <v>523</v>
      </c>
      <c r="F162" s="1">
        <v>45373.754328703697</v>
      </c>
      <c r="G162">
        <v>356</v>
      </c>
      <c r="H162">
        <v>9</v>
      </c>
      <c r="I162">
        <v>16907</v>
      </c>
    </row>
    <row r="163" spans="1:9" x14ac:dyDescent="0.25">
      <c r="A163">
        <v>3162</v>
      </c>
      <c r="B163">
        <v>109</v>
      </c>
      <c r="C163" t="s">
        <v>104</v>
      </c>
      <c r="D163" t="s">
        <v>76</v>
      </c>
      <c r="E163" t="s">
        <v>524</v>
      </c>
      <c r="F163" s="1">
        <v>43727.426296296297</v>
      </c>
      <c r="G163">
        <v>350</v>
      </c>
      <c r="H163">
        <v>15</v>
      </c>
      <c r="I163">
        <v>29595</v>
      </c>
    </row>
    <row r="164" spans="1:9" x14ac:dyDescent="0.25">
      <c r="A164">
        <v>3163</v>
      </c>
      <c r="B164">
        <v>109</v>
      </c>
      <c r="C164" t="s">
        <v>84</v>
      </c>
      <c r="D164" t="s">
        <v>73</v>
      </c>
      <c r="E164" t="s">
        <v>525</v>
      </c>
      <c r="F164" s="1">
        <v>45448.981504629628</v>
      </c>
      <c r="G164">
        <v>343</v>
      </c>
      <c r="H164">
        <v>22</v>
      </c>
      <c r="I164">
        <v>15710</v>
      </c>
    </row>
    <row r="165" spans="1:9" x14ac:dyDescent="0.25">
      <c r="A165">
        <v>3164</v>
      </c>
      <c r="B165">
        <v>109</v>
      </c>
      <c r="C165" t="s">
        <v>89</v>
      </c>
      <c r="D165" t="s">
        <v>76</v>
      </c>
      <c r="E165" t="s">
        <v>526</v>
      </c>
      <c r="F165" s="1">
        <v>42749.547442129631</v>
      </c>
      <c r="G165">
        <v>352</v>
      </c>
      <c r="H165">
        <v>13</v>
      </c>
      <c r="I165">
        <v>37516</v>
      </c>
    </row>
    <row r="166" spans="1:9" x14ac:dyDescent="0.25">
      <c r="A166">
        <v>3165</v>
      </c>
      <c r="B166">
        <v>109</v>
      </c>
      <c r="C166" t="s">
        <v>99</v>
      </c>
      <c r="D166" t="s">
        <v>76</v>
      </c>
      <c r="E166" t="s">
        <v>527</v>
      </c>
      <c r="F166" s="1">
        <v>45598.227384259262</v>
      </c>
      <c r="G166">
        <v>354</v>
      </c>
      <c r="H166">
        <v>11</v>
      </c>
      <c r="I166">
        <v>15018</v>
      </c>
    </row>
    <row r="167" spans="1:9" x14ac:dyDescent="0.25">
      <c r="A167">
        <v>3166</v>
      </c>
      <c r="B167">
        <v>109</v>
      </c>
      <c r="C167" t="s">
        <v>127</v>
      </c>
      <c r="D167" t="s">
        <v>76</v>
      </c>
      <c r="E167" t="s">
        <v>528</v>
      </c>
      <c r="F167" s="1">
        <v>44707.284062500003</v>
      </c>
      <c r="G167">
        <v>344</v>
      </c>
      <c r="H167">
        <v>21</v>
      </c>
      <c r="I167">
        <v>21496</v>
      </c>
    </row>
    <row r="168" spans="1:9" x14ac:dyDescent="0.25">
      <c r="A168">
        <v>3167</v>
      </c>
      <c r="B168">
        <v>109</v>
      </c>
      <c r="C168" t="s">
        <v>99</v>
      </c>
      <c r="D168" t="s">
        <v>76</v>
      </c>
      <c r="E168" t="s">
        <v>529</v>
      </c>
      <c r="F168" s="1">
        <v>42885.479664351849</v>
      </c>
      <c r="G168">
        <v>357</v>
      </c>
      <c r="H168">
        <v>8</v>
      </c>
      <c r="I168">
        <v>36955</v>
      </c>
    </row>
    <row r="169" spans="1:9" x14ac:dyDescent="0.25">
      <c r="A169">
        <v>3168</v>
      </c>
      <c r="B169">
        <v>109</v>
      </c>
      <c r="C169" t="s">
        <v>127</v>
      </c>
      <c r="D169" t="s">
        <v>76</v>
      </c>
      <c r="E169" t="s">
        <v>530</v>
      </c>
      <c r="F169" s="1">
        <v>42857.326238425929</v>
      </c>
      <c r="G169">
        <v>344</v>
      </c>
      <c r="H169">
        <v>21</v>
      </c>
      <c r="I169">
        <v>35827</v>
      </c>
    </row>
    <row r="170" spans="1:9" x14ac:dyDescent="0.25">
      <c r="A170">
        <v>3169</v>
      </c>
      <c r="B170">
        <v>109</v>
      </c>
      <c r="C170" t="s">
        <v>127</v>
      </c>
      <c r="D170" t="s">
        <v>76</v>
      </c>
      <c r="E170" t="s">
        <v>531</v>
      </c>
      <c r="F170" s="1">
        <v>44606.709097222221</v>
      </c>
      <c r="G170">
        <v>348</v>
      </c>
      <c r="H170">
        <v>17</v>
      </c>
      <c r="I170">
        <v>22537</v>
      </c>
    </row>
    <row r="171" spans="1:9" x14ac:dyDescent="0.25">
      <c r="A171">
        <v>3170</v>
      </c>
      <c r="B171">
        <v>109</v>
      </c>
      <c r="C171" t="s">
        <v>89</v>
      </c>
      <c r="D171" t="s">
        <v>76</v>
      </c>
      <c r="E171" t="s">
        <v>532</v>
      </c>
      <c r="F171" s="1">
        <v>44863.499143518522</v>
      </c>
      <c r="G171">
        <v>348</v>
      </c>
      <c r="H171">
        <v>17</v>
      </c>
      <c r="I171">
        <v>20523</v>
      </c>
    </row>
    <row r="172" spans="1:9" x14ac:dyDescent="0.25">
      <c r="A172">
        <v>3171</v>
      </c>
      <c r="B172">
        <v>109</v>
      </c>
      <c r="C172" t="s">
        <v>78</v>
      </c>
      <c r="D172" t="s">
        <v>73</v>
      </c>
      <c r="E172" t="s">
        <v>533</v>
      </c>
      <c r="F172" s="1">
        <v>43510.276446759257</v>
      </c>
      <c r="G172">
        <v>359</v>
      </c>
      <c r="H172">
        <v>6</v>
      </c>
      <c r="I172">
        <v>32110</v>
      </c>
    </row>
    <row r="173" spans="1:9" x14ac:dyDescent="0.25">
      <c r="A173">
        <v>3172</v>
      </c>
      <c r="B173">
        <v>109</v>
      </c>
      <c r="C173" t="s">
        <v>92</v>
      </c>
      <c r="D173" t="s">
        <v>76</v>
      </c>
      <c r="E173" t="s">
        <v>534</v>
      </c>
      <c r="F173" s="1">
        <v>42823.045856481483</v>
      </c>
      <c r="G173">
        <v>342</v>
      </c>
      <c r="H173">
        <v>23</v>
      </c>
      <c r="I173">
        <v>35880</v>
      </c>
    </row>
    <row r="174" spans="1:9" x14ac:dyDescent="0.25">
      <c r="A174">
        <v>3173</v>
      </c>
      <c r="B174">
        <v>109</v>
      </c>
      <c r="C174" t="s">
        <v>89</v>
      </c>
      <c r="D174" t="s">
        <v>76</v>
      </c>
      <c r="E174" t="s">
        <v>535</v>
      </c>
      <c r="F174" s="1">
        <v>43384.691608796304</v>
      </c>
      <c r="G174">
        <v>352</v>
      </c>
      <c r="H174">
        <v>13</v>
      </c>
      <c r="I174">
        <v>32483</v>
      </c>
    </row>
    <row r="175" spans="1:9" x14ac:dyDescent="0.25">
      <c r="A175">
        <v>3174</v>
      </c>
      <c r="B175">
        <v>109</v>
      </c>
      <c r="C175" t="s">
        <v>82</v>
      </c>
      <c r="D175" t="s">
        <v>73</v>
      </c>
      <c r="E175" t="s">
        <v>536</v>
      </c>
      <c r="F175" s="1">
        <v>44789.98574074074</v>
      </c>
      <c r="G175">
        <v>344</v>
      </c>
      <c r="H175">
        <v>21</v>
      </c>
      <c r="I175">
        <v>20861</v>
      </c>
    </row>
    <row r="176" spans="1:9" x14ac:dyDescent="0.25">
      <c r="A176">
        <v>3175</v>
      </c>
      <c r="B176">
        <v>110</v>
      </c>
      <c r="C176" t="s">
        <v>125</v>
      </c>
      <c r="D176" t="s">
        <v>76</v>
      </c>
      <c r="E176" t="s">
        <v>537</v>
      </c>
      <c r="F176" s="1">
        <v>45419.939131944448</v>
      </c>
      <c r="G176">
        <v>341</v>
      </c>
      <c r="H176">
        <v>24</v>
      </c>
      <c r="I176">
        <v>15841</v>
      </c>
    </row>
    <row r="177" spans="1:9" x14ac:dyDescent="0.25">
      <c r="A177">
        <v>3176</v>
      </c>
      <c r="B177">
        <v>110</v>
      </c>
      <c r="C177" t="s">
        <v>78</v>
      </c>
      <c r="D177" t="s">
        <v>73</v>
      </c>
      <c r="E177" t="s">
        <v>538</v>
      </c>
      <c r="F177" s="1">
        <v>44088.50922453704</v>
      </c>
      <c r="G177">
        <v>341</v>
      </c>
      <c r="H177">
        <v>24</v>
      </c>
      <c r="I177">
        <v>26062</v>
      </c>
    </row>
    <row r="178" spans="1:9" x14ac:dyDescent="0.25">
      <c r="A178">
        <v>3177</v>
      </c>
      <c r="B178">
        <v>110</v>
      </c>
      <c r="C178" t="s">
        <v>92</v>
      </c>
      <c r="D178" t="s">
        <v>76</v>
      </c>
      <c r="E178" t="s">
        <v>539</v>
      </c>
      <c r="F178" s="1">
        <v>43698.059039351851</v>
      </c>
      <c r="G178">
        <v>357</v>
      </c>
      <c r="H178">
        <v>8</v>
      </c>
      <c r="I178">
        <v>30420</v>
      </c>
    </row>
    <row r="179" spans="1:9" x14ac:dyDescent="0.25">
      <c r="A179">
        <v>3178</v>
      </c>
      <c r="B179">
        <v>110</v>
      </c>
      <c r="C179" t="s">
        <v>122</v>
      </c>
      <c r="D179" t="s">
        <v>73</v>
      </c>
      <c r="E179" t="s">
        <v>540</v>
      </c>
      <c r="F179" s="1">
        <v>45596.757905092592</v>
      </c>
      <c r="G179">
        <v>345</v>
      </c>
      <c r="H179">
        <v>20</v>
      </c>
      <c r="I179">
        <v>14652</v>
      </c>
    </row>
    <row r="180" spans="1:9" x14ac:dyDescent="0.25">
      <c r="A180">
        <v>3179</v>
      </c>
      <c r="B180">
        <v>110</v>
      </c>
      <c r="C180" t="s">
        <v>80</v>
      </c>
      <c r="D180" t="s">
        <v>73</v>
      </c>
      <c r="E180" t="s">
        <v>541</v>
      </c>
      <c r="F180" s="1">
        <v>45174.470937500002</v>
      </c>
      <c r="G180">
        <v>358</v>
      </c>
      <c r="H180">
        <v>7</v>
      </c>
      <c r="I180">
        <v>18606</v>
      </c>
    </row>
    <row r="181" spans="1:9" x14ac:dyDescent="0.25">
      <c r="A181">
        <v>3180</v>
      </c>
      <c r="B181">
        <v>110</v>
      </c>
      <c r="C181" t="s">
        <v>78</v>
      </c>
      <c r="D181" t="s">
        <v>73</v>
      </c>
      <c r="E181" t="s">
        <v>542</v>
      </c>
      <c r="F181" s="1">
        <v>44703.568738425929</v>
      </c>
      <c r="G181">
        <v>351</v>
      </c>
      <c r="H181">
        <v>14</v>
      </c>
      <c r="I181">
        <v>21965</v>
      </c>
    </row>
    <row r="182" spans="1:9" x14ac:dyDescent="0.25">
      <c r="A182">
        <v>3181</v>
      </c>
      <c r="B182">
        <v>110</v>
      </c>
      <c r="C182" t="s">
        <v>80</v>
      </c>
      <c r="D182" t="s">
        <v>73</v>
      </c>
      <c r="E182" t="s">
        <v>543</v>
      </c>
      <c r="F182" s="1">
        <v>44895.069143518522</v>
      </c>
      <c r="G182">
        <v>346</v>
      </c>
      <c r="H182">
        <v>19</v>
      </c>
      <c r="I182">
        <v>20156</v>
      </c>
    </row>
    <row r="183" spans="1:9" x14ac:dyDescent="0.25">
      <c r="A183">
        <v>3182</v>
      </c>
      <c r="B183">
        <v>110</v>
      </c>
      <c r="C183" t="s">
        <v>104</v>
      </c>
      <c r="D183" t="s">
        <v>76</v>
      </c>
      <c r="E183" t="s">
        <v>544</v>
      </c>
      <c r="F183" s="1">
        <v>42898.742650462962</v>
      </c>
      <c r="G183">
        <v>351</v>
      </c>
      <c r="H183">
        <v>14</v>
      </c>
      <c r="I183">
        <v>36232</v>
      </c>
    </row>
    <row r="184" spans="1:9" x14ac:dyDescent="0.25">
      <c r="A184">
        <v>3183</v>
      </c>
      <c r="B184">
        <v>110</v>
      </c>
      <c r="C184" t="s">
        <v>122</v>
      </c>
      <c r="D184" t="s">
        <v>73</v>
      </c>
      <c r="E184" t="s">
        <v>545</v>
      </c>
      <c r="F184" s="1">
        <v>44104.886053240742</v>
      </c>
      <c r="G184">
        <v>353</v>
      </c>
      <c r="H184">
        <v>12</v>
      </c>
      <c r="I184">
        <v>26852</v>
      </c>
    </row>
    <row r="185" spans="1:9" x14ac:dyDescent="0.25">
      <c r="A185">
        <v>3184</v>
      </c>
      <c r="B185">
        <v>110</v>
      </c>
      <c r="C185" t="s">
        <v>78</v>
      </c>
      <c r="D185" t="s">
        <v>73</v>
      </c>
      <c r="E185" t="s">
        <v>546</v>
      </c>
      <c r="F185" s="1">
        <v>43022.967650462961</v>
      </c>
      <c r="G185">
        <v>354</v>
      </c>
      <c r="H185">
        <v>11</v>
      </c>
      <c r="I185">
        <v>35553</v>
      </c>
    </row>
    <row r="186" spans="1:9" x14ac:dyDescent="0.25">
      <c r="A186">
        <v>3185</v>
      </c>
      <c r="B186">
        <v>110</v>
      </c>
      <c r="C186" t="s">
        <v>99</v>
      </c>
      <c r="D186" t="s">
        <v>76</v>
      </c>
      <c r="E186" t="s">
        <v>547</v>
      </c>
      <c r="F186" s="1">
        <v>43882.855196759258</v>
      </c>
      <c r="G186">
        <v>343</v>
      </c>
      <c r="H186">
        <v>22</v>
      </c>
      <c r="I186">
        <v>27806</v>
      </c>
    </row>
    <row r="187" spans="1:9" x14ac:dyDescent="0.25">
      <c r="A187">
        <v>3186</v>
      </c>
      <c r="B187">
        <v>110</v>
      </c>
      <c r="C187" t="s">
        <v>75</v>
      </c>
      <c r="D187" t="s">
        <v>76</v>
      </c>
      <c r="E187" t="s">
        <v>548</v>
      </c>
      <c r="F187" s="1">
        <v>43720.113692129627</v>
      </c>
      <c r="G187">
        <v>344</v>
      </c>
      <c r="H187">
        <v>21</v>
      </c>
      <c r="I187">
        <v>29142</v>
      </c>
    </row>
    <row r="188" spans="1:9" x14ac:dyDescent="0.25">
      <c r="A188">
        <v>3187</v>
      </c>
      <c r="B188">
        <v>110</v>
      </c>
      <c r="C188" t="s">
        <v>82</v>
      </c>
      <c r="D188" t="s">
        <v>73</v>
      </c>
      <c r="E188" t="s">
        <v>549</v>
      </c>
      <c r="F188" s="1">
        <v>44124.985682870371</v>
      </c>
      <c r="G188">
        <v>359</v>
      </c>
      <c r="H188">
        <v>6</v>
      </c>
      <c r="I188">
        <v>27146</v>
      </c>
    </row>
    <row r="189" spans="1:9" x14ac:dyDescent="0.25">
      <c r="A189">
        <v>3188</v>
      </c>
      <c r="B189">
        <v>110</v>
      </c>
      <c r="C189" t="s">
        <v>82</v>
      </c>
      <c r="D189" t="s">
        <v>73</v>
      </c>
      <c r="E189" t="s">
        <v>550</v>
      </c>
      <c r="F189" s="1">
        <v>43513.291388888887</v>
      </c>
      <c r="G189">
        <v>345</v>
      </c>
      <c r="H189">
        <v>20</v>
      </c>
      <c r="I189">
        <v>30834</v>
      </c>
    </row>
    <row r="190" spans="1:9" x14ac:dyDescent="0.25">
      <c r="A190">
        <v>3189</v>
      </c>
      <c r="B190">
        <v>110</v>
      </c>
      <c r="C190" t="s">
        <v>86</v>
      </c>
      <c r="D190" t="s">
        <v>76</v>
      </c>
      <c r="E190" t="s">
        <v>551</v>
      </c>
      <c r="F190" s="1">
        <v>44245.01</v>
      </c>
      <c r="G190">
        <v>346</v>
      </c>
      <c r="H190">
        <v>19</v>
      </c>
      <c r="I190">
        <v>25221</v>
      </c>
    </row>
    <row r="191" spans="1:9" x14ac:dyDescent="0.25">
      <c r="A191">
        <v>3190</v>
      </c>
      <c r="B191">
        <v>111</v>
      </c>
      <c r="C191" t="s">
        <v>86</v>
      </c>
      <c r="D191" t="s">
        <v>76</v>
      </c>
      <c r="E191" t="s">
        <v>552</v>
      </c>
      <c r="F191" s="1">
        <v>44795.682650462957</v>
      </c>
      <c r="G191">
        <v>358</v>
      </c>
      <c r="H191">
        <v>7</v>
      </c>
      <c r="I191">
        <v>21661</v>
      </c>
    </row>
    <row r="192" spans="1:9" x14ac:dyDescent="0.25">
      <c r="A192">
        <v>3191</v>
      </c>
      <c r="B192">
        <v>111</v>
      </c>
      <c r="C192" t="s">
        <v>104</v>
      </c>
      <c r="D192" t="s">
        <v>76</v>
      </c>
      <c r="E192" t="s">
        <v>553</v>
      </c>
      <c r="F192" s="1">
        <v>44833.48232638889</v>
      </c>
      <c r="G192">
        <v>355</v>
      </c>
      <c r="H192">
        <v>10</v>
      </c>
      <c r="I192">
        <v>21176</v>
      </c>
    </row>
    <row r="193" spans="1:9" x14ac:dyDescent="0.25">
      <c r="A193">
        <v>3192</v>
      </c>
      <c r="B193">
        <v>111</v>
      </c>
      <c r="C193" t="s">
        <v>72</v>
      </c>
      <c r="D193" t="s">
        <v>73</v>
      </c>
      <c r="E193" t="s">
        <v>554</v>
      </c>
      <c r="F193" s="1">
        <v>43014.241944444453</v>
      </c>
      <c r="G193">
        <v>346</v>
      </c>
      <c r="H193">
        <v>19</v>
      </c>
      <c r="I193">
        <v>34812</v>
      </c>
    </row>
    <row r="194" spans="1:9" x14ac:dyDescent="0.25">
      <c r="A194">
        <v>3193</v>
      </c>
      <c r="B194">
        <v>111</v>
      </c>
      <c r="C194" t="s">
        <v>125</v>
      </c>
      <c r="D194" t="s">
        <v>76</v>
      </c>
      <c r="E194" t="s">
        <v>555</v>
      </c>
      <c r="F194" s="1">
        <v>43966.735983796287</v>
      </c>
      <c r="G194">
        <v>348</v>
      </c>
      <c r="H194">
        <v>17</v>
      </c>
      <c r="I194">
        <v>27553</v>
      </c>
    </row>
    <row r="195" spans="1:9" x14ac:dyDescent="0.25">
      <c r="A195">
        <v>3194</v>
      </c>
      <c r="B195">
        <v>111</v>
      </c>
      <c r="C195" t="s">
        <v>82</v>
      </c>
      <c r="D195" t="s">
        <v>73</v>
      </c>
      <c r="E195" t="s">
        <v>556</v>
      </c>
      <c r="F195" s="1">
        <v>44079.708645833343</v>
      </c>
      <c r="G195">
        <v>344</v>
      </c>
      <c r="H195">
        <v>21</v>
      </c>
      <c r="I195">
        <v>26361</v>
      </c>
    </row>
    <row r="196" spans="1:9" x14ac:dyDescent="0.25">
      <c r="A196">
        <v>3195</v>
      </c>
      <c r="B196">
        <v>112</v>
      </c>
      <c r="C196" t="s">
        <v>120</v>
      </c>
      <c r="D196" t="s">
        <v>73</v>
      </c>
      <c r="E196" t="s">
        <v>557</v>
      </c>
      <c r="F196" s="1">
        <v>44905.691608796304</v>
      </c>
      <c r="G196">
        <v>342</v>
      </c>
      <c r="H196">
        <v>23</v>
      </c>
      <c r="I196">
        <v>19846</v>
      </c>
    </row>
    <row r="197" spans="1:9" x14ac:dyDescent="0.25">
      <c r="A197">
        <v>3196</v>
      </c>
      <c r="B197">
        <v>112</v>
      </c>
      <c r="C197" t="s">
        <v>122</v>
      </c>
      <c r="D197" t="s">
        <v>73</v>
      </c>
      <c r="E197" t="s">
        <v>558</v>
      </c>
      <c r="F197" s="1">
        <v>44324.199560185189</v>
      </c>
      <c r="G197">
        <v>351</v>
      </c>
      <c r="H197">
        <v>14</v>
      </c>
      <c r="I197">
        <v>24961</v>
      </c>
    </row>
    <row r="198" spans="1:9" x14ac:dyDescent="0.25">
      <c r="A198">
        <v>3197</v>
      </c>
      <c r="B198">
        <v>112</v>
      </c>
      <c r="C198" t="s">
        <v>92</v>
      </c>
      <c r="D198" t="s">
        <v>76</v>
      </c>
      <c r="E198" t="s">
        <v>559</v>
      </c>
      <c r="F198" s="1">
        <v>45229.695636574077</v>
      </c>
      <c r="G198">
        <v>355</v>
      </c>
      <c r="H198">
        <v>10</v>
      </c>
      <c r="I198">
        <v>18010</v>
      </c>
    </row>
    <row r="199" spans="1:9" x14ac:dyDescent="0.25">
      <c r="A199">
        <v>3198</v>
      </c>
      <c r="B199">
        <v>112</v>
      </c>
      <c r="C199" t="s">
        <v>99</v>
      </c>
      <c r="D199" t="s">
        <v>76</v>
      </c>
      <c r="E199" t="s">
        <v>560</v>
      </c>
      <c r="F199" s="1">
        <v>44282.128981481481</v>
      </c>
      <c r="G199">
        <v>358</v>
      </c>
      <c r="H199">
        <v>7</v>
      </c>
      <c r="I199">
        <v>25797</v>
      </c>
    </row>
    <row r="200" spans="1:9" x14ac:dyDescent="0.25">
      <c r="A200">
        <v>3199</v>
      </c>
      <c r="B200">
        <v>112</v>
      </c>
      <c r="C200" t="s">
        <v>92</v>
      </c>
      <c r="D200" t="s">
        <v>76</v>
      </c>
      <c r="E200" t="s">
        <v>561</v>
      </c>
      <c r="F200" s="1">
        <v>44919.297280092593</v>
      </c>
      <c r="G200">
        <v>354</v>
      </c>
      <c r="H200">
        <v>11</v>
      </c>
      <c r="I200">
        <v>20431</v>
      </c>
    </row>
    <row r="201" spans="1:9" x14ac:dyDescent="0.25">
      <c r="A201">
        <v>3200</v>
      </c>
      <c r="B201">
        <v>112</v>
      </c>
      <c r="C201" t="s">
        <v>75</v>
      </c>
      <c r="D201" t="s">
        <v>76</v>
      </c>
      <c r="E201" t="s">
        <v>562</v>
      </c>
      <c r="F201" s="1">
        <v>43905.283796296288</v>
      </c>
      <c r="G201">
        <v>357</v>
      </c>
      <c r="H201">
        <v>8</v>
      </c>
      <c r="I201">
        <v>28756</v>
      </c>
    </row>
    <row r="202" spans="1:9" x14ac:dyDescent="0.25">
      <c r="A202">
        <v>3201</v>
      </c>
      <c r="B202">
        <v>112</v>
      </c>
      <c r="C202" t="s">
        <v>89</v>
      </c>
      <c r="D202" t="s">
        <v>76</v>
      </c>
      <c r="E202" t="s">
        <v>563</v>
      </c>
      <c r="F202" s="1">
        <v>44391.281805555547</v>
      </c>
      <c r="G202">
        <v>353</v>
      </c>
      <c r="H202">
        <v>12</v>
      </c>
      <c r="I202">
        <v>24570</v>
      </c>
    </row>
    <row r="203" spans="1:9" x14ac:dyDescent="0.25">
      <c r="A203">
        <v>3202</v>
      </c>
      <c r="B203">
        <v>112</v>
      </c>
      <c r="C203" t="s">
        <v>72</v>
      </c>
      <c r="D203" t="s">
        <v>73</v>
      </c>
      <c r="E203" t="s">
        <v>564</v>
      </c>
      <c r="F203" s="1">
        <v>44579.973321759258</v>
      </c>
      <c r="G203">
        <v>354</v>
      </c>
      <c r="H203">
        <v>11</v>
      </c>
      <c r="I203">
        <v>23141</v>
      </c>
    </row>
    <row r="204" spans="1:9" x14ac:dyDescent="0.25">
      <c r="A204">
        <v>3203</v>
      </c>
      <c r="B204">
        <v>112</v>
      </c>
      <c r="C204" t="s">
        <v>75</v>
      </c>
      <c r="D204" t="s">
        <v>76</v>
      </c>
      <c r="E204" t="s">
        <v>565</v>
      </c>
      <c r="F204" s="1">
        <v>45386.321261574078</v>
      </c>
      <c r="G204">
        <v>347</v>
      </c>
      <c r="H204">
        <v>18</v>
      </c>
      <c r="I204">
        <v>16378</v>
      </c>
    </row>
    <row r="205" spans="1:9" x14ac:dyDescent="0.25">
      <c r="A205">
        <v>3204</v>
      </c>
      <c r="B205">
        <v>112</v>
      </c>
      <c r="C205" t="s">
        <v>122</v>
      </c>
      <c r="D205" t="s">
        <v>73</v>
      </c>
      <c r="E205" t="s">
        <v>566</v>
      </c>
      <c r="F205" s="1">
        <v>44632.764791666668</v>
      </c>
      <c r="G205">
        <v>350</v>
      </c>
      <c r="H205">
        <v>15</v>
      </c>
      <c r="I205">
        <v>22462</v>
      </c>
    </row>
    <row r="206" spans="1:9" x14ac:dyDescent="0.25">
      <c r="A206">
        <v>3205</v>
      </c>
      <c r="B206">
        <v>113</v>
      </c>
      <c r="C206" t="s">
        <v>89</v>
      </c>
      <c r="D206" t="s">
        <v>76</v>
      </c>
      <c r="E206" t="s">
        <v>567</v>
      </c>
      <c r="F206" s="1">
        <v>43814.768831018519</v>
      </c>
      <c r="G206">
        <v>359</v>
      </c>
      <c r="H206">
        <v>6</v>
      </c>
      <c r="I206">
        <v>29652</v>
      </c>
    </row>
    <row r="207" spans="1:9" x14ac:dyDescent="0.25">
      <c r="A207">
        <v>3206</v>
      </c>
      <c r="B207">
        <v>113</v>
      </c>
      <c r="C207" t="s">
        <v>82</v>
      </c>
      <c r="D207" t="s">
        <v>73</v>
      </c>
      <c r="E207" t="s">
        <v>568</v>
      </c>
      <c r="F207" s="1">
        <v>42770.334363425929</v>
      </c>
      <c r="G207">
        <v>350</v>
      </c>
      <c r="H207">
        <v>15</v>
      </c>
      <c r="I207">
        <v>37137</v>
      </c>
    </row>
    <row r="208" spans="1:9" x14ac:dyDescent="0.25">
      <c r="A208">
        <v>3207</v>
      </c>
      <c r="B208">
        <v>113</v>
      </c>
      <c r="C208" t="s">
        <v>75</v>
      </c>
      <c r="D208" t="s">
        <v>76</v>
      </c>
      <c r="E208" t="s">
        <v>569</v>
      </c>
      <c r="F208" s="1">
        <v>44768.209178240737</v>
      </c>
      <c r="G208">
        <v>360</v>
      </c>
      <c r="H208">
        <v>5</v>
      </c>
      <c r="I208">
        <v>22001</v>
      </c>
    </row>
    <row r="209" spans="1:9" x14ac:dyDescent="0.25">
      <c r="A209">
        <v>3208</v>
      </c>
      <c r="B209">
        <v>113</v>
      </c>
      <c r="C209" t="s">
        <v>82</v>
      </c>
      <c r="D209" t="s">
        <v>73</v>
      </c>
      <c r="E209" t="s">
        <v>570</v>
      </c>
      <c r="F209" s="1">
        <v>45208.085347222222</v>
      </c>
      <c r="G209">
        <v>356</v>
      </c>
      <c r="H209">
        <v>9</v>
      </c>
      <c r="I209">
        <v>18230</v>
      </c>
    </row>
    <row r="210" spans="1:9" x14ac:dyDescent="0.25">
      <c r="A210">
        <v>3209</v>
      </c>
      <c r="B210">
        <v>113</v>
      </c>
      <c r="C210" t="s">
        <v>125</v>
      </c>
      <c r="D210" t="s">
        <v>76</v>
      </c>
      <c r="E210" t="s">
        <v>571</v>
      </c>
      <c r="F210" s="1">
        <v>45373.36241898148</v>
      </c>
      <c r="G210">
        <v>346</v>
      </c>
      <c r="H210">
        <v>19</v>
      </c>
      <c r="I210">
        <v>16432</v>
      </c>
    </row>
    <row r="211" spans="1:9" x14ac:dyDescent="0.25">
      <c r="A211">
        <v>3210</v>
      </c>
      <c r="B211">
        <v>113</v>
      </c>
      <c r="C211" t="s">
        <v>122</v>
      </c>
      <c r="D211" t="s">
        <v>73</v>
      </c>
      <c r="E211" t="s">
        <v>572</v>
      </c>
      <c r="F211" s="1">
        <v>43349.134317129632</v>
      </c>
      <c r="G211">
        <v>358</v>
      </c>
      <c r="H211">
        <v>7</v>
      </c>
      <c r="I211">
        <v>33318</v>
      </c>
    </row>
    <row r="212" spans="1:9" x14ac:dyDescent="0.25">
      <c r="A212">
        <v>3211</v>
      </c>
      <c r="B212">
        <v>113</v>
      </c>
      <c r="C212" t="s">
        <v>89</v>
      </c>
      <c r="D212" t="s">
        <v>76</v>
      </c>
      <c r="E212" t="s">
        <v>573</v>
      </c>
      <c r="F212" s="1">
        <v>44186.523680555547</v>
      </c>
      <c r="G212">
        <v>354</v>
      </c>
      <c r="H212">
        <v>11</v>
      </c>
      <c r="I212">
        <v>26274</v>
      </c>
    </row>
    <row r="213" spans="1:9" x14ac:dyDescent="0.25">
      <c r="A213">
        <v>3212</v>
      </c>
      <c r="B213">
        <v>113</v>
      </c>
      <c r="C213" t="s">
        <v>72</v>
      </c>
      <c r="D213" t="s">
        <v>73</v>
      </c>
      <c r="E213" t="s">
        <v>574</v>
      </c>
      <c r="F213" s="1">
        <v>45145.303854166668</v>
      </c>
      <c r="G213">
        <v>355</v>
      </c>
      <c r="H213">
        <v>10</v>
      </c>
      <c r="I213">
        <v>18682</v>
      </c>
    </row>
    <row r="214" spans="1:9" x14ac:dyDescent="0.25">
      <c r="A214">
        <v>3213</v>
      </c>
      <c r="B214">
        <v>113</v>
      </c>
      <c r="C214" t="s">
        <v>72</v>
      </c>
      <c r="D214" t="s">
        <v>73</v>
      </c>
      <c r="E214" t="s">
        <v>575</v>
      </c>
      <c r="F214" s="1">
        <v>44344.671585648153</v>
      </c>
      <c r="G214">
        <v>343</v>
      </c>
      <c r="H214">
        <v>22</v>
      </c>
      <c r="I214">
        <v>24237</v>
      </c>
    </row>
    <row r="215" spans="1:9" x14ac:dyDescent="0.25">
      <c r="A215">
        <v>3214</v>
      </c>
      <c r="B215">
        <v>113</v>
      </c>
      <c r="C215" t="s">
        <v>78</v>
      </c>
      <c r="D215" t="s">
        <v>73</v>
      </c>
      <c r="E215" t="s">
        <v>576</v>
      </c>
      <c r="F215" s="1">
        <v>44435.779641203713</v>
      </c>
      <c r="G215">
        <v>359</v>
      </c>
      <c r="H215">
        <v>6</v>
      </c>
      <c r="I215">
        <v>24632</v>
      </c>
    </row>
    <row r="216" spans="1:9" x14ac:dyDescent="0.25">
      <c r="A216">
        <v>3215</v>
      </c>
      <c r="B216">
        <v>114</v>
      </c>
      <c r="C216" t="s">
        <v>84</v>
      </c>
      <c r="D216" t="s">
        <v>73</v>
      </c>
      <c r="E216" t="s">
        <v>577</v>
      </c>
      <c r="F216" s="1">
        <v>43647.958564814813</v>
      </c>
      <c r="G216">
        <v>351</v>
      </c>
      <c r="H216">
        <v>14</v>
      </c>
      <c r="I216">
        <v>30312</v>
      </c>
    </row>
    <row r="217" spans="1:9" x14ac:dyDescent="0.25">
      <c r="A217">
        <v>3216</v>
      </c>
      <c r="B217">
        <v>114</v>
      </c>
      <c r="C217" t="s">
        <v>122</v>
      </c>
      <c r="D217" t="s">
        <v>73</v>
      </c>
      <c r="E217" t="s">
        <v>578</v>
      </c>
      <c r="F217" s="1">
        <v>45245.258784722217</v>
      </c>
      <c r="G217">
        <v>341</v>
      </c>
      <c r="H217">
        <v>24</v>
      </c>
      <c r="I217">
        <v>17177</v>
      </c>
    </row>
    <row r="218" spans="1:9" x14ac:dyDescent="0.25">
      <c r="A218">
        <v>3217</v>
      </c>
      <c r="B218">
        <v>114</v>
      </c>
      <c r="C218" t="s">
        <v>99</v>
      </c>
      <c r="D218" t="s">
        <v>76</v>
      </c>
      <c r="E218" t="s">
        <v>579</v>
      </c>
      <c r="F218" s="1">
        <v>43496.715162037042</v>
      </c>
      <c r="G218">
        <v>347</v>
      </c>
      <c r="H218">
        <v>18</v>
      </c>
      <c r="I218">
        <v>31146</v>
      </c>
    </row>
    <row r="219" spans="1:9" x14ac:dyDescent="0.25">
      <c r="A219">
        <v>3218</v>
      </c>
      <c r="B219">
        <v>114</v>
      </c>
      <c r="C219" t="s">
        <v>82</v>
      </c>
      <c r="D219" t="s">
        <v>73</v>
      </c>
      <c r="E219" t="s">
        <v>580</v>
      </c>
      <c r="F219" s="1">
        <v>43994.459583333337</v>
      </c>
      <c r="G219">
        <v>347</v>
      </c>
      <c r="H219">
        <v>18</v>
      </c>
      <c r="I219">
        <v>27255</v>
      </c>
    </row>
    <row r="220" spans="1:9" x14ac:dyDescent="0.25">
      <c r="A220">
        <v>3219</v>
      </c>
      <c r="B220">
        <v>114</v>
      </c>
      <c r="C220" t="s">
        <v>122</v>
      </c>
      <c r="D220" t="s">
        <v>73</v>
      </c>
      <c r="E220" t="s">
        <v>581</v>
      </c>
      <c r="F220" s="1">
        <v>44308.13082175926</v>
      </c>
      <c r="G220">
        <v>359</v>
      </c>
      <c r="H220">
        <v>6</v>
      </c>
      <c r="I220">
        <v>25659</v>
      </c>
    </row>
    <row r="221" spans="1:9" x14ac:dyDescent="0.25">
      <c r="A221">
        <v>3220</v>
      </c>
      <c r="B221">
        <v>115</v>
      </c>
      <c r="C221" t="s">
        <v>72</v>
      </c>
      <c r="D221" t="s">
        <v>73</v>
      </c>
      <c r="E221" t="s">
        <v>582</v>
      </c>
      <c r="F221" s="1">
        <v>45000.987719907411</v>
      </c>
      <c r="G221">
        <v>353</v>
      </c>
      <c r="H221">
        <v>12</v>
      </c>
      <c r="I221">
        <v>19729</v>
      </c>
    </row>
    <row r="222" spans="1:9" x14ac:dyDescent="0.25">
      <c r="A222">
        <v>3221</v>
      </c>
      <c r="B222">
        <v>115</v>
      </c>
      <c r="C222" t="s">
        <v>104</v>
      </c>
      <c r="D222" t="s">
        <v>76</v>
      </c>
      <c r="E222" t="s">
        <v>583</v>
      </c>
      <c r="F222" s="1">
        <v>45415.52306712963</v>
      </c>
      <c r="G222">
        <v>350</v>
      </c>
      <c r="H222">
        <v>15</v>
      </c>
      <c r="I222">
        <v>16291</v>
      </c>
    </row>
    <row r="223" spans="1:9" x14ac:dyDescent="0.25">
      <c r="A223">
        <v>3222</v>
      </c>
      <c r="B223">
        <v>115</v>
      </c>
      <c r="C223" t="s">
        <v>94</v>
      </c>
      <c r="D223" t="s">
        <v>73</v>
      </c>
      <c r="E223" t="s">
        <v>584</v>
      </c>
      <c r="F223" s="1">
        <v>43274.218032407407</v>
      </c>
      <c r="G223">
        <v>346</v>
      </c>
      <c r="H223">
        <v>19</v>
      </c>
      <c r="I223">
        <v>32786</v>
      </c>
    </row>
    <row r="224" spans="1:9" x14ac:dyDescent="0.25">
      <c r="A224">
        <v>3223</v>
      </c>
      <c r="B224">
        <v>115</v>
      </c>
      <c r="C224" t="s">
        <v>82</v>
      </c>
      <c r="D224" t="s">
        <v>73</v>
      </c>
      <c r="E224" t="s">
        <v>585</v>
      </c>
      <c r="F224" s="1">
        <v>45363.931886574072</v>
      </c>
      <c r="G224">
        <v>354</v>
      </c>
      <c r="H224">
        <v>11</v>
      </c>
      <c r="I224">
        <v>16892</v>
      </c>
    </row>
    <row r="225" spans="1:9" x14ac:dyDescent="0.25">
      <c r="A225">
        <v>3224</v>
      </c>
      <c r="B225">
        <v>115</v>
      </c>
      <c r="C225" t="s">
        <v>80</v>
      </c>
      <c r="D225" t="s">
        <v>73</v>
      </c>
      <c r="E225" t="s">
        <v>586</v>
      </c>
      <c r="F225" s="1">
        <v>43463.958622685182</v>
      </c>
      <c r="G225">
        <v>351</v>
      </c>
      <c r="H225">
        <v>14</v>
      </c>
      <c r="I225">
        <v>31766</v>
      </c>
    </row>
    <row r="226" spans="1:9" x14ac:dyDescent="0.25">
      <c r="A226">
        <v>3225</v>
      </c>
      <c r="B226">
        <v>115</v>
      </c>
      <c r="C226" t="s">
        <v>82</v>
      </c>
      <c r="D226" t="s">
        <v>73</v>
      </c>
      <c r="E226" t="s">
        <v>587</v>
      </c>
      <c r="F226" s="1">
        <v>44290.408009259263</v>
      </c>
      <c r="G226">
        <v>358</v>
      </c>
      <c r="H226">
        <v>7</v>
      </c>
      <c r="I226">
        <v>25732</v>
      </c>
    </row>
    <row r="227" spans="1:9" x14ac:dyDescent="0.25">
      <c r="A227">
        <v>3226</v>
      </c>
      <c r="B227">
        <v>115</v>
      </c>
      <c r="C227" t="s">
        <v>72</v>
      </c>
      <c r="D227" t="s">
        <v>73</v>
      </c>
      <c r="E227" t="s">
        <v>588</v>
      </c>
      <c r="F227" s="1">
        <v>42880.959398148138</v>
      </c>
      <c r="G227">
        <v>354</v>
      </c>
      <c r="H227">
        <v>11</v>
      </c>
      <c r="I227">
        <v>36685</v>
      </c>
    </row>
    <row r="228" spans="1:9" x14ac:dyDescent="0.25">
      <c r="A228">
        <v>3227</v>
      </c>
      <c r="B228">
        <v>115</v>
      </c>
      <c r="C228" t="s">
        <v>86</v>
      </c>
      <c r="D228" t="s">
        <v>76</v>
      </c>
      <c r="E228" t="s">
        <v>589</v>
      </c>
      <c r="F228" s="1">
        <v>42860.085231481477</v>
      </c>
      <c r="G228">
        <v>359</v>
      </c>
      <c r="H228">
        <v>6</v>
      </c>
      <c r="I228">
        <v>37365</v>
      </c>
    </row>
    <row r="229" spans="1:9" x14ac:dyDescent="0.25">
      <c r="A229">
        <v>3228</v>
      </c>
      <c r="B229">
        <v>115</v>
      </c>
      <c r="C229" t="s">
        <v>86</v>
      </c>
      <c r="D229" t="s">
        <v>76</v>
      </c>
      <c r="E229" t="s">
        <v>590</v>
      </c>
      <c r="F229" s="1">
        <v>44994.941087962958</v>
      </c>
      <c r="G229">
        <v>352</v>
      </c>
      <c r="H229">
        <v>13</v>
      </c>
      <c r="I229">
        <v>19721</v>
      </c>
    </row>
    <row r="230" spans="1:9" x14ac:dyDescent="0.25">
      <c r="A230">
        <v>3229</v>
      </c>
      <c r="B230">
        <v>115</v>
      </c>
      <c r="C230" t="s">
        <v>82</v>
      </c>
      <c r="D230" t="s">
        <v>73</v>
      </c>
      <c r="E230" t="s">
        <v>591</v>
      </c>
      <c r="F230" s="1">
        <v>44942.120810185188</v>
      </c>
      <c r="G230">
        <v>357</v>
      </c>
      <c r="H230">
        <v>8</v>
      </c>
      <c r="I230">
        <v>20419</v>
      </c>
    </row>
    <row r="231" spans="1:9" x14ac:dyDescent="0.25">
      <c r="A231">
        <v>3230</v>
      </c>
      <c r="B231">
        <v>116</v>
      </c>
      <c r="C231" t="s">
        <v>86</v>
      </c>
      <c r="D231" t="s">
        <v>76</v>
      </c>
      <c r="E231" t="s">
        <v>592</v>
      </c>
      <c r="F231" s="1">
        <v>45191.146458333344</v>
      </c>
      <c r="G231">
        <v>352</v>
      </c>
      <c r="H231">
        <v>13</v>
      </c>
      <c r="I231">
        <v>18159</v>
      </c>
    </row>
    <row r="232" spans="1:9" x14ac:dyDescent="0.25">
      <c r="A232">
        <v>3231</v>
      </c>
      <c r="B232">
        <v>116</v>
      </c>
      <c r="C232" t="s">
        <v>92</v>
      </c>
      <c r="D232" t="s">
        <v>76</v>
      </c>
      <c r="E232" t="s">
        <v>593</v>
      </c>
      <c r="F232" s="1">
        <v>45574.617685185192</v>
      </c>
      <c r="G232">
        <v>345</v>
      </c>
      <c r="H232">
        <v>20</v>
      </c>
      <c r="I232">
        <v>14823</v>
      </c>
    </row>
    <row r="233" spans="1:9" x14ac:dyDescent="0.25">
      <c r="A233">
        <v>3232</v>
      </c>
      <c r="B233">
        <v>116</v>
      </c>
      <c r="C233" t="s">
        <v>94</v>
      </c>
      <c r="D233" t="s">
        <v>73</v>
      </c>
      <c r="E233" t="s">
        <v>594</v>
      </c>
      <c r="F233" s="1">
        <v>45262.908009259263</v>
      </c>
      <c r="G233">
        <v>345</v>
      </c>
      <c r="H233">
        <v>20</v>
      </c>
      <c r="I233">
        <v>17247</v>
      </c>
    </row>
    <row r="234" spans="1:9" x14ac:dyDescent="0.25">
      <c r="A234">
        <v>3233</v>
      </c>
      <c r="B234">
        <v>116</v>
      </c>
      <c r="C234" t="s">
        <v>75</v>
      </c>
      <c r="D234" t="s">
        <v>76</v>
      </c>
      <c r="E234" t="s">
        <v>595</v>
      </c>
      <c r="F234" s="1">
        <v>44340.910486111112</v>
      </c>
      <c r="G234">
        <v>353</v>
      </c>
      <c r="H234">
        <v>12</v>
      </c>
      <c r="I234">
        <v>24976</v>
      </c>
    </row>
    <row r="235" spans="1:9" x14ac:dyDescent="0.25">
      <c r="A235">
        <v>3234</v>
      </c>
      <c r="B235">
        <v>116</v>
      </c>
      <c r="C235" t="s">
        <v>82</v>
      </c>
      <c r="D235" t="s">
        <v>73</v>
      </c>
      <c r="E235" t="s">
        <v>596</v>
      </c>
      <c r="F235" s="1">
        <v>45017.526273148149</v>
      </c>
      <c r="G235">
        <v>358</v>
      </c>
      <c r="H235">
        <v>7</v>
      </c>
      <c r="I235">
        <v>19872</v>
      </c>
    </row>
    <row r="236" spans="1:9" x14ac:dyDescent="0.25">
      <c r="A236">
        <v>3235</v>
      </c>
      <c r="B236">
        <v>116</v>
      </c>
      <c r="C236" t="s">
        <v>84</v>
      </c>
      <c r="D236" t="s">
        <v>73</v>
      </c>
      <c r="E236" t="s">
        <v>597</v>
      </c>
      <c r="F236" s="1">
        <v>44513.423807870371</v>
      </c>
      <c r="G236">
        <v>348</v>
      </c>
      <c r="H236">
        <v>17</v>
      </c>
      <c r="I236">
        <v>23266</v>
      </c>
    </row>
    <row r="237" spans="1:9" x14ac:dyDescent="0.25">
      <c r="A237">
        <v>3236</v>
      </c>
      <c r="B237">
        <v>116</v>
      </c>
      <c r="C237" t="s">
        <v>89</v>
      </c>
      <c r="D237" t="s">
        <v>76</v>
      </c>
      <c r="E237" t="s">
        <v>598</v>
      </c>
      <c r="F237" s="1">
        <v>43963.68891203704</v>
      </c>
      <c r="G237">
        <v>347</v>
      </c>
      <c r="H237">
        <v>18</v>
      </c>
      <c r="I237">
        <v>27497</v>
      </c>
    </row>
    <row r="238" spans="1:9" x14ac:dyDescent="0.25">
      <c r="A238">
        <v>3237</v>
      </c>
      <c r="B238">
        <v>116</v>
      </c>
      <c r="C238" t="s">
        <v>84</v>
      </c>
      <c r="D238" t="s">
        <v>73</v>
      </c>
      <c r="E238" t="s">
        <v>599</v>
      </c>
      <c r="F238" s="1">
        <v>43860.455567129633</v>
      </c>
      <c r="G238">
        <v>359</v>
      </c>
      <c r="H238">
        <v>6</v>
      </c>
      <c r="I238">
        <v>29280</v>
      </c>
    </row>
    <row r="239" spans="1:9" x14ac:dyDescent="0.25">
      <c r="A239">
        <v>3238</v>
      </c>
      <c r="B239">
        <v>116</v>
      </c>
      <c r="C239" t="s">
        <v>104</v>
      </c>
      <c r="D239" t="s">
        <v>76</v>
      </c>
      <c r="E239" t="s">
        <v>600</v>
      </c>
      <c r="F239" s="1">
        <v>42882.933263888888</v>
      </c>
      <c r="G239">
        <v>356</v>
      </c>
      <c r="H239">
        <v>9</v>
      </c>
      <c r="I239">
        <v>36876</v>
      </c>
    </row>
    <row r="240" spans="1:9" x14ac:dyDescent="0.25">
      <c r="A240">
        <v>3239</v>
      </c>
      <c r="B240">
        <v>116</v>
      </c>
      <c r="C240" t="s">
        <v>122</v>
      </c>
      <c r="D240" t="s">
        <v>73</v>
      </c>
      <c r="E240" t="s">
        <v>601</v>
      </c>
      <c r="F240" s="1">
        <v>43070.399699074071</v>
      </c>
      <c r="G240">
        <v>356</v>
      </c>
      <c r="H240">
        <v>9</v>
      </c>
      <c r="I240">
        <v>35369</v>
      </c>
    </row>
    <row r="241" spans="1:9" x14ac:dyDescent="0.25">
      <c r="A241">
        <v>3240</v>
      </c>
      <c r="B241">
        <v>117</v>
      </c>
      <c r="C241" t="s">
        <v>127</v>
      </c>
      <c r="D241" t="s">
        <v>76</v>
      </c>
      <c r="E241" t="s">
        <v>602</v>
      </c>
      <c r="F241" s="1">
        <v>43733.790960648148</v>
      </c>
      <c r="G241">
        <v>346</v>
      </c>
      <c r="H241">
        <v>19</v>
      </c>
      <c r="I241">
        <v>29210</v>
      </c>
    </row>
    <row r="242" spans="1:9" x14ac:dyDescent="0.25">
      <c r="A242">
        <v>3241</v>
      </c>
      <c r="B242">
        <v>117</v>
      </c>
      <c r="C242" t="s">
        <v>94</v>
      </c>
      <c r="D242" t="s">
        <v>73</v>
      </c>
      <c r="E242" t="s">
        <v>603</v>
      </c>
      <c r="F242" s="1">
        <v>43889.084189814806</v>
      </c>
      <c r="G242">
        <v>357</v>
      </c>
      <c r="H242">
        <v>8</v>
      </c>
      <c r="I242">
        <v>28884</v>
      </c>
    </row>
    <row r="243" spans="1:9" x14ac:dyDescent="0.25">
      <c r="A243">
        <v>3242</v>
      </c>
      <c r="B243">
        <v>117</v>
      </c>
      <c r="C243" t="s">
        <v>72</v>
      </c>
      <c r="D243" t="s">
        <v>73</v>
      </c>
      <c r="E243" t="s">
        <v>604</v>
      </c>
      <c r="F243" s="1">
        <v>45153.311261574083</v>
      </c>
      <c r="G243">
        <v>348</v>
      </c>
      <c r="H243">
        <v>17</v>
      </c>
      <c r="I243">
        <v>18251</v>
      </c>
    </row>
    <row r="244" spans="1:9" x14ac:dyDescent="0.25">
      <c r="A244">
        <v>3243</v>
      </c>
      <c r="B244">
        <v>117</v>
      </c>
      <c r="C244" t="s">
        <v>120</v>
      </c>
      <c r="D244" t="s">
        <v>73</v>
      </c>
      <c r="E244" t="s">
        <v>605</v>
      </c>
      <c r="F244" s="1">
        <v>43623.033460648148</v>
      </c>
      <c r="G244">
        <v>353</v>
      </c>
      <c r="H244">
        <v>12</v>
      </c>
      <c r="I244">
        <v>30675</v>
      </c>
    </row>
    <row r="245" spans="1:9" x14ac:dyDescent="0.25">
      <c r="A245">
        <v>3244</v>
      </c>
      <c r="B245">
        <v>117</v>
      </c>
      <c r="C245" t="s">
        <v>84</v>
      </c>
      <c r="D245" t="s">
        <v>73</v>
      </c>
      <c r="E245" t="s">
        <v>606</v>
      </c>
      <c r="F245" s="1">
        <v>43340.973391203697</v>
      </c>
      <c r="G245">
        <v>356</v>
      </c>
      <c r="H245">
        <v>9</v>
      </c>
      <c r="I245">
        <v>33204</v>
      </c>
    </row>
    <row r="246" spans="1:9" x14ac:dyDescent="0.25">
      <c r="A246">
        <v>3245</v>
      </c>
      <c r="B246">
        <v>117</v>
      </c>
      <c r="C246" t="s">
        <v>92</v>
      </c>
      <c r="D246" t="s">
        <v>76</v>
      </c>
      <c r="E246" t="s">
        <v>607</v>
      </c>
      <c r="F246" s="1">
        <v>44844.138854166667</v>
      </c>
      <c r="G246">
        <v>355</v>
      </c>
      <c r="H246">
        <v>10</v>
      </c>
      <c r="I246">
        <v>21088</v>
      </c>
    </row>
    <row r="247" spans="1:9" x14ac:dyDescent="0.25">
      <c r="A247">
        <v>3246</v>
      </c>
      <c r="B247">
        <v>117</v>
      </c>
      <c r="C247" t="s">
        <v>122</v>
      </c>
      <c r="D247" t="s">
        <v>73</v>
      </c>
      <c r="E247" t="s">
        <v>608</v>
      </c>
      <c r="F247" s="1">
        <v>43157.238321759258</v>
      </c>
      <c r="G247">
        <v>346</v>
      </c>
      <c r="H247">
        <v>19</v>
      </c>
      <c r="I247">
        <v>33698</v>
      </c>
    </row>
    <row r="248" spans="1:9" x14ac:dyDescent="0.25">
      <c r="A248">
        <v>3247</v>
      </c>
      <c r="B248">
        <v>117</v>
      </c>
      <c r="C248" t="s">
        <v>82</v>
      </c>
      <c r="D248" t="s">
        <v>73</v>
      </c>
      <c r="E248" t="s">
        <v>609</v>
      </c>
      <c r="F248" s="1">
        <v>44688.28837962963</v>
      </c>
      <c r="G248">
        <v>358</v>
      </c>
      <c r="H248">
        <v>7</v>
      </c>
      <c r="I248">
        <v>22524</v>
      </c>
    </row>
    <row r="249" spans="1:9" x14ac:dyDescent="0.25">
      <c r="A249">
        <v>3248</v>
      </c>
      <c r="B249">
        <v>117</v>
      </c>
      <c r="C249" t="s">
        <v>92</v>
      </c>
      <c r="D249" t="s">
        <v>76</v>
      </c>
      <c r="E249" t="s">
        <v>610</v>
      </c>
      <c r="F249" s="1">
        <v>44210.64203703704</v>
      </c>
      <c r="G249">
        <v>343</v>
      </c>
      <c r="H249">
        <v>22</v>
      </c>
      <c r="I249">
        <v>25272</v>
      </c>
    </row>
    <row r="250" spans="1:9" x14ac:dyDescent="0.25">
      <c r="A250">
        <v>3249</v>
      </c>
      <c r="B250">
        <v>117</v>
      </c>
      <c r="C250" t="s">
        <v>125</v>
      </c>
      <c r="D250" t="s">
        <v>76</v>
      </c>
      <c r="E250" t="s">
        <v>611</v>
      </c>
      <c r="F250" s="1">
        <v>43054.719236111108</v>
      </c>
      <c r="G250">
        <v>357</v>
      </c>
      <c r="H250">
        <v>8</v>
      </c>
      <c r="I250">
        <v>35597</v>
      </c>
    </row>
    <row r="251" spans="1:9" x14ac:dyDescent="0.25">
      <c r="A251">
        <v>3250</v>
      </c>
      <c r="B251">
        <v>117</v>
      </c>
      <c r="C251" t="s">
        <v>84</v>
      </c>
      <c r="D251" t="s">
        <v>73</v>
      </c>
      <c r="E251" t="s">
        <v>612</v>
      </c>
      <c r="F251" s="1">
        <v>43873.988634259258</v>
      </c>
      <c r="G251">
        <v>358</v>
      </c>
      <c r="H251">
        <v>7</v>
      </c>
      <c r="I251">
        <v>29094</v>
      </c>
    </row>
    <row r="252" spans="1:9" x14ac:dyDescent="0.25">
      <c r="A252">
        <v>3251</v>
      </c>
      <c r="B252">
        <v>117</v>
      </c>
      <c r="C252" t="s">
        <v>86</v>
      </c>
      <c r="D252" t="s">
        <v>76</v>
      </c>
      <c r="E252" t="s">
        <v>613</v>
      </c>
      <c r="F252" s="1">
        <v>45083.954467592594</v>
      </c>
      <c r="G252">
        <v>360</v>
      </c>
      <c r="H252">
        <v>5</v>
      </c>
      <c r="I252">
        <v>19448</v>
      </c>
    </row>
    <row r="253" spans="1:9" x14ac:dyDescent="0.25">
      <c r="A253">
        <v>3252</v>
      </c>
      <c r="B253">
        <v>117</v>
      </c>
      <c r="C253" t="s">
        <v>125</v>
      </c>
      <c r="D253" t="s">
        <v>76</v>
      </c>
      <c r="E253" t="s">
        <v>614</v>
      </c>
      <c r="F253" s="1">
        <v>44366.603425925918</v>
      </c>
      <c r="G253">
        <v>353</v>
      </c>
      <c r="H253">
        <v>12</v>
      </c>
      <c r="I253">
        <v>24769</v>
      </c>
    </row>
    <row r="254" spans="1:9" x14ac:dyDescent="0.25">
      <c r="A254">
        <v>3253</v>
      </c>
      <c r="B254">
        <v>117</v>
      </c>
      <c r="C254" t="s">
        <v>80</v>
      </c>
      <c r="D254" t="s">
        <v>73</v>
      </c>
      <c r="E254" t="s">
        <v>615</v>
      </c>
      <c r="F254" s="1">
        <v>45239.253865740742</v>
      </c>
      <c r="G254">
        <v>350</v>
      </c>
      <c r="H254">
        <v>15</v>
      </c>
      <c r="I254">
        <v>17678</v>
      </c>
    </row>
    <row r="255" spans="1:9" x14ac:dyDescent="0.25">
      <c r="A255">
        <v>3254</v>
      </c>
      <c r="B255">
        <v>117</v>
      </c>
      <c r="C255" t="s">
        <v>125</v>
      </c>
      <c r="D255" t="s">
        <v>76</v>
      </c>
      <c r="E255" t="s">
        <v>616</v>
      </c>
      <c r="F255" s="1">
        <v>42885.024074074077</v>
      </c>
      <c r="G255">
        <v>342</v>
      </c>
      <c r="H255">
        <v>23</v>
      </c>
      <c r="I255">
        <v>35403</v>
      </c>
    </row>
    <row r="256" spans="1:9" x14ac:dyDescent="0.25">
      <c r="A256">
        <v>3255</v>
      </c>
      <c r="B256">
        <v>117</v>
      </c>
      <c r="C256" t="s">
        <v>127</v>
      </c>
      <c r="D256" t="s">
        <v>76</v>
      </c>
      <c r="E256" t="s">
        <v>617</v>
      </c>
      <c r="F256" s="1">
        <v>42947.265081018522</v>
      </c>
      <c r="G256">
        <v>352</v>
      </c>
      <c r="H256">
        <v>13</v>
      </c>
      <c r="I256">
        <v>35946</v>
      </c>
    </row>
    <row r="257" spans="1:9" x14ac:dyDescent="0.25">
      <c r="A257">
        <v>3256</v>
      </c>
      <c r="B257">
        <v>117</v>
      </c>
      <c r="C257" t="s">
        <v>80</v>
      </c>
      <c r="D257" t="s">
        <v>73</v>
      </c>
      <c r="E257" t="s">
        <v>618</v>
      </c>
      <c r="F257" s="1">
        <v>44382.795162037037</v>
      </c>
      <c r="G257">
        <v>344</v>
      </c>
      <c r="H257">
        <v>21</v>
      </c>
      <c r="I257">
        <v>24014</v>
      </c>
    </row>
    <row r="258" spans="1:9" x14ac:dyDescent="0.25">
      <c r="A258">
        <v>3257</v>
      </c>
      <c r="B258">
        <v>117</v>
      </c>
      <c r="C258" t="s">
        <v>122</v>
      </c>
      <c r="D258" t="s">
        <v>73</v>
      </c>
      <c r="E258" t="s">
        <v>619</v>
      </c>
      <c r="F258" s="1">
        <v>44399.846921296303</v>
      </c>
      <c r="G258">
        <v>342</v>
      </c>
      <c r="H258">
        <v>23</v>
      </c>
      <c r="I258">
        <v>23743</v>
      </c>
    </row>
    <row r="259" spans="1:9" x14ac:dyDescent="0.25">
      <c r="A259">
        <v>3258</v>
      </c>
      <c r="B259">
        <v>117</v>
      </c>
      <c r="C259" t="s">
        <v>94</v>
      </c>
      <c r="D259" t="s">
        <v>73</v>
      </c>
      <c r="E259" t="s">
        <v>620</v>
      </c>
      <c r="F259" s="1">
        <v>43351.077708333331</v>
      </c>
      <c r="G259">
        <v>353</v>
      </c>
      <c r="H259">
        <v>12</v>
      </c>
      <c r="I259">
        <v>32837</v>
      </c>
    </row>
    <row r="260" spans="1:9" x14ac:dyDescent="0.25">
      <c r="A260">
        <v>3259</v>
      </c>
      <c r="B260">
        <v>117</v>
      </c>
      <c r="C260" t="s">
        <v>92</v>
      </c>
      <c r="D260" t="s">
        <v>76</v>
      </c>
      <c r="E260" t="s">
        <v>621</v>
      </c>
      <c r="F260" s="1">
        <v>43474.695613425924</v>
      </c>
      <c r="G260">
        <v>360</v>
      </c>
      <c r="H260">
        <v>5</v>
      </c>
      <c r="I260">
        <v>32491</v>
      </c>
    </row>
    <row r="261" spans="1:9" x14ac:dyDescent="0.25">
      <c r="A261">
        <v>3260</v>
      </c>
      <c r="B261">
        <v>117</v>
      </c>
      <c r="C261" t="s">
        <v>125</v>
      </c>
      <c r="D261" t="s">
        <v>76</v>
      </c>
      <c r="E261" t="s">
        <v>622</v>
      </c>
      <c r="F261" s="1">
        <v>45559.340648148151</v>
      </c>
      <c r="G261">
        <v>349</v>
      </c>
      <c r="H261">
        <v>16</v>
      </c>
      <c r="I261">
        <v>15113</v>
      </c>
    </row>
    <row r="262" spans="1:9" x14ac:dyDescent="0.25">
      <c r="A262">
        <v>3261</v>
      </c>
      <c r="B262">
        <v>117</v>
      </c>
      <c r="C262" t="s">
        <v>80</v>
      </c>
      <c r="D262" t="s">
        <v>73</v>
      </c>
      <c r="E262" t="s">
        <v>623</v>
      </c>
      <c r="F262" s="1">
        <v>44744.258298611108</v>
      </c>
      <c r="G262">
        <v>348</v>
      </c>
      <c r="H262">
        <v>17</v>
      </c>
      <c r="I262">
        <v>21456</v>
      </c>
    </row>
    <row r="263" spans="1:9" x14ac:dyDescent="0.25">
      <c r="A263">
        <v>3262</v>
      </c>
      <c r="B263">
        <v>117</v>
      </c>
      <c r="C263" t="s">
        <v>120</v>
      </c>
      <c r="D263" t="s">
        <v>73</v>
      </c>
      <c r="E263" t="s">
        <v>624</v>
      </c>
      <c r="F263" s="1">
        <v>44435.626875000002</v>
      </c>
      <c r="G263">
        <v>344</v>
      </c>
      <c r="H263">
        <v>21</v>
      </c>
      <c r="I263">
        <v>23603</v>
      </c>
    </row>
    <row r="264" spans="1:9" x14ac:dyDescent="0.25">
      <c r="A264">
        <v>3263</v>
      </c>
      <c r="B264">
        <v>117</v>
      </c>
      <c r="C264" t="s">
        <v>72</v>
      </c>
      <c r="D264" t="s">
        <v>73</v>
      </c>
      <c r="E264" t="s">
        <v>625</v>
      </c>
      <c r="F264" s="1">
        <v>43259.394652777781</v>
      </c>
      <c r="G264">
        <v>354</v>
      </c>
      <c r="H264">
        <v>11</v>
      </c>
      <c r="I264">
        <v>33664</v>
      </c>
    </row>
    <row r="265" spans="1:9" x14ac:dyDescent="0.25">
      <c r="A265">
        <v>3264</v>
      </c>
      <c r="B265">
        <v>117</v>
      </c>
      <c r="C265" t="s">
        <v>80</v>
      </c>
      <c r="D265" t="s">
        <v>73</v>
      </c>
      <c r="E265" t="s">
        <v>626</v>
      </c>
      <c r="F265" s="1">
        <v>43489.819074074083</v>
      </c>
      <c r="G265">
        <v>356</v>
      </c>
      <c r="H265">
        <v>9</v>
      </c>
      <c r="I265">
        <v>32010</v>
      </c>
    </row>
    <row r="266" spans="1:9" x14ac:dyDescent="0.25">
      <c r="A266">
        <v>3265</v>
      </c>
      <c r="B266">
        <v>117</v>
      </c>
      <c r="C266" t="s">
        <v>99</v>
      </c>
      <c r="D266" t="s">
        <v>76</v>
      </c>
      <c r="E266" t="s">
        <v>627</v>
      </c>
      <c r="F266" s="1">
        <v>44811.751620370371</v>
      </c>
      <c r="G266">
        <v>360</v>
      </c>
      <c r="H266">
        <v>5</v>
      </c>
      <c r="I266">
        <v>21653</v>
      </c>
    </row>
    <row r="267" spans="1:9" x14ac:dyDescent="0.25">
      <c r="A267">
        <v>3266</v>
      </c>
      <c r="B267">
        <v>117</v>
      </c>
      <c r="C267" t="s">
        <v>99</v>
      </c>
      <c r="D267" t="s">
        <v>76</v>
      </c>
      <c r="E267" t="s">
        <v>628</v>
      </c>
      <c r="F267" s="1">
        <v>44891.0859375</v>
      </c>
      <c r="G267">
        <v>351</v>
      </c>
      <c r="H267">
        <v>14</v>
      </c>
      <c r="I267">
        <v>20479</v>
      </c>
    </row>
    <row r="268" spans="1:9" x14ac:dyDescent="0.25">
      <c r="A268">
        <v>3267</v>
      </c>
      <c r="B268">
        <v>117</v>
      </c>
      <c r="C268" t="s">
        <v>86</v>
      </c>
      <c r="D268" t="s">
        <v>76</v>
      </c>
      <c r="E268" t="s">
        <v>629</v>
      </c>
      <c r="F268" s="1">
        <v>44623.583460648151</v>
      </c>
      <c r="G268">
        <v>359</v>
      </c>
      <c r="H268">
        <v>6</v>
      </c>
      <c r="I268">
        <v>23112</v>
      </c>
    </row>
    <row r="269" spans="1:9" x14ac:dyDescent="0.25">
      <c r="A269">
        <v>3268</v>
      </c>
      <c r="B269">
        <v>117</v>
      </c>
      <c r="C269" t="s">
        <v>75</v>
      </c>
      <c r="D269" t="s">
        <v>76</v>
      </c>
      <c r="E269" t="s">
        <v>630</v>
      </c>
      <c r="F269" s="1">
        <v>42852.085335648153</v>
      </c>
      <c r="G269">
        <v>355</v>
      </c>
      <c r="H269">
        <v>10</v>
      </c>
      <c r="I269">
        <v>37012</v>
      </c>
    </row>
    <row r="270" spans="1:9" x14ac:dyDescent="0.25">
      <c r="A270">
        <v>3269</v>
      </c>
      <c r="B270">
        <v>117</v>
      </c>
      <c r="C270" t="s">
        <v>84</v>
      </c>
      <c r="D270" t="s">
        <v>73</v>
      </c>
      <c r="E270" t="s">
        <v>631</v>
      </c>
      <c r="F270" s="1">
        <v>42968.480208333327</v>
      </c>
      <c r="G270">
        <v>352</v>
      </c>
      <c r="H270">
        <v>13</v>
      </c>
      <c r="I270">
        <v>35780</v>
      </c>
    </row>
    <row r="271" spans="1:9" x14ac:dyDescent="0.25">
      <c r="A271">
        <v>3270</v>
      </c>
      <c r="B271">
        <v>117</v>
      </c>
      <c r="C271" t="s">
        <v>122</v>
      </c>
      <c r="D271" t="s">
        <v>73</v>
      </c>
      <c r="E271" t="s">
        <v>632</v>
      </c>
      <c r="F271" s="1">
        <v>43814.505497685182</v>
      </c>
      <c r="G271">
        <v>347</v>
      </c>
      <c r="H271">
        <v>18</v>
      </c>
      <c r="I271">
        <v>28661</v>
      </c>
    </row>
    <row r="272" spans="1:9" x14ac:dyDescent="0.25">
      <c r="A272">
        <v>3271</v>
      </c>
      <c r="B272">
        <v>117</v>
      </c>
      <c r="C272" t="s">
        <v>125</v>
      </c>
      <c r="D272" t="s">
        <v>76</v>
      </c>
      <c r="E272" t="s">
        <v>633</v>
      </c>
      <c r="F272" s="1">
        <v>43797.305613425917</v>
      </c>
      <c r="G272">
        <v>353</v>
      </c>
      <c r="H272">
        <v>12</v>
      </c>
      <c r="I272">
        <v>29292</v>
      </c>
    </row>
    <row r="273" spans="1:9" x14ac:dyDescent="0.25">
      <c r="A273">
        <v>3272</v>
      </c>
      <c r="B273">
        <v>117</v>
      </c>
      <c r="C273" t="s">
        <v>82</v>
      </c>
      <c r="D273" t="s">
        <v>73</v>
      </c>
      <c r="E273" t="s">
        <v>634</v>
      </c>
      <c r="F273" s="1">
        <v>42782.511932870373</v>
      </c>
      <c r="G273">
        <v>353</v>
      </c>
      <c r="H273">
        <v>12</v>
      </c>
      <c r="I273">
        <v>37360</v>
      </c>
    </row>
    <row r="274" spans="1:9" x14ac:dyDescent="0.25">
      <c r="A274">
        <v>3273</v>
      </c>
      <c r="B274">
        <v>117</v>
      </c>
      <c r="C274" t="s">
        <v>127</v>
      </c>
      <c r="D274" t="s">
        <v>76</v>
      </c>
      <c r="E274" t="s">
        <v>635</v>
      </c>
      <c r="F274" s="1">
        <v>43905.854351851849</v>
      </c>
      <c r="G274">
        <v>355</v>
      </c>
      <c r="H274">
        <v>10</v>
      </c>
      <c r="I274">
        <v>28595</v>
      </c>
    </row>
    <row r="275" spans="1:9" x14ac:dyDescent="0.25">
      <c r="A275">
        <v>3274</v>
      </c>
      <c r="B275">
        <v>117</v>
      </c>
      <c r="C275" t="s">
        <v>86</v>
      </c>
      <c r="D275" t="s">
        <v>76</v>
      </c>
      <c r="E275" t="s">
        <v>636</v>
      </c>
      <c r="F275" s="1">
        <v>45393.050543981481</v>
      </c>
      <c r="G275">
        <v>353</v>
      </c>
      <c r="H275">
        <v>12</v>
      </c>
      <c r="I275">
        <v>16605</v>
      </c>
    </row>
    <row r="276" spans="1:9" x14ac:dyDescent="0.25">
      <c r="A276">
        <v>3275</v>
      </c>
      <c r="B276">
        <v>117</v>
      </c>
      <c r="C276" t="s">
        <v>120</v>
      </c>
      <c r="D276" t="s">
        <v>73</v>
      </c>
      <c r="E276" t="s">
        <v>637</v>
      </c>
      <c r="F276" s="1">
        <v>45554.181377314817</v>
      </c>
      <c r="G276">
        <v>342</v>
      </c>
      <c r="H276">
        <v>23</v>
      </c>
      <c r="I276">
        <v>14848</v>
      </c>
    </row>
    <row r="277" spans="1:9" x14ac:dyDescent="0.25">
      <c r="A277">
        <v>3276</v>
      </c>
      <c r="B277">
        <v>117</v>
      </c>
      <c r="C277" t="s">
        <v>122</v>
      </c>
      <c r="D277" t="s">
        <v>73</v>
      </c>
      <c r="E277" t="s">
        <v>638</v>
      </c>
      <c r="F277" s="1">
        <v>43053.651921296303</v>
      </c>
      <c r="G277">
        <v>360</v>
      </c>
      <c r="H277">
        <v>5</v>
      </c>
      <c r="I277">
        <v>35904</v>
      </c>
    </row>
    <row r="278" spans="1:9" x14ac:dyDescent="0.25">
      <c r="A278">
        <v>3277</v>
      </c>
      <c r="B278">
        <v>117</v>
      </c>
      <c r="C278" t="s">
        <v>125</v>
      </c>
      <c r="D278" t="s">
        <v>76</v>
      </c>
      <c r="E278" t="s">
        <v>639</v>
      </c>
      <c r="F278" s="1">
        <v>44829.783807870372</v>
      </c>
      <c r="G278">
        <v>358</v>
      </c>
      <c r="H278">
        <v>7</v>
      </c>
      <c r="I278">
        <v>21387</v>
      </c>
    </row>
    <row r="279" spans="1:9" x14ac:dyDescent="0.25">
      <c r="A279">
        <v>3278</v>
      </c>
      <c r="B279">
        <v>117</v>
      </c>
      <c r="C279" t="s">
        <v>82</v>
      </c>
      <c r="D279" t="s">
        <v>73</v>
      </c>
      <c r="E279" t="s">
        <v>640</v>
      </c>
      <c r="F279" s="1">
        <v>44664.649467592593</v>
      </c>
      <c r="G279">
        <v>353</v>
      </c>
      <c r="H279">
        <v>12</v>
      </c>
      <c r="I279">
        <v>22400</v>
      </c>
    </row>
    <row r="280" spans="1:9" x14ac:dyDescent="0.25">
      <c r="A280">
        <v>3279</v>
      </c>
      <c r="B280">
        <v>117</v>
      </c>
      <c r="C280" t="s">
        <v>75</v>
      </c>
      <c r="D280" t="s">
        <v>76</v>
      </c>
      <c r="E280" t="s">
        <v>641</v>
      </c>
      <c r="F280" s="1">
        <v>42840.65185185185</v>
      </c>
      <c r="G280">
        <v>341</v>
      </c>
      <c r="H280">
        <v>24</v>
      </c>
      <c r="I280">
        <v>35645</v>
      </c>
    </row>
    <row r="281" spans="1:9" x14ac:dyDescent="0.25">
      <c r="A281">
        <v>3280</v>
      </c>
      <c r="B281">
        <v>117</v>
      </c>
      <c r="C281" t="s">
        <v>125</v>
      </c>
      <c r="D281" t="s">
        <v>76</v>
      </c>
      <c r="E281" t="s">
        <v>642</v>
      </c>
      <c r="F281" s="1">
        <v>44898.661249999997</v>
      </c>
      <c r="G281">
        <v>355</v>
      </c>
      <c r="H281">
        <v>10</v>
      </c>
      <c r="I281">
        <v>20656</v>
      </c>
    </row>
    <row r="282" spans="1:9" x14ac:dyDescent="0.25">
      <c r="A282">
        <v>3281</v>
      </c>
      <c r="B282">
        <v>117</v>
      </c>
      <c r="C282" t="s">
        <v>84</v>
      </c>
      <c r="D282" t="s">
        <v>73</v>
      </c>
      <c r="E282" t="s">
        <v>643</v>
      </c>
      <c r="F282" s="1">
        <v>44784.169675925928</v>
      </c>
      <c r="G282">
        <v>351</v>
      </c>
      <c r="H282">
        <v>14</v>
      </c>
      <c r="I282">
        <v>21325</v>
      </c>
    </row>
    <row r="283" spans="1:9" x14ac:dyDescent="0.25">
      <c r="A283">
        <v>3282</v>
      </c>
      <c r="B283">
        <v>117</v>
      </c>
      <c r="C283" t="s">
        <v>120</v>
      </c>
      <c r="D283" t="s">
        <v>73</v>
      </c>
      <c r="E283" t="s">
        <v>644</v>
      </c>
      <c r="F283" s="1">
        <v>44158.853495370371</v>
      </c>
      <c r="G283">
        <v>341</v>
      </c>
      <c r="H283">
        <v>24</v>
      </c>
      <c r="I283">
        <v>25524</v>
      </c>
    </row>
    <row r="284" spans="1:9" x14ac:dyDescent="0.25">
      <c r="A284">
        <v>3283</v>
      </c>
      <c r="B284">
        <v>117</v>
      </c>
      <c r="C284" t="s">
        <v>75</v>
      </c>
      <c r="D284" t="s">
        <v>76</v>
      </c>
      <c r="E284" t="s">
        <v>645</v>
      </c>
      <c r="F284" s="1">
        <v>43082.909409722219</v>
      </c>
      <c r="G284">
        <v>355</v>
      </c>
      <c r="H284">
        <v>10</v>
      </c>
      <c r="I284">
        <v>35174</v>
      </c>
    </row>
    <row r="285" spans="1:9" x14ac:dyDescent="0.25">
      <c r="A285">
        <v>3284</v>
      </c>
      <c r="B285">
        <v>117</v>
      </c>
      <c r="C285" t="s">
        <v>84</v>
      </c>
      <c r="D285" t="s">
        <v>73</v>
      </c>
      <c r="E285" t="s">
        <v>646</v>
      </c>
      <c r="F285" s="1">
        <v>43450.573206018518</v>
      </c>
      <c r="G285">
        <v>360</v>
      </c>
      <c r="H285">
        <v>5</v>
      </c>
      <c r="I285">
        <v>32686</v>
      </c>
    </row>
    <row r="286" spans="1:9" x14ac:dyDescent="0.25">
      <c r="A286">
        <v>3285</v>
      </c>
      <c r="B286">
        <v>117</v>
      </c>
      <c r="C286" t="s">
        <v>127</v>
      </c>
      <c r="D286" t="s">
        <v>76</v>
      </c>
      <c r="E286" t="s">
        <v>647</v>
      </c>
      <c r="F286" s="1">
        <v>43060.899305555547</v>
      </c>
      <c r="G286">
        <v>345</v>
      </c>
      <c r="H286">
        <v>20</v>
      </c>
      <c r="I286">
        <v>34354</v>
      </c>
    </row>
    <row r="287" spans="1:9" x14ac:dyDescent="0.25">
      <c r="A287">
        <v>3286</v>
      </c>
      <c r="B287">
        <v>117</v>
      </c>
      <c r="C287" t="s">
        <v>99</v>
      </c>
      <c r="D287" t="s">
        <v>76</v>
      </c>
      <c r="E287" t="s">
        <v>648</v>
      </c>
      <c r="F287" s="1">
        <v>43848.472662037027</v>
      </c>
      <c r="G287">
        <v>359</v>
      </c>
      <c r="H287">
        <v>6</v>
      </c>
      <c r="I287">
        <v>29378</v>
      </c>
    </row>
    <row r="288" spans="1:9" x14ac:dyDescent="0.25">
      <c r="A288">
        <v>3287</v>
      </c>
      <c r="B288">
        <v>117</v>
      </c>
      <c r="C288" t="s">
        <v>78</v>
      </c>
      <c r="D288" t="s">
        <v>73</v>
      </c>
      <c r="E288" t="s">
        <v>649</v>
      </c>
      <c r="F288" s="1">
        <v>44108.338263888887</v>
      </c>
      <c r="G288">
        <v>355</v>
      </c>
      <c r="H288">
        <v>10</v>
      </c>
      <c r="I288">
        <v>26972</v>
      </c>
    </row>
    <row r="289" spans="1:9" x14ac:dyDescent="0.25">
      <c r="A289">
        <v>3288</v>
      </c>
      <c r="B289">
        <v>117</v>
      </c>
      <c r="C289" t="s">
        <v>92</v>
      </c>
      <c r="D289" t="s">
        <v>76</v>
      </c>
      <c r="E289" t="s">
        <v>650</v>
      </c>
      <c r="F289" s="1">
        <v>43964.48232638889</v>
      </c>
      <c r="G289">
        <v>358</v>
      </c>
      <c r="H289">
        <v>7</v>
      </c>
      <c r="I289">
        <v>28361</v>
      </c>
    </row>
    <row r="290" spans="1:9" x14ac:dyDescent="0.25">
      <c r="A290">
        <v>3289</v>
      </c>
      <c r="B290">
        <v>117</v>
      </c>
      <c r="C290" t="s">
        <v>99</v>
      </c>
      <c r="D290" t="s">
        <v>76</v>
      </c>
      <c r="E290" t="s">
        <v>651</v>
      </c>
      <c r="F290" s="1">
        <v>45224.930879629632</v>
      </c>
      <c r="G290">
        <v>351</v>
      </c>
      <c r="H290">
        <v>14</v>
      </c>
      <c r="I290">
        <v>17847</v>
      </c>
    </row>
    <row r="291" spans="1:9" x14ac:dyDescent="0.25">
      <c r="A291">
        <v>3290</v>
      </c>
      <c r="B291">
        <v>118</v>
      </c>
      <c r="C291" t="s">
        <v>120</v>
      </c>
      <c r="D291" t="s">
        <v>73</v>
      </c>
      <c r="E291" t="s">
        <v>652</v>
      </c>
      <c r="F291" s="1">
        <v>43952.241296296299</v>
      </c>
      <c r="G291">
        <v>346</v>
      </c>
      <c r="H291">
        <v>19</v>
      </c>
      <c r="I291">
        <v>27503</v>
      </c>
    </row>
    <row r="292" spans="1:9" x14ac:dyDescent="0.25">
      <c r="A292">
        <v>3291</v>
      </c>
      <c r="B292">
        <v>118</v>
      </c>
      <c r="C292" t="s">
        <v>127</v>
      </c>
      <c r="D292" t="s">
        <v>76</v>
      </c>
      <c r="E292" t="s">
        <v>653</v>
      </c>
      <c r="F292" s="1">
        <v>42866.556979166657</v>
      </c>
      <c r="G292">
        <v>355</v>
      </c>
      <c r="H292">
        <v>10</v>
      </c>
      <c r="I292">
        <v>36900</v>
      </c>
    </row>
    <row r="293" spans="1:9" x14ac:dyDescent="0.25">
      <c r="A293">
        <v>3292</v>
      </c>
      <c r="B293">
        <v>118</v>
      </c>
      <c r="C293" t="s">
        <v>80</v>
      </c>
      <c r="D293" t="s">
        <v>73</v>
      </c>
      <c r="E293" t="s">
        <v>654</v>
      </c>
      <c r="F293" s="1">
        <v>43289.789305555547</v>
      </c>
      <c r="G293">
        <v>341</v>
      </c>
      <c r="H293">
        <v>24</v>
      </c>
      <c r="I293">
        <v>32197</v>
      </c>
    </row>
    <row r="294" spans="1:9" x14ac:dyDescent="0.25">
      <c r="A294">
        <v>3293</v>
      </c>
      <c r="B294">
        <v>118</v>
      </c>
      <c r="C294" t="s">
        <v>82</v>
      </c>
      <c r="D294" t="s">
        <v>73</v>
      </c>
      <c r="E294" t="s">
        <v>655</v>
      </c>
      <c r="F294" s="1">
        <v>44070.60696759259</v>
      </c>
      <c r="G294">
        <v>341</v>
      </c>
      <c r="H294">
        <v>24</v>
      </c>
      <c r="I294">
        <v>26200</v>
      </c>
    </row>
    <row r="295" spans="1:9" x14ac:dyDescent="0.25">
      <c r="A295">
        <v>3294</v>
      </c>
      <c r="B295">
        <v>118</v>
      </c>
      <c r="C295" t="s">
        <v>72</v>
      </c>
      <c r="D295" t="s">
        <v>73</v>
      </c>
      <c r="E295" t="s">
        <v>656</v>
      </c>
      <c r="F295" s="1">
        <v>45284.65525462963</v>
      </c>
      <c r="G295">
        <v>345</v>
      </c>
      <c r="H295">
        <v>20</v>
      </c>
      <c r="I295">
        <v>17076</v>
      </c>
    </row>
    <row r="296" spans="1:9" x14ac:dyDescent="0.25">
      <c r="A296">
        <v>3295</v>
      </c>
      <c r="B296">
        <v>118</v>
      </c>
      <c r="C296" t="s">
        <v>92</v>
      </c>
      <c r="D296" t="s">
        <v>76</v>
      </c>
      <c r="E296" t="s">
        <v>657</v>
      </c>
      <c r="F296" s="1">
        <v>43262.961712962962</v>
      </c>
      <c r="G296">
        <v>357</v>
      </c>
      <c r="H296">
        <v>8</v>
      </c>
      <c r="I296">
        <v>33925</v>
      </c>
    </row>
    <row r="297" spans="1:9" x14ac:dyDescent="0.25">
      <c r="A297">
        <v>3296</v>
      </c>
      <c r="B297">
        <v>118</v>
      </c>
      <c r="C297" t="s">
        <v>104</v>
      </c>
      <c r="D297" t="s">
        <v>76</v>
      </c>
      <c r="E297" t="s">
        <v>658</v>
      </c>
      <c r="F297" s="1">
        <v>42829.177881944437</v>
      </c>
      <c r="G297">
        <v>355</v>
      </c>
      <c r="H297">
        <v>10</v>
      </c>
      <c r="I297">
        <v>37196</v>
      </c>
    </row>
    <row r="298" spans="1:9" x14ac:dyDescent="0.25">
      <c r="A298">
        <v>3297</v>
      </c>
      <c r="B298">
        <v>118</v>
      </c>
      <c r="C298" t="s">
        <v>86</v>
      </c>
      <c r="D298" t="s">
        <v>76</v>
      </c>
      <c r="E298" t="s">
        <v>659</v>
      </c>
      <c r="F298" s="1">
        <v>45639.189814814818</v>
      </c>
      <c r="G298">
        <v>357</v>
      </c>
      <c r="H298">
        <v>8</v>
      </c>
      <c r="I298">
        <v>14816</v>
      </c>
    </row>
    <row r="299" spans="1:9" x14ac:dyDescent="0.25">
      <c r="A299">
        <v>3298</v>
      </c>
      <c r="B299">
        <v>118</v>
      </c>
      <c r="C299" t="s">
        <v>125</v>
      </c>
      <c r="D299" t="s">
        <v>76</v>
      </c>
      <c r="E299" t="s">
        <v>660</v>
      </c>
      <c r="F299" s="1">
        <v>45017.888275462959</v>
      </c>
      <c r="G299">
        <v>357</v>
      </c>
      <c r="H299">
        <v>8</v>
      </c>
      <c r="I299">
        <v>19816</v>
      </c>
    </row>
    <row r="300" spans="1:9" x14ac:dyDescent="0.25">
      <c r="A300">
        <v>3299</v>
      </c>
      <c r="B300">
        <v>118</v>
      </c>
      <c r="C300" t="s">
        <v>94</v>
      </c>
      <c r="D300" t="s">
        <v>73</v>
      </c>
      <c r="E300" t="s">
        <v>661</v>
      </c>
      <c r="F300" s="1">
        <v>45069.053784722222</v>
      </c>
      <c r="G300">
        <v>358</v>
      </c>
      <c r="H300">
        <v>7</v>
      </c>
      <c r="I300">
        <v>19453</v>
      </c>
    </row>
    <row r="301" spans="1:9" x14ac:dyDescent="0.25">
      <c r="A301">
        <v>3300</v>
      </c>
      <c r="B301">
        <v>119</v>
      </c>
      <c r="C301" t="s">
        <v>120</v>
      </c>
      <c r="D301" t="s">
        <v>73</v>
      </c>
      <c r="E301" t="s">
        <v>662</v>
      </c>
      <c r="F301" s="1">
        <v>44603.002152777779</v>
      </c>
      <c r="G301">
        <v>342</v>
      </c>
      <c r="H301">
        <v>23</v>
      </c>
      <c r="I301">
        <v>22172</v>
      </c>
    </row>
    <row r="302" spans="1:9" x14ac:dyDescent="0.25">
      <c r="A302">
        <v>3301</v>
      </c>
      <c r="B302">
        <v>119</v>
      </c>
      <c r="C302" t="s">
        <v>92</v>
      </c>
      <c r="D302" t="s">
        <v>76</v>
      </c>
      <c r="E302" t="s">
        <v>663</v>
      </c>
      <c r="F302" s="1">
        <v>44261.3515625</v>
      </c>
      <c r="G302">
        <v>356</v>
      </c>
      <c r="H302">
        <v>9</v>
      </c>
      <c r="I302">
        <v>25821</v>
      </c>
    </row>
    <row r="303" spans="1:9" x14ac:dyDescent="0.25">
      <c r="A303">
        <v>3302</v>
      </c>
      <c r="B303">
        <v>119</v>
      </c>
      <c r="C303" t="s">
        <v>122</v>
      </c>
      <c r="D303" t="s">
        <v>73</v>
      </c>
      <c r="E303" t="s">
        <v>664</v>
      </c>
      <c r="F303" s="1">
        <v>43511.728877314818</v>
      </c>
      <c r="G303">
        <v>349</v>
      </c>
      <c r="H303">
        <v>16</v>
      </c>
      <c r="I303">
        <v>31208</v>
      </c>
    </row>
    <row r="304" spans="1:9" x14ac:dyDescent="0.25">
      <c r="A304">
        <v>3303</v>
      </c>
      <c r="B304">
        <v>119</v>
      </c>
      <c r="C304" t="s">
        <v>99</v>
      </c>
      <c r="D304" t="s">
        <v>76</v>
      </c>
      <c r="E304" t="s">
        <v>665</v>
      </c>
      <c r="F304" s="1">
        <v>45094.707789351851</v>
      </c>
      <c r="G304">
        <v>360</v>
      </c>
      <c r="H304">
        <v>5</v>
      </c>
      <c r="I304">
        <v>19359</v>
      </c>
    </row>
    <row r="305" spans="1:9" x14ac:dyDescent="0.25">
      <c r="A305">
        <v>3304</v>
      </c>
      <c r="B305">
        <v>119</v>
      </c>
      <c r="C305" t="s">
        <v>80</v>
      </c>
      <c r="D305" t="s">
        <v>73</v>
      </c>
      <c r="E305" t="s">
        <v>666</v>
      </c>
      <c r="F305" s="1">
        <v>45587.583831018521</v>
      </c>
      <c r="G305">
        <v>348</v>
      </c>
      <c r="H305">
        <v>17</v>
      </c>
      <c r="I305">
        <v>14850</v>
      </c>
    </row>
    <row r="306" spans="1:9" x14ac:dyDescent="0.25">
      <c r="A306">
        <v>3305</v>
      </c>
      <c r="B306">
        <v>119</v>
      </c>
      <c r="C306" t="s">
        <v>89</v>
      </c>
      <c r="D306" t="s">
        <v>76</v>
      </c>
      <c r="E306" t="s">
        <v>667</v>
      </c>
      <c r="F306" s="1">
        <v>43459.546087962961</v>
      </c>
      <c r="G306">
        <v>350</v>
      </c>
      <c r="H306">
        <v>15</v>
      </c>
      <c r="I306">
        <v>31707</v>
      </c>
    </row>
    <row r="307" spans="1:9" x14ac:dyDescent="0.25">
      <c r="A307">
        <v>3306</v>
      </c>
      <c r="B307">
        <v>119</v>
      </c>
      <c r="C307" t="s">
        <v>75</v>
      </c>
      <c r="D307" t="s">
        <v>76</v>
      </c>
      <c r="E307" t="s">
        <v>668</v>
      </c>
      <c r="F307" s="1">
        <v>45584.170115740737</v>
      </c>
      <c r="G307">
        <v>345</v>
      </c>
      <c r="H307">
        <v>20</v>
      </c>
      <c r="I307">
        <v>14745</v>
      </c>
    </row>
    <row r="308" spans="1:9" x14ac:dyDescent="0.25">
      <c r="A308">
        <v>3307</v>
      </c>
      <c r="B308">
        <v>119</v>
      </c>
      <c r="C308" t="s">
        <v>104</v>
      </c>
      <c r="D308" t="s">
        <v>76</v>
      </c>
      <c r="E308" t="s">
        <v>669</v>
      </c>
      <c r="F308" s="1">
        <v>43238.749872685177</v>
      </c>
      <c r="G308">
        <v>350</v>
      </c>
      <c r="H308">
        <v>15</v>
      </c>
      <c r="I308">
        <v>33449</v>
      </c>
    </row>
    <row r="309" spans="1:9" x14ac:dyDescent="0.25">
      <c r="A309">
        <v>3308</v>
      </c>
      <c r="B309">
        <v>119</v>
      </c>
      <c r="C309" t="s">
        <v>120</v>
      </c>
      <c r="D309" t="s">
        <v>73</v>
      </c>
      <c r="E309" t="s">
        <v>670</v>
      </c>
      <c r="F309" s="1">
        <v>44877.587465277778</v>
      </c>
      <c r="G309">
        <v>354</v>
      </c>
      <c r="H309">
        <v>11</v>
      </c>
      <c r="I309">
        <v>20766</v>
      </c>
    </row>
    <row r="310" spans="1:9" x14ac:dyDescent="0.25">
      <c r="A310">
        <v>3309</v>
      </c>
      <c r="B310">
        <v>119</v>
      </c>
      <c r="C310" t="s">
        <v>75</v>
      </c>
      <c r="D310" t="s">
        <v>76</v>
      </c>
      <c r="E310" t="s">
        <v>671</v>
      </c>
      <c r="F310" s="1">
        <v>44877.160555555558</v>
      </c>
      <c r="G310">
        <v>346</v>
      </c>
      <c r="H310">
        <v>19</v>
      </c>
      <c r="I310">
        <v>20296</v>
      </c>
    </row>
    <row r="311" spans="1:9" x14ac:dyDescent="0.25">
      <c r="A311">
        <v>3310</v>
      </c>
      <c r="B311">
        <v>119</v>
      </c>
      <c r="C311" t="s">
        <v>80</v>
      </c>
      <c r="D311" t="s">
        <v>73</v>
      </c>
      <c r="E311" t="s">
        <v>672</v>
      </c>
      <c r="F311" s="1">
        <v>43900.815509259257</v>
      </c>
      <c r="G311">
        <v>342</v>
      </c>
      <c r="H311">
        <v>23</v>
      </c>
      <c r="I311">
        <v>27586</v>
      </c>
    </row>
    <row r="312" spans="1:9" x14ac:dyDescent="0.25">
      <c r="A312">
        <v>3311</v>
      </c>
      <c r="B312">
        <v>119</v>
      </c>
      <c r="C312" t="s">
        <v>89</v>
      </c>
      <c r="D312" t="s">
        <v>76</v>
      </c>
      <c r="E312" t="s">
        <v>673</v>
      </c>
      <c r="F312" s="1">
        <v>44016.602152777778</v>
      </c>
      <c r="G312">
        <v>353</v>
      </c>
      <c r="H312">
        <v>12</v>
      </c>
      <c r="I312">
        <v>27551</v>
      </c>
    </row>
    <row r="313" spans="1:9" x14ac:dyDescent="0.25">
      <c r="A313">
        <v>3312</v>
      </c>
      <c r="B313">
        <v>119</v>
      </c>
      <c r="C313" t="s">
        <v>89</v>
      </c>
      <c r="D313" t="s">
        <v>76</v>
      </c>
      <c r="E313" t="s">
        <v>674</v>
      </c>
      <c r="F313" s="1">
        <v>44552.999722222223</v>
      </c>
      <c r="G313">
        <v>357</v>
      </c>
      <c r="H313">
        <v>8</v>
      </c>
      <c r="I313">
        <v>23554</v>
      </c>
    </row>
    <row r="314" spans="1:9" x14ac:dyDescent="0.25">
      <c r="A314">
        <v>3313</v>
      </c>
      <c r="B314">
        <v>119</v>
      </c>
      <c r="C314" t="s">
        <v>89</v>
      </c>
      <c r="D314" t="s">
        <v>76</v>
      </c>
      <c r="E314" t="s">
        <v>675</v>
      </c>
      <c r="F314" s="1">
        <v>43834.482997685183</v>
      </c>
      <c r="G314">
        <v>359</v>
      </c>
      <c r="H314">
        <v>6</v>
      </c>
      <c r="I314">
        <v>29491</v>
      </c>
    </row>
    <row r="315" spans="1:9" x14ac:dyDescent="0.25">
      <c r="A315">
        <v>3314</v>
      </c>
      <c r="B315">
        <v>119</v>
      </c>
      <c r="C315" t="s">
        <v>92</v>
      </c>
      <c r="D315" t="s">
        <v>76</v>
      </c>
      <c r="E315" t="s">
        <v>676</v>
      </c>
      <c r="F315" s="1">
        <v>44362.26258101852</v>
      </c>
      <c r="G315">
        <v>346</v>
      </c>
      <c r="H315">
        <v>19</v>
      </c>
      <c r="I315">
        <v>24309</v>
      </c>
    </row>
    <row r="316" spans="1:9" x14ac:dyDescent="0.25">
      <c r="A316">
        <v>3315</v>
      </c>
      <c r="B316">
        <v>120</v>
      </c>
      <c r="C316" t="s">
        <v>104</v>
      </c>
      <c r="D316" t="s">
        <v>76</v>
      </c>
      <c r="E316" t="s">
        <v>677</v>
      </c>
      <c r="F316" s="1">
        <v>43445.513472222221</v>
      </c>
      <c r="G316">
        <v>344</v>
      </c>
      <c r="H316">
        <v>21</v>
      </c>
      <c r="I316">
        <v>31272</v>
      </c>
    </row>
    <row r="317" spans="1:9" x14ac:dyDescent="0.25">
      <c r="A317">
        <v>3316</v>
      </c>
      <c r="B317">
        <v>120</v>
      </c>
      <c r="C317" t="s">
        <v>99</v>
      </c>
      <c r="D317" t="s">
        <v>76</v>
      </c>
      <c r="E317" t="s">
        <v>678</v>
      </c>
      <c r="F317" s="1">
        <v>44526.026192129633</v>
      </c>
      <c r="G317">
        <v>344</v>
      </c>
      <c r="H317">
        <v>21</v>
      </c>
      <c r="I317">
        <v>22898</v>
      </c>
    </row>
    <row r="318" spans="1:9" x14ac:dyDescent="0.25">
      <c r="A318">
        <v>3317</v>
      </c>
      <c r="B318">
        <v>120</v>
      </c>
      <c r="C318" t="s">
        <v>92</v>
      </c>
      <c r="D318" t="s">
        <v>76</v>
      </c>
      <c r="E318" t="s">
        <v>679</v>
      </c>
      <c r="F318" s="1">
        <v>43657.992789351847</v>
      </c>
      <c r="G318">
        <v>351</v>
      </c>
      <c r="H318">
        <v>14</v>
      </c>
      <c r="I318">
        <v>30233</v>
      </c>
    </row>
    <row r="319" spans="1:9" x14ac:dyDescent="0.25">
      <c r="A319">
        <v>3318</v>
      </c>
      <c r="B319">
        <v>120</v>
      </c>
      <c r="C319" t="s">
        <v>80</v>
      </c>
      <c r="D319" t="s">
        <v>73</v>
      </c>
      <c r="E319" t="s">
        <v>680</v>
      </c>
      <c r="F319" s="1">
        <v>44757.367743055547</v>
      </c>
      <c r="G319">
        <v>356</v>
      </c>
      <c r="H319">
        <v>9</v>
      </c>
      <c r="I319">
        <v>21845</v>
      </c>
    </row>
    <row r="320" spans="1:9" x14ac:dyDescent="0.25">
      <c r="A320">
        <v>3319</v>
      </c>
      <c r="B320">
        <v>120</v>
      </c>
      <c r="C320" t="s">
        <v>78</v>
      </c>
      <c r="D320" t="s">
        <v>73</v>
      </c>
      <c r="E320" t="s">
        <v>681</v>
      </c>
      <c r="F320" s="1">
        <v>45043.608206018522</v>
      </c>
      <c r="G320">
        <v>360</v>
      </c>
      <c r="H320">
        <v>5</v>
      </c>
      <c r="I320">
        <v>19772</v>
      </c>
    </row>
    <row r="321" spans="1:9" x14ac:dyDescent="0.25">
      <c r="A321">
        <v>3320</v>
      </c>
      <c r="B321">
        <v>121</v>
      </c>
      <c r="C321" t="s">
        <v>127</v>
      </c>
      <c r="D321" t="s">
        <v>76</v>
      </c>
      <c r="E321" t="s">
        <v>682</v>
      </c>
      <c r="F321" s="1">
        <v>44280.031689814823</v>
      </c>
      <c r="G321">
        <v>351</v>
      </c>
      <c r="H321">
        <v>14</v>
      </c>
      <c r="I321">
        <v>25308</v>
      </c>
    </row>
    <row r="322" spans="1:9" x14ac:dyDescent="0.25">
      <c r="A322">
        <v>3321</v>
      </c>
      <c r="B322">
        <v>121</v>
      </c>
      <c r="C322" t="s">
        <v>84</v>
      </c>
      <c r="D322" t="s">
        <v>73</v>
      </c>
      <c r="E322" t="s">
        <v>683</v>
      </c>
      <c r="F322" s="1">
        <v>44996.782812500001</v>
      </c>
      <c r="G322">
        <v>357</v>
      </c>
      <c r="H322">
        <v>8</v>
      </c>
      <c r="I322">
        <v>19985</v>
      </c>
    </row>
    <row r="323" spans="1:9" x14ac:dyDescent="0.25">
      <c r="A323">
        <v>3322</v>
      </c>
      <c r="B323">
        <v>121</v>
      </c>
      <c r="C323" t="s">
        <v>104</v>
      </c>
      <c r="D323" t="s">
        <v>76</v>
      </c>
      <c r="E323" t="s">
        <v>684</v>
      </c>
      <c r="F323" s="1">
        <v>45382.419490740736</v>
      </c>
      <c r="G323">
        <v>353</v>
      </c>
      <c r="H323">
        <v>12</v>
      </c>
      <c r="I323">
        <v>16693</v>
      </c>
    </row>
    <row r="324" spans="1:9" x14ac:dyDescent="0.25">
      <c r="A324">
        <v>3323</v>
      </c>
      <c r="B324">
        <v>121</v>
      </c>
      <c r="C324" t="s">
        <v>75</v>
      </c>
      <c r="D324" t="s">
        <v>76</v>
      </c>
      <c r="E324" t="s">
        <v>685</v>
      </c>
      <c r="F324" s="1">
        <v>45074.536354166667</v>
      </c>
      <c r="G324">
        <v>348</v>
      </c>
      <c r="H324">
        <v>17</v>
      </c>
      <c r="I324">
        <v>18870</v>
      </c>
    </row>
    <row r="325" spans="1:9" x14ac:dyDescent="0.25">
      <c r="A325">
        <v>3324</v>
      </c>
      <c r="B325">
        <v>121</v>
      </c>
      <c r="C325" t="s">
        <v>122</v>
      </c>
      <c r="D325" t="s">
        <v>73</v>
      </c>
      <c r="E325" t="s">
        <v>686</v>
      </c>
      <c r="F325" s="1">
        <v>43788.127303240741</v>
      </c>
      <c r="G325">
        <v>360</v>
      </c>
      <c r="H325">
        <v>5</v>
      </c>
      <c r="I325">
        <v>29946</v>
      </c>
    </row>
    <row r="326" spans="1:9" x14ac:dyDescent="0.25">
      <c r="A326">
        <v>3325</v>
      </c>
      <c r="B326">
        <v>121</v>
      </c>
      <c r="C326" t="s">
        <v>125</v>
      </c>
      <c r="D326" t="s">
        <v>76</v>
      </c>
      <c r="E326" t="s">
        <v>687</v>
      </c>
      <c r="F326" s="1">
        <v>42759.095625000002</v>
      </c>
      <c r="G326">
        <v>346</v>
      </c>
      <c r="H326">
        <v>19</v>
      </c>
      <c r="I326">
        <v>36798</v>
      </c>
    </row>
    <row r="327" spans="1:9" x14ac:dyDescent="0.25">
      <c r="A327">
        <v>3326</v>
      </c>
      <c r="B327">
        <v>121</v>
      </c>
      <c r="C327" t="s">
        <v>104</v>
      </c>
      <c r="D327" t="s">
        <v>76</v>
      </c>
      <c r="E327" t="s">
        <v>688</v>
      </c>
      <c r="F327" s="1">
        <v>44055.113298611112</v>
      </c>
      <c r="G327">
        <v>343</v>
      </c>
      <c r="H327">
        <v>22</v>
      </c>
      <c r="I327">
        <v>26469</v>
      </c>
    </row>
    <row r="328" spans="1:9" x14ac:dyDescent="0.25">
      <c r="A328">
        <v>3327</v>
      </c>
      <c r="B328">
        <v>121</v>
      </c>
      <c r="C328" t="s">
        <v>72</v>
      </c>
      <c r="D328" t="s">
        <v>73</v>
      </c>
      <c r="E328" t="s">
        <v>689</v>
      </c>
      <c r="F328" s="1">
        <v>45273.318240740737</v>
      </c>
      <c r="G328">
        <v>341</v>
      </c>
      <c r="H328">
        <v>24</v>
      </c>
      <c r="I328">
        <v>16962</v>
      </c>
    </row>
    <row r="329" spans="1:9" x14ac:dyDescent="0.25">
      <c r="A329">
        <v>3328</v>
      </c>
      <c r="B329">
        <v>121</v>
      </c>
      <c r="C329" t="s">
        <v>99</v>
      </c>
      <c r="D329" t="s">
        <v>76</v>
      </c>
      <c r="E329" t="s">
        <v>690</v>
      </c>
      <c r="F329" s="1">
        <v>44555.921666666669</v>
      </c>
      <c r="G329">
        <v>344</v>
      </c>
      <c r="H329">
        <v>21</v>
      </c>
      <c r="I329">
        <v>22673</v>
      </c>
    </row>
    <row r="330" spans="1:9" x14ac:dyDescent="0.25">
      <c r="A330">
        <v>3329</v>
      </c>
      <c r="B330">
        <v>121</v>
      </c>
      <c r="C330" t="s">
        <v>125</v>
      </c>
      <c r="D330" t="s">
        <v>76</v>
      </c>
      <c r="E330" t="s">
        <v>691</v>
      </c>
      <c r="F330" s="1">
        <v>43780.622199074067</v>
      </c>
      <c r="G330">
        <v>353</v>
      </c>
      <c r="H330">
        <v>12</v>
      </c>
      <c r="I330">
        <v>29427</v>
      </c>
    </row>
    <row r="331" spans="1:9" x14ac:dyDescent="0.25">
      <c r="A331">
        <v>3330</v>
      </c>
      <c r="B331">
        <v>121</v>
      </c>
      <c r="C331" t="s">
        <v>120</v>
      </c>
      <c r="D331" t="s">
        <v>73</v>
      </c>
      <c r="E331" t="s">
        <v>692</v>
      </c>
      <c r="F331" s="1">
        <v>43575.617152777777</v>
      </c>
      <c r="G331">
        <v>354</v>
      </c>
      <c r="H331">
        <v>11</v>
      </c>
      <c r="I331">
        <v>31145</v>
      </c>
    </row>
    <row r="332" spans="1:9" x14ac:dyDescent="0.25">
      <c r="A332">
        <v>3331</v>
      </c>
      <c r="B332">
        <v>121</v>
      </c>
      <c r="C332" t="s">
        <v>104</v>
      </c>
      <c r="D332" t="s">
        <v>76</v>
      </c>
      <c r="E332" t="s">
        <v>693</v>
      </c>
      <c r="F332" s="1">
        <v>43388.333379629628</v>
      </c>
      <c r="G332">
        <v>358</v>
      </c>
      <c r="H332">
        <v>7</v>
      </c>
      <c r="I332">
        <v>33004</v>
      </c>
    </row>
    <row r="333" spans="1:9" x14ac:dyDescent="0.25">
      <c r="A333">
        <v>3332</v>
      </c>
      <c r="B333">
        <v>121</v>
      </c>
      <c r="C333" t="s">
        <v>99</v>
      </c>
      <c r="D333" t="s">
        <v>76</v>
      </c>
      <c r="E333" t="s">
        <v>694</v>
      </c>
      <c r="F333" s="1">
        <v>43582.564699074072</v>
      </c>
      <c r="G333">
        <v>353</v>
      </c>
      <c r="H333">
        <v>12</v>
      </c>
      <c r="I333">
        <v>31001</v>
      </c>
    </row>
    <row r="334" spans="1:9" x14ac:dyDescent="0.25">
      <c r="A334">
        <v>3333</v>
      </c>
      <c r="B334">
        <v>121</v>
      </c>
      <c r="C334" t="s">
        <v>92</v>
      </c>
      <c r="D334" t="s">
        <v>76</v>
      </c>
      <c r="E334" t="s">
        <v>695</v>
      </c>
      <c r="F334" s="1">
        <v>45048.566145833327</v>
      </c>
      <c r="G334">
        <v>359</v>
      </c>
      <c r="H334">
        <v>6</v>
      </c>
      <c r="I334">
        <v>19677</v>
      </c>
    </row>
    <row r="335" spans="1:9" x14ac:dyDescent="0.25">
      <c r="A335">
        <v>3334</v>
      </c>
      <c r="B335">
        <v>121</v>
      </c>
      <c r="C335" t="s">
        <v>92</v>
      </c>
      <c r="D335" t="s">
        <v>76</v>
      </c>
      <c r="E335" t="s">
        <v>696</v>
      </c>
      <c r="F335" s="1">
        <v>43299.467650462961</v>
      </c>
      <c r="G335">
        <v>360</v>
      </c>
      <c r="H335">
        <v>5</v>
      </c>
      <c r="I335">
        <v>33910</v>
      </c>
    </row>
    <row r="336" spans="1:9" x14ac:dyDescent="0.25">
      <c r="A336">
        <v>3335</v>
      </c>
      <c r="B336">
        <v>121</v>
      </c>
      <c r="C336" t="s">
        <v>75</v>
      </c>
      <c r="D336" t="s">
        <v>76</v>
      </c>
      <c r="E336" t="s">
        <v>697</v>
      </c>
      <c r="F336" s="1">
        <v>44321.051215277781</v>
      </c>
      <c r="G336">
        <v>356</v>
      </c>
      <c r="H336">
        <v>9</v>
      </c>
      <c r="I336">
        <v>25340</v>
      </c>
    </row>
    <row r="337" spans="1:9" x14ac:dyDescent="0.25">
      <c r="A337">
        <v>3336</v>
      </c>
      <c r="B337">
        <v>121</v>
      </c>
      <c r="C337" t="s">
        <v>122</v>
      </c>
      <c r="D337" t="s">
        <v>73</v>
      </c>
      <c r="E337" t="s">
        <v>698</v>
      </c>
      <c r="F337" s="1">
        <v>43906.480405092603</v>
      </c>
      <c r="G337">
        <v>355</v>
      </c>
      <c r="H337">
        <v>10</v>
      </c>
      <c r="I337">
        <v>28587</v>
      </c>
    </row>
    <row r="338" spans="1:9" x14ac:dyDescent="0.25">
      <c r="A338">
        <v>3337</v>
      </c>
      <c r="B338">
        <v>121</v>
      </c>
      <c r="C338" t="s">
        <v>92</v>
      </c>
      <c r="D338" t="s">
        <v>76</v>
      </c>
      <c r="E338" t="s">
        <v>699</v>
      </c>
      <c r="F338" s="1">
        <v>45212.262129629627</v>
      </c>
      <c r="G338">
        <v>358</v>
      </c>
      <c r="H338">
        <v>7</v>
      </c>
      <c r="I338">
        <v>18300</v>
      </c>
    </row>
    <row r="339" spans="1:9" x14ac:dyDescent="0.25">
      <c r="A339">
        <v>3338</v>
      </c>
      <c r="B339">
        <v>121</v>
      </c>
      <c r="C339" t="s">
        <v>92</v>
      </c>
      <c r="D339" t="s">
        <v>76</v>
      </c>
      <c r="E339" t="s">
        <v>700</v>
      </c>
      <c r="F339" s="1">
        <v>44518.403368055559</v>
      </c>
      <c r="G339">
        <v>342</v>
      </c>
      <c r="H339">
        <v>23</v>
      </c>
      <c r="I339">
        <v>22827</v>
      </c>
    </row>
    <row r="340" spans="1:9" x14ac:dyDescent="0.25">
      <c r="A340">
        <v>3339</v>
      </c>
      <c r="B340">
        <v>121</v>
      </c>
      <c r="C340" t="s">
        <v>75</v>
      </c>
      <c r="D340" t="s">
        <v>76</v>
      </c>
      <c r="E340" t="s">
        <v>701</v>
      </c>
      <c r="F340" s="1">
        <v>43463.503518518519</v>
      </c>
      <c r="G340">
        <v>352</v>
      </c>
      <c r="H340">
        <v>13</v>
      </c>
      <c r="I340">
        <v>31856</v>
      </c>
    </row>
    <row r="341" spans="1:9" x14ac:dyDescent="0.25">
      <c r="A341">
        <v>3340</v>
      </c>
      <c r="B341">
        <v>121</v>
      </c>
      <c r="C341" t="s">
        <v>122</v>
      </c>
      <c r="D341" t="s">
        <v>73</v>
      </c>
      <c r="E341" t="s">
        <v>702</v>
      </c>
      <c r="F341" s="1">
        <v>44538.696770833332</v>
      </c>
      <c r="G341">
        <v>341</v>
      </c>
      <c r="H341">
        <v>24</v>
      </c>
      <c r="I341">
        <v>22606</v>
      </c>
    </row>
    <row r="342" spans="1:9" x14ac:dyDescent="0.25">
      <c r="A342">
        <v>3341</v>
      </c>
      <c r="B342">
        <v>121</v>
      </c>
      <c r="C342" t="s">
        <v>75</v>
      </c>
      <c r="D342" t="s">
        <v>76</v>
      </c>
      <c r="E342" t="s">
        <v>703</v>
      </c>
      <c r="F342" s="1">
        <v>43433.556180555563</v>
      </c>
      <c r="G342">
        <v>347</v>
      </c>
      <c r="H342">
        <v>18</v>
      </c>
      <c r="I342">
        <v>31638</v>
      </c>
    </row>
    <row r="343" spans="1:9" x14ac:dyDescent="0.25">
      <c r="A343">
        <v>3342</v>
      </c>
      <c r="B343">
        <v>121</v>
      </c>
      <c r="C343" t="s">
        <v>80</v>
      </c>
      <c r="D343" t="s">
        <v>73</v>
      </c>
      <c r="E343" t="s">
        <v>704</v>
      </c>
      <c r="F343" s="1">
        <v>45478.743171296293</v>
      </c>
      <c r="G343">
        <v>353</v>
      </c>
      <c r="H343">
        <v>12</v>
      </c>
      <c r="I343">
        <v>15930</v>
      </c>
    </row>
    <row r="344" spans="1:9" x14ac:dyDescent="0.25">
      <c r="A344">
        <v>3343</v>
      </c>
      <c r="B344">
        <v>121</v>
      </c>
      <c r="C344" t="s">
        <v>78</v>
      </c>
      <c r="D344" t="s">
        <v>73</v>
      </c>
      <c r="E344" t="s">
        <v>705</v>
      </c>
      <c r="F344" s="1">
        <v>44400.817997685182</v>
      </c>
      <c r="G344">
        <v>359</v>
      </c>
      <c r="H344">
        <v>6</v>
      </c>
      <c r="I344">
        <v>24915</v>
      </c>
    </row>
    <row r="345" spans="1:9" x14ac:dyDescent="0.25">
      <c r="A345">
        <v>3344</v>
      </c>
      <c r="B345">
        <v>121</v>
      </c>
      <c r="C345" t="s">
        <v>89</v>
      </c>
      <c r="D345" t="s">
        <v>76</v>
      </c>
      <c r="E345" t="s">
        <v>706</v>
      </c>
      <c r="F345" s="1">
        <v>43690.31454861111</v>
      </c>
      <c r="G345">
        <v>344</v>
      </c>
      <c r="H345">
        <v>21</v>
      </c>
      <c r="I345">
        <v>29374</v>
      </c>
    </row>
    <row r="346" spans="1:9" x14ac:dyDescent="0.25">
      <c r="A346">
        <v>3345</v>
      </c>
      <c r="B346">
        <v>121</v>
      </c>
      <c r="C346" t="s">
        <v>72</v>
      </c>
      <c r="D346" t="s">
        <v>73</v>
      </c>
      <c r="E346" t="s">
        <v>707</v>
      </c>
      <c r="F346" s="1">
        <v>43301.368344907409</v>
      </c>
      <c r="G346">
        <v>353</v>
      </c>
      <c r="H346">
        <v>12</v>
      </c>
      <c r="I346">
        <v>33235</v>
      </c>
    </row>
    <row r="347" spans="1:9" x14ac:dyDescent="0.25">
      <c r="A347">
        <v>3346</v>
      </c>
      <c r="B347">
        <v>121</v>
      </c>
      <c r="C347" t="s">
        <v>122</v>
      </c>
      <c r="D347" t="s">
        <v>73</v>
      </c>
      <c r="E347" t="s">
        <v>708</v>
      </c>
      <c r="F347" s="1">
        <v>44818.781446759262</v>
      </c>
      <c r="G347">
        <v>350</v>
      </c>
      <c r="H347">
        <v>15</v>
      </c>
      <c r="I347">
        <v>20996</v>
      </c>
    </row>
    <row r="348" spans="1:9" x14ac:dyDescent="0.25">
      <c r="A348">
        <v>3347</v>
      </c>
      <c r="B348">
        <v>121</v>
      </c>
      <c r="C348" t="s">
        <v>86</v>
      </c>
      <c r="D348" t="s">
        <v>76</v>
      </c>
      <c r="E348" t="s">
        <v>709</v>
      </c>
      <c r="F348" s="1">
        <v>42785.047523148147</v>
      </c>
      <c r="G348">
        <v>359</v>
      </c>
      <c r="H348">
        <v>6</v>
      </c>
      <c r="I348">
        <v>37971</v>
      </c>
    </row>
    <row r="349" spans="1:9" x14ac:dyDescent="0.25">
      <c r="A349">
        <v>3348</v>
      </c>
      <c r="B349">
        <v>121</v>
      </c>
      <c r="C349" t="s">
        <v>94</v>
      </c>
      <c r="D349" t="s">
        <v>73</v>
      </c>
      <c r="E349" t="s">
        <v>710</v>
      </c>
      <c r="F349" s="1">
        <v>45431.763379629629</v>
      </c>
      <c r="G349">
        <v>346</v>
      </c>
      <c r="H349">
        <v>19</v>
      </c>
      <c r="I349">
        <v>15980</v>
      </c>
    </row>
    <row r="350" spans="1:9" x14ac:dyDescent="0.25">
      <c r="A350">
        <v>3349</v>
      </c>
      <c r="B350">
        <v>121</v>
      </c>
      <c r="C350" t="s">
        <v>80</v>
      </c>
      <c r="D350" t="s">
        <v>73</v>
      </c>
      <c r="E350" t="s">
        <v>711</v>
      </c>
      <c r="F350" s="1">
        <v>44037.371793981481</v>
      </c>
      <c r="G350">
        <v>349</v>
      </c>
      <c r="H350">
        <v>16</v>
      </c>
      <c r="I350">
        <v>27074</v>
      </c>
    </row>
    <row r="351" spans="1:9" x14ac:dyDescent="0.25">
      <c r="A351">
        <v>3350</v>
      </c>
      <c r="B351">
        <v>121</v>
      </c>
      <c r="C351" t="s">
        <v>99</v>
      </c>
      <c r="D351" t="s">
        <v>76</v>
      </c>
      <c r="E351" t="s">
        <v>712</v>
      </c>
      <c r="F351" s="1">
        <v>42777.708495370367</v>
      </c>
      <c r="G351">
        <v>348</v>
      </c>
      <c r="H351">
        <v>17</v>
      </c>
      <c r="I351">
        <v>36870</v>
      </c>
    </row>
    <row r="352" spans="1:9" x14ac:dyDescent="0.25">
      <c r="A352">
        <v>3351</v>
      </c>
      <c r="B352">
        <v>121</v>
      </c>
      <c r="C352" t="s">
        <v>72</v>
      </c>
      <c r="D352" t="s">
        <v>73</v>
      </c>
      <c r="E352" t="s">
        <v>713</v>
      </c>
      <c r="F352" s="1">
        <v>44334.634791666656</v>
      </c>
      <c r="G352">
        <v>343</v>
      </c>
      <c r="H352">
        <v>22</v>
      </c>
      <c r="I352">
        <v>24314</v>
      </c>
    </row>
    <row r="353" spans="1:9" x14ac:dyDescent="0.25">
      <c r="A353">
        <v>3352</v>
      </c>
      <c r="B353">
        <v>121</v>
      </c>
      <c r="C353" t="s">
        <v>80</v>
      </c>
      <c r="D353" t="s">
        <v>73</v>
      </c>
      <c r="E353" t="s">
        <v>714</v>
      </c>
      <c r="F353" s="1">
        <v>43147.230613425927</v>
      </c>
      <c r="G353">
        <v>344</v>
      </c>
      <c r="H353">
        <v>21</v>
      </c>
      <c r="I353">
        <v>33580</v>
      </c>
    </row>
    <row r="354" spans="1:9" x14ac:dyDescent="0.25">
      <c r="A354">
        <v>3353</v>
      </c>
      <c r="B354">
        <v>121</v>
      </c>
      <c r="C354" t="s">
        <v>99</v>
      </c>
      <c r="D354" t="s">
        <v>76</v>
      </c>
      <c r="E354" t="s">
        <v>715</v>
      </c>
      <c r="F354" s="1">
        <v>44144.335185185177</v>
      </c>
      <c r="G354">
        <v>351</v>
      </c>
      <c r="H354">
        <v>14</v>
      </c>
      <c r="I354">
        <v>26383</v>
      </c>
    </row>
    <row r="355" spans="1:9" x14ac:dyDescent="0.25">
      <c r="A355">
        <v>3354</v>
      </c>
      <c r="B355">
        <v>121</v>
      </c>
      <c r="C355" t="s">
        <v>78</v>
      </c>
      <c r="D355" t="s">
        <v>73</v>
      </c>
      <c r="E355" t="s">
        <v>716</v>
      </c>
      <c r="F355" s="1">
        <v>43461.044166666667</v>
      </c>
      <c r="G355">
        <v>358</v>
      </c>
      <c r="H355">
        <v>7</v>
      </c>
      <c r="I355">
        <v>32415</v>
      </c>
    </row>
    <row r="356" spans="1:9" x14ac:dyDescent="0.25">
      <c r="A356">
        <v>3355</v>
      </c>
      <c r="B356">
        <v>121</v>
      </c>
      <c r="C356" t="s">
        <v>72</v>
      </c>
      <c r="D356" t="s">
        <v>73</v>
      </c>
      <c r="E356" t="s">
        <v>717</v>
      </c>
      <c r="F356" s="1">
        <v>44236.349085648151</v>
      </c>
      <c r="G356">
        <v>348</v>
      </c>
      <c r="H356">
        <v>17</v>
      </c>
      <c r="I356">
        <v>25437</v>
      </c>
    </row>
    <row r="357" spans="1:9" x14ac:dyDescent="0.25">
      <c r="A357">
        <v>3356</v>
      </c>
      <c r="B357">
        <v>121</v>
      </c>
      <c r="C357" t="s">
        <v>99</v>
      </c>
      <c r="D357" t="s">
        <v>76</v>
      </c>
      <c r="E357" t="s">
        <v>718</v>
      </c>
      <c r="F357" s="1">
        <v>43653.167361111111</v>
      </c>
      <c r="G357">
        <v>351</v>
      </c>
      <c r="H357">
        <v>14</v>
      </c>
      <c r="I357">
        <v>30264</v>
      </c>
    </row>
    <row r="358" spans="1:9" x14ac:dyDescent="0.25">
      <c r="A358">
        <v>3357</v>
      </c>
      <c r="B358">
        <v>121</v>
      </c>
      <c r="C358" t="s">
        <v>80</v>
      </c>
      <c r="D358" t="s">
        <v>73</v>
      </c>
      <c r="E358" t="s">
        <v>719</v>
      </c>
      <c r="F358" s="1">
        <v>43198.130520833343</v>
      </c>
      <c r="G358">
        <v>357</v>
      </c>
      <c r="H358">
        <v>8</v>
      </c>
      <c r="I358">
        <v>34439</v>
      </c>
    </row>
    <row r="359" spans="1:9" x14ac:dyDescent="0.25">
      <c r="A359">
        <v>3358</v>
      </c>
      <c r="B359">
        <v>121</v>
      </c>
      <c r="C359" t="s">
        <v>72</v>
      </c>
      <c r="D359" t="s">
        <v>73</v>
      </c>
      <c r="E359" t="s">
        <v>720</v>
      </c>
      <c r="F359" s="1">
        <v>43296.544479166667</v>
      </c>
      <c r="G359">
        <v>353</v>
      </c>
      <c r="H359">
        <v>12</v>
      </c>
      <c r="I359">
        <v>33274</v>
      </c>
    </row>
    <row r="360" spans="1:9" x14ac:dyDescent="0.25">
      <c r="A360">
        <v>3359</v>
      </c>
      <c r="B360">
        <v>121</v>
      </c>
      <c r="C360" t="s">
        <v>75</v>
      </c>
      <c r="D360" t="s">
        <v>76</v>
      </c>
      <c r="E360" t="s">
        <v>721</v>
      </c>
      <c r="F360" s="1">
        <v>44763.309513888889</v>
      </c>
      <c r="G360">
        <v>351</v>
      </c>
      <c r="H360">
        <v>14</v>
      </c>
      <c r="I360">
        <v>21491</v>
      </c>
    </row>
    <row r="361" spans="1:9" x14ac:dyDescent="0.25">
      <c r="A361">
        <v>3360</v>
      </c>
      <c r="B361">
        <v>122</v>
      </c>
      <c r="C361" t="s">
        <v>127</v>
      </c>
      <c r="D361" t="s">
        <v>76</v>
      </c>
      <c r="E361" t="s">
        <v>722</v>
      </c>
      <c r="F361" s="1">
        <v>44914.878472222219</v>
      </c>
      <c r="G361">
        <v>348</v>
      </c>
      <c r="H361">
        <v>17</v>
      </c>
      <c r="I361">
        <v>20124</v>
      </c>
    </row>
    <row r="362" spans="1:9" x14ac:dyDescent="0.25">
      <c r="A362">
        <v>3361</v>
      </c>
      <c r="B362">
        <v>122</v>
      </c>
      <c r="C362" t="s">
        <v>92</v>
      </c>
      <c r="D362" t="s">
        <v>76</v>
      </c>
      <c r="E362" t="s">
        <v>723</v>
      </c>
      <c r="F362" s="1">
        <v>42942.612210648149</v>
      </c>
      <c r="G362">
        <v>355</v>
      </c>
      <c r="H362">
        <v>10</v>
      </c>
      <c r="I362">
        <v>36293</v>
      </c>
    </row>
    <row r="363" spans="1:9" x14ac:dyDescent="0.25">
      <c r="A363">
        <v>3362</v>
      </c>
      <c r="B363">
        <v>122</v>
      </c>
      <c r="C363" t="s">
        <v>86</v>
      </c>
      <c r="D363" t="s">
        <v>76</v>
      </c>
      <c r="E363" t="s">
        <v>724</v>
      </c>
      <c r="F363" s="1">
        <v>44263.434444444443</v>
      </c>
      <c r="G363">
        <v>353</v>
      </c>
      <c r="H363">
        <v>12</v>
      </c>
      <c r="I363">
        <v>25588</v>
      </c>
    </row>
    <row r="364" spans="1:9" x14ac:dyDescent="0.25">
      <c r="A364">
        <v>3363</v>
      </c>
      <c r="B364">
        <v>122</v>
      </c>
      <c r="C364" t="s">
        <v>127</v>
      </c>
      <c r="D364" t="s">
        <v>76</v>
      </c>
      <c r="E364" t="s">
        <v>725</v>
      </c>
      <c r="F364" s="1">
        <v>44400.992222222223</v>
      </c>
      <c r="G364">
        <v>352</v>
      </c>
      <c r="H364">
        <v>13</v>
      </c>
      <c r="I364">
        <v>24429</v>
      </c>
    </row>
    <row r="365" spans="1:9" x14ac:dyDescent="0.25">
      <c r="A365">
        <v>3364</v>
      </c>
      <c r="B365">
        <v>122</v>
      </c>
      <c r="C365" t="s">
        <v>120</v>
      </c>
      <c r="D365" t="s">
        <v>73</v>
      </c>
      <c r="E365" t="s">
        <v>726</v>
      </c>
      <c r="F365" s="1">
        <v>45398.896736111114</v>
      </c>
      <c r="G365">
        <v>342</v>
      </c>
      <c r="H365">
        <v>23</v>
      </c>
      <c r="I365">
        <v>16049</v>
      </c>
    </row>
    <row r="366" spans="1:9" x14ac:dyDescent="0.25">
      <c r="A366">
        <v>3365</v>
      </c>
      <c r="B366">
        <v>123</v>
      </c>
      <c r="C366" t="s">
        <v>86</v>
      </c>
      <c r="D366" t="s">
        <v>76</v>
      </c>
      <c r="E366" t="s">
        <v>727</v>
      </c>
      <c r="F366" s="1">
        <v>45311.433020833327</v>
      </c>
      <c r="G366">
        <v>355</v>
      </c>
      <c r="H366">
        <v>10</v>
      </c>
      <c r="I366">
        <v>17355</v>
      </c>
    </row>
    <row r="367" spans="1:9" x14ac:dyDescent="0.25">
      <c r="A367">
        <v>3366</v>
      </c>
      <c r="B367">
        <v>123</v>
      </c>
      <c r="C367" t="s">
        <v>92</v>
      </c>
      <c r="D367" t="s">
        <v>76</v>
      </c>
      <c r="E367" t="s">
        <v>728</v>
      </c>
      <c r="F367" s="1">
        <v>44660.458692129629</v>
      </c>
      <c r="G367">
        <v>355</v>
      </c>
      <c r="H367">
        <v>10</v>
      </c>
      <c r="I367">
        <v>22559</v>
      </c>
    </row>
    <row r="368" spans="1:9" x14ac:dyDescent="0.25">
      <c r="A368">
        <v>3367</v>
      </c>
      <c r="B368">
        <v>123</v>
      </c>
      <c r="C368" t="s">
        <v>72</v>
      </c>
      <c r="D368" t="s">
        <v>73</v>
      </c>
      <c r="E368" t="s">
        <v>729</v>
      </c>
      <c r="F368" s="1">
        <v>44729.341423611113</v>
      </c>
      <c r="G368">
        <v>351</v>
      </c>
      <c r="H368">
        <v>14</v>
      </c>
      <c r="I368">
        <v>21759</v>
      </c>
    </row>
    <row r="369" spans="1:9" x14ac:dyDescent="0.25">
      <c r="A369">
        <v>3368</v>
      </c>
      <c r="B369">
        <v>123</v>
      </c>
      <c r="C369" t="s">
        <v>127</v>
      </c>
      <c r="D369" t="s">
        <v>76</v>
      </c>
      <c r="E369" t="s">
        <v>730</v>
      </c>
      <c r="F369" s="1">
        <v>44274.054525462961</v>
      </c>
      <c r="G369">
        <v>351</v>
      </c>
      <c r="H369">
        <v>14</v>
      </c>
      <c r="I369">
        <v>25356</v>
      </c>
    </row>
    <row r="370" spans="1:9" x14ac:dyDescent="0.25">
      <c r="A370">
        <v>3369</v>
      </c>
      <c r="B370">
        <v>123</v>
      </c>
      <c r="C370" t="s">
        <v>80</v>
      </c>
      <c r="D370" t="s">
        <v>73</v>
      </c>
      <c r="E370" t="s">
        <v>731</v>
      </c>
      <c r="F370" s="1">
        <v>44443.84615740741</v>
      </c>
      <c r="G370">
        <v>356</v>
      </c>
      <c r="H370">
        <v>9</v>
      </c>
      <c r="I370">
        <v>24362</v>
      </c>
    </row>
    <row r="371" spans="1:9" x14ac:dyDescent="0.25">
      <c r="A371">
        <v>3370</v>
      </c>
      <c r="B371">
        <v>123</v>
      </c>
      <c r="C371" t="s">
        <v>127</v>
      </c>
      <c r="D371" t="s">
        <v>76</v>
      </c>
      <c r="E371" t="s">
        <v>732</v>
      </c>
      <c r="F371" s="1">
        <v>42776.567766203712</v>
      </c>
      <c r="G371">
        <v>354</v>
      </c>
      <c r="H371">
        <v>11</v>
      </c>
      <c r="I371">
        <v>37514</v>
      </c>
    </row>
    <row r="372" spans="1:9" x14ac:dyDescent="0.25">
      <c r="A372">
        <v>3371</v>
      </c>
      <c r="B372">
        <v>123</v>
      </c>
      <c r="C372" t="s">
        <v>82</v>
      </c>
      <c r="D372" t="s">
        <v>73</v>
      </c>
      <c r="E372" t="s">
        <v>733</v>
      </c>
      <c r="F372" s="1">
        <v>43787.532881944448</v>
      </c>
      <c r="G372">
        <v>343</v>
      </c>
      <c r="H372">
        <v>22</v>
      </c>
      <c r="I372">
        <v>28539</v>
      </c>
    </row>
    <row r="373" spans="1:9" x14ac:dyDescent="0.25">
      <c r="A373">
        <v>3372</v>
      </c>
      <c r="B373">
        <v>123</v>
      </c>
      <c r="C373" t="s">
        <v>99</v>
      </c>
      <c r="D373" t="s">
        <v>76</v>
      </c>
      <c r="E373" t="s">
        <v>734</v>
      </c>
      <c r="F373" s="1">
        <v>44469.234027777777</v>
      </c>
      <c r="G373">
        <v>359</v>
      </c>
      <c r="H373">
        <v>6</v>
      </c>
      <c r="I373">
        <v>24357</v>
      </c>
    </row>
    <row r="374" spans="1:9" x14ac:dyDescent="0.25">
      <c r="A374">
        <v>3373</v>
      </c>
      <c r="B374">
        <v>123</v>
      </c>
      <c r="C374" t="s">
        <v>104</v>
      </c>
      <c r="D374" t="s">
        <v>76</v>
      </c>
      <c r="E374" t="s">
        <v>735</v>
      </c>
      <c r="F374" s="1">
        <v>43851.890370370369</v>
      </c>
      <c r="G374">
        <v>354</v>
      </c>
      <c r="H374">
        <v>11</v>
      </c>
      <c r="I374">
        <v>28944</v>
      </c>
    </row>
    <row r="375" spans="1:9" x14ac:dyDescent="0.25">
      <c r="A375">
        <v>3374</v>
      </c>
      <c r="B375">
        <v>123</v>
      </c>
      <c r="C375" t="s">
        <v>94</v>
      </c>
      <c r="D375" t="s">
        <v>73</v>
      </c>
      <c r="E375" t="s">
        <v>736</v>
      </c>
      <c r="F375" s="1">
        <v>43651.618888888886</v>
      </c>
      <c r="G375">
        <v>358</v>
      </c>
      <c r="H375">
        <v>7</v>
      </c>
      <c r="I375">
        <v>30884</v>
      </c>
    </row>
    <row r="376" spans="1:9" x14ac:dyDescent="0.25">
      <c r="A376">
        <v>3375</v>
      </c>
      <c r="B376">
        <v>124</v>
      </c>
      <c r="C376" t="s">
        <v>92</v>
      </c>
      <c r="D376" t="s">
        <v>76</v>
      </c>
      <c r="E376" t="s">
        <v>737</v>
      </c>
      <c r="F376" s="1">
        <v>45122.373622685183</v>
      </c>
      <c r="G376">
        <v>347</v>
      </c>
      <c r="H376">
        <v>18</v>
      </c>
      <c r="I376">
        <v>18441</v>
      </c>
    </row>
    <row r="377" spans="1:9" x14ac:dyDescent="0.25">
      <c r="A377">
        <v>3376</v>
      </c>
      <c r="B377">
        <v>124</v>
      </c>
      <c r="C377" t="s">
        <v>86</v>
      </c>
      <c r="D377" t="s">
        <v>76</v>
      </c>
      <c r="E377" t="s">
        <v>738</v>
      </c>
      <c r="F377" s="1">
        <v>45319.899988425917</v>
      </c>
      <c r="G377">
        <v>359</v>
      </c>
      <c r="H377">
        <v>6</v>
      </c>
      <c r="I377">
        <v>17486</v>
      </c>
    </row>
    <row r="378" spans="1:9" x14ac:dyDescent="0.25">
      <c r="A378">
        <v>3377</v>
      </c>
      <c r="B378">
        <v>124</v>
      </c>
      <c r="C378" t="s">
        <v>89</v>
      </c>
      <c r="D378" t="s">
        <v>76</v>
      </c>
      <c r="E378" t="s">
        <v>739</v>
      </c>
      <c r="F378" s="1">
        <v>44991.347986111112</v>
      </c>
      <c r="G378">
        <v>356</v>
      </c>
      <c r="H378">
        <v>9</v>
      </c>
      <c r="I378">
        <v>19969</v>
      </c>
    </row>
    <row r="379" spans="1:9" x14ac:dyDescent="0.25">
      <c r="A379">
        <v>3378</v>
      </c>
      <c r="B379">
        <v>124</v>
      </c>
      <c r="C379" t="s">
        <v>122</v>
      </c>
      <c r="D379" t="s">
        <v>73</v>
      </c>
      <c r="E379" t="s">
        <v>740</v>
      </c>
      <c r="F379" s="1">
        <v>43184.922164351847</v>
      </c>
      <c r="G379">
        <v>342</v>
      </c>
      <c r="H379">
        <v>23</v>
      </c>
      <c r="I379">
        <v>33100</v>
      </c>
    </row>
    <row r="380" spans="1:9" x14ac:dyDescent="0.25">
      <c r="A380">
        <v>3379</v>
      </c>
      <c r="B380">
        <v>124</v>
      </c>
      <c r="C380" t="s">
        <v>86</v>
      </c>
      <c r="D380" t="s">
        <v>76</v>
      </c>
      <c r="E380" t="s">
        <v>741</v>
      </c>
      <c r="F380" s="1">
        <v>45399.896319444437</v>
      </c>
      <c r="G380">
        <v>344</v>
      </c>
      <c r="H380">
        <v>21</v>
      </c>
      <c r="I380">
        <v>16136</v>
      </c>
    </row>
    <row r="381" spans="1:9" x14ac:dyDescent="0.25">
      <c r="A381">
        <v>3380</v>
      </c>
      <c r="B381">
        <v>125</v>
      </c>
      <c r="C381" t="s">
        <v>104</v>
      </c>
      <c r="D381" t="s">
        <v>76</v>
      </c>
      <c r="E381" t="s">
        <v>742</v>
      </c>
      <c r="F381" s="1">
        <v>43099.028495370367</v>
      </c>
      <c r="G381">
        <v>346</v>
      </c>
      <c r="H381">
        <v>19</v>
      </c>
      <c r="I381">
        <v>34149</v>
      </c>
    </row>
    <row r="382" spans="1:9" x14ac:dyDescent="0.25">
      <c r="A382">
        <v>3381</v>
      </c>
      <c r="B382">
        <v>125</v>
      </c>
      <c r="C382" t="s">
        <v>72</v>
      </c>
      <c r="D382" t="s">
        <v>73</v>
      </c>
      <c r="E382" t="s">
        <v>743</v>
      </c>
      <c r="F382" s="1">
        <v>45395.295011574082</v>
      </c>
      <c r="G382">
        <v>342</v>
      </c>
      <c r="H382">
        <v>23</v>
      </c>
      <c r="I382">
        <v>16073</v>
      </c>
    </row>
    <row r="383" spans="1:9" x14ac:dyDescent="0.25">
      <c r="A383">
        <v>3382</v>
      </c>
      <c r="B383">
        <v>125</v>
      </c>
      <c r="C383" t="s">
        <v>80</v>
      </c>
      <c r="D383" t="s">
        <v>73</v>
      </c>
      <c r="E383" t="s">
        <v>744</v>
      </c>
      <c r="F383" s="1">
        <v>43576.199201388888</v>
      </c>
      <c r="G383">
        <v>356</v>
      </c>
      <c r="H383">
        <v>9</v>
      </c>
      <c r="I383">
        <v>31313</v>
      </c>
    </row>
    <row r="384" spans="1:9" x14ac:dyDescent="0.25">
      <c r="A384">
        <v>3383</v>
      </c>
      <c r="B384">
        <v>125</v>
      </c>
      <c r="C384" t="s">
        <v>104</v>
      </c>
      <c r="D384" t="s">
        <v>76</v>
      </c>
      <c r="E384" t="s">
        <v>745</v>
      </c>
      <c r="F384" s="1">
        <v>44130.360810185193</v>
      </c>
      <c r="G384">
        <v>358</v>
      </c>
      <c r="H384">
        <v>7</v>
      </c>
      <c r="I384">
        <v>27022</v>
      </c>
    </row>
    <row r="385" spans="1:9" x14ac:dyDescent="0.25">
      <c r="A385">
        <v>3384</v>
      </c>
      <c r="B385">
        <v>125</v>
      </c>
      <c r="C385" t="s">
        <v>99</v>
      </c>
      <c r="D385" t="s">
        <v>76</v>
      </c>
      <c r="E385" t="s">
        <v>746</v>
      </c>
      <c r="F385" s="1">
        <v>45165.972581018519</v>
      </c>
      <c r="G385">
        <v>351</v>
      </c>
      <c r="H385">
        <v>14</v>
      </c>
      <c r="I385">
        <v>18313</v>
      </c>
    </row>
    <row r="386" spans="1:9" x14ac:dyDescent="0.25">
      <c r="A386">
        <v>3385</v>
      </c>
      <c r="B386">
        <v>126</v>
      </c>
      <c r="C386" t="s">
        <v>84</v>
      </c>
      <c r="D386" t="s">
        <v>73</v>
      </c>
      <c r="E386" t="s">
        <v>747</v>
      </c>
      <c r="F386" s="1">
        <v>43243.485439814824</v>
      </c>
      <c r="G386">
        <v>357</v>
      </c>
      <c r="H386">
        <v>8</v>
      </c>
      <c r="I386">
        <v>34077</v>
      </c>
    </row>
    <row r="387" spans="1:9" x14ac:dyDescent="0.25">
      <c r="A387">
        <v>3386</v>
      </c>
      <c r="B387">
        <v>126</v>
      </c>
      <c r="C387" t="s">
        <v>99</v>
      </c>
      <c r="D387" t="s">
        <v>76</v>
      </c>
      <c r="E387" t="s">
        <v>748</v>
      </c>
      <c r="F387" s="1">
        <v>43113.843298611107</v>
      </c>
      <c r="G387">
        <v>352</v>
      </c>
      <c r="H387">
        <v>13</v>
      </c>
      <c r="I387">
        <v>34631</v>
      </c>
    </row>
    <row r="388" spans="1:9" x14ac:dyDescent="0.25">
      <c r="A388">
        <v>3387</v>
      </c>
      <c r="B388">
        <v>126</v>
      </c>
      <c r="C388" t="s">
        <v>80</v>
      </c>
      <c r="D388" t="s">
        <v>73</v>
      </c>
      <c r="E388" t="s">
        <v>749</v>
      </c>
      <c r="F388" s="1">
        <v>45090.952337962961</v>
      </c>
      <c r="G388">
        <v>343</v>
      </c>
      <c r="H388">
        <v>22</v>
      </c>
      <c r="I388">
        <v>18475</v>
      </c>
    </row>
    <row r="389" spans="1:9" x14ac:dyDescent="0.25">
      <c r="A389">
        <v>3388</v>
      </c>
      <c r="B389">
        <v>126</v>
      </c>
      <c r="C389" t="s">
        <v>104</v>
      </c>
      <c r="D389" t="s">
        <v>76</v>
      </c>
      <c r="E389" t="s">
        <v>750</v>
      </c>
      <c r="F389" s="1">
        <v>43696.731192129628</v>
      </c>
      <c r="G389">
        <v>356</v>
      </c>
      <c r="H389">
        <v>9</v>
      </c>
      <c r="I389">
        <v>30351</v>
      </c>
    </row>
    <row r="390" spans="1:9" x14ac:dyDescent="0.25">
      <c r="A390">
        <v>3389</v>
      </c>
      <c r="B390">
        <v>126</v>
      </c>
      <c r="C390" t="s">
        <v>99</v>
      </c>
      <c r="D390" t="s">
        <v>76</v>
      </c>
      <c r="E390" t="s">
        <v>751</v>
      </c>
      <c r="F390" s="1">
        <v>45136.489953703713</v>
      </c>
      <c r="G390">
        <v>345</v>
      </c>
      <c r="H390">
        <v>20</v>
      </c>
      <c r="I390">
        <v>18226</v>
      </c>
    </row>
    <row r="391" spans="1:9" x14ac:dyDescent="0.25">
      <c r="A391">
        <v>3390</v>
      </c>
      <c r="B391">
        <v>127</v>
      </c>
      <c r="C391" t="s">
        <v>104</v>
      </c>
      <c r="D391" t="s">
        <v>76</v>
      </c>
      <c r="E391" t="s">
        <v>752</v>
      </c>
      <c r="F391" s="1">
        <v>44012.886145833327</v>
      </c>
      <c r="G391">
        <v>341</v>
      </c>
      <c r="H391">
        <v>24</v>
      </c>
      <c r="I391">
        <v>26645</v>
      </c>
    </row>
    <row r="392" spans="1:9" x14ac:dyDescent="0.25">
      <c r="A392">
        <v>3391</v>
      </c>
      <c r="B392">
        <v>127</v>
      </c>
      <c r="C392" t="s">
        <v>99</v>
      </c>
      <c r="D392" t="s">
        <v>76</v>
      </c>
      <c r="E392" t="s">
        <v>753</v>
      </c>
      <c r="F392" s="1">
        <v>43121.036956018521</v>
      </c>
      <c r="G392">
        <v>358</v>
      </c>
      <c r="H392">
        <v>7</v>
      </c>
      <c r="I392">
        <v>35156</v>
      </c>
    </row>
    <row r="393" spans="1:9" x14ac:dyDescent="0.25">
      <c r="A393">
        <v>3392</v>
      </c>
      <c r="B393">
        <v>127</v>
      </c>
      <c r="C393" t="s">
        <v>75</v>
      </c>
      <c r="D393" t="s">
        <v>76</v>
      </c>
      <c r="E393" t="s">
        <v>754</v>
      </c>
      <c r="F393" s="1">
        <v>43765.44740740741</v>
      </c>
      <c r="G393">
        <v>341</v>
      </c>
      <c r="H393">
        <v>24</v>
      </c>
      <c r="I393">
        <v>28542</v>
      </c>
    </row>
    <row r="394" spans="1:9" x14ac:dyDescent="0.25">
      <c r="A394">
        <v>3393</v>
      </c>
      <c r="B394">
        <v>127</v>
      </c>
      <c r="C394" t="s">
        <v>84</v>
      </c>
      <c r="D394" t="s">
        <v>73</v>
      </c>
      <c r="E394" t="s">
        <v>755</v>
      </c>
      <c r="F394" s="1">
        <v>44936.182303240741</v>
      </c>
      <c r="G394">
        <v>360</v>
      </c>
      <c r="H394">
        <v>5</v>
      </c>
      <c r="I394">
        <v>20639</v>
      </c>
    </row>
    <row r="395" spans="1:9" x14ac:dyDescent="0.25">
      <c r="A395">
        <v>3394</v>
      </c>
      <c r="B395">
        <v>127</v>
      </c>
      <c r="C395" t="s">
        <v>75</v>
      </c>
      <c r="D395" t="s">
        <v>76</v>
      </c>
      <c r="E395" t="s">
        <v>756</v>
      </c>
      <c r="F395" s="1">
        <v>44150.071053240739</v>
      </c>
      <c r="G395">
        <v>357</v>
      </c>
      <c r="H395">
        <v>8</v>
      </c>
      <c r="I395">
        <v>26786</v>
      </c>
    </row>
    <row r="396" spans="1:9" x14ac:dyDescent="0.25">
      <c r="A396">
        <v>3395</v>
      </c>
      <c r="B396">
        <v>128</v>
      </c>
      <c r="C396" t="s">
        <v>125</v>
      </c>
      <c r="D396" t="s">
        <v>76</v>
      </c>
      <c r="E396" t="s">
        <v>757</v>
      </c>
      <c r="F396" s="1">
        <v>42959.773819444446</v>
      </c>
      <c r="G396">
        <v>350</v>
      </c>
      <c r="H396">
        <v>15</v>
      </c>
      <c r="I396">
        <v>35648</v>
      </c>
    </row>
    <row r="397" spans="1:9" x14ac:dyDescent="0.25">
      <c r="A397">
        <v>3396</v>
      </c>
      <c r="B397">
        <v>128</v>
      </c>
      <c r="C397" t="s">
        <v>89</v>
      </c>
      <c r="D397" t="s">
        <v>76</v>
      </c>
      <c r="E397" t="s">
        <v>758</v>
      </c>
      <c r="F397" s="1">
        <v>44109.660266203697</v>
      </c>
      <c r="G397">
        <v>357</v>
      </c>
      <c r="H397">
        <v>8</v>
      </c>
      <c r="I397">
        <v>27116</v>
      </c>
    </row>
    <row r="398" spans="1:9" x14ac:dyDescent="0.25">
      <c r="A398">
        <v>3397</v>
      </c>
      <c r="B398">
        <v>128</v>
      </c>
      <c r="C398" t="s">
        <v>122</v>
      </c>
      <c r="D398" t="s">
        <v>73</v>
      </c>
      <c r="E398" t="s">
        <v>759</v>
      </c>
      <c r="F398" s="1">
        <v>45373.259918981479</v>
      </c>
      <c r="G398">
        <v>353</v>
      </c>
      <c r="H398">
        <v>12</v>
      </c>
      <c r="I398">
        <v>16764</v>
      </c>
    </row>
    <row r="399" spans="1:9" x14ac:dyDescent="0.25">
      <c r="A399">
        <v>3398</v>
      </c>
      <c r="B399">
        <v>128</v>
      </c>
      <c r="C399" t="s">
        <v>86</v>
      </c>
      <c r="D399" t="s">
        <v>76</v>
      </c>
      <c r="E399" t="s">
        <v>760</v>
      </c>
      <c r="F399" s="1">
        <v>43129.573263888888</v>
      </c>
      <c r="G399">
        <v>352</v>
      </c>
      <c r="H399">
        <v>13</v>
      </c>
      <c r="I399">
        <v>34504</v>
      </c>
    </row>
    <row r="400" spans="1:9" x14ac:dyDescent="0.25">
      <c r="A400">
        <v>3399</v>
      </c>
      <c r="B400">
        <v>128</v>
      </c>
      <c r="C400" t="s">
        <v>84</v>
      </c>
      <c r="D400" t="s">
        <v>73</v>
      </c>
      <c r="E400" t="s">
        <v>761</v>
      </c>
      <c r="F400" s="1">
        <v>45515.8281712963</v>
      </c>
      <c r="G400">
        <v>355</v>
      </c>
      <c r="H400">
        <v>10</v>
      </c>
      <c r="I400">
        <v>15724</v>
      </c>
    </row>
    <row r="401" spans="1:9" x14ac:dyDescent="0.25">
      <c r="A401">
        <v>3400</v>
      </c>
      <c r="B401">
        <v>129</v>
      </c>
      <c r="C401" t="s">
        <v>86</v>
      </c>
      <c r="D401" t="s">
        <v>76</v>
      </c>
      <c r="E401" t="s">
        <v>762</v>
      </c>
      <c r="F401" s="1">
        <v>43991.877430555563</v>
      </c>
      <c r="G401">
        <v>348</v>
      </c>
      <c r="H401">
        <v>17</v>
      </c>
      <c r="I401">
        <v>27357</v>
      </c>
    </row>
    <row r="402" spans="1:9" x14ac:dyDescent="0.25">
      <c r="A402">
        <v>3401</v>
      </c>
      <c r="B402">
        <v>129</v>
      </c>
      <c r="C402" t="s">
        <v>92</v>
      </c>
      <c r="D402" t="s">
        <v>76</v>
      </c>
      <c r="E402" t="s">
        <v>763</v>
      </c>
      <c r="F402" s="1">
        <v>44907.070300925923</v>
      </c>
      <c r="G402">
        <v>354</v>
      </c>
      <c r="H402">
        <v>11</v>
      </c>
      <c r="I402">
        <v>20527</v>
      </c>
    </row>
    <row r="403" spans="1:9" x14ac:dyDescent="0.25">
      <c r="A403">
        <v>3402</v>
      </c>
      <c r="B403">
        <v>129</v>
      </c>
      <c r="C403" t="s">
        <v>104</v>
      </c>
      <c r="D403" t="s">
        <v>76</v>
      </c>
      <c r="E403" t="s">
        <v>764</v>
      </c>
      <c r="F403" s="1">
        <v>45181.504583333342</v>
      </c>
      <c r="G403">
        <v>350</v>
      </c>
      <c r="H403">
        <v>15</v>
      </c>
      <c r="I403">
        <v>18135</v>
      </c>
    </row>
    <row r="404" spans="1:9" x14ac:dyDescent="0.25">
      <c r="A404">
        <v>3403</v>
      </c>
      <c r="B404">
        <v>129</v>
      </c>
      <c r="C404" t="s">
        <v>122</v>
      </c>
      <c r="D404" t="s">
        <v>73</v>
      </c>
      <c r="E404" t="s">
        <v>765</v>
      </c>
      <c r="F404" s="1">
        <v>45469.637152777781</v>
      </c>
      <c r="G404">
        <v>355</v>
      </c>
      <c r="H404">
        <v>10</v>
      </c>
      <c r="I404">
        <v>16092</v>
      </c>
    </row>
    <row r="405" spans="1:9" x14ac:dyDescent="0.25">
      <c r="A405">
        <v>3404</v>
      </c>
      <c r="B405">
        <v>129</v>
      </c>
      <c r="C405" t="s">
        <v>75</v>
      </c>
      <c r="D405" t="s">
        <v>76</v>
      </c>
      <c r="E405" t="s">
        <v>766</v>
      </c>
      <c r="F405" s="1">
        <v>44654.754444444443</v>
      </c>
      <c r="G405">
        <v>344</v>
      </c>
      <c r="H405">
        <v>21</v>
      </c>
      <c r="I405">
        <v>21907</v>
      </c>
    </row>
    <row r="406" spans="1:9" x14ac:dyDescent="0.25">
      <c r="A406">
        <v>3405</v>
      </c>
      <c r="B406">
        <v>129</v>
      </c>
      <c r="C406" t="s">
        <v>92</v>
      </c>
      <c r="D406" t="s">
        <v>76</v>
      </c>
      <c r="E406" t="s">
        <v>767</v>
      </c>
      <c r="F406" s="1">
        <v>43060.774131944447</v>
      </c>
      <c r="G406">
        <v>348</v>
      </c>
      <c r="H406">
        <v>17</v>
      </c>
      <c r="I406">
        <v>34652</v>
      </c>
    </row>
    <row r="407" spans="1:9" x14ac:dyDescent="0.25">
      <c r="A407">
        <v>3406</v>
      </c>
      <c r="B407">
        <v>129</v>
      </c>
      <c r="C407" t="s">
        <v>75</v>
      </c>
      <c r="D407" t="s">
        <v>76</v>
      </c>
      <c r="E407" t="s">
        <v>768</v>
      </c>
      <c r="F407" s="1">
        <v>43636.536203703698</v>
      </c>
      <c r="G407">
        <v>356</v>
      </c>
      <c r="H407">
        <v>9</v>
      </c>
      <c r="I407">
        <v>30832</v>
      </c>
    </row>
    <row r="408" spans="1:9" x14ac:dyDescent="0.25">
      <c r="A408">
        <v>3407</v>
      </c>
      <c r="B408">
        <v>129</v>
      </c>
      <c r="C408" t="s">
        <v>84</v>
      </c>
      <c r="D408" t="s">
        <v>73</v>
      </c>
      <c r="E408" t="s">
        <v>769</v>
      </c>
      <c r="F408" s="1">
        <v>43107.605497685188</v>
      </c>
      <c r="G408">
        <v>346</v>
      </c>
      <c r="H408">
        <v>19</v>
      </c>
      <c r="I408">
        <v>34087</v>
      </c>
    </row>
    <row r="409" spans="1:9" x14ac:dyDescent="0.25">
      <c r="A409">
        <v>3408</v>
      </c>
      <c r="B409">
        <v>129</v>
      </c>
      <c r="C409" t="s">
        <v>94</v>
      </c>
      <c r="D409" t="s">
        <v>73</v>
      </c>
      <c r="E409" t="s">
        <v>770</v>
      </c>
      <c r="F409" s="1">
        <v>44361.31722222222</v>
      </c>
      <c r="G409">
        <v>341</v>
      </c>
      <c r="H409">
        <v>24</v>
      </c>
      <c r="I409">
        <v>23965</v>
      </c>
    </row>
    <row r="410" spans="1:9" x14ac:dyDescent="0.25">
      <c r="A410">
        <v>3409</v>
      </c>
      <c r="B410">
        <v>129</v>
      </c>
      <c r="C410" t="s">
        <v>78</v>
      </c>
      <c r="D410" t="s">
        <v>73</v>
      </c>
      <c r="E410" t="s">
        <v>771</v>
      </c>
      <c r="F410" s="1">
        <v>44653.908206018517</v>
      </c>
      <c r="G410">
        <v>353</v>
      </c>
      <c r="H410">
        <v>12</v>
      </c>
      <c r="I410">
        <v>22488</v>
      </c>
    </row>
    <row r="411" spans="1:9" x14ac:dyDescent="0.25">
      <c r="A411">
        <v>3410</v>
      </c>
      <c r="B411">
        <v>129</v>
      </c>
      <c r="C411" t="s">
        <v>94</v>
      </c>
      <c r="D411" t="s">
        <v>73</v>
      </c>
      <c r="E411" t="s">
        <v>772</v>
      </c>
      <c r="F411" s="1">
        <v>44785.14806712963</v>
      </c>
      <c r="G411">
        <v>344</v>
      </c>
      <c r="H411">
        <v>21</v>
      </c>
      <c r="I411">
        <v>20892</v>
      </c>
    </row>
    <row r="412" spans="1:9" x14ac:dyDescent="0.25">
      <c r="A412">
        <v>3411</v>
      </c>
      <c r="B412">
        <v>129</v>
      </c>
      <c r="C412" t="s">
        <v>72</v>
      </c>
      <c r="D412" t="s">
        <v>73</v>
      </c>
      <c r="E412" t="s">
        <v>773</v>
      </c>
      <c r="F412" s="1">
        <v>43747.579988425918</v>
      </c>
      <c r="G412">
        <v>341</v>
      </c>
      <c r="H412">
        <v>24</v>
      </c>
      <c r="I412">
        <v>28680</v>
      </c>
    </row>
    <row r="413" spans="1:9" x14ac:dyDescent="0.25">
      <c r="A413">
        <v>3412</v>
      </c>
      <c r="B413">
        <v>129</v>
      </c>
      <c r="C413" t="s">
        <v>82</v>
      </c>
      <c r="D413" t="s">
        <v>73</v>
      </c>
      <c r="E413" t="s">
        <v>774</v>
      </c>
      <c r="F413" s="1">
        <v>43387.909108796302</v>
      </c>
      <c r="G413">
        <v>356</v>
      </c>
      <c r="H413">
        <v>9</v>
      </c>
      <c r="I413">
        <v>32828</v>
      </c>
    </row>
    <row r="414" spans="1:9" x14ac:dyDescent="0.25">
      <c r="A414">
        <v>3413</v>
      </c>
      <c r="B414">
        <v>129</v>
      </c>
      <c r="C414" t="s">
        <v>86</v>
      </c>
      <c r="D414" t="s">
        <v>76</v>
      </c>
      <c r="E414" t="s">
        <v>775</v>
      </c>
      <c r="F414" s="1">
        <v>42995.079386574071</v>
      </c>
      <c r="G414">
        <v>356</v>
      </c>
      <c r="H414">
        <v>9</v>
      </c>
      <c r="I414">
        <v>35970</v>
      </c>
    </row>
    <row r="415" spans="1:9" x14ac:dyDescent="0.25">
      <c r="A415">
        <v>3414</v>
      </c>
      <c r="B415">
        <v>129</v>
      </c>
      <c r="C415" t="s">
        <v>104</v>
      </c>
      <c r="D415" t="s">
        <v>76</v>
      </c>
      <c r="E415" t="s">
        <v>776</v>
      </c>
      <c r="F415" s="1">
        <v>44861.886412037027</v>
      </c>
      <c r="G415">
        <v>351</v>
      </c>
      <c r="H415">
        <v>14</v>
      </c>
      <c r="I415">
        <v>20716</v>
      </c>
    </row>
    <row r="416" spans="1:9" x14ac:dyDescent="0.25">
      <c r="A416">
        <v>3415</v>
      </c>
      <c r="B416">
        <v>130</v>
      </c>
      <c r="C416" t="s">
        <v>99</v>
      </c>
      <c r="D416" t="s">
        <v>76</v>
      </c>
      <c r="E416" t="s">
        <v>777</v>
      </c>
      <c r="F416" s="1">
        <v>43041.628587962958</v>
      </c>
      <c r="G416">
        <v>345</v>
      </c>
      <c r="H416">
        <v>20</v>
      </c>
      <c r="I416">
        <v>34501</v>
      </c>
    </row>
    <row r="417" spans="1:9" x14ac:dyDescent="0.25">
      <c r="A417">
        <v>3416</v>
      </c>
      <c r="B417">
        <v>130</v>
      </c>
      <c r="C417" t="s">
        <v>78</v>
      </c>
      <c r="D417" t="s">
        <v>73</v>
      </c>
      <c r="E417" t="s">
        <v>778</v>
      </c>
      <c r="F417" s="1">
        <v>44151.243622685193</v>
      </c>
      <c r="G417">
        <v>347</v>
      </c>
      <c r="H417">
        <v>18</v>
      </c>
      <c r="I417">
        <v>26028</v>
      </c>
    </row>
    <row r="418" spans="1:9" x14ac:dyDescent="0.25">
      <c r="A418">
        <v>3417</v>
      </c>
      <c r="B418">
        <v>130</v>
      </c>
      <c r="C418" t="s">
        <v>72</v>
      </c>
      <c r="D418" t="s">
        <v>73</v>
      </c>
      <c r="E418" t="s">
        <v>779</v>
      </c>
      <c r="F418" s="1">
        <v>45511.693414351852</v>
      </c>
      <c r="G418">
        <v>349</v>
      </c>
      <c r="H418">
        <v>16</v>
      </c>
      <c r="I418">
        <v>15490</v>
      </c>
    </row>
    <row r="419" spans="1:9" x14ac:dyDescent="0.25">
      <c r="A419">
        <v>3418</v>
      </c>
      <c r="B419">
        <v>130</v>
      </c>
      <c r="C419" t="s">
        <v>86</v>
      </c>
      <c r="D419" t="s">
        <v>76</v>
      </c>
      <c r="E419" t="s">
        <v>780</v>
      </c>
      <c r="F419" s="1">
        <v>43950.553611111107</v>
      </c>
      <c r="G419">
        <v>344</v>
      </c>
      <c r="H419">
        <v>21</v>
      </c>
      <c r="I419">
        <v>27360</v>
      </c>
    </row>
    <row r="420" spans="1:9" x14ac:dyDescent="0.25">
      <c r="A420">
        <v>3419</v>
      </c>
      <c r="B420">
        <v>130</v>
      </c>
      <c r="C420" t="s">
        <v>99</v>
      </c>
      <c r="D420" t="s">
        <v>76</v>
      </c>
      <c r="E420" t="s">
        <v>781</v>
      </c>
      <c r="F420" s="1">
        <v>44534.064814814818</v>
      </c>
      <c r="G420">
        <v>345</v>
      </c>
      <c r="H420">
        <v>20</v>
      </c>
      <c r="I420">
        <v>22902</v>
      </c>
    </row>
    <row r="421" spans="1:9" x14ac:dyDescent="0.25">
      <c r="A421">
        <v>3420</v>
      </c>
      <c r="B421">
        <v>130</v>
      </c>
      <c r="C421" t="s">
        <v>89</v>
      </c>
      <c r="D421" t="s">
        <v>76</v>
      </c>
      <c r="E421" t="s">
        <v>782</v>
      </c>
      <c r="F421" s="1">
        <v>44939.707881944443</v>
      </c>
      <c r="G421">
        <v>343</v>
      </c>
      <c r="H421">
        <v>22</v>
      </c>
      <c r="I421">
        <v>19642</v>
      </c>
    </row>
    <row r="422" spans="1:9" x14ac:dyDescent="0.25">
      <c r="A422">
        <v>3421</v>
      </c>
      <c r="B422">
        <v>130</v>
      </c>
      <c r="C422" t="s">
        <v>122</v>
      </c>
      <c r="D422" t="s">
        <v>73</v>
      </c>
      <c r="E422" t="s">
        <v>783</v>
      </c>
      <c r="F422" s="1">
        <v>43176.835995370369</v>
      </c>
      <c r="G422">
        <v>351</v>
      </c>
      <c r="H422">
        <v>14</v>
      </c>
      <c r="I422">
        <v>34034</v>
      </c>
    </row>
    <row r="423" spans="1:9" x14ac:dyDescent="0.25">
      <c r="A423">
        <v>3422</v>
      </c>
      <c r="B423">
        <v>130</v>
      </c>
      <c r="C423" t="s">
        <v>82</v>
      </c>
      <c r="D423" t="s">
        <v>73</v>
      </c>
      <c r="E423" t="s">
        <v>784</v>
      </c>
      <c r="F423" s="1">
        <v>43943.702013888891</v>
      </c>
      <c r="G423">
        <v>357</v>
      </c>
      <c r="H423">
        <v>8</v>
      </c>
      <c r="I423">
        <v>28450</v>
      </c>
    </row>
    <row r="424" spans="1:9" x14ac:dyDescent="0.25">
      <c r="A424">
        <v>3423</v>
      </c>
      <c r="B424">
        <v>130</v>
      </c>
      <c r="C424" t="s">
        <v>104</v>
      </c>
      <c r="D424" t="s">
        <v>76</v>
      </c>
      <c r="E424" t="s">
        <v>785</v>
      </c>
      <c r="F424" s="1">
        <v>44496.622777777768</v>
      </c>
      <c r="G424">
        <v>349</v>
      </c>
      <c r="H424">
        <v>16</v>
      </c>
      <c r="I424">
        <v>23467</v>
      </c>
    </row>
    <row r="425" spans="1:9" x14ac:dyDescent="0.25">
      <c r="A425">
        <v>3424</v>
      </c>
      <c r="B425">
        <v>130</v>
      </c>
      <c r="C425" t="s">
        <v>75</v>
      </c>
      <c r="D425" t="s">
        <v>76</v>
      </c>
      <c r="E425" t="s">
        <v>786</v>
      </c>
      <c r="F425" s="1">
        <v>43810.038344907407</v>
      </c>
      <c r="G425">
        <v>350</v>
      </c>
      <c r="H425">
        <v>15</v>
      </c>
      <c r="I425">
        <v>28941</v>
      </c>
    </row>
    <row r="426" spans="1:9" x14ac:dyDescent="0.25">
      <c r="A426">
        <v>3425</v>
      </c>
      <c r="B426">
        <v>130</v>
      </c>
      <c r="C426" t="s">
        <v>84</v>
      </c>
      <c r="D426" t="s">
        <v>73</v>
      </c>
      <c r="E426" t="s">
        <v>787</v>
      </c>
      <c r="F426" s="1">
        <v>44425.761793981481</v>
      </c>
      <c r="G426">
        <v>350</v>
      </c>
      <c r="H426">
        <v>15</v>
      </c>
      <c r="I426">
        <v>24093</v>
      </c>
    </row>
    <row r="427" spans="1:9" x14ac:dyDescent="0.25">
      <c r="A427">
        <v>3426</v>
      </c>
      <c r="B427">
        <v>130</v>
      </c>
      <c r="C427" t="s">
        <v>82</v>
      </c>
      <c r="D427" t="s">
        <v>73</v>
      </c>
      <c r="E427" t="s">
        <v>788</v>
      </c>
      <c r="F427" s="1">
        <v>44887.079780092587</v>
      </c>
      <c r="G427">
        <v>356</v>
      </c>
      <c r="H427">
        <v>9</v>
      </c>
      <c r="I427">
        <v>20803</v>
      </c>
    </row>
    <row r="428" spans="1:9" x14ac:dyDescent="0.25">
      <c r="A428">
        <v>3427</v>
      </c>
      <c r="B428">
        <v>130</v>
      </c>
      <c r="C428" t="s">
        <v>78</v>
      </c>
      <c r="D428" t="s">
        <v>73</v>
      </c>
      <c r="E428" t="s">
        <v>789</v>
      </c>
      <c r="F428" s="1">
        <v>44676.15185185185</v>
      </c>
      <c r="G428">
        <v>355</v>
      </c>
      <c r="H428">
        <v>10</v>
      </c>
      <c r="I428">
        <v>22431</v>
      </c>
    </row>
    <row r="429" spans="1:9" x14ac:dyDescent="0.25">
      <c r="A429">
        <v>3428</v>
      </c>
      <c r="B429">
        <v>130</v>
      </c>
      <c r="C429" t="s">
        <v>127</v>
      </c>
      <c r="D429" t="s">
        <v>76</v>
      </c>
      <c r="E429" t="s">
        <v>790</v>
      </c>
      <c r="F429" s="1">
        <v>44938.615381944437</v>
      </c>
      <c r="G429">
        <v>356</v>
      </c>
      <c r="H429">
        <v>9</v>
      </c>
      <c r="I429">
        <v>20394</v>
      </c>
    </row>
    <row r="430" spans="1:9" x14ac:dyDescent="0.25">
      <c r="A430">
        <v>3429</v>
      </c>
      <c r="B430">
        <v>130</v>
      </c>
      <c r="C430" t="s">
        <v>94</v>
      </c>
      <c r="D430" t="s">
        <v>73</v>
      </c>
      <c r="E430" t="s">
        <v>791</v>
      </c>
      <c r="F430" s="1">
        <v>45006.215856481482</v>
      </c>
      <c r="G430">
        <v>341</v>
      </c>
      <c r="H430">
        <v>24</v>
      </c>
      <c r="I430">
        <v>19013</v>
      </c>
    </row>
    <row r="431" spans="1:9" x14ac:dyDescent="0.25">
      <c r="A431">
        <v>3430</v>
      </c>
      <c r="B431">
        <v>130</v>
      </c>
      <c r="C431" t="s">
        <v>92</v>
      </c>
      <c r="D431" t="s">
        <v>76</v>
      </c>
      <c r="E431" t="s">
        <v>792</v>
      </c>
      <c r="F431" s="1">
        <v>44332.637141203697</v>
      </c>
      <c r="G431">
        <v>346</v>
      </c>
      <c r="H431">
        <v>19</v>
      </c>
      <c r="I431">
        <v>24543</v>
      </c>
    </row>
    <row r="432" spans="1:9" x14ac:dyDescent="0.25">
      <c r="A432">
        <v>3431</v>
      </c>
      <c r="B432">
        <v>130</v>
      </c>
      <c r="C432" t="s">
        <v>99</v>
      </c>
      <c r="D432" t="s">
        <v>76</v>
      </c>
      <c r="E432" t="s">
        <v>793</v>
      </c>
      <c r="F432" s="1">
        <v>43042.966238425928</v>
      </c>
      <c r="G432">
        <v>353</v>
      </c>
      <c r="H432">
        <v>12</v>
      </c>
      <c r="I432">
        <v>35293</v>
      </c>
    </row>
    <row r="433" spans="1:9" x14ac:dyDescent="0.25">
      <c r="A433">
        <v>3432</v>
      </c>
      <c r="B433">
        <v>130</v>
      </c>
      <c r="C433" t="s">
        <v>120</v>
      </c>
      <c r="D433" t="s">
        <v>73</v>
      </c>
      <c r="E433" t="s">
        <v>794</v>
      </c>
      <c r="F433" s="1">
        <v>44632.323564814818</v>
      </c>
      <c r="G433">
        <v>359</v>
      </c>
      <c r="H433">
        <v>6</v>
      </c>
      <c r="I433">
        <v>23040</v>
      </c>
    </row>
    <row r="434" spans="1:9" x14ac:dyDescent="0.25">
      <c r="A434">
        <v>3433</v>
      </c>
      <c r="B434">
        <v>130</v>
      </c>
      <c r="C434" t="s">
        <v>125</v>
      </c>
      <c r="D434" t="s">
        <v>76</v>
      </c>
      <c r="E434" t="s">
        <v>795</v>
      </c>
      <c r="F434" s="1">
        <v>43574.427708333344</v>
      </c>
      <c r="G434">
        <v>347</v>
      </c>
      <c r="H434">
        <v>18</v>
      </c>
      <c r="I434">
        <v>30537</v>
      </c>
    </row>
    <row r="435" spans="1:9" x14ac:dyDescent="0.25">
      <c r="A435">
        <v>3434</v>
      </c>
      <c r="B435">
        <v>130</v>
      </c>
      <c r="C435" t="s">
        <v>84</v>
      </c>
      <c r="D435" t="s">
        <v>73</v>
      </c>
      <c r="E435" t="s">
        <v>796</v>
      </c>
      <c r="F435" s="1">
        <v>45200.639074074083</v>
      </c>
      <c r="G435">
        <v>346</v>
      </c>
      <c r="H435">
        <v>19</v>
      </c>
      <c r="I435">
        <v>17780</v>
      </c>
    </row>
    <row r="436" spans="1:9" x14ac:dyDescent="0.25">
      <c r="A436">
        <v>3435</v>
      </c>
      <c r="B436">
        <v>130</v>
      </c>
      <c r="C436" t="s">
        <v>86</v>
      </c>
      <c r="D436" t="s">
        <v>76</v>
      </c>
      <c r="E436" t="s">
        <v>797</v>
      </c>
      <c r="F436" s="1">
        <v>45388.176041666673</v>
      </c>
      <c r="G436">
        <v>351</v>
      </c>
      <c r="H436">
        <v>14</v>
      </c>
      <c r="I436">
        <v>16551</v>
      </c>
    </row>
    <row r="437" spans="1:9" x14ac:dyDescent="0.25">
      <c r="A437">
        <v>3436</v>
      </c>
      <c r="B437">
        <v>130</v>
      </c>
      <c r="C437" t="s">
        <v>92</v>
      </c>
      <c r="D437" t="s">
        <v>76</v>
      </c>
      <c r="E437" t="s">
        <v>798</v>
      </c>
      <c r="F437" s="1">
        <v>42867.330636574072</v>
      </c>
      <c r="G437">
        <v>357</v>
      </c>
      <c r="H437">
        <v>8</v>
      </c>
      <c r="I437">
        <v>37100</v>
      </c>
    </row>
    <row r="438" spans="1:9" x14ac:dyDescent="0.25">
      <c r="A438">
        <v>3437</v>
      </c>
      <c r="B438">
        <v>130</v>
      </c>
      <c r="C438" t="s">
        <v>72</v>
      </c>
      <c r="D438" t="s">
        <v>73</v>
      </c>
      <c r="E438" t="s">
        <v>799</v>
      </c>
      <c r="F438" s="1">
        <v>45647.732141203713</v>
      </c>
      <c r="G438">
        <v>353</v>
      </c>
      <c r="H438">
        <v>12</v>
      </c>
      <c r="I438">
        <v>14586</v>
      </c>
    </row>
    <row r="439" spans="1:9" x14ac:dyDescent="0.25">
      <c r="A439">
        <v>3438</v>
      </c>
      <c r="B439">
        <v>130</v>
      </c>
      <c r="C439" t="s">
        <v>75</v>
      </c>
      <c r="D439" t="s">
        <v>76</v>
      </c>
      <c r="E439" t="s">
        <v>800</v>
      </c>
      <c r="F439" s="1">
        <v>45407.794293981482</v>
      </c>
      <c r="G439">
        <v>347</v>
      </c>
      <c r="H439">
        <v>18</v>
      </c>
      <c r="I439">
        <v>16214</v>
      </c>
    </row>
    <row r="440" spans="1:9" x14ac:dyDescent="0.25">
      <c r="A440">
        <v>3439</v>
      </c>
      <c r="B440">
        <v>130</v>
      </c>
      <c r="C440" t="s">
        <v>72</v>
      </c>
      <c r="D440" t="s">
        <v>73</v>
      </c>
      <c r="E440" t="s">
        <v>801</v>
      </c>
      <c r="F440" s="1">
        <v>44066.661296296297</v>
      </c>
      <c r="G440">
        <v>342</v>
      </c>
      <c r="H440">
        <v>23</v>
      </c>
      <c r="I440">
        <v>26307</v>
      </c>
    </row>
    <row r="441" spans="1:9" x14ac:dyDescent="0.25">
      <c r="A441">
        <v>3440</v>
      </c>
      <c r="B441">
        <v>130</v>
      </c>
      <c r="C441" t="s">
        <v>86</v>
      </c>
      <c r="D441" t="s">
        <v>76</v>
      </c>
      <c r="E441" t="s">
        <v>802</v>
      </c>
      <c r="F441" s="1">
        <v>43293.184907407413</v>
      </c>
      <c r="G441">
        <v>355</v>
      </c>
      <c r="H441">
        <v>10</v>
      </c>
      <c r="I441">
        <v>33487</v>
      </c>
    </row>
    <row r="442" spans="1:9" x14ac:dyDescent="0.25">
      <c r="A442">
        <v>3441</v>
      </c>
      <c r="B442">
        <v>130</v>
      </c>
      <c r="C442" t="s">
        <v>78</v>
      </c>
      <c r="D442" t="s">
        <v>73</v>
      </c>
      <c r="E442" t="s">
        <v>803</v>
      </c>
      <c r="F442" s="1">
        <v>44644.41741898148</v>
      </c>
      <c r="G442">
        <v>357</v>
      </c>
      <c r="H442">
        <v>8</v>
      </c>
      <c r="I442">
        <v>22815</v>
      </c>
    </row>
    <row r="443" spans="1:9" x14ac:dyDescent="0.25">
      <c r="A443">
        <v>3442</v>
      </c>
      <c r="B443">
        <v>130</v>
      </c>
      <c r="C443" t="s">
        <v>78</v>
      </c>
      <c r="D443" t="s">
        <v>73</v>
      </c>
      <c r="E443" t="s">
        <v>804</v>
      </c>
      <c r="F443" s="1">
        <v>43569.271990740737</v>
      </c>
      <c r="G443">
        <v>359</v>
      </c>
      <c r="H443">
        <v>6</v>
      </c>
      <c r="I443">
        <v>31633</v>
      </c>
    </row>
    <row r="444" spans="1:9" x14ac:dyDescent="0.25">
      <c r="A444">
        <v>3443</v>
      </c>
      <c r="B444">
        <v>130</v>
      </c>
      <c r="C444" t="s">
        <v>127</v>
      </c>
      <c r="D444" t="s">
        <v>76</v>
      </c>
      <c r="E444" t="s">
        <v>805</v>
      </c>
      <c r="F444" s="1">
        <v>45331.372719907413</v>
      </c>
      <c r="G444">
        <v>350</v>
      </c>
      <c r="H444">
        <v>15</v>
      </c>
      <c r="I444">
        <v>16953</v>
      </c>
    </row>
    <row r="445" spans="1:9" x14ac:dyDescent="0.25">
      <c r="A445">
        <v>3444</v>
      </c>
      <c r="B445">
        <v>130</v>
      </c>
      <c r="C445" t="s">
        <v>86</v>
      </c>
      <c r="D445" t="s">
        <v>76</v>
      </c>
      <c r="E445" t="s">
        <v>806</v>
      </c>
      <c r="F445" s="1">
        <v>45231.983298611107</v>
      </c>
      <c r="G445">
        <v>357</v>
      </c>
      <c r="H445">
        <v>8</v>
      </c>
      <c r="I445">
        <v>18096</v>
      </c>
    </row>
    <row r="446" spans="1:9" x14ac:dyDescent="0.25">
      <c r="A446">
        <v>3445</v>
      </c>
      <c r="B446">
        <v>130</v>
      </c>
      <c r="C446" t="s">
        <v>104</v>
      </c>
      <c r="D446" t="s">
        <v>76</v>
      </c>
      <c r="E446" t="s">
        <v>807</v>
      </c>
      <c r="F446" s="1">
        <v>43836.530717592592</v>
      </c>
      <c r="G446">
        <v>341</v>
      </c>
      <c r="H446">
        <v>24</v>
      </c>
      <c r="I446">
        <v>27997</v>
      </c>
    </row>
    <row r="447" spans="1:9" x14ac:dyDescent="0.25">
      <c r="A447">
        <v>3446</v>
      </c>
      <c r="B447">
        <v>130</v>
      </c>
      <c r="C447" t="s">
        <v>86</v>
      </c>
      <c r="D447" t="s">
        <v>76</v>
      </c>
      <c r="E447" t="s">
        <v>808</v>
      </c>
      <c r="F447" s="1">
        <v>43801.881840277783</v>
      </c>
      <c r="G447">
        <v>358</v>
      </c>
      <c r="H447">
        <v>7</v>
      </c>
      <c r="I447">
        <v>29675</v>
      </c>
    </row>
    <row r="448" spans="1:9" x14ac:dyDescent="0.25">
      <c r="A448">
        <v>3447</v>
      </c>
      <c r="B448">
        <v>130</v>
      </c>
      <c r="C448" t="s">
        <v>80</v>
      </c>
      <c r="D448" t="s">
        <v>73</v>
      </c>
      <c r="E448" t="s">
        <v>809</v>
      </c>
      <c r="F448" s="1">
        <v>43586.881805555553</v>
      </c>
      <c r="G448">
        <v>341</v>
      </c>
      <c r="H448">
        <v>24</v>
      </c>
      <c r="I448">
        <v>29916</v>
      </c>
    </row>
    <row r="449" spans="1:9" x14ac:dyDescent="0.25">
      <c r="A449">
        <v>3448</v>
      </c>
      <c r="B449">
        <v>130</v>
      </c>
      <c r="C449" t="s">
        <v>75</v>
      </c>
      <c r="D449" t="s">
        <v>76</v>
      </c>
      <c r="E449" t="s">
        <v>810</v>
      </c>
      <c r="F449" s="1">
        <v>44887.124131944453</v>
      </c>
      <c r="G449">
        <v>355</v>
      </c>
      <c r="H449">
        <v>10</v>
      </c>
      <c r="I449">
        <v>20744</v>
      </c>
    </row>
    <row r="450" spans="1:9" x14ac:dyDescent="0.25">
      <c r="A450">
        <v>3449</v>
      </c>
      <c r="B450">
        <v>130</v>
      </c>
      <c r="C450" t="s">
        <v>75</v>
      </c>
      <c r="D450" t="s">
        <v>76</v>
      </c>
      <c r="E450" t="s">
        <v>811</v>
      </c>
      <c r="F450" s="1">
        <v>43739.199432870373</v>
      </c>
      <c r="G450">
        <v>352</v>
      </c>
      <c r="H450">
        <v>13</v>
      </c>
      <c r="I450">
        <v>29669</v>
      </c>
    </row>
    <row r="451" spans="1:9" x14ac:dyDescent="0.25">
      <c r="A451">
        <v>3450</v>
      </c>
      <c r="B451">
        <v>130</v>
      </c>
      <c r="C451" t="s">
        <v>92</v>
      </c>
      <c r="D451" t="s">
        <v>76</v>
      </c>
      <c r="E451" t="s">
        <v>812</v>
      </c>
      <c r="F451" s="1">
        <v>44589.003935185188</v>
      </c>
      <c r="G451">
        <v>341</v>
      </c>
      <c r="H451">
        <v>24</v>
      </c>
      <c r="I451">
        <v>22215</v>
      </c>
    </row>
    <row r="452" spans="1:9" x14ac:dyDescent="0.25">
      <c r="A452">
        <v>3451</v>
      </c>
      <c r="B452">
        <v>130</v>
      </c>
      <c r="C452" t="s">
        <v>80</v>
      </c>
      <c r="D452" t="s">
        <v>73</v>
      </c>
      <c r="E452" t="s">
        <v>813</v>
      </c>
      <c r="F452" s="1">
        <v>44531.818020833343</v>
      </c>
      <c r="G452">
        <v>351</v>
      </c>
      <c r="H452">
        <v>14</v>
      </c>
      <c r="I452">
        <v>23324</v>
      </c>
    </row>
    <row r="453" spans="1:9" x14ac:dyDescent="0.25">
      <c r="A453">
        <v>3452</v>
      </c>
      <c r="B453">
        <v>130</v>
      </c>
      <c r="C453" t="s">
        <v>127</v>
      </c>
      <c r="D453" t="s">
        <v>76</v>
      </c>
      <c r="E453" t="s">
        <v>814</v>
      </c>
      <c r="F453" s="1">
        <v>44759.540405092594</v>
      </c>
      <c r="G453">
        <v>357</v>
      </c>
      <c r="H453">
        <v>8</v>
      </c>
      <c r="I453">
        <v>21890</v>
      </c>
    </row>
    <row r="454" spans="1:9" x14ac:dyDescent="0.25">
      <c r="A454">
        <v>3453</v>
      </c>
      <c r="B454">
        <v>130</v>
      </c>
      <c r="C454" t="s">
        <v>92</v>
      </c>
      <c r="D454" t="s">
        <v>76</v>
      </c>
      <c r="E454" t="s">
        <v>815</v>
      </c>
      <c r="F454" s="1">
        <v>44115.326458333337</v>
      </c>
      <c r="G454">
        <v>359</v>
      </c>
      <c r="H454">
        <v>6</v>
      </c>
      <c r="I454">
        <v>27219</v>
      </c>
    </row>
    <row r="455" spans="1:9" x14ac:dyDescent="0.25">
      <c r="A455">
        <v>3454</v>
      </c>
      <c r="B455">
        <v>130</v>
      </c>
      <c r="C455" t="s">
        <v>72</v>
      </c>
      <c r="D455" t="s">
        <v>73</v>
      </c>
      <c r="E455" t="s">
        <v>816</v>
      </c>
      <c r="F455" s="1">
        <v>44524.656828703701</v>
      </c>
      <c r="G455">
        <v>346</v>
      </c>
      <c r="H455">
        <v>19</v>
      </c>
      <c r="I455">
        <v>23047</v>
      </c>
    </row>
    <row r="456" spans="1:9" x14ac:dyDescent="0.25">
      <c r="A456">
        <v>3455</v>
      </c>
      <c r="B456">
        <v>130</v>
      </c>
      <c r="C456" t="s">
        <v>82</v>
      </c>
      <c r="D456" t="s">
        <v>73</v>
      </c>
      <c r="E456" t="s">
        <v>817</v>
      </c>
      <c r="F456" s="1">
        <v>43072.607928240737</v>
      </c>
      <c r="G456">
        <v>346</v>
      </c>
      <c r="H456">
        <v>19</v>
      </c>
      <c r="I456">
        <v>34360</v>
      </c>
    </row>
    <row r="457" spans="1:9" x14ac:dyDescent="0.25">
      <c r="A457">
        <v>3456</v>
      </c>
      <c r="B457">
        <v>130</v>
      </c>
      <c r="C457" t="s">
        <v>120</v>
      </c>
      <c r="D457" t="s">
        <v>73</v>
      </c>
      <c r="E457" t="s">
        <v>818</v>
      </c>
      <c r="F457" s="1">
        <v>43147.940347222233</v>
      </c>
      <c r="G457">
        <v>360</v>
      </c>
      <c r="H457">
        <v>5</v>
      </c>
      <c r="I457">
        <v>35142</v>
      </c>
    </row>
    <row r="458" spans="1:9" x14ac:dyDescent="0.25">
      <c r="A458">
        <v>3457</v>
      </c>
      <c r="B458">
        <v>130</v>
      </c>
      <c r="C458" t="s">
        <v>78</v>
      </c>
      <c r="D458" t="s">
        <v>73</v>
      </c>
      <c r="E458" t="s">
        <v>819</v>
      </c>
      <c r="F458" s="1">
        <v>44225.518750000003</v>
      </c>
      <c r="G458">
        <v>352</v>
      </c>
      <c r="H458">
        <v>13</v>
      </c>
      <c r="I458">
        <v>25816</v>
      </c>
    </row>
    <row r="459" spans="1:9" x14ac:dyDescent="0.25">
      <c r="A459">
        <v>3458</v>
      </c>
      <c r="B459">
        <v>130</v>
      </c>
      <c r="C459" t="s">
        <v>86</v>
      </c>
      <c r="D459" t="s">
        <v>76</v>
      </c>
      <c r="E459" t="s">
        <v>820</v>
      </c>
      <c r="F459" s="1">
        <v>45291.951678240737</v>
      </c>
      <c r="G459">
        <v>342</v>
      </c>
      <c r="H459">
        <v>23</v>
      </c>
      <c r="I459">
        <v>16873</v>
      </c>
    </row>
    <row r="460" spans="1:9" x14ac:dyDescent="0.25">
      <c r="A460">
        <v>3459</v>
      </c>
      <c r="B460">
        <v>130</v>
      </c>
      <c r="C460" t="s">
        <v>99</v>
      </c>
      <c r="D460" t="s">
        <v>76</v>
      </c>
      <c r="E460" t="s">
        <v>821</v>
      </c>
      <c r="F460" s="1">
        <v>43717.715937499997</v>
      </c>
      <c r="G460">
        <v>356</v>
      </c>
      <c r="H460">
        <v>9</v>
      </c>
      <c r="I460">
        <v>30182</v>
      </c>
    </row>
    <row r="461" spans="1:9" x14ac:dyDescent="0.25">
      <c r="A461">
        <v>3460</v>
      </c>
      <c r="B461">
        <v>130</v>
      </c>
      <c r="C461" t="s">
        <v>104</v>
      </c>
      <c r="D461" t="s">
        <v>76</v>
      </c>
      <c r="E461" t="s">
        <v>822</v>
      </c>
      <c r="F461" s="1">
        <v>44788.155578703707</v>
      </c>
      <c r="G461">
        <v>351</v>
      </c>
      <c r="H461">
        <v>14</v>
      </c>
      <c r="I461">
        <v>21293</v>
      </c>
    </row>
    <row r="462" spans="1:9" x14ac:dyDescent="0.25">
      <c r="A462">
        <v>3461</v>
      </c>
      <c r="B462">
        <v>130</v>
      </c>
      <c r="C462" t="s">
        <v>84</v>
      </c>
      <c r="D462" t="s">
        <v>73</v>
      </c>
      <c r="E462" t="s">
        <v>823</v>
      </c>
      <c r="F462" s="1">
        <v>44297.238159722219</v>
      </c>
      <c r="G462">
        <v>349</v>
      </c>
      <c r="H462">
        <v>16</v>
      </c>
      <c r="I462">
        <v>25031</v>
      </c>
    </row>
    <row r="463" spans="1:9" x14ac:dyDescent="0.25">
      <c r="A463">
        <v>3462</v>
      </c>
      <c r="B463">
        <v>130</v>
      </c>
      <c r="C463" t="s">
        <v>82</v>
      </c>
      <c r="D463" t="s">
        <v>73</v>
      </c>
      <c r="E463" t="s">
        <v>824</v>
      </c>
      <c r="F463" s="1">
        <v>45330.961122685178</v>
      </c>
      <c r="G463">
        <v>347</v>
      </c>
      <c r="H463">
        <v>18</v>
      </c>
      <c r="I463">
        <v>16815</v>
      </c>
    </row>
    <row r="464" spans="1:9" x14ac:dyDescent="0.25">
      <c r="A464">
        <v>3463</v>
      </c>
      <c r="B464">
        <v>130</v>
      </c>
      <c r="C464" t="s">
        <v>82</v>
      </c>
      <c r="D464" t="s">
        <v>73</v>
      </c>
      <c r="E464" t="s">
        <v>825</v>
      </c>
      <c r="F464" s="1">
        <v>42805.916689814818</v>
      </c>
      <c r="G464">
        <v>342</v>
      </c>
      <c r="H464">
        <v>23</v>
      </c>
      <c r="I464">
        <v>36019</v>
      </c>
    </row>
    <row r="465" spans="1:9" x14ac:dyDescent="0.25">
      <c r="A465">
        <v>3464</v>
      </c>
      <c r="B465">
        <v>130</v>
      </c>
      <c r="C465" t="s">
        <v>127</v>
      </c>
      <c r="D465" t="s">
        <v>76</v>
      </c>
      <c r="E465" t="s">
        <v>826</v>
      </c>
      <c r="F465" s="1">
        <v>45496.246064814812</v>
      </c>
      <c r="G465">
        <v>346</v>
      </c>
      <c r="H465">
        <v>19</v>
      </c>
      <c r="I465">
        <v>15474</v>
      </c>
    </row>
    <row r="466" spans="1:9" x14ac:dyDescent="0.25">
      <c r="A466">
        <v>3465</v>
      </c>
      <c r="B466">
        <v>130</v>
      </c>
      <c r="C466" t="s">
        <v>86</v>
      </c>
      <c r="D466" t="s">
        <v>76</v>
      </c>
      <c r="E466" t="s">
        <v>827</v>
      </c>
      <c r="F466" s="1">
        <v>43114.619027777779</v>
      </c>
      <c r="G466">
        <v>345</v>
      </c>
      <c r="H466">
        <v>20</v>
      </c>
      <c r="I466">
        <v>33934</v>
      </c>
    </row>
    <row r="467" spans="1:9" x14ac:dyDescent="0.25">
      <c r="A467">
        <v>3466</v>
      </c>
      <c r="B467">
        <v>130</v>
      </c>
      <c r="C467" t="s">
        <v>120</v>
      </c>
      <c r="D467" t="s">
        <v>73</v>
      </c>
      <c r="E467" t="s">
        <v>828</v>
      </c>
      <c r="F467" s="1">
        <v>45359.50613425926</v>
      </c>
      <c r="G467">
        <v>354</v>
      </c>
      <c r="H467">
        <v>11</v>
      </c>
      <c r="I467">
        <v>16923</v>
      </c>
    </row>
    <row r="468" spans="1:9" x14ac:dyDescent="0.25">
      <c r="A468">
        <v>3467</v>
      </c>
      <c r="B468">
        <v>130</v>
      </c>
      <c r="C468" t="s">
        <v>104</v>
      </c>
      <c r="D468" t="s">
        <v>76</v>
      </c>
      <c r="E468" t="s">
        <v>829</v>
      </c>
      <c r="F468" s="1">
        <v>43716.995347222219</v>
      </c>
      <c r="G468">
        <v>346</v>
      </c>
      <c r="H468">
        <v>19</v>
      </c>
      <c r="I468">
        <v>29342</v>
      </c>
    </row>
    <row r="469" spans="1:9" x14ac:dyDescent="0.25">
      <c r="A469">
        <v>3468</v>
      </c>
      <c r="B469">
        <v>130</v>
      </c>
      <c r="C469" t="s">
        <v>82</v>
      </c>
      <c r="D469" t="s">
        <v>73</v>
      </c>
      <c r="E469" t="s">
        <v>830</v>
      </c>
      <c r="F469" s="1">
        <v>42863.35052083333</v>
      </c>
      <c r="G469">
        <v>353</v>
      </c>
      <c r="H469">
        <v>12</v>
      </c>
      <c r="I469">
        <v>36716</v>
      </c>
    </row>
    <row r="470" spans="1:9" x14ac:dyDescent="0.25">
      <c r="A470">
        <v>3469</v>
      </c>
      <c r="B470">
        <v>130</v>
      </c>
      <c r="C470" t="s">
        <v>125</v>
      </c>
      <c r="D470" t="s">
        <v>76</v>
      </c>
      <c r="E470" t="s">
        <v>831</v>
      </c>
      <c r="F470" s="1">
        <v>45202.631874999999</v>
      </c>
      <c r="G470">
        <v>348</v>
      </c>
      <c r="H470">
        <v>17</v>
      </c>
      <c r="I470">
        <v>17867</v>
      </c>
    </row>
    <row r="471" spans="1:9" x14ac:dyDescent="0.25">
      <c r="A471">
        <v>3470</v>
      </c>
      <c r="B471">
        <v>131</v>
      </c>
      <c r="C471" t="s">
        <v>75</v>
      </c>
      <c r="D471" t="s">
        <v>76</v>
      </c>
      <c r="E471" t="s">
        <v>832</v>
      </c>
      <c r="F471" s="1">
        <v>43169.298206018517</v>
      </c>
      <c r="G471">
        <v>341</v>
      </c>
      <c r="H471">
        <v>24</v>
      </c>
      <c r="I471">
        <v>33118</v>
      </c>
    </row>
    <row r="472" spans="1:9" x14ac:dyDescent="0.25">
      <c r="A472">
        <v>3471</v>
      </c>
      <c r="B472">
        <v>131</v>
      </c>
      <c r="C472" t="s">
        <v>72</v>
      </c>
      <c r="D472" t="s">
        <v>73</v>
      </c>
      <c r="E472" t="s">
        <v>833</v>
      </c>
      <c r="F472" s="1">
        <v>43058.947025462963</v>
      </c>
      <c r="G472">
        <v>348</v>
      </c>
      <c r="H472">
        <v>17</v>
      </c>
      <c r="I472">
        <v>34668</v>
      </c>
    </row>
    <row r="473" spans="1:9" x14ac:dyDescent="0.25">
      <c r="A473">
        <v>3472</v>
      </c>
      <c r="B473">
        <v>131</v>
      </c>
      <c r="C473" t="s">
        <v>78</v>
      </c>
      <c r="D473" t="s">
        <v>73</v>
      </c>
      <c r="E473" t="s">
        <v>834</v>
      </c>
      <c r="F473" s="1">
        <v>44637.573981481481</v>
      </c>
      <c r="G473">
        <v>355</v>
      </c>
      <c r="H473">
        <v>10</v>
      </c>
      <c r="I473">
        <v>22743</v>
      </c>
    </row>
    <row r="474" spans="1:9" x14ac:dyDescent="0.25">
      <c r="A474">
        <v>3473</v>
      </c>
      <c r="B474">
        <v>131</v>
      </c>
      <c r="C474" t="s">
        <v>78</v>
      </c>
      <c r="D474" t="s">
        <v>73</v>
      </c>
      <c r="E474" t="s">
        <v>835</v>
      </c>
      <c r="F474" s="1">
        <v>42863.255752314813</v>
      </c>
      <c r="G474">
        <v>345</v>
      </c>
      <c r="H474">
        <v>20</v>
      </c>
      <c r="I474">
        <v>35884</v>
      </c>
    </row>
    <row r="475" spans="1:9" x14ac:dyDescent="0.25">
      <c r="A475">
        <v>3474</v>
      </c>
      <c r="B475">
        <v>131</v>
      </c>
      <c r="C475" t="s">
        <v>75</v>
      </c>
      <c r="D475" t="s">
        <v>76</v>
      </c>
      <c r="E475" t="s">
        <v>836</v>
      </c>
      <c r="F475" s="1">
        <v>43968.572858796288</v>
      </c>
      <c r="G475">
        <v>354</v>
      </c>
      <c r="H475">
        <v>11</v>
      </c>
      <c r="I475">
        <v>28012</v>
      </c>
    </row>
    <row r="476" spans="1:9" x14ac:dyDescent="0.25">
      <c r="A476">
        <v>3475</v>
      </c>
      <c r="B476">
        <v>131</v>
      </c>
      <c r="C476" t="s">
        <v>72</v>
      </c>
      <c r="D476" t="s">
        <v>73</v>
      </c>
      <c r="E476" t="s">
        <v>837</v>
      </c>
      <c r="F476" s="1">
        <v>44741.433530092603</v>
      </c>
      <c r="G476">
        <v>353</v>
      </c>
      <c r="H476">
        <v>12</v>
      </c>
      <c r="I476">
        <v>21788</v>
      </c>
    </row>
    <row r="477" spans="1:9" x14ac:dyDescent="0.25">
      <c r="A477">
        <v>3476</v>
      </c>
      <c r="B477">
        <v>131</v>
      </c>
      <c r="C477" t="s">
        <v>75</v>
      </c>
      <c r="D477" t="s">
        <v>76</v>
      </c>
      <c r="E477" t="s">
        <v>838</v>
      </c>
      <c r="F477" s="1">
        <v>44652.425162037027</v>
      </c>
      <c r="G477">
        <v>355</v>
      </c>
      <c r="H477">
        <v>10</v>
      </c>
      <c r="I477">
        <v>22623</v>
      </c>
    </row>
    <row r="478" spans="1:9" x14ac:dyDescent="0.25">
      <c r="A478">
        <v>3477</v>
      </c>
      <c r="B478">
        <v>131</v>
      </c>
      <c r="C478" t="s">
        <v>72</v>
      </c>
      <c r="D478" t="s">
        <v>73</v>
      </c>
      <c r="E478" t="s">
        <v>839</v>
      </c>
      <c r="F478" s="1">
        <v>45241.837673611109</v>
      </c>
      <c r="G478">
        <v>348</v>
      </c>
      <c r="H478">
        <v>17</v>
      </c>
      <c r="I478">
        <v>17561</v>
      </c>
    </row>
    <row r="479" spans="1:9" x14ac:dyDescent="0.25">
      <c r="A479">
        <v>3478</v>
      </c>
      <c r="B479">
        <v>131</v>
      </c>
      <c r="C479" t="s">
        <v>80</v>
      </c>
      <c r="D479" t="s">
        <v>73</v>
      </c>
      <c r="E479" t="s">
        <v>840</v>
      </c>
      <c r="F479" s="1">
        <v>42786.415937500002</v>
      </c>
      <c r="G479">
        <v>348</v>
      </c>
      <c r="H479">
        <v>17</v>
      </c>
      <c r="I479">
        <v>36800</v>
      </c>
    </row>
    <row r="480" spans="1:9" x14ac:dyDescent="0.25">
      <c r="A480">
        <v>3479</v>
      </c>
      <c r="B480">
        <v>131</v>
      </c>
      <c r="C480" t="s">
        <v>127</v>
      </c>
      <c r="D480" t="s">
        <v>76</v>
      </c>
      <c r="E480" t="s">
        <v>841</v>
      </c>
      <c r="F480" s="1">
        <v>45603.349004629628</v>
      </c>
      <c r="G480">
        <v>356</v>
      </c>
      <c r="H480">
        <v>9</v>
      </c>
      <c r="I480">
        <v>15063</v>
      </c>
    </row>
    <row r="481" spans="1:9" x14ac:dyDescent="0.25">
      <c r="A481">
        <v>3480</v>
      </c>
      <c r="B481">
        <v>131</v>
      </c>
      <c r="C481" t="s">
        <v>94</v>
      </c>
      <c r="D481" t="s">
        <v>73</v>
      </c>
      <c r="E481" t="s">
        <v>842</v>
      </c>
      <c r="F481" s="1">
        <v>43720.079907407409</v>
      </c>
      <c r="G481">
        <v>350</v>
      </c>
      <c r="H481">
        <v>15</v>
      </c>
      <c r="I481">
        <v>29650</v>
      </c>
    </row>
    <row r="482" spans="1:9" x14ac:dyDescent="0.25">
      <c r="A482">
        <v>3481</v>
      </c>
      <c r="B482">
        <v>131</v>
      </c>
      <c r="C482" t="s">
        <v>94</v>
      </c>
      <c r="D482" t="s">
        <v>73</v>
      </c>
      <c r="E482" t="s">
        <v>843</v>
      </c>
      <c r="F482" s="1">
        <v>44604.752766203703</v>
      </c>
      <c r="G482">
        <v>351</v>
      </c>
      <c r="H482">
        <v>14</v>
      </c>
      <c r="I482">
        <v>22747</v>
      </c>
    </row>
    <row r="483" spans="1:9" x14ac:dyDescent="0.25">
      <c r="A483">
        <v>3482</v>
      </c>
      <c r="B483">
        <v>131</v>
      </c>
      <c r="C483" t="s">
        <v>127</v>
      </c>
      <c r="D483" t="s">
        <v>76</v>
      </c>
      <c r="E483" t="s">
        <v>844</v>
      </c>
      <c r="F483" s="1">
        <v>43402.274988425917</v>
      </c>
      <c r="G483">
        <v>345</v>
      </c>
      <c r="H483">
        <v>20</v>
      </c>
      <c r="I483">
        <v>31697</v>
      </c>
    </row>
    <row r="484" spans="1:9" x14ac:dyDescent="0.25">
      <c r="A484">
        <v>3483</v>
      </c>
      <c r="B484">
        <v>131</v>
      </c>
      <c r="C484" t="s">
        <v>89</v>
      </c>
      <c r="D484" t="s">
        <v>76</v>
      </c>
      <c r="E484" t="s">
        <v>845</v>
      </c>
      <c r="F484" s="1">
        <v>44525.829074074078</v>
      </c>
      <c r="G484">
        <v>348</v>
      </c>
      <c r="H484">
        <v>17</v>
      </c>
      <c r="I484">
        <v>23172</v>
      </c>
    </row>
    <row r="485" spans="1:9" x14ac:dyDescent="0.25">
      <c r="A485">
        <v>3484</v>
      </c>
      <c r="B485">
        <v>131</v>
      </c>
      <c r="C485" t="s">
        <v>89</v>
      </c>
      <c r="D485" t="s">
        <v>76</v>
      </c>
      <c r="E485" t="s">
        <v>846</v>
      </c>
      <c r="F485" s="1">
        <v>43225.30878472222</v>
      </c>
      <c r="G485">
        <v>359</v>
      </c>
      <c r="H485">
        <v>6</v>
      </c>
      <c r="I485">
        <v>34414</v>
      </c>
    </row>
    <row r="486" spans="1:9" x14ac:dyDescent="0.25">
      <c r="A486">
        <v>3485</v>
      </c>
      <c r="B486">
        <v>131</v>
      </c>
      <c r="C486" t="s">
        <v>78</v>
      </c>
      <c r="D486" t="s">
        <v>73</v>
      </c>
      <c r="E486" t="s">
        <v>847</v>
      </c>
      <c r="F486" s="1">
        <v>43791.062094907407</v>
      </c>
      <c r="G486">
        <v>349</v>
      </c>
      <c r="H486">
        <v>16</v>
      </c>
      <c r="I486">
        <v>29007</v>
      </c>
    </row>
    <row r="487" spans="1:9" x14ac:dyDescent="0.25">
      <c r="A487">
        <v>3486</v>
      </c>
      <c r="B487">
        <v>131</v>
      </c>
      <c r="C487" t="s">
        <v>72</v>
      </c>
      <c r="D487" t="s">
        <v>73</v>
      </c>
      <c r="E487" t="s">
        <v>848</v>
      </c>
      <c r="F487" s="1">
        <v>43129.446493055562</v>
      </c>
      <c r="G487">
        <v>346</v>
      </c>
      <c r="H487">
        <v>19</v>
      </c>
      <c r="I487">
        <v>33916</v>
      </c>
    </row>
    <row r="488" spans="1:9" x14ac:dyDescent="0.25">
      <c r="A488">
        <v>3487</v>
      </c>
      <c r="B488">
        <v>131</v>
      </c>
      <c r="C488" t="s">
        <v>99</v>
      </c>
      <c r="D488" t="s">
        <v>76</v>
      </c>
      <c r="E488" t="s">
        <v>849</v>
      </c>
      <c r="F488" s="1">
        <v>44590.814375000002</v>
      </c>
      <c r="G488">
        <v>355</v>
      </c>
      <c r="H488">
        <v>10</v>
      </c>
      <c r="I488">
        <v>23119</v>
      </c>
    </row>
    <row r="489" spans="1:9" x14ac:dyDescent="0.25">
      <c r="A489">
        <v>3488</v>
      </c>
      <c r="B489">
        <v>131</v>
      </c>
      <c r="C489" t="s">
        <v>82</v>
      </c>
      <c r="D489" t="s">
        <v>73</v>
      </c>
      <c r="E489" t="s">
        <v>850</v>
      </c>
      <c r="F489" s="1">
        <v>43731.314097222217</v>
      </c>
      <c r="G489">
        <v>346</v>
      </c>
      <c r="H489">
        <v>19</v>
      </c>
      <c r="I489">
        <v>29225</v>
      </c>
    </row>
    <row r="490" spans="1:9" x14ac:dyDescent="0.25">
      <c r="A490">
        <v>3489</v>
      </c>
      <c r="B490">
        <v>131</v>
      </c>
      <c r="C490" t="s">
        <v>86</v>
      </c>
      <c r="D490" t="s">
        <v>76</v>
      </c>
      <c r="E490" t="s">
        <v>851</v>
      </c>
      <c r="F490" s="1">
        <v>45498.617106481477</v>
      </c>
      <c r="G490">
        <v>346</v>
      </c>
      <c r="H490">
        <v>19</v>
      </c>
      <c r="I490">
        <v>15458</v>
      </c>
    </row>
    <row r="491" spans="1:9" x14ac:dyDescent="0.25">
      <c r="A491">
        <v>3490</v>
      </c>
      <c r="B491">
        <v>131</v>
      </c>
      <c r="C491" t="s">
        <v>75</v>
      </c>
      <c r="D491" t="s">
        <v>76</v>
      </c>
      <c r="E491" t="s">
        <v>852</v>
      </c>
      <c r="F491" s="1">
        <v>43877.081122685187</v>
      </c>
      <c r="G491">
        <v>341</v>
      </c>
      <c r="H491">
        <v>24</v>
      </c>
      <c r="I491">
        <v>27682</v>
      </c>
    </row>
    <row r="492" spans="1:9" x14ac:dyDescent="0.25">
      <c r="A492">
        <v>3491</v>
      </c>
      <c r="B492">
        <v>131</v>
      </c>
      <c r="C492" t="s">
        <v>94</v>
      </c>
      <c r="D492" t="s">
        <v>73</v>
      </c>
      <c r="E492" t="s">
        <v>853</v>
      </c>
      <c r="F492" s="1">
        <v>43022.019317129627</v>
      </c>
      <c r="G492">
        <v>356</v>
      </c>
      <c r="H492">
        <v>9</v>
      </c>
      <c r="I492">
        <v>35754</v>
      </c>
    </row>
    <row r="493" spans="1:9" x14ac:dyDescent="0.25">
      <c r="A493">
        <v>3492</v>
      </c>
      <c r="B493">
        <v>131</v>
      </c>
      <c r="C493" t="s">
        <v>94</v>
      </c>
      <c r="D493" t="s">
        <v>73</v>
      </c>
      <c r="E493" t="s">
        <v>854</v>
      </c>
      <c r="F493" s="1">
        <v>42736.44972222222</v>
      </c>
      <c r="G493">
        <v>341</v>
      </c>
      <c r="H493">
        <v>24</v>
      </c>
      <c r="I493">
        <v>36443</v>
      </c>
    </row>
    <row r="494" spans="1:9" x14ac:dyDescent="0.25">
      <c r="A494">
        <v>3493</v>
      </c>
      <c r="B494">
        <v>131</v>
      </c>
      <c r="C494" t="s">
        <v>99</v>
      </c>
      <c r="D494" t="s">
        <v>76</v>
      </c>
      <c r="E494" t="s">
        <v>855</v>
      </c>
      <c r="F494" s="1">
        <v>45059.419594907413</v>
      </c>
      <c r="G494">
        <v>350</v>
      </c>
      <c r="H494">
        <v>15</v>
      </c>
      <c r="I494">
        <v>19097</v>
      </c>
    </row>
    <row r="495" spans="1:9" x14ac:dyDescent="0.25">
      <c r="A495">
        <v>3494</v>
      </c>
      <c r="B495">
        <v>131</v>
      </c>
      <c r="C495" t="s">
        <v>84</v>
      </c>
      <c r="D495" t="s">
        <v>73</v>
      </c>
      <c r="E495" t="s">
        <v>856</v>
      </c>
      <c r="F495" s="1">
        <v>42889.025000000001</v>
      </c>
      <c r="G495">
        <v>360</v>
      </c>
      <c r="H495">
        <v>5</v>
      </c>
      <c r="I495">
        <v>37234</v>
      </c>
    </row>
    <row r="496" spans="1:9" x14ac:dyDescent="0.25">
      <c r="A496">
        <v>3495</v>
      </c>
      <c r="B496">
        <v>131</v>
      </c>
      <c r="C496" t="s">
        <v>80</v>
      </c>
      <c r="D496" t="s">
        <v>73</v>
      </c>
      <c r="E496" t="s">
        <v>857</v>
      </c>
      <c r="F496" s="1">
        <v>43488.809108796297</v>
      </c>
      <c r="G496">
        <v>342</v>
      </c>
      <c r="H496">
        <v>23</v>
      </c>
      <c r="I496">
        <v>30759</v>
      </c>
    </row>
    <row r="497" spans="1:9" x14ac:dyDescent="0.25">
      <c r="A497">
        <v>3496</v>
      </c>
      <c r="B497">
        <v>131</v>
      </c>
      <c r="C497" t="s">
        <v>75</v>
      </c>
      <c r="D497" t="s">
        <v>76</v>
      </c>
      <c r="E497" t="s">
        <v>858</v>
      </c>
      <c r="F497" s="1">
        <v>44541.914363425924</v>
      </c>
      <c r="G497">
        <v>344</v>
      </c>
      <c r="H497">
        <v>21</v>
      </c>
      <c r="I497">
        <v>22782</v>
      </c>
    </row>
    <row r="498" spans="1:9" x14ac:dyDescent="0.25">
      <c r="A498">
        <v>3497</v>
      </c>
      <c r="B498">
        <v>131</v>
      </c>
      <c r="C498" t="s">
        <v>72</v>
      </c>
      <c r="D498" t="s">
        <v>73</v>
      </c>
      <c r="E498" t="s">
        <v>859</v>
      </c>
      <c r="F498" s="1">
        <v>45030.08017361111</v>
      </c>
      <c r="G498">
        <v>355</v>
      </c>
      <c r="H498">
        <v>10</v>
      </c>
      <c r="I498">
        <v>19601</v>
      </c>
    </row>
    <row r="499" spans="1:9" x14ac:dyDescent="0.25">
      <c r="A499">
        <v>3498</v>
      </c>
      <c r="B499">
        <v>131</v>
      </c>
      <c r="C499" t="s">
        <v>78</v>
      </c>
      <c r="D499" t="s">
        <v>73</v>
      </c>
      <c r="E499" t="s">
        <v>860</v>
      </c>
      <c r="F499" s="1">
        <v>43014.828773148147</v>
      </c>
      <c r="G499">
        <v>354</v>
      </c>
      <c r="H499">
        <v>11</v>
      </c>
      <c r="I499">
        <v>35617</v>
      </c>
    </row>
    <row r="500" spans="1:9" x14ac:dyDescent="0.25">
      <c r="A500">
        <v>3499</v>
      </c>
      <c r="B500">
        <v>131</v>
      </c>
      <c r="C500" t="s">
        <v>84</v>
      </c>
      <c r="D500" t="s">
        <v>73</v>
      </c>
      <c r="E500" t="s">
        <v>861</v>
      </c>
      <c r="F500" s="1">
        <v>43501.695960648147</v>
      </c>
      <c r="G500">
        <v>358</v>
      </c>
      <c r="H500">
        <v>7</v>
      </c>
      <c r="I500">
        <v>32093</v>
      </c>
    </row>
    <row r="501" spans="1:9" x14ac:dyDescent="0.25">
      <c r="A501">
        <v>3500</v>
      </c>
      <c r="B501">
        <v>131</v>
      </c>
      <c r="C501" t="s">
        <v>75</v>
      </c>
      <c r="D501" t="s">
        <v>76</v>
      </c>
      <c r="E501" t="s">
        <v>862</v>
      </c>
      <c r="F501" s="1">
        <v>42883.039629629631</v>
      </c>
      <c r="G501">
        <v>345</v>
      </c>
      <c r="H501">
        <v>20</v>
      </c>
      <c r="I501">
        <v>35729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1"/>
  <sheetViews>
    <sheetView zoomScale="140" workbookViewId="0">
      <selection activeCell="T19" sqref="T19"/>
    </sheetView>
  </sheetViews>
  <sheetFormatPr defaultRowHeight="15" x14ac:dyDescent="0.25"/>
  <cols>
    <col min="1" max="1" width="12.85546875" customWidth="1"/>
    <col min="2" max="2" width="15" customWidth="1"/>
  </cols>
  <sheetData>
    <row r="1" spans="1:2" x14ac:dyDescent="0.25">
      <c r="A1" s="2" t="s">
        <v>29</v>
      </c>
      <c r="B1" s="2" t="s">
        <v>30</v>
      </c>
    </row>
    <row r="2" spans="1:2" x14ac:dyDescent="0.25">
      <c r="A2">
        <v>1</v>
      </c>
      <c r="B2">
        <v>501</v>
      </c>
    </row>
    <row r="3" spans="1:2" x14ac:dyDescent="0.25">
      <c r="A3">
        <v>2</v>
      </c>
      <c r="B3">
        <v>501</v>
      </c>
    </row>
    <row r="4" spans="1:2" x14ac:dyDescent="0.25">
      <c r="A4">
        <v>3</v>
      </c>
      <c r="B4">
        <v>501</v>
      </c>
    </row>
    <row r="5" spans="1:2" x14ac:dyDescent="0.25">
      <c r="A5">
        <v>4</v>
      </c>
      <c r="B5">
        <v>501</v>
      </c>
    </row>
    <row r="6" spans="1:2" x14ac:dyDescent="0.25">
      <c r="A6">
        <v>5</v>
      </c>
      <c r="B6">
        <v>501</v>
      </c>
    </row>
    <row r="7" spans="1:2" x14ac:dyDescent="0.25">
      <c r="A7">
        <v>6</v>
      </c>
      <c r="B7">
        <v>501</v>
      </c>
    </row>
    <row r="8" spans="1:2" x14ac:dyDescent="0.25">
      <c r="A8">
        <v>7</v>
      </c>
      <c r="B8">
        <v>501</v>
      </c>
    </row>
    <row r="9" spans="1:2" x14ac:dyDescent="0.25">
      <c r="A9">
        <v>8</v>
      </c>
      <c r="B9">
        <v>501</v>
      </c>
    </row>
    <row r="10" spans="1:2" x14ac:dyDescent="0.25">
      <c r="A10">
        <v>9</v>
      </c>
      <c r="B10">
        <v>501</v>
      </c>
    </row>
    <row r="11" spans="1:2" x14ac:dyDescent="0.25">
      <c r="A11">
        <v>10</v>
      </c>
      <c r="B11">
        <v>501</v>
      </c>
    </row>
    <row r="12" spans="1:2" x14ac:dyDescent="0.25">
      <c r="A12">
        <v>11</v>
      </c>
      <c r="B12">
        <v>501</v>
      </c>
    </row>
    <row r="13" spans="1:2" x14ac:dyDescent="0.25">
      <c r="A13">
        <v>12</v>
      </c>
      <c r="B13">
        <v>501</v>
      </c>
    </row>
    <row r="14" spans="1:2" x14ac:dyDescent="0.25">
      <c r="A14">
        <v>13</v>
      </c>
      <c r="B14">
        <v>501</v>
      </c>
    </row>
    <row r="15" spans="1:2" x14ac:dyDescent="0.25">
      <c r="A15">
        <v>14</v>
      </c>
      <c r="B15">
        <v>501</v>
      </c>
    </row>
    <row r="16" spans="1:2" x14ac:dyDescent="0.25">
      <c r="A16">
        <v>15</v>
      </c>
      <c r="B16">
        <v>501</v>
      </c>
    </row>
    <row r="17" spans="1:2" x14ac:dyDescent="0.25">
      <c r="A17">
        <v>16</v>
      </c>
      <c r="B17">
        <v>502</v>
      </c>
    </row>
    <row r="18" spans="1:2" x14ac:dyDescent="0.25">
      <c r="A18">
        <v>17</v>
      </c>
      <c r="B18">
        <v>502</v>
      </c>
    </row>
    <row r="19" spans="1:2" x14ac:dyDescent="0.25">
      <c r="A19">
        <v>18</v>
      </c>
      <c r="B19">
        <v>502</v>
      </c>
    </row>
    <row r="20" spans="1:2" x14ac:dyDescent="0.25">
      <c r="A20">
        <v>19</v>
      </c>
      <c r="B20">
        <v>502</v>
      </c>
    </row>
    <row r="21" spans="1:2" x14ac:dyDescent="0.25">
      <c r="A21">
        <v>20</v>
      </c>
      <c r="B21">
        <v>502</v>
      </c>
    </row>
    <row r="22" spans="1:2" x14ac:dyDescent="0.25">
      <c r="A22">
        <v>21</v>
      </c>
      <c r="B22">
        <v>502</v>
      </c>
    </row>
    <row r="23" spans="1:2" x14ac:dyDescent="0.25">
      <c r="A23">
        <v>22</v>
      </c>
      <c r="B23">
        <v>502</v>
      </c>
    </row>
    <row r="24" spans="1:2" x14ac:dyDescent="0.25">
      <c r="A24">
        <v>23</v>
      </c>
      <c r="B24">
        <v>502</v>
      </c>
    </row>
    <row r="25" spans="1:2" x14ac:dyDescent="0.25">
      <c r="A25">
        <v>24</v>
      </c>
      <c r="B25">
        <v>503</v>
      </c>
    </row>
    <row r="26" spans="1:2" x14ac:dyDescent="0.25">
      <c r="A26">
        <v>25</v>
      </c>
      <c r="B26">
        <v>503</v>
      </c>
    </row>
    <row r="27" spans="1:2" x14ac:dyDescent="0.25">
      <c r="A27">
        <v>26</v>
      </c>
      <c r="B27">
        <v>503</v>
      </c>
    </row>
    <row r="28" spans="1:2" x14ac:dyDescent="0.25">
      <c r="A28">
        <v>27</v>
      </c>
      <c r="B28">
        <v>503</v>
      </c>
    </row>
    <row r="29" spans="1:2" x14ac:dyDescent="0.25">
      <c r="A29">
        <v>28</v>
      </c>
      <c r="B29">
        <v>503</v>
      </c>
    </row>
    <row r="30" spans="1:2" x14ac:dyDescent="0.25">
      <c r="A30">
        <v>29</v>
      </c>
      <c r="B30">
        <v>503</v>
      </c>
    </row>
    <row r="31" spans="1:2" x14ac:dyDescent="0.25">
      <c r="A31">
        <v>30</v>
      </c>
      <c r="B31">
        <v>503</v>
      </c>
    </row>
    <row r="32" spans="1:2" x14ac:dyDescent="0.25">
      <c r="A32">
        <v>31</v>
      </c>
      <c r="B32">
        <v>503</v>
      </c>
    </row>
    <row r="33" spans="1:2" x14ac:dyDescent="0.25">
      <c r="A33">
        <v>32</v>
      </c>
      <c r="B33">
        <v>504</v>
      </c>
    </row>
    <row r="34" spans="1:2" x14ac:dyDescent="0.25">
      <c r="A34">
        <v>33</v>
      </c>
      <c r="B34">
        <v>504</v>
      </c>
    </row>
    <row r="35" spans="1:2" x14ac:dyDescent="0.25">
      <c r="A35">
        <v>34</v>
      </c>
      <c r="B35">
        <v>504</v>
      </c>
    </row>
    <row r="36" spans="1:2" x14ac:dyDescent="0.25">
      <c r="A36">
        <v>35</v>
      </c>
      <c r="B36">
        <v>504</v>
      </c>
    </row>
    <row r="37" spans="1:2" x14ac:dyDescent="0.25">
      <c r="A37">
        <v>36</v>
      </c>
      <c r="B37">
        <v>504</v>
      </c>
    </row>
    <row r="38" spans="1:2" x14ac:dyDescent="0.25">
      <c r="A38">
        <v>37</v>
      </c>
      <c r="B38">
        <v>504</v>
      </c>
    </row>
    <row r="39" spans="1:2" x14ac:dyDescent="0.25">
      <c r="A39">
        <v>38</v>
      </c>
      <c r="B39">
        <v>504</v>
      </c>
    </row>
    <row r="40" spans="1:2" x14ac:dyDescent="0.25">
      <c r="A40">
        <v>39</v>
      </c>
      <c r="B40">
        <v>504</v>
      </c>
    </row>
    <row r="41" spans="1:2" x14ac:dyDescent="0.25">
      <c r="A41">
        <v>40</v>
      </c>
      <c r="B41">
        <v>505</v>
      </c>
    </row>
    <row r="42" spans="1:2" x14ac:dyDescent="0.25">
      <c r="A42">
        <v>41</v>
      </c>
      <c r="B42">
        <v>505</v>
      </c>
    </row>
    <row r="43" spans="1:2" x14ac:dyDescent="0.25">
      <c r="A43">
        <v>42</v>
      </c>
      <c r="B43">
        <v>505</v>
      </c>
    </row>
    <row r="44" spans="1:2" x14ac:dyDescent="0.25">
      <c r="A44">
        <v>43</v>
      </c>
      <c r="B44">
        <v>505</v>
      </c>
    </row>
    <row r="45" spans="1:2" x14ac:dyDescent="0.25">
      <c r="A45">
        <v>44</v>
      </c>
      <c r="B45">
        <v>505</v>
      </c>
    </row>
    <row r="46" spans="1:2" x14ac:dyDescent="0.25">
      <c r="A46">
        <v>45</v>
      </c>
      <c r="B46">
        <v>505</v>
      </c>
    </row>
    <row r="47" spans="1:2" x14ac:dyDescent="0.25">
      <c r="A47">
        <v>46</v>
      </c>
      <c r="B47">
        <v>506</v>
      </c>
    </row>
    <row r="48" spans="1:2" x14ac:dyDescent="0.25">
      <c r="A48">
        <v>47</v>
      </c>
      <c r="B48">
        <v>506</v>
      </c>
    </row>
    <row r="49" spans="1:2" x14ac:dyDescent="0.25">
      <c r="A49">
        <v>48</v>
      </c>
      <c r="B49">
        <v>506</v>
      </c>
    </row>
    <row r="50" spans="1:2" x14ac:dyDescent="0.25">
      <c r="A50">
        <v>49</v>
      </c>
      <c r="B50">
        <v>506</v>
      </c>
    </row>
    <row r="51" spans="1:2" x14ac:dyDescent="0.25">
      <c r="A51">
        <v>50</v>
      </c>
      <c r="B51">
        <v>506</v>
      </c>
    </row>
    <row r="52" spans="1:2" x14ac:dyDescent="0.25">
      <c r="A52">
        <v>51</v>
      </c>
      <c r="B52">
        <v>506</v>
      </c>
    </row>
    <row r="53" spans="1:2" x14ac:dyDescent="0.25">
      <c r="A53">
        <v>52</v>
      </c>
      <c r="B53">
        <v>507</v>
      </c>
    </row>
    <row r="54" spans="1:2" x14ac:dyDescent="0.25">
      <c r="A54">
        <v>53</v>
      </c>
      <c r="B54">
        <v>507</v>
      </c>
    </row>
    <row r="55" spans="1:2" x14ac:dyDescent="0.25">
      <c r="A55">
        <v>54</v>
      </c>
      <c r="B55">
        <v>507</v>
      </c>
    </row>
    <row r="56" spans="1:2" x14ac:dyDescent="0.25">
      <c r="A56">
        <v>55</v>
      </c>
      <c r="B56">
        <v>507</v>
      </c>
    </row>
    <row r="57" spans="1:2" x14ac:dyDescent="0.25">
      <c r="A57">
        <v>56</v>
      </c>
      <c r="B57">
        <v>507</v>
      </c>
    </row>
    <row r="58" spans="1:2" x14ac:dyDescent="0.25">
      <c r="A58">
        <v>57</v>
      </c>
      <c r="B58">
        <v>507</v>
      </c>
    </row>
    <row r="59" spans="1:2" x14ac:dyDescent="0.25">
      <c r="A59">
        <v>58</v>
      </c>
      <c r="B59">
        <v>507</v>
      </c>
    </row>
    <row r="60" spans="1:2" x14ac:dyDescent="0.25">
      <c r="A60">
        <v>59</v>
      </c>
      <c r="B60">
        <v>507</v>
      </c>
    </row>
    <row r="61" spans="1:2" x14ac:dyDescent="0.25">
      <c r="A61">
        <v>60</v>
      </c>
      <c r="B61">
        <v>508</v>
      </c>
    </row>
    <row r="62" spans="1:2" x14ac:dyDescent="0.25">
      <c r="A62">
        <v>61</v>
      </c>
      <c r="B62">
        <v>508</v>
      </c>
    </row>
    <row r="63" spans="1:2" x14ac:dyDescent="0.25">
      <c r="A63">
        <v>62</v>
      </c>
      <c r="B63">
        <v>508</v>
      </c>
    </row>
    <row r="64" spans="1:2" x14ac:dyDescent="0.25">
      <c r="A64">
        <v>63</v>
      </c>
      <c r="B64">
        <v>508</v>
      </c>
    </row>
    <row r="65" spans="1:2" x14ac:dyDescent="0.25">
      <c r="A65">
        <v>64</v>
      </c>
      <c r="B65">
        <v>508</v>
      </c>
    </row>
    <row r="66" spans="1:2" x14ac:dyDescent="0.25">
      <c r="A66">
        <v>65</v>
      </c>
      <c r="B66">
        <v>508</v>
      </c>
    </row>
    <row r="67" spans="1:2" x14ac:dyDescent="0.25">
      <c r="A67">
        <v>66</v>
      </c>
      <c r="B67">
        <v>508</v>
      </c>
    </row>
    <row r="68" spans="1:2" x14ac:dyDescent="0.25">
      <c r="A68">
        <v>67</v>
      </c>
      <c r="B68">
        <v>508</v>
      </c>
    </row>
    <row r="69" spans="1:2" x14ac:dyDescent="0.25">
      <c r="A69">
        <v>68</v>
      </c>
      <c r="B69">
        <v>508</v>
      </c>
    </row>
    <row r="70" spans="1:2" x14ac:dyDescent="0.25">
      <c r="A70">
        <v>69</v>
      </c>
      <c r="B70">
        <v>508</v>
      </c>
    </row>
    <row r="71" spans="1:2" x14ac:dyDescent="0.25">
      <c r="A71">
        <v>70</v>
      </c>
      <c r="B71">
        <v>508</v>
      </c>
    </row>
    <row r="72" spans="1:2" x14ac:dyDescent="0.25">
      <c r="A72">
        <v>71</v>
      </c>
      <c r="B72">
        <v>508</v>
      </c>
    </row>
    <row r="73" spans="1:2" x14ac:dyDescent="0.25">
      <c r="A73">
        <v>72</v>
      </c>
      <c r="B73">
        <v>509</v>
      </c>
    </row>
    <row r="74" spans="1:2" x14ac:dyDescent="0.25">
      <c r="A74">
        <v>73</v>
      </c>
      <c r="B74">
        <v>509</v>
      </c>
    </row>
    <row r="75" spans="1:2" x14ac:dyDescent="0.25">
      <c r="A75">
        <v>74</v>
      </c>
      <c r="B75">
        <v>509</v>
      </c>
    </row>
    <row r="76" spans="1:2" x14ac:dyDescent="0.25">
      <c r="A76">
        <v>75</v>
      </c>
      <c r="B76">
        <v>509</v>
      </c>
    </row>
    <row r="77" spans="1:2" x14ac:dyDescent="0.25">
      <c r="A77">
        <v>76</v>
      </c>
      <c r="B77">
        <v>509</v>
      </c>
    </row>
    <row r="78" spans="1:2" x14ac:dyDescent="0.25">
      <c r="A78">
        <v>77</v>
      </c>
      <c r="B78">
        <v>509</v>
      </c>
    </row>
    <row r="79" spans="1:2" x14ac:dyDescent="0.25">
      <c r="A79">
        <v>78</v>
      </c>
      <c r="B79">
        <v>509</v>
      </c>
    </row>
    <row r="80" spans="1:2" x14ac:dyDescent="0.25">
      <c r="A80">
        <v>79</v>
      </c>
      <c r="B80">
        <v>509</v>
      </c>
    </row>
    <row r="81" spans="1:2" x14ac:dyDescent="0.25">
      <c r="A81">
        <v>80</v>
      </c>
      <c r="B81">
        <v>510</v>
      </c>
    </row>
    <row r="82" spans="1:2" x14ac:dyDescent="0.25">
      <c r="A82">
        <v>81</v>
      </c>
      <c r="B82">
        <v>510</v>
      </c>
    </row>
    <row r="83" spans="1:2" x14ac:dyDescent="0.25">
      <c r="A83">
        <v>82</v>
      </c>
      <c r="B83">
        <v>510</v>
      </c>
    </row>
    <row r="84" spans="1:2" x14ac:dyDescent="0.25">
      <c r="A84">
        <v>83</v>
      </c>
      <c r="B84">
        <v>510</v>
      </c>
    </row>
    <row r="85" spans="1:2" x14ac:dyDescent="0.25">
      <c r="A85">
        <v>84</v>
      </c>
      <c r="B85">
        <v>510</v>
      </c>
    </row>
    <row r="86" spans="1:2" x14ac:dyDescent="0.25">
      <c r="A86">
        <v>85</v>
      </c>
      <c r="B86">
        <v>510</v>
      </c>
    </row>
    <row r="87" spans="1:2" x14ac:dyDescent="0.25">
      <c r="A87">
        <v>86</v>
      </c>
      <c r="B87">
        <v>510</v>
      </c>
    </row>
    <row r="88" spans="1:2" x14ac:dyDescent="0.25">
      <c r="A88">
        <v>87</v>
      </c>
      <c r="B88">
        <v>510</v>
      </c>
    </row>
    <row r="89" spans="1:2" x14ac:dyDescent="0.25">
      <c r="A89">
        <v>88</v>
      </c>
      <c r="B89">
        <v>510</v>
      </c>
    </row>
    <row r="90" spans="1:2" x14ac:dyDescent="0.25">
      <c r="A90">
        <v>89</v>
      </c>
      <c r="B90">
        <v>510</v>
      </c>
    </row>
    <row r="91" spans="1:2" x14ac:dyDescent="0.25">
      <c r="A91">
        <v>90</v>
      </c>
      <c r="B91">
        <v>510</v>
      </c>
    </row>
    <row r="92" spans="1:2" x14ac:dyDescent="0.25">
      <c r="A92">
        <v>91</v>
      </c>
      <c r="B92">
        <v>510</v>
      </c>
    </row>
    <row r="93" spans="1:2" x14ac:dyDescent="0.25">
      <c r="A93">
        <v>92</v>
      </c>
      <c r="B93">
        <v>510</v>
      </c>
    </row>
    <row r="94" spans="1:2" x14ac:dyDescent="0.25">
      <c r="A94">
        <v>93</v>
      </c>
      <c r="B94">
        <v>510</v>
      </c>
    </row>
    <row r="95" spans="1:2" x14ac:dyDescent="0.25">
      <c r="A95">
        <v>94</v>
      </c>
      <c r="B95">
        <v>511</v>
      </c>
    </row>
    <row r="96" spans="1:2" x14ac:dyDescent="0.25">
      <c r="A96">
        <v>95</v>
      </c>
      <c r="B96">
        <v>511</v>
      </c>
    </row>
    <row r="97" spans="1:2" x14ac:dyDescent="0.25">
      <c r="A97">
        <v>96</v>
      </c>
      <c r="B97">
        <v>511</v>
      </c>
    </row>
    <row r="98" spans="1:2" x14ac:dyDescent="0.25">
      <c r="A98">
        <v>97</v>
      </c>
      <c r="B98">
        <v>511</v>
      </c>
    </row>
    <row r="99" spans="1:2" x14ac:dyDescent="0.25">
      <c r="A99">
        <v>98</v>
      </c>
      <c r="B99">
        <v>511</v>
      </c>
    </row>
    <row r="100" spans="1:2" x14ac:dyDescent="0.25">
      <c r="A100">
        <v>99</v>
      </c>
      <c r="B100">
        <v>511</v>
      </c>
    </row>
    <row r="101" spans="1:2" x14ac:dyDescent="0.25">
      <c r="A101">
        <v>100</v>
      </c>
      <c r="B101">
        <v>511</v>
      </c>
    </row>
    <row r="102" spans="1:2" x14ac:dyDescent="0.25">
      <c r="A102">
        <v>101</v>
      </c>
      <c r="B102">
        <v>511</v>
      </c>
    </row>
    <row r="103" spans="1:2" x14ac:dyDescent="0.25">
      <c r="A103">
        <v>102</v>
      </c>
      <c r="B103">
        <v>511</v>
      </c>
    </row>
    <row r="104" spans="1:2" x14ac:dyDescent="0.25">
      <c r="A104">
        <v>103</v>
      </c>
      <c r="B104">
        <v>511</v>
      </c>
    </row>
    <row r="105" spans="1:2" x14ac:dyDescent="0.25">
      <c r="A105">
        <v>104</v>
      </c>
      <c r="B105">
        <v>512</v>
      </c>
    </row>
    <row r="106" spans="1:2" x14ac:dyDescent="0.25">
      <c r="A106">
        <v>105</v>
      </c>
      <c r="B106">
        <v>512</v>
      </c>
    </row>
    <row r="107" spans="1:2" x14ac:dyDescent="0.25">
      <c r="A107">
        <v>106</v>
      </c>
      <c r="B107">
        <v>512</v>
      </c>
    </row>
    <row r="108" spans="1:2" x14ac:dyDescent="0.25">
      <c r="A108">
        <v>107</v>
      </c>
      <c r="B108">
        <v>512</v>
      </c>
    </row>
    <row r="109" spans="1:2" x14ac:dyDescent="0.25">
      <c r="A109">
        <v>108</v>
      </c>
      <c r="B109">
        <v>512</v>
      </c>
    </row>
    <row r="110" spans="1:2" x14ac:dyDescent="0.25">
      <c r="A110">
        <v>109</v>
      </c>
      <c r="B110">
        <v>512</v>
      </c>
    </row>
    <row r="111" spans="1:2" x14ac:dyDescent="0.25">
      <c r="A111">
        <v>110</v>
      </c>
      <c r="B111">
        <v>512</v>
      </c>
    </row>
    <row r="112" spans="1:2" x14ac:dyDescent="0.25">
      <c r="A112">
        <v>111</v>
      </c>
      <c r="B112">
        <v>512</v>
      </c>
    </row>
    <row r="113" spans="1:2" x14ac:dyDescent="0.25">
      <c r="A113">
        <v>112</v>
      </c>
      <c r="B113">
        <v>512</v>
      </c>
    </row>
    <row r="114" spans="1:2" x14ac:dyDescent="0.25">
      <c r="A114">
        <v>113</v>
      </c>
      <c r="B114">
        <v>512</v>
      </c>
    </row>
    <row r="115" spans="1:2" x14ac:dyDescent="0.25">
      <c r="A115">
        <v>114</v>
      </c>
      <c r="B115">
        <v>512</v>
      </c>
    </row>
    <row r="116" spans="1:2" x14ac:dyDescent="0.25">
      <c r="A116">
        <v>115</v>
      </c>
      <c r="B116">
        <v>512</v>
      </c>
    </row>
    <row r="117" spans="1:2" x14ac:dyDescent="0.25">
      <c r="A117">
        <v>116</v>
      </c>
      <c r="B117">
        <v>513</v>
      </c>
    </row>
    <row r="118" spans="1:2" x14ac:dyDescent="0.25">
      <c r="A118">
        <v>117</v>
      </c>
      <c r="B118">
        <v>513</v>
      </c>
    </row>
    <row r="119" spans="1:2" x14ac:dyDescent="0.25">
      <c r="A119">
        <v>118</v>
      </c>
      <c r="B119">
        <v>513</v>
      </c>
    </row>
    <row r="120" spans="1:2" x14ac:dyDescent="0.25">
      <c r="A120">
        <v>119</v>
      </c>
      <c r="B120">
        <v>513</v>
      </c>
    </row>
    <row r="121" spans="1:2" x14ac:dyDescent="0.25">
      <c r="A121">
        <v>120</v>
      </c>
      <c r="B121">
        <v>513</v>
      </c>
    </row>
    <row r="122" spans="1:2" x14ac:dyDescent="0.25">
      <c r="A122">
        <v>121</v>
      </c>
      <c r="B122">
        <v>513</v>
      </c>
    </row>
    <row r="123" spans="1:2" x14ac:dyDescent="0.25">
      <c r="A123">
        <v>122</v>
      </c>
      <c r="B123">
        <v>513</v>
      </c>
    </row>
    <row r="124" spans="1:2" x14ac:dyDescent="0.25">
      <c r="A124">
        <v>123</v>
      </c>
      <c r="B124">
        <v>513</v>
      </c>
    </row>
    <row r="125" spans="1:2" x14ac:dyDescent="0.25">
      <c r="A125">
        <v>124</v>
      </c>
      <c r="B125">
        <v>513</v>
      </c>
    </row>
    <row r="126" spans="1:2" x14ac:dyDescent="0.25">
      <c r="A126">
        <v>125</v>
      </c>
      <c r="B126">
        <v>513</v>
      </c>
    </row>
    <row r="127" spans="1:2" x14ac:dyDescent="0.25">
      <c r="A127">
        <v>126</v>
      </c>
      <c r="B127">
        <v>514</v>
      </c>
    </row>
    <row r="128" spans="1:2" x14ac:dyDescent="0.25">
      <c r="A128">
        <v>127</v>
      </c>
      <c r="B128">
        <v>514</v>
      </c>
    </row>
    <row r="129" spans="1:2" x14ac:dyDescent="0.25">
      <c r="A129">
        <v>128</v>
      </c>
      <c r="B129">
        <v>514</v>
      </c>
    </row>
    <row r="130" spans="1:2" x14ac:dyDescent="0.25">
      <c r="A130">
        <v>129</v>
      </c>
      <c r="B130">
        <v>514</v>
      </c>
    </row>
    <row r="131" spans="1:2" x14ac:dyDescent="0.25">
      <c r="A131">
        <v>130</v>
      </c>
      <c r="B131">
        <v>514</v>
      </c>
    </row>
    <row r="132" spans="1:2" x14ac:dyDescent="0.25">
      <c r="A132">
        <v>131</v>
      </c>
      <c r="B132">
        <v>514</v>
      </c>
    </row>
    <row r="133" spans="1:2" x14ac:dyDescent="0.25">
      <c r="A133">
        <v>132</v>
      </c>
      <c r="B133">
        <v>514</v>
      </c>
    </row>
    <row r="134" spans="1:2" x14ac:dyDescent="0.25">
      <c r="A134">
        <v>133</v>
      </c>
      <c r="B134">
        <v>514</v>
      </c>
    </row>
    <row r="135" spans="1:2" x14ac:dyDescent="0.25">
      <c r="A135">
        <v>134</v>
      </c>
      <c r="B135">
        <v>515</v>
      </c>
    </row>
    <row r="136" spans="1:2" x14ac:dyDescent="0.25">
      <c r="A136">
        <v>135</v>
      </c>
      <c r="B136">
        <v>515</v>
      </c>
    </row>
    <row r="137" spans="1:2" x14ac:dyDescent="0.25">
      <c r="A137">
        <v>136</v>
      </c>
      <c r="B137">
        <v>515</v>
      </c>
    </row>
    <row r="138" spans="1:2" x14ac:dyDescent="0.25">
      <c r="A138">
        <v>137</v>
      </c>
      <c r="B138">
        <v>515</v>
      </c>
    </row>
    <row r="139" spans="1:2" x14ac:dyDescent="0.25">
      <c r="A139">
        <v>138</v>
      </c>
      <c r="B139">
        <v>515</v>
      </c>
    </row>
    <row r="140" spans="1:2" x14ac:dyDescent="0.25">
      <c r="A140">
        <v>139</v>
      </c>
      <c r="B140">
        <v>515</v>
      </c>
    </row>
    <row r="141" spans="1:2" x14ac:dyDescent="0.25">
      <c r="A141">
        <v>140</v>
      </c>
      <c r="B141">
        <v>515</v>
      </c>
    </row>
    <row r="142" spans="1:2" x14ac:dyDescent="0.25">
      <c r="A142">
        <v>141</v>
      </c>
      <c r="B142">
        <v>515</v>
      </c>
    </row>
    <row r="143" spans="1:2" x14ac:dyDescent="0.25">
      <c r="A143">
        <v>142</v>
      </c>
      <c r="B143">
        <v>516</v>
      </c>
    </row>
    <row r="144" spans="1:2" x14ac:dyDescent="0.25">
      <c r="A144">
        <v>143</v>
      </c>
      <c r="B144">
        <v>516</v>
      </c>
    </row>
    <row r="145" spans="1:2" x14ac:dyDescent="0.25">
      <c r="A145">
        <v>144</v>
      </c>
      <c r="B145">
        <v>516</v>
      </c>
    </row>
    <row r="146" spans="1:2" x14ac:dyDescent="0.25">
      <c r="A146">
        <v>145</v>
      </c>
      <c r="B146">
        <v>516</v>
      </c>
    </row>
    <row r="147" spans="1:2" x14ac:dyDescent="0.25">
      <c r="A147">
        <v>146</v>
      </c>
      <c r="B147">
        <v>516</v>
      </c>
    </row>
    <row r="148" spans="1:2" x14ac:dyDescent="0.25">
      <c r="A148">
        <v>147</v>
      </c>
      <c r="B148">
        <v>516</v>
      </c>
    </row>
    <row r="149" spans="1:2" x14ac:dyDescent="0.25">
      <c r="A149">
        <v>148</v>
      </c>
      <c r="B149">
        <v>517</v>
      </c>
    </row>
    <row r="150" spans="1:2" x14ac:dyDescent="0.25">
      <c r="A150">
        <v>149</v>
      </c>
      <c r="B150">
        <v>517</v>
      </c>
    </row>
    <row r="151" spans="1:2" x14ac:dyDescent="0.25">
      <c r="A151">
        <v>150</v>
      </c>
      <c r="B151">
        <v>517</v>
      </c>
    </row>
    <row r="152" spans="1:2" x14ac:dyDescent="0.25">
      <c r="A152">
        <v>151</v>
      </c>
      <c r="B152">
        <v>517</v>
      </c>
    </row>
    <row r="153" spans="1:2" x14ac:dyDescent="0.25">
      <c r="A153">
        <v>152</v>
      </c>
      <c r="B153">
        <v>517</v>
      </c>
    </row>
    <row r="154" spans="1:2" x14ac:dyDescent="0.25">
      <c r="A154">
        <v>153</v>
      </c>
      <c r="B154">
        <v>517</v>
      </c>
    </row>
    <row r="155" spans="1:2" x14ac:dyDescent="0.25">
      <c r="A155">
        <v>154</v>
      </c>
      <c r="B155">
        <v>518</v>
      </c>
    </row>
    <row r="156" spans="1:2" x14ac:dyDescent="0.25">
      <c r="A156">
        <v>155</v>
      </c>
      <c r="B156">
        <v>518</v>
      </c>
    </row>
    <row r="157" spans="1:2" x14ac:dyDescent="0.25">
      <c r="A157">
        <v>156</v>
      </c>
      <c r="B157">
        <v>518</v>
      </c>
    </row>
    <row r="158" spans="1:2" x14ac:dyDescent="0.25">
      <c r="A158">
        <v>157</v>
      </c>
      <c r="B158">
        <v>518</v>
      </c>
    </row>
    <row r="159" spans="1:2" x14ac:dyDescent="0.25">
      <c r="A159">
        <v>158</v>
      </c>
      <c r="B159">
        <v>518</v>
      </c>
    </row>
    <row r="160" spans="1:2" x14ac:dyDescent="0.25">
      <c r="A160">
        <v>159</v>
      </c>
      <c r="B160">
        <v>518</v>
      </c>
    </row>
    <row r="161" spans="1:2" x14ac:dyDescent="0.25">
      <c r="A161">
        <v>160</v>
      </c>
      <c r="B161">
        <v>518</v>
      </c>
    </row>
    <row r="162" spans="1:2" x14ac:dyDescent="0.25">
      <c r="A162">
        <v>161</v>
      </c>
      <c r="B162">
        <v>518</v>
      </c>
    </row>
    <row r="163" spans="1:2" x14ac:dyDescent="0.25">
      <c r="A163">
        <v>162</v>
      </c>
      <c r="B163">
        <v>519</v>
      </c>
    </row>
    <row r="164" spans="1:2" x14ac:dyDescent="0.25">
      <c r="A164">
        <v>163</v>
      </c>
      <c r="B164">
        <v>519</v>
      </c>
    </row>
    <row r="165" spans="1:2" x14ac:dyDescent="0.25">
      <c r="A165">
        <v>164</v>
      </c>
      <c r="B165">
        <v>519</v>
      </c>
    </row>
    <row r="166" spans="1:2" x14ac:dyDescent="0.25">
      <c r="A166">
        <v>165</v>
      </c>
      <c r="B166">
        <v>519</v>
      </c>
    </row>
    <row r="167" spans="1:2" x14ac:dyDescent="0.25">
      <c r="A167">
        <v>166</v>
      </c>
      <c r="B167">
        <v>519</v>
      </c>
    </row>
    <row r="168" spans="1:2" x14ac:dyDescent="0.25">
      <c r="A168">
        <v>167</v>
      </c>
      <c r="B168">
        <v>519</v>
      </c>
    </row>
    <row r="169" spans="1:2" x14ac:dyDescent="0.25">
      <c r="A169">
        <v>168</v>
      </c>
      <c r="B169">
        <v>519</v>
      </c>
    </row>
    <row r="170" spans="1:2" x14ac:dyDescent="0.25">
      <c r="A170">
        <v>169</v>
      </c>
      <c r="B170">
        <v>519</v>
      </c>
    </row>
    <row r="171" spans="1:2" x14ac:dyDescent="0.25">
      <c r="A171">
        <v>170</v>
      </c>
      <c r="B171">
        <v>519</v>
      </c>
    </row>
    <row r="172" spans="1:2" x14ac:dyDescent="0.25">
      <c r="A172">
        <v>171</v>
      </c>
      <c r="B172">
        <v>519</v>
      </c>
    </row>
    <row r="173" spans="1:2" x14ac:dyDescent="0.25">
      <c r="A173">
        <v>172</v>
      </c>
      <c r="B173">
        <v>520</v>
      </c>
    </row>
    <row r="174" spans="1:2" x14ac:dyDescent="0.25">
      <c r="A174">
        <v>173</v>
      </c>
      <c r="B174">
        <v>520</v>
      </c>
    </row>
    <row r="175" spans="1:2" x14ac:dyDescent="0.25">
      <c r="A175">
        <v>174</v>
      </c>
      <c r="B175">
        <v>520</v>
      </c>
    </row>
    <row r="176" spans="1:2" x14ac:dyDescent="0.25">
      <c r="A176">
        <v>175</v>
      </c>
      <c r="B176">
        <v>520</v>
      </c>
    </row>
    <row r="177" spans="1:2" x14ac:dyDescent="0.25">
      <c r="A177">
        <v>176</v>
      </c>
      <c r="B177">
        <v>520</v>
      </c>
    </row>
    <row r="178" spans="1:2" x14ac:dyDescent="0.25">
      <c r="A178">
        <v>177</v>
      </c>
      <c r="B178">
        <v>520</v>
      </c>
    </row>
    <row r="179" spans="1:2" x14ac:dyDescent="0.25">
      <c r="A179">
        <v>178</v>
      </c>
      <c r="B179">
        <v>520</v>
      </c>
    </row>
    <row r="180" spans="1:2" x14ac:dyDescent="0.25">
      <c r="A180">
        <v>179</v>
      </c>
      <c r="B180">
        <v>520</v>
      </c>
    </row>
    <row r="181" spans="1:2" x14ac:dyDescent="0.25">
      <c r="A181">
        <v>180</v>
      </c>
      <c r="B181">
        <v>521</v>
      </c>
    </row>
    <row r="182" spans="1:2" x14ac:dyDescent="0.25">
      <c r="A182">
        <v>181</v>
      </c>
      <c r="B182">
        <v>521</v>
      </c>
    </row>
    <row r="183" spans="1:2" x14ac:dyDescent="0.25">
      <c r="A183">
        <v>182</v>
      </c>
      <c r="B183">
        <v>521</v>
      </c>
    </row>
    <row r="184" spans="1:2" x14ac:dyDescent="0.25">
      <c r="A184">
        <v>183</v>
      </c>
      <c r="B184">
        <v>521</v>
      </c>
    </row>
    <row r="185" spans="1:2" x14ac:dyDescent="0.25">
      <c r="A185">
        <v>184</v>
      </c>
      <c r="B185">
        <v>521</v>
      </c>
    </row>
    <row r="186" spans="1:2" x14ac:dyDescent="0.25">
      <c r="A186">
        <v>185</v>
      </c>
      <c r="B186">
        <v>521</v>
      </c>
    </row>
    <row r="187" spans="1:2" x14ac:dyDescent="0.25">
      <c r="A187">
        <v>186</v>
      </c>
      <c r="B187">
        <v>522</v>
      </c>
    </row>
    <row r="188" spans="1:2" x14ac:dyDescent="0.25">
      <c r="A188">
        <v>187</v>
      </c>
      <c r="B188">
        <v>522</v>
      </c>
    </row>
    <row r="189" spans="1:2" x14ac:dyDescent="0.25">
      <c r="A189">
        <v>188</v>
      </c>
      <c r="B189">
        <v>522</v>
      </c>
    </row>
    <row r="190" spans="1:2" x14ac:dyDescent="0.25">
      <c r="A190">
        <v>189</v>
      </c>
      <c r="B190">
        <v>522</v>
      </c>
    </row>
    <row r="191" spans="1:2" x14ac:dyDescent="0.25">
      <c r="A191">
        <v>190</v>
      </c>
      <c r="B191">
        <v>522</v>
      </c>
    </row>
    <row r="192" spans="1:2" x14ac:dyDescent="0.25">
      <c r="A192">
        <v>191</v>
      </c>
      <c r="B192">
        <v>522</v>
      </c>
    </row>
    <row r="193" spans="1:2" x14ac:dyDescent="0.25">
      <c r="A193">
        <v>192</v>
      </c>
      <c r="B193">
        <v>523</v>
      </c>
    </row>
    <row r="194" spans="1:2" x14ac:dyDescent="0.25">
      <c r="A194">
        <v>193</v>
      </c>
      <c r="B194">
        <v>523</v>
      </c>
    </row>
    <row r="195" spans="1:2" x14ac:dyDescent="0.25">
      <c r="A195">
        <v>194</v>
      </c>
      <c r="B195">
        <v>523</v>
      </c>
    </row>
    <row r="196" spans="1:2" x14ac:dyDescent="0.25">
      <c r="A196">
        <v>195</v>
      </c>
      <c r="B196">
        <v>523</v>
      </c>
    </row>
    <row r="197" spans="1:2" x14ac:dyDescent="0.25">
      <c r="A197">
        <v>196</v>
      </c>
      <c r="B197">
        <v>523</v>
      </c>
    </row>
    <row r="198" spans="1:2" x14ac:dyDescent="0.25">
      <c r="A198">
        <v>197</v>
      </c>
      <c r="B198">
        <v>524</v>
      </c>
    </row>
    <row r="199" spans="1:2" x14ac:dyDescent="0.25">
      <c r="A199">
        <v>198</v>
      </c>
      <c r="B199">
        <v>524</v>
      </c>
    </row>
    <row r="200" spans="1:2" x14ac:dyDescent="0.25">
      <c r="A200">
        <v>199</v>
      </c>
      <c r="B200">
        <v>524</v>
      </c>
    </row>
    <row r="201" spans="1:2" x14ac:dyDescent="0.25">
      <c r="A201">
        <v>200</v>
      </c>
      <c r="B201">
        <v>524</v>
      </c>
    </row>
    <row r="202" spans="1:2" x14ac:dyDescent="0.25">
      <c r="A202">
        <v>201</v>
      </c>
      <c r="B202">
        <v>524</v>
      </c>
    </row>
    <row r="203" spans="1:2" x14ac:dyDescent="0.25">
      <c r="A203">
        <v>202</v>
      </c>
      <c r="B203">
        <v>525</v>
      </c>
    </row>
    <row r="204" spans="1:2" x14ac:dyDescent="0.25">
      <c r="A204">
        <v>203</v>
      </c>
      <c r="B204">
        <v>525</v>
      </c>
    </row>
    <row r="205" spans="1:2" x14ac:dyDescent="0.25">
      <c r="A205">
        <v>204</v>
      </c>
      <c r="B205">
        <v>525</v>
      </c>
    </row>
    <row r="206" spans="1:2" x14ac:dyDescent="0.25">
      <c r="A206">
        <v>205</v>
      </c>
      <c r="B206">
        <v>525</v>
      </c>
    </row>
    <row r="207" spans="1:2" x14ac:dyDescent="0.25">
      <c r="A207">
        <v>206</v>
      </c>
      <c r="B207">
        <v>525</v>
      </c>
    </row>
    <row r="208" spans="1:2" x14ac:dyDescent="0.25">
      <c r="A208">
        <v>207</v>
      </c>
      <c r="B208">
        <v>525</v>
      </c>
    </row>
    <row r="209" spans="1:2" x14ac:dyDescent="0.25">
      <c r="A209">
        <v>208</v>
      </c>
      <c r="B209">
        <v>526</v>
      </c>
    </row>
    <row r="210" spans="1:2" x14ac:dyDescent="0.25">
      <c r="A210">
        <v>209</v>
      </c>
      <c r="B210">
        <v>526</v>
      </c>
    </row>
    <row r="211" spans="1:2" x14ac:dyDescent="0.25">
      <c r="A211">
        <v>210</v>
      </c>
      <c r="B211">
        <v>526</v>
      </c>
    </row>
    <row r="212" spans="1:2" x14ac:dyDescent="0.25">
      <c r="A212">
        <v>211</v>
      </c>
      <c r="B212">
        <v>526</v>
      </c>
    </row>
    <row r="213" spans="1:2" x14ac:dyDescent="0.25">
      <c r="A213">
        <v>212</v>
      </c>
      <c r="B213">
        <v>526</v>
      </c>
    </row>
    <row r="214" spans="1:2" x14ac:dyDescent="0.25">
      <c r="A214">
        <v>213</v>
      </c>
      <c r="B214">
        <v>526</v>
      </c>
    </row>
    <row r="215" spans="1:2" x14ac:dyDescent="0.25">
      <c r="A215">
        <v>214</v>
      </c>
      <c r="B215">
        <v>527</v>
      </c>
    </row>
    <row r="216" spans="1:2" x14ac:dyDescent="0.25">
      <c r="A216">
        <v>215</v>
      </c>
      <c r="B216">
        <v>527</v>
      </c>
    </row>
    <row r="217" spans="1:2" x14ac:dyDescent="0.25">
      <c r="A217">
        <v>216</v>
      </c>
      <c r="B217">
        <v>527</v>
      </c>
    </row>
    <row r="218" spans="1:2" x14ac:dyDescent="0.25">
      <c r="A218">
        <v>217</v>
      </c>
      <c r="B218">
        <v>527</v>
      </c>
    </row>
    <row r="219" spans="1:2" x14ac:dyDescent="0.25">
      <c r="A219">
        <v>218</v>
      </c>
      <c r="B219">
        <v>527</v>
      </c>
    </row>
    <row r="220" spans="1:2" x14ac:dyDescent="0.25">
      <c r="A220">
        <v>219</v>
      </c>
      <c r="B220">
        <v>527</v>
      </c>
    </row>
    <row r="221" spans="1:2" x14ac:dyDescent="0.25">
      <c r="A221">
        <v>220</v>
      </c>
      <c r="B221">
        <v>528</v>
      </c>
    </row>
    <row r="222" spans="1:2" x14ac:dyDescent="0.25">
      <c r="A222">
        <v>221</v>
      </c>
      <c r="B222">
        <v>528</v>
      </c>
    </row>
    <row r="223" spans="1:2" x14ac:dyDescent="0.25">
      <c r="A223">
        <v>222</v>
      </c>
      <c r="B223">
        <v>528</v>
      </c>
    </row>
    <row r="224" spans="1:2" x14ac:dyDescent="0.25">
      <c r="A224">
        <v>223</v>
      </c>
      <c r="B224">
        <v>528</v>
      </c>
    </row>
    <row r="225" spans="1:2" x14ac:dyDescent="0.25">
      <c r="A225">
        <v>224</v>
      </c>
      <c r="B225">
        <v>528</v>
      </c>
    </row>
    <row r="226" spans="1:2" x14ac:dyDescent="0.25">
      <c r="A226">
        <v>225</v>
      </c>
      <c r="B226">
        <v>528</v>
      </c>
    </row>
    <row r="227" spans="1:2" x14ac:dyDescent="0.25">
      <c r="A227">
        <v>226</v>
      </c>
      <c r="B227">
        <v>528</v>
      </c>
    </row>
    <row r="228" spans="1:2" x14ac:dyDescent="0.25">
      <c r="A228">
        <v>227</v>
      </c>
      <c r="B228">
        <v>528</v>
      </c>
    </row>
    <row r="229" spans="1:2" x14ac:dyDescent="0.25">
      <c r="A229">
        <v>228</v>
      </c>
      <c r="B229">
        <v>528</v>
      </c>
    </row>
    <row r="230" spans="1:2" x14ac:dyDescent="0.25">
      <c r="A230">
        <v>229</v>
      </c>
      <c r="B230">
        <v>529</v>
      </c>
    </row>
    <row r="231" spans="1:2" x14ac:dyDescent="0.25">
      <c r="A231">
        <v>230</v>
      </c>
      <c r="B231">
        <v>529</v>
      </c>
    </row>
    <row r="232" spans="1:2" x14ac:dyDescent="0.25">
      <c r="A232">
        <v>231</v>
      </c>
      <c r="B232">
        <v>529</v>
      </c>
    </row>
    <row r="233" spans="1:2" x14ac:dyDescent="0.25">
      <c r="A233">
        <v>232</v>
      </c>
      <c r="B233">
        <v>529</v>
      </c>
    </row>
    <row r="234" spans="1:2" x14ac:dyDescent="0.25">
      <c r="A234">
        <v>233</v>
      </c>
      <c r="B234">
        <v>529</v>
      </c>
    </row>
    <row r="235" spans="1:2" x14ac:dyDescent="0.25">
      <c r="A235">
        <v>234</v>
      </c>
      <c r="B235">
        <v>529</v>
      </c>
    </row>
    <row r="236" spans="1:2" x14ac:dyDescent="0.25">
      <c r="A236">
        <v>235</v>
      </c>
      <c r="B236">
        <v>529</v>
      </c>
    </row>
    <row r="237" spans="1:2" x14ac:dyDescent="0.25">
      <c r="A237">
        <v>236</v>
      </c>
      <c r="B237">
        <v>529</v>
      </c>
    </row>
    <row r="238" spans="1:2" x14ac:dyDescent="0.25">
      <c r="A238">
        <v>237</v>
      </c>
      <c r="B238">
        <v>530</v>
      </c>
    </row>
    <row r="239" spans="1:2" x14ac:dyDescent="0.25">
      <c r="A239">
        <v>238</v>
      </c>
      <c r="B239">
        <v>530</v>
      </c>
    </row>
    <row r="240" spans="1:2" x14ac:dyDescent="0.25">
      <c r="A240">
        <v>239</v>
      </c>
      <c r="B240">
        <v>530</v>
      </c>
    </row>
    <row r="241" spans="1:2" x14ac:dyDescent="0.25">
      <c r="A241">
        <v>240</v>
      </c>
      <c r="B241">
        <v>530</v>
      </c>
    </row>
    <row r="242" spans="1:2" x14ac:dyDescent="0.25">
      <c r="A242">
        <v>241</v>
      </c>
      <c r="B242">
        <v>530</v>
      </c>
    </row>
    <row r="243" spans="1:2" x14ac:dyDescent="0.25">
      <c r="A243">
        <v>242</v>
      </c>
      <c r="B243">
        <v>530</v>
      </c>
    </row>
    <row r="244" spans="1:2" x14ac:dyDescent="0.25">
      <c r="A244">
        <v>243</v>
      </c>
      <c r="B244">
        <v>531</v>
      </c>
    </row>
    <row r="245" spans="1:2" x14ac:dyDescent="0.25">
      <c r="A245">
        <v>244</v>
      </c>
      <c r="B245">
        <v>531</v>
      </c>
    </row>
    <row r="246" spans="1:2" x14ac:dyDescent="0.25">
      <c r="A246">
        <v>245</v>
      </c>
      <c r="B246">
        <v>531</v>
      </c>
    </row>
    <row r="247" spans="1:2" x14ac:dyDescent="0.25">
      <c r="A247">
        <v>246</v>
      </c>
      <c r="B247">
        <v>531</v>
      </c>
    </row>
    <row r="248" spans="1:2" x14ac:dyDescent="0.25">
      <c r="A248">
        <v>247</v>
      </c>
      <c r="B248">
        <v>531</v>
      </c>
    </row>
    <row r="249" spans="1:2" x14ac:dyDescent="0.25">
      <c r="A249">
        <v>248</v>
      </c>
      <c r="B249">
        <v>532</v>
      </c>
    </row>
    <row r="250" spans="1:2" x14ac:dyDescent="0.25">
      <c r="A250">
        <v>249</v>
      </c>
      <c r="B250">
        <v>532</v>
      </c>
    </row>
    <row r="251" spans="1:2" x14ac:dyDescent="0.25">
      <c r="A251">
        <v>250</v>
      </c>
      <c r="B251">
        <v>532</v>
      </c>
    </row>
    <row r="252" spans="1:2" x14ac:dyDescent="0.25">
      <c r="A252">
        <v>251</v>
      </c>
      <c r="B252">
        <v>532</v>
      </c>
    </row>
    <row r="253" spans="1:2" x14ac:dyDescent="0.25">
      <c r="A253">
        <v>252</v>
      </c>
      <c r="B253">
        <v>533</v>
      </c>
    </row>
    <row r="254" spans="1:2" x14ac:dyDescent="0.25">
      <c r="A254">
        <v>253</v>
      </c>
      <c r="B254">
        <v>533</v>
      </c>
    </row>
    <row r="255" spans="1:2" x14ac:dyDescent="0.25">
      <c r="A255">
        <v>254</v>
      </c>
      <c r="B255">
        <v>533</v>
      </c>
    </row>
    <row r="256" spans="1:2" x14ac:dyDescent="0.25">
      <c r="A256">
        <v>255</v>
      </c>
      <c r="B256">
        <v>533</v>
      </c>
    </row>
    <row r="257" spans="1:2" x14ac:dyDescent="0.25">
      <c r="A257">
        <v>256</v>
      </c>
      <c r="B257">
        <v>533</v>
      </c>
    </row>
    <row r="258" spans="1:2" x14ac:dyDescent="0.25">
      <c r="A258">
        <v>257</v>
      </c>
      <c r="B258">
        <v>533</v>
      </c>
    </row>
    <row r="259" spans="1:2" x14ac:dyDescent="0.25">
      <c r="A259">
        <v>258</v>
      </c>
      <c r="B259">
        <v>534</v>
      </c>
    </row>
    <row r="260" spans="1:2" x14ac:dyDescent="0.25">
      <c r="A260">
        <v>259</v>
      </c>
      <c r="B260">
        <v>534</v>
      </c>
    </row>
    <row r="261" spans="1:2" x14ac:dyDescent="0.25">
      <c r="A261">
        <v>260</v>
      </c>
      <c r="B261">
        <v>534</v>
      </c>
    </row>
    <row r="262" spans="1:2" x14ac:dyDescent="0.25">
      <c r="A262">
        <v>261</v>
      </c>
      <c r="B262">
        <v>534</v>
      </c>
    </row>
    <row r="263" spans="1:2" x14ac:dyDescent="0.25">
      <c r="A263">
        <v>262</v>
      </c>
      <c r="B263">
        <v>534</v>
      </c>
    </row>
    <row r="264" spans="1:2" x14ac:dyDescent="0.25">
      <c r="A264">
        <v>263</v>
      </c>
      <c r="B264">
        <v>534</v>
      </c>
    </row>
    <row r="265" spans="1:2" x14ac:dyDescent="0.25">
      <c r="A265">
        <v>264</v>
      </c>
      <c r="B265">
        <v>535</v>
      </c>
    </row>
    <row r="266" spans="1:2" x14ac:dyDescent="0.25">
      <c r="A266">
        <v>265</v>
      </c>
      <c r="B266">
        <v>535</v>
      </c>
    </row>
    <row r="267" spans="1:2" x14ac:dyDescent="0.25">
      <c r="A267">
        <v>266</v>
      </c>
      <c r="B267">
        <v>535</v>
      </c>
    </row>
    <row r="268" spans="1:2" x14ac:dyDescent="0.25">
      <c r="A268">
        <v>267</v>
      </c>
      <c r="B268">
        <v>535</v>
      </c>
    </row>
    <row r="269" spans="1:2" x14ac:dyDescent="0.25">
      <c r="A269">
        <v>268</v>
      </c>
      <c r="B269">
        <v>535</v>
      </c>
    </row>
    <row r="270" spans="1:2" x14ac:dyDescent="0.25">
      <c r="A270">
        <v>269</v>
      </c>
      <c r="B270">
        <v>535</v>
      </c>
    </row>
    <row r="271" spans="1:2" x14ac:dyDescent="0.25">
      <c r="A271">
        <v>270</v>
      </c>
      <c r="B271">
        <v>536</v>
      </c>
    </row>
    <row r="272" spans="1:2" x14ac:dyDescent="0.25">
      <c r="A272">
        <v>271</v>
      </c>
      <c r="B272">
        <v>536</v>
      </c>
    </row>
    <row r="273" spans="1:2" x14ac:dyDescent="0.25">
      <c r="A273">
        <v>272</v>
      </c>
      <c r="B273">
        <v>536</v>
      </c>
    </row>
    <row r="274" spans="1:2" x14ac:dyDescent="0.25">
      <c r="A274">
        <v>273</v>
      </c>
      <c r="B274">
        <v>536</v>
      </c>
    </row>
    <row r="275" spans="1:2" x14ac:dyDescent="0.25">
      <c r="A275">
        <v>274</v>
      </c>
      <c r="B275">
        <v>536</v>
      </c>
    </row>
    <row r="276" spans="1:2" x14ac:dyDescent="0.25">
      <c r="A276">
        <v>275</v>
      </c>
      <c r="B276">
        <v>536</v>
      </c>
    </row>
    <row r="277" spans="1:2" x14ac:dyDescent="0.25">
      <c r="A277">
        <v>276</v>
      </c>
      <c r="B277">
        <v>536</v>
      </c>
    </row>
    <row r="278" spans="1:2" x14ac:dyDescent="0.25">
      <c r="A278">
        <v>277</v>
      </c>
      <c r="B278">
        <v>536</v>
      </c>
    </row>
    <row r="279" spans="1:2" x14ac:dyDescent="0.25">
      <c r="A279">
        <v>278</v>
      </c>
      <c r="B279">
        <v>536</v>
      </c>
    </row>
    <row r="280" spans="1:2" x14ac:dyDescent="0.25">
      <c r="A280">
        <v>279</v>
      </c>
      <c r="B280">
        <v>536</v>
      </c>
    </row>
    <row r="281" spans="1:2" x14ac:dyDescent="0.25">
      <c r="A281">
        <v>280</v>
      </c>
      <c r="B281">
        <v>537</v>
      </c>
    </row>
    <row r="282" spans="1:2" x14ac:dyDescent="0.25">
      <c r="A282">
        <v>281</v>
      </c>
      <c r="B282">
        <v>537</v>
      </c>
    </row>
    <row r="283" spans="1:2" x14ac:dyDescent="0.25">
      <c r="A283">
        <v>282</v>
      </c>
      <c r="B283">
        <v>537</v>
      </c>
    </row>
    <row r="284" spans="1:2" x14ac:dyDescent="0.25">
      <c r="A284">
        <v>283</v>
      </c>
      <c r="B284">
        <v>537</v>
      </c>
    </row>
    <row r="285" spans="1:2" x14ac:dyDescent="0.25">
      <c r="A285">
        <v>284</v>
      </c>
      <c r="B285">
        <v>537</v>
      </c>
    </row>
    <row r="286" spans="1:2" x14ac:dyDescent="0.25">
      <c r="A286">
        <v>285</v>
      </c>
      <c r="B286">
        <v>537</v>
      </c>
    </row>
    <row r="287" spans="1:2" x14ac:dyDescent="0.25">
      <c r="A287">
        <v>286</v>
      </c>
      <c r="B287">
        <v>537</v>
      </c>
    </row>
    <row r="288" spans="1:2" x14ac:dyDescent="0.25">
      <c r="A288">
        <v>287</v>
      </c>
      <c r="B288">
        <v>537</v>
      </c>
    </row>
    <row r="289" spans="1:2" x14ac:dyDescent="0.25">
      <c r="A289">
        <v>288</v>
      </c>
      <c r="B289">
        <v>537</v>
      </c>
    </row>
    <row r="290" spans="1:2" x14ac:dyDescent="0.25">
      <c r="A290">
        <v>289</v>
      </c>
      <c r="B290">
        <v>537</v>
      </c>
    </row>
    <row r="291" spans="1:2" x14ac:dyDescent="0.25">
      <c r="A291">
        <v>290</v>
      </c>
      <c r="B291">
        <v>538</v>
      </c>
    </row>
    <row r="292" spans="1:2" x14ac:dyDescent="0.25">
      <c r="A292">
        <v>291</v>
      </c>
      <c r="B292">
        <v>538</v>
      </c>
    </row>
    <row r="293" spans="1:2" x14ac:dyDescent="0.25">
      <c r="A293">
        <v>292</v>
      </c>
      <c r="B293">
        <v>538</v>
      </c>
    </row>
    <row r="294" spans="1:2" x14ac:dyDescent="0.25">
      <c r="A294">
        <v>293</v>
      </c>
      <c r="B294">
        <v>538</v>
      </c>
    </row>
    <row r="295" spans="1:2" x14ac:dyDescent="0.25">
      <c r="A295">
        <v>294</v>
      </c>
      <c r="B295">
        <v>538</v>
      </c>
    </row>
    <row r="296" spans="1:2" x14ac:dyDescent="0.25">
      <c r="A296">
        <v>295</v>
      </c>
      <c r="B296">
        <v>538</v>
      </c>
    </row>
    <row r="297" spans="1:2" x14ac:dyDescent="0.25">
      <c r="A297">
        <v>296</v>
      </c>
      <c r="B297">
        <v>538</v>
      </c>
    </row>
    <row r="298" spans="1:2" x14ac:dyDescent="0.25">
      <c r="A298">
        <v>297</v>
      </c>
      <c r="B298">
        <v>538</v>
      </c>
    </row>
    <row r="299" spans="1:2" x14ac:dyDescent="0.25">
      <c r="A299">
        <v>298</v>
      </c>
      <c r="B299">
        <v>538</v>
      </c>
    </row>
    <row r="300" spans="1:2" x14ac:dyDescent="0.25">
      <c r="A300">
        <v>299</v>
      </c>
      <c r="B300">
        <v>538</v>
      </c>
    </row>
    <row r="301" spans="1:2" x14ac:dyDescent="0.25">
      <c r="A301">
        <v>300</v>
      </c>
      <c r="B301">
        <v>538</v>
      </c>
    </row>
    <row r="302" spans="1:2" x14ac:dyDescent="0.25">
      <c r="A302">
        <v>301</v>
      </c>
      <c r="B302">
        <v>538</v>
      </c>
    </row>
    <row r="303" spans="1:2" x14ac:dyDescent="0.25">
      <c r="A303">
        <v>302</v>
      </c>
      <c r="B303">
        <v>538</v>
      </c>
    </row>
    <row r="304" spans="1:2" x14ac:dyDescent="0.25">
      <c r="A304">
        <v>303</v>
      </c>
      <c r="B304">
        <v>538</v>
      </c>
    </row>
    <row r="305" spans="1:2" x14ac:dyDescent="0.25">
      <c r="A305">
        <v>304</v>
      </c>
      <c r="B305">
        <v>538</v>
      </c>
    </row>
    <row r="306" spans="1:2" x14ac:dyDescent="0.25">
      <c r="A306">
        <v>305</v>
      </c>
      <c r="B306">
        <v>538</v>
      </c>
    </row>
    <row r="307" spans="1:2" x14ac:dyDescent="0.25">
      <c r="A307">
        <v>306</v>
      </c>
      <c r="B307">
        <v>539</v>
      </c>
    </row>
    <row r="308" spans="1:2" x14ac:dyDescent="0.25">
      <c r="A308">
        <v>307</v>
      </c>
      <c r="B308">
        <v>539</v>
      </c>
    </row>
    <row r="309" spans="1:2" x14ac:dyDescent="0.25">
      <c r="A309">
        <v>308</v>
      </c>
      <c r="B309">
        <v>539</v>
      </c>
    </row>
    <row r="310" spans="1:2" x14ac:dyDescent="0.25">
      <c r="A310">
        <v>309</v>
      </c>
      <c r="B310">
        <v>539</v>
      </c>
    </row>
    <row r="311" spans="1:2" x14ac:dyDescent="0.25">
      <c r="A311">
        <v>310</v>
      </c>
      <c r="B311">
        <v>539</v>
      </c>
    </row>
    <row r="312" spans="1:2" x14ac:dyDescent="0.25">
      <c r="A312">
        <v>311</v>
      </c>
      <c r="B312">
        <v>539</v>
      </c>
    </row>
    <row r="313" spans="1:2" x14ac:dyDescent="0.25">
      <c r="A313">
        <v>312</v>
      </c>
      <c r="B313">
        <v>539</v>
      </c>
    </row>
    <row r="314" spans="1:2" x14ac:dyDescent="0.25">
      <c r="A314">
        <v>313</v>
      </c>
      <c r="B314">
        <v>539</v>
      </c>
    </row>
    <row r="315" spans="1:2" x14ac:dyDescent="0.25">
      <c r="A315">
        <v>314</v>
      </c>
      <c r="B315">
        <v>539</v>
      </c>
    </row>
    <row r="316" spans="1:2" x14ac:dyDescent="0.25">
      <c r="A316">
        <v>315</v>
      </c>
      <c r="B316">
        <v>539</v>
      </c>
    </row>
    <row r="317" spans="1:2" x14ac:dyDescent="0.25">
      <c r="A317">
        <v>316</v>
      </c>
      <c r="B317">
        <v>540</v>
      </c>
    </row>
    <row r="318" spans="1:2" x14ac:dyDescent="0.25">
      <c r="A318">
        <v>317</v>
      </c>
      <c r="B318">
        <v>540</v>
      </c>
    </row>
    <row r="319" spans="1:2" x14ac:dyDescent="0.25">
      <c r="A319">
        <v>318</v>
      </c>
      <c r="B319">
        <v>540</v>
      </c>
    </row>
    <row r="320" spans="1:2" x14ac:dyDescent="0.25">
      <c r="A320">
        <v>319</v>
      </c>
      <c r="B320">
        <v>540</v>
      </c>
    </row>
    <row r="321" spans="1:2" x14ac:dyDescent="0.25">
      <c r="A321">
        <v>320</v>
      </c>
      <c r="B321">
        <v>540</v>
      </c>
    </row>
    <row r="322" spans="1:2" x14ac:dyDescent="0.25">
      <c r="A322">
        <v>321</v>
      </c>
      <c r="B322">
        <v>540</v>
      </c>
    </row>
    <row r="323" spans="1:2" x14ac:dyDescent="0.25">
      <c r="A323">
        <v>322</v>
      </c>
      <c r="B323">
        <v>540</v>
      </c>
    </row>
    <row r="324" spans="1:2" x14ac:dyDescent="0.25">
      <c r="A324">
        <v>323</v>
      </c>
      <c r="B324">
        <v>540</v>
      </c>
    </row>
    <row r="325" spans="1:2" x14ac:dyDescent="0.25">
      <c r="A325">
        <v>324</v>
      </c>
      <c r="B325">
        <v>540</v>
      </c>
    </row>
    <row r="326" spans="1:2" x14ac:dyDescent="0.25">
      <c r="A326">
        <v>325</v>
      </c>
      <c r="B326">
        <v>540</v>
      </c>
    </row>
    <row r="327" spans="1:2" x14ac:dyDescent="0.25">
      <c r="A327">
        <v>326</v>
      </c>
      <c r="B327">
        <v>540</v>
      </c>
    </row>
    <row r="328" spans="1:2" x14ac:dyDescent="0.25">
      <c r="A328">
        <v>327</v>
      </c>
      <c r="B328">
        <v>540</v>
      </c>
    </row>
    <row r="329" spans="1:2" x14ac:dyDescent="0.25">
      <c r="A329">
        <v>328</v>
      </c>
      <c r="B329">
        <v>541</v>
      </c>
    </row>
    <row r="330" spans="1:2" x14ac:dyDescent="0.25">
      <c r="A330">
        <v>329</v>
      </c>
      <c r="B330">
        <v>541</v>
      </c>
    </row>
    <row r="331" spans="1:2" x14ac:dyDescent="0.25">
      <c r="A331">
        <v>330</v>
      </c>
      <c r="B331">
        <v>541</v>
      </c>
    </row>
    <row r="332" spans="1:2" x14ac:dyDescent="0.25">
      <c r="A332">
        <v>331</v>
      </c>
      <c r="B332">
        <v>541</v>
      </c>
    </row>
    <row r="333" spans="1:2" x14ac:dyDescent="0.25">
      <c r="A333">
        <v>332</v>
      </c>
      <c r="B333">
        <v>541</v>
      </c>
    </row>
    <row r="334" spans="1:2" x14ac:dyDescent="0.25">
      <c r="A334">
        <v>333</v>
      </c>
      <c r="B334">
        <v>541</v>
      </c>
    </row>
    <row r="335" spans="1:2" x14ac:dyDescent="0.25">
      <c r="A335">
        <v>334</v>
      </c>
      <c r="B335">
        <v>542</v>
      </c>
    </row>
    <row r="336" spans="1:2" x14ac:dyDescent="0.25">
      <c r="A336">
        <v>335</v>
      </c>
      <c r="B336">
        <v>542</v>
      </c>
    </row>
    <row r="337" spans="1:2" x14ac:dyDescent="0.25">
      <c r="A337">
        <v>336</v>
      </c>
      <c r="B337">
        <v>542</v>
      </c>
    </row>
    <row r="338" spans="1:2" x14ac:dyDescent="0.25">
      <c r="A338">
        <v>337</v>
      </c>
      <c r="B338">
        <v>542</v>
      </c>
    </row>
    <row r="339" spans="1:2" x14ac:dyDescent="0.25">
      <c r="A339">
        <v>338</v>
      </c>
      <c r="B339">
        <v>542</v>
      </c>
    </row>
    <row r="340" spans="1:2" x14ac:dyDescent="0.25">
      <c r="A340">
        <v>339</v>
      </c>
      <c r="B340">
        <v>542</v>
      </c>
    </row>
    <row r="341" spans="1:2" x14ac:dyDescent="0.25">
      <c r="A341">
        <v>340</v>
      </c>
      <c r="B341">
        <v>542</v>
      </c>
    </row>
    <row r="342" spans="1:2" x14ac:dyDescent="0.25">
      <c r="A342">
        <v>341</v>
      </c>
      <c r="B342">
        <v>542</v>
      </c>
    </row>
    <row r="343" spans="1:2" x14ac:dyDescent="0.25">
      <c r="A343">
        <v>342</v>
      </c>
      <c r="B343">
        <v>543</v>
      </c>
    </row>
    <row r="344" spans="1:2" x14ac:dyDescent="0.25">
      <c r="A344">
        <v>343</v>
      </c>
      <c r="B344">
        <v>543</v>
      </c>
    </row>
    <row r="345" spans="1:2" x14ac:dyDescent="0.25">
      <c r="A345">
        <v>344</v>
      </c>
      <c r="B345">
        <v>543</v>
      </c>
    </row>
    <row r="346" spans="1:2" x14ac:dyDescent="0.25">
      <c r="A346">
        <v>345</v>
      </c>
      <c r="B346">
        <v>543</v>
      </c>
    </row>
    <row r="347" spans="1:2" x14ac:dyDescent="0.25">
      <c r="A347">
        <v>346</v>
      </c>
      <c r="B347">
        <v>543</v>
      </c>
    </row>
    <row r="348" spans="1:2" x14ac:dyDescent="0.25">
      <c r="A348">
        <v>347</v>
      </c>
      <c r="B348">
        <v>543</v>
      </c>
    </row>
    <row r="349" spans="1:2" x14ac:dyDescent="0.25">
      <c r="A349">
        <v>348</v>
      </c>
      <c r="B349">
        <v>543</v>
      </c>
    </row>
    <row r="350" spans="1:2" x14ac:dyDescent="0.25">
      <c r="A350">
        <v>349</v>
      </c>
      <c r="B350">
        <v>543</v>
      </c>
    </row>
    <row r="351" spans="1:2" x14ac:dyDescent="0.25">
      <c r="A351">
        <v>350</v>
      </c>
      <c r="B351">
        <v>544</v>
      </c>
    </row>
    <row r="352" spans="1:2" x14ac:dyDescent="0.25">
      <c r="A352">
        <v>351</v>
      </c>
      <c r="B352">
        <v>544</v>
      </c>
    </row>
    <row r="353" spans="1:2" x14ac:dyDescent="0.25">
      <c r="A353">
        <v>352</v>
      </c>
      <c r="B353">
        <v>544</v>
      </c>
    </row>
    <row r="354" spans="1:2" x14ac:dyDescent="0.25">
      <c r="A354">
        <v>353</v>
      </c>
      <c r="B354">
        <v>544</v>
      </c>
    </row>
    <row r="355" spans="1:2" x14ac:dyDescent="0.25">
      <c r="A355">
        <v>354</v>
      </c>
      <c r="B355">
        <v>544</v>
      </c>
    </row>
    <row r="356" spans="1:2" x14ac:dyDescent="0.25">
      <c r="A356">
        <v>355</v>
      </c>
      <c r="B356">
        <v>544</v>
      </c>
    </row>
    <row r="357" spans="1:2" x14ac:dyDescent="0.25">
      <c r="A357">
        <v>356</v>
      </c>
      <c r="B357">
        <v>544</v>
      </c>
    </row>
    <row r="358" spans="1:2" x14ac:dyDescent="0.25">
      <c r="A358">
        <v>357</v>
      </c>
      <c r="B358">
        <v>544</v>
      </c>
    </row>
    <row r="359" spans="1:2" x14ac:dyDescent="0.25">
      <c r="A359">
        <v>358</v>
      </c>
      <c r="B359">
        <v>545</v>
      </c>
    </row>
    <row r="360" spans="1:2" x14ac:dyDescent="0.25">
      <c r="A360">
        <v>359</v>
      </c>
      <c r="B360">
        <v>545</v>
      </c>
    </row>
    <row r="361" spans="1:2" x14ac:dyDescent="0.25">
      <c r="A361">
        <v>360</v>
      </c>
      <c r="B361">
        <v>545</v>
      </c>
    </row>
    <row r="362" spans="1:2" x14ac:dyDescent="0.25">
      <c r="A362">
        <v>361</v>
      </c>
      <c r="B362">
        <v>545</v>
      </c>
    </row>
    <row r="363" spans="1:2" x14ac:dyDescent="0.25">
      <c r="A363">
        <v>362</v>
      </c>
      <c r="B363">
        <v>545</v>
      </c>
    </row>
    <row r="364" spans="1:2" x14ac:dyDescent="0.25">
      <c r="A364">
        <v>363</v>
      </c>
      <c r="B364">
        <v>545</v>
      </c>
    </row>
    <row r="365" spans="1:2" x14ac:dyDescent="0.25">
      <c r="A365">
        <v>364</v>
      </c>
      <c r="B365">
        <v>546</v>
      </c>
    </row>
    <row r="366" spans="1:2" x14ac:dyDescent="0.25">
      <c r="A366">
        <v>365</v>
      </c>
      <c r="B366">
        <v>546</v>
      </c>
    </row>
    <row r="367" spans="1:2" x14ac:dyDescent="0.25">
      <c r="A367">
        <v>366</v>
      </c>
      <c r="B367">
        <v>546</v>
      </c>
    </row>
    <row r="368" spans="1:2" x14ac:dyDescent="0.25">
      <c r="A368">
        <v>367</v>
      </c>
      <c r="B368">
        <v>546</v>
      </c>
    </row>
    <row r="369" spans="1:2" x14ac:dyDescent="0.25">
      <c r="A369">
        <v>368</v>
      </c>
      <c r="B369">
        <v>546</v>
      </c>
    </row>
    <row r="370" spans="1:2" x14ac:dyDescent="0.25">
      <c r="A370">
        <v>369</v>
      </c>
      <c r="B370">
        <v>546</v>
      </c>
    </row>
    <row r="371" spans="1:2" x14ac:dyDescent="0.25">
      <c r="A371">
        <v>370</v>
      </c>
      <c r="B371">
        <v>547</v>
      </c>
    </row>
    <row r="372" spans="1:2" x14ac:dyDescent="0.25">
      <c r="A372">
        <v>371</v>
      </c>
      <c r="B372">
        <v>547</v>
      </c>
    </row>
    <row r="373" spans="1:2" x14ac:dyDescent="0.25">
      <c r="A373">
        <v>372</v>
      </c>
      <c r="B373">
        <v>547</v>
      </c>
    </row>
    <row r="374" spans="1:2" x14ac:dyDescent="0.25">
      <c r="A374">
        <v>373</v>
      </c>
      <c r="B374">
        <v>547</v>
      </c>
    </row>
    <row r="375" spans="1:2" x14ac:dyDescent="0.25">
      <c r="A375">
        <v>374</v>
      </c>
      <c r="B375">
        <v>547</v>
      </c>
    </row>
    <row r="376" spans="1:2" x14ac:dyDescent="0.25">
      <c r="A376">
        <v>375</v>
      </c>
      <c r="B376">
        <v>547</v>
      </c>
    </row>
    <row r="377" spans="1:2" x14ac:dyDescent="0.25">
      <c r="A377">
        <v>376</v>
      </c>
      <c r="B377">
        <v>548</v>
      </c>
    </row>
    <row r="378" spans="1:2" x14ac:dyDescent="0.25">
      <c r="A378">
        <v>377</v>
      </c>
      <c r="B378">
        <v>548</v>
      </c>
    </row>
    <row r="379" spans="1:2" x14ac:dyDescent="0.25">
      <c r="A379">
        <v>378</v>
      </c>
      <c r="B379">
        <v>548</v>
      </c>
    </row>
    <row r="380" spans="1:2" x14ac:dyDescent="0.25">
      <c r="A380">
        <v>379</v>
      </c>
      <c r="B380">
        <v>548</v>
      </c>
    </row>
    <row r="381" spans="1:2" x14ac:dyDescent="0.25">
      <c r="A381">
        <v>380</v>
      </c>
      <c r="B381">
        <v>548</v>
      </c>
    </row>
    <row r="382" spans="1:2" x14ac:dyDescent="0.25">
      <c r="A382">
        <v>381</v>
      </c>
      <c r="B382">
        <v>548</v>
      </c>
    </row>
    <row r="383" spans="1:2" x14ac:dyDescent="0.25">
      <c r="A383">
        <v>382</v>
      </c>
      <c r="B383">
        <v>548</v>
      </c>
    </row>
    <row r="384" spans="1:2" x14ac:dyDescent="0.25">
      <c r="A384">
        <v>383</v>
      </c>
      <c r="B384">
        <v>548</v>
      </c>
    </row>
    <row r="385" spans="1:2" x14ac:dyDescent="0.25">
      <c r="A385">
        <v>384</v>
      </c>
      <c r="B385">
        <v>549</v>
      </c>
    </row>
    <row r="386" spans="1:2" x14ac:dyDescent="0.25">
      <c r="A386">
        <v>385</v>
      </c>
      <c r="B386">
        <v>549</v>
      </c>
    </row>
    <row r="387" spans="1:2" x14ac:dyDescent="0.25">
      <c r="A387">
        <v>386</v>
      </c>
      <c r="B387">
        <v>549</v>
      </c>
    </row>
    <row r="388" spans="1:2" x14ac:dyDescent="0.25">
      <c r="A388">
        <v>387</v>
      </c>
      <c r="B388">
        <v>549</v>
      </c>
    </row>
    <row r="389" spans="1:2" x14ac:dyDescent="0.25">
      <c r="A389">
        <v>388</v>
      </c>
      <c r="B389">
        <v>549</v>
      </c>
    </row>
    <row r="390" spans="1:2" x14ac:dyDescent="0.25">
      <c r="A390">
        <v>389</v>
      </c>
      <c r="B390">
        <v>549</v>
      </c>
    </row>
    <row r="391" spans="1:2" x14ac:dyDescent="0.25">
      <c r="A391">
        <v>390</v>
      </c>
      <c r="B391">
        <v>549</v>
      </c>
    </row>
    <row r="392" spans="1:2" x14ac:dyDescent="0.25">
      <c r="A392">
        <v>391</v>
      </c>
      <c r="B392">
        <v>549</v>
      </c>
    </row>
    <row r="393" spans="1:2" x14ac:dyDescent="0.25">
      <c r="A393">
        <v>392</v>
      </c>
      <c r="B393">
        <v>550</v>
      </c>
    </row>
    <row r="394" spans="1:2" x14ac:dyDescent="0.25">
      <c r="A394">
        <v>393</v>
      </c>
      <c r="B394">
        <v>550</v>
      </c>
    </row>
    <row r="395" spans="1:2" x14ac:dyDescent="0.25">
      <c r="A395">
        <v>394</v>
      </c>
      <c r="B395">
        <v>550</v>
      </c>
    </row>
    <row r="396" spans="1:2" x14ac:dyDescent="0.25">
      <c r="A396">
        <v>395</v>
      </c>
      <c r="B396">
        <v>550</v>
      </c>
    </row>
    <row r="397" spans="1:2" x14ac:dyDescent="0.25">
      <c r="A397">
        <v>396</v>
      </c>
      <c r="B397">
        <v>550</v>
      </c>
    </row>
    <row r="398" spans="1:2" x14ac:dyDescent="0.25">
      <c r="A398">
        <v>397</v>
      </c>
      <c r="B398">
        <v>550</v>
      </c>
    </row>
    <row r="399" spans="1:2" x14ac:dyDescent="0.25">
      <c r="A399">
        <v>398</v>
      </c>
      <c r="B399">
        <v>551</v>
      </c>
    </row>
    <row r="400" spans="1:2" x14ac:dyDescent="0.25">
      <c r="A400">
        <v>399</v>
      </c>
      <c r="B400">
        <v>551</v>
      </c>
    </row>
    <row r="401" spans="1:2" x14ac:dyDescent="0.25">
      <c r="A401">
        <v>400</v>
      </c>
      <c r="B401">
        <v>551</v>
      </c>
    </row>
    <row r="402" spans="1:2" x14ac:dyDescent="0.25">
      <c r="A402">
        <v>401</v>
      </c>
      <c r="B402">
        <v>551</v>
      </c>
    </row>
    <row r="403" spans="1:2" x14ac:dyDescent="0.25">
      <c r="A403">
        <v>402</v>
      </c>
      <c r="B403">
        <v>551</v>
      </c>
    </row>
    <row r="404" spans="1:2" x14ac:dyDescent="0.25">
      <c r="A404">
        <v>403</v>
      </c>
      <c r="B404">
        <v>551</v>
      </c>
    </row>
    <row r="405" spans="1:2" x14ac:dyDescent="0.25">
      <c r="A405">
        <v>404</v>
      </c>
      <c r="B405">
        <v>552</v>
      </c>
    </row>
    <row r="406" spans="1:2" x14ac:dyDescent="0.25">
      <c r="A406">
        <v>405</v>
      </c>
      <c r="B406">
        <v>552</v>
      </c>
    </row>
    <row r="407" spans="1:2" x14ac:dyDescent="0.25">
      <c r="A407">
        <v>406</v>
      </c>
      <c r="B407">
        <v>552</v>
      </c>
    </row>
    <row r="408" spans="1:2" x14ac:dyDescent="0.25">
      <c r="A408">
        <v>407</v>
      </c>
      <c r="B408">
        <v>552</v>
      </c>
    </row>
    <row r="409" spans="1:2" x14ac:dyDescent="0.25">
      <c r="A409">
        <v>408</v>
      </c>
      <c r="B409">
        <v>552</v>
      </c>
    </row>
    <row r="410" spans="1:2" x14ac:dyDescent="0.25">
      <c r="A410">
        <v>409</v>
      </c>
      <c r="B410">
        <v>552</v>
      </c>
    </row>
    <row r="411" spans="1:2" x14ac:dyDescent="0.25">
      <c r="A411">
        <v>410</v>
      </c>
      <c r="B411">
        <v>553</v>
      </c>
    </row>
    <row r="412" spans="1:2" x14ac:dyDescent="0.25">
      <c r="A412">
        <v>411</v>
      </c>
      <c r="B412">
        <v>553</v>
      </c>
    </row>
    <row r="413" spans="1:2" x14ac:dyDescent="0.25">
      <c r="A413">
        <v>412</v>
      </c>
      <c r="B413">
        <v>553</v>
      </c>
    </row>
    <row r="414" spans="1:2" x14ac:dyDescent="0.25">
      <c r="A414">
        <v>413</v>
      </c>
      <c r="B414">
        <v>553</v>
      </c>
    </row>
    <row r="415" spans="1:2" x14ac:dyDescent="0.25">
      <c r="A415">
        <v>414</v>
      </c>
      <c r="B415">
        <v>553</v>
      </c>
    </row>
    <row r="416" spans="1:2" x14ac:dyDescent="0.25">
      <c r="A416">
        <v>415</v>
      </c>
      <c r="B416">
        <v>553</v>
      </c>
    </row>
    <row r="417" spans="1:2" x14ac:dyDescent="0.25">
      <c r="A417">
        <v>416</v>
      </c>
      <c r="B417">
        <v>554</v>
      </c>
    </row>
    <row r="418" spans="1:2" x14ac:dyDescent="0.25">
      <c r="A418">
        <v>417</v>
      </c>
      <c r="B418">
        <v>554</v>
      </c>
    </row>
    <row r="419" spans="1:2" x14ac:dyDescent="0.25">
      <c r="A419">
        <v>418</v>
      </c>
      <c r="B419">
        <v>554</v>
      </c>
    </row>
    <row r="420" spans="1:2" x14ac:dyDescent="0.25">
      <c r="A420">
        <v>419</v>
      </c>
      <c r="B420">
        <v>554</v>
      </c>
    </row>
    <row r="421" spans="1:2" x14ac:dyDescent="0.25">
      <c r="A421">
        <v>420</v>
      </c>
      <c r="B421">
        <v>554</v>
      </c>
    </row>
    <row r="422" spans="1:2" x14ac:dyDescent="0.25">
      <c r="A422">
        <v>421</v>
      </c>
      <c r="B422">
        <v>554</v>
      </c>
    </row>
    <row r="423" spans="1:2" x14ac:dyDescent="0.25">
      <c r="A423">
        <v>422</v>
      </c>
      <c r="B423">
        <v>555</v>
      </c>
    </row>
    <row r="424" spans="1:2" x14ac:dyDescent="0.25">
      <c r="A424">
        <v>423</v>
      </c>
      <c r="B424">
        <v>555</v>
      </c>
    </row>
    <row r="425" spans="1:2" x14ac:dyDescent="0.25">
      <c r="A425">
        <v>424</v>
      </c>
      <c r="B425">
        <v>555</v>
      </c>
    </row>
    <row r="426" spans="1:2" x14ac:dyDescent="0.25">
      <c r="A426">
        <v>425</v>
      </c>
      <c r="B426">
        <v>555</v>
      </c>
    </row>
    <row r="427" spans="1:2" x14ac:dyDescent="0.25">
      <c r="A427">
        <v>426</v>
      </c>
      <c r="B427">
        <v>555</v>
      </c>
    </row>
    <row r="428" spans="1:2" x14ac:dyDescent="0.25">
      <c r="A428">
        <v>427</v>
      </c>
      <c r="B428">
        <v>555</v>
      </c>
    </row>
    <row r="429" spans="1:2" x14ac:dyDescent="0.25">
      <c r="A429">
        <v>428</v>
      </c>
      <c r="B429">
        <v>555</v>
      </c>
    </row>
    <row r="430" spans="1:2" x14ac:dyDescent="0.25">
      <c r="A430">
        <v>429</v>
      </c>
      <c r="B430">
        <v>555</v>
      </c>
    </row>
    <row r="431" spans="1:2" x14ac:dyDescent="0.25">
      <c r="A431">
        <v>430</v>
      </c>
      <c r="B431">
        <v>555</v>
      </c>
    </row>
    <row r="432" spans="1:2" x14ac:dyDescent="0.25">
      <c r="A432">
        <v>431</v>
      </c>
      <c r="B432">
        <v>555</v>
      </c>
    </row>
    <row r="433" spans="1:2" x14ac:dyDescent="0.25">
      <c r="A433">
        <v>432</v>
      </c>
      <c r="B433">
        <v>556</v>
      </c>
    </row>
    <row r="434" spans="1:2" x14ac:dyDescent="0.25">
      <c r="A434">
        <v>433</v>
      </c>
      <c r="B434">
        <v>556</v>
      </c>
    </row>
    <row r="435" spans="1:2" x14ac:dyDescent="0.25">
      <c r="A435">
        <v>434</v>
      </c>
      <c r="B435">
        <v>556</v>
      </c>
    </row>
    <row r="436" spans="1:2" x14ac:dyDescent="0.25">
      <c r="A436">
        <v>435</v>
      </c>
      <c r="B436">
        <v>556</v>
      </c>
    </row>
    <row r="437" spans="1:2" x14ac:dyDescent="0.25">
      <c r="A437">
        <v>436</v>
      </c>
      <c r="B437">
        <v>556</v>
      </c>
    </row>
    <row r="438" spans="1:2" x14ac:dyDescent="0.25">
      <c r="A438">
        <v>437</v>
      </c>
      <c r="B438">
        <v>556</v>
      </c>
    </row>
    <row r="439" spans="1:2" x14ac:dyDescent="0.25">
      <c r="A439">
        <v>438</v>
      </c>
      <c r="B439">
        <v>556</v>
      </c>
    </row>
    <row r="440" spans="1:2" x14ac:dyDescent="0.25">
      <c r="A440">
        <v>439</v>
      </c>
      <c r="B440">
        <v>556</v>
      </c>
    </row>
    <row r="441" spans="1:2" x14ac:dyDescent="0.25">
      <c r="A441">
        <v>440</v>
      </c>
      <c r="B441">
        <v>556</v>
      </c>
    </row>
    <row r="442" spans="1:2" x14ac:dyDescent="0.25">
      <c r="A442">
        <v>441</v>
      </c>
      <c r="B442">
        <v>556</v>
      </c>
    </row>
    <row r="443" spans="1:2" x14ac:dyDescent="0.25">
      <c r="A443">
        <v>442</v>
      </c>
      <c r="B443">
        <v>557</v>
      </c>
    </row>
    <row r="444" spans="1:2" x14ac:dyDescent="0.25">
      <c r="A444">
        <v>443</v>
      </c>
      <c r="B444">
        <v>557</v>
      </c>
    </row>
    <row r="445" spans="1:2" x14ac:dyDescent="0.25">
      <c r="A445">
        <v>444</v>
      </c>
      <c r="B445">
        <v>557</v>
      </c>
    </row>
    <row r="446" spans="1:2" x14ac:dyDescent="0.25">
      <c r="A446">
        <v>445</v>
      </c>
      <c r="B446">
        <v>557</v>
      </c>
    </row>
    <row r="447" spans="1:2" x14ac:dyDescent="0.25">
      <c r="A447">
        <v>446</v>
      </c>
      <c r="B447">
        <v>557</v>
      </c>
    </row>
    <row r="448" spans="1:2" x14ac:dyDescent="0.25">
      <c r="A448">
        <v>447</v>
      </c>
      <c r="B448">
        <v>557</v>
      </c>
    </row>
    <row r="449" spans="1:2" x14ac:dyDescent="0.25">
      <c r="A449">
        <v>448</v>
      </c>
      <c r="B449">
        <v>557</v>
      </c>
    </row>
    <row r="450" spans="1:2" x14ac:dyDescent="0.25">
      <c r="A450">
        <v>449</v>
      </c>
      <c r="B450">
        <v>557</v>
      </c>
    </row>
    <row r="451" spans="1:2" x14ac:dyDescent="0.25">
      <c r="A451">
        <v>450</v>
      </c>
      <c r="B451">
        <v>557</v>
      </c>
    </row>
    <row r="452" spans="1:2" x14ac:dyDescent="0.25">
      <c r="A452">
        <v>451</v>
      </c>
      <c r="B452">
        <v>557</v>
      </c>
    </row>
    <row r="453" spans="1:2" x14ac:dyDescent="0.25">
      <c r="A453">
        <v>452</v>
      </c>
      <c r="B453">
        <v>558</v>
      </c>
    </row>
    <row r="454" spans="1:2" x14ac:dyDescent="0.25">
      <c r="A454">
        <v>453</v>
      </c>
      <c r="B454">
        <v>558</v>
      </c>
    </row>
    <row r="455" spans="1:2" x14ac:dyDescent="0.25">
      <c r="A455">
        <v>454</v>
      </c>
      <c r="B455">
        <v>558</v>
      </c>
    </row>
    <row r="456" spans="1:2" x14ac:dyDescent="0.25">
      <c r="A456">
        <v>455</v>
      </c>
      <c r="B456">
        <v>558</v>
      </c>
    </row>
    <row r="457" spans="1:2" x14ac:dyDescent="0.25">
      <c r="A457">
        <v>456</v>
      </c>
      <c r="B457">
        <v>558</v>
      </c>
    </row>
    <row r="458" spans="1:2" x14ac:dyDescent="0.25">
      <c r="A458">
        <v>457</v>
      </c>
      <c r="B458">
        <v>558</v>
      </c>
    </row>
    <row r="459" spans="1:2" x14ac:dyDescent="0.25">
      <c r="A459">
        <v>458</v>
      </c>
      <c r="B459">
        <v>558</v>
      </c>
    </row>
    <row r="460" spans="1:2" x14ac:dyDescent="0.25">
      <c r="A460">
        <v>459</v>
      </c>
      <c r="B460">
        <v>558</v>
      </c>
    </row>
    <row r="461" spans="1:2" x14ac:dyDescent="0.25">
      <c r="A461">
        <v>460</v>
      </c>
      <c r="B461">
        <v>558</v>
      </c>
    </row>
    <row r="462" spans="1:2" x14ac:dyDescent="0.25">
      <c r="A462">
        <v>461</v>
      </c>
      <c r="B462">
        <v>558</v>
      </c>
    </row>
    <row r="463" spans="1:2" x14ac:dyDescent="0.25">
      <c r="A463">
        <v>462</v>
      </c>
      <c r="B463">
        <v>559</v>
      </c>
    </row>
    <row r="464" spans="1:2" x14ac:dyDescent="0.25">
      <c r="A464">
        <v>463</v>
      </c>
      <c r="B464">
        <v>559</v>
      </c>
    </row>
    <row r="465" spans="1:2" x14ac:dyDescent="0.25">
      <c r="A465">
        <v>464</v>
      </c>
      <c r="B465">
        <v>559</v>
      </c>
    </row>
    <row r="466" spans="1:2" x14ac:dyDescent="0.25">
      <c r="A466">
        <v>465</v>
      </c>
      <c r="B466">
        <v>559</v>
      </c>
    </row>
    <row r="467" spans="1:2" x14ac:dyDescent="0.25">
      <c r="A467">
        <v>466</v>
      </c>
      <c r="B467">
        <v>559</v>
      </c>
    </row>
    <row r="468" spans="1:2" x14ac:dyDescent="0.25">
      <c r="A468">
        <v>467</v>
      </c>
      <c r="B468">
        <v>559</v>
      </c>
    </row>
    <row r="469" spans="1:2" x14ac:dyDescent="0.25">
      <c r="A469">
        <v>468</v>
      </c>
      <c r="B469">
        <v>559</v>
      </c>
    </row>
    <row r="470" spans="1:2" x14ac:dyDescent="0.25">
      <c r="A470">
        <v>469</v>
      </c>
      <c r="B470">
        <v>559</v>
      </c>
    </row>
    <row r="471" spans="1:2" x14ac:dyDescent="0.25">
      <c r="A471">
        <v>470</v>
      </c>
      <c r="B471">
        <v>559</v>
      </c>
    </row>
    <row r="472" spans="1:2" x14ac:dyDescent="0.25">
      <c r="A472">
        <v>471</v>
      </c>
      <c r="B472">
        <v>559</v>
      </c>
    </row>
    <row r="473" spans="1:2" x14ac:dyDescent="0.25">
      <c r="A473">
        <v>472</v>
      </c>
      <c r="B473">
        <v>560</v>
      </c>
    </row>
    <row r="474" spans="1:2" x14ac:dyDescent="0.25">
      <c r="A474">
        <v>473</v>
      </c>
      <c r="B474">
        <v>560</v>
      </c>
    </row>
    <row r="475" spans="1:2" x14ac:dyDescent="0.25">
      <c r="A475">
        <v>474</v>
      </c>
      <c r="B475">
        <v>560</v>
      </c>
    </row>
    <row r="476" spans="1:2" x14ac:dyDescent="0.25">
      <c r="A476">
        <v>475</v>
      </c>
      <c r="B476">
        <v>560</v>
      </c>
    </row>
    <row r="477" spans="1:2" x14ac:dyDescent="0.25">
      <c r="A477">
        <v>476</v>
      </c>
      <c r="B477">
        <v>560</v>
      </c>
    </row>
    <row r="478" spans="1:2" x14ac:dyDescent="0.25">
      <c r="A478">
        <v>477</v>
      </c>
      <c r="B478">
        <v>560</v>
      </c>
    </row>
    <row r="479" spans="1:2" x14ac:dyDescent="0.25">
      <c r="A479">
        <v>478</v>
      </c>
      <c r="B479">
        <v>560</v>
      </c>
    </row>
    <row r="480" spans="1:2" x14ac:dyDescent="0.25">
      <c r="A480">
        <v>479</v>
      </c>
      <c r="B480">
        <v>560</v>
      </c>
    </row>
    <row r="481" spans="1:2" x14ac:dyDescent="0.25">
      <c r="A481">
        <v>480</v>
      </c>
      <c r="B481">
        <v>560</v>
      </c>
    </row>
    <row r="482" spans="1:2" x14ac:dyDescent="0.25">
      <c r="A482">
        <v>481</v>
      </c>
      <c r="B482">
        <v>560</v>
      </c>
    </row>
    <row r="483" spans="1:2" x14ac:dyDescent="0.25">
      <c r="A483">
        <v>482</v>
      </c>
      <c r="B483">
        <v>561</v>
      </c>
    </row>
    <row r="484" spans="1:2" x14ac:dyDescent="0.25">
      <c r="A484">
        <v>483</v>
      </c>
      <c r="B484">
        <v>561</v>
      </c>
    </row>
    <row r="485" spans="1:2" x14ac:dyDescent="0.25">
      <c r="A485">
        <v>484</v>
      </c>
      <c r="B485">
        <v>561</v>
      </c>
    </row>
    <row r="486" spans="1:2" x14ac:dyDescent="0.25">
      <c r="A486">
        <v>485</v>
      </c>
      <c r="B486">
        <v>561</v>
      </c>
    </row>
    <row r="487" spans="1:2" x14ac:dyDescent="0.25">
      <c r="A487">
        <v>486</v>
      </c>
      <c r="B487">
        <v>561</v>
      </c>
    </row>
    <row r="488" spans="1:2" x14ac:dyDescent="0.25">
      <c r="A488">
        <v>487</v>
      </c>
      <c r="B488">
        <v>561</v>
      </c>
    </row>
    <row r="489" spans="1:2" x14ac:dyDescent="0.25">
      <c r="A489">
        <v>488</v>
      </c>
      <c r="B489">
        <v>561</v>
      </c>
    </row>
    <row r="490" spans="1:2" x14ac:dyDescent="0.25">
      <c r="A490">
        <v>489</v>
      </c>
      <c r="B490">
        <v>561</v>
      </c>
    </row>
    <row r="491" spans="1:2" x14ac:dyDescent="0.25">
      <c r="A491">
        <v>490</v>
      </c>
      <c r="B491">
        <v>561</v>
      </c>
    </row>
    <row r="492" spans="1:2" x14ac:dyDescent="0.25">
      <c r="A492">
        <v>491</v>
      </c>
      <c r="B492">
        <v>561</v>
      </c>
    </row>
    <row r="493" spans="1:2" x14ac:dyDescent="0.25">
      <c r="A493">
        <v>492</v>
      </c>
      <c r="B493">
        <v>562</v>
      </c>
    </row>
    <row r="494" spans="1:2" x14ac:dyDescent="0.25">
      <c r="A494">
        <v>493</v>
      </c>
      <c r="B494">
        <v>562</v>
      </c>
    </row>
    <row r="495" spans="1:2" x14ac:dyDescent="0.25">
      <c r="A495">
        <v>494</v>
      </c>
      <c r="B495">
        <v>562</v>
      </c>
    </row>
    <row r="496" spans="1:2" x14ac:dyDescent="0.25">
      <c r="A496">
        <v>495</v>
      </c>
      <c r="B496">
        <v>562</v>
      </c>
    </row>
    <row r="497" spans="1:2" x14ac:dyDescent="0.25">
      <c r="A497">
        <v>496</v>
      </c>
      <c r="B497">
        <v>562</v>
      </c>
    </row>
    <row r="498" spans="1:2" x14ac:dyDescent="0.25">
      <c r="A498">
        <v>497</v>
      </c>
      <c r="B498">
        <v>562</v>
      </c>
    </row>
    <row r="499" spans="1:2" x14ac:dyDescent="0.25">
      <c r="A499">
        <v>498</v>
      </c>
      <c r="B499">
        <v>562</v>
      </c>
    </row>
    <row r="500" spans="1:2" x14ac:dyDescent="0.25">
      <c r="A500">
        <v>499</v>
      </c>
      <c r="B500">
        <v>562</v>
      </c>
    </row>
    <row r="501" spans="1:2" x14ac:dyDescent="0.25">
      <c r="A501">
        <v>500</v>
      </c>
      <c r="B501">
        <v>562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zoomScale="145" workbookViewId="0">
      <selection activeCell="A3" sqref="A3"/>
    </sheetView>
  </sheetViews>
  <sheetFormatPr defaultRowHeight="15" x14ac:dyDescent="0.25"/>
  <cols>
    <col min="1" max="1" width="14.28515625" bestFit="1" customWidth="1"/>
    <col min="2" max="2" width="9.85546875" bestFit="1" customWidth="1"/>
    <col min="3" max="3" width="11.85546875" bestFit="1" customWidth="1"/>
    <col min="4" max="4" width="10.5703125" bestFit="1" customWidth="1"/>
    <col min="5" max="5" width="16.7109375" bestFit="1" customWidth="1"/>
    <col min="6" max="6" width="16.28515625" bestFit="1" customWidth="1"/>
    <col min="7" max="7" width="9.85546875" bestFit="1" customWidth="1"/>
    <col min="8" max="8" width="19.7109375" bestFit="1" customWidth="1"/>
  </cols>
  <sheetData>
    <row r="1" spans="1:8" x14ac:dyDescent="0.25">
      <c r="A1" s="2" t="s">
        <v>31</v>
      </c>
      <c r="B1" s="2" t="s">
        <v>29</v>
      </c>
      <c r="C1" s="2" t="s">
        <v>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6</v>
      </c>
    </row>
    <row r="2" spans="1:8" x14ac:dyDescent="0.25">
      <c r="A2">
        <v>100011</v>
      </c>
      <c r="B2">
        <v>42</v>
      </c>
      <c r="C2">
        <v>1092</v>
      </c>
      <c r="D2">
        <v>3373</v>
      </c>
      <c r="E2" s="1">
        <v>45737</v>
      </c>
      <c r="F2" s="1">
        <v>45740</v>
      </c>
      <c r="G2">
        <v>32844</v>
      </c>
      <c r="H2" t="s">
        <v>10</v>
      </c>
    </row>
    <row r="3" spans="1:8" x14ac:dyDescent="0.25">
      <c r="A3">
        <v>100012</v>
      </c>
      <c r="B3">
        <v>273</v>
      </c>
      <c r="C3">
        <v>859</v>
      </c>
      <c r="D3">
        <v>3406</v>
      </c>
      <c r="E3" s="1">
        <v>45754</v>
      </c>
      <c r="F3" s="1">
        <v>45756</v>
      </c>
      <c r="G3">
        <v>18339</v>
      </c>
      <c r="H3" t="s">
        <v>14</v>
      </c>
    </row>
    <row r="4" spans="1:8" x14ac:dyDescent="0.25">
      <c r="A4">
        <v>100013</v>
      </c>
      <c r="B4">
        <v>252</v>
      </c>
      <c r="C4">
        <v>895</v>
      </c>
      <c r="D4">
        <v>3180</v>
      </c>
      <c r="E4" s="1">
        <v>45635</v>
      </c>
      <c r="F4" s="1">
        <v>45637</v>
      </c>
      <c r="G4">
        <v>15451</v>
      </c>
      <c r="H4" t="s">
        <v>14</v>
      </c>
    </row>
    <row r="5" spans="1:8" x14ac:dyDescent="0.25">
      <c r="A5">
        <v>100014</v>
      </c>
      <c r="B5">
        <v>363</v>
      </c>
      <c r="C5">
        <v>1288</v>
      </c>
      <c r="D5">
        <v>3064</v>
      </c>
      <c r="E5" s="1">
        <v>45793</v>
      </c>
      <c r="F5" s="1">
        <v>45797</v>
      </c>
      <c r="G5">
        <v>22463</v>
      </c>
      <c r="H5" t="s">
        <v>25</v>
      </c>
    </row>
    <row r="6" spans="1:8" x14ac:dyDescent="0.25">
      <c r="A6">
        <v>100015</v>
      </c>
      <c r="B6">
        <v>250</v>
      </c>
      <c r="C6">
        <v>189</v>
      </c>
      <c r="D6">
        <v>3472</v>
      </c>
      <c r="E6" s="1">
        <v>45773</v>
      </c>
      <c r="F6" s="1">
        <v>45775</v>
      </c>
      <c r="G6">
        <v>18214</v>
      </c>
      <c r="H6" t="s">
        <v>14</v>
      </c>
    </row>
    <row r="7" spans="1:8" x14ac:dyDescent="0.25">
      <c r="A7">
        <v>100016</v>
      </c>
      <c r="B7">
        <v>434</v>
      </c>
      <c r="C7">
        <v>1321</v>
      </c>
      <c r="D7">
        <v>3305</v>
      </c>
      <c r="E7" s="1">
        <v>45723</v>
      </c>
      <c r="F7" s="1">
        <v>45755</v>
      </c>
      <c r="G7">
        <v>214065</v>
      </c>
      <c r="H7" t="s">
        <v>17</v>
      </c>
    </row>
    <row r="8" spans="1:8" x14ac:dyDescent="0.25">
      <c r="A8">
        <v>100017</v>
      </c>
      <c r="B8">
        <v>94</v>
      </c>
      <c r="C8">
        <v>1429</v>
      </c>
      <c r="D8">
        <v>3388</v>
      </c>
      <c r="E8" s="1">
        <v>45641</v>
      </c>
      <c r="F8" s="1">
        <v>45683</v>
      </c>
      <c r="G8">
        <v>233205</v>
      </c>
      <c r="H8" t="s">
        <v>25</v>
      </c>
    </row>
    <row r="9" spans="1:8" x14ac:dyDescent="0.25">
      <c r="A9">
        <v>100018</v>
      </c>
      <c r="B9">
        <v>41</v>
      </c>
      <c r="C9">
        <v>906</v>
      </c>
      <c r="D9">
        <v>3220</v>
      </c>
      <c r="E9" s="1">
        <v>45713</v>
      </c>
      <c r="F9" s="1">
        <v>45722</v>
      </c>
      <c r="G9">
        <v>77474</v>
      </c>
      <c r="H9" t="s">
        <v>10</v>
      </c>
    </row>
    <row r="10" spans="1:8" x14ac:dyDescent="0.25">
      <c r="A10">
        <v>100019</v>
      </c>
      <c r="B10">
        <v>496</v>
      </c>
      <c r="C10">
        <v>619</v>
      </c>
      <c r="D10">
        <v>3310</v>
      </c>
      <c r="E10" s="1">
        <v>45700</v>
      </c>
      <c r="F10" s="1">
        <v>45709</v>
      </c>
      <c r="G10">
        <v>41555</v>
      </c>
      <c r="H10" t="s">
        <v>25</v>
      </c>
    </row>
    <row r="11" spans="1:8" x14ac:dyDescent="0.25">
      <c r="A11">
        <v>100020</v>
      </c>
      <c r="B11">
        <v>377</v>
      </c>
      <c r="C11">
        <v>426</v>
      </c>
      <c r="D11">
        <v>3307</v>
      </c>
      <c r="E11" s="1">
        <v>45714</v>
      </c>
      <c r="F11" s="1">
        <v>45735</v>
      </c>
      <c r="G11">
        <v>73657</v>
      </c>
      <c r="H11" t="s">
        <v>25</v>
      </c>
    </row>
    <row r="12" spans="1:8" x14ac:dyDescent="0.25">
      <c r="A12">
        <v>100021</v>
      </c>
      <c r="B12">
        <v>153</v>
      </c>
      <c r="C12">
        <v>1249</v>
      </c>
      <c r="D12">
        <v>3440</v>
      </c>
      <c r="E12" s="1">
        <v>45605</v>
      </c>
      <c r="F12" s="1">
        <v>45614</v>
      </c>
      <c r="G12">
        <v>35786</v>
      </c>
      <c r="H12" t="s">
        <v>10</v>
      </c>
    </row>
    <row r="13" spans="1:8" x14ac:dyDescent="0.25">
      <c r="A13">
        <v>100022</v>
      </c>
      <c r="B13">
        <v>160</v>
      </c>
      <c r="C13">
        <v>351</v>
      </c>
      <c r="D13">
        <v>3278</v>
      </c>
      <c r="E13" s="1">
        <v>45649</v>
      </c>
      <c r="F13" s="1">
        <v>45667</v>
      </c>
      <c r="G13">
        <v>79817</v>
      </c>
      <c r="H13" t="s">
        <v>14</v>
      </c>
    </row>
    <row r="14" spans="1:8" x14ac:dyDescent="0.25">
      <c r="A14">
        <v>100023</v>
      </c>
      <c r="B14">
        <v>97</v>
      </c>
      <c r="C14">
        <v>935</v>
      </c>
      <c r="D14">
        <v>3303</v>
      </c>
      <c r="E14" s="1">
        <v>45776</v>
      </c>
      <c r="F14" s="1">
        <v>45784</v>
      </c>
      <c r="G14">
        <v>53262</v>
      </c>
      <c r="H14" t="s">
        <v>25</v>
      </c>
    </row>
    <row r="15" spans="1:8" x14ac:dyDescent="0.25">
      <c r="A15">
        <v>100024</v>
      </c>
      <c r="B15">
        <v>493</v>
      </c>
      <c r="C15">
        <v>1340</v>
      </c>
      <c r="D15">
        <v>3425</v>
      </c>
      <c r="E15" s="1">
        <v>45646</v>
      </c>
      <c r="F15" s="1">
        <v>45648</v>
      </c>
      <c r="G15">
        <v>20698</v>
      </c>
      <c r="H15" t="s">
        <v>17</v>
      </c>
    </row>
    <row r="16" spans="1:8" x14ac:dyDescent="0.25">
      <c r="A16">
        <v>100025</v>
      </c>
      <c r="B16">
        <v>495</v>
      </c>
      <c r="C16">
        <v>862</v>
      </c>
      <c r="D16">
        <v>3122</v>
      </c>
      <c r="E16" s="1">
        <v>45690</v>
      </c>
      <c r="F16" s="1">
        <v>45693</v>
      </c>
      <c r="G16">
        <v>33455</v>
      </c>
      <c r="H16" t="s">
        <v>25</v>
      </c>
    </row>
    <row r="17" spans="1:8" x14ac:dyDescent="0.25">
      <c r="A17">
        <v>100026</v>
      </c>
      <c r="B17">
        <v>154</v>
      </c>
      <c r="C17">
        <v>1409</v>
      </c>
      <c r="D17">
        <v>3055</v>
      </c>
      <c r="E17" s="1">
        <v>45618</v>
      </c>
      <c r="F17" s="1">
        <v>45621</v>
      </c>
      <c r="G17">
        <v>31469</v>
      </c>
      <c r="H17" t="s">
        <v>25</v>
      </c>
    </row>
    <row r="18" spans="1:8" x14ac:dyDescent="0.25">
      <c r="A18">
        <v>100027</v>
      </c>
      <c r="B18">
        <v>80</v>
      </c>
      <c r="C18">
        <v>1577</v>
      </c>
      <c r="D18">
        <v>3289</v>
      </c>
      <c r="E18" s="1">
        <v>45742</v>
      </c>
      <c r="F18" s="1">
        <v>45744</v>
      </c>
      <c r="G18">
        <v>26364</v>
      </c>
      <c r="H18" t="s">
        <v>25</v>
      </c>
    </row>
    <row r="19" spans="1:8" x14ac:dyDescent="0.25">
      <c r="A19">
        <v>100028</v>
      </c>
      <c r="B19">
        <v>7</v>
      </c>
      <c r="C19">
        <v>833</v>
      </c>
      <c r="D19">
        <v>3426</v>
      </c>
      <c r="E19" s="1">
        <v>45629</v>
      </c>
      <c r="F19" s="1">
        <v>45666</v>
      </c>
      <c r="G19">
        <v>293842</v>
      </c>
      <c r="H19" t="s">
        <v>10</v>
      </c>
    </row>
    <row r="20" spans="1:8" x14ac:dyDescent="0.25">
      <c r="A20">
        <v>100029</v>
      </c>
      <c r="B20">
        <v>299</v>
      </c>
      <c r="C20">
        <v>713</v>
      </c>
      <c r="D20">
        <v>3017</v>
      </c>
      <c r="E20" s="1">
        <v>45675</v>
      </c>
      <c r="F20" s="1">
        <v>45678</v>
      </c>
      <c r="G20">
        <v>28283</v>
      </c>
      <c r="H20" t="s">
        <v>25</v>
      </c>
    </row>
    <row r="21" spans="1:8" x14ac:dyDescent="0.25">
      <c r="A21">
        <v>100030</v>
      </c>
      <c r="B21">
        <v>378</v>
      </c>
      <c r="C21">
        <v>1487</v>
      </c>
      <c r="D21">
        <v>3192</v>
      </c>
      <c r="E21" s="1">
        <v>45729</v>
      </c>
      <c r="F21" s="1">
        <v>45730</v>
      </c>
      <c r="G21">
        <v>18511</v>
      </c>
      <c r="H21" t="s">
        <v>14</v>
      </c>
    </row>
    <row r="22" spans="1:8" x14ac:dyDescent="0.25">
      <c r="A22">
        <v>100031</v>
      </c>
      <c r="B22">
        <v>354</v>
      </c>
      <c r="C22">
        <v>400</v>
      </c>
      <c r="D22">
        <v>3185</v>
      </c>
      <c r="E22" s="1">
        <v>45631</v>
      </c>
      <c r="F22" s="1">
        <v>45633</v>
      </c>
      <c r="G22">
        <v>15976</v>
      </c>
      <c r="H22" t="s">
        <v>25</v>
      </c>
    </row>
    <row r="23" spans="1:8" x14ac:dyDescent="0.25">
      <c r="A23">
        <v>100032</v>
      </c>
      <c r="B23">
        <v>328</v>
      </c>
      <c r="C23">
        <v>852</v>
      </c>
      <c r="D23">
        <v>3335</v>
      </c>
      <c r="E23" s="1">
        <v>45700</v>
      </c>
      <c r="F23" s="1">
        <v>45709</v>
      </c>
      <c r="G23">
        <v>32129</v>
      </c>
      <c r="H23" t="s">
        <v>10</v>
      </c>
    </row>
    <row r="24" spans="1:8" x14ac:dyDescent="0.25">
      <c r="A24">
        <v>100033</v>
      </c>
      <c r="B24">
        <v>404</v>
      </c>
      <c r="C24">
        <v>1033</v>
      </c>
      <c r="D24">
        <v>3180</v>
      </c>
      <c r="E24" s="1">
        <v>45602</v>
      </c>
      <c r="F24" s="1">
        <v>45605</v>
      </c>
      <c r="G24">
        <v>17260</v>
      </c>
      <c r="H24" t="s">
        <v>10</v>
      </c>
    </row>
    <row r="25" spans="1:8" x14ac:dyDescent="0.25">
      <c r="A25">
        <v>100034</v>
      </c>
      <c r="B25">
        <v>167</v>
      </c>
      <c r="C25">
        <v>789</v>
      </c>
      <c r="D25">
        <v>3305</v>
      </c>
      <c r="E25" s="1">
        <v>45703</v>
      </c>
      <c r="F25" s="1">
        <v>45706</v>
      </c>
      <c r="G25">
        <v>28582</v>
      </c>
      <c r="H25" t="s">
        <v>25</v>
      </c>
    </row>
    <row r="26" spans="1:8" x14ac:dyDescent="0.25">
      <c r="A26">
        <v>100035</v>
      </c>
      <c r="B26">
        <v>239</v>
      </c>
      <c r="C26">
        <v>462</v>
      </c>
      <c r="D26">
        <v>3428</v>
      </c>
      <c r="E26" s="1">
        <v>45649</v>
      </c>
      <c r="F26" s="1">
        <v>45655</v>
      </c>
      <c r="G26">
        <v>36323</v>
      </c>
      <c r="H26" t="s">
        <v>17</v>
      </c>
    </row>
    <row r="27" spans="1:8" x14ac:dyDescent="0.25">
      <c r="A27">
        <v>100036</v>
      </c>
      <c r="B27">
        <v>71</v>
      </c>
      <c r="C27">
        <v>1016</v>
      </c>
      <c r="D27">
        <v>3167</v>
      </c>
      <c r="E27" s="1">
        <v>45777</v>
      </c>
      <c r="F27" s="1">
        <v>45779</v>
      </c>
      <c r="G27">
        <v>20976</v>
      </c>
      <c r="H27" t="s">
        <v>25</v>
      </c>
    </row>
    <row r="28" spans="1:8" x14ac:dyDescent="0.25">
      <c r="A28">
        <v>100037</v>
      </c>
      <c r="B28">
        <v>373</v>
      </c>
      <c r="C28">
        <v>1388</v>
      </c>
      <c r="D28">
        <v>3009</v>
      </c>
      <c r="E28" s="1">
        <v>45604</v>
      </c>
      <c r="F28" s="1">
        <v>45605</v>
      </c>
      <c r="G28">
        <v>16510</v>
      </c>
      <c r="H28" t="s">
        <v>25</v>
      </c>
    </row>
    <row r="29" spans="1:8" x14ac:dyDescent="0.25">
      <c r="A29">
        <v>100038</v>
      </c>
      <c r="B29">
        <v>158</v>
      </c>
      <c r="C29">
        <v>847</v>
      </c>
      <c r="D29">
        <v>3342</v>
      </c>
      <c r="E29" s="1">
        <v>45693</v>
      </c>
      <c r="F29" s="1">
        <v>45697</v>
      </c>
      <c r="G29">
        <v>27521</v>
      </c>
      <c r="H29" t="s">
        <v>17</v>
      </c>
    </row>
    <row r="30" spans="1:8" x14ac:dyDescent="0.25">
      <c r="A30">
        <v>100039</v>
      </c>
      <c r="B30">
        <v>18</v>
      </c>
      <c r="C30">
        <v>467</v>
      </c>
      <c r="D30">
        <v>3258</v>
      </c>
      <c r="E30" s="1">
        <v>45648</v>
      </c>
      <c r="F30" s="1">
        <v>45653</v>
      </c>
      <c r="G30">
        <v>40613</v>
      </c>
      <c r="H30" t="s">
        <v>25</v>
      </c>
    </row>
    <row r="31" spans="1:8" x14ac:dyDescent="0.25">
      <c r="A31">
        <v>100040</v>
      </c>
      <c r="B31">
        <v>57</v>
      </c>
      <c r="C31">
        <v>1392</v>
      </c>
      <c r="D31">
        <v>3036</v>
      </c>
      <c r="E31" s="1">
        <v>45711</v>
      </c>
      <c r="F31" s="1">
        <v>45715</v>
      </c>
      <c r="G31">
        <v>35805</v>
      </c>
      <c r="H31" t="s">
        <v>14</v>
      </c>
    </row>
    <row r="32" spans="1:8" x14ac:dyDescent="0.25">
      <c r="A32">
        <v>100041</v>
      </c>
      <c r="B32">
        <v>345</v>
      </c>
      <c r="C32">
        <v>306</v>
      </c>
      <c r="D32">
        <v>3006</v>
      </c>
      <c r="E32" s="1">
        <v>45622</v>
      </c>
      <c r="F32" s="1">
        <v>45631</v>
      </c>
      <c r="G32">
        <v>26421</v>
      </c>
      <c r="H32" t="s">
        <v>25</v>
      </c>
    </row>
    <row r="33" spans="1:8" x14ac:dyDescent="0.25">
      <c r="A33">
        <v>100042</v>
      </c>
      <c r="B33">
        <v>167</v>
      </c>
      <c r="C33">
        <v>550</v>
      </c>
      <c r="D33">
        <v>3396</v>
      </c>
      <c r="E33" s="1">
        <v>45680</v>
      </c>
      <c r="F33" s="1">
        <v>45683</v>
      </c>
      <c r="G33">
        <v>23479</v>
      </c>
      <c r="H33" t="s">
        <v>25</v>
      </c>
    </row>
    <row r="34" spans="1:8" x14ac:dyDescent="0.25">
      <c r="A34">
        <v>100043</v>
      </c>
      <c r="B34">
        <v>179</v>
      </c>
      <c r="C34">
        <v>1120</v>
      </c>
      <c r="D34">
        <v>3390</v>
      </c>
      <c r="E34" s="1">
        <v>45668</v>
      </c>
      <c r="F34" s="1">
        <v>45670</v>
      </c>
      <c r="G34">
        <v>14386</v>
      </c>
      <c r="H34" t="s">
        <v>25</v>
      </c>
    </row>
    <row r="35" spans="1:8" x14ac:dyDescent="0.25">
      <c r="A35">
        <v>100044</v>
      </c>
      <c r="B35">
        <v>188</v>
      </c>
      <c r="C35">
        <v>1420</v>
      </c>
      <c r="D35">
        <v>3420</v>
      </c>
      <c r="E35" s="1">
        <v>45771</v>
      </c>
      <c r="F35" s="1">
        <v>45779</v>
      </c>
      <c r="G35">
        <v>40900</v>
      </c>
      <c r="H35" t="s">
        <v>25</v>
      </c>
    </row>
    <row r="36" spans="1:8" x14ac:dyDescent="0.25">
      <c r="A36">
        <v>100045</v>
      </c>
      <c r="B36">
        <v>278</v>
      </c>
      <c r="C36">
        <v>408</v>
      </c>
      <c r="D36">
        <v>3372</v>
      </c>
      <c r="E36" s="1">
        <v>45702</v>
      </c>
      <c r="F36" s="1">
        <v>45706</v>
      </c>
      <c r="G36">
        <v>30045</v>
      </c>
      <c r="H36" t="s">
        <v>25</v>
      </c>
    </row>
    <row r="37" spans="1:8" x14ac:dyDescent="0.25">
      <c r="A37">
        <v>100046</v>
      </c>
      <c r="B37">
        <v>349</v>
      </c>
      <c r="C37">
        <v>1371</v>
      </c>
      <c r="D37">
        <v>3059</v>
      </c>
      <c r="E37" s="1">
        <v>45635</v>
      </c>
      <c r="F37" s="1">
        <v>45654</v>
      </c>
      <c r="G37">
        <v>137668</v>
      </c>
      <c r="H37" t="s">
        <v>14</v>
      </c>
    </row>
    <row r="38" spans="1:8" x14ac:dyDescent="0.25">
      <c r="A38">
        <v>100047</v>
      </c>
      <c r="B38">
        <v>1</v>
      </c>
      <c r="C38">
        <v>1076</v>
      </c>
      <c r="D38">
        <v>3349</v>
      </c>
      <c r="E38" s="1">
        <v>45746</v>
      </c>
      <c r="F38" s="1">
        <v>45750</v>
      </c>
      <c r="G38">
        <v>36039</v>
      </c>
      <c r="H38" t="s">
        <v>25</v>
      </c>
    </row>
    <row r="39" spans="1:8" x14ac:dyDescent="0.25">
      <c r="A39">
        <v>100048</v>
      </c>
      <c r="B39">
        <v>256</v>
      </c>
      <c r="C39">
        <v>1260</v>
      </c>
      <c r="D39">
        <v>3454</v>
      </c>
      <c r="E39" s="1">
        <v>45717</v>
      </c>
      <c r="F39" s="1">
        <v>45719</v>
      </c>
      <c r="G39">
        <v>12847</v>
      </c>
      <c r="H39" t="s">
        <v>25</v>
      </c>
    </row>
    <row r="40" spans="1:8" x14ac:dyDescent="0.25">
      <c r="A40">
        <v>100049</v>
      </c>
      <c r="B40">
        <v>437</v>
      </c>
      <c r="C40">
        <v>955</v>
      </c>
      <c r="D40">
        <v>3163</v>
      </c>
      <c r="E40" s="1">
        <v>45726</v>
      </c>
      <c r="F40" s="1">
        <v>45735</v>
      </c>
      <c r="G40">
        <v>76483</v>
      </c>
      <c r="H40" t="s">
        <v>14</v>
      </c>
    </row>
    <row r="41" spans="1:8" x14ac:dyDescent="0.25">
      <c r="A41">
        <v>100050</v>
      </c>
      <c r="B41">
        <v>374</v>
      </c>
      <c r="C41">
        <v>916</v>
      </c>
      <c r="D41">
        <v>3178</v>
      </c>
      <c r="E41" s="1">
        <v>45685</v>
      </c>
      <c r="F41" s="1">
        <v>45689</v>
      </c>
      <c r="G41">
        <v>27859</v>
      </c>
      <c r="H41" t="s">
        <v>25</v>
      </c>
    </row>
    <row r="42" spans="1:8" x14ac:dyDescent="0.25">
      <c r="A42">
        <v>100051</v>
      </c>
      <c r="B42">
        <v>50</v>
      </c>
      <c r="C42">
        <v>510</v>
      </c>
      <c r="D42">
        <v>3093</v>
      </c>
      <c r="E42" s="1">
        <v>45746</v>
      </c>
      <c r="F42" s="1">
        <v>45748</v>
      </c>
      <c r="G42">
        <v>18564</v>
      </c>
      <c r="H42" t="s">
        <v>25</v>
      </c>
    </row>
    <row r="43" spans="1:8" x14ac:dyDescent="0.25">
      <c r="A43">
        <v>100052</v>
      </c>
      <c r="B43">
        <v>219</v>
      </c>
      <c r="C43">
        <v>1485</v>
      </c>
      <c r="D43">
        <v>3017</v>
      </c>
      <c r="E43" s="1">
        <v>45769</v>
      </c>
      <c r="F43" s="1">
        <v>45774</v>
      </c>
      <c r="G43">
        <v>36924</v>
      </c>
      <c r="H43" t="s">
        <v>17</v>
      </c>
    </row>
    <row r="44" spans="1:8" x14ac:dyDescent="0.25">
      <c r="A44">
        <v>100053</v>
      </c>
      <c r="B44">
        <v>362</v>
      </c>
      <c r="C44">
        <v>1119</v>
      </c>
      <c r="D44">
        <v>3184</v>
      </c>
      <c r="E44" s="1">
        <v>45706</v>
      </c>
      <c r="F44" s="1">
        <v>45707</v>
      </c>
      <c r="G44">
        <v>8663</v>
      </c>
      <c r="H44" t="s">
        <v>10</v>
      </c>
    </row>
    <row r="45" spans="1:8" x14ac:dyDescent="0.25">
      <c r="A45">
        <v>100054</v>
      </c>
      <c r="B45">
        <v>108</v>
      </c>
      <c r="C45">
        <v>1463</v>
      </c>
      <c r="D45">
        <v>3042</v>
      </c>
      <c r="E45" s="1">
        <v>45745</v>
      </c>
      <c r="F45" s="1">
        <v>45746</v>
      </c>
      <c r="G45">
        <v>12911</v>
      </c>
      <c r="H45" t="s">
        <v>17</v>
      </c>
    </row>
    <row r="46" spans="1:8" x14ac:dyDescent="0.25">
      <c r="A46">
        <v>100055</v>
      </c>
      <c r="B46">
        <v>287</v>
      </c>
      <c r="C46">
        <v>359</v>
      </c>
      <c r="D46">
        <v>3225</v>
      </c>
      <c r="E46" s="1">
        <v>45795</v>
      </c>
      <c r="F46" s="1">
        <v>45799</v>
      </c>
      <c r="G46">
        <v>34620</v>
      </c>
      <c r="H46" t="s">
        <v>25</v>
      </c>
    </row>
    <row r="47" spans="1:8" x14ac:dyDescent="0.25">
      <c r="A47">
        <v>100056</v>
      </c>
      <c r="B47">
        <v>5</v>
      </c>
      <c r="C47">
        <v>619</v>
      </c>
      <c r="D47">
        <v>3241</v>
      </c>
      <c r="E47" s="1">
        <v>45727</v>
      </c>
      <c r="F47" s="1">
        <v>45729</v>
      </c>
      <c r="G47">
        <v>22115</v>
      </c>
      <c r="H47" t="s">
        <v>17</v>
      </c>
    </row>
    <row r="48" spans="1:8" x14ac:dyDescent="0.25">
      <c r="A48">
        <v>100057</v>
      </c>
      <c r="B48">
        <v>35</v>
      </c>
      <c r="C48">
        <v>1447</v>
      </c>
      <c r="D48">
        <v>3495</v>
      </c>
      <c r="E48" s="1">
        <v>45767</v>
      </c>
      <c r="F48" s="1">
        <v>45770</v>
      </c>
      <c r="G48">
        <v>24066</v>
      </c>
      <c r="H48" t="s">
        <v>17</v>
      </c>
    </row>
    <row r="49" spans="1:8" x14ac:dyDescent="0.25">
      <c r="A49">
        <v>100058</v>
      </c>
      <c r="B49">
        <v>324</v>
      </c>
      <c r="C49">
        <v>893</v>
      </c>
      <c r="D49">
        <v>3176</v>
      </c>
      <c r="E49" s="1">
        <v>45690</v>
      </c>
      <c r="F49" s="1">
        <v>45694</v>
      </c>
      <c r="G49">
        <v>40010</v>
      </c>
      <c r="H49" t="s">
        <v>14</v>
      </c>
    </row>
    <row r="50" spans="1:8" x14ac:dyDescent="0.25">
      <c r="A50">
        <v>100059</v>
      </c>
      <c r="B50">
        <v>438</v>
      </c>
      <c r="C50">
        <v>328</v>
      </c>
      <c r="D50">
        <v>3059</v>
      </c>
      <c r="E50" s="1">
        <v>45773</v>
      </c>
      <c r="F50" s="1">
        <v>45778</v>
      </c>
      <c r="G50">
        <v>23371</v>
      </c>
      <c r="H50" t="s">
        <v>25</v>
      </c>
    </row>
    <row r="51" spans="1:8" x14ac:dyDescent="0.25">
      <c r="A51">
        <v>100060</v>
      </c>
      <c r="B51">
        <v>73</v>
      </c>
      <c r="C51">
        <v>903</v>
      </c>
      <c r="D51">
        <v>3089</v>
      </c>
      <c r="E51" s="1">
        <v>45784</v>
      </c>
      <c r="F51" s="1">
        <v>45792</v>
      </c>
      <c r="G51">
        <v>54450</v>
      </c>
      <c r="H51" t="s">
        <v>25</v>
      </c>
    </row>
    <row r="52" spans="1:8" x14ac:dyDescent="0.25">
      <c r="A52">
        <v>100061</v>
      </c>
      <c r="B52">
        <v>487</v>
      </c>
      <c r="C52">
        <v>862</v>
      </c>
      <c r="D52">
        <v>3085</v>
      </c>
      <c r="E52" s="1">
        <v>45735</v>
      </c>
      <c r="F52" s="1">
        <v>45749</v>
      </c>
      <c r="G52">
        <v>58364</v>
      </c>
      <c r="H52" t="s">
        <v>25</v>
      </c>
    </row>
    <row r="53" spans="1:8" x14ac:dyDescent="0.25">
      <c r="A53">
        <v>100062</v>
      </c>
      <c r="B53">
        <v>266</v>
      </c>
      <c r="C53">
        <v>1232</v>
      </c>
      <c r="D53">
        <v>3133</v>
      </c>
      <c r="E53" s="1">
        <v>45603</v>
      </c>
      <c r="F53" s="1">
        <v>45605</v>
      </c>
      <c r="G53">
        <v>11190</v>
      </c>
      <c r="H53" t="s">
        <v>25</v>
      </c>
    </row>
    <row r="54" spans="1:8" x14ac:dyDescent="0.25">
      <c r="A54">
        <v>100063</v>
      </c>
      <c r="B54">
        <v>495</v>
      </c>
      <c r="C54">
        <v>154</v>
      </c>
      <c r="D54">
        <v>3212</v>
      </c>
      <c r="E54" s="1">
        <v>45779</v>
      </c>
      <c r="F54" s="1">
        <v>45781</v>
      </c>
      <c r="G54">
        <v>25823</v>
      </c>
      <c r="H54" t="s">
        <v>17</v>
      </c>
    </row>
    <row r="55" spans="1:8" x14ac:dyDescent="0.25">
      <c r="A55">
        <v>100064</v>
      </c>
      <c r="B55">
        <v>274</v>
      </c>
      <c r="C55">
        <v>397</v>
      </c>
      <c r="D55">
        <v>3375</v>
      </c>
      <c r="E55" s="1">
        <v>45743</v>
      </c>
      <c r="F55" s="1">
        <v>45747</v>
      </c>
      <c r="G55">
        <v>27593</v>
      </c>
      <c r="H55" t="s">
        <v>14</v>
      </c>
    </row>
    <row r="56" spans="1:8" x14ac:dyDescent="0.25">
      <c r="A56">
        <v>100065</v>
      </c>
      <c r="B56">
        <v>39</v>
      </c>
      <c r="C56">
        <v>1501</v>
      </c>
      <c r="D56">
        <v>3155</v>
      </c>
      <c r="E56" s="1">
        <v>45661</v>
      </c>
      <c r="F56" s="1">
        <v>45665</v>
      </c>
      <c r="G56">
        <v>41800</v>
      </c>
      <c r="H56" t="s">
        <v>25</v>
      </c>
    </row>
    <row r="57" spans="1:8" x14ac:dyDescent="0.25">
      <c r="A57">
        <v>100066</v>
      </c>
      <c r="B57">
        <v>62</v>
      </c>
      <c r="C57">
        <v>919</v>
      </c>
      <c r="D57">
        <v>3255</v>
      </c>
      <c r="E57" s="1">
        <v>45649</v>
      </c>
      <c r="F57" s="1">
        <v>45654</v>
      </c>
      <c r="G57">
        <v>23872</v>
      </c>
      <c r="H57" t="s">
        <v>17</v>
      </c>
    </row>
    <row r="58" spans="1:8" x14ac:dyDescent="0.25">
      <c r="A58">
        <v>100067</v>
      </c>
      <c r="B58">
        <v>478</v>
      </c>
      <c r="C58">
        <v>605</v>
      </c>
      <c r="D58">
        <v>3244</v>
      </c>
      <c r="E58" s="1">
        <v>45686</v>
      </c>
      <c r="F58" s="1">
        <v>45689</v>
      </c>
      <c r="G58">
        <v>27808</v>
      </c>
      <c r="H58" t="s">
        <v>25</v>
      </c>
    </row>
    <row r="59" spans="1:8" x14ac:dyDescent="0.25">
      <c r="A59">
        <v>100068</v>
      </c>
      <c r="B59">
        <v>335</v>
      </c>
      <c r="C59">
        <v>121</v>
      </c>
      <c r="D59">
        <v>3221</v>
      </c>
      <c r="E59" s="1">
        <v>45745</v>
      </c>
      <c r="F59" s="1">
        <v>45748</v>
      </c>
      <c r="G59">
        <v>21767</v>
      </c>
      <c r="H59" t="s">
        <v>25</v>
      </c>
    </row>
    <row r="60" spans="1:8" x14ac:dyDescent="0.25">
      <c r="A60">
        <v>100069</v>
      </c>
      <c r="B60">
        <v>53</v>
      </c>
      <c r="C60">
        <v>229</v>
      </c>
      <c r="D60">
        <v>3054</v>
      </c>
      <c r="E60" s="1">
        <v>45743</v>
      </c>
      <c r="F60" s="1">
        <v>45747</v>
      </c>
      <c r="G60">
        <v>36895</v>
      </c>
      <c r="H60" t="s">
        <v>25</v>
      </c>
    </row>
    <row r="61" spans="1:8" x14ac:dyDescent="0.25">
      <c r="A61">
        <v>100070</v>
      </c>
      <c r="B61">
        <v>246</v>
      </c>
      <c r="C61">
        <v>966</v>
      </c>
      <c r="D61">
        <v>3117</v>
      </c>
      <c r="E61" s="1">
        <v>45685</v>
      </c>
      <c r="F61" s="1">
        <v>45701</v>
      </c>
      <c r="G61">
        <v>66666</v>
      </c>
      <c r="H61" t="s">
        <v>25</v>
      </c>
    </row>
    <row r="62" spans="1:8" x14ac:dyDescent="0.25">
      <c r="A62">
        <v>100071</v>
      </c>
      <c r="B62">
        <v>270</v>
      </c>
      <c r="C62">
        <v>178</v>
      </c>
      <c r="D62">
        <v>3468</v>
      </c>
      <c r="E62" s="1">
        <v>45800</v>
      </c>
      <c r="F62" s="1">
        <v>45808</v>
      </c>
      <c r="G62">
        <v>69879</v>
      </c>
      <c r="H62" t="s">
        <v>17</v>
      </c>
    </row>
    <row r="63" spans="1:8" x14ac:dyDescent="0.25">
      <c r="A63">
        <v>100072</v>
      </c>
      <c r="B63">
        <v>119</v>
      </c>
      <c r="C63">
        <v>934</v>
      </c>
      <c r="D63">
        <v>3368</v>
      </c>
      <c r="E63" s="1">
        <v>45667</v>
      </c>
      <c r="F63" s="1">
        <v>45668</v>
      </c>
      <c r="G63">
        <v>15755</v>
      </c>
      <c r="H63" t="s">
        <v>25</v>
      </c>
    </row>
    <row r="64" spans="1:8" x14ac:dyDescent="0.25">
      <c r="A64">
        <v>100073</v>
      </c>
      <c r="B64">
        <v>308</v>
      </c>
      <c r="C64">
        <v>138</v>
      </c>
      <c r="D64">
        <v>3163</v>
      </c>
      <c r="E64" s="1">
        <v>45692</v>
      </c>
      <c r="F64" s="1">
        <v>45697</v>
      </c>
      <c r="G64">
        <v>18355</v>
      </c>
      <c r="H64" t="s">
        <v>17</v>
      </c>
    </row>
    <row r="65" spans="1:8" x14ac:dyDescent="0.25">
      <c r="A65">
        <v>100074</v>
      </c>
      <c r="B65">
        <v>49</v>
      </c>
      <c r="C65">
        <v>694</v>
      </c>
      <c r="D65">
        <v>3445</v>
      </c>
      <c r="E65" s="1">
        <v>45802</v>
      </c>
      <c r="F65" s="1">
        <v>45803</v>
      </c>
      <c r="G65">
        <v>11921</v>
      </c>
      <c r="H65" t="s">
        <v>25</v>
      </c>
    </row>
    <row r="66" spans="1:8" x14ac:dyDescent="0.25">
      <c r="A66">
        <v>100075</v>
      </c>
      <c r="B66">
        <v>79</v>
      </c>
      <c r="C66">
        <v>1320</v>
      </c>
      <c r="D66">
        <v>3308</v>
      </c>
      <c r="E66" s="1">
        <v>45701</v>
      </c>
      <c r="F66" s="1">
        <v>45704</v>
      </c>
      <c r="G66">
        <v>20160</v>
      </c>
      <c r="H66" t="s">
        <v>17</v>
      </c>
    </row>
    <row r="67" spans="1:8" x14ac:dyDescent="0.25">
      <c r="A67">
        <v>100076</v>
      </c>
      <c r="B67">
        <v>482</v>
      </c>
      <c r="C67">
        <v>400</v>
      </c>
      <c r="D67">
        <v>3477</v>
      </c>
      <c r="E67" s="1">
        <v>45805</v>
      </c>
      <c r="F67" s="1">
        <v>45808</v>
      </c>
      <c r="G67">
        <v>20611</v>
      </c>
      <c r="H67" t="s">
        <v>14</v>
      </c>
    </row>
    <row r="68" spans="1:8" x14ac:dyDescent="0.25">
      <c r="A68">
        <v>100077</v>
      </c>
      <c r="B68">
        <v>75</v>
      </c>
      <c r="C68">
        <v>1338</v>
      </c>
      <c r="D68">
        <v>3397</v>
      </c>
      <c r="E68" s="1">
        <v>45658</v>
      </c>
      <c r="F68" s="1">
        <v>45660</v>
      </c>
      <c r="G68">
        <v>20922</v>
      </c>
      <c r="H68" t="s">
        <v>25</v>
      </c>
    </row>
    <row r="69" spans="1:8" x14ac:dyDescent="0.25">
      <c r="A69">
        <v>100078</v>
      </c>
      <c r="B69">
        <v>279</v>
      </c>
      <c r="C69">
        <v>351</v>
      </c>
      <c r="D69">
        <v>3036</v>
      </c>
      <c r="E69" s="1">
        <v>45623</v>
      </c>
      <c r="F69" s="1">
        <v>45626</v>
      </c>
      <c r="G69">
        <v>28373</v>
      </c>
      <c r="H69" t="s">
        <v>17</v>
      </c>
    </row>
    <row r="70" spans="1:8" x14ac:dyDescent="0.25">
      <c r="A70">
        <v>100079</v>
      </c>
      <c r="B70">
        <v>94</v>
      </c>
      <c r="C70">
        <v>1359</v>
      </c>
      <c r="D70">
        <v>3032</v>
      </c>
      <c r="E70" s="1">
        <v>45615</v>
      </c>
      <c r="F70" s="1">
        <v>45616</v>
      </c>
      <c r="G70">
        <v>10848</v>
      </c>
      <c r="H70" t="s">
        <v>25</v>
      </c>
    </row>
    <row r="71" spans="1:8" x14ac:dyDescent="0.25">
      <c r="A71">
        <v>100080</v>
      </c>
      <c r="B71">
        <v>273</v>
      </c>
      <c r="C71">
        <v>997</v>
      </c>
      <c r="D71">
        <v>3401</v>
      </c>
      <c r="E71" s="1">
        <v>45787</v>
      </c>
      <c r="F71" s="1">
        <v>45806</v>
      </c>
      <c r="G71">
        <v>117750</v>
      </c>
      <c r="H71" t="s">
        <v>25</v>
      </c>
    </row>
    <row r="72" spans="1:8" x14ac:dyDescent="0.25">
      <c r="A72">
        <v>100081</v>
      </c>
      <c r="B72">
        <v>288</v>
      </c>
      <c r="C72">
        <v>430</v>
      </c>
      <c r="D72">
        <v>3391</v>
      </c>
      <c r="E72" s="1">
        <v>45650</v>
      </c>
      <c r="F72" s="1">
        <v>45655</v>
      </c>
      <c r="G72">
        <v>38692</v>
      </c>
      <c r="H72" t="s">
        <v>17</v>
      </c>
    </row>
    <row r="73" spans="1:8" x14ac:dyDescent="0.25">
      <c r="A73">
        <v>100082</v>
      </c>
      <c r="B73">
        <v>46</v>
      </c>
      <c r="C73">
        <v>1042</v>
      </c>
      <c r="D73">
        <v>3288</v>
      </c>
      <c r="E73" s="1">
        <v>45784</v>
      </c>
      <c r="F73" s="1">
        <v>45786</v>
      </c>
      <c r="G73">
        <v>17023</v>
      </c>
      <c r="H73" t="s">
        <v>25</v>
      </c>
    </row>
    <row r="74" spans="1:8" x14ac:dyDescent="0.25">
      <c r="A74">
        <v>100083</v>
      </c>
      <c r="B74">
        <v>2</v>
      </c>
      <c r="C74">
        <v>917</v>
      </c>
      <c r="D74">
        <v>3006</v>
      </c>
      <c r="E74" s="1">
        <v>45698</v>
      </c>
      <c r="F74" s="1">
        <v>45701</v>
      </c>
      <c r="G74">
        <v>15582</v>
      </c>
      <c r="H74" t="s">
        <v>17</v>
      </c>
    </row>
    <row r="75" spans="1:8" x14ac:dyDescent="0.25">
      <c r="A75">
        <v>100084</v>
      </c>
      <c r="B75">
        <v>166</v>
      </c>
      <c r="C75">
        <v>397</v>
      </c>
      <c r="D75">
        <v>3412</v>
      </c>
      <c r="E75" s="1">
        <v>45633</v>
      </c>
      <c r="F75" s="1">
        <v>45635</v>
      </c>
      <c r="G75">
        <v>23685</v>
      </c>
      <c r="H75" t="s">
        <v>10</v>
      </c>
    </row>
    <row r="76" spans="1:8" x14ac:dyDescent="0.25">
      <c r="A76">
        <v>100085</v>
      </c>
      <c r="B76">
        <v>33</v>
      </c>
      <c r="C76">
        <v>1243</v>
      </c>
      <c r="D76">
        <v>3470</v>
      </c>
      <c r="E76" s="1">
        <v>45712</v>
      </c>
      <c r="F76" s="1">
        <v>45713</v>
      </c>
      <c r="G76">
        <v>14361</v>
      </c>
      <c r="H76" t="s">
        <v>14</v>
      </c>
    </row>
    <row r="77" spans="1:8" x14ac:dyDescent="0.25">
      <c r="A77">
        <v>100086</v>
      </c>
      <c r="B77">
        <v>16</v>
      </c>
      <c r="C77">
        <v>725</v>
      </c>
      <c r="D77">
        <v>3006</v>
      </c>
      <c r="E77" s="1">
        <v>45745</v>
      </c>
      <c r="F77" s="1">
        <v>45753</v>
      </c>
      <c r="G77">
        <v>34705</v>
      </c>
      <c r="H77" t="s">
        <v>25</v>
      </c>
    </row>
    <row r="78" spans="1:8" x14ac:dyDescent="0.25">
      <c r="A78">
        <v>100087</v>
      </c>
      <c r="B78">
        <v>129</v>
      </c>
      <c r="C78">
        <v>985</v>
      </c>
      <c r="D78">
        <v>3114</v>
      </c>
      <c r="E78" s="1">
        <v>45749</v>
      </c>
      <c r="F78" s="1">
        <v>45754</v>
      </c>
      <c r="G78">
        <v>28166</v>
      </c>
      <c r="H78" t="s">
        <v>17</v>
      </c>
    </row>
    <row r="79" spans="1:8" x14ac:dyDescent="0.25">
      <c r="A79">
        <v>100088</v>
      </c>
      <c r="B79">
        <v>39</v>
      </c>
      <c r="C79">
        <v>554</v>
      </c>
      <c r="D79">
        <v>3439</v>
      </c>
      <c r="E79" s="1">
        <v>45736</v>
      </c>
      <c r="F79" s="1">
        <v>45739</v>
      </c>
      <c r="G79">
        <v>22811</v>
      </c>
      <c r="H79" t="s">
        <v>25</v>
      </c>
    </row>
    <row r="80" spans="1:8" x14ac:dyDescent="0.25">
      <c r="A80">
        <v>100089</v>
      </c>
      <c r="B80">
        <v>277</v>
      </c>
      <c r="C80">
        <v>1461</v>
      </c>
      <c r="D80">
        <v>3118</v>
      </c>
      <c r="E80" s="1">
        <v>45804</v>
      </c>
      <c r="F80" s="1">
        <v>45806</v>
      </c>
      <c r="G80">
        <v>19791</v>
      </c>
      <c r="H80" t="s">
        <v>17</v>
      </c>
    </row>
    <row r="81" spans="1:8" x14ac:dyDescent="0.25">
      <c r="A81">
        <v>100090</v>
      </c>
      <c r="B81">
        <v>374</v>
      </c>
      <c r="C81">
        <v>1583</v>
      </c>
      <c r="D81">
        <v>3141</v>
      </c>
      <c r="E81" s="1">
        <v>45799</v>
      </c>
      <c r="F81" s="1">
        <v>45808</v>
      </c>
      <c r="G81">
        <v>76250</v>
      </c>
      <c r="H81" t="s">
        <v>25</v>
      </c>
    </row>
    <row r="82" spans="1:8" x14ac:dyDescent="0.25">
      <c r="A82">
        <v>100091</v>
      </c>
      <c r="B82">
        <v>156</v>
      </c>
      <c r="C82">
        <v>188</v>
      </c>
      <c r="D82">
        <v>3432</v>
      </c>
      <c r="E82" s="1">
        <v>45781</v>
      </c>
      <c r="F82" s="1">
        <v>45784</v>
      </c>
      <c r="G82">
        <v>22542</v>
      </c>
      <c r="H82" t="s">
        <v>25</v>
      </c>
    </row>
    <row r="83" spans="1:8" x14ac:dyDescent="0.25">
      <c r="A83">
        <v>100092</v>
      </c>
      <c r="B83">
        <v>242</v>
      </c>
      <c r="C83">
        <v>1369</v>
      </c>
      <c r="D83">
        <v>3164</v>
      </c>
      <c r="E83" s="1">
        <v>45607</v>
      </c>
      <c r="F83" s="1">
        <v>45610</v>
      </c>
      <c r="G83">
        <v>26992</v>
      </c>
      <c r="H83" t="s">
        <v>25</v>
      </c>
    </row>
    <row r="84" spans="1:8" x14ac:dyDescent="0.25">
      <c r="A84">
        <v>100093</v>
      </c>
      <c r="B84">
        <v>359</v>
      </c>
      <c r="C84">
        <v>866</v>
      </c>
      <c r="D84">
        <v>3152</v>
      </c>
      <c r="E84" s="1">
        <v>45623</v>
      </c>
      <c r="F84" s="1">
        <v>45630</v>
      </c>
      <c r="G84">
        <v>44504</v>
      </c>
      <c r="H84" t="s">
        <v>25</v>
      </c>
    </row>
    <row r="85" spans="1:8" x14ac:dyDescent="0.25">
      <c r="A85">
        <v>100094</v>
      </c>
      <c r="B85">
        <v>90</v>
      </c>
      <c r="C85">
        <v>1197</v>
      </c>
      <c r="D85">
        <v>3228</v>
      </c>
      <c r="E85" s="1">
        <v>45717</v>
      </c>
      <c r="F85" s="1">
        <v>45721</v>
      </c>
      <c r="G85">
        <v>40315</v>
      </c>
      <c r="H85" t="s">
        <v>17</v>
      </c>
    </row>
    <row r="86" spans="1:8" x14ac:dyDescent="0.25">
      <c r="A86">
        <v>100095</v>
      </c>
      <c r="B86">
        <v>282</v>
      </c>
      <c r="C86">
        <v>557</v>
      </c>
      <c r="D86">
        <v>3231</v>
      </c>
      <c r="E86" s="1">
        <v>45598</v>
      </c>
      <c r="F86" s="1">
        <v>45600</v>
      </c>
      <c r="G86">
        <v>25891</v>
      </c>
      <c r="H86" t="s">
        <v>25</v>
      </c>
    </row>
    <row r="87" spans="1:8" x14ac:dyDescent="0.25">
      <c r="A87">
        <v>100096</v>
      </c>
      <c r="B87">
        <v>88</v>
      </c>
      <c r="C87">
        <v>218</v>
      </c>
      <c r="D87">
        <v>3064</v>
      </c>
      <c r="E87" s="1">
        <v>45654</v>
      </c>
      <c r="F87" s="1">
        <v>45657</v>
      </c>
      <c r="G87">
        <v>27045</v>
      </c>
      <c r="H87" t="s">
        <v>17</v>
      </c>
    </row>
    <row r="88" spans="1:8" x14ac:dyDescent="0.25">
      <c r="A88">
        <v>100097</v>
      </c>
      <c r="B88">
        <v>200</v>
      </c>
      <c r="C88">
        <v>823</v>
      </c>
      <c r="D88">
        <v>3412</v>
      </c>
      <c r="E88" s="1">
        <v>45657</v>
      </c>
      <c r="F88" s="1">
        <v>45660</v>
      </c>
      <c r="G88">
        <v>26708</v>
      </c>
      <c r="H88" t="s">
        <v>17</v>
      </c>
    </row>
    <row r="89" spans="1:8" x14ac:dyDescent="0.25">
      <c r="A89">
        <v>100098</v>
      </c>
      <c r="B89">
        <v>56</v>
      </c>
      <c r="C89">
        <v>1275</v>
      </c>
      <c r="D89">
        <v>3003</v>
      </c>
      <c r="E89" s="1">
        <v>45600</v>
      </c>
      <c r="F89" s="1">
        <v>45603</v>
      </c>
      <c r="G89">
        <v>32258</v>
      </c>
      <c r="H89" t="s">
        <v>25</v>
      </c>
    </row>
    <row r="90" spans="1:8" x14ac:dyDescent="0.25">
      <c r="A90">
        <v>100099</v>
      </c>
      <c r="B90">
        <v>350</v>
      </c>
      <c r="C90">
        <v>1372</v>
      </c>
      <c r="D90">
        <v>3345</v>
      </c>
      <c r="E90" s="1">
        <v>45626</v>
      </c>
      <c r="F90" s="1">
        <v>45631</v>
      </c>
      <c r="G90">
        <v>26985</v>
      </c>
      <c r="H90" t="s">
        <v>25</v>
      </c>
    </row>
    <row r="91" spans="1:8" x14ac:dyDescent="0.25">
      <c r="A91">
        <v>100100</v>
      </c>
      <c r="B91">
        <v>65</v>
      </c>
      <c r="C91">
        <v>1584</v>
      </c>
      <c r="D91">
        <v>3158</v>
      </c>
      <c r="E91" s="1">
        <v>45709</v>
      </c>
      <c r="F91" s="1">
        <v>45714</v>
      </c>
      <c r="G91">
        <v>29835</v>
      </c>
      <c r="H91" t="s">
        <v>14</v>
      </c>
    </row>
    <row r="92" spans="1:8" x14ac:dyDescent="0.25">
      <c r="A92">
        <v>100101</v>
      </c>
      <c r="B92">
        <v>380</v>
      </c>
      <c r="C92">
        <v>618</v>
      </c>
      <c r="D92">
        <v>3196</v>
      </c>
      <c r="E92" s="1">
        <v>45732</v>
      </c>
      <c r="F92" s="1">
        <v>45737</v>
      </c>
      <c r="G92">
        <v>49328</v>
      </c>
      <c r="H92" t="s">
        <v>17</v>
      </c>
    </row>
    <row r="93" spans="1:8" x14ac:dyDescent="0.25">
      <c r="A93">
        <v>100102</v>
      </c>
      <c r="B93">
        <v>228</v>
      </c>
      <c r="C93">
        <v>285</v>
      </c>
      <c r="D93">
        <v>3133</v>
      </c>
      <c r="E93" s="1">
        <v>45801</v>
      </c>
      <c r="F93" s="1">
        <v>45805</v>
      </c>
      <c r="G93">
        <v>26401</v>
      </c>
      <c r="H93" t="s">
        <v>14</v>
      </c>
    </row>
    <row r="94" spans="1:8" x14ac:dyDescent="0.25">
      <c r="A94">
        <v>100103</v>
      </c>
      <c r="B94">
        <v>137</v>
      </c>
      <c r="C94">
        <v>1364</v>
      </c>
      <c r="D94">
        <v>3320</v>
      </c>
      <c r="E94" s="1">
        <v>45627</v>
      </c>
      <c r="F94" s="1">
        <v>45630</v>
      </c>
      <c r="G94">
        <v>15129</v>
      </c>
      <c r="H94" t="s">
        <v>25</v>
      </c>
    </row>
    <row r="95" spans="1:8" x14ac:dyDescent="0.25">
      <c r="A95">
        <v>100104</v>
      </c>
      <c r="B95">
        <v>89</v>
      </c>
      <c r="C95">
        <v>1138</v>
      </c>
      <c r="D95">
        <v>3360</v>
      </c>
      <c r="E95" s="1">
        <v>45637</v>
      </c>
      <c r="F95" s="1">
        <v>45644</v>
      </c>
      <c r="G95">
        <v>62943</v>
      </c>
      <c r="H95" t="s">
        <v>25</v>
      </c>
    </row>
    <row r="96" spans="1:8" x14ac:dyDescent="0.25">
      <c r="A96">
        <v>100105</v>
      </c>
      <c r="B96">
        <v>43</v>
      </c>
      <c r="C96">
        <v>325</v>
      </c>
      <c r="D96">
        <v>3295</v>
      </c>
      <c r="E96" s="1">
        <v>45766</v>
      </c>
      <c r="F96" s="1">
        <v>45769</v>
      </c>
      <c r="G96">
        <v>30979</v>
      </c>
      <c r="H96" t="s">
        <v>25</v>
      </c>
    </row>
    <row r="97" spans="1:8" x14ac:dyDescent="0.25">
      <c r="A97">
        <v>100106</v>
      </c>
      <c r="B97">
        <v>320</v>
      </c>
      <c r="C97">
        <v>889</v>
      </c>
      <c r="D97">
        <v>3070</v>
      </c>
      <c r="E97" s="1">
        <v>45643</v>
      </c>
      <c r="F97" s="1">
        <v>45645</v>
      </c>
      <c r="G97">
        <v>23298</v>
      </c>
      <c r="H97" t="s">
        <v>17</v>
      </c>
    </row>
    <row r="98" spans="1:8" x14ac:dyDescent="0.25">
      <c r="A98">
        <v>100107</v>
      </c>
      <c r="B98">
        <v>218</v>
      </c>
      <c r="C98">
        <v>104</v>
      </c>
      <c r="D98">
        <v>3087</v>
      </c>
      <c r="E98" s="1">
        <v>45611</v>
      </c>
      <c r="F98" s="1">
        <v>45614</v>
      </c>
      <c r="G98">
        <v>28556</v>
      </c>
      <c r="H98" t="s">
        <v>25</v>
      </c>
    </row>
    <row r="99" spans="1:8" x14ac:dyDescent="0.25">
      <c r="A99">
        <v>100108</v>
      </c>
      <c r="B99">
        <v>481</v>
      </c>
      <c r="C99">
        <v>372</v>
      </c>
      <c r="D99">
        <v>3287</v>
      </c>
      <c r="E99" s="1">
        <v>45740</v>
      </c>
      <c r="F99" s="1">
        <v>45757</v>
      </c>
      <c r="G99">
        <v>139644</v>
      </c>
      <c r="H99" t="s">
        <v>25</v>
      </c>
    </row>
    <row r="100" spans="1:8" x14ac:dyDescent="0.25">
      <c r="A100">
        <v>100109</v>
      </c>
      <c r="B100">
        <v>289</v>
      </c>
      <c r="C100">
        <v>582</v>
      </c>
      <c r="D100">
        <v>3095</v>
      </c>
      <c r="E100" s="1">
        <v>45689</v>
      </c>
      <c r="F100" s="1">
        <v>45693</v>
      </c>
      <c r="G100">
        <v>31383</v>
      </c>
      <c r="H100" t="s">
        <v>14</v>
      </c>
    </row>
    <row r="101" spans="1:8" x14ac:dyDescent="0.25">
      <c r="A101">
        <v>100110</v>
      </c>
      <c r="B101">
        <v>373</v>
      </c>
      <c r="C101">
        <v>196</v>
      </c>
      <c r="D101">
        <v>3100</v>
      </c>
      <c r="E101" s="1">
        <v>45670</v>
      </c>
      <c r="F101" s="1">
        <v>45672</v>
      </c>
      <c r="G101">
        <v>30310</v>
      </c>
      <c r="H101" t="s">
        <v>25</v>
      </c>
    </row>
    <row r="102" spans="1:8" x14ac:dyDescent="0.25">
      <c r="A102">
        <v>100111</v>
      </c>
      <c r="B102">
        <v>332</v>
      </c>
      <c r="C102">
        <v>354</v>
      </c>
      <c r="D102">
        <v>3345</v>
      </c>
      <c r="E102" s="1">
        <v>45649</v>
      </c>
      <c r="F102" s="1">
        <v>45665</v>
      </c>
      <c r="G102">
        <v>88885</v>
      </c>
      <c r="H102" t="s">
        <v>14</v>
      </c>
    </row>
    <row r="103" spans="1:8" x14ac:dyDescent="0.25">
      <c r="A103">
        <v>100112</v>
      </c>
      <c r="B103">
        <v>383</v>
      </c>
      <c r="C103">
        <v>607</v>
      </c>
      <c r="D103">
        <v>3174</v>
      </c>
      <c r="E103" s="1">
        <v>45630</v>
      </c>
      <c r="F103" s="1">
        <v>45633</v>
      </c>
      <c r="G103">
        <v>27304</v>
      </c>
      <c r="H103" t="s">
        <v>25</v>
      </c>
    </row>
    <row r="104" spans="1:8" x14ac:dyDescent="0.25">
      <c r="A104">
        <v>100113</v>
      </c>
      <c r="B104">
        <v>461</v>
      </c>
      <c r="C104">
        <v>583</v>
      </c>
      <c r="D104">
        <v>3428</v>
      </c>
      <c r="E104" s="1">
        <v>45698</v>
      </c>
      <c r="F104" s="1">
        <v>45701</v>
      </c>
      <c r="G104">
        <v>26028</v>
      </c>
      <c r="H104" t="s">
        <v>25</v>
      </c>
    </row>
    <row r="105" spans="1:8" x14ac:dyDescent="0.25">
      <c r="A105">
        <v>100114</v>
      </c>
      <c r="B105">
        <v>394</v>
      </c>
      <c r="C105">
        <v>1538</v>
      </c>
      <c r="D105">
        <v>3312</v>
      </c>
      <c r="E105" s="1">
        <v>45771</v>
      </c>
      <c r="F105" s="1">
        <v>45775</v>
      </c>
      <c r="G105">
        <v>42535</v>
      </c>
      <c r="H105" t="s">
        <v>25</v>
      </c>
    </row>
    <row r="106" spans="1:8" x14ac:dyDescent="0.25">
      <c r="A106">
        <v>100115</v>
      </c>
      <c r="B106">
        <v>135</v>
      </c>
      <c r="C106">
        <v>1260</v>
      </c>
      <c r="D106">
        <v>3432</v>
      </c>
      <c r="E106" s="1">
        <v>45800</v>
      </c>
      <c r="F106" s="1">
        <v>45803</v>
      </c>
      <c r="G106">
        <v>19771</v>
      </c>
      <c r="H106" t="s">
        <v>25</v>
      </c>
    </row>
    <row r="107" spans="1:8" x14ac:dyDescent="0.25">
      <c r="A107">
        <v>100116</v>
      </c>
      <c r="B107">
        <v>50</v>
      </c>
      <c r="C107">
        <v>500</v>
      </c>
      <c r="D107">
        <v>3234</v>
      </c>
      <c r="E107" s="1">
        <v>45713</v>
      </c>
      <c r="F107" s="1">
        <v>45716</v>
      </c>
      <c r="G107">
        <v>13828</v>
      </c>
      <c r="H107" t="s">
        <v>17</v>
      </c>
    </row>
    <row r="108" spans="1:8" x14ac:dyDescent="0.25">
      <c r="A108">
        <v>100117</v>
      </c>
      <c r="B108">
        <v>155</v>
      </c>
      <c r="C108">
        <v>791</v>
      </c>
      <c r="D108">
        <v>3413</v>
      </c>
      <c r="E108" s="1">
        <v>45609</v>
      </c>
      <c r="F108" s="1">
        <v>45611</v>
      </c>
      <c r="G108">
        <v>18272</v>
      </c>
      <c r="H108" t="s">
        <v>25</v>
      </c>
    </row>
    <row r="109" spans="1:8" x14ac:dyDescent="0.25">
      <c r="A109">
        <v>100118</v>
      </c>
      <c r="B109">
        <v>303</v>
      </c>
      <c r="C109">
        <v>736</v>
      </c>
      <c r="D109">
        <v>3490</v>
      </c>
      <c r="E109" s="1">
        <v>45740</v>
      </c>
      <c r="F109" s="1">
        <v>45747</v>
      </c>
      <c r="G109">
        <v>60699</v>
      </c>
      <c r="H109" t="s">
        <v>10</v>
      </c>
    </row>
    <row r="110" spans="1:8" x14ac:dyDescent="0.25">
      <c r="A110">
        <v>100119</v>
      </c>
      <c r="B110">
        <v>36</v>
      </c>
      <c r="C110">
        <v>373</v>
      </c>
      <c r="D110">
        <v>3300</v>
      </c>
      <c r="E110" s="1">
        <v>45646</v>
      </c>
      <c r="F110" s="1">
        <v>45649</v>
      </c>
      <c r="G110">
        <v>26723</v>
      </c>
      <c r="H110" t="s">
        <v>25</v>
      </c>
    </row>
    <row r="111" spans="1:8" x14ac:dyDescent="0.25">
      <c r="A111">
        <v>100120</v>
      </c>
      <c r="B111">
        <v>181</v>
      </c>
      <c r="C111">
        <v>1165</v>
      </c>
      <c r="D111">
        <v>3359</v>
      </c>
      <c r="E111" s="1">
        <v>45767</v>
      </c>
      <c r="F111" s="1">
        <v>45771</v>
      </c>
      <c r="G111">
        <v>22073</v>
      </c>
      <c r="H111" t="s">
        <v>25</v>
      </c>
    </row>
    <row r="112" spans="1:8" x14ac:dyDescent="0.25">
      <c r="A112">
        <v>100121</v>
      </c>
      <c r="B112">
        <v>374</v>
      </c>
      <c r="C112">
        <v>672</v>
      </c>
      <c r="D112">
        <v>3173</v>
      </c>
      <c r="E112" s="1">
        <v>45781</v>
      </c>
      <c r="F112" s="1">
        <v>45782</v>
      </c>
      <c r="G112">
        <v>14157</v>
      </c>
      <c r="H112" t="s">
        <v>25</v>
      </c>
    </row>
    <row r="113" spans="1:8" x14ac:dyDescent="0.25">
      <c r="A113">
        <v>100122</v>
      </c>
      <c r="B113">
        <v>404</v>
      </c>
      <c r="C113">
        <v>780</v>
      </c>
      <c r="D113">
        <v>3296</v>
      </c>
      <c r="E113" s="1">
        <v>45697</v>
      </c>
      <c r="F113" s="1">
        <v>45699</v>
      </c>
      <c r="G113">
        <v>10179</v>
      </c>
      <c r="H113" t="s">
        <v>25</v>
      </c>
    </row>
    <row r="114" spans="1:8" x14ac:dyDescent="0.25">
      <c r="A114">
        <v>100123</v>
      </c>
      <c r="B114">
        <v>4</v>
      </c>
      <c r="C114">
        <v>897</v>
      </c>
      <c r="D114">
        <v>3343</v>
      </c>
      <c r="E114" s="1">
        <v>45624</v>
      </c>
      <c r="F114" s="1">
        <v>45644</v>
      </c>
      <c r="G114">
        <v>81256</v>
      </c>
      <c r="H114" t="s">
        <v>25</v>
      </c>
    </row>
    <row r="115" spans="1:8" x14ac:dyDescent="0.25">
      <c r="A115">
        <v>100124</v>
      </c>
      <c r="B115">
        <v>96</v>
      </c>
      <c r="C115">
        <v>1587</v>
      </c>
      <c r="D115">
        <v>3041</v>
      </c>
      <c r="E115" s="1">
        <v>45733</v>
      </c>
      <c r="F115" s="1">
        <v>45735</v>
      </c>
      <c r="G115">
        <v>17337</v>
      </c>
      <c r="H115" t="s">
        <v>25</v>
      </c>
    </row>
    <row r="116" spans="1:8" x14ac:dyDescent="0.25">
      <c r="A116">
        <v>100125</v>
      </c>
      <c r="B116">
        <v>164</v>
      </c>
      <c r="C116">
        <v>685</v>
      </c>
      <c r="D116">
        <v>3197</v>
      </c>
      <c r="E116" s="1">
        <v>45656</v>
      </c>
      <c r="F116" s="1">
        <v>45659</v>
      </c>
      <c r="G116">
        <v>20546</v>
      </c>
      <c r="H116" t="s">
        <v>17</v>
      </c>
    </row>
    <row r="117" spans="1:8" x14ac:dyDescent="0.25">
      <c r="A117">
        <v>100126</v>
      </c>
      <c r="B117">
        <v>167</v>
      </c>
      <c r="C117">
        <v>1104</v>
      </c>
      <c r="D117">
        <v>3247</v>
      </c>
      <c r="E117" s="1">
        <v>45606</v>
      </c>
      <c r="F117" s="1">
        <v>45611</v>
      </c>
      <c r="G117">
        <v>45653</v>
      </c>
      <c r="H117" t="s">
        <v>14</v>
      </c>
    </row>
    <row r="118" spans="1:8" x14ac:dyDescent="0.25">
      <c r="A118">
        <v>100127</v>
      </c>
      <c r="B118">
        <v>107</v>
      </c>
      <c r="C118">
        <v>1401</v>
      </c>
      <c r="D118">
        <v>3271</v>
      </c>
      <c r="E118" s="1">
        <v>45624</v>
      </c>
      <c r="F118" s="1">
        <v>45625</v>
      </c>
      <c r="G118">
        <v>10848</v>
      </c>
      <c r="H118" t="s">
        <v>25</v>
      </c>
    </row>
    <row r="119" spans="1:8" x14ac:dyDescent="0.25">
      <c r="A119">
        <v>100128</v>
      </c>
      <c r="B119">
        <v>274</v>
      </c>
      <c r="C119">
        <v>720</v>
      </c>
      <c r="D119">
        <v>3002</v>
      </c>
      <c r="E119" s="1">
        <v>45758</v>
      </c>
      <c r="F119" s="1">
        <v>45759</v>
      </c>
      <c r="G119">
        <v>18036</v>
      </c>
      <c r="H119" t="s">
        <v>25</v>
      </c>
    </row>
    <row r="120" spans="1:8" x14ac:dyDescent="0.25">
      <c r="A120">
        <v>100129</v>
      </c>
      <c r="B120">
        <v>309</v>
      </c>
      <c r="C120">
        <v>715</v>
      </c>
      <c r="D120">
        <v>3203</v>
      </c>
      <c r="E120" s="1">
        <v>45725</v>
      </c>
      <c r="F120" s="1">
        <v>45728</v>
      </c>
      <c r="G120">
        <v>37162</v>
      </c>
      <c r="H120" t="s">
        <v>17</v>
      </c>
    </row>
    <row r="121" spans="1:8" x14ac:dyDescent="0.25">
      <c r="A121">
        <v>100130</v>
      </c>
      <c r="B121">
        <v>13</v>
      </c>
      <c r="C121">
        <v>680</v>
      </c>
      <c r="D121">
        <v>3308</v>
      </c>
      <c r="E121" s="1">
        <v>45677</v>
      </c>
      <c r="F121" s="1">
        <v>45678</v>
      </c>
      <c r="G121">
        <v>13868</v>
      </c>
      <c r="H121" t="s">
        <v>25</v>
      </c>
    </row>
    <row r="122" spans="1:8" x14ac:dyDescent="0.25">
      <c r="A122">
        <v>100131</v>
      </c>
      <c r="B122">
        <v>103</v>
      </c>
      <c r="C122">
        <v>1395</v>
      </c>
      <c r="D122">
        <v>3242</v>
      </c>
      <c r="E122" s="1">
        <v>45778</v>
      </c>
      <c r="F122" s="1">
        <v>45782</v>
      </c>
      <c r="G122">
        <v>35742</v>
      </c>
      <c r="H122" t="s">
        <v>25</v>
      </c>
    </row>
    <row r="123" spans="1:8" x14ac:dyDescent="0.25">
      <c r="A123">
        <v>100132</v>
      </c>
      <c r="B123">
        <v>275</v>
      </c>
      <c r="C123">
        <v>843</v>
      </c>
      <c r="D123">
        <v>3008</v>
      </c>
      <c r="E123" s="1">
        <v>45756</v>
      </c>
      <c r="F123" s="1">
        <v>45795</v>
      </c>
      <c r="G123">
        <v>265473</v>
      </c>
      <c r="H123" t="s">
        <v>25</v>
      </c>
    </row>
    <row r="124" spans="1:8" x14ac:dyDescent="0.25">
      <c r="A124">
        <v>100133</v>
      </c>
      <c r="B124">
        <v>130</v>
      </c>
      <c r="C124">
        <v>1256</v>
      </c>
      <c r="D124">
        <v>3494</v>
      </c>
      <c r="E124" s="1">
        <v>45633</v>
      </c>
      <c r="F124" s="1">
        <v>45638</v>
      </c>
      <c r="G124">
        <v>24707</v>
      </c>
      <c r="H124" t="s">
        <v>25</v>
      </c>
    </row>
    <row r="125" spans="1:8" x14ac:dyDescent="0.25">
      <c r="A125">
        <v>100134</v>
      </c>
      <c r="B125">
        <v>212</v>
      </c>
      <c r="C125">
        <v>1418</v>
      </c>
      <c r="D125">
        <v>3089</v>
      </c>
      <c r="E125" s="1">
        <v>45658</v>
      </c>
      <c r="F125" s="1">
        <v>45662</v>
      </c>
      <c r="G125">
        <v>18886</v>
      </c>
      <c r="H125" t="s">
        <v>25</v>
      </c>
    </row>
    <row r="126" spans="1:8" x14ac:dyDescent="0.25">
      <c r="A126">
        <v>100135</v>
      </c>
      <c r="B126">
        <v>147</v>
      </c>
      <c r="C126">
        <v>306</v>
      </c>
      <c r="D126">
        <v>3029</v>
      </c>
      <c r="E126" s="1">
        <v>45651</v>
      </c>
      <c r="F126" s="1">
        <v>45656</v>
      </c>
      <c r="G126">
        <v>40138</v>
      </c>
      <c r="H126" t="s">
        <v>10</v>
      </c>
    </row>
    <row r="127" spans="1:8" x14ac:dyDescent="0.25">
      <c r="A127">
        <v>100136</v>
      </c>
      <c r="B127">
        <v>370</v>
      </c>
      <c r="C127">
        <v>1032</v>
      </c>
      <c r="D127">
        <v>3251</v>
      </c>
      <c r="E127" s="1">
        <v>45775</v>
      </c>
      <c r="F127" s="1">
        <v>45776</v>
      </c>
      <c r="G127">
        <v>18290</v>
      </c>
      <c r="H127" t="s">
        <v>17</v>
      </c>
    </row>
    <row r="128" spans="1:8" x14ac:dyDescent="0.25">
      <c r="A128">
        <v>100137</v>
      </c>
      <c r="B128">
        <v>372</v>
      </c>
      <c r="C128">
        <v>1558</v>
      </c>
      <c r="D128">
        <v>3038</v>
      </c>
      <c r="E128" s="1">
        <v>45763</v>
      </c>
      <c r="F128" s="1">
        <v>45765</v>
      </c>
      <c r="G128">
        <v>18124</v>
      </c>
      <c r="H128" t="s">
        <v>25</v>
      </c>
    </row>
    <row r="129" spans="1:8" x14ac:dyDescent="0.25">
      <c r="A129">
        <v>100138</v>
      </c>
      <c r="B129">
        <v>17</v>
      </c>
      <c r="C129">
        <v>1094</v>
      </c>
      <c r="D129">
        <v>3400</v>
      </c>
      <c r="E129" s="1">
        <v>45718</v>
      </c>
      <c r="F129" s="1">
        <v>45741</v>
      </c>
      <c r="G129">
        <v>128284</v>
      </c>
      <c r="H129" t="s">
        <v>17</v>
      </c>
    </row>
    <row r="130" spans="1:8" x14ac:dyDescent="0.25">
      <c r="A130">
        <v>100139</v>
      </c>
      <c r="B130">
        <v>447</v>
      </c>
      <c r="C130">
        <v>914</v>
      </c>
      <c r="D130">
        <v>3128</v>
      </c>
      <c r="E130" s="1">
        <v>45619</v>
      </c>
      <c r="F130" s="1">
        <v>45624</v>
      </c>
      <c r="G130">
        <v>46056</v>
      </c>
      <c r="H130" t="s">
        <v>25</v>
      </c>
    </row>
    <row r="131" spans="1:8" x14ac:dyDescent="0.25">
      <c r="A131">
        <v>100140</v>
      </c>
      <c r="B131">
        <v>372</v>
      </c>
      <c r="C131">
        <v>1408</v>
      </c>
      <c r="D131">
        <v>3436</v>
      </c>
      <c r="E131" s="1">
        <v>45696</v>
      </c>
      <c r="F131" s="1">
        <v>45705</v>
      </c>
      <c r="G131">
        <v>60904</v>
      </c>
      <c r="H131" t="s">
        <v>25</v>
      </c>
    </row>
    <row r="132" spans="1:8" x14ac:dyDescent="0.25">
      <c r="A132">
        <v>100141</v>
      </c>
      <c r="B132">
        <v>90</v>
      </c>
      <c r="C132">
        <v>384</v>
      </c>
      <c r="D132">
        <v>3084</v>
      </c>
      <c r="E132" s="1">
        <v>45733</v>
      </c>
      <c r="F132" s="1">
        <v>45736</v>
      </c>
      <c r="G132">
        <v>21626</v>
      </c>
      <c r="H132" t="s">
        <v>14</v>
      </c>
    </row>
    <row r="133" spans="1:8" x14ac:dyDescent="0.25">
      <c r="A133">
        <v>100142</v>
      </c>
      <c r="B133">
        <v>376</v>
      </c>
      <c r="C133">
        <v>362</v>
      </c>
      <c r="D133">
        <v>3287</v>
      </c>
      <c r="E133" s="1">
        <v>45755</v>
      </c>
      <c r="F133" s="1">
        <v>45757</v>
      </c>
      <c r="G133">
        <v>23133</v>
      </c>
      <c r="H133" t="s">
        <v>25</v>
      </c>
    </row>
    <row r="134" spans="1:8" x14ac:dyDescent="0.25">
      <c r="A134">
        <v>100143</v>
      </c>
      <c r="B134">
        <v>14</v>
      </c>
      <c r="C134">
        <v>1111</v>
      </c>
      <c r="D134">
        <v>3136</v>
      </c>
      <c r="E134" s="1">
        <v>45644</v>
      </c>
      <c r="F134" s="1">
        <v>45646</v>
      </c>
      <c r="G134">
        <v>20654</v>
      </c>
      <c r="H134" t="s">
        <v>17</v>
      </c>
    </row>
    <row r="135" spans="1:8" x14ac:dyDescent="0.25">
      <c r="A135">
        <v>100144</v>
      </c>
      <c r="B135">
        <v>156</v>
      </c>
      <c r="C135">
        <v>455</v>
      </c>
      <c r="D135">
        <v>3409</v>
      </c>
      <c r="E135" s="1">
        <v>45628</v>
      </c>
      <c r="F135" s="1">
        <v>45630</v>
      </c>
      <c r="G135">
        <v>17996</v>
      </c>
      <c r="H135" t="s">
        <v>25</v>
      </c>
    </row>
    <row r="136" spans="1:8" x14ac:dyDescent="0.25">
      <c r="A136">
        <v>100145</v>
      </c>
      <c r="B136">
        <v>369</v>
      </c>
      <c r="C136">
        <v>1119</v>
      </c>
      <c r="D136">
        <v>3465</v>
      </c>
      <c r="E136" s="1">
        <v>45790</v>
      </c>
      <c r="F136" s="1">
        <v>45792</v>
      </c>
      <c r="G136">
        <v>17860</v>
      </c>
      <c r="H136" t="s">
        <v>25</v>
      </c>
    </row>
    <row r="137" spans="1:8" x14ac:dyDescent="0.25">
      <c r="A137">
        <v>100146</v>
      </c>
      <c r="B137">
        <v>40</v>
      </c>
      <c r="C137">
        <v>565</v>
      </c>
      <c r="D137">
        <v>3462</v>
      </c>
      <c r="E137" s="1">
        <v>45798</v>
      </c>
      <c r="F137" s="1">
        <v>45808</v>
      </c>
      <c r="G137">
        <v>73401</v>
      </c>
      <c r="H137" t="s">
        <v>17</v>
      </c>
    </row>
    <row r="138" spans="1:8" x14ac:dyDescent="0.25">
      <c r="A138">
        <v>100147</v>
      </c>
      <c r="B138">
        <v>17</v>
      </c>
      <c r="C138">
        <v>440</v>
      </c>
      <c r="D138">
        <v>3106</v>
      </c>
      <c r="E138" s="1">
        <v>45656</v>
      </c>
      <c r="F138" s="1">
        <v>45667</v>
      </c>
      <c r="G138">
        <v>62421</v>
      </c>
      <c r="H138" t="s">
        <v>25</v>
      </c>
    </row>
    <row r="139" spans="1:8" x14ac:dyDescent="0.25">
      <c r="A139">
        <v>100148</v>
      </c>
      <c r="B139">
        <v>172</v>
      </c>
      <c r="C139">
        <v>156</v>
      </c>
      <c r="D139">
        <v>3133</v>
      </c>
      <c r="E139" s="1">
        <v>45603</v>
      </c>
      <c r="F139" s="1">
        <v>45607</v>
      </c>
      <c r="G139">
        <v>25293</v>
      </c>
      <c r="H139" t="s">
        <v>25</v>
      </c>
    </row>
    <row r="140" spans="1:8" x14ac:dyDescent="0.25">
      <c r="A140">
        <v>100149</v>
      </c>
      <c r="B140">
        <v>113</v>
      </c>
      <c r="C140">
        <v>125</v>
      </c>
      <c r="D140">
        <v>3380</v>
      </c>
      <c r="E140" s="1">
        <v>45744</v>
      </c>
      <c r="F140" s="1">
        <v>45746</v>
      </c>
      <c r="G140">
        <v>10438</v>
      </c>
      <c r="H140" t="s">
        <v>14</v>
      </c>
    </row>
    <row r="141" spans="1:8" x14ac:dyDescent="0.25">
      <c r="A141">
        <v>100150</v>
      </c>
      <c r="B141">
        <v>355</v>
      </c>
      <c r="C141">
        <v>990</v>
      </c>
      <c r="D141">
        <v>3289</v>
      </c>
      <c r="E141" s="1">
        <v>45757</v>
      </c>
      <c r="F141" s="1">
        <v>45762</v>
      </c>
      <c r="G141">
        <v>48791</v>
      </c>
      <c r="H141" t="s">
        <v>25</v>
      </c>
    </row>
    <row r="142" spans="1:8" x14ac:dyDescent="0.25">
      <c r="A142">
        <v>100151</v>
      </c>
      <c r="B142">
        <v>299</v>
      </c>
      <c r="C142">
        <v>1208</v>
      </c>
      <c r="D142">
        <v>3191</v>
      </c>
      <c r="E142" s="1">
        <v>45700</v>
      </c>
      <c r="F142" s="1">
        <v>45705</v>
      </c>
      <c r="G142">
        <v>49219</v>
      </c>
      <c r="H142" t="s">
        <v>25</v>
      </c>
    </row>
    <row r="143" spans="1:8" x14ac:dyDescent="0.25">
      <c r="A143">
        <v>100152</v>
      </c>
      <c r="B143">
        <v>121</v>
      </c>
      <c r="C143">
        <v>159</v>
      </c>
      <c r="D143">
        <v>3319</v>
      </c>
      <c r="E143" s="1">
        <v>45717</v>
      </c>
      <c r="F143" s="1">
        <v>45720</v>
      </c>
      <c r="G143">
        <v>21105</v>
      </c>
      <c r="H143" t="s">
        <v>10</v>
      </c>
    </row>
    <row r="144" spans="1:8" x14ac:dyDescent="0.25">
      <c r="A144">
        <v>100153</v>
      </c>
      <c r="B144">
        <v>472</v>
      </c>
      <c r="C144">
        <v>1092</v>
      </c>
      <c r="D144">
        <v>3358</v>
      </c>
      <c r="E144" s="1">
        <v>45691</v>
      </c>
      <c r="F144" s="1">
        <v>45698</v>
      </c>
      <c r="G144">
        <v>39933</v>
      </c>
      <c r="H144" t="s">
        <v>25</v>
      </c>
    </row>
    <row r="145" spans="1:8" x14ac:dyDescent="0.25">
      <c r="A145">
        <v>100154</v>
      </c>
      <c r="B145">
        <v>88</v>
      </c>
      <c r="C145">
        <v>890</v>
      </c>
      <c r="D145">
        <v>3132</v>
      </c>
      <c r="E145" s="1">
        <v>45650</v>
      </c>
      <c r="F145" s="1">
        <v>45653</v>
      </c>
      <c r="G145">
        <v>18143</v>
      </c>
      <c r="H145" t="s">
        <v>25</v>
      </c>
    </row>
    <row r="146" spans="1:8" x14ac:dyDescent="0.25">
      <c r="A146">
        <v>100155</v>
      </c>
      <c r="B146">
        <v>344</v>
      </c>
      <c r="C146">
        <v>1007</v>
      </c>
      <c r="D146">
        <v>3351</v>
      </c>
      <c r="E146" s="1">
        <v>45622</v>
      </c>
      <c r="F146" s="1">
        <v>45624</v>
      </c>
      <c r="G146">
        <v>11036</v>
      </c>
      <c r="H146" t="s">
        <v>17</v>
      </c>
    </row>
    <row r="147" spans="1:8" x14ac:dyDescent="0.25">
      <c r="A147">
        <v>100156</v>
      </c>
      <c r="B147">
        <v>495</v>
      </c>
      <c r="C147">
        <v>287</v>
      </c>
      <c r="D147">
        <v>3321</v>
      </c>
      <c r="E147" s="1">
        <v>45785</v>
      </c>
      <c r="F147" s="1">
        <v>45791</v>
      </c>
      <c r="G147">
        <v>52139</v>
      </c>
      <c r="H147" t="s">
        <v>25</v>
      </c>
    </row>
    <row r="148" spans="1:8" x14ac:dyDescent="0.25">
      <c r="A148">
        <v>100157</v>
      </c>
      <c r="B148">
        <v>302</v>
      </c>
      <c r="C148">
        <v>1525</v>
      </c>
      <c r="D148">
        <v>3091</v>
      </c>
      <c r="E148" s="1">
        <v>45662</v>
      </c>
      <c r="F148" s="1">
        <v>45667</v>
      </c>
      <c r="G148">
        <v>34731</v>
      </c>
      <c r="H148" t="s">
        <v>14</v>
      </c>
    </row>
    <row r="149" spans="1:8" x14ac:dyDescent="0.25">
      <c r="A149">
        <v>100158</v>
      </c>
      <c r="B149">
        <v>429</v>
      </c>
      <c r="C149">
        <v>774</v>
      </c>
      <c r="D149">
        <v>3481</v>
      </c>
      <c r="E149" s="1">
        <v>45742</v>
      </c>
      <c r="F149" s="1">
        <v>45746</v>
      </c>
      <c r="G149">
        <v>27786</v>
      </c>
      <c r="H149" t="s">
        <v>25</v>
      </c>
    </row>
    <row r="150" spans="1:8" x14ac:dyDescent="0.25">
      <c r="A150">
        <v>100159</v>
      </c>
      <c r="B150">
        <v>162</v>
      </c>
      <c r="C150">
        <v>1038</v>
      </c>
      <c r="D150">
        <v>3398</v>
      </c>
      <c r="E150" s="1">
        <v>45780</v>
      </c>
      <c r="F150" s="1">
        <v>45781</v>
      </c>
      <c r="G150">
        <v>7872</v>
      </c>
      <c r="H150" t="s">
        <v>25</v>
      </c>
    </row>
    <row r="151" spans="1:8" x14ac:dyDescent="0.25">
      <c r="A151">
        <v>100160</v>
      </c>
      <c r="B151">
        <v>296</v>
      </c>
      <c r="C151">
        <v>375</v>
      </c>
      <c r="D151">
        <v>3046</v>
      </c>
      <c r="E151" s="1">
        <v>45677</v>
      </c>
      <c r="F151" s="1">
        <v>45680</v>
      </c>
      <c r="G151">
        <v>29523</v>
      </c>
      <c r="H151" t="s">
        <v>25</v>
      </c>
    </row>
    <row r="152" spans="1:8" x14ac:dyDescent="0.25">
      <c r="A152">
        <v>100161</v>
      </c>
      <c r="B152">
        <v>195</v>
      </c>
      <c r="C152">
        <v>932</v>
      </c>
      <c r="D152">
        <v>3064</v>
      </c>
      <c r="E152" s="1">
        <v>45624</v>
      </c>
      <c r="F152" s="1">
        <v>45627</v>
      </c>
      <c r="G152">
        <v>23598</v>
      </c>
      <c r="H152" t="s">
        <v>17</v>
      </c>
    </row>
    <row r="153" spans="1:8" x14ac:dyDescent="0.25">
      <c r="A153">
        <v>100162</v>
      </c>
      <c r="B153">
        <v>187</v>
      </c>
      <c r="C153">
        <v>680</v>
      </c>
      <c r="D153">
        <v>3303</v>
      </c>
      <c r="E153" s="1">
        <v>45699</v>
      </c>
      <c r="F153" s="1">
        <v>45700</v>
      </c>
      <c r="G153">
        <v>15431</v>
      </c>
      <c r="H153" t="s">
        <v>17</v>
      </c>
    </row>
    <row r="154" spans="1:8" x14ac:dyDescent="0.25">
      <c r="A154">
        <v>100163</v>
      </c>
      <c r="B154">
        <v>317</v>
      </c>
      <c r="C154">
        <v>332</v>
      </c>
      <c r="D154">
        <v>3453</v>
      </c>
      <c r="E154" s="1">
        <v>45781</v>
      </c>
      <c r="F154" s="1">
        <v>45789</v>
      </c>
      <c r="G154">
        <v>69073</v>
      </c>
      <c r="H154" t="s">
        <v>17</v>
      </c>
    </row>
    <row r="155" spans="1:8" x14ac:dyDescent="0.25">
      <c r="A155">
        <v>100164</v>
      </c>
      <c r="B155">
        <v>326</v>
      </c>
      <c r="C155">
        <v>1547</v>
      </c>
      <c r="D155">
        <v>3104</v>
      </c>
      <c r="E155" s="1">
        <v>45638</v>
      </c>
      <c r="F155" s="1">
        <v>45642</v>
      </c>
      <c r="G155">
        <v>29356</v>
      </c>
      <c r="H155" t="s">
        <v>25</v>
      </c>
    </row>
    <row r="156" spans="1:8" x14ac:dyDescent="0.25">
      <c r="A156">
        <v>100165</v>
      </c>
      <c r="B156">
        <v>487</v>
      </c>
      <c r="C156">
        <v>1120</v>
      </c>
      <c r="D156">
        <v>3302</v>
      </c>
      <c r="E156" s="1">
        <v>45700</v>
      </c>
      <c r="F156" s="1">
        <v>45701</v>
      </c>
      <c r="G156">
        <v>17448</v>
      </c>
      <c r="H156" t="s">
        <v>25</v>
      </c>
    </row>
    <row r="157" spans="1:8" x14ac:dyDescent="0.25">
      <c r="A157">
        <v>100166</v>
      </c>
      <c r="B157">
        <v>342</v>
      </c>
      <c r="C157">
        <v>686</v>
      </c>
      <c r="D157">
        <v>3017</v>
      </c>
      <c r="E157" s="1">
        <v>45762</v>
      </c>
      <c r="F157" s="1">
        <v>45763</v>
      </c>
      <c r="G157">
        <v>19150</v>
      </c>
      <c r="H157" t="s">
        <v>25</v>
      </c>
    </row>
    <row r="158" spans="1:8" x14ac:dyDescent="0.25">
      <c r="A158">
        <v>100167</v>
      </c>
      <c r="B158">
        <v>310</v>
      </c>
      <c r="C158">
        <v>756</v>
      </c>
      <c r="D158">
        <v>3039</v>
      </c>
      <c r="E158" s="1">
        <v>45628</v>
      </c>
      <c r="F158" s="1">
        <v>45631</v>
      </c>
      <c r="G158">
        <v>21267</v>
      </c>
      <c r="H158" t="s">
        <v>25</v>
      </c>
    </row>
    <row r="159" spans="1:8" x14ac:dyDescent="0.25">
      <c r="A159">
        <v>100168</v>
      </c>
      <c r="B159">
        <v>285</v>
      </c>
      <c r="C159">
        <v>772</v>
      </c>
      <c r="D159">
        <v>3429</v>
      </c>
      <c r="E159" s="1">
        <v>45742</v>
      </c>
      <c r="F159" s="1">
        <v>45745</v>
      </c>
      <c r="G159">
        <v>17757</v>
      </c>
      <c r="H159" t="s">
        <v>25</v>
      </c>
    </row>
    <row r="160" spans="1:8" x14ac:dyDescent="0.25">
      <c r="A160">
        <v>100169</v>
      </c>
      <c r="B160">
        <v>235</v>
      </c>
      <c r="C160">
        <v>1383</v>
      </c>
      <c r="D160">
        <v>3466</v>
      </c>
      <c r="E160" s="1">
        <v>45658</v>
      </c>
      <c r="F160" s="1">
        <v>45659</v>
      </c>
      <c r="G160">
        <v>14499</v>
      </c>
      <c r="H160" t="s">
        <v>25</v>
      </c>
    </row>
    <row r="161" spans="1:8" x14ac:dyDescent="0.25">
      <c r="A161">
        <v>100170</v>
      </c>
      <c r="B161">
        <v>364</v>
      </c>
      <c r="C161">
        <v>788</v>
      </c>
      <c r="D161">
        <v>3169</v>
      </c>
      <c r="E161" s="1">
        <v>45623</v>
      </c>
      <c r="F161" s="1">
        <v>45628</v>
      </c>
      <c r="G161">
        <v>27917</v>
      </c>
      <c r="H161" t="s">
        <v>25</v>
      </c>
    </row>
    <row r="162" spans="1:8" x14ac:dyDescent="0.25">
      <c r="A162">
        <v>100171</v>
      </c>
      <c r="B162">
        <v>38</v>
      </c>
      <c r="C162">
        <v>909</v>
      </c>
      <c r="D162">
        <v>3085</v>
      </c>
      <c r="E162" s="1">
        <v>45617</v>
      </c>
      <c r="F162" s="1">
        <v>45638</v>
      </c>
      <c r="G162">
        <v>145486</v>
      </c>
      <c r="H162" t="s">
        <v>25</v>
      </c>
    </row>
    <row r="163" spans="1:8" x14ac:dyDescent="0.25">
      <c r="A163">
        <v>100172</v>
      </c>
      <c r="B163">
        <v>340</v>
      </c>
      <c r="C163">
        <v>959</v>
      </c>
      <c r="D163">
        <v>3374</v>
      </c>
      <c r="E163" s="1">
        <v>45768</v>
      </c>
      <c r="F163" s="1">
        <v>45770</v>
      </c>
      <c r="G163">
        <v>21852</v>
      </c>
      <c r="H163" t="s">
        <v>25</v>
      </c>
    </row>
    <row r="164" spans="1:8" x14ac:dyDescent="0.25">
      <c r="A164">
        <v>100173</v>
      </c>
      <c r="B164">
        <v>185</v>
      </c>
      <c r="C164">
        <v>500</v>
      </c>
      <c r="D164">
        <v>3042</v>
      </c>
      <c r="E164" s="1">
        <v>45691</v>
      </c>
      <c r="F164" s="1">
        <v>45692</v>
      </c>
      <c r="G164">
        <v>13069</v>
      </c>
      <c r="H164" t="s">
        <v>10</v>
      </c>
    </row>
    <row r="165" spans="1:8" x14ac:dyDescent="0.25">
      <c r="A165">
        <v>100174</v>
      </c>
      <c r="B165">
        <v>304</v>
      </c>
      <c r="C165">
        <v>530</v>
      </c>
      <c r="D165">
        <v>3493</v>
      </c>
      <c r="E165" s="1">
        <v>45665</v>
      </c>
      <c r="F165" s="1">
        <v>45672</v>
      </c>
      <c r="G165">
        <v>47588</v>
      </c>
      <c r="H165" t="s">
        <v>25</v>
      </c>
    </row>
    <row r="166" spans="1:8" x14ac:dyDescent="0.25">
      <c r="A166">
        <v>100175</v>
      </c>
      <c r="B166">
        <v>319</v>
      </c>
      <c r="C166">
        <v>152</v>
      </c>
      <c r="D166">
        <v>3185</v>
      </c>
      <c r="E166" s="1">
        <v>45804</v>
      </c>
      <c r="F166" s="1">
        <v>45805</v>
      </c>
      <c r="G166">
        <v>10251</v>
      </c>
      <c r="H166" t="s">
        <v>25</v>
      </c>
    </row>
    <row r="167" spans="1:8" x14ac:dyDescent="0.25">
      <c r="A167">
        <v>100176</v>
      </c>
      <c r="B167">
        <v>493</v>
      </c>
      <c r="C167">
        <v>455</v>
      </c>
      <c r="D167">
        <v>3088</v>
      </c>
      <c r="E167" s="1">
        <v>45658</v>
      </c>
      <c r="F167" s="1">
        <v>45661</v>
      </c>
      <c r="G167">
        <v>27628</v>
      </c>
      <c r="H167" t="s">
        <v>25</v>
      </c>
    </row>
    <row r="168" spans="1:8" x14ac:dyDescent="0.25">
      <c r="A168">
        <v>100177</v>
      </c>
      <c r="B168">
        <v>191</v>
      </c>
      <c r="C168">
        <v>960</v>
      </c>
      <c r="D168">
        <v>3321</v>
      </c>
      <c r="E168" s="1">
        <v>45620</v>
      </c>
      <c r="F168" s="1">
        <v>45629</v>
      </c>
      <c r="G168">
        <v>59220</v>
      </c>
      <c r="H168" t="s">
        <v>10</v>
      </c>
    </row>
    <row r="169" spans="1:8" x14ac:dyDescent="0.25">
      <c r="A169">
        <v>100178</v>
      </c>
      <c r="B169">
        <v>327</v>
      </c>
      <c r="C169">
        <v>399</v>
      </c>
      <c r="D169">
        <v>3144</v>
      </c>
      <c r="E169" s="1">
        <v>45673</v>
      </c>
      <c r="F169" s="1">
        <v>45675</v>
      </c>
      <c r="G169">
        <v>24987</v>
      </c>
      <c r="H169" t="s">
        <v>10</v>
      </c>
    </row>
    <row r="170" spans="1:8" x14ac:dyDescent="0.25">
      <c r="A170">
        <v>100179</v>
      </c>
      <c r="B170">
        <v>215</v>
      </c>
      <c r="C170">
        <v>1297</v>
      </c>
      <c r="D170">
        <v>3028</v>
      </c>
      <c r="E170" s="1">
        <v>45640</v>
      </c>
      <c r="F170" s="1">
        <v>45645</v>
      </c>
      <c r="G170">
        <v>36619</v>
      </c>
      <c r="H170" t="s">
        <v>25</v>
      </c>
    </row>
    <row r="171" spans="1:8" x14ac:dyDescent="0.25">
      <c r="A171">
        <v>100180</v>
      </c>
      <c r="B171">
        <v>2</v>
      </c>
      <c r="C171">
        <v>1394</v>
      </c>
      <c r="D171">
        <v>3377</v>
      </c>
      <c r="E171" s="1">
        <v>45754</v>
      </c>
      <c r="F171" s="1">
        <v>45756</v>
      </c>
      <c r="G171">
        <v>14898</v>
      </c>
      <c r="H171" t="s">
        <v>25</v>
      </c>
    </row>
    <row r="172" spans="1:8" x14ac:dyDescent="0.25">
      <c r="A172">
        <v>100181</v>
      </c>
      <c r="B172">
        <v>318</v>
      </c>
      <c r="C172">
        <v>908</v>
      </c>
      <c r="D172">
        <v>3274</v>
      </c>
      <c r="E172" s="1">
        <v>45775</v>
      </c>
      <c r="F172" s="1">
        <v>45790</v>
      </c>
      <c r="G172">
        <v>107461</v>
      </c>
      <c r="H172" t="s">
        <v>14</v>
      </c>
    </row>
    <row r="173" spans="1:8" x14ac:dyDescent="0.25">
      <c r="A173">
        <v>100182</v>
      </c>
      <c r="B173">
        <v>351</v>
      </c>
      <c r="C173">
        <v>164</v>
      </c>
      <c r="D173">
        <v>3105</v>
      </c>
      <c r="E173" s="1">
        <v>45752</v>
      </c>
      <c r="F173" s="1">
        <v>45769</v>
      </c>
      <c r="G173">
        <v>100339</v>
      </c>
      <c r="H173" t="s">
        <v>17</v>
      </c>
    </row>
    <row r="174" spans="1:8" x14ac:dyDescent="0.25">
      <c r="A174">
        <v>100183</v>
      </c>
      <c r="B174">
        <v>96</v>
      </c>
      <c r="C174">
        <v>464</v>
      </c>
      <c r="D174">
        <v>3199</v>
      </c>
      <c r="E174" s="1">
        <v>45770</v>
      </c>
      <c r="F174" s="1">
        <v>45773</v>
      </c>
      <c r="G174">
        <v>20237</v>
      </c>
      <c r="H174" t="s">
        <v>14</v>
      </c>
    </row>
    <row r="175" spans="1:8" x14ac:dyDescent="0.25">
      <c r="A175">
        <v>100184</v>
      </c>
      <c r="B175">
        <v>231</v>
      </c>
      <c r="C175">
        <v>226</v>
      </c>
      <c r="D175">
        <v>3139</v>
      </c>
      <c r="E175" s="1">
        <v>45747</v>
      </c>
      <c r="F175" s="1">
        <v>45749</v>
      </c>
      <c r="G175">
        <v>23019</v>
      </c>
      <c r="H175" t="s">
        <v>14</v>
      </c>
    </row>
    <row r="176" spans="1:8" x14ac:dyDescent="0.25">
      <c r="A176">
        <v>100185</v>
      </c>
      <c r="B176">
        <v>290</v>
      </c>
      <c r="C176">
        <v>1001</v>
      </c>
      <c r="D176">
        <v>3254</v>
      </c>
      <c r="E176" s="1">
        <v>45693</v>
      </c>
      <c r="F176" s="1">
        <v>45698</v>
      </c>
      <c r="G176">
        <v>43067</v>
      </c>
      <c r="H176" t="s">
        <v>14</v>
      </c>
    </row>
    <row r="177" spans="1:8" x14ac:dyDescent="0.25">
      <c r="A177">
        <v>100186</v>
      </c>
      <c r="B177">
        <v>36</v>
      </c>
      <c r="C177">
        <v>1517</v>
      </c>
      <c r="D177">
        <v>3039</v>
      </c>
      <c r="E177" s="1">
        <v>45725</v>
      </c>
      <c r="F177" s="1">
        <v>45742</v>
      </c>
      <c r="G177">
        <v>126262</v>
      </c>
      <c r="H177" t="s">
        <v>14</v>
      </c>
    </row>
    <row r="178" spans="1:8" x14ac:dyDescent="0.25">
      <c r="A178">
        <v>100187</v>
      </c>
      <c r="B178">
        <v>287</v>
      </c>
      <c r="C178">
        <v>833</v>
      </c>
      <c r="D178">
        <v>3259</v>
      </c>
      <c r="E178" s="1">
        <v>45742</v>
      </c>
      <c r="F178" s="1">
        <v>45744</v>
      </c>
      <c r="G178">
        <v>14718</v>
      </c>
      <c r="H178" t="s">
        <v>25</v>
      </c>
    </row>
    <row r="179" spans="1:8" x14ac:dyDescent="0.25">
      <c r="A179">
        <v>100188</v>
      </c>
      <c r="B179">
        <v>236</v>
      </c>
      <c r="C179">
        <v>1265</v>
      </c>
      <c r="D179">
        <v>3329</v>
      </c>
      <c r="E179" s="1">
        <v>45638</v>
      </c>
      <c r="F179" s="1">
        <v>45640</v>
      </c>
      <c r="G179">
        <v>27685</v>
      </c>
      <c r="H179" t="s">
        <v>25</v>
      </c>
    </row>
    <row r="180" spans="1:8" x14ac:dyDescent="0.25">
      <c r="A180">
        <v>100189</v>
      </c>
      <c r="B180">
        <v>327</v>
      </c>
      <c r="C180">
        <v>359</v>
      </c>
      <c r="D180">
        <v>3111</v>
      </c>
      <c r="E180" s="1">
        <v>45628</v>
      </c>
      <c r="F180" s="1">
        <v>45633</v>
      </c>
      <c r="G180">
        <v>39096</v>
      </c>
      <c r="H180" t="s">
        <v>10</v>
      </c>
    </row>
    <row r="181" spans="1:8" x14ac:dyDescent="0.25">
      <c r="A181">
        <v>100190</v>
      </c>
      <c r="B181">
        <v>147</v>
      </c>
      <c r="C181">
        <v>1336</v>
      </c>
      <c r="D181">
        <v>3024</v>
      </c>
      <c r="E181" s="1">
        <v>45756</v>
      </c>
      <c r="F181" s="1">
        <v>45759</v>
      </c>
      <c r="G181">
        <v>29410</v>
      </c>
      <c r="H181" t="s">
        <v>14</v>
      </c>
    </row>
    <row r="182" spans="1:8" x14ac:dyDescent="0.25">
      <c r="A182">
        <v>100191</v>
      </c>
      <c r="B182">
        <v>232</v>
      </c>
      <c r="C182">
        <v>1380</v>
      </c>
      <c r="D182">
        <v>3199</v>
      </c>
      <c r="E182" s="1">
        <v>45634</v>
      </c>
      <c r="F182" s="1">
        <v>45635</v>
      </c>
      <c r="G182">
        <v>14614</v>
      </c>
      <c r="H182" t="s">
        <v>14</v>
      </c>
    </row>
    <row r="183" spans="1:8" x14ac:dyDescent="0.25">
      <c r="A183">
        <v>100192</v>
      </c>
      <c r="B183">
        <v>1</v>
      </c>
      <c r="C183">
        <v>708</v>
      </c>
      <c r="D183">
        <v>3475</v>
      </c>
      <c r="E183" s="1">
        <v>45768</v>
      </c>
      <c r="F183" s="1">
        <v>45772</v>
      </c>
      <c r="G183">
        <v>14327</v>
      </c>
      <c r="H183" t="s">
        <v>14</v>
      </c>
    </row>
    <row r="184" spans="1:8" x14ac:dyDescent="0.25">
      <c r="A184">
        <v>100193</v>
      </c>
      <c r="B184">
        <v>312</v>
      </c>
      <c r="C184">
        <v>1569</v>
      </c>
      <c r="D184">
        <v>3457</v>
      </c>
      <c r="E184" s="1">
        <v>45724</v>
      </c>
      <c r="F184" s="1">
        <v>45727</v>
      </c>
      <c r="G184">
        <v>24131</v>
      </c>
      <c r="H184" t="s">
        <v>17</v>
      </c>
    </row>
    <row r="185" spans="1:8" x14ac:dyDescent="0.25">
      <c r="A185">
        <v>100194</v>
      </c>
      <c r="B185">
        <v>362</v>
      </c>
      <c r="C185">
        <v>1143</v>
      </c>
      <c r="D185">
        <v>3033</v>
      </c>
      <c r="E185" s="1">
        <v>45691</v>
      </c>
      <c r="F185" s="1">
        <v>45692</v>
      </c>
      <c r="G185">
        <v>12363</v>
      </c>
      <c r="H185" t="s">
        <v>25</v>
      </c>
    </row>
    <row r="186" spans="1:8" x14ac:dyDescent="0.25">
      <c r="A186">
        <v>100195</v>
      </c>
      <c r="B186">
        <v>454</v>
      </c>
      <c r="C186">
        <v>876</v>
      </c>
      <c r="D186">
        <v>3154</v>
      </c>
      <c r="E186" s="1">
        <v>45620</v>
      </c>
      <c r="F186" s="1">
        <v>45623</v>
      </c>
      <c r="G186">
        <v>23122</v>
      </c>
      <c r="H186" t="s">
        <v>17</v>
      </c>
    </row>
    <row r="187" spans="1:8" x14ac:dyDescent="0.25">
      <c r="A187">
        <v>100196</v>
      </c>
      <c r="B187">
        <v>64</v>
      </c>
      <c r="C187">
        <v>999</v>
      </c>
      <c r="D187">
        <v>3360</v>
      </c>
      <c r="E187" s="1">
        <v>45686</v>
      </c>
      <c r="F187" s="1">
        <v>45700</v>
      </c>
      <c r="G187">
        <v>90989</v>
      </c>
      <c r="H187" t="s">
        <v>14</v>
      </c>
    </row>
    <row r="188" spans="1:8" x14ac:dyDescent="0.25">
      <c r="A188">
        <v>100197</v>
      </c>
      <c r="B188">
        <v>372</v>
      </c>
      <c r="C188">
        <v>149</v>
      </c>
      <c r="D188">
        <v>3265</v>
      </c>
      <c r="E188" s="1">
        <v>45798</v>
      </c>
      <c r="F188" s="1">
        <v>45808</v>
      </c>
      <c r="G188">
        <v>83067</v>
      </c>
      <c r="H188" t="s">
        <v>25</v>
      </c>
    </row>
    <row r="189" spans="1:8" x14ac:dyDescent="0.25">
      <c r="A189">
        <v>100198</v>
      </c>
      <c r="B189">
        <v>115</v>
      </c>
      <c r="C189">
        <v>1184</v>
      </c>
      <c r="D189">
        <v>3309</v>
      </c>
      <c r="E189" s="1">
        <v>45618</v>
      </c>
      <c r="F189" s="1">
        <v>45629</v>
      </c>
      <c r="G189">
        <v>48748</v>
      </c>
      <c r="H189" t="s">
        <v>14</v>
      </c>
    </row>
    <row r="190" spans="1:8" x14ac:dyDescent="0.25">
      <c r="A190">
        <v>100199</v>
      </c>
      <c r="B190">
        <v>422</v>
      </c>
      <c r="C190">
        <v>1184</v>
      </c>
      <c r="D190">
        <v>3423</v>
      </c>
      <c r="E190" s="1">
        <v>45637</v>
      </c>
      <c r="F190" s="1">
        <v>45641</v>
      </c>
      <c r="G190">
        <v>38450</v>
      </c>
      <c r="H190" t="s">
        <v>10</v>
      </c>
    </row>
    <row r="191" spans="1:8" x14ac:dyDescent="0.25">
      <c r="A191">
        <v>100200</v>
      </c>
      <c r="B191">
        <v>146</v>
      </c>
      <c r="C191">
        <v>855</v>
      </c>
      <c r="D191">
        <v>3127</v>
      </c>
      <c r="E191" s="1">
        <v>45616</v>
      </c>
      <c r="F191" s="1">
        <v>45625</v>
      </c>
      <c r="G191">
        <v>75096</v>
      </c>
      <c r="H191" t="s">
        <v>25</v>
      </c>
    </row>
    <row r="192" spans="1:8" x14ac:dyDescent="0.25">
      <c r="A192">
        <v>100201</v>
      </c>
      <c r="B192">
        <v>149</v>
      </c>
      <c r="C192">
        <v>1564</v>
      </c>
      <c r="D192">
        <v>3144</v>
      </c>
      <c r="E192" s="1">
        <v>45763</v>
      </c>
      <c r="F192" s="1">
        <v>45808</v>
      </c>
      <c r="G192">
        <v>359165</v>
      </c>
      <c r="H192" t="s">
        <v>14</v>
      </c>
    </row>
    <row r="193" spans="1:8" x14ac:dyDescent="0.25">
      <c r="A193">
        <v>100202</v>
      </c>
      <c r="B193">
        <v>90</v>
      </c>
      <c r="C193">
        <v>1495</v>
      </c>
      <c r="D193">
        <v>3150</v>
      </c>
      <c r="E193" s="1">
        <v>45653</v>
      </c>
      <c r="F193" s="1">
        <v>45656</v>
      </c>
      <c r="G193">
        <v>22065</v>
      </c>
      <c r="H193" t="s">
        <v>14</v>
      </c>
    </row>
    <row r="194" spans="1:8" x14ac:dyDescent="0.25">
      <c r="A194">
        <v>100203</v>
      </c>
      <c r="B194">
        <v>254</v>
      </c>
      <c r="C194">
        <v>743</v>
      </c>
      <c r="D194">
        <v>3477</v>
      </c>
      <c r="E194" s="1">
        <v>45768</v>
      </c>
      <c r="F194" s="1">
        <v>45771</v>
      </c>
      <c r="G194">
        <v>19432</v>
      </c>
      <c r="H194" t="s">
        <v>17</v>
      </c>
    </row>
    <row r="195" spans="1:8" x14ac:dyDescent="0.25">
      <c r="A195">
        <v>100204</v>
      </c>
      <c r="B195">
        <v>484</v>
      </c>
      <c r="C195">
        <v>1070</v>
      </c>
      <c r="D195">
        <v>3043</v>
      </c>
      <c r="E195" s="1">
        <v>45624</v>
      </c>
      <c r="F195" s="1">
        <v>45626</v>
      </c>
      <c r="G195">
        <v>16463</v>
      </c>
      <c r="H195" t="s">
        <v>10</v>
      </c>
    </row>
    <row r="196" spans="1:8" x14ac:dyDescent="0.25">
      <c r="A196">
        <v>100205</v>
      </c>
      <c r="B196">
        <v>334</v>
      </c>
      <c r="C196">
        <v>290</v>
      </c>
      <c r="D196">
        <v>3206</v>
      </c>
      <c r="E196" s="1">
        <v>45732</v>
      </c>
      <c r="F196" s="1">
        <v>45734</v>
      </c>
      <c r="G196">
        <v>15100</v>
      </c>
      <c r="H196" t="s">
        <v>25</v>
      </c>
    </row>
    <row r="197" spans="1:8" x14ac:dyDescent="0.25">
      <c r="A197">
        <v>100206</v>
      </c>
      <c r="B197">
        <v>147</v>
      </c>
      <c r="C197">
        <v>797</v>
      </c>
      <c r="D197">
        <v>3333</v>
      </c>
      <c r="E197" s="1">
        <v>45683</v>
      </c>
      <c r="F197" s="1">
        <v>45685</v>
      </c>
      <c r="G197">
        <v>16402</v>
      </c>
      <c r="H197" t="s">
        <v>25</v>
      </c>
    </row>
    <row r="198" spans="1:8" x14ac:dyDescent="0.25">
      <c r="A198">
        <v>100207</v>
      </c>
      <c r="B198">
        <v>459</v>
      </c>
      <c r="C198">
        <v>703</v>
      </c>
      <c r="D198">
        <v>3172</v>
      </c>
      <c r="E198" s="1">
        <v>45644</v>
      </c>
      <c r="F198" s="1">
        <v>45651</v>
      </c>
      <c r="G198">
        <v>31933</v>
      </c>
      <c r="H198" t="s">
        <v>25</v>
      </c>
    </row>
    <row r="199" spans="1:8" x14ac:dyDescent="0.25">
      <c r="A199">
        <v>100208</v>
      </c>
      <c r="B199">
        <v>347</v>
      </c>
      <c r="C199">
        <v>1581</v>
      </c>
      <c r="D199">
        <v>3308</v>
      </c>
      <c r="E199" s="1">
        <v>45674</v>
      </c>
      <c r="F199" s="1">
        <v>45675</v>
      </c>
      <c r="G199">
        <v>17432</v>
      </c>
      <c r="H199" t="s">
        <v>14</v>
      </c>
    </row>
    <row r="200" spans="1:8" x14ac:dyDescent="0.25">
      <c r="A200">
        <v>100209</v>
      </c>
      <c r="B200">
        <v>284</v>
      </c>
      <c r="C200">
        <v>1353</v>
      </c>
      <c r="D200">
        <v>3070</v>
      </c>
      <c r="E200" s="1">
        <v>45688</v>
      </c>
      <c r="F200" s="1">
        <v>45691</v>
      </c>
      <c r="G200">
        <v>18060</v>
      </c>
      <c r="H200" t="s">
        <v>25</v>
      </c>
    </row>
    <row r="201" spans="1:8" x14ac:dyDescent="0.25">
      <c r="A201">
        <v>100210</v>
      </c>
      <c r="B201">
        <v>327</v>
      </c>
      <c r="C201">
        <v>300</v>
      </c>
      <c r="D201">
        <v>3452</v>
      </c>
      <c r="E201" s="1">
        <v>45619</v>
      </c>
      <c r="F201" s="1">
        <v>45622</v>
      </c>
      <c r="G201">
        <v>21574</v>
      </c>
      <c r="H201" t="s">
        <v>14</v>
      </c>
    </row>
    <row r="202" spans="1:8" x14ac:dyDescent="0.25">
      <c r="A202">
        <v>100211</v>
      </c>
      <c r="B202">
        <v>20</v>
      </c>
      <c r="C202">
        <v>958</v>
      </c>
      <c r="D202">
        <v>3063</v>
      </c>
      <c r="E202" s="1">
        <v>45708</v>
      </c>
      <c r="F202" s="1">
        <v>45710</v>
      </c>
      <c r="G202">
        <v>24495</v>
      </c>
      <c r="H202" t="s">
        <v>25</v>
      </c>
    </row>
    <row r="203" spans="1:8" x14ac:dyDescent="0.25">
      <c r="A203">
        <v>100212</v>
      </c>
      <c r="B203">
        <v>112</v>
      </c>
      <c r="C203">
        <v>166</v>
      </c>
      <c r="D203">
        <v>3348</v>
      </c>
      <c r="E203" s="1">
        <v>45715</v>
      </c>
      <c r="F203" s="1">
        <v>45718</v>
      </c>
      <c r="G203">
        <v>28720</v>
      </c>
      <c r="H203" t="s">
        <v>10</v>
      </c>
    </row>
    <row r="204" spans="1:8" x14ac:dyDescent="0.25">
      <c r="A204">
        <v>100213</v>
      </c>
      <c r="B204">
        <v>36</v>
      </c>
      <c r="C204">
        <v>1012</v>
      </c>
      <c r="D204">
        <v>3085</v>
      </c>
      <c r="E204" s="1">
        <v>45770</v>
      </c>
      <c r="F204" s="1">
        <v>45777</v>
      </c>
      <c r="G204">
        <v>19715</v>
      </c>
      <c r="H204" t="s">
        <v>25</v>
      </c>
    </row>
    <row r="205" spans="1:8" x14ac:dyDescent="0.25">
      <c r="A205">
        <v>100214</v>
      </c>
      <c r="B205">
        <v>146</v>
      </c>
      <c r="C205">
        <v>1397</v>
      </c>
      <c r="D205">
        <v>3081</v>
      </c>
      <c r="E205" s="1">
        <v>45658</v>
      </c>
      <c r="F205" s="1">
        <v>45660</v>
      </c>
      <c r="G205">
        <v>28887</v>
      </c>
      <c r="H205" t="s">
        <v>17</v>
      </c>
    </row>
    <row r="206" spans="1:8" x14ac:dyDescent="0.25">
      <c r="A206">
        <v>100215</v>
      </c>
      <c r="B206">
        <v>301</v>
      </c>
      <c r="C206">
        <v>668</v>
      </c>
      <c r="D206">
        <v>3399</v>
      </c>
      <c r="E206" s="1">
        <v>45696</v>
      </c>
      <c r="F206" s="1">
        <v>45705</v>
      </c>
      <c r="G206">
        <v>57316</v>
      </c>
      <c r="H206" t="s">
        <v>17</v>
      </c>
    </row>
    <row r="207" spans="1:8" x14ac:dyDescent="0.25">
      <c r="A207">
        <v>100216</v>
      </c>
      <c r="B207">
        <v>402</v>
      </c>
      <c r="C207">
        <v>344</v>
      </c>
      <c r="D207">
        <v>3317</v>
      </c>
      <c r="E207" s="1">
        <v>45617</v>
      </c>
      <c r="F207" s="1">
        <v>45621</v>
      </c>
      <c r="G207">
        <v>22411</v>
      </c>
      <c r="H207" t="s">
        <v>25</v>
      </c>
    </row>
    <row r="208" spans="1:8" x14ac:dyDescent="0.25">
      <c r="A208">
        <v>100217</v>
      </c>
      <c r="B208">
        <v>202</v>
      </c>
      <c r="C208">
        <v>579</v>
      </c>
      <c r="D208">
        <v>3269</v>
      </c>
      <c r="E208" s="1">
        <v>45737</v>
      </c>
      <c r="F208" s="1">
        <v>45741</v>
      </c>
      <c r="G208">
        <v>34663</v>
      </c>
      <c r="H208" t="s">
        <v>10</v>
      </c>
    </row>
    <row r="209" spans="1:8" x14ac:dyDescent="0.25">
      <c r="A209">
        <v>100218</v>
      </c>
      <c r="B209">
        <v>217</v>
      </c>
      <c r="C209">
        <v>1572</v>
      </c>
      <c r="D209">
        <v>3031</v>
      </c>
      <c r="E209" s="1">
        <v>45642</v>
      </c>
      <c r="F209" s="1">
        <v>45644</v>
      </c>
      <c r="G209">
        <v>21526</v>
      </c>
      <c r="H209" t="s">
        <v>17</v>
      </c>
    </row>
    <row r="210" spans="1:8" x14ac:dyDescent="0.25">
      <c r="A210">
        <v>100219</v>
      </c>
      <c r="B210">
        <v>497</v>
      </c>
      <c r="C210">
        <v>937</v>
      </c>
      <c r="D210">
        <v>3185</v>
      </c>
      <c r="E210" s="1">
        <v>45773</v>
      </c>
      <c r="F210" s="1">
        <v>45778</v>
      </c>
      <c r="G210">
        <v>43606</v>
      </c>
      <c r="H210" t="s">
        <v>25</v>
      </c>
    </row>
    <row r="211" spans="1:8" x14ac:dyDescent="0.25">
      <c r="A211">
        <v>100220</v>
      </c>
      <c r="B211">
        <v>264</v>
      </c>
      <c r="C211">
        <v>440</v>
      </c>
      <c r="D211">
        <v>3029</v>
      </c>
      <c r="E211" s="1">
        <v>45719</v>
      </c>
      <c r="F211" s="1">
        <v>45722</v>
      </c>
      <c r="G211">
        <v>21097</v>
      </c>
      <c r="H211" t="s">
        <v>17</v>
      </c>
    </row>
    <row r="212" spans="1:8" x14ac:dyDescent="0.25">
      <c r="A212">
        <v>100221</v>
      </c>
      <c r="B212">
        <v>117</v>
      </c>
      <c r="C212">
        <v>1203</v>
      </c>
      <c r="D212">
        <v>3246</v>
      </c>
      <c r="E212" s="1">
        <v>45665</v>
      </c>
      <c r="F212" s="1">
        <v>45670</v>
      </c>
      <c r="G212">
        <v>21387</v>
      </c>
      <c r="H212" t="s">
        <v>25</v>
      </c>
    </row>
    <row r="213" spans="1:8" x14ac:dyDescent="0.25">
      <c r="A213">
        <v>100222</v>
      </c>
      <c r="B213">
        <v>20</v>
      </c>
      <c r="C213">
        <v>1484</v>
      </c>
      <c r="D213">
        <v>3384</v>
      </c>
      <c r="E213" s="1">
        <v>45760</v>
      </c>
      <c r="F213" s="1">
        <v>45764</v>
      </c>
      <c r="G213">
        <v>23725</v>
      </c>
      <c r="H213" t="s">
        <v>25</v>
      </c>
    </row>
    <row r="214" spans="1:8" x14ac:dyDescent="0.25">
      <c r="A214">
        <v>100223</v>
      </c>
      <c r="B214">
        <v>210</v>
      </c>
      <c r="C214">
        <v>327</v>
      </c>
      <c r="D214">
        <v>3330</v>
      </c>
      <c r="E214" s="1">
        <v>45637</v>
      </c>
      <c r="F214" s="1">
        <v>45638</v>
      </c>
      <c r="G214">
        <v>19118</v>
      </c>
      <c r="H214" t="s">
        <v>25</v>
      </c>
    </row>
    <row r="215" spans="1:8" x14ac:dyDescent="0.25">
      <c r="A215">
        <v>100224</v>
      </c>
      <c r="B215">
        <v>27</v>
      </c>
      <c r="C215">
        <v>778</v>
      </c>
      <c r="D215">
        <v>3222</v>
      </c>
      <c r="E215" s="1">
        <v>45765</v>
      </c>
      <c r="F215" s="1">
        <v>45766</v>
      </c>
      <c r="G215">
        <v>16758</v>
      </c>
      <c r="H215" t="s">
        <v>10</v>
      </c>
    </row>
    <row r="216" spans="1:8" x14ac:dyDescent="0.25">
      <c r="A216">
        <v>100225</v>
      </c>
      <c r="B216">
        <v>455</v>
      </c>
      <c r="C216">
        <v>607</v>
      </c>
      <c r="D216">
        <v>3039</v>
      </c>
      <c r="E216" s="1">
        <v>45795</v>
      </c>
      <c r="F216" s="1">
        <v>45796</v>
      </c>
      <c r="G216">
        <v>12811</v>
      </c>
      <c r="H216" t="s">
        <v>25</v>
      </c>
    </row>
    <row r="217" spans="1:8" x14ac:dyDescent="0.25">
      <c r="A217">
        <v>100226</v>
      </c>
      <c r="B217">
        <v>256</v>
      </c>
      <c r="C217">
        <v>1295</v>
      </c>
      <c r="D217">
        <v>3440</v>
      </c>
      <c r="E217" s="1">
        <v>45624</v>
      </c>
      <c r="F217" s="1">
        <v>45627</v>
      </c>
      <c r="G217">
        <v>16068</v>
      </c>
      <c r="H217" t="s">
        <v>25</v>
      </c>
    </row>
    <row r="218" spans="1:8" x14ac:dyDescent="0.25">
      <c r="A218">
        <v>100227</v>
      </c>
      <c r="B218">
        <v>263</v>
      </c>
      <c r="C218">
        <v>451</v>
      </c>
      <c r="D218">
        <v>3009</v>
      </c>
      <c r="E218" s="1">
        <v>45714</v>
      </c>
      <c r="F218" s="1">
        <v>45719</v>
      </c>
      <c r="G218">
        <v>38654</v>
      </c>
      <c r="H218" t="s">
        <v>17</v>
      </c>
    </row>
    <row r="219" spans="1:8" x14ac:dyDescent="0.25">
      <c r="A219">
        <v>100228</v>
      </c>
      <c r="B219">
        <v>463</v>
      </c>
      <c r="C219">
        <v>1173</v>
      </c>
      <c r="D219">
        <v>3234</v>
      </c>
      <c r="E219" s="1">
        <v>45724</v>
      </c>
      <c r="F219" s="1">
        <v>45728</v>
      </c>
      <c r="G219">
        <v>34462</v>
      </c>
      <c r="H219" t="s">
        <v>14</v>
      </c>
    </row>
    <row r="220" spans="1:8" x14ac:dyDescent="0.25">
      <c r="A220">
        <v>100229</v>
      </c>
      <c r="B220">
        <v>104</v>
      </c>
      <c r="C220">
        <v>782</v>
      </c>
      <c r="D220">
        <v>3112</v>
      </c>
      <c r="E220" s="1">
        <v>45699</v>
      </c>
      <c r="F220" s="1">
        <v>45703</v>
      </c>
      <c r="G220">
        <v>44935</v>
      </c>
      <c r="H220" t="s">
        <v>25</v>
      </c>
    </row>
    <row r="221" spans="1:8" x14ac:dyDescent="0.25">
      <c r="A221">
        <v>100230</v>
      </c>
      <c r="B221">
        <v>402</v>
      </c>
      <c r="C221">
        <v>850</v>
      </c>
      <c r="D221">
        <v>3017</v>
      </c>
      <c r="E221" s="1">
        <v>45722</v>
      </c>
      <c r="F221" s="1">
        <v>45723</v>
      </c>
      <c r="G221">
        <v>13372</v>
      </c>
      <c r="H221" t="s">
        <v>25</v>
      </c>
    </row>
    <row r="222" spans="1:8" x14ac:dyDescent="0.25">
      <c r="A222">
        <v>100231</v>
      </c>
      <c r="B222">
        <v>65</v>
      </c>
      <c r="C222">
        <v>1518</v>
      </c>
      <c r="D222">
        <v>3026</v>
      </c>
      <c r="E222" s="1">
        <v>45731</v>
      </c>
      <c r="F222" s="1">
        <v>45734</v>
      </c>
      <c r="G222">
        <v>29355</v>
      </c>
      <c r="H222" t="s">
        <v>17</v>
      </c>
    </row>
    <row r="223" spans="1:8" x14ac:dyDescent="0.25">
      <c r="A223">
        <v>100232</v>
      </c>
      <c r="B223">
        <v>78</v>
      </c>
      <c r="C223">
        <v>302</v>
      </c>
      <c r="D223">
        <v>3262</v>
      </c>
      <c r="E223" s="1">
        <v>45801</v>
      </c>
      <c r="F223" s="1">
        <v>45808</v>
      </c>
      <c r="G223">
        <v>34426</v>
      </c>
      <c r="H223" t="s">
        <v>25</v>
      </c>
    </row>
    <row r="224" spans="1:8" x14ac:dyDescent="0.25">
      <c r="A224">
        <v>100233</v>
      </c>
      <c r="B224">
        <v>339</v>
      </c>
      <c r="C224">
        <v>673</v>
      </c>
      <c r="D224">
        <v>3167</v>
      </c>
      <c r="E224" s="1">
        <v>45751</v>
      </c>
      <c r="F224" s="1">
        <v>45752</v>
      </c>
      <c r="G224">
        <v>16141</v>
      </c>
      <c r="H224" t="s">
        <v>14</v>
      </c>
    </row>
    <row r="225" spans="1:8" x14ac:dyDescent="0.25">
      <c r="A225">
        <v>100234</v>
      </c>
      <c r="B225">
        <v>372</v>
      </c>
      <c r="C225">
        <v>1469</v>
      </c>
      <c r="D225">
        <v>3485</v>
      </c>
      <c r="E225" s="1">
        <v>45677</v>
      </c>
      <c r="F225" s="1">
        <v>45679</v>
      </c>
      <c r="G225">
        <v>17452</v>
      </c>
      <c r="H225" t="s">
        <v>25</v>
      </c>
    </row>
    <row r="226" spans="1:8" x14ac:dyDescent="0.25">
      <c r="A226">
        <v>100235</v>
      </c>
      <c r="B226">
        <v>185</v>
      </c>
      <c r="C226">
        <v>1458</v>
      </c>
      <c r="D226">
        <v>3049</v>
      </c>
      <c r="E226" s="1">
        <v>45724</v>
      </c>
      <c r="F226" s="1">
        <v>45726</v>
      </c>
      <c r="G226">
        <v>24072</v>
      </c>
      <c r="H226" t="s">
        <v>25</v>
      </c>
    </row>
    <row r="227" spans="1:8" x14ac:dyDescent="0.25">
      <c r="A227">
        <v>100236</v>
      </c>
      <c r="B227">
        <v>20</v>
      </c>
      <c r="C227">
        <v>286</v>
      </c>
      <c r="D227">
        <v>3347</v>
      </c>
      <c r="E227" s="1">
        <v>45803</v>
      </c>
      <c r="F227" s="1">
        <v>45808</v>
      </c>
      <c r="G227">
        <v>30864</v>
      </c>
      <c r="H227" t="s">
        <v>14</v>
      </c>
    </row>
    <row r="228" spans="1:8" x14ac:dyDescent="0.25">
      <c r="A228">
        <v>100237</v>
      </c>
      <c r="B228">
        <v>105</v>
      </c>
      <c r="C228">
        <v>1515</v>
      </c>
      <c r="D228">
        <v>3254</v>
      </c>
      <c r="E228" s="1">
        <v>45715</v>
      </c>
      <c r="F228" s="1">
        <v>45720</v>
      </c>
      <c r="G228">
        <v>45048</v>
      </c>
      <c r="H228" t="s">
        <v>25</v>
      </c>
    </row>
    <row r="229" spans="1:8" x14ac:dyDescent="0.25">
      <c r="A229">
        <v>100238</v>
      </c>
      <c r="B229">
        <v>122</v>
      </c>
      <c r="C229">
        <v>507</v>
      </c>
      <c r="D229">
        <v>3281</v>
      </c>
      <c r="E229" s="1">
        <v>45710</v>
      </c>
      <c r="F229" s="1">
        <v>45711</v>
      </c>
      <c r="G229">
        <v>11545</v>
      </c>
      <c r="H229" t="s">
        <v>10</v>
      </c>
    </row>
    <row r="230" spans="1:8" x14ac:dyDescent="0.25">
      <c r="A230">
        <v>100239</v>
      </c>
      <c r="B230">
        <v>46</v>
      </c>
      <c r="C230">
        <v>575</v>
      </c>
      <c r="D230">
        <v>3171</v>
      </c>
      <c r="E230" s="1">
        <v>45605</v>
      </c>
      <c r="F230" s="1">
        <v>45615</v>
      </c>
      <c r="G230">
        <v>90944</v>
      </c>
      <c r="H230" t="s">
        <v>25</v>
      </c>
    </row>
    <row r="231" spans="1:8" x14ac:dyDescent="0.25">
      <c r="A231">
        <v>100240</v>
      </c>
      <c r="B231">
        <v>68</v>
      </c>
      <c r="C231">
        <v>745</v>
      </c>
      <c r="D231">
        <v>3434</v>
      </c>
      <c r="E231" s="1">
        <v>45613</v>
      </c>
      <c r="F231" s="1">
        <v>45623</v>
      </c>
      <c r="G231">
        <v>83694</v>
      </c>
      <c r="H231" t="s">
        <v>25</v>
      </c>
    </row>
    <row r="232" spans="1:8" x14ac:dyDescent="0.25">
      <c r="A232">
        <v>100241</v>
      </c>
      <c r="B232">
        <v>51</v>
      </c>
      <c r="C232">
        <v>1036</v>
      </c>
      <c r="D232">
        <v>3229</v>
      </c>
      <c r="E232" s="1">
        <v>45620</v>
      </c>
      <c r="F232" s="1">
        <v>45622</v>
      </c>
      <c r="G232">
        <v>22365</v>
      </c>
      <c r="H232" t="s">
        <v>25</v>
      </c>
    </row>
    <row r="233" spans="1:8" x14ac:dyDescent="0.25">
      <c r="A233">
        <v>100242</v>
      </c>
      <c r="B233">
        <v>136</v>
      </c>
      <c r="C233">
        <v>1312</v>
      </c>
      <c r="D233">
        <v>3421</v>
      </c>
      <c r="E233" s="1">
        <v>45619</v>
      </c>
      <c r="F233" s="1">
        <v>45622</v>
      </c>
      <c r="G233">
        <v>26829</v>
      </c>
      <c r="H233" t="s">
        <v>14</v>
      </c>
    </row>
    <row r="234" spans="1:8" x14ac:dyDescent="0.25">
      <c r="A234">
        <v>100243</v>
      </c>
      <c r="B234">
        <v>97</v>
      </c>
      <c r="C234">
        <v>1409</v>
      </c>
      <c r="D234">
        <v>3118</v>
      </c>
      <c r="E234" s="1">
        <v>45731</v>
      </c>
      <c r="F234" s="1">
        <v>45735</v>
      </c>
      <c r="G234">
        <v>34353</v>
      </c>
      <c r="H234" t="s">
        <v>10</v>
      </c>
    </row>
    <row r="235" spans="1:8" x14ac:dyDescent="0.25">
      <c r="A235">
        <v>100244</v>
      </c>
      <c r="B235">
        <v>328</v>
      </c>
      <c r="C235">
        <v>558</v>
      </c>
      <c r="D235">
        <v>3492</v>
      </c>
      <c r="E235" s="1">
        <v>45710</v>
      </c>
      <c r="F235" s="1">
        <v>45713</v>
      </c>
      <c r="G235">
        <v>14713</v>
      </c>
      <c r="H235" t="s">
        <v>10</v>
      </c>
    </row>
    <row r="236" spans="1:8" x14ac:dyDescent="0.25">
      <c r="A236">
        <v>100245</v>
      </c>
      <c r="B236">
        <v>153</v>
      </c>
      <c r="C236">
        <v>721</v>
      </c>
      <c r="D236">
        <v>3314</v>
      </c>
      <c r="E236" s="1">
        <v>45790</v>
      </c>
      <c r="F236" s="1">
        <v>45794</v>
      </c>
      <c r="G236">
        <v>26210</v>
      </c>
      <c r="H236" t="s">
        <v>17</v>
      </c>
    </row>
    <row r="237" spans="1:8" x14ac:dyDescent="0.25">
      <c r="A237">
        <v>100246</v>
      </c>
      <c r="B237">
        <v>295</v>
      </c>
      <c r="C237">
        <v>340</v>
      </c>
      <c r="D237">
        <v>3319</v>
      </c>
      <c r="E237" s="1">
        <v>45675</v>
      </c>
      <c r="F237" s="1">
        <v>45678</v>
      </c>
      <c r="G237">
        <v>30426</v>
      </c>
      <c r="H237" t="s">
        <v>17</v>
      </c>
    </row>
    <row r="238" spans="1:8" x14ac:dyDescent="0.25">
      <c r="A238">
        <v>100247</v>
      </c>
      <c r="B238">
        <v>485</v>
      </c>
      <c r="C238">
        <v>460</v>
      </c>
      <c r="D238">
        <v>3252</v>
      </c>
      <c r="E238" s="1">
        <v>45696</v>
      </c>
      <c r="F238" s="1">
        <v>45699</v>
      </c>
      <c r="G238">
        <v>26783</v>
      </c>
      <c r="H238" t="s">
        <v>25</v>
      </c>
    </row>
    <row r="239" spans="1:8" x14ac:dyDescent="0.25">
      <c r="A239">
        <v>100248</v>
      </c>
      <c r="B239">
        <v>304</v>
      </c>
      <c r="C239">
        <v>218</v>
      </c>
      <c r="D239">
        <v>3342</v>
      </c>
      <c r="E239" s="1">
        <v>45656</v>
      </c>
      <c r="F239" s="1">
        <v>45658</v>
      </c>
      <c r="G239">
        <v>18765</v>
      </c>
      <c r="H239" t="s">
        <v>25</v>
      </c>
    </row>
    <row r="240" spans="1:8" x14ac:dyDescent="0.25">
      <c r="A240">
        <v>100249</v>
      </c>
      <c r="B240">
        <v>222</v>
      </c>
      <c r="C240">
        <v>1061</v>
      </c>
      <c r="D240">
        <v>3278</v>
      </c>
      <c r="E240" s="1">
        <v>45630</v>
      </c>
      <c r="F240" s="1">
        <v>45633</v>
      </c>
      <c r="G240">
        <v>23434</v>
      </c>
      <c r="H240" t="s">
        <v>17</v>
      </c>
    </row>
    <row r="241" spans="1:8" x14ac:dyDescent="0.25">
      <c r="A241">
        <v>100250</v>
      </c>
      <c r="B241">
        <v>151</v>
      </c>
      <c r="C241">
        <v>1290</v>
      </c>
      <c r="D241">
        <v>3024</v>
      </c>
      <c r="E241" s="1">
        <v>45747</v>
      </c>
      <c r="F241" s="1">
        <v>45751</v>
      </c>
      <c r="G241">
        <v>41678</v>
      </c>
      <c r="H241" t="s">
        <v>17</v>
      </c>
    </row>
    <row r="242" spans="1:8" x14ac:dyDescent="0.25">
      <c r="A242">
        <v>100251</v>
      </c>
      <c r="B242">
        <v>82</v>
      </c>
      <c r="C242">
        <v>220</v>
      </c>
      <c r="D242">
        <v>3018</v>
      </c>
      <c r="E242" s="1">
        <v>45609</v>
      </c>
      <c r="F242" s="1">
        <v>45613</v>
      </c>
      <c r="G242">
        <v>26427</v>
      </c>
      <c r="H242" t="s">
        <v>14</v>
      </c>
    </row>
    <row r="243" spans="1:8" x14ac:dyDescent="0.25">
      <c r="A243">
        <v>100252</v>
      </c>
      <c r="B243">
        <v>28</v>
      </c>
      <c r="C243">
        <v>1291</v>
      </c>
      <c r="D243">
        <v>3130</v>
      </c>
      <c r="E243" s="1">
        <v>45718</v>
      </c>
      <c r="F243" s="1">
        <v>45721</v>
      </c>
      <c r="G243">
        <v>25022</v>
      </c>
      <c r="H243" t="s">
        <v>25</v>
      </c>
    </row>
    <row r="244" spans="1:8" x14ac:dyDescent="0.25">
      <c r="A244">
        <v>100253</v>
      </c>
      <c r="B244">
        <v>38</v>
      </c>
      <c r="C244">
        <v>442</v>
      </c>
      <c r="D244">
        <v>3409</v>
      </c>
      <c r="E244" s="1">
        <v>45775</v>
      </c>
      <c r="F244" s="1">
        <v>45780</v>
      </c>
      <c r="G244">
        <v>36429</v>
      </c>
      <c r="H244" t="s">
        <v>25</v>
      </c>
    </row>
    <row r="245" spans="1:8" x14ac:dyDescent="0.25">
      <c r="A245">
        <v>100254</v>
      </c>
      <c r="B245">
        <v>427</v>
      </c>
      <c r="C245">
        <v>1181</v>
      </c>
      <c r="D245">
        <v>3379</v>
      </c>
      <c r="E245" s="1">
        <v>45755</v>
      </c>
      <c r="F245" s="1">
        <v>45756</v>
      </c>
      <c r="G245">
        <v>17059</v>
      </c>
      <c r="H245" t="s">
        <v>17</v>
      </c>
    </row>
    <row r="246" spans="1:8" x14ac:dyDescent="0.25">
      <c r="A246">
        <v>100255</v>
      </c>
      <c r="B246">
        <v>218</v>
      </c>
      <c r="C246">
        <v>171</v>
      </c>
      <c r="D246">
        <v>3291</v>
      </c>
      <c r="E246" s="1">
        <v>45676</v>
      </c>
      <c r="F246" s="1">
        <v>45681</v>
      </c>
      <c r="G246">
        <v>33639</v>
      </c>
      <c r="H246" t="s">
        <v>25</v>
      </c>
    </row>
    <row r="247" spans="1:8" x14ac:dyDescent="0.25">
      <c r="A247">
        <v>100256</v>
      </c>
      <c r="B247">
        <v>499</v>
      </c>
      <c r="C247">
        <v>137</v>
      </c>
      <c r="D247">
        <v>3404</v>
      </c>
      <c r="E247" s="1">
        <v>45678</v>
      </c>
      <c r="F247" s="1">
        <v>45681</v>
      </c>
      <c r="G247">
        <v>21104</v>
      </c>
      <c r="H247" t="s">
        <v>25</v>
      </c>
    </row>
    <row r="248" spans="1:8" x14ac:dyDescent="0.25">
      <c r="A248">
        <v>100257</v>
      </c>
      <c r="B248">
        <v>123</v>
      </c>
      <c r="C248">
        <v>1488</v>
      </c>
      <c r="D248">
        <v>3416</v>
      </c>
      <c r="E248" s="1">
        <v>45634</v>
      </c>
      <c r="F248" s="1">
        <v>45636</v>
      </c>
      <c r="G248">
        <v>17472</v>
      </c>
      <c r="H248" t="s">
        <v>25</v>
      </c>
    </row>
    <row r="249" spans="1:8" x14ac:dyDescent="0.25">
      <c r="A249">
        <v>100258</v>
      </c>
      <c r="B249">
        <v>386</v>
      </c>
      <c r="C249">
        <v>328</v>
      </c>
      <c r="D249">
        <v>3001</v>
      </c>
      <c r="E249" s="1">
        <v>45694</v>
      </c>
      <c r="F249" s="1">
        <v>45701</v>
      </c>
      <c r="G249">
        <v>41139</v>
      </c>
      <c r="H249" t="s">
        <v>14</v>
      </c>
    </row>
    <row r="250" spans="1:8" x14ac:dyDescent="0.25">
      <c r="A250">
        <v>100259</v>
      </c>
      <c r="B250">
        <v>408</v>
      </c>
      <c r="C250">
        <v>784</v>
      </c>
      <c r="D250">
        <v>3457</v>
      </c>
      <c r="E250" s="1">
        <v>45629</v>
      </c>
      <c r="F250" s="1">
        <v>45634</v>
      </c>
      <c r="G250">
        <v>34671</v>
      </c>
      <c r="H250" t="s">
        <v>25</v>
      </c>
    </row>
    <row r="251" spans="1:8" x14ac:dyDescent="0.25">
      <c r="A251">
        <v>100260</v>
      </c>
      <c r="B251">
        <v>97</v>
      </c>
      <c r="C251">
        <v>920</v>
      </c>
      <c r="D251">
        <v>3191</v>
      </c>
      <c r="E251" s="1">
        <v>45624</v>
      </c>
      <c r="F251" s="1">
        <v>45628</v>
      </c>
      <c r="G251">
        <v>37095</v>
      </c>
      <c r="H251" t="s">
        <v>25</v>
      </c>
    </row>
    <row r="252" spans="1:8" x14ac:dyDescent="0.25">
      <c r="A252">
        <v>100261</v>
      </c>
      <c r="B252">
        <v>187</v>
      </c>
      <c r="C252">
        <v>1041</v>
      </c>
      <c r="D252">
        <v>3231</v>
      </c>
      <c r="E252" s="1">
        <v>45742</v>
      </c>
      <c r="F252" s="1">
        <v>45748</v>
      </c>
      <c r="G252">
        <v>32186</v>
      </c>
      <c r="H252" t="s">
        <v>17</v>
      </c>
    </row>
    <row r="253" spans="1:8" x14ac:dyDescent="0.25">
      <c r="A253">
        <v>100262</v>
      </c>
      <c r="B253">
        <v>329</v>
      </c>
      <c r="C253">
        <v>1310</v>
      </c>
      <c r="D253">
        <v>3293</v>
      </c>
      <c r="E253" s="1">
        <v>45663</v>
      </c>
      <c r="F253" s="1">
        <v>45665</v>
      </c>
      <c r="G253">
        <v>18114</v>
      </c>
      <c r="H253" t="s">
        <v>25</v>
      </c>
    </row>
    <row r="254" spans="1:8" x14ac:dyDescent="0.25">
      <c r="A254">
        <v>100263</v>
      </c>
      <c r="B254">
        <v>48</v>
      </c>
      <c r="C254">
        <v>615</v>
      </c>
      <c r="D254">
        <v>3397</v>
      </c>
      <c r="E254" s="1">
        <v>45780</v>
      </c>
      <c r="F254" s="1">
        <v>45785</v>
      </c>
      <c r="G254">
        <v>32701</v>
      </c>
      <c r="H254" t="s">
        <v>14</v>
      </c>
    </row>
    <row r="255" spans="1:8" x14ac:dyDescent="0.25">
      <c r="A255">
        <v>100264</v>
      </c>
      <c r="B255">
        <v>491</v>
      </c>
      <c r="C255">
        <v>371</v>
      </c>
      <c r="D255">
        <v>3492</v>
      </c>
      <c r="E255" s="1">
        <v>45738</v>
      </c>
      <c r="F255" s="1">
        <v>45739</v>
      </c>
      <c r="G255">
        <v>15189</v>
      </c>
      <c r="H255" t="s">
        <v>17</v>
      </c>
    </row>
    <row r="256" spans="1:8" x14ac:dyDescent="0.25">
      <c r="A256">
        <v>100265</v>
      </c>
      <c r="B256">
        <v>77</v>
      </c>
      <c r="C256">
        <v>606</v>
      </c>
      <c r="D256">
        <v>3450</v>
      </c>
      <c r="E256" s="1">
        <v>45734</v>
      </c>
      <c r="F256" s="1">
        <v>45739</v>
      </c>
      <c r="G256">
        <v>30016</v>
      </c>
      <c r="H256" t="s">
        <v>17</v>
      </c>
    </row>
    <row r="257" spans="1:8" x14ac:dyDescent="0.25">
      <c r="A257">
        <v>100266</v>
      </c>
      <c r="B257">
        <v>427</v>
      </c>
      <c r="C257">
        <v>871</v>
      </c>
      <c r="D257">
        <v>3174</v>
      </c>
      <c r="E257" s="1">
        <v>45758</v>
      </c>
      <c r="F257" s="1">
        <v>45761</v>
      </c>
      <c r="G257">
        <v>19419</v>
      </c>
      <c r="H257" t="s">
        <v>25</v>
      </c>
    </row>
    <row r="258" spans="1:8" x14ac:dyDescent="0.25">
      <c r="A258">
        <v>100267</v>
      </c>
      <c r="B258">
        <v>477</v>
      </c>
      <c r="C258">
        <v>1545</v>
      </c>
      <c r="D258">
        <v>3263</v>
      </c>
      <c r="E258" s="1">
        <v>45618</v>
      </c>
      <c r="F258" s="1">
        <v>45628</v>
      </c>
      <c r="G258">
        <v>71898</v>
      </c>
      <c r="H258" t="s">
        <v>17</v>
      </c>
    </row>
    <row r="259" spans="1:8" x14ac:dyDescent="0.25">
      <c r="A259">
        <v>100268</v>
      </c>
      <c r="B259">
        <v>306</v>
      </c>
      <c r="C259">
        <v>1041</v>
      </c>
      <c r="D259">
        <v>3273</v>
      </c>
      <c r="E259" s="1">
        <v>45697</v>
      </c>
      <c r="F259" s="1">
        <v>45705</v>
      </c>
      <c r="G259">
        <v>31421</v>
      </c>
      <c r="H259" t="s">
        <v>17</v>
      </c>
    </row>
    <row r="260" spans="1:8" x14ac:dyDescent="0.25">
      <c r="A260">
        <v>100269</v>
      </c>
      <c r="B260">
        <v>339</v>
      </c>
      <c r="C260">
        <v>478</v>
      </c>
      <c r="D260">
        <v>3019</v>
      </c>
      <c r="E260" s="1">
        <v>45775</v>
      </c>
      <c r="F260" s="1">
        <v>45782</v>
      </c>
      <c r="G260">
        <v>47481</v>
      </c>
      <c r="H260" t="s">
        <v>17</v>
      </c>
    </row>
    <row r="261" spans="1:8" x14ac:dyDescent="0.25">
      <c r="A261">
        <v>100270</v>
      </c>
      <c r="B261">
        <v>183</v>
      </c>
      <c r="C261">
        <v>711</v>
      </c>
      <c r="D261">
        <v>3388</v>
      </c>
      <c r="E261" s="1">
        <v>45601</v>
      </c>
      <c r="F261" s="1">
        <v>45616</v>
      </c>
      <c r="G261">
        <v>76298</v>
      </c>
      <c r="H261" t="s">
        <v>25</v>
      </c>
    </row>
    <row r="262" spans="1:8" x14ac:dyDescent="0.25">
      <c r="A262">
        <v>100271</v>
      </c>
      <c r="B262">
        <v>150</v>
      </c>
      <c r="C262">
        <v>364</v>
      </c>
      <c r="D262">
        <v>3154</v>
      </c>
      <c r="E262" s="1">
        <v>45732</v>
      </c>
      <c r="F262" s="1">
        <v>45735</v>
      </c>
      <c r="G262">
        <v>35643</v>
      </c>
      <c r="H262" t="s">
        <v>25</v>
      </c>
    </row>
    <row r="263" spans="1:8" x14ac:dyDescent="0.25">
      <c r="A263">
        <v>100272</v>
      </c>
      <c r="B263">
        <v>271</v>
      </c>
      <c r="C263">
        <v>265</v>
      </c>
      <c r="D263">
        <v>3428</v>
      </c>
      <c r="E263" s="1">
        <v>45779</v>
      </c>
      <c r="F263" s="1">
        <v>45782</v>
      </c>
      <c r="G263">
        <v>18187</v>
      </c>
      <c r="H263" t="s">
        <v>14</v>
      </c>
    </row>
    <row r="264" spans="1:8" x14ac:dyDescent="0.25">
      <c r="A264">
        <v>100273</v>
      </c>
      <c r="B264">
        <v>192</v>
      </c>
      <c r="C264">
        <v>910</v>
      </c>
      <c r="D264">
        <v>3025</v>
      </c>
      <c r="E264" s="1">
        <v>45598</v>
      </c>
      <c r="F264" s="1">
        <v>45602</v>
      </c>
      <c r="G264">
        <v>26180</v>
      </c>
      <c r="H264" t="s">
        <v>25</v>
      </c>
    </row>
    <row r="265" spans="1:8" x14ac:dyDescent="0.25">
      <c r="A265">
        <v>100274</v>
      </c>
      <c r="B265">
        <v>248</v>
      </c>
      <c r="C265">
        <v>916</v>
      </c>
      <c r="D265">
        <v>3420</v>
      </c>
      <c r="E265" s="1">
        <v>45649</v>
      </c>
      <c r="F265" s="1">
        <v>45653</v>
      </c>
      <c r="G265">
        <v>20591</v>
      </c>
      <c r="H265" t="s">
        <v>25</v>
      </c>
    </row>
    <row r="266" spans="1:8" x14ac:dyDescent="0.25">
      <c r="A266">
        <v>100275</v>
      </c>
      <c r="B266">
        <v>288</v>
      </c>
      <c r="C266">
        <v>740</v>
      </c>
      <c r="D266">
        <v>3282</v>
      </c>
      <c r="E266" s="1">
        <v>45768</v>
      </c>
      <c r="F266" s="1">
        <v>45773</v>
      </c>
      <c r="G266">
        <v>37920</v>
      </c>
      <c r="H266" t="s">
        <v>25</v>
      </c>
    </row>
    <row r="267" spans="1:8" x14ac:dyDescent="0.25">
      <c r="A267">
        <v>100276</v>
      </c>
      <c r="B267">
        <v>209</v>
      </c>
      <c r="C267">
        <v>496</v>
      </c>
      <c r="D267">
        <v>3066</v>
      </c>
      <c r="E267" s="1">
        <v>45612</v>
      </c>
      <c r="F267" s="1">
        <v>45613</v>
      </c>
      <c r="G267">
        <v>17594</v>
      </c>
      <c r="H267" t="s">
        <v>17</v>
      </c>
    </row>
    <row r="268" spans="1:8" x14ac:dyDescent="0.25">
      <c r="A268">
        <v>100277</v>
      </c>
      <c r="B268">
        <v>399</v>
      </c>
      <c r="C268">
        <v>289</v>
      </c>
      <c r="D268">
        <v>3346</v>
      </c>
      <c r="E268" s="1">
        <v>45693</v>
      </c>
      <c r="F268" s="1">
        <v>45698</v>
      </c>
      <c r="G268">
        <v>32599</v>
      </c>
      <c r="H268" t="s">
        <v>14</v>
      </c>
    </row>
    <row r="269" spans="1:8" x14ac:dyDescent="0.25">
      <c r="A269">
        <v>100278</v>
      </c>
      <c r="B269">
        <v>377</v>
      </c>
      <c r="C269">
        <v>1543</v>
      </c>
      <c r="D269">
        <v>3200</v>
      </c>
      <c r="E269" s="1">
        <v>45640</v>
      </c>
      <c r="F269" s="1">
        <v>45643</v>
      </c>
      <c r="G269">
        <v>19366</v>
      </c>
      <c r="H269" t="s">
        <v>25</v>
      </c>
    </row>
    <row r="270" spans="1:8" x14ac:dyDescent="0.25">
      <c r="A270">
        <v>100279</v>
      </c>
      <c r="B270">
        <v>295</v>
      </c>
      <c r="C270">
        <v>879</v>
      </c>
      <c r="D270">
        <v>3482</v>
      </c>
      <c r="E270" s="1">
        <v>45694</v>
      </c>
      <c r="F270" s="1">
        <v>45712</v>
      </c>
      <c r="G270">
        <v>46211</v>
      </c>
      <c r="H270" t="s">
        <v>25</v>
      </c>
    </row>
    <row r="271" spans="1:8" x14ac:dyDescent="0.25">
      <c r="A271">
        <v>100280</v>
      </c>
      <c r="B271">
        <v>189</v>
      </c>
      <c r="C271">
        <v>1171</v>
      </c>
      <c r="D271">
        <v>3429</v>
      </c>
      <c r="E271" s="1">
        <v>45783</v>
      </c>
      <c r="F271" s="1">
        <v>45793</v>
      </c>
      <c r="G271">
        <v>66365</v>
      </c>
      <c r="H271" t="s">
        <v>25</v>
      </c>
    </row>
    <row r="272" spans="1:8" x14ac:dyDescent="0.25">
      <c r="A272">
        <v>100281</v>
      </c>
      <c r="B272">
        <v>316</v>
      </c>
      <c r="C272">
        <v>1362</v>
      </c>
      <c r="D272">
        <v>3407</v>
      </c>
      <c r="E272" s="1">
        <v>45734</v>
      </c>
      <c r="F272" s="1">
        <v>45736</v>
      </c>
      <c r="G272">
        <v>18312</v>
      </c>
      <c r="H272" t="s">
        <v>25</v>
      </c>
    </row>
    <row r="273" spans="1:8" x14ac:dyDescent="0.25">
      <c r="A273">
        <v>100282</v>
      </c>
      <c r="B273">
        <v>496</v>
      </c>
      <c r="C273">
        <v>371</v>
      </c>
      <c r="D273">
        <v>3407</v>
      </c>
      <c r="E273" s="1">
        <v>45717</v>
      </c>
      <c r="F273" s="1">
        <v>45720</v>
      </c>
      <c r="G273">
        <v>29553</v>
      </c>
      <c r="H273" t="s">
        <v>25</v>
      </c>
    </row>
    <row r="274" spans="1:8" x14ac:dyDescent="0.25">
      <c r="A274">
        <v>100283</v>
      </c>
      <c r="B274">
        <v>320</v>
      </c>
      <c r="C274">
        <v>1516</v>
      </c>
      <c r="D274">
        <v>3225</v>
      </c>
      <c r="E274" s="1">
        <v>45691</v>
      </c>
      <c r="F274" s="1">
        <v>45693</v>
      </c>
      <c r="G274">
        <v>22702</v>
      </c>
      <c r="H274" t="s">
        <v>17</v>
      </c>
    </row>
    <row r="275" spans="1:8" x14ac:dyDescent="0.25">
      <c r="A275">
        <v>100284</v>
      </c>
      <c r="B275">
        <v>224</v>
      </c>
      <c r="C275">
        <v>1416</v>
      </c>
      <c r="D275">
        <v>3096</v>
      </c>
      <c r="E275" s="1">
        <v>45667</v>
      </c>
      <c r="F275" s="1">
        <v>45670</v>
      </c>
      <c r="G275">
        <v>15155</v>
      </c>
      <c r="H275" t="s">
        <v>25</v>
      </c>
    </row>
    <row r="276" spans="1:8" x14ac:dyDescent="0.25">
      <c r="A276">
        <v>100285</v>
      </c>
      <c r="B276">
        <v>360</v>
      </c>
      <c r="C276">
        <v>480</v>
      </c>
      <c r="D276">
        <v>3052</v>
      </c>
      <c r="E276" s="1">
        <v>45677</v>
      </c>
      <c r="F276" s="1">
        <v>45679</v>
      </c>
      <c r="G276">
        <v>22623</v>
      </c>
      <c r="H276" t="s">
        <v>25</v>
      </c>
    </row>
    <row r="277" spans="1:8" x14ac:dyDescent="0.25">
      <c r="A277">
        <v>100286</v>
      </c>
      <c r="B277">
        <v>288</v>
      </c>
      <c r="C277">
        <v>504</v>
      </c>
      <c r="D277">
        <v>3042</v>
      </c>
      <c r="E277" s="1">
        <v>45630</v>
      </c>
      <c r="F277" s="1">
        <v>45631</v>
      </c>
      <c r="G277">
        <v>11987</v>
      </c>
      <c r="H277" t="s">
        <v>25</v>
      </c>
    </row>
    <row r="278" spans="1:8" x14ac:dyDescent="0.25">
      <c r="A278">
        <v>100287</v>
      </c>
      <c r="B278">
        <v>444</v>
      </c>
      <c r="C278">
        <v>114</v>
      </c>
      <c r="D278">
        <v>3496</v>
      </c>
      <c r="E278" s="1">
        <v>45628</v>
      </c>
      <c r="F278" s="1">
        <v>45631</v>
      </c>
      <c r="G278">
        <v>31986</v>
      </c>
      <c r="H278" t="s">
        <v>14</v>
      </c>
    </row>
    <row r="279" spans="1:8" x14ac:dyDescent="0.25">
      <c r="A279">
        <v>100288</v>
      </c>
      <c r="B279">
        <v>441</v>
      </c>
      <c r="C279">
        <v>1382</v>
      </c>
      <c r="D279">
        <v>3252</v>
      </c>
      <c r="E279" s="1">
        <v>45652</v>
      </c>
      <c r="F279" s="1">
        <v>45657</v>
      </c>
      <c r="G279">
        <v>28506</v>
      </c>
      <c r="H279" t="s">
        <v>25</v>
      </c>
    </row>
    <row r="280" spans="1:8" x14ac:dyDescent="0.25">
      <c r="A280">
        <v>100289</v>
      </c>
      <c r="B280">
        <v>216</v>
      </c>
      <c r="C280">
        <v>948</v>
      </c>
      <c r="D280">
        <v>3133</v>
      </c>
      <c r="E280" s="1">
        <v>45721</v>
      </c>
      <c r="F280" s="1">
        <v>45722</v>
      </c>
      <c r="G280">
        <v>10152</v>
      </c>
      <c r="H280" t="s">
        <v>25</v>
      </c>
    </row>
    <row r="281" spans="1:8" x14ac:dyDescent="0.25">
      <c r="A281">
        <v>100290</v>
      </c>
      <c r="B281">
        <v>146</v>
      </c>
      <c r="C281">
        <v>965</v>
      </c>
      <c r="D281">
        <v>3365</v>
      </c>
      <c r="E281" s="1">
        <v>45644</v>
      </c>
      <c r="F281" s="1">
        <v>45649</v>
      </c>
      <c r="G281">
        <v>44599</v>
      </c>
      <c r="H281" t="s">
        <v>25</v>
      </c>
    </row>
    <row r="282" spans="1:8" x14ac:dyDescent="0.25">
      <c r="A282">
        <v>100291</v>
      </c>
      <c r="B282">
        <v>78</v>
      </c>
      <c r="C282">
        <v>717</v>
      </c>
      <c r="D282">
        <v>3367</v>
      </c>
      <c r="E282" s="1">
        <v>45721</v>
      </c>
      <c r="F282" s="1">
        <v>45722</v>
      </c>
      <c r="G282">
        <v>19040</v>
      </c>
      <c r="H282" t="s">
        <v>25</v>
      </c>
    </row>
    <row r="283" spans="1:8" x14ac:dyDescent="0.25">
      <c r="A283">
        <v>100292</v>
      </c>
      <c r="B283">
        <v>105</v>
      </c>
      <c r="C283">
        <v>179</v>
      </c>
      <c r="D283">
        <v>3408</v>
      </c>
      <c r="E283" s="1">
        <v>45629</v>
      </c>
      <c r="F283" s="1">
        <v>45631</v>
      </c>
      <c r="G283">
        <v>21676</v>
      </c>
      <c r="H283" t="s">
        <v>25</v>
      </c>
    </row>
    <row r="284" spans="1:8" x14ac:dyDescent="0.25">
      <c r="A284">
        <v>100293</v>
      </c>
      <c r="B284">
        <v>130</v>
      </c>
      <c r="C284">
        <v>1420</v>
      </c>
      <c r="D284">
        <v>3302</v>
      </c>
      <c r="E284" s="1">
        <v>45788</v>
      </c>
      <c r="F284" s="1">
        <v>45791</v>
      </c>
      <c r="G284">
        <v>32893</v>
      </c>
      <c r="H284" t="s">
        <v>25</v>
      </c>
    </row>
    <row r="285" spans="1:8" x14ac:dyDescent="0.25">
      <c r="A285">
        <v>100294</v>
      </c>
      <c r="B285">
        <v>190</v>
      </c>
      <c r="C285">
        <v>688</v>
      </c>
      <c r="D285">
        <v>3060</v>
      </c>
      <c r="E285" s="1">
        <v>45607</v>
      </c>
      <c r="F285" s="1">
        <v>45609</v>
      </c>
      <c r="G285">
        <v>19781</v>
      </c>
      <c r="H285" t="s">
        <v>25</v>
      </c>
    </row>
    <row r="286" spans="1:8" x14ac:dyDescent="0.25">
      <c r="A286">
        <v>100295</v>
      </c>
      <c r="B286">
        <v>28</v>
      </c>
      <c r="C286">
        <v>199</v>
      </c>
      <c r="D286">
        <v>3269</v>
      </c>
      <c r="E286" s="1">
        <v>45792</v>
      </c>
      <c r="F286" s="1">
        <v>45795</v>
      </c>
      <c r="G286">
        <v>20644</v>
      </c>
      <c r="H286" t="s">
        <v>25</v>
      </c>
    </row>
    <row r="287" spans="1:8" x14ac:dyDescent="0.25">
      <c r="A287">
        <v>100296</v>
      </c>
      <c r="B287">
        <v>366</v>
      </c>
      <c r="C287">
        <v>1488</v>
      </c>
      <c r="D287">
        <v>3469</v>
      </c>
      <c r="E287" s="1">
        <v>45682</v>
      </c>
      <c r="F287" s="1">
        <v>45689</v>
      </c>
      <c r="G287">
        <v>40533</v>
      </c>
      <c r="H287" t="s">
        <v>14</v>
      </c>
    </row>
    <row r="288" spans="1:8" x14ac:dyDescent="0.25">
      <c r="A288">
        <v>100297</v>
      </c>
      <c r="B288">
        <v>411</v>
      </c>
      <c r="C288">
        <v>280</v>
      </c>
      <c r="D288">
        <v>3306</v>
      </c>
      <c r="E288" s="1">
        <v>45781</v>
      </c>
      <c r="F288" s="1">
        <v>45808</v>
      </c>
      <c r="G288">
        <v>73334</v>
      </c>
      <c r="H288" t="s">
        <v>14</v>
      </c>
    </row>
    <row r="289" spans="1:8" x14ac:dyDescent="0.25">
      <c r="A289">
        <v>100298</v>
      </c>
      <c r="B289">
        <v>129</v>
      </c>
      <c r="C289">
        <v>430</v>
      </c>
      <c r="D289">
        <v>3272</v>
      </c>
      <c r="E289" s="1">
        <v>45723</v>
      </c>
      <c r="F289" s="1">
        <v>45728</v>
      </c>
      <c r="G289">
        <v>43189</v>
      </c>
      <c r="H289" t="s">
        <v>25</v>
      </c>
    </row>
    <row r="290" spans="1:8" x14ac:dyDescent="0.25">
      <c r="A290">
        <v>100299</v>
      </c>
      <c r="B290">
        <v>400</v>
      </c>
      <c r="C290">
        <v>100</v>
      </c>
      <c r="D290">
        <v>3453</v>
      </c>
      <c r="E290" s="1">
        <v>45805</v>
      </c>
      <c r="F290" s="1">
        <v>45808</v>
      </c>
      <c r="G290">
        <v>35993</v>
      </c>
      <c r="H290" t="s">
        <v>17</v>
      </c>
    </row>
    <row r="291" spans="1:8" x14ac:dyDescent="0.25">
      <c r="A291">
        <v>100300</v>
      </c>
      <c r="B291">
        <v>195</v>
      </c>
      <c r="C291">
        <v>201</v>
      </c>
      <c r="D291">
        <v>3215</v>
      </c>
      <c r="E291" s="1">
        <v>45665</v>
      </c>
      <c r="F291" s="1">
        <v>45668</v>
      </c>
      <c r="G291">
        <v>35133</v>
      </c>
      <c r="H291" t="s">
        <v>25</v>
      </c>
    </row>
    <row r="292" spans="1:8" x14ac:dyDescent="0.25">
      <c r="A292">
        <v>100301</v>
      </c>
      <c r="B292">
        <v>416</v>
      </c>
      <c r="C292">
        <v>616</v>
      </c>
      <c r="D292">
        <v>3208</v>
      </c>
      <c r="E292" s="1">
        <v>45742</v>
      </c>
      <c r="F292" s="1">
        <v>45744</v>
      </c>
      <c r="G292">
        <v>20954</v>
      </c>
      <c r="H292" t="s">
        <v>25</v>
      </c>
    </row>
    <row r="293" spans="1:8" x14ac:dyDescent="0.25">
      <c r="A293">
        <v>100302</v>
      </c>
      <c r="B293">
        <v>165</v>
      </c>
      <c r="C293">
        <v>1318</v>
      </c>
      <c r="D293">
        <v>3183</v>
      </c>
      <c r="E293" s="1">
        <v>45624</v>
      </c>
      <c r="F293" s="1">
        <v>45628</v>
      </c>
      <c r="G293">
        <v>17424</v>
      </c>
      <c r="H293" t="s">
        <v>25</v>
      </c>
    </row>
    <row r="294" spans="1:8" x14ac:dyDescent="0.25">
      <c r="A294">
        <v>100303</v>
      </c>
      <c r="B294">
        <v>448</v>
      </c>
      <c r="C294">
        <v>1373</v>
      </c>
      <c r="D294">
        <v>3093</v>
      </c>
      <c r="E294" s="1">
        <v>45762</v>
      </c>
      <c r="F294" s="1">
        <v>45765</v>
      </c>
      <c r="G294">
        <v>35752</v>
      </c>
      <c r="H294" t="s">
        <v>25</v>
      </c>
    </row>
    <row r="295" spans="1:8" x14ac:dyDescent="0.25">
      <c r="A295">
        <v>100304</v>
      </c>
      <c r="B295">
        <v>393</v>
      </c>
      <c r="C295">
        <v>1143</v>
      </c>
      <c r="D295">
        <v>3497</v>
      </c>
      <c r="E295" s="1">
        <v>45790</v>
      </c>
      <c r="F295" s="1">
        <v>45794</v>
      </c>
      <c r="G295">
        <v>23342</v>
      </c>
      <c r="H295" t="s">
        <v>17</v>
      </c>
    </row>
    <row r="296" spans="1:8" x14ac:dyDescent="0.25">
      <c r="A296">
        <v>100305</v>
      </c>
      <c r="B296">
        <v>269</v>
      </c>
      <c r="C296">
        <v>1079</v>
      </c>
      <c r="D296">
        <v>3384</v>
      </c>
      <c r="E296" s="1">
        <v>45649</v>
      </c>
      <c r="F296" s="1">
        <v>45657</v>
      </c>
      <c r="G296">
        <v>75701</v>
      </c>
      <c r="H296" t="s">
        <v>25</v>
      </c>
    </row>
    <row r="297" spans="1:8" x14ac:dyDescent="0.25">
      <c r="A297">
        <v>100306</v>
      </c>
      <c r="B297">
        <v>19</v>
      </c>
      <c r="C297">
        <v>1097</v>
      </c>
      <c r="D297">
        <v>3451</v>
      </c>
      <c r="E297" s="1">
        <v>45641</v>
      </c>
      <c r="F297" s="1">
        <v>45643</v>
      </c>
      <c r="G297">
        <v>20917</v>
      </c>
      <c r="H297" t="s">
        <v>17</v>
      </c>
    </row>
    <row r="298" spans="1:8" x14ac:dyDescent="0.25">
      <c r="A298">
        <v>100307</v>
      </c>
      <c r="B298">
        <v>390</v>
      </c>
      <c r="C298">
        <v>1308</v>
      </c>
      <c r="D298">
        <v>3265</v>
      </c>
      <c r="E298" s="1">
        <v>45772</v>
      </c>
      <c r="F298" s="1">
        <v>45775</v>
      </c>
      <c r="G298">
        <v>36158</v>
      </c>
      <c r="H298" t="s">
        <v>25</v>
      </c>
    </row>
    <row r="299" spans="1:8" x14ac:dyDescent="0.25">
      <c r="A299">
        <v>100308</v>
      </c>
      <c r="B299">
        <v>323</v>
      </c>
      <c r="C299">
        <v>475</v>
      </c>
      <c r="D299">
        <v>3064</v>
      </c>
      <c r="E299" s="1">
        <v>45705</v>
      </c>
      <c r="F299" s="1">
        <v>45717</v>
      </c>
      <c r="G299">
        <v>67730</v>
      </c>
      <c r="H299" t="s">
        <v>25</v>
      </c>
    </row>
    <row r="300" spans="1:8" x14ac:dyDescent="0.25">
      <c r="A300">
        <v>100309</v>
      </c>
      <c r="B300">
        <v>167</v>
      </c>
      <c r="C300">
        <v>710</v>
      </c>
      <c r="D300">
        <v>3427</v>
      </c>
      <c r="E300" s="1">
        <v>45734</v>
      </c>
      <c r="F300" s="1">
        <v>45736</v>
      </c>
      <c r="G300">
        <v>26281</v>
      </c>
      <c r="H300" t="s">
        <v>25</v>
      </c>
    </row>
    <row r="301" spans="1:8" x14ac:dyDescent="0.25">
      <c r="A301">
        <v>100310</v>
      </c>
      <c r="B301">
        <v>92</v>
      </c>
      <c r="C301">
        <v>1329</v>
      </c>
      <c r="D301">
        <v>3349</v>
      </c>
      <c r="E301" s="1">
        <v>45633</v>
      </c>
      <c r="F301" s="1">
        <v>45635</v>
      </c>
      <c r="G301">
        <v>21743</v>
      </c>
      <c r="H301" t="s">
        <v>17</v>
      </c>
    </row>
    <row r="302" spans="1:8" x14ac:dyDescent="0.25">
      <c r="A302">
        <v>100311</v>
      </c>
      <c r="B302">
        <v>168</v>
      </c>
      <c r="C302">
        <v>946</v>
      </c>
      <c r="D302">
        <v>3331</v>
      </c>
      <c r="E302" s="1">
        <v>45666</v>
      </c>
      <c r="F302" s="1">
        <v>45671</v>
      </c>
      <c r="G302">
        <v>33688</v>
      </c>
      <c r="H302" t="s">
        <v>14</v>
      </c>
    </row>
    <row r="303" spans="1:8" x14ac:dyDescent="0.25">
      <c r="A303">
        <v>100312</v>
      </c>
      <c r="B303">
        <v>170</v>
      </c>
      <c r="C303">
        <v>687</v>
      </c>
      <c r="D303">
        <v>3319</v>
      </c>
      <c r="E303" s="1">
        <v>45792</v>
      </c>
      <c r="F303" s="1">
        <v>45795</v>
      </c>
      <c r="G303">
        <v>30965</v>
      </c>
      <c r="H303" t="s">
        <v>25</v>
      </c>
    </row>
    <row r="304" spans="1:8" x14ac:dyDescent="0.25">
      <c r="A304">
        <v>100313</v>
      </c>
      <c r="B304">
        <v>461</v>
      </c>
      <c r="C304">
        <v>1464</v>
      </c>
      <c r="D304">
        <v>3491</v>
      </c>
      <c r="E304" s="1">
        <v>45718</v>
      </c>
      <c r="F304" s="1">
        <v>45721</v>
      </c>
      <c r="G304">
        <v>26283</v>
      </c>
      <c r="H304" t="s">
        <v>17</v>
      </c>
    </row>
    <row r="305" spans="1:8" x14ac:dyDescent="0.25">
      <c r="A305">
        <v>100314</v>
      </c>
      <c r="B305">
        <v>242</v>
      </c>
      <c r="C305">
        <v>1065</v>
      </c>
      <c r="D305">
        <v>3394</v>
      </c>
      <c r="E305" s="1">
        <v>45597</v>
      </c>
      <c r="F305" s="1">
        <v>45599</v>
      </c>
      <c r="G305">
        <v>20039</v>
      </c>
      <c r="H305" t="s">
        <v>25</v>
      </c>
    </row>
    <row r="306" spans="1:8" x14ac:dyDescent="0.25">
      <c r="A306">
        <v>100315</v>
      </c>
      <c r="B306">
        <v>199</v>
      </c>
      <c r="C306">
        <v>191</v>
      </c>
      <c r="D306">
        <v>3221</v>
      </c>
      <c r="E306" s="1">
        <v>45741</v>
      </c>
      <c r="F306" s="1">
        <v>45743</v>
      </c>
      <c r="G306">
        <v>20920</v>
      </c>
      <c r="H306" t="s">
        <v>25</v>
      </c>
    </row>
    <row r="307" spans="1:8" x14ac:dyDescent="0.25">
      <c r="A307">
        <v>100316</v>
      </c>
      <c r="B307">
        <v>462</v>
      </c>
      <c r="C307">
        <v>821</v>
      </c>
      <c r="D307">
        <v>3298</v>
      </c>
      <c r="E307" s="1">
        <v>45617</v>
      </c>
      <c r="F307" s="1">
        <v>45620</v>
      </c>
      <c r="G307">
        <v>36289</v>
      </c>
      <c r="H307" t="s">
        <v>14</v>
      </c>
    </row>
    <row r="308" spans="1:8" x14ac:dyDescent="0.25">
      <c r="A308">
        <v>100317</v>
      </c>
      <c r="B308">
        <v>498</v>
      </c>
      <c r="C308">
        <v>610</v>
      </c>
      <c r="D308">
        <v>3059</v>
      </c>
      <c r="E308" s="1">
        <v>45646</v>
      </c>
      <c r="F308" s="1">
        <v>45648</v>
      </c>
      <c r="G308">
        <v>29026</v>
      </c>
      <c r="H308" t="s">
        <v>25</v>
      </c>
    </row>
    <row r="309" spans="1:8" x14ac:dyDescent="0.25">
      <c r="A309">
        <v>100318</v>
      </c>
      <c r="B309">
        <v>494</v>
      </c>
      <c r="C309">
        <v>304</v>
      </c>
      <c r="D309">
        <v>3053</v>
      </c>
      <c r="E309" s="1">
        <v>45770</v>
      </c>
      <c r="F309" s="1">
        <v>45772</v>
      </c>
      <c r="G309">
        <v>27130</v>
      </c>
      <c r="H309" t="s">
        <v>25</v>
      </c>
    </row>
    <row r="310" spans="1:8" x14ac:dyDescent="0.25">
      <c r="A310">
        <v>100319</v>
      </c>
      <c r="B310">
        <v>84</v>
      </c>
      <c r="C310">
        <v>1124</v>
      </c>
      <c r="D310">
        <v>3080</v>
      </c>
      <c r="E310" s="1">
        <v>45655</v>
      </c>
      <c r="F310" s="1">
        <v>45658</v>
      </c>
      <c r="G310">
        <v>32949</v>
      </c>
      <c r="H310" t="s">
        <v>25</v>
      </c>
    </row>
    <row r="311" spans="1:8" x14ac:dyDescent="0.25">
      <c r="A311">
        <v>100320</v>
      </c>
      <c r="B311">
        <v>184</v>
      </c>
      <c r="C311">
        <v>695</v>
      </c>
      <c r="D311">
        <v>3281</v>
      </c>
      <c r="E311" s="1">
        <v>45742</v>
      </c>
      <c r="F311" s="1">
        <v>45746</v>
      </c>
      <c r="G311">
        <v>27687</v>
      </c>
      <c r="H311" t="s">
        <v>17</v>
      </c>
    </row>
    <row r="312" spans="1:8" x14ac:dyDescent="0.25">
      <c r="A312">
        <v>100321</v>
      </c>
      <c r="B312">
        <v>87</v>
      </c>
      <c r="C312">
        <v>1314</v>
      </c>
      <c r="D312">
        <v>3483</v>
      </c>
      <c r="E312" s="1">
        <v>45782</v>
      </c>
      <c r="F312" s="1">
        <v>45802</v>
      </c>
      <c r="G312">
        <v>161551</v>
      </c>
      <c r="H312" t="s">
        <v>25</v>
      </c>
    </row>
    <row r="313" spans="1:8" x14ac:dyDescent="0.25">
      <c r="A313">
        <v>100322</v>
      </c>
      <c r="B313">
        <v>363</v>
      </c>
      <c r="C313">
        <v>875</v>
      </c>
      <c r="D313">
        <v>3095</v>
      </c>
      <c r="E313" s="1">
        <v>45771</v>
      </c>
      <c r="F313" s="1">
        <v>45773</v>
      </c>
      <c r="G313">
        <v>16712</v>
      </c>
      <c r="H313" t="s">
        <v>25</v>
      </c>
    </row>
    <row r="314" spans="1:8" x14ac:dyDescent="0.25">
      <c r="A314">
        <v>100323</v>
      </c>
      <c r="B314">
        <v>402</v>
      </c>
      <c r="C314">
        <v>1010</v>
      </c>
      <c r="D314">
        <v>3034</v>
      </c>
      <c r="E314" s="1">
        <v>45734</v>
      </c>
      <c r="F314" s="1">
        <v>45739</v>
      </c>
      <c r="G314">
        <v>48953</v>
      </c>
      <c r="H314" t="s">
        <v>14</v>
      </c>
    </row>
    <row r="315" spans="1:8" x14ac:dyDescent="0.25">
      <c r="A315">
        <v>100324</v>
      </c>
      <c r="B315">
        <v>371</v>
      </c>
      <c r="C315">
        <v>113</v>
      </c>
      <c r="D315">
        <v>3206</v>
      </c>
      <c r="E315" s="1">
        <v>45787</v>
      </c>
      <c r="F315" s="1">
        <v>45790</v>
      </c>
      <c r="G315">
        <v>19518</v>
      </c>
      <c r="H315" t="s">
        <v>17</v>
      </c>
    </row>
    <row r="316" spans="1:8" x14ac:dyDescent="0.25">
      <c r="A316">
        <v>100325</v>
      </c>
      <c r="B316">
        <v>189</v>
      </c>
      <c r="C316">
        <v>351</v>
      </c>
      <c r="D316">
        <v>3171</v>
      </c>
      <c r="E316" s="1">
        <v>45642</v>
      </c>
      <c r="F316" s="1">
        <v>45645</v>
      </c>
      <c r="G316">
        <v>32773</v>
      </c>
      <c r="H316" t="s">
        <v>17</v>
      </c>
    </row>
    <row r="317" spans="1:8" x14ac:dyDescent="0.25">
      <c r="A317">
        <v>100326</v>
      </c>
      <c r="B317">
        <v>304</v>
      </c>
      <c r="C317">
        <v>1472</v>
      </c>
      <c r="D317">
        <v>3438</v>
      </c>
      <c r="E317" s="1">
        <v>45799</v>
      </c>
      <c r="F317" s="1">
        <v>45808</v>
      </c>
      <c r="G317">
        <v>41621</v>
      </c>
      <c r="H317" t="s">
        <v>10</v>
      </c>
    </row>
    <row r="318" spans="1:8" x14ac:dyDescent="0.25">
      <c r="A318">
        <v>100327</v>
      </c>
      <c r="B318">
        <v>269</v>
      </c>
      <c r="C318">
        <v>1443</v>
      </c>
      <c r="D318">
        <v>3171</v>
      </c>
      <c r="E318" s="1">
        <v>45780</v>
      </c>
      <c r="F318" s="1">
        <v>45784</v>
      </c>
      <c r="G318">
        <v>36579</v>
      </c>
      <c r="H318" t="s">
        <v>25</v>
      </c>
    </row>
    <row r="319" spans="1:8" x14ac:dyDescent="0.25">
      <c r="A319">
        <v>100328</v>
      </c>
      <c r="B319">
        <v>480</v>
      </c>
      <c r="C319">
        <v>665</v>
      </c>
      <c r="D319">
        <v>3189</v>
      </c>
      <c r="E319" s="1">
        <v>45735</v>
      </c>
      <c r="F319" s="1">
        <v>45740</v>
      </c>
      <c r="G319">
        <v>28459</v>
      </c>
      <c r="H319" t="s">
        <v>25</v>
      </c>
    </row>
    <row r="320" spans="1:8" x14ac:dyDescent="0.25">
      <c r="A320">
        <v>100329</v>
      </c>
      <c r="B320">
        <v>303</v>
      </c>
      <c r="C320">
        <v>581</v>
      </c>
      <c r="D320">
        <v>3334</v>
      </c>
      <c r="E320" s="1">
        <v>45687</v>
      </c>
      <c r="F320" s="1">
        <v>45692</v>
      </c>
      <c r="G320">
        <v>24400</v>
      </c>
      <c r="H320" t="s">
        <v>17</v>
      </c>
    </row>
    <row r="321" spans="1:8" x14ac:dyDescent="0.25">
      <c r="A321">
        <v>100330</v>
      </c>
      <c r="B321">
        <v>234</v>
      </c>
      <c r="C321">
        <v>1231</v>
      </c>
      <c r="D321">
        <v>3341</v>
      </c>
      <c r="E321" s="1">
        <v>45714</v>
      </c>
      <c r="F321" s="1">
        <v>45716</v>
      </c>
      <c r="G321">
        <v>19530</v>
      </c>
      <c r="H321" t="s">
        <v>25</v>
      </c>
    </row>
    <row r="322" spans="1:8" x14ac:dyDescent="0.25">
      <c r="A322">
        <v>100331</v>
      </c>
      <c r="B322">
        <v>336</v>
      </c>
      <c r="C322">
        <v>1576</v>
      </c>
      <c r="D322">
        <v>3043</v>
      </c>
      <c r="E322" s="1">
        <v>45652</v>
      </c>
      <c r="F322" s="1">
        <v>45654</v>
      </c>
      <c r="G322">
        <v>21857</v>
      </c>
      <c r="H322" t="s">
        <v>17</v>
      </c>
    </row>
    <row r="323" spans="1:8" x14ac:dyDescent="0.25">
      <c r="A323">
        <v>100332</v>
      </c>
      <c r="B323">
        <v>14</v>
      </c>
      <c r="C323">
        <v>677</v>
      </c>
      <c r="D323">
        <v>3180</v>
      </c>
      <c r="E323" s="1">
        <v>45769</v>
      </c>
      <c r="F323" s="1">
        <v>45777</v>
      </c>
      <c r="G323">
        <v>35823</v>
      </c>
      <c r="H323" t="s">
        <v>25</v>
      </c>
    </row>
    <row r="324" spans="1:8" x14ac:dyDescent="0.25">
      <c r="A324">
        <v>100333</v>
      </c>
      <c r="B324">
        <v>299</v>
      </c>
      <c r="C324">
        <v>121</v>
      </c>
      <c r="D324">
        <v>3077</v>
      </c>
      <c r="E324" s="1">
        <v>45610</v>
      </c>
      <c r="F324" s="1">
        <v>45613</v>
      </c>
      <c r="G324">
        <v>13822</v>
      </c>
      <c r="H324" t="s">
        <v>25</v>
      </c>
    </row>
    <row r="325" spans="1:8" x14ac:dyDescent="0.25">
      <c r="A325">
        <v>100334</v>
      </c>
      <c r="B325">
        <v>441</v>
      </c>
      <c r="C325">
        <v>835</v>
      </c>
      <c r="D325">
        <v>3181</v>
      </c>
      <c r="E325" s="1">
        <v>45713</v>
      </c>
      <c r="F325" s="1">
        <v>45716</v>
      </c>
      <c r="G325">
        <v>23702</v>
      </c>
      <c r="H325" t="s">
        <v>17</v>
      </c>
    </row>
    <row r="326" spans="1:8" x14ac:dyDescent="0.25">
      <c r="A326">
        <v>100335</v>
      </c>
      <c r="B326">
        <v>430</v>
      </c>
      <c r="C326">
        <v>1025</v>
      </c>
      <c r="D326">
        <v>3363</v>
      </c>
      <c r="E326" s="1">
        <v>45747</v>
      </c>
      <c r="F326" s="1">
        <v>45750</v>
      </c>
      <c r="G326">
        <v>31679</v>
      </c>
      <c r="H326" t="s">
        <v>25</v>
      </c>
    </row>
    <row r="327" spans="1:8" x14ac:dyDescent="0.25">
      <c r="A327">
        <v>100336</v>
      </c>
      <c r="B327">
        <v>14</v>
      </c>
      <c r="C327">
        <v>762</v>
      </c>
      <c r="D327">
        <v>3265</v>
      </c>
      <c r="E327" s="1">
        <v>45684</v>
      </c>
      <c r="F327" s="1">
        <v>45687</v>
      </c>
      <c r="G327">
        <v>28697</v>
      </c>
      <c r="H327" t="s">
        <v>17</v>
      </c>
    </row>
    <row r="328" spans="1:8" x14ac:dyDescent="0.25">
      <c r="A328">
        <v>100337</v>
      </c>
      <c r="B328">
        <v>145</v>
      </c>
      <c r="C328">
        <v>677</v>
      </c>
      <c r="D328">
        <v>3318</v>
      </c>
      <c r="E328" s="1">
        <v>45619</v>
      </c>
      <c r="F328" s="1">
        <v>45629</v>
      </c>
      <c r="G328">
        <v>50350</v>
      </c>
      <c r="H328" t="s">
        <v>17</v>
      </c>
    </row>
    <row r="329" spans="1:8" x14ac:dyDescent="0.25">
      <c r="A329">
        <v>100338</v>
      </c>
      <c r="B329">
        <v>109</v>
      </c>
      <c r="C329">
        <v>635</v>
      </c>
      <c r="D329">
        <v>3015</v>
      </c>
      <c r="E329" s="1">
        <v>45626</v>
      </c>
      <c r="F329" s="1">
        <v>45630</v>
      </c>
      <c r="G329">
        <v>21566</v>
      </c>
      <c r="H329" t="s">
        <v>25</v>
      </c>
    </row>
    <row r="330" spans="1:8" x14ac:dyDescent="0.25">
      <c r="A330">
        <v>100339</v>
      </c>
      <c r="B330">
        <v>371</v>
      </c>
      <c r="C330">
        <v>555</v>
      </c>
      <c r="D330">
        <v>3056</v>
      </c>
      <c r="E330" s="1">
        <v>45776</v>
      </c>
      <c r="F330" s="1">
        <v>45785</v>
      </c>
      <c r="G330">
        <v>67408</v>
      </c>
      <c r="H330" t="s">
        <v>14</v>
      </c>
    </row>
    <row r="331" spans="1:8" x14ac:dyDescent="0.25">
      <c r="A331">
        <v>100340</v>
      </c>
      <c r="B331">
        <v>300</v>
      </c>
      <c r="C331">
        <v>390</v>
      </c>
      <c r="D331">
        <v>3221</v>
      </c>
      <c r="E331" s="1">
        <v>45790</v>
      </c>
      <c r="F331" s="1">
        <v>45798</v>
      </c>
      <c r="G331">
        <v>55804</v>
      </c>
      <c r="H331" t="s">
        <v>25</v>
      </c>
    </row>
    <row r="332" spans="1:8" x14ac:dyDescent="0.25">
      <c r="A332">
        <v>100341</v>
      </c>
      <c r="B332">
        <v>198</v>
      </c>
      <c r="C332">
        <v>999</v>
      </c>
      <c r="D332">
        <v>3276</v>
      </c>
      <c r="E332" s="1">
        <v>45626</v>
      </c>
      <c r="F332" s="1">
        <v>45629</v>
      </c>
      <c r="G332">
        <v>20685</v>
      </c>
      <c r="H332" t="s">
        <v>25</v>
      </c>
    </row>
    <row r="333" spans="1:8" x14ac:dyDescent="0.25">
      <c r="A333">
        <v>100342</v>
      </c>
      <c r="B333">
        <v>101</v>
      </c>
      <c r="C333">
        <v>651</v>
      </c>
      <c r="D333">
        <v>3074</v>
      </c>
      <c r="E333" s="1">
        <v>45717</v>
      </c>
      <c r="F333" s="1">
        <v>45718</v>
      </c>
      <c r="G333">
        <v>16654</v>
      </c>
      <c r="H333" t="s">
        <v>14</v>
      </c>
    </row>
    <row r="334" spans="1:8" x14ac:dyDescent="0.25">
      <c r="A334">
        <v>100343</v>
      </c>
      <c r="B334">
        <v>131</v>
      </c>
      <c r="C334">
        <v>912</v>
      </c>
      <c r="D334">
        <v>3265</v>
      </c>
      <c r="E334" s="1">
        <v>45773</v>
      </c>
      <c r="F334" s="1">
        <v>45777</v>
      </c>
      <c r="G334">
        <v>36662</v>
      </c>
      <c r="H334" t="s">
        <v>17</v>
      </c>
    </row>
    <row r="335" spans="1:8" x14ac:dyDescent="0.25">
      <c r="A335">
        <v>100344</v>
      </c>
      <c r="B335">
        <v>300</v>
      </c>
      <c r="C335">
        <v>1467</v>
      </c>
      <c r="D335">
        <v>3331</v>
      </c>
      <c r="E335" s="1">
        <v>45765</v>
      </c>
      <c r="F335" s="1">
        <v>45770</v>
      </c>
      <c r="G335">
        <v>47318</v>
      </c>
      <c r="H335" t="s">
        <v>25</v>
      </c>
    </row>
    <row r="336" spans="1:8" x14ac:dyDescent="0.25">
      <c r="A336">
        <v>100345</v>
      </c>
      <c r="B336">
        <v>259</v>
      </c>
      <c r="C336">
        <v>1213</v>
      </c>
      <c r="D336">
        <v>3051</v>
      </c>
      <c r="E336" s="1">
        <v>45666</v>
      </c>
      <c r="F336" s="1">
        <v>45676</v>
      </c>
      <c r="G336">
        <v>64850</v>
      </c>
      <c r="H336" t="s">
        <v>25</v>
      </c>
    </row>
    <row r="337" spans="1:8" x14ac:dyDescent="0.25">
      <c r="A337">
        <v>100346</v>
      </c>
      <c r="B337">
        <v>8</v>
      </c>
      <c r="C337">
        <v>312</v>
      </c>
      <c r="D337">
        <v>3462</v>
      </c>
      <c r="E337" s="1">
        <v>45729</v>
      </c>
      <c r="F337" s="1">
        <v>45731</v>
      </c>
      <c r="G337">
        <v>12351</v>
      </c>
      <c r="H337" t="s">
        <v>14</v>
      </c>
    </row>
    <row r="338" spans="1:8" x14ac:dyDescent="0.25">
      <c r="A338">
        <v>100347</v>
      </c>
      <c r="B338">
        <v>446</v>
      </c>
      <c r="C338">
        <v>855</v>
      </c>
      <c r="D338">
        <v>3021</v>
      </c>
      <c r="E338" s="1">
        <v>45791</v>
      </c>
      <c r="F338" s="1">
        <v>45792</v>
      </c>
      <c r="G338">
        <v>13141</v>
      </c>
      <c r="H338" t="s">
        <v>14</v>
      </c>
    </row>
    <row r="339" spans="1:8" x14ac:dyDescent="0.25">
      <c r="A339">
        <v>100348</v>
      </c>
      <c r="B339">
        <v>83</v>
      </c>
      <c r="C339">
        <v>538</v>
      </c>
      <c r="D339">
        <v>3054</v>
      </c>
      <c r="E339" s="1">
        <v>45797</v>
      </c>
      <c r="F339" s="1">
        <v>45799</v>
      </c>
      <c r="G339">
        <v>22807</v>
      </c>
      <c r="H339" t="s">
        <v>25</v>
      </c>
    </row>
    <row r="340" spans="1:8" x14ac:dyDescent="0.25">
      <c r="A340">
        <v>100349</v>
      </c>
      <c r="B340">
        <v>18</v>
      </c>
      <c r="C340">
        <v>1476</v>
      </c>
      <c r="D340">
        <v>3108</v>
      </c>
      <c r="E340" s="1">
        <v>45698</v>
      </c>
      <c r="F340" s="1">
        <v>45700</v>
      </c>
      <c r="G340">
        <v>14985</v>
      </c>
      <c r="H340" t="s">
        <v>25</v>
      </c>
    </row>
    <row r="341" spans="1:8" x14ac:dyDescent="0.25">
      <c r="A341">
        <v>100350</v>
      </c>
      <c r="B341">
        <v>17</v>
      </c>
      <c r="C341">
        <v>1414</v>
      </c>
      <c r="D341">
        <v>3429</v>
      </c>
      <c r="E341" s="1">
        <v>45700</v>
      </c>
      <c r="F341" s="1">
        <v>45705</v>
      </c>
      <c r="G341">
        <v>32343</v>
      </c>
      <c r="H341" t="s">
        <v>10</v>
      </c>
    </row>
    <row r="342" spans="1:8" x14ac:dyDescent="0.25">
      <c r="A342">
        <v>100351</v>
      </c>
      <c r="B342">
        <v>379</v>
      </c>
      <c r="C342">
        <v>141</v>
      </c>
      <c r="D342">
        <v>3140</v>
      </c>
      <c r="E342" s="1">
        <v>45709</v>
      </c>
      <c r="F342" s="1">
        <v>45711</v>
      </c>
      <c r="G342">
        <v>19919</v>
      </c>
      <c r="H342" t="s">
        <v>25</v>
      </c>
    </row>
    <row r="343" spans="1:8" x14ac:dyDescent="0.25">
      <c r="A343">
        <v>100352</v>
      </c>
      <c r="B343">
        <v>417</v>
      </c>
      <c r="C343">
        <v>581</v>
      </c>
      <c r="D343">
        <v>3064</v>
      </c>
      <c r="E343" s="1">
        <v>45742</v>
      </c>
      <c r="F343" s="1">
        <v>45746</v>
      </c>
      <c r="G343">
        <v>31799</v>
      </c>
      <c r="H343" t="s">
        <v>25</v>
      </c>
    </row>
    <row r="344" spans="1:8" x14ac:dyDescent="0.25">
      <c r="A344">
        <v>100353</v>
      </c>
      <c r="B344">
        <v>284</v>
      </c>
      <c r="C344">
        <v>744</v>
      </c>
      <c r="D344">
        <v>3195</v>
      </c>
      <c r="E344" s="1">
        <v>45738</v>
      </c>
      <c r="F344" s="1">
        <v>45745</v>
      </c>
      <c r="G344">
        <v>40753</v>
      </c>
      <c r="H344" t="s">
        <v>25</v>
      </c>
    </row>
    <row r="345" spans="1:8" x14ac:dyDescent="0.25">
      <c r="A345">
        <v>100354</v>
      </c>
      <c r="B345">
        <v>122</v>
      </c>
      <c r="C345">
        <v>1158</v>
      </c>
      <c r="D345">
        <v>3367</v>
      </c>
      <c r="E345" s="1">
        <v>45792</v>
      </c>
      <c r="F345" s="1">
        <v>45808</v>
      </c>
      <c r="G345">
        <v>61288</v>
      </c>
      <c r="H345" t="s">
        <v>14</v>
      </c>
    </row>
    <row r="346" spans="1:8" x14ac:dyDescent="0.25">
      <c r="A346">
        <v>100355</v>
      </c>
      <c r="B346">
        <v>254</v>
      </c>
      <c r="C346">
        <v>356</v>
      </c>
      <c r="D346">
        <v>3484</v>
      </c>
      <c r="E346" s="1">
        <v>45800</v>
      </c>
      <c r="F346" s="1">
        <v>45803</v>
      </c>
      <c r="G346">
        <v>27384</v>
      </c>
      <c r="H346" t="s">
        <v>25</v>
      </c>
    </row>
    <row r="347" spans="1:8" x14ac:dyDescent="0.25">
      <c r="A347">
        <v>100356</v>
      </c>
      <c r="B347">
        <v>205</v>
      </c>
      <c r="C347">
        <v>479</v>
      </c>
      <c r="D347">
        <v>3079</v>
      </c>
      <c r="E347" s="1">
        <v>45724</v>
      </c>
      <c r="F347" s="1">
        <v>45729</v>
      </c>
      <c r="G347">
        <v>41717</v>
      </c>
      <c r="H347" t="s">
        <v>25</v>
      </c>
    </row>
    <row r="348" spans="1:8" x14ac:dyDescent="0.25">
      <c r="A348">
        <v>100357</v>
      </c>
      <c r="B348">
        <v>382</v>
      </c>
      <c r="C348">
        <v>495</v>
      </c>
      <c r="D348">
        <v>3498</v>
      </c>
      <c r="E348" s="1">
        <v>45804</v>
      </c>
      <c r="F348" s="1">
        <v>45806</v>
      </c>
      <c r="G348">
        <v>25833</v>
      </c>
      <c r="H348" t="s">
        <v>25</v>
      </c>
    </row>
    <row r="349" spans="1:8" x14ac:dyDescent="0.25">
      <c r="A349">
        <v>100358</v>
      </c>
      <c r="B349">
        <v>481</v>
      </c>
      <c r="C349">
        <v>188</v>
      </c>
      <c r="D349">
        <v>3140</v>
      </c>
      <c r="E349" s="1">
        <v>45768</v>
      </c>
      <c r="F349" s="1">
        <v>45772</v>
      </c>
      <c r="G349">
        <v>37785</v>
      </c>
      <c r="H349" t="s">
        <v>14</v>
      </c>
    </row>
    <row r="350" spans="1:8" x14ac:dyDescent="0.25">
      <c r="A350">
        <v>100359</v>
      </c>
      <c r="B350">
        <v>460</v>
      </c>
      <c r="C350">
        <v>207</v>
      </c>
      <c r="D350">
        <v>3236</v>
      </c>
      <c r="E350" s="1">
        <v>45661</v>
      </c>
      <c r="F350" s="1">
        <v>45665</v>
      </c>
      <c r="G350">
        <v>35024</v>
      </c>
      <c r="H350" t="s">
        <v>25</v>
      </c>
    </row>
    <row r="351" spans="1:8" x14ac:dyDescent="0.25">
      <c r="A351">
        <v>100360</v>
      </c>
      <c r="B351">
        <v>122</v>
      </c>
      <c r="C351">
        <v>417</v>
      </c>
      <c r="D351">
        <v>3190</v>
      </c>
      <c r="E351" s="1">
        <v>45616</v>
      </c>
      <c r="F351" s="1">
        <v>45619</v>
      </c>
      <c r="G351">
        <v>29386</v>
      </c>
      <c r="H351" t="s">
        <v>25</v>
      </c>
    </row>
    <row r="352" spans="1:8" x14ac:dyDescent="0.25">
      <c r="A352">
        <v>100361</v>
      </c>
      <c r="B352">
        <v>440</v>
      </c>
      <c r="C352">
        <v>676</v>
      </c>
      <c r="D352">
        <v>3181</v>
      </c>
      <c r="E352" s="1">
        <v>45788</v>
      </c>
      <c r="F352" s="1">
        <v>45791</v>
      </c>
      <c r="G352">
        <v>23460</v>
      </c>
      <c r="H352" t="s">
        <v>25</v>
      </c>
    </row>
    <row r="353" spans="1:8" x14ac:dyDescent="0.25">
      <c r="A353">
        <v>100362</v>
      </c>
      <c r="B353">
        <v>363</v>
      </c>
      <c r="C353">
        <v>147</v>
      </c>
      <c r="D353">
        <v>3120</v>
      </c>
      <c r="E353" s="1">
        <v>45669</v>
      </c>
      <c r="F353" s="1">
        <v>45676</v>
      </c>
      <c r="G353">
        <v>31241</v>
      </c>
      <c r="H353" t="s">
        <v>25</v>
      </c>
    </row>
    <row r="354" spans="1:8" x14ac:dyDescent="0.25">
      <c r="A354">
        <v>100363</v>
      </c>
      <c r="B354">
        <v>430</v>
      </c>
      <c r="C354">
        <v>1424</v>
      </c>
      <c r="D354">
        <v>3213</v>
      </c>
      <c r="E354" s="1">
        <v>45766</v>
      </c>
      <c r="F354" s="1">
        <v>45806</v>
      </c>
      <c r="G354">
        <v>229704</v>
      </c>
      <c r="H354" t="s">
        <v>25</v>
      </c>
    </row>
    <row r="355" spans="1:8" x14ac:dyDescent="0.25">
      <c r="A355">
        <v>100364</v>
      </c>
      <c r="B355">
        <v>268</v>
      </c>
      <c r="C355">
        <v>568</v>
      </c>
      <c r="D355">
        <v>3430</v>
      </c>
      <c r="E355" s="1">
        <v>45637</v>
      </c>
      <c r="F355" s="1">
        <v>45644</v>
      </c>
      <c r="G355">
        <v>28581</v>
      </c>
      <c r="H355" t="s">
        <v>25</v>
      </c>
    </row>
    <row r="356" spans="1:8" x14ac:dyDescent="0.25">
      <c r="A356">
        <v>100365</v>
      </c>
      <c r="B356">
        <v>432</v>
      </c>
      <c r="C356">
        <v>235</v>
      </c>
      <c r="D356">
        <v>3157</v>
      </c>
      <c r="E356" s="1">
        <v>45766</v>
      </c>
      <c r="F356" s="1">
        <v>45768</v>
      </c>
      <c r="G356">
        <v>19317</v>
      </c>
      <c r="H356" t="s">
        <v>25</v>
      </c>
    </row>
    <row r="357" spans="1:8" x14ac:dyDescent="0.25">
      <c r="A357">
        <v>100366</v>
      </c>
      <c r="B357">
        <v>348</v>
      </c>
      <c r="C357">
        <v>857</v>
      </c>
      <c r="D357">
        <v>3145</v>
      </c>
      <c r="E357" s="1">
        <v>45620</v>
      </c>
      <c r="F357" s="1">
        <v>45625</v>
      </c>
      <c r="G357">
        <v>46827</v>
      </c>
      <c r="H357" t="s">
        <v>25</v>
      </c>
    </row>
    <row r="358" spans="1:8" x14ac:dyDescent="0.25">
      <c r="A358">
        <v>100367</v>
      </c>
      <c r="B358">
        <v>196</v>
      </c>
      <c r="C358">
        <v>635</v>
      </c>
      <c r="D358">
        <v>3088</v>
      </c>
      <c r="E358" s="1">
        <v>45747</v>
      </c>
      <c r="F358" s="1">
        <v>45752</v>
      </c>
      <c r="G358">
        <v>50306</v>
      </c>
      <c r="H358" t="s">
        <v>25</v>
      </c>
    </row>
    <row r="359" spans="1:8" x14ac:dyDescent="0.25">
      <c r="A359">
        <v>100368</v>
      </c>
      <c r="B359">
        <v>358</v>
      </c>
      <c r="C359">
        <v>732</v>
      </c>
      <c r="D359">
        <v>3484</v>
      </c>
      <c r="E359" s="1">
        <v>45645</v>
      </c>
      <c r="F359" s="1">
        <v>45648</v>
      </c>
      <c r="G359">
        <v>21511</v>
      </c>
      <c r="H359" t="s">
        <v>25</v>
      </c>
    </row>
    <row r="360" spans="1:8" x14ac:dyDescent="0.25">
      <c r="A360">
        <v>100369</v>
      </c>
      <c r="B360">
        <v>121</v>
      </c>
      <c r="C360">
        <v>545</v>
      </c>
      <c r="D360">
        <v>3124</v>
      </c>
      <c r="E360" s="1">
        <v>45738</v>
      </c>
      <c r="F360" s="1">
        <v>45741</v>
      </c>
      <c r="G360">
        <v>37877</v>
      </c>
      <c r="H360" t="s">
        <v>25</v>
      </c>
    </row>
    <row r="361" spans="1:8" x14ac:dyDescent="0.25">
      <c r="A361">
        <v>100370</v>
      </c>
      <c r="B361">
        <v>71</v>
      </c>
      <c r="C361">
        <v>1112</v>
      </c>
      <c r="D361">
        <v>3337</v>
      </c>
      <c r="E361" s="1">
        <v>45606</v>
      </c>
      <c r="F361" s="1">
        <v>45610</v>
      </c>
      <c r="G361">
        <v>32892</v>
      </c>
      <c r="H361" t="s">
        <v>25</v>
      </c>
    </row>
    <row r="362" spans="1:8" x14ac:dyDescent="0.25">
      <c r="A362">
        <v>100371</v>
      </c>
      <c r="B362">
        <v>457</v>
      </c>
      <c r="C362">
        <v>317</v>
      </c>
      <c r="D362">
        <v>3025</v>
      </c>
      <c r="E362" s="1">
        <v>45734</v>
      </c>
      <c r="F362" s="1">
        <v>45735</v>
      </c>
      <c r="G362">
        <v>15610</v>
      </c>
      <c r="H362" t="s">
        <v>25</v>
      </c>
    </row>
    <row r="363" spans="1:8" x14ac:dyDescent="0.25">
      <c r="A363">
        <v>100372</v>
      </c>
      <c r="B363">
        <v>128</v>
      </c>
      <c r="C363">
        <v>1248</v>
      </c>
      <c r="D363">
        <v>3166</v>
      </c>
      <c r="E363" s="1">
        <v>45624</v>
      </c>
      <c r="F363" s="1">
        <v>45632</v>
      </c>
      <c r="G363">
        <v>69227</v>
      </c>
      <c r="H363" t="s">
        <v>25</v>
      </c>
    </row>
    <row r="364" spans="1:8" x14ac:dyDescent="0.25">
      <c r="A364">
        <v>100373</v>
      </c>
      <c r="B364">
        <v>43</v>
      </c>
      <c r="C364">
        <v>330</v>
      </c>
      <c r="D364">
        <v>3336</v>
      </c>
      <c r="E364" s="1">
        <v>45681</v>
      </c>
      <c r="F364" s="1">
        <v>45683</v>
      </c>
      <c r="G364">
        <v>19149</v>
      </c>
      <c r="H364" t="s">
        <v>25</v>
      </c>
    </row>
    <row r="365" spans="1:8" x14ac:dyDescent="0.25">
      <c r="A365">
        <v>100374</v>
      </c>
      <c r="B365">
        <v>184</v>
      </c>
      <c r="C365">
        <v>606</v>
      </c>
      <c r="D365">
        <v>3165</v>
      </c>
      <c r="E365" s="1">
        <v>45786</v>
      </c>
      <c r="F365" s="1">
        <v>45796</v>
      </c>
      <c r="G365">
        <v>50311</v>
      </c>
      <c r="H365" t="s">
        <v>25</v>
      </c>
    </row>
    <row r="366" spans="1:8" x14ac:dyDescent="0.25">
      <c r="A366">
        <v>100375</v>
      </c>
      <c r="B366">
        <v>184</v>
      </c>
      <c r="C366">
        <v>510</v>
      </c>
      <c r="D366">
        <v>3405</v>
      </c>
      <c r="E366" s="1">
        <v>45676</v>
      </c>
      <c r="F366" s="1">
        <v>45683</v>
      </c>
      <c r="G366">
        <v>59348</v>
      </c>
      <c r="H366" t="s">
        <v>17</v>
      </c>
    </row>
    <row r="367" spans="1:8" x14ac:dyDescent="0.25">
      <c r="A367">
        <v>100376</v>
      </c>
      <c r="B367">
        <v>48</v>
      </c>
      <c r="C367">
        <v>1402</v>
      </c>
      <c r="D367">
        <v>3409</v>
      </c>
      <c r="E367" s="1">
        <v>45684</v>
      </c>
      <c r="F367" s="1">
        <v>45689</v>
      </c>
      <c r="G367">
        <v>42618</v>
      </c>
      <c r="H367" t="s">
        <v>25</v>
      </c>
    </row>
    <row r="368" spans="1:8" x14ac:dyDescent="0.25">
      <c r="A368">
        <v>100377</v>
      </c>
      <c r="B368">
        <v>284</v>
      </c>
      <c r="C368">
        <v>1383</v>
      </c>
      <c r="D368">
        <v>3254</v>
      </c>
      <c r="E368" s="1">
        <v>45654</v>
      </c>
      <c r="F368" s="1">
        <v>45674</v>
      </c>
      <c r="G368">
        <v>116459</v>
      </c>
      <c r="H368" t="s">
        <v>10</v>
      </c>
    </row>
    <row r="369" spans="1:8" x14ac:dyDescent="0.25">
      <c r="A369">
        <v>100378</v>
      </c>
      <c r="B369">
        <v>40</v>
      </c>
      <c r="C369">
        <v>1136</v>
      </c>
      <c r="D369">
        <v>3439</v>
      </c>
      <c r="E369" s="1">
        <v>45731</v>
      </c>
      <c r="F369" s="1">
        <v>45734</v>
      </c>
      <c r="G369">
        <v>24760</v>
      </c>
      <c r="H369" t="s">
        <v>17</v>
      </c>
    </row>
    <row r="370" spans="1:8" x14ac:dyDescent="0.25">
      <c r="A370">
        <v>100379</v>
      </c>
      <c r="B370">
        <v>313</v>
      </c>
      <c r="C370">
        <v>615</v>
      </c>
      <c r="D370">
        <v>3030</v>
      </c>
      <c r="E370" s="1">
        <v>45673</v>
      </c>
      <c r="F370" s="1">
        <v>45676</v>
      </c>
      <c r="G370">
        <v>25792</v>
      </c>
      <c r="H370" t="s">
        <v>14</v>
      </c>
    </row>
    <row r="371" spans="1:8" x14ac:dyDescent="0.25">
      <c r="A371">
        <v>100380</v>
      </c>
      <c r="B371">
        <v>468</v>
      </c>
      <c r="C371">
        <v>137</v>
      </c>
      <c r="D371">
        <v>3360</v>
      </c>
      <c r="E371" s="1">
        <v>45787</v>
      </c>
      <c r="F371" s="1">
        <v>45795</v>
      </c>
      <c r="G371">
        <v>37684</v>
      </c>
      <c r="H371" t="s">
        <v>14</v>
      </c>
    </row>
    <row r="372" spans="1:8" x14ac:dyDescent="0.25">
      <c r="A372">
        <v>100381</v>
      </c>
      <c r="B372">
        <v>26</v>
      </c>
      <c r="C372">
        <v>1168</v>
      </c>
      <c r="D372">
        <v>3124</v>
      </c>
      <c r="E372" s="1">
        <v>45627</v>
      </c>
      <c r="F372" s="1">
        <v>45634</v>
      </c>
      <c r="G372">
        <v>33379</v>
      </c>
      <c r="H372" t="s">
        <v>17</v>
      </c>
    </row>
    <row r="373" spans="1:8" x14ac:dyDescent="0.25">
      <c r="A373">
        <v>100382</v>
      </c>
      <c r="B373">
        <v>199</v>
      </c>
      <c r="C373">
        <v>770</v>
      </c>
      <c r="D373">
        <v>3454</v>
      </c>
      <c r="E373" s="1">
        <v>45746</v>
      </c>
      <c r="F373" s="1">
        <v>45748</v>
      </c>
      <c r="G373">
        <v>11065</v>
      </c>
      <c r="H373" t="s">
        <v>14</v>
      </c>
    </row>
    <row r="374" spans="1:8" x14ac:dyDescent="0.25">
      <c r="A374">
        <v>100383</v>
      </c>
      <c r="B374">
        <v>206</v>
      </c>
      <c r="C374">
        <v>552</v>
      </c>
      <c r="D374">
        <v>3245</v>
      </c>
      <c r="E374" s="1">
        <v>45711</v>
      </c>
      <c r="F374" s="1">
        <v>45713</v>
      </c>
      <c r="G374">
        <v>16885</v>
      </c>
      <c r="H374" t="s">
        <v>25</v>
      </c>
    </row>
    <row r="375" spans="1:8" x14ac:dyDescent="0.25">
      <c r="A375">
        <v>100384</v>
      </c>
      <c r="B375">
        <v>439</v>
      </c>
      <c r="C375">
        <v>366</v>
      </c>
      <c r="D375">
        <v>3219</v>
      </c>
      <c r="E375" s="1">
        <v>45736</v>
      </c>
      <c r="F375" s="1">
        <v>45740</v>
      </c>
      <c r="G375">
        <v>28308</v>
      </c>
      <c r="H375" t="s">
        <v>14</v>
      </c>
    </row>
    <row r="376" spans="1:8" x14ac:dyDescent="0.25">
      <c r="A376">
        <v>100385</v>
      </c>
      <c r="B376">
        <v>66</v>
      </c>
      <c r="C376">
        <v>1491</v>
      </c>
      <c r="D376">
        <v>3304</v>
      </c>
      <c r="E376" s="1">
        <v>45672</v>
      </c>
      <c r="F376" s="1">
        <v>45681</v>
      </c>
      <c r="G376">
        <v>35490</v>
      </c>
      <c r="H376" t="s">
        <v>25</v>
      </c>
    </row>
    <row r="377" spans="1:8" x14ac:dyDescent="0.25">
      <c r="A377">
        <v>100386</v>
      </c>
      <c r="B377">
        <v>393</v>
      </c>
      <c r="C377">
        <v>918</v>
      </c>
      <c r="D377">
        <v>3293</v>
      </c>
      <c r="E377" s="1">
        <v>45651</v>
      </c>
      <c r="F377" s="1">
        <v>45654</v>
      </c>
      <c r="G377">
        <v>27655</v>
      </c>
      <c r="H377" t="s">
        <v>25</v>
      </c>
    </row>
    <row r="378" spans="1:8" x14ac:dyDescent="0.25">
      <c r="A378">
        <v>100387</v>
      </c>
      <c r="B378">
        <v>278</v>
      </c>
      <c r="C378">
        <v>1451</v>
      </c>
      <c r="D378">
        <v>3414</v>
      </c>
      <c r="E378" s="1">
        <v>45763</v>
      </c>
      <c r="F378" s="1">
        <v>45776</v>
      </c>
      <c r="G378">
        <v>91794</v>
      </c>
      <c r="H378" t="s">
        <v>25</v>
      </c>
    </row>
    <row r="379" spans="1:8" x14ac:dyDescent="0.25">
      <c r="A379">
        <v>100388</v>
      </c>
      <c r="B379">
        <v>1</v>
      </c>
      <c r="C379">
        <v>1579</v>
      </c>
      <c r="D379">
        <v>3128</v>
      </c>
      <c r="E379" s="1">
        <v>45612</v>
      </c>
      <c r="F379" s="1">
        <v>45614</v>
      </c>
      <c r="G379">
        <v>20856</v>
      </c>
      <c r="H379" t="s">
        <v>25</v>
      </c>
    </row>
    <row r="380" spans="1:8" x14ac:dyDescent="0.25">
      <c r="A380">
        <v>100389</v>
      </c>
      <c r="B380">
        <v>276</v>
      </c>
      <c r="C380">
        <v>1050</v>
      </c>
      <c r="D380">
        <v>3218</v>
      </c>
      <c r="E380" s="1">
        <v>45616</v>
      </c>
      <c r="F380" s="1">
        <v>45649</v>
      </c>
      <c r="G380">
        <v>123185</v>
      </c>
      <c r="H380" t="s">
        <v>10</v>
      </c>
    </row>
    <row r="381" spans="1:8" x14ac:dyDescent="0.25">
      <c r="A381">
        <v>100390</v>
      </c>
      <c r="B381">
        <v>232</v>
      </c>
      <c r="C381">
        <v>195</v>
      </c>
      <c r="D381">
        <v>3245</v>
      </c>
      <c r="E381" s="1">
        <v>45703</v>
      </c>
      <c r="F381" s="1">
        <v>45710</v>
      </c>
      <c r="G381">
        <v>52853</v>
      </c>
      <c r="H381" t="s">
        <v>14</v>
      </c>
    </row>
    <row r="382" spans="1:8" x14ac:dyDescent="0.25">
      <c r="A382">
        <v>100391</v>
      </c>
      <c r="B382">
        <v>384</v>
      </c>
      <c r="C382">
        <v>590</v>
      </c>
      <c r="D382">
        <v>3229</v>
      </c>
      <c r="E382" s="1">
        <v>45639</v>
      </c>
      <c r="F382" s="1">
        <v>45640</v>
      </c>
      <c r="G382">
        <v>12922</v>
      </c>
      <c r="H382" t="s">
        <v>25</v>
      </c>
    </row>
    <row r="383" spans="1:8" x14ac:dyDescent="0.25">
      <c r="A383">
        <v>100392</v>
      </c>
      <c r="B383">
        <v>148</v>
      </c>
      <c r="C383">
        <v>422</v>
      </c>
      <c r="D383">
        <v>3434</v>
      </c>
      <c r="E383" s="1">
        <v>45775</v>
      </c>
      <c r="F383" s="1">
        <v>45778</v>
      </c>
      <c r="G383">
        <v>21004</v>
      </c>
      <c r="H383" t="s">
        <v>17</v>
      </c>
    </row>
    <row r="384" spans="1:8" x14ac:dyDescent="0.25">
      <c r="A384">
        <v>100393</v>
      </c>
      <c r="B384">
        <v>461</v>
      </c>
      <c r="C384">
        <v>337</v>
      </c>
      <c r="D384">
        <v>3097</v>
      </c>
      <c r="E384" s="1">
        <v>45767</v>
      </c>
      <c r="F384" s="1">
        <v>45770</v>
      </c>
      <c r="G384">
        <v>19837</v>
      </c>
      <c r="H384" t="s">
        <v>17</v>
      </c>
    </row>
    <row r="385" spans="1:8" x14ac:dyDescent="0.25">
      <c r="A385">
        <v>100394</v>
      </c>
      <c r="B385">
        <v>311</v>
      </c>
      <c r="C385">
        <v>1125</v>
      </c>
      <c r="D385">
        <v>3303</v>
      </c>
      <c r="E385" s="1">
        <v>45627</v>
      </c>
      <c r="F385" s="1">
        <v>45635</v>
      </c>
      <c r="G385">
        <v>53866</v>
      </c>
      <c r="H385" t="s">
        <v>25</v>
      </c>
    </row>
    <row r="386" spans="1:8" x14ac:dyDescent="0.25">
      <c r="A386">
        <v>100395</v>
      </c>
      <c r="B386">
        <v>264</v>
      </c>
      <c r="C386">
        <v>940</v>
      </c>
      <c r="D386">
        <v>3335</v>
      </c>
      <c r="E386" s="1">
        <v>45703</v>
      </c>
      <c r="F386" s="1">
        <v>45704</v>
      </c>
      <c r="G386">
        <v>12627</v>
      </c>
      <c r="H386" t="s">
        <v>25</v>
      </c>
    </row>
    <row r="387" spans="1:8" x14ac:dyDescent="0.25">
      <c r="A387">
        <v>100396</v>
      </c>
      <c r="B387">
        <v>262</v>
      </c>
      <c r="C387">
        <v>1188</v>
      </c>
      <c r="D387">
        <v>3049</v>
      </c>
      <c r="E387" s="1">
        <v>45714</v>
      </c>
      <c r="F387" s="1">
        <v>45717</v>
      </c>
      <c r="G387">
        <v>20591</v>
      </c>
      <c r="H387" t="s">
        <v>25</v>
      </c>
    </row>
    <row r="388" spans="1:8" x14ac:dyDescent="0.25">
      <c r="A388">
        <v>100397</v>
      </c>
      <c r="B388">
        <v>347</v>
      </c>
      <c r="C388">
        <v>162</v>
      </c>
      <c r="D388">
        <v>3200</v>
      </c>
      <c r="E388" s="1">
        <v>45598</v>
      </c>
      <c r="F388" s="1">
        <v>45599</v>
      </c>
      <c r="G388">
        <v>11939</v>
      </c>
      <c r="H388" t="s">
        <v>17</v>
      </c>
    </row>
    <row r="389" spans="1:8" x14ac:dyDescent="0.25">
      <c r="A389">
        <v>100398</v>
      </c>
      <c r="B389">
        <v>451</v>
      </c>
      <c r="C389">
        <v>818</v>
      </c>
      <c r="D389">
        <v>3472</v>
      </c>
      <c r="E389" s="1">
        <v>45702</v>
      </c>
      <c r="F389" s="1">
        <v>45703</v>
      </c>
      <c r="G389">
        <v>14522</v>
      </c>
      <c r="H389" t="s">
        <v>10</v>
      </c>
    </row>
    <row r="390" spans="1:8" x14ac:dyDescent="0.25">
      <c r="A390">
        <v>100399</v>
      </c>
      <c r="B390">
        <v>47</v>
      </c>
      <c r="C390">
        <v>404</v>
      </c>
      <c r="D390">
        <v>3356</v>
      </c>
      <c r="E390" s="1">
        <v>45599</v>
      </c>
      <c r="F390" s="1">
        <v>45620</v>
      </c>
      <c r="G390">
        <v>61131</v>
      </c>
      <c r="H390" t="s">
        <v>25</v>
      </c>
    </row>
    <row r="391" spans="1:8" x14ac:dyDescent="0.25">
      <c r="A391">
        <v>100400</v>
      </c>
      <c r="B391">
        <v>177</v>
      </c>
      <c r="C391">
        <v>549</v>
      </c>
      <c r="D391">
        <v>3134</v>
      </c>
      <c r="E391" s="1">
        <v>45621</v>
      </c>
      <c r="F391" s="1">
        <v>45629</v>
      </c>
      <c r="G391">
        <v>36911</v>
      </c>
      <c r="H391" t="s">
        <v>25</v>
      </c>
    </row>
    <row r="392" spans="1:8" x14ac:dyDescent="0.25">
      <c r="A392">
        <v>100401</v>
      </c>
      <c r="B392">
        <v>112</v>
      </c>
      <c r="C392">
        <v>1106</v>
      </c>
      <c r="D392">
        <v>3119</v>
      </c>
      <c r="E392" s="1">
        <v>45682</v>
      </c>
      <c r="F392" s="1">
        <v>45687</v>
      </c>
      <c r="G392">
        <v>41941</v>
      </c>
      <c r="H392" t="s">
        <v>25</v>
      </c>
    </row>
    <row r="393" spans="1:8" x14ac:dyDescent="0.25">
      <c r="A393">
        <v>100402</v>
      </c>
      <c r="B393">
        <v>42</v>
      </c>
      <c r="C393">
        <v>760</v>
      </c>
      <c r="D393">
        <v>3405</v>
      </c>
      <c r="E393" s="1">
        <v>45771</v>
      </c>
      <c r="F393" s="1">
        <v>45774</v>
      </c>
      <c r="G393">
        <v>25220</v>
      </c>
      <c r="H393" t="s">
        <v>10</v>
      </c>
    </row>
    <row r="394" spans="1:8" x14ac:dyDescent="0.25">
      <c r="A394">
        <v>100403</v>
      </c>
      <c r="B394">
        <v>43</v>
      </c>
      <c r="C394">
        <v>121</v>
      </c>
      <c r="D394">
        <v>3298</v>
      </c>
      <c r="E394" s="1">
        <v>45602</v>
      </c>
      <c r="F394" s="1">
        <v>45604</v>
      </c>
      <c r="G394">
        <v>25142</v>
      </c>
      <c r="H394" t="s">
        <v>25</v>
      </c>
    </row>
    <row r="395" spans="1:8" x14ac:dyDescent="0.25">
      <c r="A395">
        <v>100404</v>
      </c>
      <c r="B395">
        <v>247</v>
      </c>
      <c r="C395">
        <v>1427</v>
      </c>
      <c r="D395">
        <v>3047</v>
      </c>
      <c r="E395" s="1">
        <v>45747</v>
      </c>
      <c r="F395" s="1">
        <v>45755</v>
      </c>
      <c r="G395">
        <v>52957</v>
      </c>
      <c r="H395" t="s">
        <v>25</v>
      </c>
    </row>
    <row r="396" spans="1:8" x14ac:dyDescent="0.25">
      <c r="A396">
        <v>100405</v>
      </c>
      <c r="B396">
        <v>440</v>
      </c>
      <c r="C396">
        <v>745</v>
      </c>
      <c r="D396">
        <v>3106</v>
      </c>
      <c r="E396" s="1">
        <v>45645</v>
      </c>
      <c r="F396" s="1">
        <v>45649</v>
      </c>
      <c r="G396">
        <v>31553</v>
      </c>
      <c r="H396" t="s">
        <v>25</v>
      </c>
    </row>
    <row r="397" spans="1:8" x14ac:dyDescent="0.25">
      <c r="A397">
        <v>100406</v>
      </c>
      <c r="B397">
        <v>299</v>
      </c>
      <c r="C397">
        <v>616</v>
      </c>
      <c r="D397">
        <v>3043</v>
      </c>
      <c r="E397" s="1">
        <v>45707</v>
      </c>
      <c r="F397" s="1">
        <v>45710</v>
      </c>
      <c r="G397">
        <v>13458</v>
      </c>
      <c r="H397" t="s">
        <v>25</v>
      </c>
    </row>
    <row r="398" spans="1:8" x14ac:dyDescent="0.25">
      <c r="A398">
        <v>100407</v>
      </c>
      <c r="B398">
        <v>95</v>
      </c>
      <c r="C398">
        <v>795</v>
      </c>
      <c r="D398">
        <v>3056</v>
      </c>
      <c r="E398" s="1">
        <v>45637</v>
      </c>
      <c r="F398" s="1">
        <v>45654</v>
      </c>
      <c r="G398">
        <v>114129</v>
      </c>
      <c r="H398" t="s">
        <v>25</v>
      </c>
    </row>
    <row r="399" spans="1:8" x14ac:dyDescent="0.25">
      <c r="A399">
        <v>100408</v>
      </c>
      <c r="B399">
        <v>159</v>
      </c>
      <c r="C399">
        <v>1584</v>
      </c>
      <c r="D399">
        <v>3491</v>
      </c>
      <c r="E399" s="1">
        <v>45729</v>
      </c>
      <c r="F399" s="1">
        <v>45734</v>
      </c>
      <c r="G399">
        <v>27944</v>
      </c>
      <c r="H399" t="s">
        <v>25</v>
      </c>
    </row>
    <row r="400" spans="1:8" x14ac:dyDescent="0.25">
      <c r="A400">
        <v>100409</v>
      </c>
      <c r="B400">
        <v>70</v>
      </c>
      <c r="C400">
        <v>1268</v>
      </c>
      <c r="D400">
        <v>3189</v>
      </c>
      <c r="E400" s="1">
        <v>45727</v>
      </c>
      <c r="F400" s="1">
        <v>45728</v>
      </c>
      <c r="G400">
        <v>16343</v>
      </c>
      <c r="H400" t="s">
        <v>14</v>
      </c>
    </row>
    <row r="401" spans="1:8" x14ac:dyDescent="0.25">
      <c r="A401">
        <v>100410</v>
      </c>
      <c r="B401">
        <v>154</v>
      </c>
      <c r="C401">
        <v>841</v>
      </c>
      <c r="D401">
        <v>3394</v>
      </c>
      <c r="E401" s="1">
        <v>45737</v>
      </c>
      <c r="F401" s="1">
        <v>45741</v>
      </c>
      <c r="G401">
        <v>33612</v>
      </c>
      <c r="H401" t="s">
        <v>25</v>
      </c>
    </row>
    <row r="402" spans="1:8" x14ac:dyDescent="0.25">
      <c r="A402">
        <v>100411</v>
      </c>
      <c r="B402">
        <v>203</v>
      </c>
      <c r="C402">
        <v>102</v>
      </c>
      <c r="D402">
        <v>3182</v>
      </c>
      <c r="E402" s="1">
        <v>45718</v>
      </c>
      <c r="F402" s="1">
        <v>45720</v>
      </c>
      <c r="G402">
        <v>21475</v>
      </c>
      <c r="H402" t="s">
        <v>25</v>
      </c>
    </row>
    <row r="403" spans="1:8" x14ac:dyDescent="0.25">
      <c r="A403">
        <v>100412</v>
      </c>
      <c r="B403">
        <v>452</v>
      </c>
      <c r="C403">
        <v>720</v>
      </c>
      <c r="D403">
        <v>3139</v>
      </c>
      <c r="E403" s="1">
        <v>45800</v>
      </c>
      <c r="F403" s="1">
        <v>45808</v>
      </c>
      <c r="G403">
        <v>56271</v>
      </c>
      <c r="H403" t="s">
        <v>25</v>
      </c>
    </row>
    <row r="404" spans="1:8" x14ac:dyDescent="0.25">
      <c r="A404">
        <v>100413</v>
      </c>
      <c r="B404">
        <v>344</v>
      </c>
      <c r="C404">
        <v>985</v>
      </c>
      <c r="D404">
        <v>3216</v>
      </c>
      <c r="E404" s="1">
        <v>45774</v>
      </c>
      <c r="F404" s="1">
        <v>45808</v>
      </c>
      <c r="G404">
        <v>239359</v>
      </c>
      <c r="H404" t="s">
        <v>10</v>
      </c>
    </row>
    <row r="405" spans="1:8" x14ac:dyDescent="0.25">
      <c r="A405">
        <v>100414</v>
      </c>
      <c r="B405">
        <v>25</v>
      </c>
      <c r="C405">
        <v>1211</v>
      </c>
      <c r="D405">
        <v>3117</v>
      </c>
      <c r="E405" s="1">
        <v>45601</v>
      </c>
      <c r="F405" s="1">
        <v>45606</v>
      </c>
      <c r="G405">
        <v>38404</v>
      </c>
      <c r="H405" t="s">
        <v>25</v>
      </c>
    </row>
    <row r="406" spans="1:8" x14ac:dyDescent="0.25">
      <c r="A406">
        <v>100415</v>
      </c>
      <c r="B406">
        <v>374</v>
      </c>
      <c r="C406">
        <v>420</v>
      </c>
      <c r="D406">
        <v>3398</v>
      </c>
      <c r="E406" s="1">
        <v>45598</v>
      </c>
      <c r="F406" s="1">
        <v>45602</v>
      </c>
      <c r="G406">
        <v>40195</v>
      </c>
      <c r="H406" t="s">
        <v>25</v>
      </c>
    </row>
    <row r="407" spans="1:8" x14ac:dyDescent="0.25">
      <c r="A407">
        <v>100416</v>
      </c>
      <c r="B407">
        <v>253</v>
      </c>
      <c r="C407">
        <v>554</v>
      </c>
      <c r="D407">
        <v>3350</v>
      </c>
      <c r="E407" s="1">
        <v>45691</v>
      </c>
      <c r="F407" s="1">
        <v>45696</v>
      </c>
      <c r="G407">
        <v>37763</v>
      </c>
      <c r="H407" t="s">
        <v>25</v>
      </c>
    </row>
    <row r="408" spans="1:8" x14ac:dyDescent="0.25">
      <c r="A408">
        <v>100417</v>
      </c>
      <c r="B408">
        <v>375</v>
      </c>
      <c r="C408">
        <v>176</v>
      </c>
      <c r="D408">
        <v>3457</v>
      </c>
      <c r="E408" s="1">
        <v>45608</v>
      </c>
      <c r="F408" s="1">
        <v>45611</v>
      </c>
      <c r="G408">
        <v>23134</v>
      </c>
      <c r="H408" t="s">
        <v>25</v>
      </c>
    </row>
    <row r="409" spans="1:8" x14ac:dyDescent="0.25">
      <c r="A409">
        <v>100418</v>
      </c>
      <c r="B409">
        <v>419</v>
      </c>
      <c r="C409">
        <v>640</v>
      </c>
      <c r="D409">
        <v>3308</v>
      </c>
      <c r="E409" s="1">
        <v>45659</v>
      </c>
      <c r="F409" s="1">
        <v>45665</v>
      </c>
      <c r="G409">
        <v>44121</v>
      </c>
      <c r="H409" t="s">
        <v>25</v>
      </c>
    </row>
    <row r="410" spans="1:8" x14ac:dyDescent="0.25">
      <c r="A410">
        <v>100419</v>
      </c>
      <c r="B410">
        <v>298</v>
      </c>
      <c r="C410">
        <v>1238</v>
      </c>
      <c r="D410">
        <v>3303</v>
      </c>
      <c r="E410" s="1">
        <v>45732</v>
      </c>
      <c r="F410" s="1">
        <v>45737</v>
      </c>
      <c r="G410">
        <v>45191</v>
      </c>
      <c r="H410" t="s">
        <v>25</v>
      </c>
    </row>
    <row r="411" spans="1:8" x14ac:dyDescent="0.25">
      <c r="A411">
        <v>100420</v>
      </c>
      <c r="B411">
        <v>298</v>
      </c>
      <c r="C411">
        <v>1481</v>
      </c>
      <c r="D411">
        <v>3087</v>
      </c>
      <c r="E411" s="1">
        <v>45761</v>
      </c>
      <c r="F411" s="1">
        <v>45763</v>
      </c>
      <c r="G411">
        <v>16352</v>
      </c>
      <c r="H411" t="s">
        <v>25</v>
      </c>
    </row>
    <row r="412" spans="1:8" x14ac:dyDescent="0.25">
      <c r="A412">
        <v>100421</v>
      </c>
      <c r="B412">
        <v>348</v>
      </c>
      <c r="C412">
        <v>582</v>
      </c>
      <c r="D412">
        <v>3113</v>
      </c>
      <c r="E412" s="1">
        <v>45657</v>
      </c>
      <c r="F412" s="1">
        <v>45660</v>
      </c>
      <c r="G412">
        <v>29129</v>
      </c>
      <c r="H412" t="s">
        <v>25</v>
      </c>
    </row>
    <row r="413" spans="1:8" x14ac:dyDescent="0.25">
      <c r="A413">
        <v>100422</v>
      </c>
      <c r="B413">
        <v>9</v>
      </c>
      <c r="C413">
        <v>1357</v>
      </c>
      <c r="D413">
        <v>3248</v>
      </c>
      <c r="E413" s="1">
        <v>45658</v>
      </c>
      <c r="F413" s="1">
        <v>45663</v>
      </c>
      <c r="G413">
        <v>23557</v>
      </c>
      <c r="H413" t="s">
        <v>10</v>
      </c>
    </row>
    <row r="414" spans="1:8" x14ac:dyDescent="0.25">
      <c r="A414">
        <v>100423</v>
      </c>
      <c r="B414">
        <v>142</v>
      </c>
      <c r="C414">
        <v>181</v>
      </c>
      <c r="D414">
        <v>3071</v>
      </c>
      <c r="E414" s="1">
        <v>45740</v>
      </c>
      <c r="F414" s="1">
        <v>45742</v>
      </c>
      <c r="G414">
        <v>13008</v>
      </c>
      <c r="H414" t="s">
        <v>25</v>
      </c>
    </row>
    <row r="415" spans="1:8" x14ac:dyDescent="0.25">
      <c r="A415">
        <v>100424</v>
      </c>
      <c r="B415">
        <v>187</v>
      </c>
      <c r="C415">
        <v>1455</v>
      </c>
      <c r="D415">
        <v>3304</v>
      </c>
      <c r="E415" s="1">
        <v>45665</v>
      </c>
      <c r="F415" s="1">
        <v>45669</v>
      </c>
      <c r="G415">
        <v>27024</v>
      </c>
      <c r="H415" t="s">
        <v>25</v>
      </c>
    </row>
    <row r="416" spans="1:8" x14ac:dyDescent="0.25">
      <c r="A416">
        <v>100425</v>
      </c>
      <c r="B416">
        <v>238</v>
      </c>
      <c r="C416">
        <v>1546</v>
      </c>
      <c r="D416">
        <v>3106</v>
      </c>
      <c r="E416" s="1">
        <v>45771</v>
      </c>
      <c r="F416" s="1">
        <v>45773</v>
      </c>
      <c r="G416">
        <v>27004</v>
      </c>
      <c r="H416" t="s">
        <v>14</v>
      </c>
    </row>
    <row r="417" spans="1:8" x14ac:dyDescent="0.25">
      <c r="A417">
        <v>100426</v>
      </c>
      <c r="B417">
        <v>357</v>
      </c>
      <c r="C417">
        <v>769</v>
      </c>
      <c r="D417">
        <v>3312</v>
      </c>
      <c r="E417" s="1">
        <v>45732</v>
      </c>
      <c r="F417" s="1">
        <v>45734</v>
      </c>
      <c r="G417">
        <v>19408</v>
      </c>
      <c r="H417" t="s">
        <v>25</v>
      </c>
    </row>
    <row r="418" spans="1:8" x14ac:dyDescent="0.25">
      <c r="A418">
        <v>100427</v>
      </c>
      <c r="B418">
        <v>217</v>
      </c>
      <c r="C418">
        <v>954</v>
      </c>
      <c r="D418">
        <v>3367</v>
      </c>
      <c r="E418" s="1">
        <v>45747</v>
      </c>
      <c r="F418" s="1">
        <v>45749</v>
      </c>
      <c r="G418">
        <v>12888</v>
      </c>
      <c r="H418" t="s">
        <v>14</v>
      </c>
    </row>
    <row r="419" spans="1:8" x14ac:dyDescent="0.25">
      <c r="A419">
        <v>100428</v>
      </c>
      <c r="B419">
        <v>6</v>
      </c>
      <c r="C419">
        <v>729</v>
      </c>
      <c r="D419">
        <v>3231</v>
      </c>
      <c r="E419" s="1">
        <v>45801</v>
      </c>
      <c r="F419" s="1">
        <v>45803</v>
      </c>
      <c r="G419">
        <v>19847</v>
      </c>
      <c r="H419" t="s">
        <v>25</v>
      </c>
    </row>
    <row r="420" spans="1:8" x14ac:dyDescent="0.25">
      <c r="A420">
        <v>100429</v>
      </c>
      <c r="B420">
        <v>3</v>
      </c>
      <c r="C420">
        <v>1240</v>
      </c>
      <c r="D420">
        <v>3237</v>
      </c>
      <c r="E420" s="1">
        <v>45691</v>
      </c>
      <c r="F420" s="1">
        <v>45701</v>
      </c>
      <c r="G420">
        <v>42405</v>
      </c>
      <c r="H420" t="s">
        <v>14</v>
      </c>
    </row>
    <row r="421" spans="1:8" x14ac:dyDescent="0.25">
      <c r="A421">
        <v>100430</v>
      </c>
      <c r="B421">
        <v>89</v>
      </c>
      <c r="C421">
        <v>1000</v>
      </c>
      <c r="D421">
        <v>3459</v>
      </c>
      <c r="E421" s="1">
        <v>45621</v>
      </c>
      <c r="F421" s="1">
        <v>45624</v>
      </c>
      <c r="G421">
        <v>31207</v>
      </c>
      <c r="H421" t="s">
        <v>14</v>
      </c>
    </row>
    <row r="422" spans="1:8" x14ac:dyDescent="0.25">
      <c r="A422">
        <v>100431</v>
      </c>
      <c r="B422">
        <v>78</v>
      </c>
      <c r="C422">
        <v>789</v>
      </c>
      <c r="D422">
        <v>3324</v>
      </c>
      <c r="E422" s="1">
        <v>45650</v>
      </c>
      <c r="F422" s="1">
        <v>45652</v>
      </c>
      <c r="G422">
        <v>20946</v>
      </c>
      <c r="H422" t="s">
        <v>25</v>
      </c>
    </row>
    <row r="423" spans="1:8" x14ac:dyDescent="0.25">
      <c r="A423">
        <v>100432</v>
      </c>
      <c r="B423">
        <v>437</v>
      </c>
      <c r="C423">
        <v>116</v>
      </c>
      <c r="D423">
        <v>3081</v>
      </c>
      <c r="E423" s="1">
        <v>45692</v>
      </c>
      <c r="F423" s="1">
        <v>45695</v>
      </c>
      <c r="G423">
        <v>30333</v>
      </c>
      <c r="H423" t="s">
        <v>10</v>
      </c>
    </row>
    <row r="424" spans="1:8" x14ac:dyDescent="0.25">
      <c r="A424">
        <v>100433</v>
      </c>
      <c r="B424">
        <v>8</v>
      </c>
      <c r="C424">
        <v>1117</v>
      </c>
      <c r="D424">
        <v>3430</v>
      </c>
      <c r="E424" s="1">
        <v>45772</v>
      </c>
      <c r="F424" s="1">
        <v>45782</v>
      </c>
      <c r="G424">
        <v>56818</v>
      </c>
      <c r="H424" t="s">
        <v>17</v>
      </c>
    </row>
    <row r="425" spans="1:8" x14ac:dyDescent="0.25">
      <c r="A425">
        <v>100434</v>
      </c>
      <c r="B425">
        <v>263</v>
      </c>
      <c r="C425">
        <v>967</v>
      </c>
      <c r="D425">
        <v>3411</v>
      </c>
      <c r="E425" s="1">
        <v>45649</v>
      </c>
      <c r="F425" s="1">
        <v>45651</v>
      </c>
      <c r="G425">
        <v>23648</v>
      </c>
      <c r="H425" t="s">
        <v>14</v>
      </c>
    </row>
    <row r="426" spans="1:8" x14ac:dyDescent="0.25">
      <c r="A426">
        <v>100435</v>
      </c>
      <c r="B426">
        <v>74</v>
      </c>
      <c r="C426">
        <v>1205</v>
      </c>
      <c r="D426">
        <v>3068</v>
      </c>
      <c r="E426" s="1">
        <v>45630</v>
      </c>
      <c r="F426" s="1">
        <v>45632</v>
      </c>
      <c r="G426">
        <v>15029</v>
      </c>
      <c r="H426" t="s">
        <v>25</v>
      </c>
    </row>
    <row r="427" spans="1:8" x14ac:dyDescent="0.25">
      <c r="A427">
        <v>100436</v>
      </c>
      <c r="B427">
        <v>62</v>
      </c>
      <c r="C427">
        <v>1005</v>
      </c>
      <c r="D427">
        <v>3130</v>
      </c>
      <c r="E427" s="1">
        <v>45663</v>
      </c>
      <c r="F427" s="1">
        <v>45667</v>
      </c>
      <c r="G427">
        <v>30984</v>
      </c>
      <c r="H427" t="s">
        <v>14</v>
      </c>
    </row>
    <row r="428" spans="1:8" x14ac:dyDescent="0.25">
      <c r="A428">
        <v>100437</v>
      </c>
      <c r="B428">
        <v>29</v>
      </c>
      <c r="C428">
        <v>587</v>
      </c>
      <c r="D428">
        <v>3429</v>
      </c>
      <c r="E428" s="1">
        <v>45604</v>
      </c>
      <c r="F428" s="1">
        <v>45610</v>
      </c>
      <c r="G428">
        <v>25365</v>
      </c>
      <c r="H428" t="s">
        <v>25</v>
      </c>
    </row>
    <row r="429" spans="1:8" x14ac:dyDescent="0.25">
      <c r="A429">
        <v>100438</v>
      </c>
      <c r="B429">
        <v>269</v>
      </c>
      <c r="C429">
        <v>753</v>
      </c>
      <c r="D429">
        <v>3499</v>
      </c>
      <c r="E429" s="1">
        <v>45626</v>
      </c>
      <c r="F429" s="1">
        <v>45627</v>
      </c>
      <c r="G429">
        <v>17233</v>
      </c>
      <c r="H429" t="s">
        <v>10</v>
      </c>
    </row>
    <row r="430" spans="1:8" x14ac:dyDescent="0.25">
      <c r="A430">
        <v>100439</v>
      </c>
      <c r="B430">
        <v>459</v>
      </c>
      <c r="C430">
        <v>1045</v>
      </c>
      <c r="D430">
        <v>3343</v>
      </c>
      <c r="E430" s="1">
        <v>45765</v>
      </c>
      <c r="F430" s="1">
        <v>45766</v>
      </c>
      <c r="G430">
        <v>18899</v>
      </c>
      <c r="H430" t="s">
        <v>14</v>
      </c>
    </row>
    <row r="431" spans="1:8" x14ac:dyDescent="0.25">
      <c r="A431">
        <v>100440</v>
      </c>
      <c r="B431">
        <v>253</v>
      </c>
      <c r="C431">
        <v>973</v>
      </c>
      <c r="D431">
        <v>3469</v>
      </c>
      <c r="E431" s="1">
        <v>45740</v>
      </c>
      <c r="F431" s="1">
        <v>45743</v>
      </c>
      <c r="G431">
        <v>31747</v>
      </c>
      <c r="H431" t="s">
        <v>25</v>
      </c>
    </row>
    <row r="432" spans="1:8" x14ac:dyDescent="0.25">
      <c r="A432">
        <v>100441</v>
      </c>
      <c r="B432">
        <v>306</v>
      </c>
      <c r="C432">
        <v>748</v>
      </c>
      <c r="D432">
        <v>3178</v>
      </c>
      <c r="E432" s="1">
        <v>45639</v>
      </c>
      <c r="F432" s="1">
        <v>45642</v>
      </c>
      <c r="G432">
        <v>25704</v>
      </c>
      <c r="H432" t="s">
        <v>25</v>
      </c>
    </row>
    <row r="433" spans="1:8" x14ac:dyDescent="0.25">
      <c r="A433">
        <v>100442</v>
      </c>
      <c r="B433">
        <v>140</v>
      </c>
      <c r="C433">
        <v>1235</v>
      </c>
      <c r="D433">
        <v>3415</v>
      </c>
      <c r="E433" s="1">
        <v>45678</v>
      </c>
      <c r="F433" s="1">
        <v>45697</v>
      </c>
      <c r="G433">
        <v>136835</v>
      </c>
      <c r="H433" t="s">
        <v>10</v>
      </c>
    </row>
    <row r="434" spans="1:8" x14ac:dyDescent="0.25">
      <c r="A434">
        <v>100443</v>
      </c>
      <c r="B434">
        <v>139</v>
      </c>
      <c r="C434">
        <v>591</v>
      </c>
      <c r="D434">
        <v>3205</v>
      </c>
      <c r="E434" s="1">
        <v>45654</v>
      </c>
      <c r="F434" s="1">
        <v>45661</v>
      </c>
      <c r="G434">
        <v>27510</v>
      </c>
      <c r="H434" t="s">
        <v>25</v>
      </c>
    </row>
    <row r="435" spans="1:8" x14ac:dyDescent="0.25">
      <c r="A435">
        <v>100444</v>
      </c>
      <c r="B435">
        <v>237</v>
      </c>
      <c r="C435">
        <v>835</v>
      </c>
      <c r="D435">
        <v>3035</v>
      </c>
      <c r="E435" s="1">
        <v>45789</v>
      </c>
      <c r="F435" s="1">
        <v>45791</v>
      </c>
      <c r="G435">
        <v>19019</v>
      </c>
      <c r="H435" t="s">
        <v>25</v>
      </c>
    </row>
    <row r="436" spans="1:8" x14ac:dyDescent="0.25">
      <c r="A436">
        <v>100445</v>
      </c>
      <c r="B436">
        <v>366</v>
      </c>
      <c r="C436">
        <v>1035</v>
      </c>
      <c r="D436">
        <v>3251</v>
      </c>
      <c r="E436" s="1">
        <v>45776</v>
      </c>
      <c r="F436" s="1">
        <v>45779</v>
      </c>
      <c r="G436">
        <v>28945</v>
      </c>
      <c r="H436" t="s">
        <v>25</v>
      </c>
    </row>
    <row r="437" spans="1:8" x14ac:dyDescent="0.25">
      <c r="A437">
        <v>100446</v>
      </c>
      <c r="B437">
        <v>404</v>
      </c>
      <c r="C437">
        <v>885</v>
      </c>
      <c r="D437">
        <v>3014</v>
      </c>
      <c r="E437" s="1">
        <v>45612</v>
      </c>
      <c r="F437" s="1">
        <v>45614</v>
      </c>
      <c r="G437">
        <v>21007</v>
      </c>
      <c r="H437" t="s">
        <v>25</v>
      </c>
    </row>
    <row r="438" spans="1:8" x14ac:dyDescent="0.25">
      <c r="A438">
        <v>100447</v>
      </c>
      <c r="B438">
        <v>130</v>
      </c>
      <c r="C438">
        <v>223</v>
      </c>
      <c r="D438">
        <v>3403</v>
      </c>
      <c r="E438" s="1">
        <v>45640</v>
      </c>
      <c r="F438" s="1">
        <v>45645</v>
      </c>
      <c r="G438">
        <v>36357</v>
      </c>
      <c r="H438" t="s">
        <v>14</v>
      </c>
    </row>
    <row r="439" spans="1:8" x14ac:dyDescent="0.25">
      <c r="A439">
        <v>100448</v>
      </c>
      <c r="B439">
        <v>385</v>
      </c>
      <c r="C439">
        <v>478</v>
      </c>
      <c r="D439">
        <v>3157</v>
      </c>
      <c r="E439" s="1">
        <v>45673</v>
      </c>
      <c r="F439" s="1">
        <v>45674</v>
      </c>
      <c r="G439">
        <v>13863</v>
      </c>
      <c r="H439" t="s">
        <v>17</v>
      </c>
    </row>
    <row r="440" spans="1:8" x14ac:dyDescent="0.25">
      <c r="A440">
        <v>100449</v>
      </c>
      <c r="B440">
        <v>6</v>
      </c>
      <c r="C440">
        <v>1219</v>
      </c>
      <c r="D440">
        <v>3330</v>
      </c>
      <c r="E440" s="1">
        <v>45706</v>
      </c>
      <c r="F440" s="1">
        <v>45719</v>
      </c>
      <c r="G440">
        <v>75198</v>
      </c>
      <c r="H440" t="s">
        <v>25</v>
      </c>
    </row>
    <row r="441" spans="1:8" x14ac:dyDescent="0.25">
      <c r="A441">
        <v>100450</v>
      </c>
      <c r="B441">
        <v>468</v>
      </c>
      <c r="C441">
        <v>608</v>
      </c>
      <c r="D441">
        <v>3059</v>
      </c>
      <c r="E441" s="1">
        <v>45715</v>
      </c>
      <c r="F441" s="1">
        <v>45718</v>
      </c>
      <c r="G441">
        <v>30157</v>
      </c>
      <c r="H441" t="s">
        <v>10</v>
      </c>
    </row>
    <row r="442" spans="1:8" x14ac:dyDescent="0.25">
      <c r="A442">
        <v>100451</v>
      </c>
      <c r="B442">
        <v>416</v>
      </c>
      <c r="C442">
        <v>657</v>
      </c>
      <c r="D442">
        <v>3360</v>
      </c>
      <c r="E442" s="1">
        <v>45794</v>
      </c>
      <c r="F442" s="1">
        <v>45796</v>
      </c>
      <c r="G442">
        <v>22074</v>
      </c>
      <c r="H442" t="s">
        <v>17</v>
      </c>
    </row>
    <row r="443" spans="1:8" x14ac:dyDescent="0.25">
      <c r="A443">
        <v>100452</v>
      </c>
      <c r="B443">
        <v>469</v>
      </c>
      <c r="C443">
        <v>1348</v>
      </c>
      <c r="D443">
        <v>3319</v>
      </c>
      <c r="E443" s="1">
        <v>45768</v>
      </c>
      <c r="F443" s="1">
        <v>45808</v>
      </c>
      <c r="G443">
        <v>192516</v>
      </c>
      <c r="H443" t="s">
        <v>25</v>
      </c>
    </row>
    <row r="444" spans="1:8" x14ac:dyDescent="0.25">
      <c r="A444">
        <v>100453</v>
      </c>
      <c r="B444">
        <v>248</v>
      </c>
      <c r="C444">
        <v>1198</v>
      </c>
      <c r="D444">
        <v>3325</v>
      </c>
      <c r="E444" s="1">
        <v>45709</v>
      </c>
      <c r="F444" s="1">
        <v>45711</v>
      </c>
      <c r="G444">
        <v>22267</v>
      </c>
      <c r="H444" t="s">
        <v>10</v>
      </c>
    </row>
    <row r="445" spans="1:8" x14ac:dyDescent="0.25">
      <c r="A445">
        <v>100454</v>
      </c>
      <c r="B445">
        <v>256</v>
      </c>
      <c r="C445">
        <v>1310</v>
      </c>
      <c r="D445">
        <v>3350</v>
      </c>
      <c r="E445" s="1">
        <v>45616</v>
      </c>
      <c r="F445" s="1">
        <v>45620</v>
      </c>
      <c r="G445">
        <v>37052</v>
      </c>
      <c r="H445" t="s">
        <v>25</v>
      </c>
    </row>
    <row r="446" spans="1:8" x14ac:dyDescent="0.25">
      <c r="A446">
        <v>100455</v>
      </c>
      <c r="B446">
        <v>448</v>
      </c>
      <c r="C446">
        <v>346</v>
      </c>
      <c r="D446">
        <v>3492</v>
      </c>
      <c r="E446" s="1">
        <v>45657</v>
      </c>
      <c r="F446" s="1">
        <v>45661</v>
      </c>
      <c r="G446">
        <v>40579</v>
      </c>
      <c r="H446" t="s">
        <v>17</v>
      </c>
    </row>
    <row r="447" spans="1:8" x14ac:dyDescent="0.25">
      <c r="A447">
        <v>100456</v>
      </c>
      <c r="B447">
        <v>235</v>
      </c>
      <c r="C447">
        <v>524</v>
      </c>
      <c r="D447">
        <v>3097</v>
      </c>
      <c r="E447" s="1">
        <v>45752</v>
      </c>
      <c r="F447" s="1">
        <v>45754</v>
      </c>
      <c r="G447">
        <v>22521</v>
      </c>
      <c r="H447" t="s">
        <v>17</v>
      </c>
    </row>
    <row r="448" spans="1:8" x14ac:dyDescent="0.25">
      <c r="A448">
        <v>100457</v>
      </c>
      <c r="B448">
        <v>293</v>
      </c>
      <c r="C448">
        <v>1580</v>
      </c>
      <c r="D448">
        <v>3389</v>
      </c>
      <c r="E448" s="1">
        <v>45610</v>
      </c>
      <c r="F448" s="1">
        <v>45617</v>
      </c>
      <c r="G448">
        <v>42195</v>
      </c>
      <c r="H448" t="s">
        <v>14</v>
      </c>
    </row>
    <row r="449" spans="1:8" x14ac:dyDescent="0.25">
      <c r="A449">
        <v>100458</v>
      </c>
      <c r="B449">
        <v>337</v>
      </c>
      <c r="C449">
        <v>1275</v>
      </c>
      <c r="D449">
        <v>3056</v>
      </c>
      <c r="E449" s="1">
        <v>45597</v>
      </c>
      <c r="F449" s="1">
        <v>45602</v>
      </c>
      <c r="G449">
        <v>37999</v>
      </c>
      <c r="H449" t="s">
        <v>25</v>
      </c>
    </row>
    <row r="450" spans="1:8" x14ac:dyDescent="0.25">
      <c r="A450">
        <v>100459</v>
      </c>
      <c r="B450">
        <v>83</v>
      </c>
      <c r="C450">
        <v>495</v>
      </c>
      <c r="D450">
        <v>3412</v>
      </c>
      <c r="E450" s="1">
        <v>45774</v>
      </c>
      <c r="F450" s="1">
        <v>45782</v>
      </c>
      <c r="G450">
        <v>44505</v>
      </c>
      <c r="H450" t="s">
        <v>10</v>
      </c>
    </row>
    <row r="451" spans="1:8" x14ac:dyDescent="0.25">
      <c r="A451">
        <v>100460</v>
      </c>
      <c r="B451">
        <v>309</v>
      </c>
      <c r="C451">
        <v>1299</v>
      </c>
      <c r="D451">
        <v>3196</v>
      </c>
      <c r="E451" s="1">
        <v>45637</v>
      </c>
      <c r="F451" s="1">
        <v>45644</v>
      </c>
      <c r="G451">
        <v>51876</v>
      </c>
      <c r="H451" t="s">
        <v>17</v>
      </c>
    </row>
    <row r="452" spans="1:8" x14ac:dyDescent="0.25">
      <c r="A452">
        <v>100461</v>
      </c>
      <c r="B452">
        <v>447</v>
      </c>
      <c r="C452">
        <v>1077</v>
      </c>
      <c r="D452">
        <v>3075</v>
      </c>
      <c r="E452" s="1">
        <v>45770</v>
      </c>
      <c r="F452" s="1">
        <v>45808</v>
      </c>
      <c r="G452">
        <v>178857</v>
      </c>
      <c r="H452" t="s">
        <v>25</v>
      </c>
    </row>
    <row r="453" spans="1:8" x14ac:dyDescent="0.25">
      <c r="A453">
        <v>100462</v>
      </c>
      <c r="B453">
        <v>300</v>
      </c>
      <c r="C453">
        <v>1238</v>
      </c>
      <c r="D453">
        <v>3257</v>
      </c>
      <c r="E453" s="1">
        <v>45639</v>
      </c>
      <c r="F453" s="1">
        <v>45643</v>
      </c>
      <c r="G453">
        <v>26981</v>
      </c>
      <c r="H453" t="s">
        <v>25</v>
      </c>
    </row>
    <row r="454" spans="1:8" x14ac:dyDescent="0.25">
      <c r="A454">
        <v>100463</v>
      </c>
      <c r="B454">
        <v>258</v>
      </c>
      <c r="C454">
        <v>990</v>
      </c>
      <c r="D454">
        <v>3191</v>
      </c>
      <c r="E454" s="1">
        <v>45757</v>
      </c>
      <c r="F454" s="1">
        <v>45762</v>
      </c>
      <c r="G454">
        <v>47450</v>
      </c>
      <c r="H454" t="s">
        <v>25</v>
      </c>
    </row>
    <row r="455" spans="1:8" x14ac:dyDescent="0.25">
      <c r="A455">
        <v>100464</v>
      </c>
      <c r="B455">
        <v>105</v>
      </c>
      <c r="C455">
        <v>394</v>
      </c>
      <c r="D455">
        <v>3437</v>
      </c>
      <c r="E455" s="1">
        <v>45785</v>
      </c>
      <c r="F455" s="1">
        <v>45795</v>
      </c>
      <c r="G455">
        <v>86265</v>
      </c>
      <c r="H455" t="s">
        <v>17</v>
      </c>
    </row>
    <row r="456" spans="1:8" x14ac:dyDescent="0.25">
      <c r="A456">
        <v>100465</v>
      </c>
      <c r="B456">
        <v>253</v>
      </c>
      <c r="C456">
        <v>1029</v>
      </c>
      <c r="D456">
        <v>3317</v>
      </c>
      <c r="E456" s="1">
        <v>45683</v>
      </c>
      <c r="F456" s="1">
        <v>45686</v>
      </c>
      <c r="G456">
        <v>29494</v>
      </c>
      <c r="H456" t="s">
        <v>10</v>
      </c>
    </row>
    <row r="457" spans="1:8" x14ac:dyDescent="0.25">
      <c r="A457">
        <v>100466</v>
      </c>
      <c r="B457">
        <v>409</v>
      </c>
      <c r="C457">
        <v>843</v>
      </c>
      <c r="D457">
        <v>3067</v>
      </c>
      <c r="E457" s="1">
        <v>45761</v>
      </c>
      <c r="F457" s="1">
        <v>45765</v>
      </c>
      <c r="G457">
        <v>15293</v>
      </c>
      <c r="H457" t="s">
        <v>25</v>
      </c>
    </row>
    <row r="458" spans="1:8" x14ac:dyDescent="0.25">
      <c r="A458">
        <v>100467</v>
      </c>
      <c r="B458">
        <v>128</v>
      </c>
      <c r="C458">
        <v>467</v>
      </c>
      <c r="D458">
        <v>3478</v>
      </c>
      <c r="E458" s="1">
        <v>45789</v>
      </c>
      <c r="F458" s="1">
        <v>45795</v>
      </c>
      <c r="G458">
        <v>42035</v>
      </c>
      <c r="H458" t="s">
        <v>25</v>
      </c>
    </row>
    <row r="459" spans="1:8" x14ac:dyDescent="0.25">
      <c r="A459">
        <v>100468</v>
      </c>
      <c r="B459">
        <v>446</v>
      </c>
      <c r="C459">
        <v>321</v>
      </c>
      <c r="D459">
        <v>3483</v>
      </c>
      <c r="E459" s="1">
        <v>45690</v>
      </c>
      <c r="F459" s="1">
        <v>45692</v>
      </c>
      <c r="G459">
        <v>13283</v>
      </c>
      <c r="H459" t="s">
        <v>25</v>
      </c>
    </row>
    <row r="460" spans="1:8" x14ac:dyDescent="0.25">
      <c r="A460">
        <v>100469</v>
      </c>
      <c r="B460">
        <v>22</v>
      </c>
      <c r="C460">
        <v>856</v>
      </c>
      <c r="D460">
        <v>3140</v>
      </c>
      <c r="E460" s="1">
        <v>45761</v>
      </c>
      <c r="F460" s="1">
        <v>45763</v>
      </c>
      <c r="G460">
        <v>28299</v>
      </c>
      <c r="H460" t="s">
        <v>14</v>
      </c>
    </row>
    <row r="461" spans="1:8" x14ac:dyDescent="0.25">
      <c r="A461">
        <v>100470</v>
      </c>
      <c r="B461">
        <v>25</v>
      </c>
      <c r="C461">
        <v>1564</v>
      </c>
      <c r="D461">
        <v>3041</v>
      </c>
      <c r="E461" s="1">
        <v>45685</v>
      </c>
      <c r="F461" s="1">
        <v>45687</v>
      </c>
      <c r="G461">
        <v>19115</v>
      </c>
      <c r="H461" t="s">
        <v>25</v>
      </c>
    </row>
    <row r="462" spans="1:8" x14ac:dyDescent="0.25">
      <c r="A462">
        <v>100471</v>
      </c>
      <c r="B462">
        <v>129</v>
      </c>
      <c r="C462">
        <v>414</v>
      </c>
      <c r="D462">
        <v>3101</v>
      </c>
      <c r="E462" s="1">
        <v>45711</v>
      </c>
      <c r="F462" s="1">
        <v>45712</v>
      </c>
      <c r="G462">
        <v>17019</v>
      </c>
      <c r="H462" t="s">
        <v>25</v>
      </c>
    </row>
    <row r="463" spans="1:8" x14ac:dyDescent="0.25">
      <c r="A463">
        <v>100472</v>
      </c>
      <c r="B463">
        <v>234</v>
      </c>
      <c r="C463">
        <v>416</v>
      </c>
      <c r="D463">
        <v>3280</v>
      </c>
      <c r="E463" s="1">
        <v>45605</v>
      </c>
      <c r="F463" s="1">
        <v>45608</v>
      </c>
      <c r="G463">
        <v>18819</v>
      </c>
      <c r="H463" t="s">
        <v>10</v>
      </c>
    </row>
    <row r="464" spans="1:8" x14ac:dyDescent="0.25">
      <c r="A464">
        <v>100473</v>
      </c>
      <c r="B464">
        <v>92</v>
      </c>
      <c r="C464">
        <v>1398</v>
      </c>
      <c r="D464">
        <v>3122</v>
      </c>
      <c r="E464" s="1">
        <v>45707</v>
      </c>
      <c r="F464" s="1">
        <v>45710</v>
      </c>
      <c r="G464">
        <v>19133</v>
      </c>
      <c r="H464" t="s">
        <v>10</v>
      </c>
    </row>
    <row r="465" spans="1:8" x14ac:dyDescent="0.25">
      <c r="A465">
        <v>100474</v>
      </c>
      <c r="B465">
        <v>282</v>
      </c>
      <c r="C465">
        <v>747</v>
      </c>
      <c r="D465">
        <v>3082</v>
      </c>
      <c r="E465" s="1">
        <v>45647</v>
      </c>
      <c r="F465" s="1">
        <v>45650</v>
      </c>
      <c r="G465">
        <v>30712</v>
      </c>
      <c r="H465" t="s">
        <v>25</v>
      </c>
    </row>
    <row r="466" spans="1:8" x14ac:dyDescent="0.25">
      <c r="A466">
        <v>100475</v>
      </c>
      <c r="B466">
        <v>401</v>
      </c>
      <c r="C466">
        <v>266</v>
      </c>
      <c r="D466">
        <v>3105</v>
      </c>
      <c r="E466" s="1">
        <v>45762</v>
      </c>
      <c r="F466" s="1">
        <v>45765</v>
      </c>
      <c r="G466">
        <v>30446</v>
      </c>
      <c r="H466" t="s">
        <v>17</v>
      </c>
    </row>
    <row r="467" spans="1:8" x14ac:dyDescent="0.25">
      <c r="A467">
        <v>100476</v>
      </c>
      <c r="B467">
        <v>491</v>
      </c>
      <c r="C467">
        <v>1200</v>
      </c>
      <c r="D467">
        <v>3458</v>
      </c>
      <c r="E467" s="1">
        <v>45697</v>
      </c>
      <c r="F467" s="1">
        <v>45707</v>
      </c>
      <c r="G467">
        <v>26359</v>
      </c>
      <c r="H467" t="s">
        <v>10</v>
      </c>
    </row>
    <row r="468" spans="1:8" x14ac:dyDescent="0.25">
      <c r="A468">
        <v>100477</v>
      </c>
      <c r="B468">
        <v>118</v>
      </c>
      <c r="C468">
        <v>183</v>
      </c>
      <c r="D468">
        <v>3097</v>
      </c>
      <c r="E468" s="1">
        <v>45799</v>
      </c>
      <c r="F468" s="1">
        <v>45808</v>
      </c>
      <c r="G468">
        <v>81941</v>
      </c>
      <c r="H468" t="s">
        <v>25</v>
      </c>
    </row>
    <row r="469" spans="1:8" x14ac:dyDescent="0.25">
      <c r="A469">
        <v>100478</v>
      </c>
      <c r="B469">
        <v>106</v>
      </c>
      <c r="C469">
        <v>371</v>
      </c>
      <c r="D469">
        <v>3265</v>
      </c>
      <c r="E469" s="1">
        <v>45686</v>
      </c>
      <c r="F469" s="1">
        <v>45689</v>
      </c>
      <c r="G469">
        <v>26825</v>
      </c>
      <c r="H469" t="s">
        <v>17</v>
      </c>
    </row>
    <row r="470" spans="1:8" x14ac:dyDescent="0.25">
      <c r="A470">
        <v>100479</v>
      </c>
      <c r="B470">
        <v>456</v>
      </c>
      <c r="C470">
        <v>915</v>
      </c>
      <c r="D470">
        <v>3217</v>
      </c>
      <c r="E470" s="1">
        <v>45678</v>
      </c>
      <c r="F470" s="1">
        <v>45688</v>
      </c>
      <c r="G470">
        <v>35792</v>
      </c>
      <c r="H470" t="s">
        <v>25</v>
      </c>
    </row>
    <row r="471" spans="1:8" x14ac:dyDescent="0.25">
      <c r="A471">
        <v>100480</v>
      </c>
      <c r="B471">
        <v>192</v>
      </c>
      <c r="C471">
        <v>1357</v>
      </c>
      <c r="D471">
        <v>3172</v>
      </c>
      <c r="E471" s="1">
        <v>45789</v>
      </c>
      <c r="F471" s="1">
        <v>45792</v>
      </c>
      <c r="G471">
        <v>33073</v>
      </c>
      <c r="H471" t="s">
        <v>25</v>
      </c>
    </row>
    <row r="472" spans="1:8" x14ac:dyDescent="0.25">
      <c r="A472">
        <v>100481</v>
      </c>
      <c r="B472">
        <v>145</v>
      </c>
      <c r="C472">
        <v>406</v>
      </c>
      <c r="D472">
        <v>3134</v>
      </c>
      <c r="E472" s="1">
        <v>45717</v>
      </c>
      <c r="F472" s="1">
        <v>45720</v>
      </c>
      <c r="G472">
        <v>23562</v>
      </c>
      <c r="H472" t="s">
        <v>10</v>
      </c>
    </row>
    <row r="473" spans="1:8" x14ac:dyDescent="0.25">
      <c r="A473">
        <v>100482</v>
      </c>
      <c r="B473">
        <v>343</v>
      </c>
      <c r="C473">
        <v>103</v>
      </c>
      <c r="D473">
        <v>3137</v>
      </c>
      <c r="E473" s="1">
        <v>45738</v>
      </c>
      <c r="F473" s="1">
        <v>45754</v>
      </c>
      <c r="G473">
        <v>99263</v>
      </c>
      <c r="H473" t="s">
        <v>14</v>
      </c>
    </row>
    <row r="474" spans="1:8" x14ac:dyDescent="0.25">
      <c r="A474">
        <v>100483</v>
      </c>
      <c r="B474">
        <v>347</v>
      </c>
      <c r="C474">
        <v>1285</v>
      </c>
      <c r="D474">
        <v>3105</v>
      </c>
      <c r="E474" s="1">
        <v>45756</v>
      </c>
      <c r="F474" s="1">
        <v>45759</v>
      </c>
      <c r="G474">
        <v>32790</v>
      </c>
      <c r="H474" t="s">
        <v>14</v>
      </c>
    </row>
    <row r="475" spans="1:8" x14ac:dyDescent="0.25">
      <c r="A475">
        <v>100484</v>
      </c>
      <c r="B475">
        <v>476</v>
      </c>
      <c r="C475">
        <v>856</v>
      </c>
      <c r="D475">
        <v>3445</v>
      </c>
      <c r="E475" s="1">
        <v>45803</v>
      </c>
      <c r="F475" s="1">
        <v>45807</v>
      </c>
      <c r="G475">
        <v>31136</v>
      </c>
      <c r="H475" t="s">
        <v>25</v>
      </c>
    </row>
    <row r="476" spans="1:8" x14ac:dyDescent="0.25">
      <c r="A476">
        <v>100485</v>
      </c>
      <c r="B476">
        <v>478</v>
      </c>
      <c r="C476">
        <v>618</v>
      </c>
      <c r="D476">
        <v>3481</v>
      </c>
      <c r="E476" s="1">
        <v>45636</v>
      </c>
      <c r="F476" s="1">
        <v>45638</v>
      </c>
      <c r="G476">
        <v>18685</v>
      </c>
      <c r="H476" t="s">
        <v>10</v>
      </c>
    </row>
    <row r="477" spans="1:8" x14ac:dyDescent="0.25">
      <c r="A477">
        <v>100486</v>
      </c>
      <c r="B477">
        <v>454</v>
      </c>
      <c r="C477">
        <v>1238</v>
      </c>
      <c r="D477">
        <v>3381</v>
      </c>
      <c r="E477" s="1">
        <v>45785</v>
      </c>
      <c r="F477" s="1">
        <v>45787</v>
      </c>
      <c r="G477">
        <v>18983</v>
      </c>
      <c r="H477" t="s">
        <v>25</v>
      </c>
    </row>
    <row r="478" spans="1:8" x14ac:dyDescent="0.25">
      <c r="A478">
        <v>100487</v>
      </c>
      <c r="B478">
        <v>5</v>
      </c>
      <c r="C478">
        <v>645</v>
      </c>
      <c r="D478">
        <v>3289</v>
      </c>
      <c r="E478" s="1">
        <v>45673</v>
      </c>
      <c r="F478" s="1">
        <v>45674</v>
      </c>
      <c r="G478">
        <v>14987</v>
      </c>
      <c r="H478" t="s">
        <v>25</v>
      </c>
    </row>
    <row r="479" spans="1:8" x14ac:dyDescent="0.25">
      <c r="A479">
        <v>100488</v>
      </c>
      <c r="B479">
        <v>95</v>
      </c>
      <c r="C479">
        <v>287</v>
      </c>
      <c r="D479">
        <v>3373</v>
      </c>
      <c r="E479" s="1">
        <v>45730</v>
      </c>
      <c r="F479" s="1">
        <v>45734</v>
      </c>
      <c r="G479">
        <v>19568</v>
      </c>
      <c r="H479" t="s">
        <v>25</v>
      </c>
    </row>
    <row r="480" spans="1:8" x14ac:dyDescent="0.25">
      <c r="A480">
        <v>100489</v>
      </c>
      <c r="B480">
        <v>7</v>
      </c>
      <c r="C480">
        <v>257</v>
      </c>
      <c r="D480">
        <v>3274</v>
      </c>
      <c r="E480" s="1">
        <v>45679</v>
      </c>
      <c r="F480" s="1">
        <v>45682</v>
      </c>
      <c r="G480">
        <v>34525</v>
      </c>
      <c r="H480" t="s">
        <v>17</v>
      </c>
    </row>
    <row r="481" spans="1:8" x14ac:dyDescent="0.25">
      <c r="A481">
        <v>100490</v>
      </c>
      <c r="B481">
        <v>136</v>
      </c>
      <c r="C481">
        <v>126</v>
      </c>
      <c r="D481">
        <v>3006</v>
      </c>
      <c r="E481" s="1">
        <v>45663</v>
      </c>
      <c r="F481" s="1">
        <v>45666</v>
      </c>
      <c r="G481">
        <v>23532</v>
      </c>
      <c r="H481" t="s">
        <v>17</v>
      </c>
    </row>
    <row r="482" spans="1:8" x14ac:dyDescent="0.25">
      <c r="A482">
        <v>100491</v>
      </c>
      <c r="B482">
        <v>253</v>
      </c>
      <c r="C482">
        <v>1596</v>
      </c>
      <c r="D482">
        <v>3434</v>
      </c>
      <c r="E482" s="1">
        <v>45773</v>
      </c>
      <c r="F482" s="1">
        <v>45774</v>
      </c>
      <c r="G482">
        <v>11758</v>
      </c>
      <c r="H482" t="s">
        <v>25</v>
      </c>
    </row>
    <row r="483" spans="1:8" x14ac:dyDescent="0.25">
      <c r="A483">
        <v>100492</v>
      </c>
      <c r="B483">
        <v>444</v>
      </c>
      <c r="C483">
        <v>1299</v>
      </c>
      <c r="D483">
        <v>3076</v>
      </c>
      <c r="E483" s="1">
        <v>45647</v>
      </c>
      <c r="F483" s="1">
        <v>45650</v>
      </c>
      <c r="G483">
        <v>30457</v>
      </c>
      <c r="H483" t="s">
        <v>10</v>
      </c>
    </row>
    <row r="484" spans="1:8" x14ac:dyDescent="0.25">
      <c r="A484">
        <v>100493</v>
      </c>
      <c r="B484">
        <v>170</v>
      </c>
      <c r="C484">
        <v>991</v>
      </c>
      <c r="D484">
        <v>3318</v>
      </c>
      <c r="E484" s="1">
        <v>45787</v>
      </c>
      <c r="F484" s="1">
        <v>45789</v>
      </c>
      <c r="G484">
        <v>18252</v>
      </c>
      <c r="H484" t="s">
        <v>14</v>
      </c>
    </row>
    <row r="485" spans="1:8" x14ac:dyDescent="0.25">
      <c r="A485">
        <v>100494</v>
      </c>
      <c r="B485">
        <v>186</v>
      </c>
      <c r="C485">
        <v>1085</v>
      </c>
      <c r="D485">
        <v>3371</v>
      </c>
      <c r="E485" s="1">
        <v>45659</v>
      </c>
      <c r="F485" s="1">
        <v>45703</v>
      </c>
      <c r="G485">
        <v>204259</v>
      </c>
      <c r="H485" t="s">
        <v>10</v>
      </c>
    </row>
    <row r="486" spans="1:8" x14ac:dyDescent="0.25">
      <c r="A486">
        <v>100495</v>
      </c>
      <c r="B486">
        <v>477</v>
      </c>
      <c r="C486">
        <v>1302</v>
      </c>
      <c r="D486">
        <v>3383</v>
      </c>
      <c r="E486" s="1">
        <v>45779</v>
      </c>
      <c r="F486" s="1">
        <v>45808</v>
      </c>
      <c r="G486">
        <v>132332</v>
      </c>
      <c r="H486" t="s">
        <v>25</v>
      </c>
    </row>
    <row r="487" spans="1:8" x14ac:dyDescent="0.25">
      <c r="A487">
        <v>100496</v>
      </c>
      <c r="B487">
        <v>342</v>
      </c>
      <c r="C487">
        <v>252</v>
      </c>
      <c r="D487">
        <v>3246</v>
      </c>
      <c r="E487" s="1">
        <v>45611</v>
      </c>
      <c r="F487" s="1">
        <v>45614</v>
      </c>
      <c r="G487">
        <v>16139</v>
      </c>
      <c r="H487" t="s">
        <v>17</v>
      </c>
    </row>
    <row r="488" spans="1:8" x14ac:dyDescent="0.25">
      <c r="A488">
        <v>100497</v>
      </c>
      <c r="B488">
        <v>92</v>
      </c>
      <c r="C488">
        <v>464</v>
      </c>
      <c r="D488">
        <v>3114</v>
      </c>
      <c r="E488" s="1">
        <v>45689</v>
      </c>
      <c r="F488" s="1">
        <v>45692</v>
      </c>
      <c r="G488">
        <v>28197</v>
      </c>
      <c r="H488" t="s">
        <v>25</v>
      </c>
    </row>
    <row r="489" spans="1:8" x14ac:dyDescent="0.25">
      <c r="A489">
        <v>100498</v>
      </c>
      <c r="B489">
        <v>181</v>
      </c>
      <c r="C489">
        <v>773</v>
      </c>
      <c r="D489">
        <v>3469</v>
      </c>
      <c r="E489" s="1">
        <v>45657</v>
      </c>
      <c r="F489" s="1">
        <v>45662</v>
      </c>
      <c r="G489">
        <v>21771</v>
      </c>
      <c r="H489" t="s">
        <v>25</v>
      </c>
    </row>
    <row r="490" spans="1:8" x14ac:dyDescent="0.25">
      <c r="A490">
        <v>100499</v>
      </c>
      <c r="B490">
        <v>326</v>
      </c>
      <c r="C490">
        <v>1221</v>
      </c>
      <c r="D490">
        <v>3065</v>
      </c>
      <c r="E490" s="1">
        <v>45657</v>
      </c>
      <c r="F490" s="1">
        <v>45659</v>
      </c>
      <c r="G490">
        <v>22471</v>
      </c>
      <c r="H490" t="s">
        <v>25</v>
      </c>
    </row>
    <row r="491" spans="1:8" x14ac:dyDescent="0.25">
      <c r="A491">
        <v>100500</v>
      </c>
      <c r="B491">
        <v>499</v>
      </c>
      <c r="C491">
        <v>312</v>
      </c>
      <c r="D491">
        <v>3354</v>
      </c>
      <c r="E491" s="1">
        <v>45704</v>
      </c>
      <c r="F491" s="1">
        <v>45707</v>
      </c>
      <c r="G491">
        <v>26618</v>
      </c>
      <c r="H491" t="s">
        <v>25</v>
      </c>
    </row>
    <row r="492" spans="1:8" x14ac:dyDescent="0.25">
      <c r="A492">
        <v>100501</v>
      </c>
      <c r="B492">
        <v>278</v>
      </c>
      <c r="C492">
        <v>757</v>
      </c>
      <c r="D492">
        <v>3490</v>
      </c>
      <c r="E492" s="1">
        <v>45730</v>
      </c>
      <c r="F492" s="1">
        <v>45732</v>
      </c>
      <c r="G492">
        <v>19255</v>
      </c>
      <c r="H492" t="s">
        <v>25</v>
      </c>
    </row>
    <row r="493" spans="1:8" x14ac:dyDescent="0.25">
      <c r="A493">
        <v>100502</v>
      </c>
      <c r="B493">
        <v>461</v>
      </c>
      <c r="C493">
        <v>433</v>
      </c>
      <c r="D493">
        <v>3135</v>
      </c>
      <c r="E493" s="1">
        <v>45604</v>
      </c>
      <c r="F493" s="1">
        <v>45606</v>
      </c>
      <c r="G493">
        <v>24263</v>
      </c>
      <c r="H493" t="s">
        <v>14</v>
      </c>
    </row>
    <row r="494" spans="1:8" x14ac:dyDescent="0.25">
      <c r="A494">
        <v>100503</v>
      </c>
      <c r="B494">
        <v>173</v>
      </c>
      <c r="C494">
        <v>831</v>
      </c>
      <c r="D494">
        <v>3054</v>
      </c>
      <c r="E494" s="1">
        <v>45784</v>
      </c>
      <c r="F494" s="1">
        <v>45796</v>
      </c>
      <c r="G494">
        <v>59714</v>
      </c>
      <c r="H494" t="s">
        <v>17</v>
      </c>
    </row>
    <row r="495" spans="1:8" x14ac:dyDescent="0.25">
      <c r="A495">
        <v>100504</v>
      </c>
      <c r="B495">
        <v>166</v>
      </c>
      <c r="C495">
        <v>953</v>
      </c>
      <c r="D495">
        <v>3437</v>
      </c>
      <c r="E495" s="1">
        <v>45739</v>
      </c>
      <c r="F495" s="1">
        <v>45750</v>
      </c>
      <c r="G495">
        <v>67714</v>
      </c>
      <c r="H495" t="s">
        <v>17</v>
      </c>
    </row>
    <row r="496" spans="1:8" x14ac:dyDescent="0.25">
      <c r="A496">
        <v>100505</v>
      </c>
      <c r="B496">
        <v>397</v>
      </c>
      <c r="C496">
        <v>1408</v>
      </c>
      <c r="D496">
        <v>3239</v>
      </c>
      <c r="E496" s="1">
        <v>45734</v>
      </c>
      <c r="F496" s="1">
        <v>45737</v>
      </c>
      <c r="G496">
        <v>14710</v>
      </c>
      <c r="H496" t="s">
        <v>25</v>
      </c>
    </row>
    <row r="497" spans="1:8" x14ac:dyDescent="0.25">
      <c r="A497">
        <v>100506</v>
      </c>
      <c r="B497">
        <v>133</v>
      </c>
      <c r="C497">
        <v>225</v>
      </c>
      <c r="D497">
        <v>3044</v>
      </c>
      <c r="E497" s="1">
        <v>45667</v>
      </c>
      <c r="F497" s="1">
        <v>45670</v>
      </c>
      <c r="G497">
        <v>32857</v>
      </c>
      <c r="H497" t="s">
        <v>25</v>
      </c>
    </row>
    <row r="498" spans="1:8" x14ac:dyDescent="0.25">
      <c r="A498">
        <v>100507</v>
      </c>
      <c r="B498">
        <v>55</v>
      </c>
      <c r="C498">
        <v>1525</v>
      </c>
      <c r="D498">
        <v>3285</v>
      </c>
      <c r="E498" s="1">
        <v>45759</v>
      </c>
      <c r="F498" s="1">
        <v>45760</v>
      </c>
      <c r="G498">
        <v>16992</v>
      </c>
      <c r="H498" t="s">
        <v>25</v>
      </c>
    </row>
    <row r="499" spans="1:8" x14ac:dyDescent="0.25">
      <c r="A499">
        <v>100508</v>
      </c>
      <c r="B499">
        <v>372</v>
      </c>
      <c r="C499">
        <v>1153</v>
      </c>
      <c r="D499">
        <v>3106</v>
      </c>
      <c r="E499" s="1">
        <v>45709</v>
      </c>
      <c r="F499" s="1">
        <v>45711</v>
      </c>
      <c r="G499">
        <v>19754</v>
      </c>
      <c r="H499" t="s">
        <v>25</v>
      </c>
    </row>
    <row r="500" spans="1:8" x14ac:dyDescent="0.25">
      <c r="A500">
        <v>100509</v>
      </c>
      <c r="B500">
        <v>37</v>
      </c>
      <c r="C500">
        <v>833</v>
      </c>
      <c r="D500">
        <v>3089</v>
      </c>
      <c r="E500" s="1">
        <v>45728</v>
      </c>
      <c r="F500" s="1">
        <v>45737</v>
      </c>
      <c r="G500">
        <v>57485</v>
      </c>
      <c r="H500" t="s">
        <v>17</v>
      </c>
    </row>
    <row r="501" spans="1:8" x14ac:dyDescent="0.25">
      <c r="A501">
        <v>100510</v>
      </c>
      <c r="B501">
        <v>36</v>
      </c>
      <c r="C501">
        <v>1493</v>
      </c>
      <c r="D501">
        <v>3282</v>
      </c>
      <c r="E501" s="1">
        <v>45654</v>
      </c>
      <c r="F501" s="1">
        <v>45656</v>
      </c>
      <c r="G501">
        <v>13159</v>
      </c>
      <c r="H501" t="s">
        <v>17</v>
      </c>
    </row>
    <row r="502" spans="1:8" x14ac:dyDescent="0.25">
      <c r="A502">
        <v>100511</v>
      </c>
      <c r="B502">
        <v>442</v>
      </c>
      <c r="C502">
        <v>1171</v>
      </c>
      <c r="D502">
        <v>3060</v>
      </c>
      <c r="E502" s="1">
        <v>45685</v>
      </c>
      <c r="F502" s="1">
        <v>45688</v>
      </c>
      <c r="G502">
        <v>31277</v>
      </c>
      <c r="H502" t="s">
        <v>10</v>
      </c>
    </row>
    <row r="503" spans="1:8" x14ac:dyDescent="0.25">
      <c r="A503">
        <v>100512</v>
      </c>
      <c r="B503">
        <v>226</v>
      </c>
      <c r="C503">
        <v>1399</v>
      </c>
      <c r="D503">
        <v>3257</v>
      </c>
      <c r="E503" s="1">
        <v>45767</v>
      </c>
      <c r="F503" s="1">
        <v>45772</v>
      </c>
      <c r="G503">
        <v>28782</v>
      </c>
      <c r="H503" t="s">
        <v>25</v>
      </c>
    </row>
    <row r="504" spans="1:8" x14ac:dyDescent="0.25">
      <c r="A504">
        <v>100513</v>
      </c>
      <c r="B504">
        <v>225</v>
      </c>
      <c r="C504">
        <v>1513</v>
      </c>
      <c r="D504">
        <v>3277</v>
      </c>
      <c r="E504" s="1">
        <v>45676</v>
      </c>
      <c r="F504" s="1">
        <v>45681</v>
      </c>
      <c r="G504">
        <v>43510</v>
      </c>
      <c r="H504" t="s">
        <v>25</v>
      </c>
    </row>
    <row r="505" spans="1:8" x14ac:dyDescent="0.25">
      <c r="A505">
        <v>100514</v>
      </c>
      <c r="B505">
        <v>162</v>
      </c>
      <c r="C505">
        <v>735</v>
      </c>
      <c r="D505">
        <v>3155</v>
      </c>
      <c r="E505" s="1">
        <v>45796</v>
      </c>
      <c r="F505" s="1">
        <v>45800</v>
      </c>
      <c r="G505">
        <v>23648</v>
      </c>
      <c r="H505" t="s">
        <v>10</v>
      </c>
    </row>
    <row r="506" spans="1:8" x14ac:dyDescent="0.25">
      <c r="A506">
        <v>100515</v>
      </c>
      <c r="B506">
        <v>198</v>
      </c>
      <c r="C506">
        <v>206</v>
      </c>
      <c r="D506">
        <v>3364</v>
      </c>
      <c r="E506" s="1">
        <v>45743</v>
      </c>
      <c r="F506" s="1">
        <v>45750</v>
      </c>
      <c r="G506">
        <v>46223</v>
      </c>
      <c r="H506" t="s">
        <v>25</v>
      </c>
    </row>
    <row r="507" spans="1:8" x14ac:dyDescent="0.25">
      <c r="A507">
        <v>100516</v>
      </c>
      <c r="B507">
        <v>367</v>
      </c>
      <c r="C507">
        <v>1513</v>
      </c>
      <c r="D507">
        <v>3479</v>
      </c>
      <c r="E507" s="1">
        <v>45647</v>
      </c>
      <c r="F507" s="1">
        <v>45648</v>
      </c>
      <c r="G507">
        <v>13620</v>
      </c>
      <c r="H507" t="s">
        <v>25</v>
      </c>
    </row>
    <row r="508" spans="1:8" x14ac:dyDescent="0.25">
      <c r="A508">
        <v>100517</v>
      </c>
      <c r="B508">
        <v>169</v>
      </c>
      <c r="C508">
        <v>106</v>
      </c>
      <c r="D508">
        <v>3125</v>
      </c>
      <c r="E508" s="1">
        <v>45663</v>
      </c>
      <c r="F508" s="1">
        <v>45671</v>
      </c>
      <c r="G508">
        <v>57720</v>
      </c>
      <c r="H508" t="s">
        <v>14</v>
      </c>
    </row>
    <row r="509" spans="1:8" x14ac:dyDescent="0.25">
      <c r="A509">
        <v>100518</v>
      </c>
      <c r="B509">
        <v>467</v>
      </c>
      <c r="C509">
        <v>1593</v>
      </c>
      <c r="D509">
        <v>3008</v>
      </c>
      <c r="E509" s="1">
        <v>45786</v>
      </c>
      <c r="F509" s="1">
        <v>45789</v>
      </c>
      <c r="G509">
        <v>32324</v>
      </c>
      <c r="H509" t="s">
        <v>25</v>
      </c>
    </row>
    <row r="510" spans="1:8" x14ac:dyDescent="0.25">
      <c r="A510">
        <v>100519</v>
      </c>
      <c r="B510">
        <v>361</v>
      </c>
      <c r="C510">
        <v>131</v>
      </c>
      <c r="D510">
        <v>3084</v>
      </c>
      <c r="E510" s="1">
        <v>45696</v>
      </c>
      <c r="F510" s="1">
        <v>45703</v>
      </c>
      <c r="G510">
        <v>61395</v>
      </c>
      <c r="H510" t="s">
        <v>14</v>
      </c>
    </row>
    <row r="511" spans="1:8" x14ac:dyDescent="0.25">
      <c r="A511">
        <v>100520</v>
      </c>
      <c r="B511">
        <v>55</v>
      </c>
      <c r="C511">
        <v>646</v>
      </c>
      <c r="D511">
        <v>3342</v>
      </c>
      <c r="E511" s="1">
        <v>45799</v>
      </c>
      <c r="F511" s="1">
        <v>45800</v>
      </c>
      <c r="G511">
        <v>21749</v>
      </c>
      <c r="H511" t="s">
        <v>25</v>
      </c>
    </row>
    <row r="512" spans="1:8" x14ac:dyDescent="0.25">
      <c r="A512">
        <v>100521</v>
      </c>
      <c r="B512">
        <v>342</v>
      </c>
      <c r="C512">
        <v>654</v>
      </c>
      <c r="D512">
        <v>3272</v>
      </c>
      <c r="E512" s="1">
        <v>45698</v>
      </c>
      <c r="F512" s="1">
        <v>45701</v>
      </c>
      <c r="G512">
        <v>27648</v>
      </c>
      <c r="H512" t="s">
        <v>25</v>
      </c>
    </row>
    <row r="513" spans="1:8" x14ac:dyDescent="0.25">
      <c r="A513">
        <v>100522</v>
      </c>
      <c r="B513">
        <v>389</v>
      </c>
      <c r="C513">
        <v>721</v>
      </c>
      <c r="D513">
        <v>3220</v>
      </c>
      <c r="E513" s="1">
        <v>45658</v>
      </c>
      <c r="F513" s="1">
        <v>45659</v>
      </c>
      <c r="G513">
        <v>14046</v>
      </c>
      <c r="H513" t="s">
        <v>25</v>
      </c>
    </row>
    <row r="514" spans="1:8" x14ac:dyDescent="0.25">
      <c r="A514">
        <v>100523</v>
      </c>
      <c r="B514">
        <v>353</v>
      </c>
      <c r="C514">
        <v>1268</v>
      </c>
      <c r="D514">
        <v>3202</v>
      </c>
      <c r="E514" s="1">
        <v>45735</v>
      </c>
      <c r="F514" s="1">
        <v>45736</v>
      </c>
      <c r="G514">
        <v>20362</v>
      </c>
      <c r="H514" t="s">
        <v>25</v>
      </c>
    </row>
    <row r="515" spans="1:8" x14ac:dyDescent="0.25">
      <c r="A515">
        <v>100524</v>
      </c>
      <c r="B515">
        <v>446</v>
      </c>
      <c r="C515">
        <v>946</v>
      </c>
      <c r="D515">
        <v>3145</v>
      </c>
      <c r="E515" s="1">
        <v>45729</v>
      </c>
      <c r="F515" s="1">
        <v>45745</v>
      </c>
      <c r="G515">
        <v>59720</v>
      </c>
      <c r="H515" t="s">
        <v>17</v>
      </c>
    </row>
    <row r="516" spans="1:8" x14ac:dyDescent="0.25">
      <c r="A516">
        <v>100525</v>
      </c>
      <c r="B516">
        <v>272</v>
      </c>
      <c r="C516">
        <v>443</v>
      </c>
      <c r="D516">
        <v>3266</v>
      </c>
      <c r="E516" s="1">
        <v>45637</v>
      </c>
      <c r="F516" s="1">
        <v>45638</v>
      </c>
      <c r="G516">
        <v>7626</v>
      </c>
      <c r="H516" t="s">
        <v>25</v>
      </c>
    </row>
    <row r="517" spans="1:8" x14ac:dyDescent="0.25">
      <c r="A517">
        <v>100526</v>
      </c>
      <c r="B517">
        <v>61</v>
      </c>
      <c r="C517">
        <v>1379</v>
      </c>
      <c r="D517">
        <v>3273</v>
      </c>
      <c r="E517" s="1">
        <v>45674</v>
      </c>
      <c r="F517" s="1">
        <v>45682</v>
      </c>
      <c r="G517">
        <v>47649</v>
      </c>
      <c r="H517" t="s">
        <v>17</v>
      </c>
    </row>
    <row r="518" spans="1:8" x14ac:dyDescent="0.25">
      <c r="A518">
        <v>100527</v>
      </c>
      <c r="B518">
        <v>196</v>
      </c>
      <c r="C518">
        <v>1356</v>
      </c>
      <c r="D518">
        <v>3402</v>
      </c>
      <c r="E518" s="1">
        <v>45657</v>
      </c>
      <c r="F518" s="1">
        <v>45660</v>
      </c>
      <c r="G518">
        <v>27829</v>
      </c>
      <c r="H518" t="s">
        <v>25</v>
      </c>
    </row>
    <row r="519" spans="1:8" x14ac:dyDescent="0.25">
      <c r="A519">
        <v>100528</v>
      </c>
      <c r="B519">
        <v>303</v>
      </c>
      <c r="C519">
        <v>695</v>
      </c>
      <c r="D519">
        <v>3026</v>
      </c>
      <c r="E519" s="1">
        <v>45799</v>
      </c>
      <c r="F519" s="1">
        <v>45800</v>
      </c>
      <c r="G519">
        <v>14141</v>
      </c>
      <c r="H519" t="s">
        <v>25</v>
      </c>
    </row>
    <row r="520" spans="1:8" x14ac:dyDescent="0.25">
      <c r="A520">
        <v>100529</v>
      </c>
      <c r="B520">
        <v>250</v>
      </c>
      <c r="C520">
        <v>191</v>
      </c>
      <c r="D520">
        <v>3331</v>
      </c>
      <c r="E520" s="1">
        <v>45787</v>
      </c>
      <c r="F520" s="1">
        <v>45790</v>
      </c>
      <c r="G520">
        <v>33858</v>
      </c>
      <c r="H520" t="s">
        <v>25</v>
      </c>
    </row>
    <row r="521" spans="1:8" x14ac:dyDescent="0.25">
      <c r="A521">
        <v>100530</v>
      </c>
      <c r="B521">
        <v>208</v>
      </c>
      <c r="C521">
        <v>1130</v>
      </c>
      <c r="D521">
        <v>3091</v>
      </c>
      <c r="E521" s="1">
        <v>45764</v>
      </c>
      <c r="F521" s="1">
        <v>45774</v>
      </c>
      <c r="G521">
        <v>68320</v>
      </c>
      <c r="H521" t="s">
        <v>14</v>
      </c>
    </row>
    <row r="522" spans="1:8" x14ac:dyDescent="0.25">
      <c r="A522">
        <v>100531</v>
      </c>
      <c r="B522">
        <v>246</v>
      </c>
      <c r="C522">
        <v>1497</v>
      </c>
      <c r="D522">
        <v>3493</v>
      </c>
      <c r="E522" s="1">
        <v>45672</v>
      </c>
      <c r="F522" s="1">
        <v>45674</v>
      </c>
      <c r="G522">
        <v>16489</v>
      </c>
      <c r="H522" t="s">
        <v>17</v>
      </c>
    </row>
    <row r="523" spans="1:8" x14ac:dyDescent="0.25">
      <c r="A523">
        <v>100532</v>
      </c>
      <c r="B523">
        <v>241</v>
      </c>
      <c r="C523">
        <v>1046</v>
      </c>
      <c r="D523">
        <v>3466</v>
      </c>
      <c r="E523" s="1">
        <v>45786</v>
      </c>
      <c r="F523" s="1">
        <v>45790</v>
      </c>
      <c r="G523">
        <v>40450</v>
      </c>
      <c r="H523" t="s">
        <v>25</v>
      </c>
    </row>
    <row r="524" spans="1:8" x14ac:dyDescent="0.25">
      <c r="A524">
        <v>100533</v>
      </c>
      <c r="B524">
        <v>54</v>
      </c>
      <c r="C524">
        <v>1397</v>
      </c>
      <c r="D524">
        <v>3291</v>
      </c>
      <c r="E524" s="1">
        <v>45744</v>
      </c>
      <c r="F524" s="1">
        <v>45746</v>
      </c>
      <c r="G524">
        <v>17267</v>
      </c>
      <c r="H524" t="s">
        <v>25</v>
      </c>
    </row>
    <row r="525" spans="1:8" x14ac:dyDescent="0.25">
      <c r="A525">
        <v>100534</v>
      </c>
      <c r="B525">
        <v>166</v>
      </c>
      <c r="C525">
        <v>351</v>
      </c>
      <c r="D525">
        <v>3377</v>
      </c>
      <c r="E525" s="1">
        <v>45626</v>
      </c>
      <c r="F525" s="1">
        <v>45629</v>
      </c>
      <c r="G525">
        <v>33301</v>
      </c>
      <c r="H525" t="s">
        <v>14</v>
      </c>
    </row>
    <row r="526" spans="1:8" x14ac:dyDescent="0.25">
      <c r="A526">
        <v>100535</v>
      </c>
      <c r="B526">
        <v>497</v>
      </c>
      <c r="C526">
        <v>181</v>
      </c>
      <c r="D526">
        <v>3326</v>
      </c>
      <c r="E526" s="1">
        <v>45752</v>
      </c>
      <c r="F526" s="1">
        <v>45753</v>
      </c>
      <c r="G526">
        <v>15796</v>
      </c>
      <c r="H526" t="s">
        <v>25</v>
      </c>
    </row>
    <row r="527" spans="1:8" x14ac:dyDescent="0.25">
      <c r="A527">
        <v>100536</v>
      </c>
      <c r="B527">
        <v>392</v>
      </c>
      <c r="C527">
        <v>464</v>
      </c>
      <c r="D527">
        <v>3338</v>
      </c>
      <c r="E527" s="1">
        <v>45731</v>
      </c>
      <c r="F527" s="1">
        <v>45733</v>
      </c>
      <c r="G527">
        <v>24542</v>
      </c>
      <c r="H527" t="s">
        <v>25</v>
      </c>
    </row>
    <row r="528" spans="1:8" x14ac:dyDescent="0.25">
      <c r="A528">
        <v>100537</v>
      </c>
      <c r="B528">
        <v>486</v>
      </c>
      <c r="C528">
        <v>609</v>
      </c>
      <c r="D528">
        <v>3465</v>
      </c>
      <c r="E528" s="1">
        <v>45734</v>
      </c>
      <c r="F528" s="1">
        <v>45736</v>
      </c>
      <c r="G528">
        <v>18931</v>
      </c>
      <c r="H528" t="s">
        <v>25</v>
      </c>
    </row>
    <row r="529" spans="1:8" x14ac:dyDescent="0.25">
      <c r="A529">
        <v>100538</v>
      </c>
      <c r="B529">
        <v>192</v>
      </c>
      <c r="C529">
        <v>420</v>
      </c>
      <c r="D529">
        <v>3010</v>
      </c>
      <c r="E529" s="1">
        <v>45654</v>
      </c>
      <c r="F529" s="1">
        <v>45662</v>
      </c>
      <c r="G529">
        <v>39228</v>
      </c>
      <c r="H529" t="s">
        <v>14</v>
      </c>
    </row>
    <row r="530" spans="1:8" x14ac:dyDescent="0.25">
      <c r="A530">
        <v>100539</v>
      </c>
      <c r="B530">
        <v>281</v>
      </c>
      <c r="C530">
        <v>934</v>
      </c>
      <c r="D530">
        <v>3136</v>
      </c>
      <c r="E530" s="1">
        <v>45638</v>
      </c>
      <c r="F530" s="1">
        <v>45645</v>
      </c>
      <c r="G530">
        <v>49236</v>
      </c>
      <c r="H530" t="s">
        <v>14</v>
      </c>
    </row>
    <row r="531" spans="1:8" x14ac:dyDescent="0.25">
      <c r="A531">
        <v>100540</v>
      </c>
      <c r="B531">
        <v>449</v>
      </c>
      <c r="C531">
        <v>966</v>
      </c>
      <c r="D531">
        <v>3142</v>
      </c>
      <c r="E531" s="1">
        <v>45654</v>
      </c>
      <c r="F531" s="1">
        <v>45658</v>
      </c>
      <c r="G531">
        <v>30472</v>
      </c>
      <c r="H531" t="s">
        <v>10</v>
      </c>
    </row>
    <row r="532" spans="1:8" x14ac:dyDescent="0.25">
      <c r="A532">
        <v>100541</v>
      </c>
      <c r="B532">
        <v>27</v>
      </c>
      <c r="C532">
        <v>493</v>
      </c>
      <c r="D532">
        <v>3373</v>
      </c>
      <c r="E532" s="1">
        <v>45755</v>
      </c>
      <c r="F532" s="1">
        <v>45757</v>
      </c>
      <c r="G532">
        <v>22419</v>
      </c>
      <c r="H532" t="s">
        <v>25</v>
      </c>
    </row>
    <row r="533" spans="1:8" x14ac:dyDescent="0.25">
      <c r="A533">
        <v>100542</v>
      </c>
      <c r="B533">
        <v>272</v>
      </c>
      <c r="C533">
        <v>1438</v>
      </c>
      <c r="D533">
        <v>3297</v>
      </c>
      <c r="E533" s="1">
        <v>45628</v>
      </c>
      <c r="F533" s="1">
        <v>45632</v>
      </c>
      <c r="G533">
        <v>28320</v>
      </c>
      <c r="H533" t="s">
        <v>25</v>
      </c>
    </row>
    <row r="534" spans="1:8" x14ac:dyDescent="0.25">
      <c r="A534">
        <v>100543</v>
      </c>
      <c r="B534">
        <v>134</v>
      </c>
      <c r="C534">
        <v>1439</v>
      </c>
      <c r="D534">
        <v>3351</v>
      </c>
      <c r="E534" s="1">
        <v>45788</v>
      </c>
      <c r="F534" s="1">
        <v>45791</v>
      </c>
      <c r="G534">
        <v>14943</v>
      </c>
      <c r="H534" t="s">
        <v>25</v>
      </c>
    </row>
    <row r="535" spans="1:8" x14ac:dyDescent="0.25">
      <c r="A535">
        <v>100544</v>
      </c>
      <c r="B535">
        <v>59</v>
      </c>
      <c r="C535">
        <v>1524</v>
      </c>
      <c r="D535">
        <v>3196</v>
      </c>
      <c r="E535" s="1">
        <v>45598</v>
      </c>
      <c r="F535" s="1">
        <v>45600</v>
      </c>
      <c r="G535">
        <v>20392</v>
      </c>
      <c r="H535" t="s">
        <v>25</v>
      </c>
    </row>
    <row r="536" spans="1:8" x14ac:dyDescent="0.25">
      <c r="A536">
        <v>100545</v>
      </c>
      <c r="B536">
        <v>470</v>
      </c>
      <c r="C536">
        <v>105</v>
      </c>
      <c r="D536">
        <v>3045</v>
      </c>
      <c r="E536" s="1">
        <v>45755</v>
      </c>
      <c r="F536" s="1">
        <v>45759</v>
      </c>
      <c r="G536">
        <v>42300</v>
      </c>
      <c r="H536" t="s">
        <v>25</v>
      </c>
    </row>
    <row r="537" spans="1:8" x14ac:dyDescent="0.25">
      <c r="A537">
        <v>100546</v>
      </c>
      <c r="B537">
        <v>153</v>
      </c>
      <c r="C537">
        <v>778</v>
      </c>
      <c r="D537">
        <v>3071</v>
      </c>
      <c r="E537" s="1">
        <v>45645</v>
      </c>
      <c r="F537" s="1">
        <v>45646</v>
      </c>
      <c r="G537">
        <v>11355</v>
      </c>
      <c r="H537" t="s">
        <v>25</v>
      </c>
    </row>
    <row r="538" spans="1:8" x14ac:dyDescent="0.25">
      <c r="A538">
        <v>100547</v>
      </c>
      <c r="B538">
        <v>217</v>
      </c>
      <c r="C538">
        <v>430</v>
      </c>
      <c r="D538">
        <v>3005</v>
      </c>
      <c r="E538" s="1">
        <v>45686</v>
      </c>
      <c r="F538" s="1">
        <v>45693</v>
      </c>
      <c r="G538">
        <v>51900</v>
      </c>
      <c r="H538" t="s">
        <v>25</v>
      </c>
    </row>
    <row r="539" spans="1:8" x14ac:dyDescent="0.25">
      <c r="A539">
        <v>100548</v>
      </c>
      <c r="B539">
        <v>459</v>
      </c>
      <c r="C539">
        <v>1261</v>
      </c>
      <c r="D539">
        <v>3477</v>
      </c>
      <c r="E539" s="1">
        <v>45625</v>
      </c>
      <c r="F539" s="1">
        <v>45628</v>
      </c>
      <c r="G539">
        <v>21952</v>
      </c>
      <c r="H539" t="s">
        <v>10</v>
      </c>
    </row>
    <row r="540" spans="1:8" x14ac:dyDescent="0.25">
      <c r="A540">
        <v>100549</v>
      </c>
      <c r="B540">
        <v>150</v>
      </c>
      <c r="C540">
        <v>281</v>
      </c>
      <c r="D540">
        <v>3337</v>
      </c>
      <c r="E540" s="1">
        <v>45669</v>
      </c>
      <c r="F540" s="1">
        <v>45673</v>
      </c>
      <c r="G540">
        <v>19473</v>
      </c>
      <c r="H540" t="s">
        <v>25</v>
      </c>
    </row>
    <row r="541" spans="1:8" x14ac:dyDescent="0.25">
      <c r="A541">
        <v>100550</v>
      </c>
      <c r="B541">
        <v>258</v>
      </c>
      <c r="C541">
        <v>612</v>
      </c>
      <c r="D541">
        <v>3195</v>
      </c>
      <c r="E541" s="1">
        <v>45801</v>
      </c>
      <c r="F541" s="1">
        <v>45804</v>
      </c>
      <c r="G541">
        <v>26145</v>
      </c>
      <c r="H541" t="s">
        <v>25</v>
      </c>
    </row>
    <row r="542" spans="1:8" x14ac:dyDescent="0.25">
      <c r="A542">
        <v>100551</v>
      </c>
      <c r="B542">
        <v>356</v>
      </c>
      <c r="C542">
        <v>1358</v>
      </c>
      <c r="D542">
        <v>3460</v>
      </c>
      <c r="E542" s="1">
        <v>45608</v>
      </c>
      <c r="F542" s="1">
        <v>45610</v>
      </c>
      <c r="G542">
        <v>26486</v>
      </c>
      <c r="H542" t="s">
        <v>25</v>
      </c>
    </row>
    <row r="543" spans="1:8" x14ac:dyDescent="0.25">
      <c r="A543">
        <v>100552</v>
      </c>
      <c r="B543">
        <v>44</v>
      </c>
      <c r="C543">
        <v>900</v>
      </c>
      <c r="D543">
        <v>3436</v>
      </c>
      <c r="E543" s="1">
        <v>45739</v>
      </c>
      <c r="F543" s="1">
        <v>45740</v>
      </c>
      <c r="G543">
        <v>16240</v>
      </c>
      <c r="H543" t="s">
        <v>25</v>
      </c>
    </row>
    <row r="544" spans="1:8" x14ac:dyDescent="0.25">
      <c r="A544">
        <v>100553</v>
      </c>
      <c r="B544">
        <v>117</v>
      </c>
      <c r="C544">
        <v>1086</v>
      </c>
      <c r="D544">
        <v>3452</v>
      </c>
      <c r="E544" s="1">
        <v>45745</v>
      </c>
      <c r="F544" s="1">
        <v>45747</v>
      </c>
      <c r="G544">
        <v>28029</v>
      </c>
      <c r="H544" t="s">
        <v>25</v>
      </c>
    </row>
    <row r="545" spans="1:8" x14ac:dyDescent="0.25">
      <c r="A545">
        <v>100554</v>
      </c>
      <c r="B545">
        <v>68</v>
      </c>
      <c r="C545">
        <v>1474</v>
      </c>
      <c r="D545">
        <v>3338</v>
      </c>
      <c r="E545" s="1">
        <v>45713</v>
      </c>
      <c r="F545" s="1">
        <v>45725</v>
      </c>
      <c r="G545">
        <v>85907</v>
      </c>
      <c r="H545" t="s">
        <v>14</v>
      </c>
    </row>
    <row r="546" spans="1:8" x14ac:dyDescent="0.25">
      <c r="A546">
        <v>100555</v>
      </c>
      <c r="B546">
        <v>336</v>
      </c>
      <c r="C546">
        <v>416</v>
      </c>
      <c r="D546">
        <v>3028</v>
      </c>
      <c r="E546" s="1">
        <v>45795</v>
      </c>
      <c r="F546" s="1">
        <v>45797</v>
      </c>
      <c r="G546">
        <v>21567</v>
      </c>
      <c r="H546" t="s">
        <v>25</v>
      </c>
    </row>
    <row r="547" spans="1:8" x14ac:dyDescent="0.25">
      <c r="A547">
        <v>100556</v>
      </c>
      <c r="B547">
        <v>336</v>
      </c>
      <c r="C547">
        <v>276</v>
      </c>
      <c r="D547">
        <v>3034</v>
      </c>
      <c r="E547" s="1">
        <v>45778</v>
      </c>
      <c r="F547" s="1">
        <v>45782</v>
      </c>
      <c r="G547">
        <v>17576</v>
      </c>
      <c r="H547" t="s">
        <v>25</v>
      </c>
    </row>
    <row r="548" spans="1:8" x14ac:dyDescent="0.25">
      <c r="A548">
        <v>100557</v>
      </c>
      <c r="B548">
        <v>475</v>
      </c>
      <c r="C548">
        <v>1069</v>
      </c>
      <c r="D548">
        <v>3239</v>
      </c>
      <c r="E548" s="1">
        <v>45786</v>
      </c>
      <c r="F548" s="1">
        <v>45790</v>
      </c>
      <c r="G548">
        <v>34515</v>
      </c>
      <c r="H548" t="s">
        <v>10</v>
      </c>
    </row>
    <row r="549" spans="1:8" x14ac:dyDescent="0.25">
      <c r="A549">
        <v>100558</v>
      </c>
      <c r="B549">
        <v>102</v>
      </c>
      <c r="C549">
        <v>525</v>
      </c>
      <c r="D549">
        <v>3175</v>
      </c>
      <c r="E549" s="1">
        <v>45654</v>
      </c>
      <c r="F549" s="1">
        <v>45656</v>
      </c>
      <c r="G549">
        <v>13712</v>
      </c>
      <c r="H549" t="s">
        <v>25</v>
      </c>
    </row>
    <row r="550" spans="1:8" x14ac:dyDescent="0.25">
      <c r="A550">
        <v>100559</v>
      </c>
      <c r="B550">
        <v>494</v>
      </c>
      <c r="C550">
        <v>260</v>
      </c>
      <c r="D550">
        <v>3443</v>
      </c>
      <c r="E550" s="1">
        <v>45788</v>
      </c>
      <c r="F550" s="1">
        <v>45790</v>
      </c>
      <c r="G550">
        <v>25432</v>
      </c>
      <c r="H550" t="s">
        <v>25</v>
      </c>
    </row>
    <row r="551" spans="1:8" x14ac:dyDescent="0.25">
      <c r="A551">
        <v>100560</v>
      </c>
      <c r="B551">
        <v>452</v>
      </c>
      <c r="C551">
        <v>745</v>
      </c>
      <c r="D551">
        <v>3323</v>
      </c>
      <c r="E551" s="1">
        <v>45700</v>
      </c>
      <c r="F551" s="1">
        <v>45702</v>
      </c>
      <c r="G551">
        <v>25321</v>
      </c>
      <c r="H551" t="s">
        <v>25</v>
      </c>
    </row>
    <row r="552" spans="1:8" x14ac:dyDescent="0.25">
      <c r="A552">
        <v>100561</v>
      </c>
      <c r="B552">
        <v>198</v>
      </c>
      <c r="C552">
        <v>1241</v>
      </c>
      <c r="D552">
        <v>3288</v>
      </c>
      <c r="E552" s="1">
        <v>45773</v>
      </c>
      <c r="F552" s="1">
        <v>45776</v>
      </c>
      <c r="G552">
        <v>23308</v>
      </c>
      <c r="H552" t="s">
        <v>17</v>
      </c>
    </row>
    <row r="553" spans="1:8" x14ac:dyDescent="0.25">
      <c r="A553">
        <v>100562</v>
      </c>
      <c r="B553">
        <v>373</v>
      </c>
      <c r="C553">
        <v>229</v>
      </c>
      <c r="D553">
        <v>3309</v>
      </c>
      <c r="E553" s="1">
        <v>45791</v>
      </c>
      <c r="F553" s="1">
        <v>45793</v>
      </c>
      <c r="G553">
        <v>14481</v>
      </c>
      <c r="H553" t="s">
        <v>25</v>
      </c>
    </row>
    <row r="554" spans="1:8" x14ac:dyDescent="0.25">
      <c r="A554">
        <v>100563</v>
      </c>
      <c r="B554">
        <v>346</v>
      </c>
      <c r="C554">
        <v>1345</v>
      </c>
      <c r="D554">
        <v>3149</v>
      </c>
      <c r="E554" s="1">
        <v>45641</v>
      </c>
      <c r="F554" s="1">
        <v>45644</v>
      </c>
      <c r="G554">
        <v>20621</v>
      </c>
      <c r="H554" t="s">
        <v>25</v>
      </c>
    </row>
    <row r="555" spans="1:8" x14ac:dyDescent="0.25">
      <c r="A555">
        <v>100564</v>
      </c>
      <c r="B555">
        <v>489</v>
      </c>
      <c r="C555">
        <v>474</v>
      </c>
      <c r="D555">
        <v>3031</v>
      </c>
      <c r="E555" s="1">
        <v>45613</v>
      </c>
      <c r="F555" s="1">
        <v>45618</v>
      </c>
      <c r="G555">
        <v>40342</v>
      </c>
      <c r="H555" t="s">
        <v>17</v>
      </c>
    </row>
    <row r="556" spans="1:8" x14ac:dyDescent="0.25">
      <c r="A556">
        <v>100565</v>
      </c>
      <c r="B556">
        <v>82</v>
      </c>
      <c r="C556">
        <v>535</v>
      </c>
      <c r="D556">
        <v>3460</v>
      </c>
      <c r="E556" s="1">
        <v>45671</v>
      </c>
      <c r="F556" s="1">
        <v>45688</v>
      </c>
      <c r="G556">
        <v>145812</v>
      </c>
      <c r="H556" t="s">
        <v>14</v>
      </c>
    </row>
    <row r="557" spans="1:8" x14ac:dyDescent="0.25">
      <c r="A557">
        <v>100566</v>
      </c>
      <c r="B557">
        <v>202</v>
      </c>
      <c r="C557">
        <v>1525</v>
      </c>
      <c r="D557">
        <v>3077</v>
      </c>
      <c r="E557" s="1">
        <v>45754</v>
      </c>
      <c r="F557" s="1">
        <v>45755</v>
      </c>
      <c r="G557">
        <v>10650</v>
      </c>
      <c r="H557" t="s">
        <v>14</v>
      </c>
    </row>
    <row r="558" spans="1:8" x14ac:dyDescent="0.25">
      <c r="A558">
        <v>100567</v>
      </c>
      <c r="B558">
        <v>108</v>
      </c>
      <c r="C558">
        <v>1277</v>
      </c>
      <c r="D558">
        <v>3097</v>
      </c>
      <c r="E558" s="1">
        <v>45688</v>
      </c>
      <c r="F558" s="1">
        <v>45691</v>
      </c>
      <c r="G558">
        <v>13731</v>
      </c>
      <c r="H558" t="s">
        <v>25</v>
      </c>
    </row>
    <row r="559" spans="1:8" x14ac:dyDescent="0.25">
      <c r="A559">
        <v>100568</v>
      </c>
      <c r="B559">
        <v>383</v>
      </c>
      <c r="C559">
        <v>654</v>
      </c>
      <c r="D559">
        <v>3456</v>
      </c>
      <c r="E559" s="1">
        <v>45788</v>
      </c>
      <c r="F559" s="1">
        <v>45792</v>
      </c>
      <c r="G559">
        <v>30345</v>
      </c>
      <c r="H559" t="s">
        <v>14</v>
      </c>
    </row>
    <row r="560" spans="1:8" x14ac:dyDescent="0.25">
      <c r="A560">
        <v>100569</v>
      </c>
      <c r="B560">
        <v>471</v>
      </c>
      <c r="C560">
        <v>992</v>
      </c>
      <c r="D560">
        <v>3363</v>
      </c>
      <c r="E560" s="1">
        <v>45772</v>
      </c>
      <c r="F560" s="1">
        <v>45776</v>
      </c>
      <c r="G560">
        <v>33604</v>
      </c>
      <c r="H560" t="s">
        <v>25</v>
      </c>
    </row>
    <row r="561" spans="1:8" x14ac:dyDescent="0.25">
      <c r="A561">
        <v>100570</v>
      </c>
      <c r="B561">
        <v>280</v>
      </c>
      <c r="C561">
        <v>669</v>
      </c>
      <c r="D561">
        <v>3120</v>
      </c>
      <c r="E561" s="1">
        <v>45740</v>
      </c>
      <c r="F561" s="1">
        <v>45748</v>
      </c>
      <c r="G561">
        <v>49581</v>
      </c>
      <c r="H561" t="s">
        <v>25</v>
      </c>
    </row>
    <row r="562" spans="1:8" x14ac:dyDescent="0.25">
      <c r="A562">
        <v>100571</v>
      </c>
      <c r="B562">
        <v>315</v>
      </c>
      <c r="C562">
        <v>345</v>
      </c>
      <c r="D562">
        <v>3290</v>
      </c>
      <c r="E562" s="1">
        <v>45751</v>
      </c>
      <c r="F562" s="1">
        <v>45756</v>
      </c>
      <c r="G562">
        <v>29723</v>
      </c>
      <c r="H562" t="s">
        <v>14</v>
      </c>
    </row>
    <row r="563" spans="1:8" x14ac:dyDescent="0.25">
      <c r="A563">
        <v>100572</v>
      </c>
      <c r="B563">
        <v>22</v>
      </c>
      <c r="C563">
        <v>1123</v>
      </c>
      <c r="D563">
        <v>3100</v>
      </c>
      <c r="E563" s="1">
        <v>45786</v>
      </c>
      <c r="F563" s="1">
        <v>45789</v>
      </c>
      <c r="G563">
        <v>17811</v>
      </c>
      <c r="H563" t="s">
        <v>25</v>
      </c>
    </row>
    <row r="564" spans="1:8" x14ac:dyDescent="0.25">
      <c r="A564">
        <v>100573</v>
      </c>
      <c r="B564">
        <v>323</v>
      </c>
      <c r="C564">
        <v>1141</v>
      </c>
      <c r="D564">
        <v>3104</v>
      </c>
      <c r="E564" s="1">
        <v>45617</v>
      </c>
      <c r="F564" s="1">
        <v>45633</v>
      </c>
      <c r="G564">
        <v>63087</v>
      </c>
      <c r="H564" t="s">
        <v>25</v>
      </c>
    </row>
    <row r="565" spans="1:8" x14ac:dyDescent="0.25">
      <c r="A565">
        <v>100574</v>
      </c>
      <c r="B565">
        <v>152</v>
      </c>
      <c r="C565">
        <v>618</v>
      </c>
      <c r="D565">
        <v>3188</v>
      </c>
      <c r="E565" s="1">
        <v>45777</v>
      </c>
      <c r="F565" s="1">
        <v>45785</v>
      </c>
      <c r="G565">
        <v>55985</v>
      </c>
      <c r="H565" t="s">
        <v>25</v>
      </c>
    </row>
    <row r="566" spans="1:8" x14ac:dyDescent="0.25">
      <c r="A566">
        <v>100575</v>
      </c>
      <c r="B566">
        <v>135</v>
      </c>
      <c r="C566">
        <v>150</v>
      </c>
      <c r="D566">
        <v>3125</v>
      </c>
      <c r="E566" s="1">
        <v>45754</v>
      </c>
      <c r="F566" s="1">
        <v>45763</v>
      </c>
      <c r="G566">
        <v>51067</v>
      </c>
      <c r="H566" t="s">
        <v>14</v>
      </c>
    </row>
    <row r="567" spans="1:8" x14ac:dyDescent="0.25">
      <c r="A567">
        <v>100576</v>
      </c>
      <c r="B567">
        <v>203</v>
      </c>
      <c r="C567">
        <v>822</v>
      </c>
      <c r="D567">
        <v>3063</v>
      </c>
      <c r="E567" s="1">
        <v>45683</v>
      </c>
      <c r="F567" s="1">
        <v>45686</v>
      </c>
      <c r="G567">
        <v>24833</v>
      </c>
      <c r="H567" t="s">
        <v>14</v>
      </c>
    </row>
    <row r="568" spans="1:8" x14ac:dyDescent="0.25">
      <c r="A568">
        <v>100577</v>
      </c>
      <c r="B568">
        <v>425</v>
      </c>
      <c r="C568">
        <v>979</v>
      </c>
      <c r="D568">
        <v>3453</v>
      </c>
      <c r="E568" s="1">
        <v>45723</v>
      </c>
      <c r="F568" s="1">
        <v>45728</v>
      </c>
      <c r="G568">
        <v>42310</v>
      </c>
      <c r="H568" t="s">
        <v>14</v>
      </c>
    </row>
    <row r="569" spans="1:8" x14ac:dyDescent="0.25">
      <c r="A569">
        <v>100578</v>
      </c>
      <c r="B569">
        <v>241</v>
      </c>
      <c r="C569">
        <v>1264</v>
      </c>
      <c r="D569">
        <v>3153</v>
      </c>
      <c r="E569" s="1">
        <v>45679</v>
      </c>
      <c r="F569" s="1">
        <v>45684</v>
      </c>
      <c r="G569">
        <v>43455</v>
      </c>
      <c r="H569" t="s">
        <v>14</v>
      </c>
    </row>
    <row r="570" spans="1:8" x14ac:dyDescent="0.25">
      <c r="A570">
        <v>100579</v>
      </c>
      <c r="B570">
        <v>143</v>
      </c>
      <c r="C570">
        <v>1095</v>
      </c>
      <c r="D570">
        <v>3312</v>
      </c>
      <c r="E570" s="1">
        <v>45609</v>
      </c>
      <c r="F570" s="1">
        <v>45613</v>
      </c>
      <c r="G570">
        <v>35714</v>
      </c>
      <c r="H570" t="s">
        <v>25</v>
      </c>
    </row>
    <row r="571" spans="1:8" x14ac:dyDescent="0.25">
      <c r="A571">
        <v>100580</v>
      </c>
      <c r="B571">
        <v>319</v>
      </c>
      <c r="C571">
        <v>1248</v>
      </c>
      <c r="D571">
        <v>3319</v>
      </c>
      <c r="E571" s="1">
        <v>45690</v>
      </c>
      <c r="F571" s="1">
        <v>45719</v>
      </c>
      <c r="G571">
        <v>154379</v>
      </c>
      <c r="H571" t="s">
        <v>17</v>
      </c>
    </row>
    <row r="572" spans="1:8" x14ac:dyDescent="0.25">
      <c r="A572">
        <v>100581</v>
      </c>
      <c r="B572">
        <v>311</v>
      </c>
      <c r="C572">
        <v>274</v>
      </c>
      <c r="D572">
        <v>3030</v>
      </c>
      <c r="E572" s="1">
        <v>45779</v>
      </c>
      <c r="F572" s="1">
        <v>45782</v>
      </c>
      <c r="G572">
        <v>34458</v>
      </c>
      <c r="H572" t="s">
        <v>14</v>
      </c>
    </row>
    <row r="573" spans="1:8" x14ac:dyDescent="0.25">
      <c r="A573">
        <v>100582</v>
      </c>
      <c r="B573">
        <v>171</v>
      </c>
      <c r="C573">
        <v>727</v>
      </c>
      <c r="D573">
        <v>3028</v>
      </c>
      <c r="E573" s="1">
        <v>45797</v>
      </c>
      <c r="F573" s="1">
        <v>45800</v>
      </c>
      <c r="G573">
        <v>21816</v>
      </c>
      <c r="H573" t="s">
        <v>25</v>
      </c>
    </row>
    <row r="574" spans="1:8" x14ac:dyDescent="0.25">
      <c r="A574">
        <v>100583</v>
      </c>
      <c r="B574">
        <v>437</v>
      </c>
      <c r="C574">
        <v>1514</v>
      </c>
      <c r="D574">
        <v>3111</v>
      </c>
      <c r="E574" s="1">
        <v>45689</v>
      </c>
      <c r="F574" s="1">
        <v>45691</v>
      </c>
      <c r="G574">
        <v>15376</v>
      </c>
      <c r="H574" t="s">
        <v>25</v>
      </c>
    </row>
    <row r="575" spans="1:8" x14ac:dyDescent="0.25">
      <c r="A575">
        <v>100584</v>
      </c>
      <c r="B575">
        <v>173</v>
      </c>
      <c r="C575">
        <v>1375</v>
      </c>
      <c r="D575">
        <v>3464</v>
      </c>
      <c r="E575" s="1">
        <v>45700</v>
      </c>
      <c r="F575" s="1">
        <v>45703</v>
      </c>
      <c r="G575">
        <v>14931</v>
      </c>
      <c r="H575" t="s">
        <v>25</v>
      </c>
    </row>
    <row r="576" spans="1:8" x14ac:dyDescent="0.25">
      <c r="A576">
        <v>100585</v>
      </c>
      <c r="B576">
        <v>359</v>
      </c>
      <c r="C576">
        <v>1174</v>
      </c>
      <c r="D576">
        <v>3339</v>
      </c>
      <c r="E576" s="1">
        <v>45637</v>
      </c>
      <c r="F576" s="1">
        <v>45642</v>
      </c>
      <c r="G576">
        <v>29367</v>
      </c>
      <c r="H576" t="s">
        <v>10</v>
      </c>
    </row>
    <row r="577" spans="1:8" x14ac:dyDescent="0.25">
      <c r="A577">
        <v>100586</v>
      </c>
      <c r="B577">
        <v>346</v>
      </c>
      <c r="C577">
        <v>1293</v>
      </c>
      <c r="D577">
        <v>3297</v>
      </c>
      <c r="E577" s="1">
        <v>45709</v>
      </c>
      <c r="F577" s="1">
        <v>45715</v>
      </c>
      <c r="G577">
        <v>47179</v>
      </c>
      <c r="H577" t="s">
        <v>17</v>
      </c>
    </row>
    <row r="578" spans="1:8" x14ac:dyDescent="0.25">
      <c r="A578">
        <v>100587</v>
      </c>
      <c r="B578">
        <v>309</v>
      </c>
      <c r="C578">
        <v>1132</v>
      </c>
      <c r="D578">
        <v>3395</v>
      </c>
      <c r="E578" s="1">
        <v>45669</v>
      </c>
      <c r="F578" s="1">
        <v>45673</v>
      </c>
      <c r="G578">
        <v>15575</v>
      </c>
      <c r="H578" t="s">
        <v>14</v>
      </c>
    </row>
    <row r="579" spans="1:8" x14ac:dyDescent="0.25">
      <c r="A579">
        <v>100588</v>
      </c>
      <c r="B579">
        <v>163</v>
      </c>
      <c r="C579">
        <v>227</v>
      </c>
      <c r="D579">
        <v>3207</v>
      </c>
      <c r="E579" s="1">
        <v>45679</v>
      </c>
      <c r="F579" s="1">
        <v>45680</v>
      </c>
      <c r="G579">
        <v>13029</v>
      </c>
      <c r="H579" t="s">
        <v>25</v>
      </c>
    </row>
    <row r="580" spans="1:8" x14ac:dyDescent="0.25">
      <c r="A580">
        <v>100589</v>
      </c>
      <c r="B580">
        <v>119</v>
      </c>
      <c r="C580">
        <v>1278</v>
      </c>
      <c r="D580">
        <v>3262</v>
      </c>
      <c r="E580" s="1">
        <v>45793</v>
      </c>
      <c r="F580" s="1">
        <v>45801</v>
      </c>
      <c r="G580">
        <v>26906</v>
      </c>
      <c r="H580" t="s">
        <v>14</v>
      </c>
    </row>
    <row r="581" spans="1:8" x14ac:dyDescent="0.25">
      <c r="A581">
        <v>100590</v>
      </c>
      <c r="B581">
        <v>382</v>
      </c>
      <c r="C581">
        <v>913</v>
      </c>
      <c r="D581">
        <v>3295</v>
      </c>
      <c r="E581" s="1">
        <v>45769</v>
      </c>
      <c r="F581" s="1">
        <v>45772</v>
      </c>
      <c r="G581">
        <v>29228</v>
      </c>
      <c r="H581" t="s">
        <v>25</v>
      </c>
    </row>
    <row r="582" spans="1:8" x14ac:dyDescent="0.25">
      <c r="A582">
        <v>100591</v>
      </c>
      <c r="B582">
        <v>233</v>
      </c>
      <c r="C582">
        <v>714</v>
      </c>
      <c r="D582">
        <v>3321</v>
      </c>
      <c r="E582" s="1">
        <v>45674</v>
      </c>
      <c r="F582" s="1">
        <v>45683</v>
      </c>
      <c r="G582">
        <v>38957</v>
      </c>
      <c r="H582" t="s">
        <v>14</v>
      </c>
    </row>
    <row r="583" spans="1:8" x14ac:dyDescent="0.25">
      <c r="A583">
        <v>100592</v>
      </c>
      <c r="B583">
        <v>329</v>
      </c>
      <c r="C583">
        <v>1215</v>
      </c>
      <c r="D583">
        <v>3017</v>
      </c>
      <c r="E583" s="1">
        <v>45646</v>
      </c>
      <c r="F583" s="1">
        <v>45648</v>
      </c>
      <c r="G583">
        <v>25085</v>
      </c>
      <c r="H583" t="s">
        <v>10</v>
      </c>
    </row>
    <row r="584" spans="1:8" x14ac:dyDescent="0.25">
      <c r="A584">
        <v>100593</v>
      </c>
      <c r="B584">
        <v>97</v>
      </c>
      <c r="C584">
        <v>182</v>
      </c>
      <c r="D584">
        <v>3388</v>
      </c>
      <c r="E584" s="1">
        <v>45697</v>
      </c>
      <c r="F584" s="1">
        <v>45700</v>
      </c>
      <c r="G584">
        <v>22343</v>
      </c>
      <c r="H584" t="s">
        <v>25</v>
      </c>
    </row>
    <row r="585" spans="1:8" x14ac:dyDescent="0.25">
      <c r="A585">
        <v>100594</v>
      </c>
      <c r="B585">
        <v>153</v>
      </c>
      <c r="C585">
        <v>732</v>
      </c>
      <c r="D585">
        <v>3419</v>
      </c>
      <c r="E585" s="1">
        <v>45685</v>
      </c>
      <c r="F585" s="1">
        <v>45692</v>
      </c>
      <c r="G585">
        <v>30163</v>
      </c>
      <c r="H585" t="s">
        <v>17</v>
      </c>
    </row>
    <row r="586" spans="1:8" x14ac:dyDescent="0.25">
      <c r="A586">
        <v>100595</v>
      </c>
      <c r="B586">
        <v>435</v>
      </c>
      <c r="C586">
        <v>879</v>
      </c>
      <c r="D586">
        <v>3223</v>
      </c>
      <c r="E586" s="1">
        <v>45683</v>
      </c>
      <c r="F586" s="1">
        <v>45687</v>
      </c>
      <c r="G586">
        <v>24889</v>
      </c>
      <c r="H586" t="s">
        <v>25</v>
      </c>
    </row>
    <row r="587" spans="1:8" x14ac:dyDescent="0.25">
      <c r="A587">
        <v>100596</v>
      </c>
      <c r="B587">
        <v>459</v>
      </c>
      <c r="C587">
        <v>384</v>
      </c>
      <c r="D587">
        <v>3141</v>
      </c>
      <c r="E587" s="1">
        <v>45769</v>
      </c>
      <c r="F587" s="1">
        <v>45772</v>
      </c>
      <c r="G587">
        <v>22607</v>
      </c>
      <c r="H587" t="s">
        <v>25</v>
      </c>
    </row>
    <row r="588" spans="1:8" x14ac:dyDescent="0.25">
      <c r="A588">
        <v>100597</v>
      </c>
      <c r="B588">
        <v>350</v>
      </c>
      <c r="C588">
        <v>130</v>
      </c>
      <c r="D588">
        <v>3346</v>
      </c>
      <c r="E588" s="1">
        <v>45768</v>
      </c>
      <c r="F588" s="1">
        <v>45772</v>
      </c>
      <c r="G588">
        <v>29434</v>
      </c>
      <c r="H588" t="s">
        <v>25</v>
      </c>
    </row>
    <row r="589" spans="1:8" x14ac:dyDescent="0.25">
      <c r="A589">
        <v>100598</v>
      </c>
      <c r="B589">
        <v>360</v>
      </c>
      <c r="C589">
        <v>983</v>
      </c>
      <c r="D589">
        <v>3436</v>
      </c>
      <c r="E589" s="1">
        <v>45713</v>
      </c>
      <c r="F589" s="1">
        <v>45716</v>
      </c>
      <c r="G589">
        <v>26639</v>
      </c>
      <c r="H589" t="s">
        <v>25</v>
      </c>
    </row>
    <row r="590" spans="1:8" x14ac:dyDescent="0.25">
      <c r="A590">
        <v>100599</v>
      </c>
      <c r="B590">
        <v>491</v>
      </c>
      <c r="C590">
        <v>1573</v>
      </c>
      <c r="D590">
        <v>3471</v>
      </c>
      <c r="E590" s="1">
        <v>45693</v>
      </c>
      <c r="F590" s="1">
        <v>45694</v>
      </c>
      <c r="G590">
        <v>17498</v>
      </c>
      <c r="H590" t="s">
        <v>25</v>
      </c>
    </row>
    <row r="591" spans="1:8" x14ac:dyDescent="0.25">
      <c r="A591">
        <v>100600</v>
      </c>
      <c r="B591">
        <v>287</v>
      </c>
      <c r="C591">
        <v>782</v>
      </c>
      <c r="D591">
        <v>3233</v>
      </c>
      <c r="E591" s="1">
        <v>45762</v>
      </c>
      <c r="F591" s="1">
        <v>45768</v>
      </c>
      <c r="G591">
        <v>24664</v>
      </c>
      <c r="H591" t="s">
        <v>25</v>
      </c>
    </row>
    <row r="592" spans="1:8" x14ac:dyDescent="0.25">
      <c r="A592">
        <v>100601</v>
      </c>
      <c r="B592">
        <v>344</v>
      </c>
      <c r="C592">
        <v>237</v>
      </c>
      <c r="D592">
        <v>3226</v>
      </c>
      <c r="E592" s="1">
        <v>45720</v>
      </c>
      <c r="F592" s="1">
        <v>45723</v>
      </c>
      <c r="G592">
        <v>26329</v>
      </c>
      <c r="H592" t="s">
        <v>25</v>
      </c>
    </row>
    <row r="593" spans="1:8" x14ac:dyDescent="0.25">
      <c r="A593">
        <v>100602</v>
      </c>
      <c r="B593">
        <v>39</v>
      </c>
      <c r="C593">
        <v>1141</v>
      </c>
      <c r="D593">
        <v>3409</v>
      </c>
      <c r="E593" s="1">
        <v>45748</v>
      </c>
      <c r="F593" s="1">
        <v>45750</v>
      </c>
      <c r="G593">
        <v>18321</v>
      </c>
      <c r="H593" t="s">
        <v>25</v>
      </c>
    </row>
    <row r="594" spans="1:8" x14ac:dyDescent="0.25">
      <c r="A594">
        <v>100603</v>
      </c>
      <c r="B594">
        <v>492</v>
      </c>
      <c r="C594">
        <v>1361</v>
      </c>
      <c r="D594">
        <v>3290</v>
      </c>
      <c r="E594" s="1">
        <v>45597</v>
      </c>
      <c r="F594" s="1">
        <v>45600</v>
      </c>
      <c r="G594">
        <v>25182</v>
      </c>
      <c r="H594" t="s">
        <v>25</v>
      </c>
    </row>
    <row r="595" spans="1:8" x14ac:dyDescent="0.25">
      <c r="A595">
        <v>100604</v>
      </c>
      <c r="B595">
        <v>173</v>
      </c>
      <c r="C595">
        <v>1483</v>
      </c>
      <c r="D595">
        <v>3055</v>
      </c>
      <c r="E595" s="1">
        <v>45751</v>
      </c>
      <c r="F595" s="1">
        <v>45753</v>
      </c>
      <c r="G595">
        <v>23304</v>
      </c>
      <c r="H595" t="s">
        <v>17</v>
      </c>
    </row>
    <row r="596" spans="1:8" x14ac:dyDescent="0.25">
      <c r="A596">
        <v>100605</v>
      </c>
      <c r="B596">
        <v>203</v>
      </c>
      <c r="C596">
        <v>213</v>
      </c>
      <c r="D596">
        <v>3167</v>
      </c>
      <c r="E596" s="1">
        <v>45616</v>
      </c>
      <c r="F596" s="1">
        <v>45617</v>
      </c>
      <c r="G596">
        <v>9555</v>
      </c>
      <c r="H596" t="s">
        <v>14</v>
      </c>
    </row>
    <row r="597" spans="1:8" x14ac:dyDescent="0.25">
      <c r="A597">
        <v>100606</v>
      </c>
      <c r="B597">
        <v>189</v>
      </c>
      <c r="C597">
        <v>483</v>
      </c>
      <c r="D597">
        <v>3100</v>
      </c>
      <c r="E597" s="1">
        <v>45804</v>
      </c>
      <c r="F597" s="1">
        <v>45808</v>
      </c>
      <c r="G597">
        <v>41537</v>
      </c>
      <c r="H597" t="s">
        <v>25</v>
      </c>
    </row>
    <row r="598" spans="1:8" x14ac:dyDescent="0.25">
      <c r="A598">
        <v>100607</v>
      </c>
      <c r="B598">
        <v>114</v>
      </c>
      <c r="C598">
        <v>1231</v>
      </c>
      <c r="D598">
        <v>3413</v>
      </c>
      <c r="E598" s="1">
        <v>45648</v>
      </c>
      <c r="F598" s="1">
        <v>45652</v>
      </c>
      <c r="G598">
        <v>36436</v>
      </c>
      <c r="H598" t="s">
        <v>17</v>
      </c>
    </row>
    <row r="599" spans="1:8" x14ac:dyDescent="0.25">
      <c r="A599">
        <v>100608</v>
      </c>
      <c r="B599">
        <v>31</v>
      </c>
      <c r="C599">
        <v>1500</v>
      </c>
      <c r="D599">
        <v>3072</v>
      </c>
      <c r="E599" s="1">
        <v>45737</v>
      </c>
      <c r="F599" s="1">
        <v>45741</v>
      </c>
      <c r="G599">
        <v>26565</v>
      </c>
      <c r="H599" t="s">
        <v>25</v>
      </c>
    </row>
    <row r="600" spans="1:8" x14ac:dyDescent="0.25">
      <c r="A600">
        <v>100609</v>
      </c>
      <c r="B600">
        <v>255</v>
      </c>
      <c r="C600">
        <v>1130</v>
      </c>
      <c r="D600">
        <v>3402</v>
      </c>
      <c r="E600" s="1">
        <v>45753</v>
      </c>
      <c r="F600" s="1">
        <v>45755</v>
      </c>
      <c r="G600">
        <v>28395</v>
      </c>
      <c r="H600" t="s">
        <v>25</v>
      </c>
    </row>
    <row r="601" spans="1:8" x14ac:dyDescent="0.25">
      <c r="A601">
        <v>100610</v>
      </c>
      <c r="B601">
        <v>305</v>
      </c>
      <c r="C601">
        <v>284</v>
      </c>
      <c r="D601">
        <v>3023</v>
      </c>
      <c r="E601" s="1">
        <v>45758</v>
      </c>
      <c r="F601" s="1">
        <v>45768</v>
      </c>
      <c r="G601">
        <v>72277</v>
      </c>
      <c r="H601" t="s">
        <v>25</v>
      </c>
    </row>
    <row r="602" spans="1:8" x14ac:dyDescent="0.25">
      <c r="A602">
        <v>100611</v>
      </c>
      <c r="B602">
        <v>305</v>
      </c>
      <c r="C602">
        <v>222</v>
      </c>
      <c r="D602">
        <v>3447</v>
      </c>
      <c r="E602" s="1">
        <v>45619</v>
      </c>
      <c r="F602" s="1">
        <v>45624</v>
      </c>
      <c r="G602">
        <v>47529</v>
      </c>
      <c r="H602" t="s">
        <v>25</v>
      </c>
    </row>
    <row r="603" spans="1:8" x14ac:dyDescent="0.25">
      <c r="A603">
        <v>100612</v>
      </c>
      <c r="B603">
        <v>101</v>
      </c>
      <c r="C603">
        <v>1085</v>
      </c>
      <c r="D603">
        <v>3069</v>
      </c>
      <c r="E603" s="1">
        <v>45785</v>
      </c>
      <c r="F603" s="1">
        <v>45788</v>
      </c>
      <c r="G603">
        <v>31422</v>
      </c>
      <c r="H603" t="s">
        <v>25</v>
      </c>
    </row>
    <row r="604" spans="1:8" x14ac:dyDescent="0.25">
      <c r="A604">
        <v>100613</v>
      </c>
      <c r="B604">
        <v>201</v>
      </c>
      <c r="C604">
        <v>1527</v>
      </c>
      <c r="D604">
        <v>3442</v>
      </c>
      <c r="E604" s="1">
        <v>45659</v>
      </c>
      <c r="F604" s="1">
        <v>45669</v>
      </c>
      <c r="G604">
        <v>58636</v>
      </c>
      <c r="H604" t="s">
        <v>25</v>
      </c>
    </row>
    <row r="605" spans="1:8" x14ac:dyDescent="0.25">
      <c r="A605">
        <v>100614</v>
      </c>
      <c r="B605">
        <v>339</v>
      </c>
      <c r="C605">
        <v>239</v>
      </c>
      <c r="D605">
        <v>3142</v>
      </c>
      <c r="E605" s="1">
        <v>45631</v>
      </c>
      <c r="F605" s="1">
        <v>45636</v>
      </c>
      <c r="G605">
        <v>31656</v>
      </c>
      <c r="H605" t="s">
        <v>14</v>
      </c>
    </row>
    <row r="606" spans="1:8" x14ac:dyDescent="0.25">
      <c r="A606">
        <v>100615</v>
      </c>
      <c r="B606">
        <v>263</v>
      </c>
      <c r="C606">
        <v>1057</v>
      </c>
      <c r="D606">
        <v>3124</v>
      </c>
      <c r="E606" s="1">
        <v>45802</v>
      </c>
      <c r="F606" s="1">
        <v>45806</v>
      </c>
      <c r="G606">
        <v>18321</v>
      </c>
      <c r="H606" t="s">
        <v>25</v>
      </c>
    </row>
    <row r="607" spans="1:8" x14ac:dyDescent="0.25">
      <c r="A607">
        <v>100616</v>
      </c>
      <c r="B607">
        <v>424</v>
      </c>
      <c r="C607">
        <v>1137</v>
      </c>
      <c r="D607">
        <v>3157</v>
      </c>
      <c r="E607" s="1">
        <v>45772</v>
      </c>
      <c r="F607" s="1">
        <v>45789</v>
      </c>
      <c r="G607">
        <v>56109</v>
      </c>
      <c r="H607" t="s">
        <v>25</v>
      </c>
    </row>
    <row r="608" spans="1:8" x14ac:dyDescent="0.25">
      <c r="A608">
        <v>100617</v>
      </c>
      <c r="B608">
        <v>500</v>
      </c>
      <c r="C608">
        <v>590</v>
      </c>
      <c r="D608">
        <v>3333</v>
      </c>
      <c r="E608" s="1">
        <v>45679</v>
      </c>
      <c r="F608" s="1">
        <v>45681</v>
      </c>
      <c r="G608">
        <v>19303</v>
      </c>
      <c r="H608" t="s">
        <v>25</v>
      </c>
    </row>
    <row r="609" spans="1:8" x14ac:dyDescent="0.25">
      <c r="A609">
        <v>100618</v>
      </c>
      <c r="B609">
        <v>328</v>
      </c>
      <c r="C609">
        <v>1147</v>
      </c>
      <c r="D609">
        <v>3332</v>
      </c>
      <c r="E609" s="1">
        <v>45684</v>
      </c>
      <c r="F609" s="1">
        <v>45686</v>
      </c>
      <c r="G609">
        <v>21735</v>
      </c>
      <c r="H609" t="s">
        <v>14</v>
      </c>
    </row>
    <row r="610" spans="1:8" x14ac:dyDescent="0.25">
      <c r="A610">
        <v>100619</v>
      </c>
      <c r="B610">
        <v>90</v>
      </c>
      <c r="C610">
        <v>736</v>
      </c>
      <c r="D610">
        <v>3087</v>
      </c>
      <c r="E610" s="1">
        <v>45671</v>
      </c>
      <c r="F610" s="1">
        <v>45681</v>
      </c>
      <c r="G610">
        <v>75329</v>
      </c>
      <c r="H610" t="s">
        <v>25</v>
      </c>
    </row>
    <row r="611" spans="1:8" x14ac:dyDescent="0.25">
      <c r="A611">
        <v>100620</v>
      </c>
      <c r="B611">
        <v>335</v>
      </c>
      <c r="C611">
        <v>266</v>
      </c>
      <c r="D611">
        <v>3172</v>
      </c>
      <c r="E611" s="1">
        <v>45774</v>
      </c>
      <c r="F611" s="1">
        <v>45780</v>
      </c>
      <c r="G611">
        <v>40063</v>
      </c>
      <c r="H611" t="s">
        <v>25</v>
      </c>
    </row>
    <row r="612" spans="1:8" x14ac:dyDescent="0.25">
      <c r="A612">
        <v>100621</v>
      </c>
      <c r="B612">
        <v>116</v>
      </c>
      <c r="C612">
        <v>1227</v>
      </c>
      <c r="D612">
        <v>3092</v>
      </c>
      <c r="E612" s="1">
        <v>45686</v>
      </c>
      <c r="F612" s="1">
        <v>45689</v>
      </c>
      <c r="G612">
        <v>33563</v>
      </c>
      <c r="H612" t="s">
        <v>25</v>
      </c>
    </row>
    <row r="613" spans="1:8" x14ac:dyDescent="0.25">
      <c r="A613">
        <v>100622</v>
      </c>
      <c r="B613">
        <v>485</v>
      </c>
      <c r="C613">
        <v>633</v>
      </c>
      <c r="D613">
        <v>3053</v>
      </c>
      <c r="E613" s="1">
        <v>45692</v>
      </c>
      <c r="F613" s="1">
        <v>45694</v>
      </c>
      <c r="G613">
        <v>23534</v>
      </c>
      <c r="H613" t="s">
        <v>25</v>
      </c>
    </row>
    <row r="614" spans="1:8" x14ac:dyDescent="0.25">
      <c r="A614">
        <v>100623</v>
      </c>
      <c r="B614">
        <v>360</v>
      </c>
      <c r="C614">
        <v>786</v>
      </c>
      <c r="D614">
        <v>3044</v>
      </c>
      <c r="E614" s="1">
        <v>45772</v>
      </c>
      <c r="F614" s="1">
        <v>45777</v>
      </c>
      <c r="G614">
        <v>51365</v>
      </c>
      <c r="H614" t="s">
        <v>17</v>
      </c>
    </row>
    <row r="615" spans="1:8" x14ac:dyDescent="0.25">
      <c r="A615">
        <v>100624</v>
      </c>
      <c r="B615">
        <v>250</v>
      </c>
      <c r="C615">
        <v>1110</v>
      </c>
      <c r="D615">
        <v>3430</v>
      </c>
      <c r="E615" s="1">
        <v>45695</v>
      </c>
      <c r="F615" s="1">
        <v>45698</v>
      </c>
      <c r="G615">
        <v>38060</v>
      </c>
      <c r="H615" t="s">
        <v>25</v>
      </c>
    </row>
    <row r="616" spans="1:8" x14ac:dyDescent="0.25">
      <c r="A616">
        <v>100625</v>
      </c>
      <c r="B616">
        <v>428</v>
      </c>
      <c r="C616">
        <v>1344</v>
      </c>
      <c r="D616">
        <v>3311</v>
      </c>
      <c r="E616" s="1">
        <v>45786</v>
      </c>
      <c r="F616" s="1">
        <v>45790</v>
      </c>
      <c r="G616">
        <v>29878</v>
      </c>
      <c r="H616" t="s">
        <v>17</v>
      </c>
    </row>
    <row r="617" spans="1:8" x14ac:dyDescent="0.25">
      <c r="A617">
        <v>100626</v>
      </c>
      <c r="B617">
        <v>189</v>
      </c>
      <c r="C617">
        <v>334</v>
      </c>
      <c r="D617">
        <v>3322</v>
      </c>
      <c r="E617" s="1">
        <v>45649</v>
      </c>
      <c r="F617" s="1">
        <v>45651</v>
      </c>
      <c r="G617">
        <v>16137</v>
      </c>
      <c r="H617" t="s">
        <v>25</v>
      </c>
    </row>
    <row r="618" spans="1:8" x14ac:dyDescent="0.25">
      <c r="A618">
        <v>100627</v>
      </c>
      <c r="B618">
        <v>188</v>
      </c>
      <c r="C618">
        <v>1588</v>
      </c>
      <c r="D618">
        <v>3237</v>
      </c>
      <c r="E618" s="1">
        <v>45685</v>
      </c>
      <c r="F618" s="1">
        <v>45688</v>
      </c>
      <c r="G618">
        <v>27479</v>
      </c>
      <c r="H618" t="s">
        <v>25</v>
      </c>
    </row>
    <row r="619" spans="1:8" x14ac:dyDescent="0.25">
      <c r="A619">
        <v>100628</v>
      </c>
      <c r="B619">
        <v>423</v>
      </c>
      <c r="C619">
        <v>842</v>
      </c>
      <c r="D619">
        <v>3036</v>
      </c>
      <c r="E619" s="1">
        <v>45776</v>
      </c>
      <c r="F619" s="1">
        <v>45786</v>
      </c>
      <c r="G619">
        <v>62943</v>
      </c>
      <c r="H619" t="s">
        <v>25</v>
      </c>
    </row>
    <row r="620" spans="1:8" x14ac:dyDescent="0.25">
      <c r="A620">
        <v>100629</v>
      </c>
      <c r="B620">
        <v>421</v>
      </c>
      <c r="C620">
        <v>295</v>
      </c>
      <c r="D620">
        <v>3190</v>
      </c>
      <c r="E620" s="1">
        <v>45723</v>
      </c>
      <c r="F620" s="1">
        <v>45725</v>
      </c>
      <c r="G620">
        <v>26173</v>
      </c>
      <c r="H620" t="s">
        <v>25</v>
      </c>
    </row>
    <row r="621" spans="1:8" x14ac:dyDescent="0.25">
      <c r="A621">
        <v>100630</v>
      </c>
      <c r="B621">
        <v>209</v>
      </c>
      <c r="C621">
        <v>1516</v>
      </c>
      <c r="D621">
        <v>3400</v>
      </c>
      <c r="E621" s="1">
        <v>45714</v>
      </c>
      <c r="F621" s="1">
        <v>45717</v>
      </c>
      <c r="G621">
        <v>12929</v>
      </c>
      <c r="H621" t="s">
        <v>17</v>
      </c>
    </row>
    <row r="622" spans="1:8" x14ac:dyDescent="0.25">
      <c r="A622">
        <v>100631</v>
      </c>
      <c r="B622">
        <v>224</v>
      </c>
      <c r="C622">
        <v>349</v>
      </c>
      <c r="D622">
        <v>3268</v>
      </c>
      <c r="E622" s="1">
        <v>45757</v>
      </c>
      <c r="F622" s="1">
        <v>45759</v>
      </c>
      <c r="G622">
        <v>14933</v>
      </c>
      <c r="H622" t="s">
        <v>25</v>
      </c>
    </row>
    <row r="623" spans="1:8" x14ac:dyDescent="0.25">
      <c r="A623">
        <v>100632</v>
      </c>
      <c r="B623">
        <v>367</v>
      </c>
      <c r="C623">
        <v>1202</v>
      </c>
      <c r="D623">
        <v>3197</v>
      </c>
      <c r="E623" s="1">
        <v>45732</v>
      </c>
      <c r="F623" s="1">
        <v>45735</v>
      </c>
      <c r="G623">
        <v>18599</v>
      </c>
      <c r="H623" t="s">
        <v>14</v>
      </c>
    </row>
    <row r="624" spans="1:8" x14ac:dyDescent="0.25">
      <c r="A624">
        <v>100633</v>
      </c>
      <c r="B624">
        <v>370</v>
      </c>
      <c r="C624">
        <v>939</v>
      </c>
      <c r="D624">
        <v>3018</v>
      </c>
      <c r="E624" s="1">
        <v>45788</v>
      </c>
      <c r="F624" s="1">
        <v>45791</v>
      </c>
      <c r="G624">
        <v>21269</v>
      </c>
      <c r="H624" t="s">
        <v>25</v>
      </c>
    </row>
    <row r="625" spans="1:8" x14ac:dyDescent="0.25">
      <c r="A625">
        <v>100634</v>
      </c>
      <c r="B625">
        <v>145</v>
      </c>
      <c r="C625">
        <v>1382</v>
      </c>
      <c r="D625">
        <v>3461</v>
      </c>
      <c r="E625" s="1">
        <v>45731</v>
      </c>
      <c r="F625" s="1">
        <v>45735</v>
      </c>
      <c r="G625">
        <v>27777</v>
      </c>
      <c r="H625" t="s">
        <v>14</v>
      </c>
    </row>
    <row r="626" spans="1:8" x14ac:dyDescent="0.25">
      <c r="A626">
        <v>100635</v>
      </c>
      <c r="B626">
        <v>306</v>
      </c>
      <c r="C626">
        <v>419</v>
      </c>
      <c r="D626">
        <v>3189</v>
      </c>
      <c r="E626" s="1">
        <v>45763</v>
      </c>
      <c r="F626" s="1">
        <v>45766</v>
      </c>
      <c r="G626">
        <v>18908</v>
      </c>
      <c r="H626" t="s">
        <v>25</v>
      </c>
    </row>
    <row r="627" spans="1:8" x14ac:dyDescent="0.25">
      <c r="A627">
        <v>100636</v>
      </c>
      <c r="B627">
        <v>129</v>
      </c>
      <c r="C627">
        <v>1227</v>
      </c>
      <c r="D627">
        <v>3343</v>
      </c>
      <c r="E627" s="1">
        <v>45598</v>
      </c>
      <c r="F627" s="1">
        <v>45601</v>
      </c>
      <c r="G627">
        <v>21789</v>
      </c>
      <c r="H627" t="s">
        <v>25</v>
      </c>
    </row>
    <row r="628" spans="1:8" x14ac:dyDescent="0.25">
      <c r="A628">
        <v>100637</v>
      </c>
      <c r="B628">
        <v>41</v>
      </c>
      <c r="C628">
        <v>1528</v>
      </c>
      <c r="D628">
        <v>3063</v>
      </c>
      <c r="E628" s="1">
        <v>45658</v>
      </c>
      <c r="F628" s="1">
        <v>45662</v>
      </c>
      <c r="G628">
        <v>14245</v>
      </c>
      <c r="H628" t="s">
        <v>25</v>
      </c>
    </row>
    <row r="629" spans="1:8" x14ac:dyDescent="0.25">
      <c r="A629">
        <v>100638</v>
      </c>
      <c r="B629">
        <v>438</v>
      </c>
      <c r="C629">
        <v>763</v>
      </c>
      <c r="D629">
        <v>3478</v>
      </c>
      <c r="E629" s="1">
        <v>45650</v>
      </c>
      <c r="F629" s="1">
        <v>45652</v>
      </c>
      <c r="G629">
        <v>23009</v>
      </c>
      <c r="H629" t="s">
        <v>25</v>
      </c>
    </row>
    <row r="630" spans="1:8" x14ac:dyDescent="0.25">
      <c r="A630">
        <v>100639</v>
      </c>
      <c r="B630">
        <v>242</v>
      </c>
      <c r="C630">
        <v>767</v>
      </c>
      <c r="D630">
        <v>3104</v>
      </c>
      <c r="E630" s="1">
        <v>45792</v>
      </c>
      <c r="F630" s="1">
        <v>45793</v>
      </c>
      <c r="G630">
        <v>10759</v>
      </c>
      <c r="H630" t="s">
        <v>25</v>
      </c>
    </row>
    <row r="631" spans="1:8" x14ac:dyDescent="0.25">
      <c r="A631">
        <v>100640</v>
      </c>
      <c r="B631">
        <v>381</v>
      </c>
      <c r="C631">
        <v>263</v>
      </c>
      <c r="D631">
        <v>3087</v>
      </c>
      <c r="E631" s="1">
        <v>45763</v>
      </c>
      <c r="F631" s="1">
        <v>45768</v>
      </c>
      <c r="G631">
        <v>51453</v>
      </c>
      <c r="H631" t="s">
        <v>17</v>
      </c>
    </row>
    <row r="632" spans="1:8" x14ac:dyDescent="0.25">
      <c r="A632">
        <v>100641</v>
      </c>
      <c r="B632">
        <v>216</v>
      </c>
      <c r="C632">
        <v>657</v>
      </c>
      <c r="D632">
        <v>3157</v>
      </c>
      <c r="E632" s="1">
        <v>45719</v>
      </c>
      <c r="F632" s="1">
        <v>45720</v>
      </c>
      <c r="G632">
        <v>18447</v>
      </c>
      <c r="H632" t="s">
        <v>17</v>
      </c>
    </row>
    <row r="633" spans="1:8" x14ac:dyDescent="0.25">
      <c r="A633">
        <v>100642</v>
      </c>
      <c r="B633">
        <v>320</v>
      </c>
      <c r="C633">
        <v>953</v>
      </c>
      <c r="D633">
        <v>3428</v>
      </c>
      <c r="E633" s="1">
        <v>45651</v>
      </c>
      <c r="F633" s="1">
        <v>45654</v>
      </c>
      <c r="G633">
        <v>28465</v>
      </c>
      <c r="H633" t="s">
        <v>25</v>
      </c>
    </row>
    <row r="634" spans="1:8" x14ac:dyDescent="0.25">
      <c r="A634">
        <v>100643</v>
      </c>
      <c r="B634">
        <v>264</v>
      </c>
      <c r="C634">
        <v>413</v>
      </c>
      <c r="D634">
        <v>3214</v>
      </c>
      <c r="E634" s="1">
        <v>45626</v>
      </c>
      <c r="F634" s="1">
        <v>45630</v>
      </c>
      <c r="G634">
        <v>43231</v>
      </c>
      <c r="H634" t="s">
        <v>25</v>
      </c>
    </row>
    <row r="635" spans="1:8" x14ac:dyDescent="0.25">
      <c r="A635">
        <v>100644</v>
      </c>
      <c r="B635">
        <v>298</v>
      </c>
      <c r="C635">
        <v>697</v>
      </c>
      <c r="D635">
        <v>3124</v>
      </c>
      <c r="E635" s="1">
        <v>45708</v>
      </c>
      <c r="F635" s="1">
        <v>45717</v>
      </c>
      <c r="G635">
        <v>69716</v>
      </c>
      <c r="H635" t="s">
        <v>25</v>
      </c>
    </row>
    <row r="636" spans="1:8" x14ac:dyDescent="0.25">
      <c r="A636">
        <v>100645</v>
      </c>
      <c r="B636">
        <v>295</v>
      </c>
      <c r="C636">
        <v>1251</v>
      </c>
      <c r="D636">
        <v>3499</v>
      </c>
      <c r="E636" s="1">
        <v>45608</v>
      </c>
      <c r="F636" s="1">
        <v>45613</v>
      </c>
      <c r="G636">
        <v>46803</v>
      </c>
      <c r="H636" t="s">
        <v>14</v>
      </c>
    </row>
    <row r="637" spans="1:8" x14ac:dyDescent="0.25">
      <c r="A637">
        <v>100646</v>
      </c>
      <c r="B637">
        <v>342</v>
      </c>
      <c r="C637">
        <v>593</v>
      </c>
      <c r="D637">
        <v>3477</v>
      </c>
      <c r="E637" s="1">
        <v>45621</v>
      </c>
      <c r="F637" s="1">
        <v>45623</v>
      </c>
      <c r="G637">
        <v>19751</v>
      </c>
      <c r="H637" t="s">
        <v>14</v>
      </c>
    </row>
    <row r="638" spans="1:8" x14ac:dyDescent="0.25">
      <c r="A638">
        <v>100647</v>
      </c>
      <c r="B638">
        <v>207</v>
      </c>
      <c r="C638">
        <v>308</v>
      </c>
      <c r="D638">
        <v>3126</v>
      </c>
      <c r="E638" s="1">
        <v>45803</v>
      </c>
      <c r="F638" s="1">
        <v>45808</v>
      </c>
      <c r="G638">
        <v>15789</v>
      </c>
      <c r="H638" t="s">
        <v>14</v>
      </c>
    </row>
    <row r="639" spans="1:8" x14ac:dyDescent="0.25">
      <c r="A639">
        <v>100648</v>
      </c>
      <c r="B639">
        <v>94</v>
      </c>
      <c r="C639">
        <v>795</v>
      </c>
      <c r="D639">
        <v>3199</v>
      </c>
      <c r="E639" s="1">
        <v>45695</v>
      </c>
      <c r="F639" s="1">
        <v>45696</v>
      </c>
      <c r="G639">
        <v>15715</v>
      </c>
      <c r="H639" t="s">
        <v>10</v>
      </c>
    </row>
    <row r="640" spans="1:8" x14ac:dyDescent="0.25">
      <c r="A640">
        <v>100649</v>
      </c>
      <c r="B640">
        <v>62</v>
      </c>
      <c r="C640">
        <v>1278</v>
      </c>
      <c r="D640">
        <v>3134</v>
      </c>
      <c r="E640" s="1">
        <v>45803</v>
      </c>
      <c r="F640" s="1">
        <v>45806</v>
      </c>
      <c r="G640">
        <v>29294</v>
      </c>
      <c r="H640" t="s">
        <v>17</v>
      </c>
    </row>
    <row r="641" spans="1:8" x14ac:dyDescent="0.25">
      <c r="A641">
        <v>100650</v>
      </c>
      <c r="B641">
        <v>223</v>
      </c>
      <c r="C641">
        <v>558</v>
      </c>
      <c r="D641">
        <v>3435</v>
      </c>
      <c r="E641" s="1">
        <v>45607</v>
      </c>
      <c r="F641" s="1">
        <v>45611</v>
      </c>
      <c r="G641">
        <v>37571</v>
      </c>
      <c r="H641" t="s">
        <v>25</v>
      </c>
    </row>
    <row r="642" spans="1:8" x14ac:dyDescent="0.25">
      <c r="A642">
        <v>100651</v>
      </c>
      <c r="B642">
        <v>59</v>
      </c>
      <c r="C642">
        <v>1186</v>
      </c>
      <c r="D642">
        <v>3270</v>
      </c>
      <c r="E642" s="1">
        <v>45797</v>
      </c>
      <c r="F642" s="1">
        <v>45801</v>
      </c>
      <c r="G642">
        <v>38418</v>
      </c>
      <c r="H642" t="s">
        <v>17</v>
      </c>
    </row>
    <row r="643" spans="1:8" x14ac:dyDescent="0.25">
      <c r="A643">
        <v>100652</v>
      </c>
      <c r="B643">
        <v>455</v>
      </c>
      <c r="C643">
        <v>774</v>
      </c>
      <c r="D643">
        <v>3221</v>
      </c>
      <c r="E643" s="1">
        <v>45629</v>
      </c>
      <c r="F643" s="1">
        <v>45637</v>
      </c>
      <c r="G643">
        <v>52369</v>
      </c>
      <c r="H643" t="s">
        <v>17</v>
      </c>
    </row>
    <row r="644" spans="1:8" x14ac:dyDescent="0.25">
      <c r="A644">
        <v>100653</v>
      </c>
      <c r="B644">
        <v>240</v>
      </c>
      <c r="C644">
        <v>881</v>
      </c>
      <c r="D644">
        <v>3332</v>
      </c>
      <c r="E644" s="1">
        <v>45780</v>
      </c>
      <c r="F644" s="1">
        <v>45783</v>
      </c>
      <c r="G644">
        <v>18238</v>
      </c>
      <c r="H644" t="s">
        <v>25</v>
      </c>
    </row>
    <row r="645" spans="1:8" x14ac:dyDescent="0.25">
      <c r="A645">
        <v>100654</v>
      </c>
      <c r="B645">
        <v>72</v>
      </c>
      <c r="C645">
        <v>1510</v>
      </c>
      <c r="D645">
        <v>3025</v>
      </c>
      <c r="E645" s="1">
        <v>45742</v>
      </c>
      <c r="F645" s="1">
        <v>45745</v>
      </c>
      <c r="G645">
        <v>11838</v>
      </c>
      <c r="H645" t="s">
        <v>25</v>
      </c>
    </row>
    <row r="646" spans="1:8" x14ac:dyDescent="0.25">
      <c r="A646">
        <v>100655</v>
      </c>
      <c r="B646">
        <v>352</v>
      </c>
      <c r="C646">
        <v>1269</v>
      </c>
      <c r="D646">
        <v>3420</v>
      </c>
      <c r="E646" s="1">
        <v>45631</v>
      </c>
      <c r="F646" s="1">
        <v>45634</v>
      </c>
      <c r="G646">
        <v>30482</v>
      </c>
      <c r="H646" t="s">
        <v>17</v>
      </c>
    </row>
    <row r="647" spans="1:8" x14ac:dyDescent="0.25">
      <c r="A647">
        <v>100656</v>
      </c>
      <c r="B647">
        <v>152</v>
      </c>
      <c r="C647">
        <v>213</v>
      </c>
      <c r="D647">
        <v>3006</v>
      </c>
      <c r="E647" s="1">
        <v>45637</v>
      </c>
      <c r="F647" s="1">
        <v>45642</v>
      </c>
      <c r="G647">
        <v>43730</v>
      </c>
      <c r="H647" t="s">
        <v>14</v>
      </c>
    </row>
    <row r="648" spans="1:8" x14ac:dyDescent="0.25">
      <c r="A648">
        <v>100657</v>
      </c>
      <c r="B648">
        <v>409</v>
      </c>
      <c r="C648">
        <v>409</v>
      </c>
      <c r="D648">
        <v>3223</v>
      </c>
      <c r="E648" s="1">
        <v>45643</v>
      </c>
      <c r="F648" s="1">
        <v>45652</v>
      </c>
      <c r="G648">
        <v>83883</v>
      </c>
      <c r="H648" t="s">
        <v>25</v>
      </c>
    </row>
    <row r="649" spans="1:8" x14ac:dyDescent="0.25">
      <c r="A649">
        <v>100658</v>
      </c>
      <c r="B649">
        <v>150</v>
      </c>
      <c r="C649">
        <v>120</v>
      </c>
      <c r="D649">
        <v>3252</v>
      </c>
      <c r="E649" s="1">
        <v>45787</v>
      </c>
      <c r="F649" s="1">
        <v>45791</v>
      </c>
      <c r="G649">
        <v>33229</v>
      </c>
      <c r="H649" t="s">
        <v>25</v>
      </c>
    </row>
    <row r="650" spans="1:8" x14ac:dyDescent="0.25">
      <c r="A650">
        <v>100659</v>
      </c>
      <c r="B650">
        <v>31</v>
      </c>
      <c r="C650">
        <v>1262</v>
      </c>
      <c r="D650">
        <v>3339</v>
      </c>
      <c r="E650" s="1">
        <v>45785</v>
      </c>
      <c r="F650" s="1">
        <v>45791</v>
      </c>
      <c r="G650">
        <v>42962</v>
      </c>
      <c r="H650" t="s">
        <v>25</v>
      </c>
    </row>
    <row r="651" spans="1:8" x14ac:dyDescent="0.25">
      <c r="A651">
        <v>100660</v>
      </c>
      <c r="B651">
        <v>410</v>
      </c>
      <c r="C651">
        <v>1332</v>
      </c>
      <c r="D651">
        <v>3493</v>
      </c>
      <c r="E651" s="1">
        <v>45658</v>
      </c>
      <c r="F651" s="1">
        <v>45669</v>
      </c>
      <c r="G651">
        <v>50680</v>
      </c>
      <c r="H651" t="s">
        <v>17</v>
      </c>
    </row>
    <row r="652" spans="1:8" x14ac:dyDescent="0.25">
      <c r="A652">
        <v>100661</v>
      </c>
      <c r="B652">
        <v>199</v>
      </c>
      <c r="C652">
        <v>1544</v>
      </c>
      <c r="D652">
        <v>3059</v>
      </c>
      <c r="E652" s="1">
        <v>45690</v>
      </c>
      <c r="F652" s="1">
        <v>45692</v>
      </c>
      <c r="G652">
        <v>11730</v>
      </c>
      <c r="H652" t="s">
        <v>17</v>
      </c>
    </row>
    <row r="653" spans="1:8" x14ac:dyDescent="0.25">
      <c r="A653">
        <v>100662</v>
      </c>
      <c r="B653">
        <v>331</v>
      </c>
      <c r="C653">
        <v>315</v>
      </c>
      <c r="D653">
        <v>3012</v>
      </c>
      <c r="E653" s="1">
        <v>45628</v>
      </c>
      <c r="F653" s="1">
        <v>45631</v>
      </c>
      <c r="G653">
        <v>23317</v>
      </c>
      <c r="H653" t="s">
        <v>17</v>
      </c>
    </row>
    <row r="654" spans="1:8" x14ac:dyDescent="0.25">
      <c r="A654">
        <v>100663</v>
      </c>
      <c r="B654">
        <v>420</v>
      </c>
      <c r="C654">
        <v>1394</v>
      </c>
      <c r="D654">
        <v>3102</v>
      </c>
      <c r="E654" s="1">
        <v>45655</v>
      </c>
      <c r="F654" s="1">
        <v>45658</v>
      </c>
      <c r="G654">
        <v>21534</v>
      </c>
      <c r="H654" t="s">
        <v>17</v>
      </c>
    </row>
    <row r="655" spans="1:8" x14ac:dyDescent="0.25">
      <c r="A655">
        <v>100664</v>
      </c>
      <c r="B655">
        <v>62</v>
      </c>
      <c r="C655">
        <v>749</v>
      </c>
      <c r="D655">
        <v>3496</v>
      </c>
      <c r="E655" s="1">
        <v>45638</v>
      </c>
      <c r="F655" s="1">
        <v>45641</v>
      </c>
      <c r="G655">
        <v>24229</v>
      </c>
      <c r="H655" t="s">
        <v>10</v>
      </c>
    </row>
    <row r="656" spans="1:8" x14ac:dyDescent="0.25">
      <c r="A656">
        <v>100665</v>
      </c>
      <c r="B656">
        <v>53</v>
      </c>
      <c r="C656">
        <v>439</v>
      </c>
      <c r="D656">
        <v>3147</v>
      </c>
      <c r="E656" s="1">
        <v>45737</v>
      </c>
      <c r="F656" s="1">
        <v>45739</v>
      </c>
      <c r="G656">
        <v>21887</v>
      </c>
      <c r="H656" t="s">
        <v>14</v>
      </c>
    </row>
    <row r="657" spans="1:8" x14ac:dyDescent="0.25">
      <c r="A657">
        <v>100666</v>
      </c>
      <c r="B657">
        <v>470</v>
      </c>
      <c r="C657">
        <v>449</v>
      </c>
      <c r="D657">
        <v>3067</v>
      </c>
      <c r="E657" s="1">
        <v>45800</v>
      </c>
      <c r="F657" s="1">
        <v>45802</v>
      </c>
      <c r="G657">
        <v>11802</v>
      </c>
      <c r="H657" t="s">
        <v>25</v>
      </c>
    </row>
    <row r="658" spans="1:8" x14ac:dyDescent="0.25">
      <c r="A658">
        <v>100667</v>
      </c>
      <c r="B658">
        <v>173</v>
      </c>
      <c r="C658">
        <v>1101</v>
      </c>
      <c r="D658">
        <v>3411</v>
      </c>
      <c r="E658" s="1">
        <v>45758</v>
      </c>
      <c r="F658" s="1">
        <v>45759</v>
      </c>
      <c r="G658">
        <v>11420</v>
      </c>
      <c r="H658" t="s">
        <v>14</v>
      </c>
    </row>
    <row r="659" spans="1:8" x14ac:dyDescent="0.25">
      <c r="A659">
        <v>100668</v>
      </c>
      <c r="B659">
        <v>230</v>
      </c>
      <c r="C659">
        <v>739</v>
      </c>
      <c r="D659">
        <v>3463</v>
      </c>
      <c r="E659" s="1">
        <v>45704</v>
      </c>
      <c r="F659" s="1">
        <v>45707</v>
      </c>
      <c r="G659">
        <v>22861</v>
      </c>
      <c r="H659" t="s">
        <v>10</v>
      </c>
    </row>
    <row r="660" spans="1:8" x14ac:dyDescent="0.25">
      <c r="A660">
        <v>100669</v>
      </c>
      <c r="B660">
        <v>161</v>
      </c>
      <c r="C660">
        <v>244</v>
      </c>
      <c r="D660">
        <v>3169</v>
      </c>
      <c r="E660" s="1">
        <v>45649</v>
      </c>
      <c r="F660" s="1">
        <v>45662</v>
      </c>
      <c r="G660">
        <v>33195</v>
      </c>
      <c r="H660" t="s">
        <v>25</v>
      </c>
    </row>
    <row r="661" spans="1:8" x14ac:dyDescent="0.25">
      <c r="A661">
        <v>100670</v>
      </c>
      <c r="B661">
        <v>239</v>
      </c>
      <c r="C661">
        <v>1535</v>
      </c>
      <c r="D661">
        <v>3482</v>
      </c>
      <c r="E661" s="1">
        <v>45624</v>
      </c>
      <c r="F661" s="1">
        <v>45627</v>
      </c>
      <c r="G661">
        <v>19509</v>
      </c>
      <c r="H661" t="s">
        <v>17</v>
      </c>
    </row>
    <row r="662" spans="1:8" x14ac:dyDescent="0.25">
      <c r="A662">
        <v>100671</v>
      </c>
      <c r="B662">
        <v>21</v>
      </c>
      <c r="C662">
        <v>229</v>
      </c>
      <c r="D662">
        <v>3106</v>
      </c>
      <c r="E662" s="1">
        <v>45775</v>
      </c>
      <c r="F662" s="1">
        <v>45779</v>
      </c>
      <c r="G662">
        <v>28698</v>
      </c>
      <c r="H662" t="s">
        <v>25</v>
      </c>
    </row>
    <row r="663" spans="1:8" x14ac:dyDescent="0.25">
      <c r="A663">
        <v>100672</v>
      </c>
      <c r="B663">
        <v>192</v>
      </c>
      <c r="C663">
        <v>712</v>
      </c>
      <c r="D663">
        <v>3134</v>
      </c>
      <c r="E663" s="1">
        <v>45616</v>
      </c>
      <c r="F663" s="1">
        <v>45618</v>
      </c>
      <c r="G663">
        <v>16167</v>
      </c>
      <c r="H663" t="s">
        <v>25</v>
      </c>
    </row>
    <row r="664" spans="1:8" x14ac:dyDescent="0.25">
      <c r="A664">
        <v>100673</v>
      </c>
      <c r="B664">
        <v>190</v>
      </c>
      <c r="C664">
        <v>576</v>
      </c>
      <c r="D664">
        <v>3192</v>
      </c>
      <c r="E664" s="1">
        <v>45718</v>
      </c>
      <c r="F664" s="1">
        <v>45721</v>
      </c>
      <c r="G664">
        <v>30619</v>
      </c>
      <c r="H664" t="s">
        <v>17</v>
      </c>
    </row>
    <row r="665" spans="1:8" x14ac:dyDescent="0.25">
      <c r="A665">
        <v>100674</v>
      </c>
      <c r="B665">
        <v>84</v>
      </c>
      <c r="C665">
        <v>634</v>
      </c>
      <c r="D665">
        <v>3468</v>
      </c>
      <c r="E665" s="1">
        <v>45780</v>
      </c>
      <c r="F665" s="1">
        <v>45786</v>
      </c>
      <c r="G665">
        <v>52986</v>
      </c>
      <c r="H665" t="s">
        <v>25</v>
      </c>
    </row>
    <row r="666" spans="1:8" x14ac:dyDescent="0.25">
      <c r="A666">
        <v>100675</v>
      </c>
      <c r="B666">
        <v>345</v>
      </c>
      <c r="C666">
        <v>1027</v>
      </c>
      <c r="D666">
        <v>3445</v>
      </c>
      <c r="E666" s="1">
        <v>45656</v>
      </c>
      <c r="F666" s="1">
        <v>45659</v>
      </c>
      <c r="G666">
        <v>28056</v>
      </c>
      <c r="H666" t="s">
        <v>25</v>
      </c>
    </row>
    <row r="667" spans="1:8" x14ac:dyDescent="0.25">
      <c r="A667">
        <v>100676</v>
      </c>
      <c r="B667">
        <v>121</v>
      </c>
      <c r="C667">
        <v>909</v>
      </c>
      <c r="D667">
        <v>3313</v>
      </c>
      <c r="E667" s="1">
        <v>45746</v>
      </c>
      <c r="F667" s="1">
        <v>45750</v>
      </c>
      <c r="G667">
        <v>39619</v>
      </c>
      <c r="H667" t="s">
        <v>25</v>
      </c>
    </row>
    <row r="668" spans="1:8" x14ac:dyDescent="0.25">
      <c r="A668">
        <v>100677</v>
      </c>
      <c r="B668">
        <v>446</v>
      </c>
      <c r="C668">
        <v>858</v>
      </c>
      <c r="D668">
        <v>3432</v>
      </c>
      <c r="E668" s="1">
        <v>45757</v>
      </c>
      <c r="F668" s="1">
        <v>45760</v>
      </c>
      <c r="G668">
        <v>31911</v>
      </c>
      <c r="H668" t="s">
        <v>25</v>
      </c>
    </row>
    <row r="669" spans="1:8" x14ac:dyDescent="0.25">
      <c r="A669">
        <v>100678</v>
      </c>
      <c r="B669">
        <v>393</v>
      </c>
      <c r="C669">
        <v>205</v>
      </c>
      <c r="D669">
        <v>3232</v>
      </c>
      <c r="E669" s="1">
        <v>45691</v>
      </c>
      <c r="F669" s="1">
        <v>45693</v>
      </c>
      <c r="G669">
        <v>27873</v>
      </c>
      <c r="H669" t="s">
        <v>25</v>
      </c>
    </row>
    <row r="670" spans="1:8" x14ac:dyDescent="0.25">
      <c r="A670">
        <v>100679</v>
      </c>
      <c r="B670">
        <v>151</v>
      </c>
      <c r="C670">
        <v>415</v>
      </c>
      <c r="D670">
        <v>3171</v>
      </c>
      <c r="E670" s="1">
        <v>45616</v>
      </c>
      <c r="F670" s="1">
        <v>45619</v>
      </c>
      <c r="G670">
        <v>32168</v>
      </c>
      <c r="H670" t="s">
        <v>25</v>
      </c>
    </row>
    <row r="671" spans="1:8" x14ac:dyDescent="0.25">
      <c r="A671">
        <v>100680</v>
      </c>
      <c r="B671">
        <v>255</v>
      </c>
      <c r="C671">
        <v>166</v>
      </c>
      <c r="D671">
        <v>3307</v>
      </c>
      <c r="E671" s="1">
        <v>45783</v>
      </c>
      <c r="F671" s="1">
        <v>45785</v>
      </c>
      <c r="G671">
        <v>24024</v>
      </c>
      <c r="H671" t="s">
        <v>25</v>
      </c>
    </row>
    <row r="672" spans="1:8" x14ac:dyDescent="0.25">
      <c r="A672">
        <v>100681</v>
      </c>
      <c r="B672">
        <v>31</v>
      </c>
      <c r="C672">
        <v>918</v>
      </c>
      <c r="D672">
        <v>3361</v>
      </c>
      <c r="E672" s="1">
        <v>45756</v>
      </c>
      <c r="F672" s="1">
        <v>45760</v>
      </c>
      <c r="G672">
        <v>31355</v>
      </c>
      <c r="H672" t="s">
        <v>17</v>
      </c>
    </row>
    <row r="673" spans="1:8" x14ac:dyDescent="0.25">
      <c r="A673">
        <v>100682</v>
      </c>
      <c r="B673">
        <v>379</v>
      </c>
      <c r="C673">
        <v>1229</v>
      </c>
      <c r="D673">
        <v>3426</v>
      </c>
      <c r="E673" s="1">
        <v>45759</v>
      </c>
      <c r="F673" s="1">
        <v>45763</v>
      </c>
      <c r="G673">
        <v>40384</v>
      </c>
      <c r="H673" t="s">
        <v>25</v>
      </c>
    </row>
    <row r="674" spans="1:8" x14ac:dyDescent="0.25">
      <c r="A674">
        <v>100683</v>
      </c>
      <c r="B674">
        <v>148</v>
      </c>
      <c r="C674">
        <v>660</v>
      </c>
      <c r="D674">
        <v>3001</v>
      </c>
      <c r="E674" s="1">
        <v>45678</v>
      </c>
      <c r="F674" s="1">
        <v>45683</v>
      </c>
      <c r="G674">
        <v>28253</v>
      </c>
      <c r="H674" t="s">
        <v>10</v>
      </c>
    </row>
    <row r="675" spans="1:8" x14ac:dyDescent="0.25">
      <c r="A675">
        <v>100684</v>
      </c>
      <c r="B675">
        <v>299</v>
      </c>
      <c r="C675">
        <v>680</v>
      </c>
      <c r="D675">
        <v>3164</v>
      </c>
      <c r="E675" s="1">
        <v>45753</v>
      </c>
      <c r="F675" s="1">
        <v>45756</v>
      </c>
      <c r="G675">
        <v>20910</v>
      </c>
      <c r="H675" t="s">
        <v>25</v>
      </c>
    </row>
    <row r="676" spans="1:8" x14ac:dyDescent="0.25">
      <c r="A676">
        <v>100685</v>
      </c>
      <c r="B676">
        <v>369</v>
      </c>
      <c r="C676">
        <v>765</v>
      </c>
      <c r="D676">
        <v>3357</v>
      </c>
      <c r="E676" s="1">
        <v>45666</v>
      </c>
      <c r="F676" s="1">
        <v>45670</v>
      </c>
      <c r="G676">
        <v>34631</v>
      </c>
      <c r="H676" t="s">
        <v>14</v>
      </c>
    </row>
    <row r="677" spans="1:8" x14ac:dyDescent="0.25">
      <c r="A677">
        <v>100686</v>
      </c>
      <c r="B677">
        <v>204</v>
      </c>
      <c r="C677">
        <v>888</v>
      </c>
      <c r="D677">
        <v>3027</v>
      </c>
      <c r="E677" s="1">
        <v>45630</v>
      </c>
      <c r="F677" s="1">
        <v>45631</v>
      </c>
      <c r="G677">
        <v>22661</v>
      </c>
      <c r="H677" t="s">
        <v>14</v>
      </c>
    </row>
    <row r="678" spans="1:8" x14ac:dyDescent="0.25">
      <c r="A678">
        <v>100687</v>
      </c>
      <c r="B678">
        <v>362</v>
      </c>
      <c r="C678">
        <v>771</v>
      </c>
      <c r="D678">
        <v>3186</v>
      </c>
      <c r="E678" s="1">
        <v>45793</v>
      </c>
      <c r="F678" s="1">
        <v>45794</v>
      </c>
      <c r="G678">
        <v>15382</v>
      </c>
      <c r="H678" t="s">
        <v>14</v>
      </c>
    </row>
    <row r="679" spans="1:8" x14ac:dyDescent="0.25">
      <c r="A679">
        <v>100688</v>
      </c>
      <c r="B679">
        <v>234</v>
      </c>
      <c r="C679">
        <v>734</v>
      </c>
      <c r="D679">
        <v>3473</v>
      </c>
      <c r="E679" s="1">
        <v>45703</v>
      </c>
      <c r="F679" s="1">
        <v>45707</v>
      </c>
      <c r="G679">
        <v>22746</v>
      </c>
      <c r="H679" t="s">
        <v>10</v>
      </c>
    </row>
    <row r="680" spans="1:8" x14ac:dyDescent="0.25">
      <c r="A680">
        <v>100689</v>
      </c>
      <c r="B680">
        <v>291</v>
      </c>
      <c r="C680">
        <v>891</v>
      </c>
      <c r="D680">
        <v>3103</v>
      </c>
      <c r="E680" s="1">
        <v>45751</v>
      </c>
      <c r="F680" s="1">
        <v>45754</v>
      </c>
      <c r="G680">
        <v>24381</v>
      </c>
      <c r="H680" t="s">
        <v>10</v>
      </c>
    </row>
    <row r="681" spans="1:8" x14ac:dyDescent="0.25">
      <c r="A681">
        <v>100690</v>
      </c>
      <c r="B681">
        <v>382</v>
      </c>
      <c r="C681">
        <v>855</v>
      </c>
      <c r="D681">
        <v>3454</v>
      </c>
      <c r="E681" s="1">
        <v>45648</v>
      </c>
      <c r="F681" s="1">
        <v>45652</v>
      </c>
      <c r="G681">
        <v>21945</v>
      </c>
      <c r="H681" t="s">
        <v>25</v>
      </c>
    </row>
    <row r="682" spans="1:8" x14ac:dyDescent="0.25">
      <c r="A682">
        <v>100691</v>
      </c>
      <c r="B682">
        <v>485</v>
      </c>
      <c r="C682">
        <v>1098</v>
      </c>
      <c r="D682">
        <v>3379</v>
      </c>
      <c r="E682" s="1">
        <v>45669</v>
      </c>
      <c r="F682" s="1">
        <v>45671</v>
      </c>
      <c r="G682">
        <v>14420</v>
      </c>
      <c r="H682" t="s">
        <v>25</v>
      </c>
    </row>
    <row r="683" spans="1:8" x14ac:dyDescent="0.25">
      <c r="A683">
        <v>100692</v>
      </c>
      <c r="B683">
        <v>167</v>
      </c>
      <c r="C683">
        <v>919</v>
      </c>
      <c r="D683">
        <v>3048</v>
      </c>
      <c r="E683" s="1">
        <v>45786</v>
      </c>
      <c r="F683" s="1">
        <v>45790</v>
      </c>
      <c r="G683">
        <v>32147</v>
      </c>
      <c r="H683" t="s">
        <v>25</v>
      </c>
    </row>
    <row r="684" spans="1:8" x14ac:dyDescent="0.25">
      <c r="A684">
        <v>100693</v>
      </c>
      <c r="B684">
        <v>491</v>
      </c>
      <c r="C684">
        <v>1256</v>
      </c>
      <c r="D684">
        <v>3281</v>
      </c>
      <c r="E684" s="1">
        <v>45747</v>
      </c>
      <c r="F684" s="1">
        <v>45755</v>
      </c>
      <c r="G684">
        <v>28796</v>
      </c>
      <c r="H684" t="s">
        <v>14</v>
      </c>
    </row>
    <row r="685" spans="1:8" x14ac:dyDescent="0.25">
      <c r="A685">
        <v>100694</v>
      </c>
      <c r="B685">
        <v>466</v>
      </c>
      <c r="C685">
        <v>684</v>
      </c>
      <c r="D685">
        <v>3173</v>
      </c>
      <c r="E685" s="1">
        <v>45779</v>
      </c>
      <c r="F685" s="1">
        <v>45781</v>
      </c>
      <c r="G685">
        <v>22250</v>
      </c>
      <c r="H685" t="s">
        <v>25</v>
      </c>
    </row>
    <row r="686" spans="1:8" x14ac:dyDescent="0.25">
      <c r="A686">
        <v>100695</v>
      </c>
      <c r="B686">
        <v>308</v>
      </c>
      <c r="C686">
        <v>554</v>
      </c>
      <c r="D686">
        <v>3155</v>
      </c>
      <c r="E686" s="1">
        <v>45737</v>
      </c>
      <c r="F686" s="1">
        <v>45741</v>
      </c>
      <c r="G686">
        <v>45731</v>
      </c>
      <c r="H686" t="s">
        <v>25</v>
      </c>
    </row>
    <row r="687" spans="1:8" x14ac:dyDescent="0.25">
      <c r="A687">
        <v>100696</v>
      </c>
      <c r="B687">
        <v>221</v>
      </c>
      <c r="C687">
        <v>1432</v>
      </c>
      <c r="D687">
        <v>3323</v>
      </c>
      <c r="E687" s="1">
        <v>45603</v>
      </c>
      <c r="F687" s="1">
        <v>45605</v>
      </c>
      <c r="G687">
        <v>22821</v>
      </c>
      <c r="H687" t="s">
        <v>25</v>
      </c>
    </row>
    <row r="688" spans="1:8" x14ac:dyDescent="0.25">
      <c r="A688">
        <v>100697</v>
      </c>
      <c r="B688">
        <v>169</v>
      </c>
      <c r="C688">
        <v>425</v>
      </c>
      <c r="D688">
        <v>3308</v>
      </c>
      <c r="E688" s="1">
        <v>45799</v>
      </c>
      <c r="F688" s="1">
        <v>45806</v>
      </c>
      <c r="G688">
        <v>42181</v>
      </c>
      <c r="H688" t="s">
        <v>25</v>
      </c>
    </row>
    <row r="689" spans="1:8" x14ac:dyDescent="0.25">
      <c r="A689">
        <v>100698</v>
      </c>
      <c r="B689">
        <v>194</v>
      </c>
      <c r="C689">
        <v>781</v>
      </c>
      <c r="D689">
        <v>3340</v>
      </c>
      <c r="E689" s="1">
        <v>45660</v>
      </c>
      <c r="F689" s="1">
        <v>45661</v>
      </c>
      <c r="G689">
        <v>18969</v>
      </c>
      <c r="H689" t="s">
        <v>25</v>
      </c>
    </row>
    <row r="690" spans="1:8" x14ac:dyDescent="0.25">
      <c r="A690">
        <v>100699</v>
      </c>
      <c r="B690">
        <v>1</v>
      </c>
      <c r="C690">
        <v>975</v>
      </c>
      <c r="D690">
        <v>3059</v>
      </c>
      <c r="E690" s="1">
        <v>45786</v>
      </c>
      <c r="F690" s="1">
        <v>45791</v>
      </c>
      <c r="G690">
        <v>35966</v>
      </c>
      <c r="H690" t="s">
        <v>25</v>
      </c>
    </row>
    <row r="691" spans="1:8" x14ac:dyDescent="0.25">
      <c r="A691">
        <v>100700</v>
      </c>
      <c r="B691">
        <v>330</v>
      </c>
      <c r="C691">
        <v>952</v>
      </c>
      <c r="D691">
        <v>3447</v>
      </c>
      <c r="E691" s="1">
        <v>45605</v>
      </c>
      <c r="F691" s="1">
        <v>45606</v>
      </c>
      <c r="G691">
        <v>13945</v>
      </c>
      <c r="H691" t="s">
        <v>25</v>
      </c>
    </row>
    <row r="692" spans="1:8" x14ac:dyDescent="0.25">
      <c r="A692">
        <v>100701</v>
      </c>
      <c r="B692">
        <v>246</v>
      </c>
      <c r="C692">
        <v>716</v>
      </c>
      <c r="D692">
        <v>3028</v>
      </c>
      <c r="E692" s="1">
        <v>45682</v>
      </c>
      <c r="F692" s="1">
        <v>45684</v>
      </c>
      <c r="G692">
        <v>24406</v>
      </c>
      <c r="H692" t="s">
        <v>25</v>
      </c>
    </row>
    <row r="693" spans="1:8" x14ac:dyDescent="0.25">
      <c r="A693">
        <v>100702</v>
      </c>
      <c r="B693">
        <v>306</v>
      </c>
      <c r="C693">
        <v>810</v>
      </c>
      <c r="D693">
        <v>3430</v>
      </c>
      <c r="E693" s="1">
        <v>45668</v>
      </c>
      <c r="F693" s="1">
        <v>45672</v>
      </c>
      <c r="G693">
        <v>25099</v>
      </c>
      <c r="H693" t="s">
        <v>14</v>
      </c>
    </row>
    <row r="694" spans="1:8" x14ac:dyDescent="0.25">
      <c r="A694">
        <v>100703</v>
      </c>
      <c r="B694">
        <v>230</v>
      </c>
      <c r="C694">
        <v>363</v>
      </c>
      <c r="D694">
        <v>3467</v>
      </c>
      <c r="E694" s="1">
        <v>45685</v>
      </c>
      <c r="F694" s="1">
        <v>45690</v>
      </c>
      <c r="G694">
        <v>41556</v>
      </c>
      <c r="H694" t="s">
        <v>25</v>
      </c>
    </row>
    <row r="695" spans="1:8" x14ac:dyDescent="0.25">
      <c r="A695">
        <v>100704</v>
      </c>
      <c r="B695">
        <v>77</v>
      </c>
      <c r="C695">
        <v>650</v>
      </c>
      <c r="D695">
        <v>3229</v>
      </c>
      <c r="E695" s="1">
        <v>45787</v>
      </c>
      <c r="F695" s="1">
        <v>45788</v>
      </c>
      <c r="G695">
        <v>11547</v>
      </c>
      <c r="H695" t="s">
        <v>10</v>
      </c>
    </row>
    <row r="696" spans="1:8" x14ac:dyDescent="0.25">
      <c r="A696">
        <v>100705</v>
      </c>
      <c r="B696">
        <v>163</v>
      </c>
      <c r="C696">
        <v>1165</v>
      </c>
      <c r="D696">
        <v>3344</v>
      </c>
      <c r="E696" s="1">
        <v>45743</v>
      </c>
      <c r="F696" s="1">
        <v>45747</v>
      </c>
      <c r="G696">
        <v>36398</v>
      </c>
      <c r="H696" t="s">
        <v>25</v>
      </c>
    </row>
    <row r="697" spans="1:8" x14ac:dyDescent="0.25">
      <c r="A697">
        <v>100706</v>
      </c>
      <c r="B697">
        <v>284</v>
      </c>
      <c r="C697">
        <v>769</v>
      </c>
      <c r="D697">
        <v>3346</v>
      </c>
      <c r="E697" s="1">
        <v>45641</v>
      </c>
      <c r="F697" s="1">
        <v>45644</v>
      </c>
      <c r="G697">
        <v>22462</v>
      </c>
      <c r="H697" t="s">
        <v>17</v>
      </c>
    </row>
    <row r="698" spans="1:8" x14ac:dyDescent="0.25">
      <c r="A698">
        <v>100707</v>
      </c>
      <c r="B698">
        <v>480</v>
      </c>
      <c r="C698">
        <v>673</v>
      </c>
      <c r="D698">
        <v>3226</v>
      </c>
      <c r="E698" s="1">
        <v>45772</v>
      </c>
      <c r="F698" s="1">
        <v>45774</v>
      </c>
      <c r="G698">
        <v>18998</v>
      </c>
      <c r="H698" t="s">
        <v>14</v>
      </c>
    </row>
    <row r="699" spans="1:8" x14ac:dyDescent="0.25">
      <c r="A699">
        <v>100708</v>
      </c>
      <c r="B699">
        <v>472</v>
      </c>
      <c r="C699">
        <v>738</v>
      </c>
      <c r="D699">
        <v>3369</v>
      </c>
      <c r="E699" s="1">
        <v>45602</v>
      </c>
      <c r="F699" s="1">
        <v>45604</v>
      </c>
      <c r="G699">
        <v>24073</v>
      </c>
      <c r="H699" t="s">
        <v>25</v>
      </c>
    </row>
    <row r="700" spans="1:8" x14ac:dyDescent="0.25">
      <c r="A700">
        <v>100709</v>
      </c>
      <c r="B700">
        <v>428</v>
      </c>
      <c r="C700">
        <v>308</v>
      </c>
      <c r="D700">
        <v>3169</v>
      </c>
      <c r="E700" s="1">
        <v>45698</v>
      </c>
      <c r="F700" s="1">
        <v>45701</v>
      </c>
      <c r="G700">
        <v>21072</v>
      </c>
      <c r="H700" t="s">
        <v>14</v>
      </c>
    </row>
    <row r="701" spans="1:8" x14ac:dyDescent="0.25">
      <c r="A701">
        <v>100710</v>
      </c>
      <c r="B701">
        <v>423</v>
      </c>
      <c r="C701">
        <v>1172</v>
      </c>
      <c r="D701">
        <v>3096</v>
      </c>
      <c r="E701" s="1">
        <v>45625</v>
      </c>
      <c r="F701" s="1">
        <v>45626</v>
      </c>
      <c r="G701">
        <v>10818</v>
      </c>
      <c r="H701" t="s">
        <v>17</v>
      </c>
    </row>
    <row r="702" spans="1:8" x14ac:dyDescent="0.25">
      <c r="A702">
        <v>100711</v>
      </c>
      <c r="B702">
        <v>121</v>
      </c>
      <c r="C702">
        <v>195</v>
      </c>
      <c r="D702">
        <v>3491</v>
      </c>
      <c r="E702" s="1">
        <v>45780</v>
      </c>
      <c r="F702" s="1">
        <v>45782</v>
      </c>
      <c r="G702">
        <v>24124</v>
      </c>
      <c r="H702" t="s">
        <v>25</v>
      </c>
    </row>
    <row r="703" spans="1:8" x14ac:dyDescent="0.25">
      <c r="A703">
        <v>100712</v>
      </c>
      <c r="B703">
        <v>81</v>
      </c>
      <c r="C703">
        <v>943</v>
      </c>
      <c r="D703">
        <v>3179</v>
      </c>
      <c r="E703" s="1">
        <v>45643</v>
      </c>
      <c r="F703" s="1">
        <v>45645</v>
      </c>
      <c r="G703">
        <v>23631</v>
      </c>
      <c r="H703" t="s">
        <v>25</v>
      </c>
    </row>
    <row r="704" spans="1:8" x14ac:dyDescent="0.25">
      <c r="A704">
        <v>100713</v>
      </c>
      <c r="B704">
        <v>459</v>
      </c>
      <c r="C704">
        <v>971</v>
      </c>
      <c r="D704">
        <v>3107</v>
      </c>
      <c r="E704" s="1">
        <v>45741</v>
      </c>
      <c r="F704" s="1">
        <v>45744</v>
      </c>
      <c r="G704">
        <v>22094</v>
      </c>
      <c r="H704" t="s">
        <v>14</v>
      </c>
    </row>
    <row r="705" spans="1:8" x14ac:dyDescent="0.25">
      <c r="A705">
        <v>100714</v>
      </c>
      <c r="B705">
        <v>164</v>
      </c>
      <c r="C705">
        <v>247</v>
      </c>
      <c r="D705">
        <v>3025</v>
      </c>
      <c r="E705" s="1">
        <v>45781</v>
      </c>
      <c r="F705" s="1">
        <v>45783</v>
      </c>
      <c r="G705">
        <v>10284</v>
      </c>
      <c r="H705" t="s">
        <v>25</v>
      </c>
    </row>
    <row r="706" spans="1:8" x14ac:dyDescent="0.25">
      <c r="A706">
        <v>100715</v>
      </c>
      <c r="B706">
        <v>465</v>
      </c>
      <c r="C706">
        <v>431</v>
      </c>
      <c r="D706">
        <v>3238</v>
      </c>
      <c r="E706" s="1">
        <v>45602</v>
      </c>
      <c r="F706" s="1">
        <v>45621</v>
      </c>
      <c r="G706">
        <v>73768</v>
      </c>
      <c r="H706" t="s">
        <v>17</v>
      </c>
    </row>
    <row r="707" spans="1:8" x14ac:dyDescent="0.25">
      <c r="A707">
        <v>100716</v>
      </c>
      <c r="B707">
        <v>388</v>
      </c>
      <c r="C707">
        <v>1258</v>
      </c>
      <c r="D707">
        <v>3059</v>
      </c>
      <c r="E707" s="1">
        <v>45621</v>
      </c>
      <c r="F707" s="1">
        <v>45629</v>
      </c>
      <c r="G707">
        <v>66251</v>
      </c>
      <c r="H707" t="s">
        <v>25</v>
      </c>
    </row>
    <row r="708" spans="1:8" x14ac:dyDescent="0.25">
      <c r="A708">
        <v>100717</v>
      </c>
      <c r="B708">
        <v>349</v>
      </c>
      <c r="C708">
        <v>178</v>
      </c>
      <c r="D708">
        <v>3138</v>
      </c>
      <c r="E708" s="1">
        <v>45631</v>
      </c>
      <c r="F708" s="1">
        <v>45634</v>
      </c>
      <c r="G708">
        <v>29924</v>
      </c>
      <c r="H708" t="s">
        <v>17</v>
      </c>
    </row>
    <row r="709" spans="1:8" x14ac:dyDescent="0.25">
      <c r="A709">
        <v>100718</v>
      </c>
      <c r="B709">
        <v>108</v>
      </c>
      <c r="C709">
        <v>409</v>
      </c>
      <c r="D709">
        <v>3030</v>
      </c>
      <c r="E709" s="1">
        <v>45668</v>
      </c>
      <c r="F709" s="1">
        <v>45671</v>
      </c>
      <c r="G709">
        <v>36284</v>
      </c>
      <c r="H709" t="s">
        <v>25</v>
      </c>
    </row>
    <row r="710" spans="1:8" x14ac:dyDescent="0.25">
      <c r="A710">
        <v>100719</v>
      </c>
      <c r="B710">
        <v>50</v>
      </c>
      <c r="C710">
        <v>889</v>
      </c>
      <c r="D710">
        <v>3300</v>
      </c>
      <c r="E710" s="1">
        <v>45597</v>
      </c>
      <c r="F710" s="1">
        <v>45601</v>
      </c>
      <c r="G710">
        <v>34376</v>
      </c>
      <c r="H710" t="s">
        <v>25</v>
      </c>
    </row>
    <row r="711" spans="1:8" x14ac:dyDescent="0.25">
      <c r="A711">
        <v>100720</v>
      </c>
      <c r="B711">
        <v>19</v>
      </c>
      <c r="C711">
        <v>190</v>
      </c>
      <c r="D711">
        <v>3433</v>
      </c>
      <c r="E711" s="1">
        <v>45617</v>
      </c>
      <c r="F711" s="1">
        <v>45638</v>
      </c>
      <c r="G711">
        <v>61358</v>
      </c>
      <c r="H711" t="s">
        <v>17</v>
      </c>
    </row>
    <row r="712" spans="1:8" x14ac:dyDescent="0.25">
      <c r="A712">
        <v>100721</v>
      </c>
      <c r="B712">
        <v>200</v>
      </c>
      <c r="C712">
        <v>574</v>
      </c>
      <c r="D712">
        <v>3007</v>
      </c>
      <c r="E712" s="1">
        <v>45601</v>
      </c>
      <c r="F712" s="1">
        <v>45609</v>
      </c>
      <c r="G712">
        <v>32183</v>
      </c>
      <c r="H712" t="s">
        <v>10</v>
      </c>
    </row>
    <row r="713" spans="1:8" x14ac:dyDescent="0.25">
      <c r="A713">
        <v>100722</v>
      </c>
      <c r="B713">
        <v>48</v>
      </c>
      <c r="C713">
        <v>773</v>
      </c>
      <c r="D713">
        <v>3231</v>
      </c>
      <c r="E713" s="1">
        <v>45642</v>
      </c>
      <c r="F713" s="1">
        <v>45644</v>
      </c>
      <c r="G713">
        <v>16254</v>
      </c>
      <c r="H713" t="s">
        <v>25</v>
      </c>
    </row>
    <row r="714" spans="1:8" x14ac:dyDescent="0.25">
      <c r="A714">
        <v>100723</v>
      </c>
      <c r="B714">
        <v>445</v>
      </c>
      <c r="C714">
        <v>1470</v>
      </c>
      <c r="D714">
        <v>3090</v>
      </c>
      <c r="E714" s="1">
        <v>45659</v>
      </c>
      <c r="F714" s="1">
        <v>45664</v>
      </c>
      <c r="G714">
        <v>49313</v>
      </c>
      <c r="H714" t="s">
        <v>10</v>
      </c>
    </row>
    <row r="715" spans="1:8" x14ac:dyDescent="0.25">
      <c r="A715">
        <v>100724</v>
      </c>
      <c r="B715">
        <v>227</v>
      </c>
      <c r="C715">
        <v>1058</v>
      </c>
      <c r="D715">
        <v>3219</v>
      </c>
      <c r="E715" s="1">
        <v>45727</v>
      </c>
      <c r="F715" s="1">
        <v>45751</v>
      </c>
      <c r="G715">
        <v>179233</v>
      </c>
      <c r="H715" t="s">
        <v>25</v>
      </c>
    </row>
    <row r="716" spans="1:8" x14ac:dyDescent="0.25">
      <c r="A716">
        <v>100725</v>
      </c>
      <c r="B716">
        <v>161</v>
      </c>
      <c r="C716">
        <v>843</v>
      </c>
      <c r="D716">
        <v>3018</v>
      </c>
      <c r="E716" s="1">
        <v>45655</v>
      </c>
      <c r="F716" s="1">
        <v>45656</v>
      </c>
      <c r="G716">
        <v>18669</v>
      </c>
      <c r="H716" t="s">
        <v>25</v>
      </c>
    </row>
    <row r="717" spans="1:8" x14ac:dyDescent="0.25">
      <c r="A717">
        <v>100726</v>
      </c>
      <c r="B717">
        <v>431</v>
      </c>
      <c r="C717">
        <v>1143</v>
      </c>
      <c r="D717">
        <v>3228</v>
      </c>
      <c r="E717" s="1">
        <v>45698</v>
      </c>
      <c r="F717" s="1">
        <v>45700</v>
      </c>
      <c r="G717">
        <v>21438</v>
      </c>
      <c r="H717" t="s">
        <v>25</v>
      </c>
    </row>
    <row r="718" spans="1:8" x14ac:dyDescent="0.25">
      <c r="A718">
        <v>100727</v>
      </c>
      <c r="B718">
        <v>51</v>
      </c>
      <c r="C718">
        <v>195</v>
      </c>
      <c r="D718">
        <v>3090</v>
      </c>
      <c r="E718" s="1">
        <v>45794</v>
      </c>
      <c r="F718" s="1">
        <v>45797</v>
      </c>
      <c r="G718">
        <v>14660</v>
      </c>
      <c r="H718" t="s">
        <v>25</v>
      </c>
    </row>
    <row r="719" spans="1:8" x14ac:dyDescent="0.25">
      <c r="A719">
        <v>100728</v>
      </c>
      <c r="B719">
        <v>87</v>
      </c>
      <c r="C719">
        <v>732</v>
      </c>
      <c r="D719">
        <v>3023</v>
      </c>
      <c r="E719" s="1">
        <v>45710</v>
      </c>
      <c r="F719" s="1">
        <v>45715</v>
      </c>
      <c r="G719">
        <v>35169</v>
      </c>
      <c r="H719" t="s">
        <v>25</v>
      </c>
    </row>
    <row r="720" spans="1:8" x14ac:dyDescent="0.25">
      <c r="A720">
        <v>100729</v>
      </c>
      <c r="B720">
        <v>174</v>
      </c>
      <c r="C720">
        <v>186</v>
      </c>
      <c r="D720">
        <v>3476</v>
      </c>
      <c r="E720" s="1">
        <v>45737</v>
      </c>
      <c r="F720" s="1">
        <v>45745</v>
      </c>
      <c r="G720">
        <v>40563</v>
      </c>
      <c r="H720" t="s">
        <v>25</v>
      </c>
    </row>
    <row r="721" spans="1:8" x14ac:dyDescent="0.25">
      <c r="A721">
        <v>100730</v>
      </c>
      <c r="B721">
        <v>362</v>
      </c>
      <c r="C721">
        <v>1026</v>
      </c>
      <c r="D721">
        <v>3422</v>
      </c>
      <c r="E721" s="1">
        <v>45804</v>
      </c>
      <c r="F721" s="1">
        <v>45808</v>
      </c>
      <c r="G721">
        <v>35916</v>
      </c>
      <c r="H721" t="s">
        <v>17</v>
      </c>
    </row>
    <row r="722" spans="1:8" x14ac:dyDescent="0.25">
      <c r="A722">
        <v>100731</v>
      </c>
      <c r="B722">
        <v>65</v>
      </c>
      <c r="C722">
        <v>400</v>
      </c>
      <c r="D722">
        <v>3094</v>
      </c>
      <c r="E722" s="1">
        <v>45803</v>
      </c>
      <c r="F722" s="1">
        <v>45808</v>
      </c>
      <c r="G722">
        <v>40965</v>
      </c>
      <c r="H722" t="s">
        <v>25</v>
      </c>
    </row>
    <row r="723" spans="1:8" x14ac:dyDescent="0.25">
      <c r="A723">
        <v>100732</v>
      </c>
      <c r="B723">
        <v>416</v>
      </c>
      <c r="C723">
        <v>1546</v>
      </c>
      <c r="D723">
        <v>3142</v>
      </c>
      <c r="E723" s="1">
        <v>45615</v>
      </c>
      <c r="F723" s="1">
        <v>45620</v>
      </c>
      <c r="G723">
        <v>43364</v>
      </c>
      <c r="H723" t="s">
        <v>10</v>
      </c>
    </row>
    <row r="724" spans="1:8" x14ac:dyDescent="0.25">
      <c r="A724">
        <v>100733</v>
      </c>
      <c r="B724">
        <v>296</v>
      </c>
      <c r="C724">
        <v>380</v>
      </c>
      <c r="D724">
        <v>3167</v>
      </c>
      <c r="E724" s="1">
        <v>45689</v>
      </c>
      <c r="F724" s="1">
        <v>45692</v>
      </c>
      <c r="G724">
        <v>24607</v>
      </c>
      <c r="H724" t="s">
        <v>17</v>
      </c>
    </row>
    <row r="725" spans="1:8" x14ac:dyDescent="0.25">
      <c r="A725">
        <v>100734</v>
      </c>
      <c r="B725">
        <v>260</v>
      </c>
      <c r="C725">
        <v>1181</v>
      </c>
      <c r="D725">
        <v>3366</v>
      </c>
      <c r="E725" s="1">
        <v>45773</v>
      </c>
      <c r="F725" s="1">
        <v>45775</v>
      </c>
      <c r="G725">
        <v>20925</v>
      </c>
      <c r="H725" t="s">
        <v>10</v>
      </c>
    </row>
    <row r="726" spans="1:8" x14ac:dyDescent="0.25">
      <c r="A726">
        <v>100735</v>
      </c>
      <c r="B726">
        <v>160</v>
      </c>
      <c r="C726">
        <v>782</v>
      </c>
      <c r="D726">
        <v>3481</v>
      </c>
      <c r="E726" s="1">
        <v>45697</v>
      </c>
      <c r="F726" s="1">
        <v>45700</v>
      </c>
      <c r="G726">
        <v>22489</v>
      </c>
      <c r="H726" t="s">
        <v>25</v>
      </c>
    </row>
    <row r="727" spans="1:8" x14ac:dyDescent="0.25">
      <c r="A727">
        <v>100736</v>
      </c>
      <c r="B727">
        <v>484</v>
      </c>
      <c r="C727">
        <v>1574</v>
      </c>
      <c r="D727">
        <v>3027</v>
      </c>
      <c r="E727" s="1">
        <v>45797</v>
      </c>
      <c r="F727" s="1">
        <v>45799</v>
      </c>
      <c r="G727">
        <v>17393</v>
      </c>
      <c r="H727" t="s">
        <v>25</v>
      </c>
    </row>
    <row r="728" spans="1:8" x14ac:dyDescent="0.25">
      <c r="A728">
        <v>100737</v>
      </c>
      <c r="B728">
        <v>389</v>
      </c>
      <c r="C728">
        <v>1243</v>
      </c>
      <c r="D728">
        <v>3482</v>
      </c>
      <c r="E728" s="1">
        <v>45778</v>
      </c>
      <c r="F728" s="1">
        <v>45783</v>
      </c>
      <c r="G728">
        <v>27247</v>
      </c>
      <c r="H728" t="s">
        <v>14</v>
      </c>
    </row>
    <row r="729" spans="1:8" x14ac:dyDescent="0.25">
      <c r="A729">
        <v>100738</v>
      </c>
      <c r="B729">
        <v>225</v>
      </c>
      <c r="C729">
        <v>430</v>
      </c>
      <c r="D729">
        <v>3250</v>
      </c>
      <c r="E729" s="1">
        <v>45642</v>
      </c>
      <c r="F729" s="1">
        <v>45646</v>
      </c>
      <c r="G729">
        <v>26531</v>
      </c>
      <c r="H729" t="s">
        <v>17</v>
      </c>
    </row>
    <row r="730" spans="1:8" x14ac:dyDescent="0.25">
      <c r="A730">
        <v>100739</v>
      </c>
      <c r="B730">
        <v>236</v>
      </c>
      <c r="C730">
        <v>248</v>
      </c>
      <c r="D730">
        <v>3454</v>
      </c>
      <c r="E730" s="1">
        <v>45738</v>
      </c>
      <c r="F730" s="1">
        <v>45741</v>
      </c>
      <c r="G730">
        <v>12762</v>
      </c>
      <c r="H730" t="s">
        <v>17</v>
      </c>
    </row>
    <row r="731" spans="1:8" x14ac:dyDescent="0.25">
      <c r="A731">
        <v>100740</v>
      </c>
      <c r="B731">
        <v>57</v>
      </c>
      <c r="C731">
        <v>755</v>
      </c>
      <c r="D731">
        <v>3417</v>
      </c>
      <c r="E731" s="1">
        <v>45727</v>
      </c>
      <c r="F731" s="1">
        <v>45729</v>
      </c>
      <c r="G731">
        <v>18870</v>
      </c>
      <c r="H731" t="s">
        <v>14</v>
      </c>
    </row>
    <row r="732" spans="1:8" x14ac:dyDescent="0.25">
      <c r="A732">
        <v>100741</v>
      </c>
      <c r="B732">
        <v>1</v>
      </c>
      <c r="C732">
        <v>216</v>
      </c>
      <c r="D732">
        <v>3459</v>
      </c>
      <c r="E732" s="1">
        <v>45734</v>
      </c>
      <c r="F732" s="1">
        <v>45737</v>
      </c>
      <c r="G732">
        <v>28146</v>
      </c>
      <c r="H732" t="s">
        <v>25</v>
      </c>
    </row>
    <row r="733" spans="1:8" x14ac:dyDescent="0.25">
      <c r="A733">
        <v>100742</v>
      </c>
      <c r="B733">
        <v>253</v>
      </c>
      <c r="C733">
        <v>929</v>
      </c>
      <c r="D733">
        <v>3421</v>
      </c>
      <c r="E733" s="1">
        <v>45748</v>
      </c>
      <c r="F733" s="1">
        <v>45749</v>
      </c>
      <c r="G733">
        <v>15692</v>
      </c>
      <c r="H733" t="s">
        <v>25</v>
      </c>
    </row>
    <row r="734" spans="1:8" x14ac:dyDescent="0.25">
      <c r="A734">
        <v>100743</v>
      </c>
      <c r="B734">
        <v>294</v>
      </c>
      <c r="C734">
        <v>1078</v>
      </c>
      <c r="D734">
        <v>3466</v>
      </c>
      <c r="E734" s="1">
        <v>45601</v>
      </c>
      <c r="F734" s="1">
        <v>45603</v>
      </c>
      <c r="G734">
        <v>23749</v>
      </c>
      <c r="H734" t="s">
        <v>17</v>
      </c>
    </row>
    <row r="735" spans="1:8" x14ac:dyDescent="0.25">
      <c r="A735">
        <v>100744</v>
      </c>
      <c r="B735">
        <v>489</v>
      </c>
      <c r="C735">
        <v>988</v>
      </c>
      <c r="D735">
        <v>3184</v>
      </c>
      <c r="E735" s="1">
        <v>45722</v>
      </c>
      <c r="F735" s="1">
        <v>45743</v>
      </c>
      <c r="G735">
        <v>180222</v>
      </c>
      <c r="H735" t="s">
        <v>25</v>
      </c>
    </row>
    <row r="736" spans="1:8" x14ac:dyDescent="0.25">
      <c r="A736">
        <v>100745</v>
      </c>
      <c r="B736">
        <v>162</v>
      </c>
      <c r="C736">
        <v>1564</v>
      </c>
      <c r="D736">
        <v>3285</v>
      </c>
      <c r="E736" s="1">
        <v>45783</v>
      </c>
      <c r="F736" s="1">
        <v>45784</v>
      </c>
      <c r="G736">
        <v>17371</v>
      </c>
      <c r="H736" t="s">
        <v>17</v>
      </c>
    </row>
    <row r="737" spans="1:8" x14ac:dyDescent="0.25">
      <c r="A737">
        <v>100746</v>
      </c>
      <c r="B737">
        <v>494</v>
      </c>
      <c r="C737">
        <v>1144</v>
      </c>
      <c r="D737">
        <v>3440</v>
      </c>
      <c r="E737" s="1">
        <v>45661</v>
      </c>
      <c r="F737" s="1">
        <v>45670</v>
      </c>
      <c r="G737">
        <v>43964</v>
      </c>
      <c r="H737" t="s">
        <v>14</v>
      </c>
    </row>
    <row r="738" spans="1:8" x14ac:dyDescent="0.25">
      <c r="A738">
        <v>100747</v>
      </c>
      <c r="B738">
        <v>379</v>
      </c>
      <c r="C738">
        <v>570</v>
      </c>
      <c r="D738">
        <v>3449</v>
      </c>
      <c r="E738" s="1">
        <v>45789</v>
      </c>
      <c r="F738" s="1">
        <v>45795</v>
      </c>
      <c r="G738">
        <v>20581</v>
      </c>
      <c r="H738" t="s">
        <v>25</v>
      </c>
    </row>
    <row r="739" spans="1:8" x14ac:dyDescent="0.25">
      <c r="A739">
        <v>100748</v>
      </c>
      <c r="B739">
        <v>27</v>
      </c>
      <c r="C739">
        <v>348</v>
      </c>
      <c r="D739">
        <v>3400</v>
      </c>
      <c r="E739" s="1">
        <v>45679</v>
      </c>
      <c r="F739" s="1">
        <v>45680</v>
      </c>
      <c r="G739">
        <v>18593</v>
      </c>
      <c r="H739" t="s">
        <v>25</v>
      </c>
    </row>
    <row r="740" spans="1:8" x14ac:dyDescent="0.25">
      <c r="A740">
        <v>100749</v>
      </c>
      <c r="B740">
        <v>317</v>
      </c>
      <c r="C740">
        <v>1404</v>
      </c>
      <c r="D740">
        <v>3302</v>
      </c>
      <c r="E740" s="1">
        <v>45806</v>
      </c>
      <c r="F740" s="1">
        <v>45808</v>
      </c>
      <c r="G740">
        <v>16540</v>
      </c>
      <c r="H740" t="s">
        <v>17</v>
      </c>
    </row>
    <row r="741" spans="1:8" x14ac:dyDescent="0.25">
      <c r="A741">
        <v>100750</v>
      </c>
      <c r="B741">
        <v>341</v>
      </c>
      <c r="C741">
        <v>168</v>
      </c>
      <c r="D741">
        <v>3470</v>
      </c>
      <c r="E741" s="1">
        <v>45701</v>
      </c>
      <c r="F741" s="1">
        <v>45702</v>
      </c>
      <c r="G741">
        <v>18299</v>
      </c>
      <c r="H741" t="s">
        <v>17</v>
      </c>
    </row>
    <row r="742" spans="1:8" x14ac:dyDescent="0.25">
      <c r="A742">
        <v>100751</v>
      </c>
      <c r="B742">
        <v>478</v>
      </c>
      <c r="C742">
        <v>1019</v>
      </c>
      <c r="D742">
        <v>3198</v>
      </c>
      <c r="E742" s="1">
        <v>45601</v>
      </c>
      <c r="F742" s="1">
        <v>45615</v>
      </c>
      <c r="G742">
        <v>108423</v>
      </c>
      <c r="H742" t="s">
        <v>25</v>
      </c>
    </row>
    <row r="743" spans="1:8" x14ac:dyDescent="0.25">
      <c r="A743">
        <v>100752</v>
      </c>
      <c r="B743">
        <v>172</v>
      </c>
      <c r="C743">
        <v>732</v>
      </c>
      <c r="D743">
        <v>3447</v>
      </c>
      <c r="E743" s="1">
        <v>45652</v>
      </c>
      <c r="F743" s="1">
        <v>45655</v>
      </c>
      <c r="G743">
        <v>32567</v>
      </c>
      <c r="H743" t="s">
        <v>25</v>
      </c>
    </row>
    <row r="744" spans="1:8" x14ac:dyDescent="0.25">
      <c r="A744">
        <v>100753</v>
      </c>
      <c r="B744">
        <v>459</v>
      </c>
      <c r="C744">
        <v>1431</v>
      </c>
      <c r="D744">
        <v>3324</v>
      </c>
      <c r="E744" s="1">
        <v>45735</v>
      </c>
      <c r="F744" s="1">
        <v>45737</v>
      </c>
      <c r="G744">
        <v>14020</v>
      </c>
      <c r="H744" t="s">
        <v>25</v>
      </c>
    </row>
    <row r="745" spans="1:8" x14ac:dyDescent="0.25">
      <c r="A745">
        <v>100754</v>
      </c>
      <c r="B745">
        <v>332</v>
      </c>
      <c r="C745">
        <v>1070</v>
      </c>
      <c r="D745">
        <v>3236</v>
      </c>
      <c r="E745" s="1">
        <v>45636</v>
      </c>
      <c r="F745" s="1">
        <v>45640</v>
      </c>
      <c r="G745">
        <v>17856</v>
      </c>
      <c r="H745" t="s">
        <v>25</v>
      </c>
    </row>
    <row r="746" spans="1:8" x14ac:dyDescent="0.25">
      <c r="A746">
        <v>100755</v>
      </c>
      <c r="B746">
        <v>446</v>
      </c>
      <c r="C746">
        <v>328</v>
      </c>
      <c r="D746">
        <v>3087</v>
      </c>
      <c r="E746" s="1">
        <v>45722</v>
      </c>
      <c r="F746" s="1">
        <v>45723</v>
      </c>
      <c r="G746">
        <v>16636</v>
      </c>
      <c r="H746" t="s">
        <v>25</v>
      </c>
    </row>
    <row r="747" spans="1:8" x14ac:dyDescent="0.25">
      <c r="A747">
        <v>100756</v>
      </c>
      <c r="B747">
        <v>473</v>
      </c>
      <c r="C747">
        <v>662</v>
      </c>
      <c r="D747">
        <v>3166</v>
      </c>
      <c r="E747" s="1">
        <v>45656</v>
      </c>
      <c r="F747" s="1">
        <v>45659</v>
      </c>
      <c r="G747">
        <v>34265</v>
      </c>
      <c r="H747" t="s">
        <v>17</v>
      </c>
    </row>
    <row r="748" spans="1:8" x14ac:dyDescent="0.25">
      <c r="A748">
        <v>100757</v>
      </c>
      <c r="B748">
        <v>204</v>
      </c>
      <c r="C748">
        <v>705</v>
      </c>
      <c r="D748">
        <v>3498</v>
      </c>
      <c r="E748" s="1">
        <v>45763</v>
      </c>
      <c r="F748" s="1">
        <v>45777</v>
      </c>
      <c r="G748">
        <v>86132</v>
      </c>
      <c r="H748" t="s">
        <v>25</v>
      </c>
    </row>
    <row r="749" spans="1:8" x14ac:dyDescent="0.25">
      <c r="A749">
        <v>100758</v>
      </c>
      <c r="B749">
        <v>345</v>
      </c>
      <c r="C749">
        <v>1474</v>
      </c>
      <c r="D749">
        <v>3248</v>
      </c>
      <c r="E749" s="1">
        <v>45652</v>
      </c>
      <c r="F749" s="1">
        <v>45654</v>
      </c>
      <c r="G749">
        <v>25438</v>
      </c>
      <c r="H749" t="s">
        <v>25</v>
      </c>
    </row>
    <row r="750" spans="1:8" x14ac:dyDescent="0.25">
      <c r="A750">
        <v>100759</v>
      </c>
      <c r="B750">
        <v>104</v>
      </c>
      <c r="C750">
        <v>128</v>
      </c>
      <c r="D750">
        <v>3014</v>
      </c>
      <c r="E750" s="1">
        <v>45654</v>
      </c>
      <c r="F750" s="1">
        <v>45660</v>
      </c>
      <c r="G750">
        <v>26306</v>
      </c>
      <c r="H750" t="s">
        <v>25</v>
      </c>
    </row>
    <row r="751" spans="1:8" x14ac:dyDescent="0.25">
      <c r="A751">
        <v>100760</v>
      </c>
      <c r="B751">
        <v>330</v>
      </c>
      <c r="C751">
        <v>198</v>
      </c>
      <c r="D751">
        <v>3351</v>
      </c>
      <c r="E751" s="1">
        <v>45619</v>
      </c>
      <c r="F751" s="1">
        <v>45629</v>
      </c>
      <c r="G751">
        <v>64782</v>
      </c>
      <c r="H751" t="s">
        <v>25</v>
      </c>
    </row>
    <row r="752" spans="1:8" x14ac:dyDescent="0.25">
      <c r="A752">
        <v>100761</v>
      </c>
      <c r="B752">
        <v>138</v>
      </c>
      <c r="C752">
        <v>1269</v>
      </c>
      <c r="D752">
        <v>3211</v>
      </c>
      <c r="E752" s="1">
        <v>45670</v>
      </c>
      <c r="F752" s="1">
        <v>45678</v>
      </c>
      <c r="G752">
        <v>33501</v>
      </c>
      <c r="H752" t="s">
        <v>25</v>
      </c>
    </row>
    <row r="753" spans="1:8" x14ac:dyDescent="0.25">
      <c r="A753">
        <v>100762</v>
      </c>
      <c r="B753">
        <v>173</v>
      </c>
      <c r="C753">
        <v>1128</v>
      </c>
      <c r="D753">
        <v>3486</v>
      </c>
      <c r="E753" s="1">
        <v>45607</v>
      </c>
      <c r="F753" s="1">
        <v>45611</v>
      </c>
      <c r="G753">
        <v>39034</v>
      </c>
      <c r="H753" t="s">
        <v>10</v>
      </c>
    </row>
    <row r="754" spans="1:8" x14ac:dyDescent="0.25">
      <c r="A754">
        <v>100763</v>
      </c>
      <c r="B754">
        <v>102</v>
      </c>
      <c r="C754">
        <v>1402</v>
      </c>
      <c r="D754">
        <v>3138</v>
      </c>
      <c r="E754" s="1">
        <v>45721</v>
      </c>
      <c r="F754" s="1">
        <v>45723</v>
      </c>
      <c r="G754">
        <v>28127</v>
      </c>
      <c r="H754" t="s">
        <v>17</v>
      </c>
    </row>
    <row r="755" spans="1:8" x14ac:dyDescent="0.25">
      <c r="A755">
        <v>100764</v>
      </c>
      <c r="B755">
        <v>207</v>
      </c>
      <c r="C755">
        <v>1473</v>
      </c>
      <c r="D755">
        <v>3009</v>
      </c>
      <c r="E755" s="1">
        <v>45672</v>
      </c>
      <c r="F755" s="1">
        <v>45677</v>
      </c>
      <c r="G755">
        <v>46601</v>
      </c>
      <c r="H755" t="s">
        <v>25</v>
      </c>
    </row>
    <row r="756" spans="1:8" x14ac:dyDescent="0.25">
      <c r="A756">
        <v>100765</v>
      </c>
      <c r="B756">
        <v>169</v>
      </c>
      <c r="C756">
        <v>1235</v>
      </c>
      <c r="D756">
        <v>3128</v>
      </c>
      <c r="E756" s="1">
        <v>45649</v>
      </c>
      <c r="F756" s="1">
        <v>45652</v>
      </c>
      <c r="G756">
        <v>31380</v>
      </c>
      <c r="H756" t="s">
        <v>14</v>
      </c>
    </row>
    <row r="757" spans="1:8" x14ac:dyDescent="0.25">
      <c r="A757">
        <v>100766</v>
      </c>
      <c r="B757">
        <v>149</v>
      </c>
      <c r="C757">
        <v>1192</v>
      </c>
      <c r="D757">
        <v>3308</v>
      </c>
      <c r="E757" s="1">
        <v>45756</v>
      </c>
      <c r="F757" s="1">
        <v>45759</v>
      </c>
      <c r="G757">
        <v>18639</v>
      </c>
      <c r="H757" t="s">
        <v>25</v>
      </c>
    </row>
    <row r="758" spans="1:8" x14ac:dyDescent="0.25">
      <c r="A758">
        <v>100767</v>
      </c>
      <c r="B758">
        <v>411</v>
      </c>
      <c r="C758">
        <v>292</v>
      </c>
      <c r="D758">
        <v>3394</v>
      </c>
      <c r="E758" s="1">
        <v>45688</v>
      </c>
      <c r="F758" s="1">
        <v>45691</v>
      </c>
      <c r="G758">
        <v>20413</v>
      </c>
      <c r="H758" t="s">
        <v>14</v>
      </c>
    </row>
    <row r="759" spans="1:8" x14ac:dyDescent="0.25">
      <c r="A759">
        <v>100768</v>
      </c>
      <c r="B759">
        <v>329</v>
      </c>
      <c r="C759">
        <v>896</v>
      </c>
      <c r="D759">
        <v>3189</v>
      </c>
      <c r="E759" s="1">
        <v>45657</v>
      </c>
      <c r="F759" s="1">
        <v>45659</v>
      </c>
      <c r="G759">
        <v>14850</v>
      </c>
      <c r="H759" t="s">
        <v>17</v>
      </c>
    </row>
    <row r="760" spans="1:8" x14ac:dyDescent="0.25">
      <c r="A760">
        <v>100769</v>
      </c>
      <c r="B760">
        <v>50</v>
      </c>
      <c r="C760">
        <v>1296</v>
      </c>
      <c r="D760">
        <v>3348</v>
      </c>
      <c r="E760" s="1">
        <v>45750</v>
      </c>
      <c r="F760" s="1">
        <v>45753</v>
      </c>
      <c r="G760">
        <v>20967</v>
      </c>
      <c r="H760" t="s">
        <v>17</v>
      </c>
    </row>
    <row r="761" spans="1:8" x14ac:dyDescent="0.25">
      <c r="A761">
        <v>100770</v>
      </c>
      <c r="B761">
        <v>330</v>
      </c>
      <c r="C761">
        <v>321</v>
      </c>
      <c r="D761">
        <v>3359</v>
      </c>
      <c r="E761" s="1">
        <v>45712</v>
      </c>
      <c r="F761" s="1">
        <v>45729</v>
      </c>
      <c r="G761">
        <v>141831</v>
      </c>
      <c r="H761" t="s">
        <v>25</v>
      </c>
    </row>
    <row r="762" spans="1:8" x14ac:dyDescent="0.25">
      <c r="A762">
        <v>100771</v>
      </c>
      <c r="B762">
        <v>341</v>
      </c>
      <c r="C762">
        <v>231</v>
      </c>
      <c r="D762">
        <v>3325</v>
      </c>
      <c r="E762" s="1">
        <v>45729</v>
      </c>
      <c r="F762" s="1">
        <v>45730</v>
      </c>
      <c r="G762">
        <v>17054</v>
      </c>
      <c r="H762" t="s">
        <v>25</v>
      </c>
    </row>
    <row r="763" spans="1:8" x14ac:dyDescent="0.25">
      <c r="A763">
        <v>100772</v>
      </c>
      <c r="B763">
        <v>290</v>
      </c>
      <c r="C763">
        <v>121</v>
      </c>
      <c r="D763">
        <v>3298</v>
      </c>
      <c r="E763" s="1">
        <v>45788</v>
      </c>
      <c r="F763" s="1">
        <v>45793</v>
      </c>
      <c r="G763">
        <v>22851</v>
      </c>
      <c r="H763" t="s">
        <v>25</v>
      </c>
    </row>
    <row r="764" spans="1:8" x14ac:dyDescent="0.25">
      <c r="A764">
        <v>100773</v>
      </c>
      <c r="B764">
        <v>484</v>
      </c>
      <c r="C764">
        <v>1143</v>
      </c>
      <c r="D764">
        <v>3399</v>
      </c>
      <c r="E764" s="1">
        <v>45803</v>
      </c>
      <c r="F764" s="1">
        <v>45806</v>
      </c>
      <c r="G764">
        <v>19991</v>
      </c>
      <c r="H764" t="s">
        <v>14</v>
      </c>
    </row>
    <row r="765" spans="1:8" x14ac:dyDescent="0.25">
      <c r="A765">
        <v>100774</v>
      </c>
      <c r="B765">
        <v>421</v>
      </c>
      <c r="C765">
        <v>1344</v>
      </c>
      <c r="D765">
        <v>3367</v>
      </c>
      <c r="E765" s="1">
        <v>45616</v>
      </c>
      <c r="F765" s="1">
        <v>45624</v>
      </c>
      <c r="G765">
        <v>32407</v>
      </c>
      <c r="H765" t="s">
        <v>14</v>
      </c>
    </row>
    <row r="766" spans="1:8" x14ac:dyDescent="0.25">
      <c r="A766">
        <v>100775</v>
      </c>
      <c r="B766">
        <v>303</v>
      </c>
      <c r="C766">
        <v>374</v>
      </c>
      <c r="D766">
        <v>3118</v>
      </c>
      <c r="E766" s="1">
        <v>45750</v>
      </c>
      <c r="F766" s="1">
        <v>45754</v>
      </c>
      <c r="G766">
        <v>36431</v>
      </c>
      <c r="H766" t="s">
        <v>10</v>
      </c>
    </row>
    <row r="767" spans="1:8" x14ac:dyDescent="0.25">
      <c r="A767">
        <v>100776</v>
      </c>
      <c r="B767">
        <v>351</v>
      </c>
      <c r="C767">
        <v>170</v>
      </c>
      <c r="D767">
        <v>3252</v>
      </c>
      <c r="E767" s="1">
        <v>45654</v>
      </c>
      <c r="F767" s="1">
        <v>45657</v>
      </c>
      <c r="G767">
        <v>20697</v>
      </c>
      <c r="H767" t="s">
        <v>10</v>
      </c>
    </row>
    <row r="768" spans="1:8" x14ac:dyDescent="0.25">
      <c r="A768">
        <v>100777</v>
      </c>
      <c r="B768">
        <v>483</v>
      </c>
      <c r="C768">
        <v>239</v>
      </c>
      <c r="D768">
        <v>3049</v>
      </c>
      <c r="E768" s="1">
        <v>45795</v>
      </c>
      <c r="F768" s="1">
        <v>45798</v>
      </c>
      <c r="G768">
        <v>21368</v>
      </c>
      <c r="H768" t="s">
        <v>25</v>
      </c>
    </row>
    <row r="769" spans="1:8" x14ac:dyDescent="0.25">
      <c r="A769">
        <v>100778</v>
      </c>
      <c r="B769">
        <v>36</v>
      </c>
      <c r="C769">
        <v>305</v>
      </c>
      <c r="D769">
        <v>3198</v>
      </c>
      <c r="E769" s="1">
        <v>45794</v>
      </c>
      <c r="F769" s="1">
        <v>45796</v>
      </c>
      <c r="G769">
        <v>19221</v>
      </c>
      <c r="H769" t="s">
        <v>25</v>
      </c>
    </row>
    <row r="770" spans="1:8" x14ac:dyDescent="0.25">
      <c r="A770">
        <v>100779</v>
      </c>
      <c r="B770">
        <v>112</v>
      </c>
      <c r="C770">
        <v>252</v>
      </c>
      <c r="D770">
        <v>3139</v>
      </c>
      <c r="E770" s="1">
        <v>45672</v>
      </c>
      <c r="F770" s="1">
        <v>45674</v>
      </c>
      <c r="G770">
        <v>22017</v>
      </c>
      <c r="H770" t="s">
        <v>25</v>
      </c>
    </row>
    <row r="771" spans="1:8" x14ac:dyDescent="0.25">
      <c r="A771">
        <v>100780</v>
      </c>
      <c r="B771">
        <v>74</v>
      </c>
      <c r="C771">
        <v>329</v>
      </c>
      <c r="D771">
        <v>3137</v>
      </c>
      <c r="E771" s="1">
        <v>45597</v>
      </c>
      <c r="F771" s="1">
        <v>45600</v>
      </c>
      <c r="G771">
        <v>30063</v>
      </c>
      <c r="H771" t="s">
        <v>25</v>
      </c>
    </row>
    <row r="772" spans="1:8" x14ac:dyDescent="0.25">
      <c r="A772">
        <v>100781</v>
      </c>
      <c r="B772">
        <v>455</v>
      </c>
      <c r="C772">
        <v>112</v>
      </c>
      <c r="D772">
        <v>3268</v>
      </c>
      <c r="E772" s="1">
        <v>45797</v>
      </c>
      <c r="F772" s="1">
        <v>45801</v>
      </c>
      <c r="G772">
        <v>40058</v>
      </c>
      <c r="H772" t="s">
        <v>10</v>
      </c>
    </row>
    <row r="773" spans="1:8" x14ac:dyDescent="0.25">
      <c r="A773">
        <v>100782</v>
      </c>
      <c r="B773">
        <v>425</v>
      </c>
      <c r="C773">
        <v>792</v>
      </c>
      <c r="D773">
        <v>3109</v>
      </c>
      <c r="E773" s="1">
        <v>45686</v>
      </c>
      <c r="F773" s="1">
        <v>45696</v>
      </c>
      <c r="G773">
        <v>52262</v>
      </c>
      <c r="H773" t="s">
        <v>25</v>
      </c>
    </row>
    <row r="774" spans="1:8" x14ac:dyDescent="0.25">
      <c r="A774">
        <v>100783</v>
      </c>
      <c r="B774">
        <v>472</v>
      </c>
      <c r="C774">
        <v>571</v>
      </c>
      <c r="D774">
        <v>3193</v>
      </c>
      <c r="E774" s="1">
        <v>45700</v>
      </c>
      <c r="F774" s="1">
        <v>45703</v>
      </c>
      <c r="G774">
        <v>22880</v>
      </c>
      <c r="H774" t="s">
        <v>14</v>
      </c>
    </row>
    <row r="775" spans="1:8" x14ac:dyDescent="0.25">
      <c r="A775">
        <v>100784</v>
      </c>
      <c r="B775">
        <v>492</v>
      </c>
      <c r="C775">
        <v>715</v>
      </c>
      <c r="D775">
        <v>3362</v>
      </c>
      <c r="E775" s="1">
        <v>45606</v>
      </c>
      <c r="F775" s="1">
        <v>45612</v>
      </c>
      <c r="G775">
        <v>35066</v>
      </c>
      <c r="H775" t="s">
        <v>17</v>
      </c>
    </row>
    <row r="776" spans="1:8" x14ac:dyDescent="0.25">
      <c r="A776">
        <v>100785</v>
      </c>
      <c r="B776">
        <v>428</v>
      </c>
      <c r="C776">
        <v>453</v>
      </c>
      <c r="D776">
        <v>3260</v>
      </c>
      <c r="E776" s="1">
        <v>45737</v>
      </c>
      <c r="F776" s="1">
        <v>45740</v>
      </c>
      <c r="G776">
        <v>29952</v>
      </c>
      <c r="H776" t="s">
        <v>14</v>
      </c>
    </row>
    <row r="777" spans="1:8" x14ac:dyDescent="0.25">
      <c r="A777">
        <v>100786</v>
      </c>
      <c r="B777">
        <v>154</v>
      </c>
      <c r="C777">
        <v>1522</v>
      </c>
      <c r="D777">
        <v>3142</v>
      </c>
      <c r="E777" s="1">
        <v>45602</v>
      </c>
      <c r="F777" s="1">
        <v>45603</v>
      </c>
      <c r="G777">
        <v>9790</v>
      </c>
      <c r="H777" t="s">
        <v>25</v>
      </c>
    </row>
    <row r="778" spans="1:8" x14ac:dyDescent="0.25">
      <c r="A778">
        <v>100787</v>
      </c>
      <c r="B778">
        <v>389</v>
      </c>
      <c r="C778">
        <v>746</v>
      </c>
      <c r="D778">
        <v>3343</v>
      </c>
      <c r="E778" s="1">
        <v>45604</v>
      </c>
      <c r="F778" s="1">
        <v>45609</v>
      </c>
      <c r="G778">
        <v>26781</v>
      </c>
      <c r="H778" t="s">
        <v>25</v>
      </c>
    </row>
    <row r="779" spans="1:8" x14ac:dyDescent="0.25">
      <c r="A779">
        <v>100788</v>
      </c>
      <c r="B779">
        <v>263</v>
      </c>
      <c r="C779">
        <v>342</v>
      </c>
      <c r="D779">
        <v>3248</v>
      </c>
      <c r="E779" s="1">
        <v>45733</v>
      </c>
      <c r="F779" s="1">
        <v>45736</v>
      </c>
      <c r="G779">
        <v>20198</v>
      </c>
      <c r="H779" t="s">
        <v>25</v>
      </c>
    </row>
    <row r="780" spans="1:8" x14ac:dyDescent="0.25">
      <c r="A780">
        <v>100789</v>
      </c>
      <c r="B780">
        <v>445</v>
      </c>
      <c r="C780">
        <v>648</v>
      </c>
      <c r="D780">
        <v>3174</v>
      </c>
      <c r="E780" s="1">
        <v>45638</v>
      </c>
      <c r="F780" s="1">
        <v>45639</v>
      </c>
      <c r="G780">
        <v>11732</v>
      </c>
      <c r="H780" t="s">
        <v>17</v>
      </c>
    </row>
    <row r="781" spans="1:8" x14ac:dyDescent="0.25">
      <c r="A781">
        <v>100790</v>
      </c>
      <c r="B781">
        <v>479</v>
      </c>
      <c r="C781">
        <v>343</v>
      </c>
      <c r="D781">
        <v>3085</v>
      </c>
      <c r="E781" s="1">
        <v>45782</v>
      </c>
      <c r="F781" s="1">
        <v>45784</v>
      </c>
      <c r="G781">
        <v>23931</v>
      </c>
      <c r="H781" t="s">
        <v>25</v>
      </c>
    </row>
    <row r="782" spans="1:8" x14ac:dyDescent="0.25">
      <c r="A782">
        <v>100791</v>
      </c>
      <c r="B782">
        <v>439</v>
      </c>
      <c r="C782">
        <v>391</v>
      </c>
      <c r="D782">
        <v>3067</v>
      </c>
      <c r="E782" s="1">
        <v>45713</v>
      </c>
      <c r="F782" s="1">
        <v>45715</v>
      </c>
      <c r="G782">
        <v>17867</v>
      </c>
      <c r="H782" t="s">
        <v>25</v>
      </c>
    </row>
    <row r="783" spans="1:8" x14ac:dyDescent="0.25">
      <c r="A783">
        <v>100792</v>
      </c>
      <c r="B783">
        <v>128</v>
      </c>
      <c r="C783">
        <v>909</v>
      </c>
      <c r="D783">
        <v>3041</v>
      </c>
      <c r="E783" s="1">
        <v>45760</v>
      </c>
      <c r="F783" s="1">
        <v>45764</v>
      </c>
      <c r="G783">
        <v>33289</v>
      </c>
      <c r="H783" t="s">
        <v>17</v>
      </c>
    </row>
    <row r="784" spans="1:8" x14ac:dyDescent="0.25">
      <c r="A784">
        <v>100793</v>
      </c>
      <c r="B784">
        <v>286</v>
      </c>
      <c r="C784">
        <v>371</v>
      </c>
      <c r="D784">
        <v>3082</v>
      </c>
      <c r="E784" s="1">
        <v>45727</v>
      </c>
      <c r="F784" s="1">
        <v>45730</v>
      </c>
      <c r="G784">
        <v>34759</v>
      </c>
      <c r="H784" t="s">
        <v>14</v>
      </c>
    </row>
    <row r="785" spans="1:8" x14ac:dyDescent="0.25">
      <c r="A785">
        <v>100794</v>
      </c>
      <c r="B785">
        <v>187</v>
      </c>
      <c r="C785">
        <v>1183</v>
      </c>
      <c r="D785">
        <v>3437</v>
      </c>
      <c r="E785" s="1">
        <v>45657</v>
      </c>
      <c r="F785" s="1">
        <v>45661</v>
      </c>
      <c r="G785">
        <v>41357</v>
      </c>
      <c r="H785" t="s">
        <v>25</v>
      </c>
    </row>
    <row r="786" spans="1:8" x14ac:dyDescent="0.25">
      <c r="A786">
        <v>100795</v>
      </c>
      <c r="B786">
        <v>412</v>
      </c>
      <c r="C786">
        <v>642</v>
      </c>
      <c r="D786">
        <v>3344</v>
      </c>
      <c r="E786" s="1">
        <v>45627</v>
      </c>
      <c r="F786" s="1">
        <v>45658</v>
      </c>
      <c r="G786">
        <v>125950</v>
      </c>
      <c r="H786" t="s">
        <v>25</v>
      </c>
    </row>
    <row r="787" spans="1:8" x14ac:dyDescent="0.25">
      <c r="A787">
        <v>100796</v>
      </c>
      <c r="B787">
        <v>176</v>
      </c>
      <c r="C787">
        <v>1492</v>
      </c>
      <c r="D787">
        <v>3067</v>
      </c>
      <c r="E787" s="1">
        <v>45784</v>
      </c>
      <c r="F787" s="1">
        <v>45786</v>
      </c>
      <c r="G787">
        <v>23353</v>
      </c>
      <c r="H787" t="s">
        <v>17</v>
      </c>
    </row>
    <row r="788" spans="1:8" x14ac:dyDescent="0.25">
      <c r="A788">
        <v>100797</v>
      </c>
      <c r="B788">
        <v>215</v>
      </c>
      <c r="C788">
        <v>621</v>
      </c>
      <c r="D788">
        <v>3027</v>
      </c>
      <c r="E788" s="1">
        <v>45753</v>
      </c>
      <c r="F788" s="1">
        <v>45757</v>
      </c>
      <c r="G788">
        <v>15891</v>
      </c>
      <c r="H788" t="s">
        <v>14</v>
      </c>
    </row>
    <row r="789" spans="1:8" x14ac:dyDescent="0.25">
      <c r="A789">
        <v>100798</v>
      </c>
      <c r="B789">
        <v>70</v>
      </c>
      <c r="C789">
        <v>900</v>
      </c>
      <c r="D789">
        <v>3221</v>
      </c>
      <c r="E789" s="1">
        <v>45759</v>
      </c>
      <c r="F789" s="1">
        <v>45760</v>
      </c>
      <c r="G789">
        <v>16091</v>
      </c>
      <c r="H789" t="s">
        <v>25</v>
      </c>
    </row>
    <row r="790" spans="1:8" x14ac:dyDescent="0.25">
      <c r="A790">
        <v>100799</v>
      </c>
      <c r="B790">
        <v>163</v>
      </c>
      <c r="C790">
        <v>676</v>
      </c>
      <c r="D790">
        <v>3066</v>
      </c>
      <c r="E790" s="1">
        <v>45699</v>
      </c>
      <c r="F790" s="1">
        <v>45707</v>
      </c>
      <c r="G790">
        <v>37122</v>
      </c>
      <c r="H790" t="s">
        <v>25</v>
      </c>
    </row>
    <row r="791" spans="1:8" x14ac:dyDescent="0.25">
      <c r="A791">
        <v>100800</v>
      </c>
      <c r="B791">
        <v>62</v>
      </c>
      <c r="C791">
        <v>530</v>
      </c>
      <c r="D791">
        <v>3313</v>
      </c>
      <c r="E791" s="1">
        <v>45714</v>
      </c>
      <c r="F791" s="1">
        <v>45715</v>
      </c>
      <c r="G791">
        <v>22041</v>
      </c>
      <c r="H791" t="s">
        <v>17</v>
      </c>
    </row>
    <row r="792" spans="1:8" x14ac:dyDescent="0.25">
      <c r="A792">
        <v>100801</v>
      </c>
      <c r="B792">
        <v>194</v>
      </c>
      <c r="C792">
        <v>558</v>
      </c>
      <c r="D792">
        <v>3117</v>
      </c>
      <c r="E792" s="1">
        <v>45612</v>
      </c>
      <c r="F792" s="1">
        <v>45619</v>
      </c>
      <c r="G792">
        <v>40594</v>
      </c>
      <c r="H792" t="s">
        <v>17</v>
      </c>
    </row>
    <row r="793" spans="1:8" x14ac:dyDescent="0.25">
      <c r="A793">
        <v>100802</v>
      </c>
      <c r="B793">
        <v>155</v>
      </c>
      <c r="C793">
        <v>1032</v>
      </c>
      <c r="D793">
        <v>3498</v>
      </c>
      <c r="E793" s="1">
        <v>45691</v>
      </c>
      <c r="F793" s="1">
        <v>45705</v>
      </c>
      <c r="G793">
        <v>104899</v>
      </c>
      <c r="H793" t="s">
        <v>10</v>
      </c>
    </row>
    <row r="794" spans="1:8" x14ac:dyDescent="0.25">
      <c r="A794">
        <v>100803</v>
      </c>
      <c r="B794">
        <v>364</v>
      </c>
      <c r="C794">
        <v>696</v>
      </c>
      <c r="D794">
        <v>3279</v>
      </c>
      <c r="E794" s="1">
        <v>45770</v>
      </c>
      <c r="F794" s="1">
        <v>45771</v>
      </c>
      <c r="G794">
        <v>13934</v>
      </c>
      <c r="H794" t="s">
        <v>25</v>
      </c>
    </row>
    <row r="795" spans="1:8" x14ac:dyDescent="0.25">
      <c r="A795">
        <v>100804</v>
      </c>
      <c r="B795">
        <v>244</v>
      </c>
      <c r="C795">
        <v>272</v>
      </c>
      <c r="D795">
        <v>3015</v>
      </c>
      <c r="E795" s="1">
        <v>45750</v>
      </c>
      <c r="F795" s="1">
        <v>45760</v>
      </c>
      <c r="G795">
        <v>55620</v>
      </c>
      <c r="H795" t="s">
        <v>25</v>
      </c>
    </row>
    <row r="796" spans="1:8" x14ac:dyDescent="0.25">
      <c r="A796">
        <v>100805</v>
      </c>
      <c r="B796">
        <v>46</v>
      </c>
      <c r="C796">
        <v>519</v>
      </c>
      <c r="D796">
        <v>3488</v>
      </c>
      <c r="E796" s="1">
        <v>45698</v>
      </c>
      <c r="F796" s="1">
        <v>45700</v>
      </c>
      <c r="G796">
        <v>23325</v>
      </c>
      <c r="H796" t="s">
        <v>25</v>
      </c>
    </row>
    <row r="797" spans="1:8" x14ac:dyDescent="0.25">
      <c r="A797">
        <v>100806</v>
      </c>
      <c r="B797">
        <v>372</v>
      </c>
      <c r="C797">
        <v>978</v>
      </c>
      <c r="D797">
        <v>3278</v>
      </c>
      <c r="E797" s="1">
        <v>45745</v>
      </c>
      <c r="F797" s="1">
        <v>45747</v>
      </c>
      <c r="G797">
        <v>20322</v>
      </c>
      <c r="H797" t="s">
        <v>25</v>
      </c>
    </row>
    <row r="798" spans="1:8" x14ac:dyDescent="0.25">
      <c r="A798">
        <v>100807</v>
      </c>
      <c r="B798">
        <v>125</v>
      </c>
      <c r="C798">
        <v>245</v>
      </c>
      <c r="D798">
        <v>3453</v>
      </c>
      <c r="E798" s="1">
        <v>45745</v>
      </c>
      <c r="F798" s="1">
        <v>45748</v>
      </c>
      <c r="G798">
        <v>23362</v>
      </c>
      <c r="H798" t="s">
        <v>25</v>
      </c>
    </row>
    <row r="799" spans="1:8" x14ac:dyDescent="0.25">
      <c r="A799">
        <v>100808</v>
      </c>
      <c r="B799">
        <v>485</v>
      </c>
      <c r="C799">
        <v>179</v>
      </c>
      <c r="D799">
        <v>3389</v>
      </c>
      <c r="E799" s="1">
        <v>45731</v>
      </c>
      <c r="F799" s="1">
        <v>45741</v>
      </c>
      <c r="G799">
        <v>69447</v>
      </c>
      <c r="H799" t="s">
        <v>25</v>
      </c>
    </row>
    <row r="800" spans="1:8" x14ac:dyDescent="0.25">
      <c r="A800">
        <v>100809</v>
      </c>
      <c r="B800">
        <v>5</v>
      </c>
      <c r="C800">
        <v>1331</v>
      </c>
      <c r="D800">
        <v>3464</v>
      </c>
      <c r="E800" s="1">
        <v>45639</v>
      </c>
      <c r="F800" s="1">
        <v>45642</v>
      </c>
      <c r="G800">
        <v>25381</v>
      </c>
      <c r="H800" t="s">
        <v>25</v>
      </c>
    </row>
    <row r="801" spans="1:8" x14ac:dyDescent="0.25">
      <c r="A801">
        <v>100810</v>
      </c>
      <c r="B801">
        <v>203</v>
      </c>
      <c r="C801">
        <v>253</v>
      </c>
      <c r="D801">
        <v>3219</v>
      </c>
      <c r="E801" s="1">
        <v>45784</v>
      </c>
      <c r="F801" s="1">
        <v>45790</v>
      </c>
      <c r="G801">
        <v>29407</v>
      </c>
      <c r="H801" t="s">
        <v>25</v>
      </c>
    </row>
    <row r="802" spans="1:8" x14ac:dyDescent="0.25">
      <c r="A802">
        <v>100811</v>
      </c>
      <c r="B802">
        <v>134</v>
      </c>
      <c r="C802">
        <v>186</v>
      </c>
      <c r="D802">
        <v>3466</v>
      </c>
      <c r="E802" s="1">
        <v>45772</v>
      </c>
      <c r="F802" s="1">
        <v>45776</v>
      </c>
      <c r="G802">
        <v>15059</v>
      </c>
      <c r="H802" t="s">
        <v>17</v>
      </c>
    </row>
    <row r="803" spans="1:8" x14ac:dyDescent="0.25">
      <c r="A803">
        <v>100812</v>
      </c>
      <c r="B803">
        <v>43</v>
      </c>
      <c r="C803">
        <v>757</v>
      </c>
      <c r="D803">
        <v>3218</v>
      </c>
      <c r="E803" s="1">
        <v>45795</v>
      </c>
      <c r="F803" s="1">
        <v>45798</v>
      </c>
      <c r="G803">
        <v>25570</v>
      </c>
      <c r="H803" t="s">
        <v>25</v>
      </c>
    </row>
    <row r="804" spans="1:8" x14ac:dyDescent="0.25">
      <c r="A804">
        <v>100813</v>
      </c>
      <c r="B804">
        <v>340</v>
      </c>
      <c r="C804">
        <v>504</v>
      </c>
      <c r="D804">
        <v>3140</v>
      </c>
      <c r="E804" s="1">
        <v>45610</v>
      </c>
      <c r="F804" s="1">
        <v>45615</v>
      </c>
      <c r="G804">
        <v>23983</v>
      </c>
      <c r="H804" t="s">
        <v>14</v>
      </c>
    </row>
    <row r="805" spans="1:8" x14ac:dyDescent="0.25">
      <c r="A805">
        <v>100814</v>
      </c>
      <c r="B805">
        <v>497</v>
      </c>
      <c r="C805">
        <v>835</v>
      </c>
      <c r="D805">
        <v>3469</v>
      </c>
      <c r="E805" s="1">
        <v>45672</v>
      </c>
      <c r="F805" s="1">
        <v>45675</v>
      </c>
      <c r="G805">
        <v>22482</v>
      </c>
      <c r="H805" t="s">
        <v>17</v>
      </c>
    </row>
    <row r="806" spans="1:8" x14ac:dyDescent="0.25">
      <c r="A806">
        <v>100815</v>
      </c>
      <c r="B806">
        <v>42</v>
      </c>
      <c r="C806">
        <v>492</v>
      </c>
      <c r="D806">
        <v>3067</v>
      </c>
      <c r="E806" s="1">
        <v>45681</v>
      </c>
      <c r="F806" s="1">
        <v>45685</v>
      </c>
      <c r="G806">
        <v>25474</v>
      </c>
      <c r="H806" t="s">
        <v>25</v>
      </c>
    </row>
    <row r="807" spans="1:8" x14ac:dyDescent="0.25">
      <c r="A807">
        <v>100816</v>
      </c>
      <c r="B807">
        <v>245</v>
      </c>
      <c r="C807">
        <v>1118</v>
      </c>
      <c r="D807">
        <v>3006</v>
      </c>
      <c r="E807" s="1">
        <v>45684</v>
      </c>
      <c r="F807" s="1">
        <v>45685</v>
      </c>
      <c r="G807">
        <v>14386</v>
      </c>
      <c r="H807" t="s">
        <v>25</v>
      </c>
    </row>
    <row r="808" spans="1:8" x14ac:dyDescent="0.25">
      <c r="A808">
        <v>100817</v>
      </c>
      <c r="B808">
        <v>56</v>
      </c>
      <c r="C808">
        <v>996</v>
      </c>
      <c r="D808">
        <v>3327</v>
      </c>
      <c r="E808" s="1">
        <v>45611</v>
      </c>
      <c r="F808" s="1">
        <v>45616</v>
      </c>
      <c r="G808">
        <v>42783</v>
      </c>
      <c r="H808" t="s">
        <v>10</v>
      </c>
    </row>
    <row r="809" spans="1:8" x14ac:dyDescent="0.25">
      <c r="A809">
        <v>100818</v>
      </c>
      <c r="B809">
        <v>308</v>
      </c>
      <c r="C809">
        <v>1107</v>
      </c>
      <c r="D809">
        <v>3469</v>
      </c>
      <c r="E809" s="1">
        <v>45598</v>
      </c>
      <c r="F809" s="1">
        <v>45601</v>
      </c>
      <c r="G809">
        <v>33329</v>
      </c>
      <c r="H809" t="s">
        <v>25</v>
      </c>
    </row>
    <row r="810" spans="1:8" x14ac:dyDescent="0.25">
      <c r="A810">
        <v>100819</v>
      </c>
      <c r="B810">
        <v>10</v>
      </c>
      <c r="C810">
        <v>825</v>
      </c>
      <c r="D810">
        <v>3486</v>
      </c>
      <c r="E810" s="1">
        <v>45601</v>
      </c>
      <c r="F810" s="1">
        <v>45604</v>
      </c>
      <c r="G810">
        <v>32017</v>
      </c>
      <c r="H810" t="s">
        <v>25</v>
      </c>
    </row>
    <row r="811" spans="1:8" x14ac:dyDescent="0.25">
      <c r="A811">
        <v>100820</v>
      </c>
      <c r="B811">
        <v>56</v>
      </c>
      <c r="C811">
        <v>252</v>
      </c>
      <c r="D811">
        <v>3268</v>
      </c>
      <c r="E811" s="1">
        <v>45706</v>
      </c>
      <c r="F811" s="1">
        <v>45710</v>
      </c>
      <c r="G811">
        <v>40402</v>
      </c>
      <c r="H811" t="s">
        <v>25</v>
      </c>
    </row>
    <row r="812" spans="1:8" x14ac:dyDescent="0.25">
      <c r="A812">
        <v>100821</v>
      </c>
      <c r="B812">
        <v>29</v>
      </c>
      <c r="C812">
        <v>195</v>
      </c>
      <c r="D812">
        <v>3363</v>
      </c>
      <c r="E812" s="1">
        <v>45694</v>
      </c>
      <c r="F812" s="1">
        <v>45698</v>
      </c>
      <c r="G812">
        <v>25902</v>
      </c>
      <c r="H812" t="s">
        <v>14</v>
      </c>
    </row>
    <row r="813" spans="1:8" x14ac:dyDescent="0.25">
      <c r="A813">
        <v>100822</v>
      </c>
      <c r="B813">
        <v>458</v>
      </c>
      <c r="C813">
        <v>201</v>
      </c>
      <c r="D813">
        <v>3460</v>
      </c>
      <c r="E813" s="1">
        <v>45737</v>
      </c>
      <c r="F813" s="1">
        <v>45743</v>
      </c>
      <c r="G813">
        <v>33860</v>
      </c>
      <c r="H813" t="s">
        <v>14</v>
      </c>
    </row>
    <row r="814" spans="1:8" x14ac:dyDescent="0.25">
      <c r="A814">
        <v>100823</v>
      </c>
      <c r="B814">
        <v>113</v>
      </c>
      <c r="C814">
        <v>1008</v>
      </c>
      <c r="D814">
        <v>3445</v>
      </c>
      <c r="E814" s="1">
        <v>45732</v>
      </c>
      <c r="F814" s="1">
        <v>45735</v>
      </c>
      <c r="G814">
        <v>36377</v>
      </c>
      <c r="H814" t="s">
        <v>14</v>
      </c>
    </row>
    <row r="815" spans="1:8" x14ac:dyDescent="0.25">
      <c r="A815">
        <v>100824</v>
      </c>
      <c r="B815">
        <v>297</v>
      </c>
      <c r="C815">
        <v>677</v>
      </c>
      <c r="D815">
        <v>3286</v>
      </c>
      <c r="E815" s="1">
        <v>45618</v>
      </c>
      <c r="F815" s="1">
        <v>45620</v>
      </c>
      <c r="G815">
        <v>18331</v>
      </c>
      <c r="H815" t="s">
        <v>14</v>
      </c>
    </row>
    <row r="816" spans="1:8" x14ac:dyDescent="0.25">
      <c r="A816">
        <v>100825</v>
      </c>
      <c r="B816">
        <v>365</v>
      </c>
      <c r="C816">
        <v>464</v>
      </c>
      <c r="D816">
        <v>3012</v>
      </c>
      <c r="E816" s="1">
        <v>45630</v>
      </c>
      <c r="F816" s="1">
        <v>45635</v>
      </c>
      <c r="G816">
        <v>31612</v>
      </c>
      <c r="H816" t="s">
        <v>25</v>
      </c>
    </row>
    <row r="817" spans="1:8" x14ac:dyDescent="0.25">
      <c r="A817">
        <v>100826</v>
      </c>
      <c r="B817">
        <v>139</v>
      </c>
      <c r="C817">
        <v>843</v>
      </c>
      <c r="D817">
        <v>3480</v>
      </c>
      <c r="E817" s="1">
        <v>45620</v>
      </c>
      <c r="F817" s="1">
        <v>45621</v>
      </c>
      <c r="G817">
        <v>15468</v>
      </c>
      <c r="H817" t="s">
        <v>25</v>
      </c>
    </row>
    <row r="818" spans="1:8" x14ac:dyDescent="0.25">
      <c r="A818">
        <v>100827</v>
      </c>
      <c r="B818">
        <v>82</v>
      </c>
      <c r="C818">
        <v>1256</v>
      </c>
      <c r="D818">
        <v>3193</v>
      </c>
      <c r="E818" s="1">
        <v>45769</v>
      </c>
      <c r="F818" s="1">
        <v>45773</v>
      </c>
      <c r="G818">
        <v>40176</v>
      </c>
      <c r="H818" t="s">
        <v>25</v>
      </c>
    </row>
    <row r="819" spans="1:8" x14ac:dyDescent="0.25">
      <c r="A819">
        <v>100828</v>
      </c>
      <c r="B819">
        <v>1</v>
      </c>
      <c r="C819">
        <v>1477</v>
      </c>
      <c r="D819">
        <v>3412</v>
      </c>
      <c r="E819" s="1">
        <v>45674</v>
      </c>
      <c r="F819" s="1">
        <v>45679</v>
      </c>
      <c r="G819">
        <v>34067</v>
      </c>
      <c r="H819" t="s">
        <v>14</v>
      </c>
    </row>
    <row r="820" spans="1:8" x14ac:dyDescent="0.25">
      <c r="A820">
        <v>100829</v>
      </c>
      <c r="B820">
        <v>285</v>
      </c>
      <c r="C820">
        <v>1575</v>
      </c>
      <c r="D820">
        <v>3139</v>
      </c>
      <c r="E820" s="1">
        <v>45696</v>
      </c>
      <c r="F820" s="1">
        <v>45699</v>
      </c>
      <c r="G820">
        <v>27069</v>
      </c>
      <c r="H820" t="s">
        <v>25</v>
      </c>
    </row>
    <row r="821" spans="1:8" x14ac:dyDescent="0.25">
      <c r="A821">
        <v>100830</v>
      </c>
      <c r="B821">
        <v>392</v>
      </c>
      <c r="C821">
        <v>1025</v>
      </c>
      <c r="D821">
        <v>3327</v>
      </c>
      <c r="E821" s="1">
        <v>45709</v>
      </c>
      <c r="F821" s="1">
        <v>45713</v>
      </c>
      <c r="G821">
        <v>43891</v>
      </c>
      <c r="H821" t="s">
        <v>25</v>
      </c>
    </row>
    <row r="822" spans="1:8" x14ac:dyDescent="0.25">
      <c r="A822">
        <v>100831</v>
      </c>
      <c r="B822">
        <v>103</v>
      </c>
      <c r="C822">
        <v>298</v>
      </c>
      <c r="D822">
        <v>3041</v>
      </c>
      <c r="E822" s="1">
        <v>45665</v>
      </c>
      <c r="F822" s="1">
        <v>45668</v>
      </c>
      <c r="G822">
        <v>27270</v>
      </c>
      <c r="H822" t="s">
        <v>25</v>
      </c>
    </row>
    <row r="823" spans="1:8" x14ac:dyDescent="0.25">
      <c r="A823">
        <v>100832</v>
      </c>
      <c r="B823">
        <v>471</v>
      </c>
      <c r="C823">
        <v>1422</v>
      </c>
      <c r="D823">
        <v>3324</v>
      </c>
      <c r="E823" s="1">
        <v>45697</v>
      </c>
      <c r="F823" s="1">
        <v>45701</v>
      </c>
      <c r="G823">
        <v>27587</v>
      </c>
      <c r="H823" t="s">
        <v>25</v>
      </c>
    </row>
    <row r="824" spans="1:8" x14ac:dyDescent="0.25">
      <c r="A824">
        <v>100833</v>
      </c>
      <c r="B824">
        <v>136</v>
      </c>
      <c r="C824">
        <v>1521</v>
      </c>
      <c r="D824">
        <v>3183</v>
      </c>
      <c r="E824" s="1">
        <v>45679</v>
      </c>
      <c r="F824" s="1">
        <v>45686</v>
      </c>
      <c r="G824">
        <v>52803</v>
      </c>
      <c r="H824" t="s">
        <v>25</v>
      </c>
    </row>
    <row r="825" spans="1:8" x14ac:dyDescent="0.25">
      <c r="A825">
        <v>100834</v>
      </c>
      <c r="B825">
        <v>426</v>
      </c>
      <c r="C825">
        <v>1365</v>
      </c>
      <c r="D825">
        <v>3445</v>
      </c>
      <c r="E825" s="1">
        <v>45724</v>
      </c>
      <c r="F825" s="1">
        <v>45726</v>
      </c>
      <c r="G825">
        <v>19737</v>
      </c>
      <c r="H825" t="s">
        <v>25</v>
      </c>
    </row>
    <row r="826" spans="1:8" x14ac:dyDescent="0.25">
      <c r="A826">
        <v>100835</v>
      </c>
      <c r="B826">
        <v>25</v>
      </c>
      <c r="C826">
        <v>417</v>
      </c>
      <c r="D826">
        <v>3417</v>
      </c>
      <c r="E826" s="1">
        <v>45786</v>
      </c>
      <c r="F826" s="1">
        <v>45791</v>
      </c>
      <c r="G826">
        <v>28667</v>
      </c>
      <c r="H826" t="s">
        <v>25</v>
      </c>
    </row>
    <row r="827" spans="1:8" x14ac:dyDescent="0.25">
      <c r="A827">
        <v>100836</v>
      </c>
      <c r="B827">
        <v>491</v>
      </c>
      <c r="C827">
        <v>1570</v>
      </c>
      <c r="D827">
        <v>3434</v>
      </c>
      <c r="E827" s="1">
        <v>45655</v>
      </c>
      <c r="F827" s="1">
        <v>45658</v>
      </c>
      <c r="G827">
        <v>29864</v>
      </c>
      <c r="H827" t="s">
        <v>25</v>
      </c>
    </row>
    <row r="828" spans="1:8" x14ac:dyDescent="0.25">
      <c r="A828">
        <v>100837</v>
      </c>
      <c r="B828">
        <v>271</v>
      </c>
      <c r="C828">
        <v>191</v>
      </c>
      <c r="D828">
        <v>3271</v>
      </c>
      <c r="E828" s="1">
        <v>45734</v>
      </c>
      <c r="F828" s="1">
        <v>45737</v>
      </c>
      <c r="G828">
        <v>30904</v>
      </c>
      <c r="H828" t="s">
        <v>25</v>
      </c>
    </row>
    <row r="829" spans="1:8" x14ac:dyDescent="0.25">
      <c r="A829">
        <v>100838</v>
      </c>
      <c r="B829">
        <v>359</v>
      </c>
      <c r="C829">
        <v>517</v>
      </c>
      <c r="D829">
        <v>3181</v>
      </c>
      <c r="E829" s="1">
        <v>45669</v>
      </c>
      <c r="F829" s="1">
        <v>45670</v>
      </c>
      <c r="G829">
        <v>12318</v>
      </c>
      <c r="H829" t="s">
        <v>25</v>
      </c>
    </row>
    <row r="830" spans="1:8" x14ac:dyDescent="0.25">
      <c r="A830">
        <v>100839</v>
      </c>
      <c r="B830">
        <v>359</v>
      </c>
      <c r="C830">
        <v>1262</v>
      </c>
      <c r="D830">
        <v>3128</v>
      </c>
      <c r="E830" s="1">
        <v>45671</v>
      </c>
      <c r="F830" s="1">
        <v>45676</v>
      </c>
      <c r="G830">
        <v>26442</v>
      </c>
      <c r="H830" t="s">
        <v>25</v>
      </c>
    </row>
    <row r="831" spans="1:8" x14ac:dyDescent="0.25">
      <c r="A831">
        <v>100840</v>
      </c>
      <c r="B831">
        <v>41</v>
      </c>
      <c r="C831">
        <v>587</v>
      </c>
      <c r="D831">
        <v>3485</v>
      </c>
      <c r="E831" s="1">
        <v>45708</v>
      </c>
      <c r="F831" s="1">
        <v>45712</v>
      </c>
      <c r="G831">
        <v>29394</v>
      </c>
      <c r="H831" t="s">
        <v>25</v>
      </c>
    </row>
    <row r="832" spans="1:8" x14ac:dyDescent="0.25">
      <c r="A832">
        <v>100841</v>
      </c>
      <c r="B832">
        <v>448</v>
      </c>
      <c r="C832">
        <v>1534</v>
      </c>
      <c r="D832">
        <v>3053</v>
      </c>
      <c r="E832" s="1">
        <v>45626</v>
      </c>
      <c r="F832" s="1">
        <v>45630</v>
      </c>
      <c r="G832">
        <v>36300</v>
      </c>
      <c r="H832" t="s">
        <v>17</v>
      </c>
    </row>
    <row r="833" spans="1:8" x14ac:dyDescent="0.25">
      <c r="A833">
        <v>100842</v>
      </c>
      <c r="B833">
        <v>221</v>
      </c>
      <c r="C833">
        <v>659</v>
      </c>
      <c r="D833">
        <v>3166</v>
      </c>
      <c r="E833" s="1">
        <v>45655</v>
      </c>
      <c r="F833" s="1">
        <v>45666</v>
      </c>
      <c r="G833">
        <v>81920</v>
      </c>
      <c r="H833" t="s">
        <v>14</v>
      </c>
    </row>
    <row r="834" spans="1:8" x14ac:dyDescent="0.25">
      <c r="A834">
        <v>100843</v>
      </c>
      <c r="B834">
        <v>486</v>
      </c>
      <c r="C834">
        <v>468</v>
      </c>
      <c r="D834">
        <v>3248</v>
      </c>
      <c r="E834" s="1">
        <v>45605</v>
      </c>
      <c r="F834" s="1">
        <v>45611</v>
      </c>
      <c r="G834">
        <v>60189</v>
      </c>
      <c r="H834" t="s">
        <v>14</v>
      </c>
    </row>
    <row r="835" spans="1:8" x14ac:dyDescent="0.25">
      <c r="A835">
        <v>100844</v>
      </c>
      <c r="B835">
        <v>44</v>
      </c>
      <c r="C835">
        <v>190</v>
      </c>
      <c r="D835">
        <v>3372</v>
      </c>
      <c r="E835" s="1">
        <v>45786</v>
      </c>
      <c r="F835" s="1">
        <v>45790</v>
      </c>
      <c r="G835">
        <v>27579</v>
      </c>
      <c r="H835" t="s">
        <v>25</v>
      </c>
    </row>
    <row r="836" spans="1:8" x14ac:dyDescent="0.25">
      <c r="A836">
        <v>100845</v>
      </c>
      <c r="B836">
        <v>314</v>
      </c>
      <c r="C836">
        <v>751</v>
      </c>
      <c r="D836">
        <v>3055</v>
      </c>
      <c r="E836" s="1">
        <v>45644</v>
      </c>
      <c r="F836" s="1">
        <v>45648</v>
      </c>
      <c r="G836">
        <v>44724</v>
      </c>
      <c r="H836" t="s">
        <v>25</v>
      </c>
    </row>
    <row r="837" spans="1:8" x14ac:dyDescent="0.25">
      <c r="A837">
        <v>100846</v>
      </c>
      <c r="B837">
        <v>458</v>
      </c>
      <c r="C837">
        <v>147</v>
      </c>
      <c r="D837">
        <v>3131</v>
      </c>
      <c r="E837" s="1">
        <v>45747</v>
      </c>
      <c r="F837" s="1">
        <v>45750</v>
      </c>
      <c r="G837">
        <v>16102</v>
      </c>
      <c r="H837" t="s">
        <v>25</v>
      </c>
    </row>
    <row r="838" spans="1:8" x14ac:dyDescent="0.25">
      <c r="A838">
        <v>100847</v>
      </c>
      <c r="B838">
        <v>266</v>
      </c>
      <c r="C838">
        <v>769</v>
      </c>
      <c r="D838">
        <v>3275</v>
      </c>
      <c r="E838" s="1">
        <v>45784</v>
      </c>
      <c r="F838" s="1">
        <v>45791</v>
      </c>
      <c r="G838">
        <v>55559</v>
      </c>
      <c r="H838" t="s">
        <v>25</v>
      </c>
    </row>
    <row r="839" spans="1:8" x14ac:dyDescent="0.25">
      <c r="A839">
        <v>100848</v>
      </c>
      <c r="B839">
        <v>332</v>
      </c>
      <c r="C839">
        <v>749</v>
      </c>
      <c r="D839">
        <v>3257</v>
      </c>
      <c r="E839" s="1">
        <v>45624</v>
      </c>
      <c r="F839" s="1">
        <v>45626</v>
      </c>
      <c r="G839">
        <v>27958</v>
      </c>
      <c r="H839" t="s">
        <v>25</v>
      </c>
    </row>
    <row r="840" spans="1:8" x14ac:dyDescent="0.25">
      <c r="A840">
        <v>100849</v>
      </c>
      <c r="B840">
        <v>432</v>
      </c>
      <c r="C840">
        <v>1166</v>
      </c>
      <c r="D840">
        <v>3064</v>
      </c>
      <c r="E840" s="1">
        <v>45624</v>
      </c>
      <c r="F840" s="1">
        <v>45629</v>
      </c>
      <c r="G840">
        <v>43897</v>
      </c>
      <c r="H840" t="s">
        <v>25</v>
      </c>
    </row>
    <row r="841" spans="1:8" x14ac:dyDescent="0.25">
      <c r="A841">
        <v>100850</v>
      </c>
      <c r="B841">
        <v>101</v>
      </c>
      <c r="C841">
        <v>466</v>
      </c>
      <c r="D841">
        <v>3173</v>
      </c>
      <c r="E841" s="1">
        <v>45770</v>
      </c>
      <c r="F841" s="1">
        <v>45773</v>
      </c>
      <c r="G841">
        <v>15443</v>
      </c>
      <c r="H841" t="s">
        <v>17</v>
      </c>
    </row>
    <row r="842" spans="1:8" x14ac:dyDescent="0.25">
      <c r="A842">
        <v>100851</v>
      </c>
      <c r="B842">
        <v>120</v>
      </c>
      <c r="C842">
        <v>1167</v>
      </c>
      <c r="D842">
        <v>3122</v>
      </c>
      <c r="E842" s="1">
        <v>45782</v>
      </c>
      <c r="F842" s="1">
        <v>45792</v>
      </c>
      <c r="G842">
        <v>56624</v>
      </c>
      <c r="H842" t="s">
        <v>17</v>
      </c>
    </row>
    <row r="843" spans="1:8" x14ac:dyDescent="0.25">
      <c r="A843">
        <v>100852</v>
      </c>
      <c r="B843">
        <v>326</v>
      </c>
      <c r="C843">
        <v>681</v>
      </c>
      <c r="D843">
        <v>3358</v>
      </c>
      <c r="E843" s="1">
        <v>45680</v>
      </c>
      <c r="F843" s="1">
        <v>45681</v>
      </c>
      <c r="G843">
        <v>15299</v>
      </c>
      <c r="H843" t="s">
        <v>25</v>
      </c>
    </row>
    <row r="844" spans="1:8" x14ac:dyDescent="0.25">
      <c r="A844">
        <v>100853</v>
      </c>
      <c r="B844">
        <v>239</v>
      </c>
      <c r="C844">
        <v>421</v>
      </c>
      <c r="D844">
        <v>3372</v>
      </c>
      <c r="E844" s="1">
        <v>45785</v>
      </c>
      <c r="F844" s="1">
        <v>45788</v>
      </c>
      <c r="G844">
        <v>12258</v>
      </c>
      <c r="H844" t="s">
        <v>14</v>
      </c>
    </row>
    <row r="845" spans="1:8" x14ac:dyDescent="0.25">
      <c r="A845">
        <v>100854</v>
      </c>
      <c r="B845">
        <v>98</v>
      </c>
      <c r="C845">
        <v>1528</v>
      </c>
      <c r="D845">
        <v>3094</v>
      </c>
      <c r="E845" s="1">
        <v>45742</v>
      </c>
      <c r="F845" s="1">
        <v>45746</v>
      </c>
      <c r="G845">
        <v>34171</v>
      </c>
      <c r="H845" t="s">
        <v>10</v>
      </c>
    </row>
    <row r="846" spans="1:8" x14ac:dyDescent="0.25">
      <c r="A846">
        <v>100855</v>
      </c>
      <c r="B846">
        <v>442</v>
      </c>
      <c r="C846">
        <v>965</v>
      </c>
      <c r="D846">
        <v>3214</v>
      </c>
      <c r="E846" s="1">
        <v>45718</v>
      </c>
      <c r="F846" s="1">
        <v>45720</v>
      </c>
      <c r="G846">
        <v>24952</v>
      </c>
      <c r="H846" t="s">
        <v>25</v>
      </c>
    </row>
    <row r="847" spans="1:8" x14ac:dyDescent="0.25">
      <c r="A847">
        <v>100856</v>
      </c>
      <c r="B847">
        <v>371</v>
      </c>
      <c r="C847">
        <v>1305</v>
      </c>
      <c r="D847">
        <v>3399</v>
      </c>
      <c r="E847" s="1">
        <v>45747</v>
      </c>
      <c r="F847" s="1">
        <v>45763</v>
      </c>
      <c r="G847">
        <v>74254</v>
      </c>
      <c r="H847" t="s">
        <v>10</v>
      </c>
    </row>
    <row r="848" spans="1:8" x14ac:dyDescent="0.25">
      <c r="A848">
        <v>100857</v>
      </c>
      <c r="B848">
        <v>47</v>
      </c>
      <c r="C848">
        <v>1034</v>
      </c>
      <c r="D848">
        <v>3169</v>
      </c>
      <c r="E848" s="1">
        <v>45795</v>
      </c>
      <c r="F848" s="1">
        <v>45797</v>
      </c>
      <c r="G848">
        <v>20923</v>
      </c>
      <c r="H848" t="s">
        <v>25</v>
      </c>
    </row>
    <row r="849" spans="1:8" x14ac:dyDescent="0.25">
      <c r="A849">
        <v>100858</v>
      </c>
      <c r="B849">
        <v>213</v>
      </c>
      <c r="C849">
        <v>608</v>
      </c>
      <c r="D849">
        <v>3147</v>
      </c>
      <c r="E849" s="1">
        <v>45673</v>
      </c>
      <c r="F849" s="1">
        <v>45683</v>
      </c>
      <c r="G849">
        <v>52987</v>
      </c>
      <c r="H849" t="s">
        <v>25</v>
      </c>
    </row>
    <row r="850" spans="1:8" x14ac:dyDescent="0.25">
      <c r="A850">
        <v>100859</v>
      </c>
      <c r="B850">
        <v>241</v>
      </c>
      <c r="C850">
        <v>715</v>
      </c>
      <c r="D850">
        <v>3370</v>
      </c>
      <c r="E850" s="1">
        <v>45642</v>
      </c>
      <c r="F850" s="1">
        <v>45650</v>
      </c>
      <c r="G850">
        <v>69442</v>
      </c>
      <c r="H850" t="s">
        <v>25</v>
      </c>
    </row>
    <row r="851" spans="1:8" x14ac:dyDescent="0.25">
      <c r="A851">
        <v>100860</v>
      </c>
      <c r="B851">
        <v>406</v>
      </c>
      <c r="C851">
        <v>440</v>
      </c>
      <c r="D851">
        <v>3254</v>
      </c>
      <c r="E851" s="1">
        <v>45756</v>
      </c>
      <c r="F851" s="1">
        <v>45769</v>
      </c>
      <c r="G851">
        <v>59612</v>
      </c>
      <c r="H851" t="s">
        <v>25</v>
      </c>
    </row>
    <row r="852" spans="1:8" x14ac:dyDescent="0.25">
      <c r="A852">
        <v>100861</v>
      </c>
      <c r="B852">
        <v>208</v>
      </c>
      <c r="C852">
        <v>540</v>
      </c>
      <c r="D852">
        <v>3067</v>
      </c>
      <c r="E852" s="1">
        <v>45672</v>
      </c>
      <c r="F852" s="1">
        <v>45675</v>
      </c>
      <c r="G852">
        <v>20501</v>
      </c>
      <c r="H852" t="s">
        <v>10</v>
      </c>
    </row>
    <row r="853" spans="1:8" x14ac:dyDescent="0.25">
      <c r="A853">
        <v>100862</v>
      </c>
      <c r="B853">
        <v>281</v>
      </c>
      <c r="C853">
        <v>834</v>
      </c>
      <c r="D853">
        <v>3172</v>
      </c>
      <c r="E853" s="1">
        <v>45766</v>
      </c>
      <c r="F853" s="1">
        <v>45776</v>
      </c>
      <c r="G853">
        <v>54381</v>
      </c>
      <c r="H853" t="s">
        <v>25</v>
      </c>
    </row>
    <row r="854" spans="1:8" x14ac:dyDescent="0.25">
      <c r="A854">
        <v>100863</v>
      </c>
      <c r="B854">
        <v>402</v>
      </c>
      <c r="C854">
        <v>927</v>
      </c>
      <c r="D854">
        <v>3051</v>
      </c>
      <c r="E854" s="1">
        <v>45740</v>
      </c>
      <c r="F854" s="1">
        <v>45748</v>
      </c>
      <c r="G854">
        <v>32964</v>
      </c>
      <c r="H854" t="s">
        <v>25</v>
      </c>
    </row>
    <row r="855" spans="1:8" x14ac:dyDescent="0.25">
      <c r="A855">
        <v>100864</v>
      </c>
      <c r="B855">
        <v>42</v>
      </c>
      <c r="C855">
        <v>1532</v>
      </c>
      <c r="D855">
        <v>3019</v>
      </c>
      <c r="E855" s="1">
        <v>45655</v>
      </c>
      <c r="F855" s="1">
        <v>45657</v>
      </c>
      <c r="G855">
        <v>15547</v>
      </c>
      <c r="H855" t="s">
        <v>14</v>
      </c>
    </row>
    <row r="856" spans="1:8" x14ac:dyDescent="0.25">
      <c r="A856">
        <v>100865</v>
      </c>
      <c r="B856">
        <v>411</v>
      </c>
      <c r="C856">
        <v>374</v>
      </c>
      <c r="D856">
        <v>3359</v>
      </c>
      <c r="E856" s="1">
        <v>45661</v>
      </c>
      <c r="F856" s="1">
        <v>45664</v>
      </c>
      <c r="G856">
        <v>16973</v>
      </c>
      <c r="H856" t="s">
        <v>10</v>
      </c>
    </row>
    <row r="857" spans="1:8" x14ac:dyDescent="0.25">
      <c r="A857">
        <v>100866</v>
      </c>
      <c r="B857">
        <v>75</v>
      </c>
      <c r="C857">
        <v>1451</v>
      </c>
      <c r="D857">
        <v>3256</v>
      </c>
      <c r="E857" s="1">
        <v>45725</v>
      </c>
      <c r="F857" s="1">
        <v>45726</v>
      </c>
      <c r="G857">
        <v>9947</v>
      </c>
      <c r="H857" t="s">
        <v>25</v>
      </c>
    </row>
    <row r="858" spans="1:8" x14ac:dyDescent="0.25">
      <c r="A858">
        <v>100867</v>
      </c>
      <c r="B858">
        <v>56</v>
      </c>
      <c r="C858">
        <v>1512</v>
      </c>
      <c r="D858">
        <v>3433</v>
      </c>
      <c r="E858" s="1">
        <v>45700</v>
      </c>
      <c r="F858" s="1">
        <v>45703</v>
      </c>
      <c r="G858">
        <v>17016</v>
      </c>
      <c r="H858" t="s">
        <v>25</v>
      </c>
    </row>
    <row r="859" spans="1:8" x14ac:dyDescent="0.25">
      <c r="A859">
        <v>100868</v>
      </c>
      <c r="B859">
        <v>144</v>
      </c>
      <c r="C859">
        <v>847</v>
      </c>
      <c r="D859">
        <v>3207</v>
      </c>
      <c r="E859" s="1">
        <v>45666</v>
      </c>
      <c r="F859" s="1">
        <v>45669</v>
      </c>
      <c r="G859">
        <v>22330</v>
      </c>
      <c r="H859" t="s">
        <v>25</v>
      </c>
    </row>
    <row r="860" spans="1:8" x14ac:dyDescent="0.25">
      <c r="A860">
        <v>100869</v>
      </c>
      <c r="B860">
        <v>301</v>
      </c>
      <c r="C860">
        <v>378</v>
      </c>
      <c r="D860">
        <v>3093</v>
      </c>
      <c r="E860" s="1">
        <v>45709</v>
      </c>
      <c r="F860" s="1">
        <v>45714</v>
      </c>
      <c r="G860">
        <v>33559</v>
      </c>
      <c r="H860" t="s">
        <v>14</v>
      </c>
    </row>
    <row r="861" spans="1:8" x14ac:dyDescent="0.25">
      <c r="A861">
        <v>100870</v>
      </c>
      <c r="B861">
        <v>32</v>
      </c>
      <c r="C861">
        <v>1596</v>
      </c>
      <c r="D861">
        <v>3366</v>
      </c>
      <c r="E861" s="1">
        <v>45673</v>
      </c>
      <c r="F861" s="1">
        <v>45681</v>
      </c>
      <c r="G861">
        <v>45539</v>
      </c>
      <c r="H861" t="s">
        <v>25</v>
      </c>
    </row>
    <row r="862" spans="1:8" x14ac:dyDescent="0.25">
      <c r="A862">
        <v>100871</v>
      </c>
      <c r="B862">
        <v>476</v>
      </c>
      <c r="C862">
        <v>887</v>
      </c>
      <c r="D862">
        <v>3427</v>
      </c>
      <c r="E862" s="1">
        <v>45790</v>
      </c>
      <c r="F862" s="1">
        <v>45795</v>
      </c>
      <c r="G862">
        <v>22416</v>
      </c>
      <c r="H862" t="s">
        <v>17</v>
      </c>
    </row>
    <row r="863" spans="1:8" x14ac:dyDescent="0.25">
      <c r="A863">
        <v>100872</v>
      </c>
      <c r="B863">
        <v>401</v>
      </c>
      <c r="C863">
        <v>1000</v>
      </c>
      <c r="D863">
        <v>3460</v>
      </c>
      <c r="E863" s="1">
        <v>45786</v>
      </c>
      <c r="F863" s="1">
        <v>45803</v>
      </c>
      <c r="G863">
        <v>136041</v>
      </c>
      <c r="H863" t="s">
        <v>25</v>
      </c>
    </row>
    <row r="864" spans="1:8" x14ac:dyDescent="0.25">
      <c r="A864">
        <v>100873</v>
      </c>
      <c r="B864">
        <v>415</v>
      </c>
      <c r="C864">
        <v>1185</v>
      </c>
      <c r="D864">
        <v>3047</v>
      </c>
      <c r="E864" s="1">
        <v>45717</v>
      </c>
      <c r="F864" s="1">
        <v>45718</v>
      </c>
      <c r="G864">
        <v>17351</v>
      </c>
      <c r="H864" t="s">
        <v>25</v>
      </c>
    </row>
    <row r="865" spans="1:8" x14ac:dyDescent="0.25">
      <c r="A865">
        <v>100874</v>
      </c>
      <c r="B865">
        <v>252</v>
      </c>
      <c r="C865">
        <v>552</v>
      </c>
      <c r="D865">
        <v>3466</v>
      </c>
      <c r="E865" s="1">
        <v>45724</v>
      </c>
      <c r="F865" s="1">
        <v>45726</v>
      </c>
      <c r="G865">
        <v>21480</v>
      </c>
      <c r="H865" t="s">
        <v>25</v>
      </c>
    </row>
    <row r="866" spans="1:8" x14ac:dyDescent="0.25">
      <c r="A866">
        <v>100875</v>
      </c>
      <c r="B866">
        <v>367</v>
      </c>
      <c r="C866">
        <v>944</v>
      </c>
      <c r="D866">
        <v>3377</v>
      </c>
      <c r="E866" s="1">
        <v>45799</v>
      </c>
      <c r="F866" s="1">
        <v>45808</v>
      </c>
      <c r="G866">
        <v>31228</v>
      </c>
      <c r="H866" t="s">
        <v>25</v>
      </c>
    </row>
    <row r="867" spans="1:8" x14ac:dyDescent="0.25">
      <c r="A867">
        <v>100876</v>
      </c>
      <c r="B867">
        <v>492</v>
      </c>
      <c r="C867">
        <v>1140</v>
      </c>
      <c r="D867">
        <v>3268</v>
      </c>
      <c r="E867" s="1">
        <v>45681</v>
      </c>
      <c r="F867" s="1">
        <v>45686</v>
      </c>
      <c r="G867">
        <v>39519</v>
      </c>
      <c r="H867" t="s">
        <v>10</v>
      </c>
    </row>
    <row r="868" spans="1:8" x14ac:dyDescent="0.25">
      <c r="A868">
        <v>100877</v>
      </c>
      <c r="B868">
        <v>7</v>
      </c>
      <c r="C868">
        <v>735</v>
      </c>
      <c r="D868">
        <v>3005</v>
      </c>
      <c r="E868" s="1">
        <v>45785</v>
      </c>
      <c r="F868" s="1">
        <v>45808</v>
      </c>
      <c r="G868">
        <v>178245</v>
      </c>
      <c r="H868" t="s">
        <v>17</v>
      </c>
    </row>
    <row r="869" spans="1:8" x14ac:dyDescent="0.25">
      <c r="A869">
        <v>100878</v>
      </c>
      <c r="B869">
        <v>27</v>
      </c>
      <c r="C869">
        <v>601</v>
      </c>
      <c r="D869">
        <v>3260</v>
      </c>
      <c r="E869" s="1">
        <v>45786</v>
      </c>
      <c r="F869" s="1">
        <v>45793</v>
      </c>
      <c r="G869">
        <v>41228</v>
      </c>
      <c r="H869" t="s">
        <v>25</v>
      </c>
    </row>
    <row r="870" spans="1:8" x14ac:dyDescent="0.25">
      <c r="A870">
        <v>100879</v>
      </c>
      <c r="B870">
        <v>297</v>
      </c>
      <c r="C870">
        <v>1562</v>
      </c>
      <c r="D870">
        <v>3151</v>
      </c>
      <c r="E870" s="1">
        <v>45739</v>
      </c>
      <c r="F870" s="1">
        <v>45740</v>
      </c>
      <c r="G870">
        <v>16790</v>
      </c>
      <c r="H870" t="s">
        <v>25</v>
      </c>
    </row>
    <row r="871" spans="1:8" x14ac:dyDescent="0.25">
      <c r="A871">
        <v>100880</v>
      </c>
      <c r="B871">
        <v>23</v>
      </c>
      <c r="C871">
        <v>233</v>
      </c>
      <c r="D871">
        <v>3340</v>
      </c>
      <c r="E871" s="1">
        <v>45705</v>
      </c>
      <c r="F871" s="1">
        <v>45708</v>
      </c>
      <c r="G871">
        <v>20856</v>
      </c>
      <c r="H871" t="s">
        <v>25</v>
      </c>
    </row>
    <row r="872" spans="1:8" x14ac:dyDescent="0.25">
      <c r="A872">
        <v>100881</v>
      </c>
      <c r="B872">
        <v>467</v>
      </c>
      <c r="C872">
        <v>386</v>
      </c>
      <c r="D872">
        <v>3187</v>
      </c>
      <c r="E872" s="1">
        <v>45656</v>
      </c>
      <c r="F872" s="1">
        <v>45659</v>
      </c>
      <c r="G872">
        <v>27882</v>
      </c>
      <c r="H872" t="s">
        <v>25</v>
      </c>
    </row>
    <row r="873" spans="1:8" x14ac:dyDescent="0.25">
      <c r="A873">
        <v>100882</v>
      </c>
      <c r="B873">
        <v>205</v>
      </c>
      <c r="C873">
        <v>1051</v>
      </c>
      <c r="D873">
        <v>3427</v>
      </c>
      <c r="E873" s="1">
        <v>45604</v>
      </c>
      <c r="F873" s="1">
        <v>45608</v>
      </c>
      <c r="G873">
        <v>25052</v>
      </c>
      <c r="H873" t="s">
        <v>10</v>
      </c>
    </row>
    <row r="874" spans="1:8" x14ac:dyDescent="0.25">
      <c r="A874">
        <v>100883</v>
      </c>
      <c r="B874">
        <v>150</v>
      </c>
      <c r="C874">
        <v>366</v>
      </c>
      <c r="D874">
        <v>3397</v>
      </c>
      <c r="E874" s="1">
        <v>45597</v>
      </c>
      <c r="F874" s="1">
        <v>45599</v>
      </c>
      <c r="G874">
        <v>16989</v>
      </c>
      <c r="H874" t="s">
        <v>25</v>
      </c>
    </row>
    <row r="875" spans="1:8" x14ac:dyDescent="0.25">
      <c r="A875">
        <v>100884</v>
      </c>
      <c r="B875">
        <v>338</v>
      </c>
      <c r="C875">
        <v>1479</v>
      </c>
      <c r="D875">
        <v>3162</v>
      </c>
      <c r="E875" s="1">
        <v>45689</v>
      </c>
      <c r="F875" s="1">
        <v>45694</v>
      </c>
      <c r="G875">
        <v>25030</v>
      </c>
      <c r="H875" t="s">
        <v>14</v>
      </c>
    </row>
    <row r="876" spans="1:8" x14ac:dyDescent="0.25">
      <c r="A876">
        <v>100885</v>
      </c>
      <c r="B876">
        <v>455</v>
      </c>
      <c r="C876">
        <v>1212</v>
      </c>
      <c r="D876">
        <v>3173</v>
      </c>
      <c r="E876" s="1">
        <v>45659</v>
      </c>
      <c r="F876" s="1">
        <v>45660</v>
      </c>
      <c r="G876">
        <v>11395</v>
      </c>
      <c r="H876" t="s">
        <v>25</v>
      </c>
    </row>
    <row r="877" spans="1:8" x14ac:dyDescent="0.25">
      <c r="A877">
        <v>100886</v>
      </c>
      <c r="B877">
        <v>21</v>
      </c>
      <c r="C877">
        <v>1588</v>
      </c>
      <c r="D877">
        <v>3299</v>
      </c>
      <c r="E877" s="1">
        <v>45710</v>
      </c>
      <c r="F877" s="1">
        <v>45712</v>
      </c>
      <c r="G877">
        <v>14597</v>
      </c>
      <c r="H877" t="s">
        <v>25</v>
      </c>
    </row>
    <row r="878" spans="1:8" x14ac:dyDescent="0.25">
      <c r="A878">
        <v>100887</v>
      </c>
      <c r="B878">
        <v>441</v>
      </c>
      <c r="C878">
        <v>308</v>
      </c>
      <c r="D878">
        <v>3482</v>
      </c>
      <c r="E878" s="1">
        <v>45736</v>
      </c>
      <c r="F878" s="1">
        <v>45738</v>
      </c>
      <c r="G878">
        <v>19155</v>
      </c>
      <c r="H878" t="s">
        <v>25</v>
      </c>
    </row>
    <row r="879" spans="1:8" x14ac:dyDescent="0.25">
      <c r="A879">
        <v>100888</v>
      </c>
      <c r="B879">
        <v>324</v>
      </c>
      <c r="C879">
        <v>1303</v>
      </c>
      <c r="D879">
        <v>3346</v>
      </c>
      <c r="E879" s="1">
        <v>45785</v>
      </c>
      <c r="F879" s="1">
        <v>45786</v>
      </c>
      <c r="G879">
        <v>15355</v>
      </c>
      <c r="H879" t="s">
        <v>25</v>
      </c>
    </row>
    <row r="880" spans="1:8" x14ac:dyDescent="0.25">
      <c r="A880">
        <v>100889</v>
      </c>
      <c r="B880">
        <v>14</v>
      </c>
      <c r="C880">
        <v>581</v>
      </c>
      <c r="D880">
        <v>3065</v>
      </c>
      <c r="E880" s="1">
        <v>45663</v>
      </c>
      <c r="F880" s="1">
        <v>45666</v>
      </c>
      <c r="G880">
        <v>32759</v>
      </c>
      <c r="H880" t="s">
        <v>25</v>
      </c>
    </row>
    <row r="881" spans="1:8" x14ac:dyDescent="0.25">
      <c r="A881">
        <v>100890</v>
      </c>
      <c r="B881">
        <v>195</v>
      </c>
      <c r="C881">
        <v>335</v>
      </c>
      <c r="D881">
        <v>3178</v>
      </c>
      <c r="E881" s="1">
        <v>45698</v>
      </c>
      <c r="F881" s="1">
        <v>45701</v>
      </c>
      <c r="G881">
        <v>16166</v>
      </c>
      <c r="H881" t="s">
        <v>14</v>
      </c>
    </row>
    <row r="882" spans="1:8" x14ac:dyDescent="0.25">
      <c r="A882">
        <v>100891</v>
      </c>
      <c r="B882">
        <v>277</v>
      </c>
      <c r="C882">
        <v>609</v>
      </c>
      <c r="D882">
        <v>3344</v>
      </c>
      <c r="E882" s="1">
        <v>45608</v>
      </c>
      <c r="F882" s="1">
        <v>45609</v>
      </c>
      <c r="G882">
        <v>20678</v>
      </c>
      <c r="H882" t="s">
        <v>25</v>
      </c>
    </row>
    <row r="883" spans="1:8" x14ac:dyDescent="0.25">
      <c r="A883">
        <v>100892</v>
      </c>
      <c r="B883">
        <v>373</v>
      </c>
      <c r="C883">
        <v>670</v>
      </c>
      <c r="D883">
        <v>3481</v>
      </c>
      <c r="E883" s="1">
        <v>45722</v>
      </c>
      <c r="F883" s="1">
        <v>45727</v>
      </c>
      <c r="G883">
        <v>44642</v>
      </c>
      <c r="H883" t="s">
        <v>14</v>
      </c>
    </row>
    <row r="884" spans="1:8" x14ac:dyDescent="0.25">
      <c r="A884">
        <v>100893</v>
      </c>
      <c r="B884">
        <v>140</v>
      </c>
      <c r="C884">
        <v>1242</v>
      </c>
      <c r="D884">
        <v>3160</v>
      </c>
      <c r="E884" s="1">
        <v>45796</v>
      </c>
      <c r="F884" s="1">
        <v>45798</v>
      </c>
      <c r="G884">
        <v>20814</v>
      </c>
      <c r="H884" t="s">
        <v>14</v>
      </c>
    </row>
    <row r="885" spans="1:8" x14ac:dyDescent="0.25">
      <c r="A885">
        <v>100894</v>
      </c>
      <c r="B885">
        <v>141</v>
      </c>
      <c r="C885">
        <v>740</v>
      </c>
      <c r="D885">
        <v>3154</v>
      </c>
      <c r="E885" s="1">
        <v>45626</v>
      </c>
      <c r="F885" s="1">
        <v>45629</v>
      </c>
      <c r="G885">
        <v>32003</v>
      </c>
      <c r="H885" t="s">
        <v>25</v>
      </c>
    </row>
    <row r="886" spans="1:8" x14ac:dyDescent="0.25">
      <c r="A886">
        <v>100895</v>
      </c>
      <c r="B886">
        <v>387</v>
      </c>
      <c r="C886">
        <v>1449</v>
      </c>
      <c r="D886">
        <v>3324</v>
      </c>
      <c r="E886" s="1">
        <v>45663</v>
      </c>
      <c r="F886" s="1">
        <v>45668</v>
      </c>
      <c r="G886">
        <v>25316</v>
      </c>
      <c r="H886" t="s">
        <v>14</v>
      </c>
    </row>
    <row r="887" spans="1:8" x14ac:dyDescent="0.25">
      <c r="A887">
        <v>100896</v>
      </c>
      <c r="B887">
        <v>409</v>
      </c>
      <c r="C887">
        <v>1007</v>
      </c>
      <c r="D887">
        <v>3060</v>
      </c>
      <c r="E887" s="1">
        <v>45783</v>
      </c>
      <c r="F887" s="1">
        <v>45785</v>
      </c>
      <c r="G887">
        <v>28734</v>
      </c>
      <c r="H887" t="s">
        <v>14</v>
      </c>
    </row>
    <row r="888" spans="1:8" x14ac:dyDescent="0.25">
      <c r="A888">
        <v>100897</v>
      </c>
      <c r="B888">
        <v>280</v>
      </c>
      <c r="C888">
        <v>148</v>
      </c>
      <c r="D888">
        <v>3491</v>
      </c>
      <c r="E888" s="1">
        <v>45749</v>
      </c>
      <c r="F888" s="1">
        <v>45754</v>
      </c>
      <c r="G888">
        <v>30738</v>
      </c>
      <c r="H888" t="s">
        <v>10</v>
      </c>
    </row>
    <row r="889" spans="1:8" x14ac:dyDescent="0.25">
      <c r="A889">
        <v>100898</v>
      </c>
      <c r="B889">
        <v>37</v>
      </c>
      <c r="C889">
        <v>1065</v>
      </c>
      <c r="D889">
        <v>3007</v>
      </c>
      <c r="E889" s="1">
        <v>45652</v>
      </c>
      <c r="F889" s="1">
        <v>45682</v>
      </c>
      <c r="G889">
        <v>136969</v>
      </c>
      <c r="H889" t="s">
        <v>14</v>
      </c>
    </row>
    <row r="890" spans="1:8" x14ac:dyDescent="0.25">
      <c r="A890">
        <v>100899</v>
      </c>
      <c r="B890">
        <v>470</v>
      </c>
      <c r="C890">
        <v>736</v>
      </c>
      <c r="D890">
        <v>3494</v>
      </c>
      <c r="E890" s="1">
        <v>45734</v>
      </c>
      <c r="F890" s="1">
        <v>45736</v>
      </c>
      <c r="G890">
        <v>18477</v>
      </c>
      <c r="H890" t="s">
        <v>17</v>
      </c>
    </row>
    <row r="891" spans="1:8" x14ac:dyDescent="0.25">
      <c r="A891">
        <v>100900</v>
      </c>
      <c r="B891">
        <v>472</v>
      </c>
      <c r="C891">
        <v>756</v>
      </c>
      <c r="D891">
        <v>3024</v>
      </c>
      <c r="E891" s="1">
        <v>45641</v>
      </c>
      <c r="F891" s="1">
        <v>45644</v>
      </c>
      <c r="G891">
        <v>15233</v>
      </c>
      <c r="H891" t="s">
        <v>10</v>
      </c>
    </row>
    <row r="892" spans="1:8" x14ac:dyDescent="0.25">
      <c r="A892">
        <v>100901</v>
      </c>
      <c r="B892">
        <v>180</v>
      </c>
      <c r="C892">
        <v>322</v>
      </c>
      <c r="D892">
        <v>3054</v>
      </c>
      <c r="E892" s="1">
        <v>45772</v>
      </c>
      <c r="F892" s="1">
        <v>45786</v>
      </c>
      <c r="G892">
        <v>49654</v>
      </c>
      <c r="H892" t="s">
        <v>25</v>
      </c>
    </row>
    <row r="893" spans="1:8" x14ac:dyDescent="0.25">
      <c r="A893">
        <v>100902</v>
      </c>
      <c r="B893">
        <v>16</v>
      </c>
      <c r="C893">
        <v>129</v>
      </c>
      <c r="D893">
        <v>3413</v>
      </c>
      <c r="E893" s="1">
        <v>45757</v>
      </c>
      <c r="F893" s="1">
        <v>45760</v>
      </c>
      <c r="G893">
        <v>31504</v>
      </c>
      <c r="H893" t="s">
        <v>14</v>
      </c>
    </row>
    <row r="894" spans="1:8" x14ac:dyDescent="0.25">
      <c r="A894">
        <v>100903</v>
      </c>
      <c r="B894">
        <v>474</v>
      </c>
      <c r="C894">
        <v>1376</v>
      </c>
      <c r="D894">
        <v>3284</v>
      </c>
      <c r="E894" s="1">
        <v>45603</v>
      </c>
      <c r="F894" s="1">
        <v>45608</v>
      </c>
      <c r="G894">
        <v>41413</v>
      </c>
      <c r="H894" t="s">
        <v>25</v>
      </c>
    </row>
    <row r="895" spans="1:8" x14ac:dyDescent="0.25">
      <c r="A895">
        <v>100904</v>
      </c>
      <c r="B895">
        <v>217</v>
      </c>
      <c r="C895">
        <v>1347</v>
      </c>
      <c r="D895">
        <v>3343</v>
      </c>
      <c r="E895" s="1">
        <v>45610</v>
      </c>
      <c r="F895" s="1">
        <v>45613</v>
      </c>
      <c r="G895">
        <v>30707</v>
      </c>
      <c r="H895" t="s">
        <v>17</v>
      </c>
    </row>
    <row r="896" spans="1:8" x14ac:dyDescent="0.25">
      <c r="A896">
        <v>100905</v>
      </c>
      <c r="B896">
        <v>200</v>
      </c>
      <c r="C896">
        <v>416</v>
      </c>
      <c r="D896">
        <v>3020</v>
      </c>
      <c r="E896" s="1">
        <v>45767</v>
      </c>
      <c r="F896" s="1">
        <v>45777</v>
      </c>
      <c r="G896">
        <v>61482</v>
      </c>
      <c r="H896" t="s">
        <v>25</v>
      </c>
    </row>
    <row r="897" spans="1:8" x14ac:dyDescent="0.25">
      <c r="A897">
        <v>100906</v>
      </c>
      <c r="B897">
        <v>304</v>
      </c>
      <c r="C897">
        <v>1562</v>
      </c>
      <c r="D897">
        <v>3162</v>
      </c>
      <c r="E897" s="1">
        <v>45613</v>
      </c>
      <c r="F897" s="1">
        <v>45618</v>
      </c>
      <c r="G897">
        <v>29032</v>
      </c>
      <c r="H897" t="s">
        <v>25</v>
      </c>
    </row>
    <row r="898" spans="1:8" x14ac:dyDescent="0.25">
      <c r="A898">
        <v>100907</v>
      </c>
      <c r="B898">
        <v>244</v>
      </c>
      <c r="C898">
        <v>731</v>
      </c>
      <c r="D898">
        <v>3174</v>
      </c>
      <c r="E898" s="1">
        <v>45666</v>
      </c>
      <c r="F898" s="1">
        <v>45672</v>
      </c>
      <c r="G898">
        <v>26256</v>
      </c>
      <c r="H898" t="s">
        <v>10</v>
      </c>
    </row>
    <row r="899" spans="1:8" x14ac:dyDescent="0.25">
      <c r="A899">
        <v>100908</v>
      </c>
      <c r="B899">
        <v>311</v>
      </c>
      <c r="C899">
        <v>1162</v>
      </c>
      <c r="D899">
        <v>3200</v>
      </c>
      <c r="E899" s="1">
        <v>45681</v>
      </c>
      <c r="F899" s="1">
        <v>45693</v>
      </c>
      <c r="G899">
        <v>100201</v>
      </c>
      <c r="H899" t="s">
        <v>25</v>
      </c>
    </row>
    <row r="900" spans="1:8" x14ac:dyDescent="0.25">
      <c r="A900">
        <v>100909</v>
      </c>
      <c r="B900">
        <v>274</v>
      </c>
      <c r="C900">
        <v>1579</v>
      </c>
      <c r="D900">
        <v>3115</v>
      </c>
      <c r="E900" s="1">
        <v>45650</v>
      </c>
      <c r="F900" s="1">
        <v>45655</v>
      </c>
      <c r="G900">
        <v>44873</v>
      </c>
      <c r="H900" t="s">
        <v>25</v>
      </c>
    </row>
    <row r="901" spans="1:8" x14ac:dyDescent="0.25">
      <c r="A901">
        <v>100910</v>
      </c>
      <c r="B901">
        <v>214</v>
      </c>
      <c r="C901">
        <v>444</v>
      </c>
      <c r="D901">
        <v>3391</v>
      </c>
      <c r="E901" s="1">
        <v>45687</v>
      </c>
      <c r="F901" s="1">
        <v>45697</v>
      </c>
      <c r="G901">
        <v>84856</v>
      </c>
      <c r="H901" t="s">
        <v>14</v>
      </c>
    </row>
    <row r="902" spans="1:8" x14ac:dyDescent="0.25">
      <c r="A902">
        <v>100911</v>
      </c>
      <c r="B902">
        <v>144</v>
      </c>
      <c r="C902">
        <v>1283</v>
      </c>
      <c r="D902">
        <v>3457</v>
      </c>
      <c r="E902" s="1">
        <v>45782</v>
      </c>
      <c r="F902" s="1">
        <v>45787</v>
      </c>
      <c r="G902">
        <v>50036</v>
      </c>
      <c r="H902" t="s">
        <v>25</v>
      </c>
    </row>
    <row r="903" spans="1:8" x14ac:dyDescent="0.25">
      <c r="A903">
        <v>100912</v>
      </c>
      <c r="B903">
        <v>378</v>
      </c>
      <c r="C903">
        <v>1364</v>
      </c>
      <c r="D903">
        <v>3172</v>
      </c>
      <c r="E903" s="1">
        <v>45708</v>
      </c>
      <c r="F903" s="1">
        <v>45716</v>
      </c>
      <c r="G903">
        <v>34945</v>
      </c>
      <c r="H903" t="s">
        <v>10</v>
      </c>
    </row>
    <row r="904" spans="1:8" x14ac:dyDescent="0.25">
      <c r="A904">
        <v>100913</v>
      </c>
      <c r="B904">
        <v>16</v>
      </c>
      <c r="C904">
        <v>732</v>
      </c>
      <c r="D904">
        <v>3216</v>
      </c>
      <c r="E904" s="1">
        <v>45765</v>
      </c>
      <c r="F904" s="1">
        <v>45766</v>
      </c>
      <c r="G904">
        <v>18640</v>
      </c>
      <c r="H904" t="s">
        <v>25</v>
      </c>
    </row>
    <row r="905" spans="1:8" x14ac:dyDescent="0.25">
      <c r="A905">
        <v>100914</v>
      </c>
      <c r="B905">
        <v>75</v>
      </c>
      <c r="C905">
        <v>134</v>
      </c>
      <c r="D905">
        <v>3337</v>
      </c>
      <c r="E905" s="1">
        <v>45633</v>
      </c>
      <c r="F905" s="1">
        <v>45637</v>
      </c>
      <c r="G905">
        <v>21285</v>
      </c>
      <c r="H905" t="s">
        <v>25</v>
      </c>
    </row>
    <row r="906" spans="1:8" x14ac:dyDescent="0.25">
      <c r="A906">
        <v>100915</v>
      </c>
      <c r="B906">
        <v>282</v>
      </c>
      <c r="C906">
        <v>738</v>
      </c>
      <c r="D906">
        <v>3251</v>
      </c>
      <c r="E906" s="1">
        <v>45785</v>
      </c>
      <c r="F906" s="1">
        <v>45790</v>
      </c>
      <c r="G906">
        <v>21913</v>
      </c>
      <c r="H906" t="s">
        <v>25</v>
      </c>
    </row>
    <row r="907" spans="1:8" x14ac:dyDescent="0.25">
      <c r="A907">
        <v>100916</v>
      </c>
      <c r="B907">
        <v>51</v>
      </c>
      <c r="C907">
        <v>785</v>
      </c>
      <c r="D907">
        <v>3317</v>
      </c>
      <c r="E907" s="1">
        <v>45640</v>
      </c>
      <c r="F907" s="1">
        <v>45645</v>
      </c>
      <c r="G907">
        <v>41540</v>
      </c>
      <c r="H907" t="s">
        <v>25</v>
      </c>
    </row>
    <row r="908" spans="1:8" x14ac:dyDescent="0.25">
      <c r="A908">
        <v>100917</v>
      </c>
      <c r="B908">
        <v>75</v>
      </c>
      <c r="C908">
        <v>726</v>
      </c>
      <c r="D908">
        <v>3080</v>
      </c>
      <c r="E908" s="1">
        <v>45794</v>
      </c>
      <c r="F908" s="1">
        <v>45808</v>
      </c>
      <c r="G908">
        <v>91288</v>
      </c>
      <c r="H908" t="s">
        <v>25</v>
      </c>
    </row>
    <row r="909" spans="1:8" x14ac:dyDescent="0.25">
      <c r="A909">
        <v>100918</v>
      </c>
      <c r="B909">
        <v>141</v>
      </c>
      <c r="C909">
        <v>672</v>
      </c>
      <c r="D909">
        <v>3383</v>
      </c>
      <c r="E909" s="1">
        <v>45774</v>
      </c>
      <c r="F909" s="1">
        <v>45777</v>
      </c>
      <c r="G909">
        <v>31639</v>
      </c>
      <c r="H909" t="s">
        <v>10</v>
      </c>
    </row>
    <row r="910" spans="1:8" x14ac:dyDescent="0.25">
      <c r="A910">
        <v>100919</v>
      </c>
      <c r="B910">
        <v>257</v>
      </c>
      <c r="C910">
        <v>1216</v>
      </c>
      <c r="D910">
        <v>3241</v>
      </c>
      <c r="E910" s="1">
        <v>45801</v>
      </c>
      <c r="F910" s="1">
        <v>45803</v>
      </c>
      <c r="G910">
        <v>16592</v>
      </c>
      <c r="H910" t="s">
        <v>25</v>
      </c>
    </row>
    <row r="911" spans="1:8" x14ac:dyDescent="0.25">
      <c r="A911">
        <v>100920</v>
      </c>
      <c r="B911">
        <v>341</v>
      </c>
      <c r="C911">
        <v>197</v>
      </c>
      <c r="D911">
        <v>3171</v>
      </c>
      <c r="E911" s="1">
        <v>45766</v>
      </c>
      <c r="F911" s="1">
        <v>45769</v>
      </c>
      <c r="G911">
        <v>27179</v>
      </c>
      <c r="H911" t="s">
        <v>10</v>
      </c>
    </row>
    <row r="912" spans="1:8" x14ac:dyDescent="0.25">
      <c r="A912">
        <v>100921</v>
      </c>
      <c r="B912">
        <v>370</v>
      </c>
      <c r="C912">
        <v>375</v>
      </c>
      <c r="D912">
        <v>3408</v>
      </c>
      <c r="E912" s="1">
        <v>45691</v>
      </c>
      <c r="F912" s="1">
        <v>45699</v>
      </c>
      <c r="G912">
        <v>48821</v>
      </c>
      <c r="H912" t="s">
        <v>25</v>
      </c>
    </row>
    <row r="913" spans="1:8" x14ac:dyDescent="0.25">
      <c r="A913">
        <v>100922</v>
      </c>
      <c r="B913">
        <v>424</v>
      </c>
      <c r="C913">
        <v>871</v>
      </c>
      <c r="D913">
        <v>3255</v>
      </c>
      <c r="E913" s="1">
        <v>45742</v>
      </c>
      <c r="F913" s="1">
        <v>45750</v>
      </c>
      <c r="G913">
        <v>30416</v>
      </c>
      <c r="H913" t="s">
        <v>25</v>
      </c>
    </row>
    <row r="914" spans="1:8" x14ac:dyDescent="0.25">
      <c r="A914">
        <v>100923</v>
      </c>
      <c r="B914">
        <v>381</v>
      </c>
      <c r="C914">
        <v>888</v>
      </c>
      <c r="D914">
        <v>3398</v>
      </c>
      <c r="E914" s="1">
        <v>45736</v>
      </c>
      <c r="F914" s="1">
        <v>45746</v>
      </c>
      <c r="G914">
        <v>35401</v>
      </c>
      <c r="H914" t="s">
        <v>25</v>
      </c>
    </row>
    <row r="915" spans="1:8" x14ac:dyDescent="0.25">
      <c r="A915">
        <v>100924</v>
      </c>
      <c r="B915">
        <v>342</v>
      </c>
      <c r="C915">
        <v>967</v>
      </c>
      <c r="D915">
        <v>3270</v>
      </c>
      <c r="E915" s="1">
        <v>45734</v>
      </c>
      <c r="F915" s="1">
        <v>45736</v>
      </c>
      <c r="G915">
        <v>21227</v>
      </c>
      <c r="H915" t="s">
        <v>17</v>
      </c>
    </row>
    <row r="916" spans="1:8" x14ac:dyDescent="0.25">
      <c r="A916">
        <v>100925</v>
      </c>
      <c r="B916">
        <v>226</v>
      </c>
      <c r="C916">
        <v>1131</v>
      </c>
      <c r="D916">
        <v>3317</v>
      </c>
      <c r="E916" s="1">
        <v>45716</v>
      </c>
      <c r="F916" s="1">
        <v>45718</v>
      </c>
      <c r="G916">
        <v>17301</v>
      </c>
      <c r="H916" t="s">
        <v>25</v>
      </c>
    </row>
    <row r="917" spans="1:8" x14ac:dyDescent="0.25">
      <c r="A917">
        <v>100926</v>
      </c>
      <c r="B917">
        <v>28</v>
      </c>
      <c r="C917">
        <v>675</v>
      </c>
      <c r="D917">
        <v>3395</v>
      </c>
      <c r="E917" s="1">
        <v>45804</v>
      </c>
      <c r="F917" s="1">
        <v>45808</v>
      </c>
      <c r="G917">
        <v>29205</v>
      </c>
      <c r="H917" t="s">
        <v>17</v>
      </c>
    </row>
    <row r="918" spans="1:8" x14ac:dyDescent="0.25">
      <c r="A918">
        <v>100927</v>
      </c>
      <c r="B918">
        <v>234</v>
      </c>
      <c r="C918">
        <v>1056</v>
      </c>
      <c r="D918">
        <v>3271</v>
      </c>
      <c r="E918" s="1">
        <v>45773</v>
      </c>
      <c r="F918" s="1">
        <v>45774</v>
      </c>
      <c r="G918">
        <v>15757</v>
      </c>
      <c r="H918" t="s">
        <v>25</v>
      </c>
    </row>
    <row r="919" spans="1:8" x14ac:dyDescent="0.25">
      <c r="A919">
        <v>100928</v>
      </c>
      <c r="B919">
        <v>57</v>
      </c>
      <c r="C919">
        <v>1308</v>
      </c>
      <c r="D919">
        <v>3240</v>
      </c>
      <c r="E919" s="1">
        <v>45788</v>
      </c>
      <c r="F919" s="1">
        <v>45789</v>
      </c>
      <c r="G919">
        <v>13928</v>
      </c>
      <c r="H919" t="s">
        <v>25</v>
      </c>
    </row>
    <row r="920" spans="1:8" x14ac:dyDescent="0.25">
      <c r="A920">
        <v>100929</v>
      </c>
      <c r="B920">
        <v>144</v>
      </c>
      <c r="C920">
        <v>1467</v>
      </c>
      <c r="D920">
        <v>3046</v>
      </c>
      <c r="E920" s="1">
        <v>45704</v>
      </c>
      <c r="F920" s="1">
        <v>45705</v>
      </c>
      <c r="G920">
        <v>12552</v>
      </c>
      <c r="H920" t="s">
        <v>25</v>
      </c>
    </row>
    <row r="921" spans="1:8" x14ac:dyDescent="0.25">
      <c r="A921">
        <v>100930</v>
      </c>
      <c r="B921">
        <v>238</v>
      </c>
      <c r="C921">
        <v>1300</v>
      </c>
      <c r="D921">
        <v>3119</v>
      </c>
      <c r="E921" s="1">
        <v>45726</v>
      </c>
      <c r="F921" s="1">
        <v>45731</v>
      </c>
      <c r="G921">
        <v>39792</v>
      </c>
      <c r="H921" t="s">
        <v>25</v>
      </c>
    </row>
    <row r="922" spans="1:8" x14ac:dyDescent="0.25">
      <c r="A922">
        <v>100931</v>
      </c>
      <c r="B922">
        <v>113</v>
      </c>
      <c r="C922">
        <v>524</v>
      </c>
      <c r="D922">
        <v>3203</v>
      </c>
      <c r="E922" s="1">
        <v>45792</v>
      </c>
      <c r="F922" s="1">
        <v>45794</v>
      </c>
      <c r="G922">
        <v>17497</v>
      </c>
      <c r="H922" t="s">
        <v>10</v>
      </c>
    </row>
    <row r="923" spans="1:8" x14ac:dyDescent="0.25">
      <c r="A923">
        <v>100932</v>
      </c>
      <c r="B923">
        <v>224</v>
      </c>
      <c r="C923">
        <v>807</v>
      </c>
      <c r="D923">
        <v>3106</v>
      </c>
      <c r="E923" s="1">
        <v>45760</v>
      </c>
      <c r="F923" s="1">
        <v>45764</v>
      </c>
      <c r="G923">
        <v>26441</v>
      </c>
      <c r="H923" t="s">
        <v>10</v>
      </c>
    </row>
    <row r="924" spans="1:8" x14ac:dyDescent="0.25">
      <c r="A924">
        <v>100933</v>
      </c>
      <c r="B924">
        <v>374</v>
      </c>
      <c r="C924">
        <v>1364</v>
      </c>
      <c r="D924">
        <v>3463</v>
      </c>
      <c r="E924" s="1">
        <v>45705</v>
      </c>
      <c r="F924" s="1">
        <v>45747</v>
      </c>
      <c r="G924">
        <v>185633</v>
      </c>
      <c r="H924" t="s">
        <v>25</v>
      </c>
    </row>
    <row r="925" spans="1:8" x14ac:dyDescent="0.25">
      <c r="A925">
        <v>100934</v>
      </c>
      <c r="B925">
        <v>182</v>
      </c>
      <c r="C925">
        <v>1181</v>
      </c>
      <c r="D925">
        <v>3106</v>
      </c>
      <c r="E925" s="1">
        <v>45708</v>
      </c>
      <c r="F925" s="1">
        <v>45713</v>
      </c>
      <c r="G925">
        <v>49836</v>
      </c>
      <c r="H925" t="s">
        <v>25</v>
      </c>
    </row>
    <row r="926" spans="1:8" x14ac:dyDescent="0.25">
      <c r="A926">
        <v>100935</v>
      </c>
      <c r="B926">
        <v>146</v>
      </c>
      <c r="C926">
        <v>458</v>
      </c>
      <c r="D926">
        <v>3196</v>
      </c>
      <c r="E926" s="1">
        <v>45696</v>
      </c>
      <c r="F926" s="1">
        <v>45699</v>
      </c>
      <c r="G926">
        <v>25861</v>
      </c>
      <c r="H926" t="s">
        <v>14</v>
      </c>
    </row>
    <row r="927" spans="1:8" x14ac:dyDescent="0.25">
      <c r="A927">
        <v>100936</v>
      </c>
      <c r="B927">
        <v>62</v>
      </c>
      <c r="C927">
        <v>143</v>
      </c>
      <c r="D927">
        <v>3373</v>
      </c>
      <c r="E927" s="1">
        <v>45799</v>
      </c>
      <c r="F927" s="1">
        <v>45802</v>
      </c>
      <c r="G927">
        <v>25073</v>
      </c>
      <c r="H927" t="s">
        <v>25</v>
      </c>
    </row>
    <row r="928" spans="1:8" x14ac:dyDescent="0.25">
      <c r="A928">
        <v>100937</v>
      </c>
      <c r="B928">
        <v>298</v>
      </c>
      <c r="C928">
        <v>1002</v>
      </c>
      <c r="D928">
        <v>3076</v>
      </c>
      <c r="E928" s="1">
        <v>45640</v>
      </c>
      <c r="F928" s="1">
        <v>45641</v>
      </c>
      <c r="G928">
        <v>10722</v>
      </c>
      <c r="H928" t="s">
        <v>17</v>
      </c>
    </row>
    <row r="929" spans="1:8" x14ac:dyDescent="0.25">
      <c r="A929">
        <v>100938</v>
      </c>
      <c r="B929">
        <v>65</v>
      </c>
      <c r="C929">
        <v>1371</v>
      </c>
      <c r="D929">
        <v>3282</v>
      </c>
      <c r="E929" s="1">
        <v>45604</v>
      </c>
      <c r="F929" s="1">
        <v>45606</v>
      </c>
      <c r="G929">
        <v>17870</v>
      </c>
      <c r="H929" t="s">
        <v>25</v>
      </c>
    </row>
    <row r="930" spans="1:8" x14ac:dyDescent="0.25">
      <c r="A930">
        <v>100939</v>
      </c>
      <c r="B930">
        <v>361</v>
      </c>
      <c r="C930">
        <v>656</v>
      </c>
      <c r="D930">
        <v>3128</v>
      </c>
      <c r="E930" s="1">
        <v>45758</v>
      </c>
      <c r="F930" s="1">
        <v>45776</v>
      </c>
      <c r="G930">
        <v>74155</v>
      </c>
      <c r="H930" t="s">
        <v>17</v>
      </c>
    </row>
    <row r="931" spans="1:8" x14ac:dyDescent="0.25">
      <c r="A931">
        <v>100940</v>
      </c>
      <c r="B931">
        <v>205</v>
      </c>
      <c r="C931">
        <v>701</v>
      </c>
      <c r="D931">
        <v>3436</v>
      </c>
      <c r="E931" s="1">
        <v>45675</v>
      </c>
      <c r="F931" s="1">
        <v>45678</v>
      </c>
      <c r="G931">
        <v>22316</v>
      </c>
      <c r="H931" t="s">
        <v>25</v>
      </c>
    </row>
    <row r="932" spans="1:8" x14ac:dyDescent="0.25">
      <c r="A932">
        <v>100941</v>
      </c>
      <c r="B932">
        <v>112</v>
      </c>
      <c r="C932">
        <v>281</v>
      </c>
      <c r="D932">
        <v>3080</v>
      </c>
      <c r="E932" s="1">
        <v>45706</v>
      </c>
      <c r="F932" s="1">
        <v>45709</v>
      </c>
      <c r="G932">
        <v>24028</v>
      </c>
      <c r="H932" t="s">
        <v>25</v>
      </c>
    </row>
    <row r="933" spans="1:8" x14ac:dyDescent="0.25">
      <c r="A933">
        <v>100942</v>
      </c>
      <c r="B933">
        <v>321</v>
      </c>
      <c r="C933">
        <v>141</v>
      </c>
      <c r="D933">
        <v>3319</v>
      </c>
      <c r="E933" s="1">
        <v>45621</v>
      </c>
      <c r="F933" s="1">
        <v>45624</v>
      </c>
      <c r="G933">
        <v>28211</v>
      </c>
      <c r="H933" t="s">
        <v>17</v>
      </c>
    </row>
    <row r="934" spans="1:8" x14ac:dyDescent="0.25">
      <c r="A934">
        <v>100943</v>
      </c>
      <c r="B934">
        <v>396</v>
      </c>
      <c r="C934">
        <v>111</v>
      </c>
      <c r="D934">
        <v>3420</v>
      </c>
      <c r="E934" s="1">
        <v>45607</v>
      </c>
      <c r="F934" s="1">
        <v>45610</v>
      </c>
      <c r="G934">
        <v>23010</v>
      </c>
      <c r="H934" t="s">
        <v>25</v>
      </c>
    </row>
    <row r="935" spans="1:8" x14ac:dyDescent="0.25">
      <c r="A935">
        <v>100944</v>
      </c>
      <c r="B935">
        <v>365</v>
      </c>
      <c r="C935">
        <v>423</v>
      </c>
      <c r="D935">
        <v>3041</v>
      </c>
      <c r="E935" s="1">
        <v>45641</v>
      </c>
      <c r="F935" s="1">
        <v>45644</v>
      </c>
      <c r="G935">
        <v>24797</v>
      </c>
      <c r="H935" t="s">
        <v>17</v>
      </c>
    </row>
    <row r="936" spans="1:8" x14ac:dyDescent="0.25">
      <c r="A936">
        <v>100945</v>
      </c>
      <c r="B936">
        <v>257</v>
      </c>
      <c r="C936">
        <v>1095</v>
      </c>
      <c r="D936">
        <v>3473</v>
      </c>
      <c r="E936" s="1">
        <v>45732</v>
      </c>
      <c r="F936" s="1">
        <v>45736</v>
      </c>
      <c r="G936">
        <v>27319</v>
      </c>
      <c r="H936" t="s">
        <v>14</v>
      </c>
    </row>
    <row r="937" spans="1:8" x14ac:dyDescent="0.25">
      <c r="A937">
        <v>100946</v>
      </c>
      <c r="B937">
        <v>190</v>
      </c>
      <c r="C937">
        <v>255</v>
      </c>
      <c r="D937">
        <v>3423</v>
      </c>
      <c r="E937" s="1">
        <v>45789</v>
      </c>
      <c r="F937" s="1">
        <v>45792</v>
      </c>
      <c r="G937">
        <v>30247</v>
      </c>
      <c r="H937" t="s">
        <v>25</v>
      </c>
    </row>
    <row r="938" spans="1:8" x14ac:dyDescent="0.25">
      <c r="A938">
        <v>100947</v>
      </c>
      <c r="B938">
        <v>284</v>
      </c>
      <c r="C938">
        <v>863</v>
      </c>
      <c r="D938">
        <v>3047</v>
      </c>
      <c r="E938" s="1">
        <v>45617</v>
      </c>
      <c r="F938" s="1">
        <v>45620</v>
      </c>
      <c r="G938">
        <v>25616</v>
      </c>
      <c r="H938" t="s">
        <v>25</v>
      </c>
    </row>
    <row r="939" spans="1:8" x14ac:dyDescent="0.25">
      <c r="A939">
        <v>100948</v>
      </c>
      <c r="B939">
        <v>488</v>
      </c>
      <c r="C939">
        <v>1235</v>
      </c>
      <c r="D939">
        <v>3407</v>
      </c>
      <c r="E939" s="1">
        <v>45664</v>
      </c>
      <c r="F939" s="1">
        <v>45668</v>
      </c>
      <c r="G939">
        <v>40025</v>
      </c>
      <c r="H939" t="s">
        <v>25</v>
      </c>
    </row>
    <row r="940" spans="1:8" x14ac:dyDescent="0.25">
      <c r="A940">
        <v>100949</v>
      </c>
      <c r="B940">
        <v>316</v>
      </c>
      <c r="C940">
        <v>139</v>
      </c>
      <c r="D940">
        <v>3388</v>
      </c>
      <c r="E940" s="1">
        <v>45623</v>
      </c>
      <c r="F940" s="1">
        <v>45628</v>
      </c>
      <c r="G940">
        <v>35712</v>
      </c>
      <c r="H940" t="s">
        <v>25</v>
      </c>
    </row>
    <row r="941" spans="1:8" x14ac:dyDescent="0.25">
      <c r="A941">
        <v>100950</v>
      </c>
      <c r="B941">
        <v>484</v>
      </c>
      <c r="C941">
        <v>806</v>
      </c>
      <c r="D941">
        <v>3478</v>
      </c>
      <c r="E941" s="1">
        <v>45752</v>
      </c>
      <c r="F941" s="1">
        <v>45753</v>
      </c>
      <c r="G941">
        <v>14716</v>
      </c>
      <c r="H941" t="s">
        <v>25</v>
      </c>
    </row>
    <row r="942" spans="1:8" x14ac:dyDescent="0.25">
      <c r="A942">
        <v>100951</v>
      </c>
      <c r="B942">
        <v>422</v>
      </c>
      <c r="C942">
        <v>1505</v>
      </c>
      <c r="D942">
        <v>3441</v>
      </c>
      <c r="E942" s="1">
        <v>45651</v>
      </c>
      <c r="F942" s="1">
        <v>45654</v>
      </c>
      <c r="G942">
        <v>14291</v>
      </c>
      <c r="H942" t="s">
        <v>25</v>
      </c>
    </row>
    <row r="943" spans="1:8" x14ac:dyDescent="0.25">
      <c r="A943">
        <v>100952</v>
      </c>
      <c r="B943">
        <v>414</v>
      </c>
      <c r="C943">
        <v>1318</v>
      </c>
      <c r="D943">
        <v>3393</v>
      </c>
      <c r="E943" s="1">
        <v>45787</v>
      </c>
      <c r="F943" s="1">
        <v>45789</v>
      </c>
      <c r="G943">
        <v>25915</v>
      </c>
      <c r="H943" t="s">
        <v>25</v>
      </c>
    </row>
    <row r="944" spans="1:8" x14ac:dyDescent="0.25">
      <c r="A944">
        <v>100953</v>
      </c>
      <c r="B944">
        <v>363</v>
      </c>
      <c r="C944">
        <v>1061</v>
      </c>
      <c r="D944">
        <v>3058</v>
      </c>
      <c r="E944" s="1">
        <v>45784</v>
      </c>
      <c r="F944" s="1">
        <v>45788</v>
      </c>
      <c r="G944">
        <v>31449</v>
      </c>
      <c r="H944" t="s">
        <v>14</v>
      </c>
    </row>
    <row r="945" spans="1:8" x14ac:dyDescent="0.25">
      <c r="A945">
        <v>100954</v>
      </c>
      <c r="B945">
        <v>352</v>
      </c>
      <c r="C945">
        <v>1439</v>
      </c>
      <c r="D945">
        <v>3031</v>
      </c>
      <c r="E945" s="1">
        <v>45763</v>
      </c>
      <c r="F945" s="1">
        <v>45808</v>
      </c>
      <c r="G945">
        <v>364563</v>
      </c>
      <c r="H945" t="s">
        <v>14</v>
      </c>
    </row>
    <row r="946" spans="1:8" x14ac:dyDescent="0.25">
      <c r="A946">
        <v>100955</v>
      </c>
      <c r="B946">
        <v>487</v>
      </c>
      <c r="C946">
        <v>1081</v>
      </c>
      <c r="D946">
        <v>3210</v>
      </c>
      <c r="E946" s="1">
        <v>45673</v>
      </c>
      <c r="F946" s="1">
        <v>45676</v>
      </c>
      <c r="G946">
        <v>17243</v>
      </c>
      <c r="H946" t="s">
        <v>10</v>
      </c>
    </row>
    <row r="947" spans="1:8" x14ac:dyDescent="0.25">
      <c r="A947">
        <v>100956</v>
      </c>
      <c r="B947">
        <v>382</v>
      </c>
      <c r="C947">
        <v>462</v>
      </c>
      <c r="D947">
        <v>3228</v>
      </c>
      <c r="E947" s="1">
        <v>45755</v>
      </c>
      <c r="F947" s="1">
        <v>45765</v>
      </c>
      <c r="G947">
        <v>39046</v>
      </c>
      <c r="H947" t="s">
        <v>25</v>
      </c>
    </row>
    <row r="948" spans="1:8" x14ac:dyDescent="0.25">
      <c r="A948">
        <v>100957</v>
      </c>
      <c r="B948">
        <v>19</v>
      </c>
      <c r="C948">
        <v>762</v>
      </c>
      <c r="D948">
        <v>3342</v>
      </c>
      <c r="E948" s="1">
        <v>45722</v>
      </c>
      <c r="F948" s="1">
        <v>45727</v>
      </c>
      <c r="G948">
        <v>18714</v>
      </c>
      <c r="H948" t="s">
        <v>25</v>
      </c>
    </row>
    <row r="949" spans="1:8" x14ac:dyDescent="0.25">
      <c r="A949">
        <v>100958</v>
      </c>
      <c r="B949">
        <v>144</v>
      </c>
      <c r="C949">
        <v>272</v>
      </c>
      <c r="D949">
        <v>3450</v>
      </c>
      <c r="E949" s="1">
        <v>45615</v>
      </c>
      <c r="F949" s="1">
        <v>45617</v>
      </c>
      <c r="G949">
        <v>19549</v>
      </c>
      <c r="H949" t="s">
        <v>14</v>
      </c>
    </row>
    <row r="950" spans="1:8" x14ac:dyDescent="0.25">
      <c r="A950">
        <v>100959</v>
      </c>
      <c r="B950">
        <v>357</v>
      </c>
      <c r="C950">
        <v>462</v>
      </c>
      <c r="D950">
        <v>3493</v>
      </c>
      <c r="E950" s="1">
        <v>45777</v>
      </c>
      <c r="F950" s="1">
        <v>45794</v>
      </c>
      <c r="G950">
        <v>50114</v>
      </c>
      <c r="H950" t="s">
        <v>25</v>
      </c>
    </row>
    <row r="951" spans="1:8" x14ac:dyDescent="0.25">
      <c r="A951">
        <v>100960</v>
      </c>
      <c r="B951">
        <v>376</v>
      </c>
      <c r="C951">
        <v>1316</v>
      </c>
      <c r="D951">
        <v>3028</v>
      </c>
      <c r="E951" s="1">
        <v>45601</v>
      </c>
      <c r="F951" s="1">
        <v>45604</v>
      </c>
      <c r="G951">
        <v>26764</v>
      </c>
      <c r="H951" t="s">
        <v>14</v>
      </c>
    </row>
    <row r="952" spans="1:8" x14ac:dyDescent="0.25">
      <c r="A952">
        <v>100961</v>
      </c>
      <c r="B952">
        <v>419</v>
      </c>
      <c r="C952">
        <v>435</v>
      </c>
      <c r="D952">
        <v>3042</v>
      </c>
      <c r="E952" s="1">
        <v>45616</v>
      </c>
      <c r="F952" s="1">
        <v>45655</v>
      </c>
      <c r="G952">
        <v>204396</v>
      </c>
      <c r="H952" t="s">
        <v>25</v>
      </c>
    </row>
    <row r="953" spans="1:8" x14ac:dyDescent="0.25">
      <c r="A953">
        <v>100962</v>
      </c>
      <c r="B953">
        <v>359</v>
      </c>
      <c r="C953">
        <v>1226</v>
      </c>
      <c r="D953">
        <v>3373</v>
      </c>
      <c r="E953" s="1">
        <v>45715</v>
      </c>
      <c r="F953" s="1">
        <v>45722</v>
      </c>
      <c r="G953">
        <v>67319</v>
      </c>
      <c r="H953" t="s">
        <v>17</v>
      </c>
    </row>
    <row r="954" spans="1:8" x14ac:dyDescent="0.25">
      <c r="A954">
        <v>100963</v>
      </c>
      <c r="B954">
        <v>26</v>
      </c>
      <c r="C954">
        <v>1131</v>
      </c>
      <c r="D954">
        <v>3397</v>
      </c>
      <c r="E954" s="1">
        <v>45642</v>
      </c>
      <c r="F954" s="1">
        <v>45645</v>
      </c>
      <c r="G954">
        <v>20398</v>
      </c>
      <c r="H954" t="s">
        <v>14</v>
      </c>
    </row>
    <row r="955" spans="1:8" x14ac:dyDescent="0.25">
      <c r="A955">
        <v>100964</v>
      </c>
      <c r="B955">
        <v>447</v>
      </c>
      <c r="C955">
        <v>359</v>
      </c>
      <c r="D955">
        <v>3083</v>
      </c>
      <c r="E955" s="1">
        <v>45753</v>
      </c>
      <c r="F955" s="1">
        <v>45754</v>
      </c>
      <c r="G955">
        <v>10762</v>
      </c>
      <c r="H955" t="s">
        <v>14</v>
      </c>
    </row>
    <row r="956" spans="1:8" x14ac:dyDescent="0.25">
      <c r="A956">
        <v>100965</v>
      </c>
      <c r="B956">
        <v>57</v>
      </c>
      <c r="C956">
        <v>1049</v>
      </c>
      <c r="D956">
        <v>3044</v>
      </c>
      <c r="E956" s="1">
        <v>45740</v>
      </c>
      <c r="F956" s="1">
        <v>45748</v>
      </c>
      <c r="G956">
        <v>67258</v>
      </c>
      <c r="H956" t="s">
        <v>25</v>
      </c>
    </row>
    <row r="957" spans="1:8" x14ac:dyDescent="0.25">
      <c r="A957">
        <v>100966</v>
      </c>
      <c r="B957">
        <v>443</v>
      </c>
      <c r="C957">
        <v>1556</v>
      </c>
      <c r="D957">
        <v>3420</v>
      </c>
      <c r="E957" s="1">
        <v>45766</v>
      </c>
      <c r="F957" s="1">
        <v>45781</v>
      </c>
      <c r="G957">
        <v>71942</v>
      </c>
      <c r="H957" t="s">
        <v>25</v>
      </c>
    </row>
    <row r="958" spans="1:8" x14ac:dyDescent="0.25">
      <c r="A958">
        <v>100967</v>
      </c>
      <c r="B958">
        <v>348</v>
      </c>
      <c r="C958">
        <v>574</v>
      </c>
      <c r="D958">
        <v>3020</v>
      </c>
      <c r="E958" s="1">
        <v>45706</v>
      </c>
      <c r="F958" s="1">
        <v>45708</v>
      </c>
      <c r="G958">
        <v>28397</v>
      </c>
      <c r="H958" t="s">
        <v>25</v>
      </c>
    </row>
    <row r="959" spans="1:8" x14ac:dyDescent="0.25">
      <c r="A959">
        <v>100968</v>
      </c>
      <c r="B959">
        <v>41</v>
      </c>
      <c r="C959">
        <v>1476</v>
      </c>
      <c r="D959">
        <v>3485</v>
      </c>
      <c r="E959" s="1">
        <v>45757</v>
      </c>
      <c r="F959" s="1">
        <v>45760</v>
      </c>
      <c r="G959">
        <v>21406</v>
      </c>
      <c r="H959" t="s">
        <v>10</v>
      </c>
    </row>
    <row r="960" spans="1:8" x14ac:dyDescent="0.25">
      <c r="A960">
        <v>100969</v>
      </c>
      <c r="B960">
        <v>23</v>
      </c>
      <c r="C960">
        <v>1590</v>
      </c>
      <c r="D960">
        <v>3420</v>
      </c>
      <c r="E960" s="1">
        <v>45613</v>
      </c>
      <c r="F960" s="1">
        <v>45618</v>
      </c>
      <c r="G960">
        <v>32279</v>
      </c>
      <c r="H960" t="s">
        <v>25</v>
      </c>
    </row>
    <row r="961" spans="1:8" x14ac:dyDescent="0.25">
      <c r="A961">
        <v>100970</v>
      </c>
      <c r="B961">
        <v>359</v>
      </c>
      <c r="C961">
        <v>1239</v>
      </c>
      <c r="D961">
        <v>3307</v>
      </c>
      <c r="E961" s="1">
        <v>45791</v>
      </c>
      <c r="F961" s="1">
        <v>45792</v>
      </c>
      <c r="G961">
        <v>15811</v>
      </c>
      <c r="H961" t="s">
        <v>25</v>
      </c>
    </row>
    <row r="962" spans="1:8" x14ac:dyDescent="0.25">
      <c r="A962">
        <v>100971</v>
      </c>
      <c r="B962">
        <v>491</v>
      </c>
      <c r="C962">
        <v>702</v>
      </c>
      <c r="D962">
        <v>3034</v>
      </c>
      <c r="E962" s="1">
        <v>45781</v>
      </c>
      <c r="F962" s="1">
        <v>45784</v>
      </c>
      <c r="G962">
        <v>29097</v>
      </c>
      <c r="H962" t="s">
        <v>25</v>
      </c>
    </row>
    <row r="963" spans="1:8" x14ac:dyDescent="0.25">
      <c r="A963">
        <v>100972</v>
      </c>
      <c r="B963">
        <v>428</v>
      </c>
      <c r="C963">
        <v>1362</v>
      </c>
      <c r="D963">
        <v>3034</v>
      </c>
      <c r="E963" s="1">
        <v>45767</v>
      </c>
      <c r="F963" s="1">
        <v>45771</v>
      </c>
      <c r="G963">
        <v>21336</v>
      </c>
      <c r="H963" t="s">
        <v>25</v>
      </c>
    </row>
    <row r="964" spans="1:8" x14ac:dyDescent="0.25">
      <c r="A964">
        <v>100973</v>
      </c>
      <c r="B964">
        <v>198</v>
      </c>
      <c r="C964">
        <v>983</v>
      </c>
      <c r="D964">
        <v>3381</v>
      </c>
      <c r="E964" s="1">
        <v>45608</v>
      </c>
      <c r="F964" s="1">
        <v>45611</v>
      </c>
      <c r="G964">
        <v>20544</v>
      </c>
      <c r="H964" t="s">
        <v>25</v>
      </c>
    </row>
    <row r="965" spans="1:8" x14ac:dyDescent="0.25">
      <c r="A965">
        <v>100974</v>
      </c>
      <c r="B965">
        <v>355</v>
      </c>
      <c r="C965">
        <v>128</v>
      </c>
      <c r="D965">
        <v>3244</v>
      </c>
      <c r="E965" s="1">
        <v>45629</v>
      </c>
      <c r="F965" s="1">
        <v>45633</v>
      </c>
      <c r="G965">
        <v>21367</v>
      </c>
      <c r="H965" t="s">
        <v>25</v>
      </c>
    </row>
    <row r="966" spans="1:8" x14ac:dyDescent="0.25">
      <c r="A966">
        <v>100975</v>
      </c>
      <c r="B966">
        <v>226</v>
      </c>
      <c r="C966">
        <v>1397</v>
      </c>
      <c r="D966">
        <v>3343</v>
      </c>
      <c r="E966" s="1">
        <v>45621</v>
      </c>
      <c r="F966" s="1">
        <v>45625</v>
      </c>
      <c r="G966">
        <v>27439</v>
      </c>
      <c r="H966" t="s">
        <v>25</v>
      </c>
    </row>
    <row r="967" spans="1:8" x14ac:dyDescent="0.25">
      <c r="A967">
        <v>100976</v>
      </c>
      <c r="B967">
        <v>302</v>
      </c>
      <c r="C967">
        <v>1397</v>
      </c>
      <c r="D967">
        <v>3417</v>
      </c>
      <c r="E967" s="1">
        <v>45755</v>
      </c>
      <c r="F967" s="1">
        <v>45758</v>
      </c>
      <c r="G967">
        <v>29243</v>
      </c>
      <c r="H967" t="s">
        <v>10</v>
      </c>
    </row>
    <row r="968" spans="1:8" x14ac:dyDescent="0.25">
      <c r="A968">
        <v>100977</v>
      </c>
      <c r="B968">
        <v>216</v>
      </c>
      <c r="C968">
        <v>1152</v>
      </c>
      <c r="D968">
        <v>3358</v>
      </c>
      <c r="E968" s="1">
        <v>45638</v>
      </c>
      <c r="F968" s="1">
        <v>45648</v>
      </c>
      <c r="G968">
        <v>50558</v>
      </c>
      <c r="H968" t="s">
        <v>25</v>
      </c>
    </row>
    <row r="969" spans="1:8" x14ac:dyDescent="0.25">
      <c r="A969">
        <v>100978</v>
      </c>
      <c r="B969">
        <v>338</v>
      </c>
      <c r="C969">
        <v>252</v>
      </c>
      <c r="D969">
        <v>3438</v>
      </c>
      <c r="E969" s="1">
        <v>45638</v>
      </c>
      <c r="F969" s="1">
        <v>45640</v>
      </c>
      <c r="G969">
        <v>22439</v>
      </c>
      <c r="H969" t="s">
        <v>25</v>
      </c>
    </row>
    <row r="970" spans="1:8" x14ac:dyDescent="0.25">
      <c r="A970">
        <v>100979</v>
      </c>
      <c r="B970">
        <v>97</v>
      </c>
      <c r="C970">
        <v>106</v>
      </c>
      <c r="D970">
        <v>3204</v>
      </c>
      <c r="E970" s="1">
        <v>45631</v>
      </c>
      <c r="F970" s="1">
        <v>45636</v>
      </c>
      <c r="G970">
        <v>41511</v>
      </c>
      <c r="H970" t="s">
        <v>17</v>
      </c>
    </row>
    <row r="971" spans="1:8" x14ac:dyDescent="0.25">
      <c r="A971">
        <v>100980</v>
      </c>
      <c r="B971">
        <v>28</v>
      </c>
      <c r="C971">
        <v>905</v>
      </c>
      <c r="D971">
        <v>3176</v>
      </c>
      <c r="E971" s="1">
        <v>45604</v>
      </c>
      <c r="F971" s="1">
        <v>45606</v>
      </c>
      <c r="G971">
        <v>20246</v>
      </c>
      <c r="H971" t="s">
        <v>25</v>
      </c>
    </row>
    <row r="972" spans="1:8" x14ac:dyDescent="0.25">
      <c r="A972">
        <v>100981</v>
      </c>
      <c r="B972">
        <v>183</v>
      </c>
      <c r="C972">
        <v>228</v>
      </c>
      <c r="D972">
        <v>3316</v>
      </c>
      <c r="E972" s="1">
        <v>45786</v>
      </c>
      <c r="F972" s="1">
        <v>45789</v>
      </c>
      <c r="G972">
        <v>13846</v>
      </c>
      <c r="H972" t="s">
        <v>25</v>
      </c>
    </row>
    <row r="973" spans="1:8" x14ac:dyDescent="0.25">
      <c r="A973">
        <v>100982</v>
      </c>
      <c r="B973">
        <v>183</v>
      </c>
      <c r="C973">
        <v>1017</v>
      </c>
      <c r="D973">
        <v>3354</v>
      </c>
      <c r="E973" s="1">
        <v>45654</v>
      </c>
      <c r="F973" s="1">
        <v>45659</v>
      </c>
      <c r="G973">
        <v>24372</v>
      </c>
      <c r="H973" t="s">
        <v>17</v>
      </c>
    </row>
    <row r="974" spans="1:8" x14ac:dyDescent="0.25">
      <c r="A974">
        <v>100983</v>
      </c>
      <c r="B974">
        <v>39</v>
      </c>
      <c r="C974">
        <v>488</v>
      </c>
      <c r="D974">
        <v>3485</v>
      </c>
      <c r="E974" s="1">
        <v>45709</v>
      </c>
      <c r="F974" s="1">
        <v>45713</v>
      </c>
      <c r="G974">
        <v>27839</v>
      </c>
      <c r="H974" t="s">
        <v>25</v>
      </c>
    </row>
    <row r="975" spans="1:8" x14ac:dyDescent="0.25">
      <c r="A975">
        <v>100984</v>
      </c>
      <c r="B975">
        <v>87</v>
      </c>
      <c r="C975">
        <v>432</v>
      </c>
      <c r="D975">
        <v>3102</v>
      </c>
      <c r="E975" s="1">
        <v>45686</v>
      </c>
      <c r="F975" s="1">
        <v>45688</v>
      </c>
      <c r="G975">
        <v>16842</v>
      </c>
      <c r="H975" t="s">
        <v>25</v>
      </c>
    </row>
    <row r="976" spans="1:8" x14ac:dyDescent="0.25">
      <c r="A976">
        <v>100985</v>
      </c>
      <c r="B976">
        <v>193</v>
      </c>
      <c r="C976">
        <v>183</v>
      </c>
      <c r="D976">
        <v>3500</v>
      </c>
      <c r="E976" s="1">
        <v>45621</v>
      </c>
      <c r="F976" s="1">
        <v>45623</v>
      </c>
      <c r="G976">
        <v>22073</v>
      </c>
      <c r="H976" t="s">
        <v>25</v>
      </c>
    </row>
    <row r="977" spans="1:8" x14ac:dyDescent="0.25">
      <c r="A977">
        <v>100986</v>
      </c>
      <c r="B977">
        <v>384</v>
      </c>
      <c r="C977">
        <v>1403</v>
      </c>
      <c r="D977">
        <v>3011</v>
      </c>
      <c r="E977" s="1">
        <v>45755</v>
      </c>
      <c r="F977" s="1">
        <v>45758</v>
      </c>
      <c r="G977">
        <v>23453</v>
      </c>
      <c r="H977" t="s">
        <v>25</v>
      </c>
    </row>
    <row r="978" spans="1:8" x14ac:dyDescent="0.25">
      <c r="A978">
        <v>100987</v>
      </c>
      <c r="B978">
        <v>418</v>
      </c>
      <c r="C978">
        <v>380</v>
      </c>
      <c r="D978">
        <v>3120</v>
      </c>
      <c r="E978" s="1">
        <v>45735</v>
      </c>
      <c r="F978" s="1">
        <v>45737</v>
      </c>
      <c r="G978">
        <v>20773</v>
      </c>
      <c r="H978" t="s">
        <v>25</v>
      </c>
    </row>
    <row r="979" spans="1:8" x14ac:dyDescent="0.25">
      <c r="A979">
        <v>100988</v>
      </c>
      <c r="B979">
        <v>370</v>
      </c>
      <c r="C979">
        <v>1479</v>
      </c>
      <c r="D979">
        <v>3137</v>
      </c>
      <c r="E979" s="1">
        <v>45608</v>
      </c>
      <c r="F979" s="1">
        <v>45609</v>
      </c>
      <c r="G979">
        <v>15059</v>
      </c>
      <c r="H979" t="s">
        <v>10</v>
      </c>
    </row>
    <row r="980" spans="1:8" x14ac:dyDescent="0.25">
      <c r="A980">
        <v>100989</v>
      </c>
      <c r="B980">
        <v>163</v>
      </c>
      <c r="C980">
        <v>1300</v>
      </c>
      <c r="D980">
        <v>3426</v>
      </c>
      <c r="E980" s="1">
        <v>45733</v>
      </c>
      <c r="F980" s="1">
        <v>45736</v>
      </c>
      <c r="G980">
        <v>29385</v>
      </c>
      <c r="H980" t="s">
        <v>14</v>
      </c>
    </row>
    <row r="981" spans="1:8" x14ac:dyDescent="0.25">
      <c r="A981">
        <v>100990</v>
      </c>
      <c r="B981">
        <v>487</v>
      </c>
      <c r="C981">
        <v>545</v>
      </c>
      <c r="D981">
        <v>3344</v>
      </c>
      <c r="E981" s="1">
        <v>45716</v>
      </c>
      <c r="F981" s="1">
        <v>45725</v>
      </c>
      <c r="G981">
        <v>44805</v>
      </c>
      <c r="H981" t="s">
        <v>10</v>
      </c>
    </row>
    <row r="982" spans="1:8" x14ac:dyDescent="0.25">
      <c r="A982">
        <v>100991</v>
      </c>
      <c r="B982">
        <v>33</v>
      </c>
      <c r="C982">
        <v>1207</v>
      </c>
      <c r="D982">
        <v>3057</v>
      </c>
      <c r="E982" s="1">
        <v>45754</v>
      </c>
      <c r="F982" s="1">
        <v>45759</v>
      </c>
      <c r="G982">
        <v>52482</v>
      </c>
      <c r="H982" t="s">
        <v>17</v>
      </c>
    </row>
    <row r="983" spans="1:8" x14ac:dyDescent="0.25">
      <c r="A983">
        <v>100992</v>
      </c>
      <c r="B983">
        <v>423</v>
      </c>
      <c r="C983">
        <v>888</v>
      </c>
      <c r="D983">
        <v>3131</v>
      </c>
      <c r="E983" s="1">
        <v>45672</v>
      </c>
      <c r="F983" s="1">
        <v>45682</v>
      </c>
      <c r="G983">
        <v>77592</v>
      </c>
      <c r="H983" t="s">
        <v>17</v>
      </c>
    </row>
    <row r="984" spans="1:8" x14ac:dyDescent="0.25">
      <c r="A984">
        <v>100993</v>
      </c>
      <c r="B984">
        <v>500</v>
      </c>
      <c r="C984">
        <v>1246</v>
      </c>
      <c r="D984">
        <v>3203</v>
      </c>
      <c r="E984" s="1">
        <v>45633</v>
      </c>
      <c r="F984" s="1">
        <v>45636</v>
      </c>
      <c r="G984">
        <v>13785</v>
      </c>
      <c r="H984" t="s">
        <v>25</v>
      </c>
    </row>
    <row r="985" spans="1:8" x14ac:dyDescent="0.25">
      <c r="A985">
        <v>100994</v>
      </c>
      <c r="B985">
        <v>154</v>
      </c>
      <c r="C985">
        <v>1282</v>
      </c>
      <c r="D985">
        <v>3210</v>
      </c>
      <c r="E985" s="1">
        <v>45659</v>
      </c>
      <c r="F985" s="1">
        <v>45665</v>
      </c>
      <c r="G985">
        <v>26245</v>
      </c>
      <c r="H985" t="s">
        <v>10</v>
      </c>
    </row>
    <row r="986" spans="1:8" x14ac:dyDescent="0.25">
      <c r="A986">
        <v>100995</v>
      </c>
      <c r="B986">
        <v>394</v>
      </c>
      <c r="C986">
        <v>1053</v>
      </c>
      <c r="D986">
        <v>3095</v>
      </c>
      <c r="E986" s="1">
        <v>45651</v>
      </c>
      <c r="F986" s="1">
        <v>45661</v>
      </c>
      <c r="G986">
        <v>76719</v>
      </c>
      <c r="H986" t="s">
        <v>25</v>
      </c>
    </row>
    <row r="987" spans="1:8" x14ac:dyDescent="0.25">
      <c r="A987">
        <v>100996</v>
      </c>
      <c r="B987">
        <v>390</v>
      </c>
      <c r="C987">
        <v>937</v>
      </c>
      <c r="D987">
        <v>3146</v>
      </c>
      <c r="E987" s="1">
        <v>45724</v>
      </c>
      <c r="F987" s="1">
        <v>45727</v>
      </c>
      <c r="G987">
        <v>32207</v>
      </c>
      <c r="H987" t="s">
        <v>17</v>
      </c>
    </row>
    <row r="988" spans="1:8" x14ac:dyDescent="0.25">
      <c r="A988">
        <v>100997</v>
      </c>
      <c r="B988">
        <v>366</v>
      </c>
      <c r="C988">
        <v>366</v>
      </c>
      <c r="D988">
        <v>3320</v>
      </c>
      <c r="E988" s="1">
        <v>45623</v>
      </c>
      <c r="F988" s="1">
        <v>45625</v>
      </c>
      <c r="G988">
        <v>14845</v>
      </c>
      <c r="H988" t="s">
        <v>17</v>
      </c>
    </row>
    <row r="989" spans="1:8" x14ac:dyDescent="0.25">
      <c r="A989">
        <v>100998</v>
      </c>
      <c r="B989">
        <v>251</v>
      </c>
      <c r="C989">
        <v>1019</v>
      </c>
      <c r="D989">
        <v>3323</v>
      </c>
      <c r="E989" s="1">
        <v>45719</v>
      </c>
      <c r="F989" s="1">
        <v>45728</v>
      </c>
      <c r="G989">
        <v>77785</v>
      </c>
      <c r="H989" t="s">
        <v>17</v>
      </c>
    </row>
    <row r="990" spans="1:8" x14ac:dyDescent="0.25">
      <c r="A990">
        <v>100999</v>
      </c>
      <c r="B990">
        <v>323</v>
      </c>
      <c r="C990">
        <v>1286</v>
      </c>
      <c r="D990">
        <v>3211</v>
      </c>
      <c r="E990" s="1">
        <v>45740</v>
      </c>
      <c r="F990" s="1">
        <v>45745</v>
      </c>
      <c r="G990">
        <v>25085</v>
      </c>
      <c r="H990" t="s">
        <v>14</v>
      </c>
    </row>
    <row r="991" spans="1:8" x14ac:dyDescent="0.25">
      <c r="A991">
        <v>101000</v>
      </c>
      <c r="B991">
        <v>455</v>
      </c>
      <c r="C991">
        <v>1275</v>
      </c>
      <c r="D991">
        <v>3174</v>
      </c>
      <c r="E991" s="1">
        <v>45640</v>
      </c>
      <c r="F991" s="1">
        <v>45644</v>
      </c>
      <c r="G991">
        <v>36577</v>
      </c>
      <c r="H991" t="s">
        <v>25</v>
      </c>
    </row>
    <row r="992" spans="1:8" x14ac:dyDescent="0.25">
      <c r="A992">
        <v>101001</v>
      </c>
      <c r="B992">
        <v>204</v>
      </c>
      <c r="C992">
        <v>634</v>
      </c>
      <c r="D992">
        <v>3040</v>
      </c>
      <c r="E992" s="1">
        <v>45688</v>
      </c>
      <c r="F992" s="1">
        <v>45697</v>
      </c>
      <c r="G992">
        <v>33404</v>
      </c>
      <c r="H992" t="s">
        <v>25</v>
      </c>
    </row>
    <row r="993" spans="1:8" x14ac:dyDescent="0.25">
      <c r="A993">
        <v>101002</v>
      </c>
      <c r="B993">
        <v>105</v>
      </c>
      <c r="C993">
        <v>515</v>
      </c>
      <c r="D993">
        <v>3309</v>
      </c>
      <c r="E993" s="1">
        <v>45796</v>
      </c>
      <c r="F993" s="1">
        <v>45799</v>
      </c>
      <c r="G993">
        <v>33144</v>
      </c>
      <c r="H993" t="s">
        <v>25</v>
      </c>
    </row>
    <row r="994" spans="1:8" x14ac:dyDescent="0.25">
      <c r="A994">
        <v>101003</v>
      </c>
      <c r="B994">
        <v>387</v>
      </c>
      <c r="C994">
        <v>1446</v>
      </c>
      <c r="D994">
        <v>3126</v>
      </c>
      <c r="E994" s="1">
        <v>45612</v>
      </c>
      <c r="F994" s="1">
        <v>45615</v>
      </c>
      <c r="G994">
        <v>34176</v>
      </c>
      <c r="H994" t="s">
        <v>14</v>
      </c>
    </row>
    <row r="995" spans="1:8" x14ac:dyDescent="0.25">
      <c r="A995">
        <v>101004</v>
      </c>
      <c r="B995">
        <v>115</v>
      </c>
      <c r="C995">
        <v>779</v>
      </c>
      <c r="D995">
        <v>3198</v>
      </c>
      <c r="E995" s="1">
        <v>45674</v>
      </c>
      <c r="F995" s="1">
        <v>45678</v>
      </c>
      <c r="G995">
        <v>20254</v>
      </c>
      <c r="H995" t="s">
        <v>25</v>
      </c>
    </row>
    <row r="996" spans="1:8" x14ac:dyDescent="0.25">
      <c r="A996">
        <v>101005</v>
      </c>
      <c r="B996">
        <v>447</v>
      </c>
      <c r="C996">
        <v>1090</v>
      </c>
      <c r="D996">
        <v>3009</v>
      </c>
      <c r="E996" s="1">
        <v>45659</v>
      </c>
      <c r="F996" s="1">
        <v>45664</v>
      </c>
      <c r="G996">
        <v>21202</v>
      </c>
      <c r="H996" t="s">
        <v>25</v>
      </c>
    </row>
    <row r="997" spans="1:8" x14ac:dyDescent="0.25">
      <c r="A997">
        <v>101006</v>
      </c>
      <c r="B997">
        <v>282</v>
      </c>
      <c r="C997">
        <v>515</v>
      </c>
      <c r="D997">
        <v>3225</v>
      </c>
      <c r="E997" s="1">
        <v>45708</v>
      </c>
      <c r="F997" s="1">
        <v>45711</v>
      </c>
      <c r="G997">
        <v>30063</v>
      </c>
      <c r="H997" t="s">
        <v>25</v>
      </c>
    </row>
    <row r="998" spans="1:8" x14ac:dyDescent="0.25">
      <c r="A998">
        <v>101007</v>
      </c>
      <c r="B998">
        <v>378</v>
      </c>
      <c r="C998">
        <v>935</v>
      </c>
      <c r="D998">
        <v>3471</v>
      </c>
      <c r="E998" s="1">
        <v>45639</v>
      </c>
      <c r="F998" s="1">
        <v>45643</v>
      </c>
      <c r="G998">
        <v>23157</v>
      </c>
      <c r="H998" t="s">
        <v>14</v>
      </c>
    </row>
    <row r="999" spans="1:8" x14ac:dyDescent="0.25">
      <c r="A999">
        <v>101008</v>
      </c>
      <c r="B999">
        <v>290</v>
      </c>
      <c r="C999">
        <v>870</v>
      </c>
      <c r="D999">
        <v>3442</v>
      </c>
      <c r="E999" s="1">
        <v>45635</v>
      </c>
      <c r="F999" s="1">
        <v>45637</v>
      </c>
      <c r="G999">
        <v>18348</v>
      </c>
      <c r="H999" t="s">
        <v>25</v>
      </c>
    </row>
    <row r="1000" spans="1:8" x14ac:dyDescent="0.25">
      <c r="A1000">
        <v>101009</v>
      </c>
      <c r="B1000">
        <v>4</v>
      </c>
      <c r="C1000">
        <v>1363</v>
      </c>
      <c r="D1000">
        <v>3295</v>
      </c>
      <c r="E1000" s="1">
        <v>45696</v>
      </c>
      <c r="F1000" s="1">
        <v>45706</v>
      </c>
      <c r="G1000">
        <v>57827</v>
      </c>
      <c r="H1000" t="s">
        <v>25</v>
      </c>
    </row>
    <row r="1001" spans="1:8" x14ac:dyDescent="0.25">
      <c r="A1001">
        <v>101010</v>
      </c>
      <c r="B1001">
        <v>278</v>
      </c>
      <c r="C1001">
        <v>1360</v>
      </c>
      <c r="D1001">
        <v>3373</v>
      </c>
      <c r="E1001" s="1">
        <v>45776</v>
      </c>
      <c r="F1001" s="1">
        <v>45797</v>
      </c>
      <c r="G1001">
        <v>60570</v>
      </c>
      <c r="H1001" t="s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92"/>
  <sheetViews>
    <sheetView topLeftCell="A65" zoomScale="162" workbookViewId="0">
      <selection activeCell="C23" sqref="C23"/>
    </sheetView>
  </sheetViews>
  <sheetFormatPr defaultRowHeight="15" x14ac:dyDescent="0.25"/>
  <cols>
    <col min="1" max="1" width="11.42578125" customWidth="1"/>
    <col min="2" max="2" width="10" customWidth="1"/>
    <col min="3" max="3" width="18.7109375" bestFit="1" customWidth="1"/>
  </cols>
  <sheetData>
    <row r="1" spans="1:3" x14ac:dyDescent="0.25">
      <c r="A1" s="2" t="s">
        <v>1874</v>
      </c>
      <c r="B1" s="2" t="s">
        <v>36</v>
      </c>
      <c r="C1" s="2" t="s">
        <v>1875</v>
      </c>
    </row>
    <row r="2" spans="1:3" x14ac:dyDescent="0.25">
      <c r="A2">
        <v>1</v>
      </c>
      <c r="B2">
        <v>101</v>
      </c>
      <c r="C2" t="s">
        <v>1876</v>
      </c>
    </row>
    <row r="3" spans="1:3" x14ac:dyDescent="0.25">
      <c r="A3">
        <v>2</v>
      </c>
      <c r="B3">
        <v>101</v>
      </c>
      <c r="C3" t="s">
        <v>1876</v>
      </c>
    </row>
    <row r="4" spans="1:3" x14ac:dyDescent="0.25">
      <c r="A4">
        <v>3</v>
      </c>
      <c r="B4">
        <v>101</v>
      </c>
      <c r="C4" t="s">
        <v>1876</v>
      </c>
    </row>
    <row r="5" spans="1:3" x14ac:dyDescent="0.25">
      <c r="A5">
        <v>11</v>
      </c>
      <c r="B5">
        <v>101</v>
      </c>
      <c r="C5" t="s">
        <v>1877</v>
      </c>
    </row>
    <row r="6" spans="1:3" x14ac:dyDescent="0.25">
      <c r="A6">
        <v>12</v>
      </c>
      <c r="B6">
        <v>101</v>
      </c>
      <c r="C6" t="s">
        <v>1878</v>
      </c>
    </row>
    <row r="7" spans="1:3" x14ac:dyDescent="0.25">
      <c r="A7">
        <v>13</v>
      </c>
      <c r="B7">
        <v>101</v>
      </c>
      <c r="C7" t="s">
        <v>1879</v>
      </c>
    </row>
    <row r="8" spans="1:3" x14ac:dyDescent="0.25">
      <c r="A8">
        <v>14</v>
      </c>
      <c r="B8">
        <v>101</v>
      </c>
      <c r="C8" t="s">
        <v>1877</v>
      </c>
    </row>
    <row r="9" spans="1:3" x14ac:dyDescent="0.25">
      <c r="A9">
        <v>15</v>
      </c>
      <c r="B9">
        <v>101</v>
      </c>
      <c r="C9" t="s">
        <v>1878</v>
      </c>
    </row>
    <row r="10" spans="1:3" x14ac:dyDescent="0.25">
      <c r="A10">
        <v>16</v>
      </c>
      <c r="B10">
        <v>101</v>
      </c>
      <c r="C10" t="s">
        <v>1879</v>
      </c>
    </row>
    <row r="11" spans="1:3" x14ac:dyDescent="0.25">
      <c r="A11">
        <v>17</v>
      </c>
      <c r="B11">
        <v>101</v>
      </c>
      <c r="C11" t="s">
        <v>1877</v>
      </c>
    </row>
    <row r="12" spans="1:3" x14ac:dyDescent="0.25">
      <c r="A12">
        <v>18</v>
      </c>
      <c r="B12">
        <v>101</v>
      </c>
      <c r="C12" t="s">
        <v>1878</v>
      </c>
    </row>
    <row r="13" spans="1:3" x14ac:dyDescent="0.25">
      <c r="A13">
        <v>19</v>
      </c>
      <c r="B13">
        <v>101</v>
      </c>
      <c r="C13" t="s">
        <v>1879</v>
      </c>
    </row>
    <row r="14" spans="1:3" x14ac:dyDescent="0.25">
      <c r="A14">
        <v>20</v>
      </c>
      <c r="B14">
        <v>101</v>
      </c>
      <c r="C14" t="s">
        <v>1880</v>
      </c>
    </row>
    <row r="15" spans="1:3" x14ac:dyDescent="0.25">
      <c r="A15">
        <v>21</v>
      </c>
      <c r="B15">
        <v>102</v>
      </c>
      <c r="C15" t="s">
        <v>1876</v>
      </c>
    </row>
    <row r="16" spans="1:3" x14ac:dyDescent="0.25">
      <c r="A16">
        <v>22</v>
      </c>
      <c r="B16">
        <v>102</v>
      </c>
      <c r="C16" t="s">
        <v>1876</v>
      </c>
    </row>
    <row r="17" spans="1:3" x14ac:dyDescent="0.25">
      <c r="A17">
        <v>29</v>
      </c>
      <c r="B17">
        <v>102</v>
      </c>
      <c r="C17" t="s">
        <v>1877</v>
      </c>
    </row>
    <row r="18" spans="1:3" x14ac:dyDescent="0.25">
      <c r="A18">
        <v>30</v>
      </c>
      <c r="B18">
        <v>102</v>
      </c>
      <c r="C18" t="s">
        <v>1878</v>
      </c>
    </row>
    <row r="19" spans="1:3" x14ac:dyDescent="0.25">
      <c r="A19">
        <v>31</v>
      </c>
      <c r="B19">
        <v>102</v>
      </c>
      <c r="C19" t="s">
        <v>1879</v>
      </c>
    </row>
    <row r="20" spans="1:3" x14ac:dyDescent="0.25">
      <c r="A20">
        <v>32</v>
      </c>
      <c r="B20">
        <v>102</v>
      </c>
      <c r="C20" t="s">
        <v>1877</v>
      </c>
    </row>
    <row r="21" spans="1:3" x14ac:dyDescent="0.25">
      <c r="A21">
        <v>33</v>
      </c>
      <c r="B21">
        <v>102</v>
      </c>
      <c r="C21" t="s">
        <v>1878</v>
      </c>
    </row>
    <row r="22" spans="1:3" x14ac:dyDescent="0.25">
      <c r="A22">
        <v>34</v>
      </c>
      <c r="B22">
        <v>102</v>
      </c>
      <c r="C22" t="s">
        <v>1879</v>
      </c>
    </row>
    <row r="23" spans="1:3" x14ac:dyDescent="0.25">
      <c r="A23">
        <v>35</v>
      </c>
      <c r="B23">
        <v>102</v>
      </c>
      <c r="C23" t="s">
        <v>1880</v>
      </c>
    </row>
    <row r="24" spans="1:3" x14ac:dyDescent="0.25">
      <c r="A24">
        <v>36</v>
      </c>
      <c r="B24">
        <v>103</v>
      </c>
      <c r="C24" t="s">
        <v>1876</v>
      </c>
    </row>
    <row r="25" spans="1:3" x14ac:dyDescent="0.25">
      <c r="A25">
        <v>44</v>
      </c>
      <c r="B25">
        <v>103</v>
      </c>
      <c r="C25" t="s">
        <v>1877</v>
      </c>
    </row>
    <row r="26" spans="1:3" x14ac:dyDescent="0.25">
      <c r="A26">
        <v>45</v>
      </c>
      <c r="B26">
        <v>103</v>
      </c>
      <c r="C26" t="s">
        <v>1878</v>
      </c>
    </row>
    <row r="27" spans="1:3" x14ac:dyDescent="0.25">
      <c r="A27">
        <v>46</v>
      </c>
      <c r="B27">
        <v>103</v>
      </c>
      <c r="C27" t="s">
        <v>1879</v>
      </c>
    </row>
    <row r="28" spans="1:3" x14ac:dyDescent="0.25">
      <c r="A28">
        <v>47</v>
      </c>
      <c r="B28">
        <v>103</v>
      </c>
      <c r="C28" t="s">
        <v>1877</v>
      </c>
    </row>
    <row r="29" spans="1:3" x14ac:dyDescent="0.25">
      <c r="A29">
        <v>48</v>
      </c>
      <c r="B29">
        <v>103</v>
      </c>
      <c r="C29" t="s">
        <v>1878</v>
      </c>
    </row>
    <row r="30" spans="1:3" x14ac:dyDescent="0.25">
      <c r="A30">
        <v>49</v>
      </c>
      <c r="B30">
        <v>103</v>
      </c>
      <c r="C30" t="s">
        <v>1879</v>
      </c>
    </row>
    <row r="31" spans="1:3" x14ac:dyDescent="0.25">
      <c r="A31">
        <v>50</v>
      </c>
      <c r="B31">
        <v>103</v>
      </c>
      <c r="C31" t="s">
        <v>1880</v>
      </c>
    </row>
    <row r="32" spans="1:3" x14ac:dyDescent="0.25">
      <c r="A32">
        <v>51</v>
      </c>
      <c r="B32">
        <v>104</v>
      </c>
      <c r="C32" t="s">
        <v>1876</v>
      </c>
    </row>
    <row r="33" spans="1:3" x14ac:dyDescent="0.25">
      <c r="A33">
        <v>52</v>
      </c>
      <c r="B33">
        <v>104</v>
      </c>
      <c r="C33" t="s">
        <v>1876</v>
      </c>
    </row>
    <row r="34" spans="1:3" x14ac:dyDescent="0.25">
      <c r="A34">
        <v>59</v>
      </c>
      <c r="B34">
        <v>104</v>
      </c>
      <c r="C34" t="s">
        <v>1877</v>
      </c>
    </row>
    <row r="35" spans="1:3" x14ac:dyDescent="0.25">
      <c r="A35">
        <v>60</v>
      </c>
      <c r="B35">
        <v>104</v>
      </c>
      <c r="C35" t="s">
        <v>1878</v>
      </c>
    </row>
    <row r="36" spans="1:3" x14ac:dyDescent="0.25">
      <c r="A36">
        <v>61</v>
      </c>
      <c r="B36">
        <v>104</v>
      </c>
      <c r="C36" t="s">
        <v>1879</v>
      </c>
    </row>
    <row r="37" spans="1:3" x14ac:dyDescent="0.25">
      <c r="A37">
        <v>62</v>
      </c>
      <c r="B37">
        <v>104</v>
      </c>
      <c r="C37" t="s">
        <v>1877</v>
      </c>
    </row>
    <row r="38" spans="1:3" x14ac:dyDescent="0.25">
      <c r="A38">
        <v>63</v>
      </c>
      <c r="B38">
        <v>104</v>
      </c>
      <c r="C38" t="s">
        <v>1878</v>
      </c>
    </row>
    <row r="39" spans="1:3" x14ac:dyDescent="0.25">
      <c r="A39">
        <v>64</v>
      </c>
      <c r="B39">
        <v>104</v>
      </c>
      <c r="C39" t="s">
        <v>1879</v>
      </c>
    </row>
    <row r="40" spans="1:3" x14ac:dyDescent="0.25">
      <c r="A40">
        <v>65</v>
      </c>
      <c r="B40">
        <v>104</v>
      </c>
      <c r="C40" t="s">
        <v>1880</v>
      </c>
    </row>
    <row r="41" spans="1:3" x14ac:dyDescent="0.25">
      <c r="A41">
        <v>66</v>
      </c>
      <c r="B41">
        <v>105</v>
      </c>
      <c r="C41" t="s">
        <v>1876</v>
      </c>
    </row>
    <row r="42" spans="1:3" x14ac:dyDescent="0.25">
      <c r="A42">
        <v>67</v>
      </c>
      <c r="B42">
        <v>105</v>
      </c>
      <c r="C42" t="s">
        <v>1876</v>
      </c>
    </row>
    <row r="43" spans="1:3" x14ac:dyDescent="0.25">
      <c r="A43">
        <v>74</v>
      </c>
      <c r="B43">
        <v>105</v>
      </c>
      <c r="C43" t="s">
        <v>1877</v>
      </c>
    </row>
    <row r="44" spans="1:3" x14ac:dyDescent="0.25">
      <c r="A44">
        <v>75</v>
      </c>
      <c r="B44">
        <v>105</v>
      </c>
      <c r="C44" t="s">
        <v>1878</v>
      </c>
    </row>
    <row r="45" spans="1:3" x14ac:dyDescent="0.25">
      <c r="A45">
        <v>76</v>
      </c>
      <c r="B45">
        <v>105</v>
      </c>
      <c r="C45" t="s">
        <v>1879</v>
      </c>
    </row>
    <row r="46" spans="1:3" x14ac:dyDescent="0.25">
      <c r="A46">
        <v>77</v>
      </c>
      <c r="B46">
        <v>105</v>
      </c>
      <c r="C46" t="s">
        <v>1877</v>
      </c>
    </row>
    <row r="47" spans="1:3" x14ac:dyDescent="0.25">
      <c r="A47">
        <v>78</v>
      </c>
      <c r="B47">
        <v>105</v>
      </c>
      <c r="C47" t="s">
        <v>1878</v>
      </c>
    </row>
    <row r="48" spans="1:3" x14ac:dyDescent="0.25">
      <c r="A48">
        <v>79</v>
      </c>
      <c r="B48">
        <v>105</v>
      </c>
      <c r="C48" t="s">
        <v>1879</v>
      </c>
    </row>
    <row r="49" spans="1:3" x14ac:dyDescent="0.25">
      <c r="A49">
        <v>80</v>
      </c>
      <c r="B49">
        <v>105</v>
      </c>
      <c r="C49" t="s">
        <v>1880</v>
      </c>
    </row>
    <row r="50" spans="1:3" x14ac:dyDescent="0.25">
      <c r="A50">
        <v>81</v>
      </c>
      <c r="B50">
        <v>106</v>
      </c>
      <c r="C50" t="s">
        <v>1876</v>
      </c>
    </row>
    <row r="51" spans="1:3" x14ac:dyDescent="0.25">
      <c r="A51">
        <v>89</v>
      </c>
      <c r="B51">
        <v>106</v>
      </c>
      <c r="C51" t="s">
        <v>1877</v>
      </c>
    </row>
    <row r="52" spans="1:3" x14ac:dyDescent="0.25">
      <c r="A52">
        <v>90</v>
      </c>
      <c r="B52">
        <v>106</v>
      </c>
      <c r="C52" t="s">
        <v>1878</v>
      </c>
    </row>
    <row r="53" spans="1:3" x14ac:dyDescent="0.25">
      <c r="A53">
        <v>91</v>
      </c>
      <c r="B53">
        <v>106</v>
      </c>
      <c r="C53" t="s">
        <v>1879</v>
      </c>
    </row>
    <row r="54" spans="1:3" x14ac:dyDescent="0.25">
      <c r="A54">
        <v>92</v>
      </c>
      <c r="B54">
        <v>106</v>
      </c>
      <c r="C54" t="s">
        <v>1877</v>
      </c>
    </row>
    <row r="55" spans="1:3" x14ac:dyDescent="0.25">
      <c r="A55">
        <v>93</v>
      </c>
      <c r="B55">
        <v>106</v>
      </c>
      <c r="C55" t="s">
        <v>1878</v>
      </c>
    </row>
    <row r="56" spans="1:3" x14ac:dyDescent="0.25">
      <c r="A56">
        <v>94</v>
      </c>
      <c r="B56">
        <v>106</v>
      </c>
      <c r="C56" t="s">
        <v>1879</v>
      </c>
    </row>
    <row r="57" spans="1:3" x14ac:dyDescent="0.25">
      <c r="A57">
        <v>95</v>
      </c>
      <c r="B57">
        <v>106</v>
      </c>
      <c r="C57" t="s">
        <v>1880</v>
      </c>
    </row>
    <row r="58" spans="1:3" x14ac:dyDescent="0.25">
      <c r="A58">
        <v>96</v>
      </c>
      <c r="B58">
        <v>107</v>
      </c>
      <c r="C58" t="s">
        <v>1876</v>
      </c>
    </row>
    <row r="59" spans="1:3" x14ac:dyDescent="0.25">
      <c r="A59">
        <v>97</v>
      </c>
      <c r="B59">
        <v>107</v>
      </c>
      <c r="C59" t="s">
        <v>1876</v>
      </c>
    </row>
    <row r="60" spans="1:3" x14ac:dyDescent="0.25">
      <c r="A60">
        <v>98</v>
      </c>
      <c r="B60">
        <v>107</v>
      </c>
      <c r="C60" t="s">
        <v>1876</v>
      </c>
    </row>
    <row r="61" spans="1:3" x14ac:dyDescent="0.25">
      <c r="A61">
        <v>99</v>
      </c>
      <c r="B61">
        <v>107</v>
      </c>
      <c r="C61" t="s">
        <v>1876</v>
      </c>
    </row>
    <row r="62" spans="1:3" x14ac:dyDescent="0.25">
      <c r="A62">
        <v>100</v>
      </c>
      <c r="B62">
        <v>107</v>
      </c>
      <c r="C62" t="s">
        <v>1876</v>
      </c>
    </row>
    <row r="63" spans="1:3" x14ac:dyDescent="0.25">
      <c r="A63">
        <v>101</v>
      </c>
      <c r="B63">
        <v>107</v>
      </c>
      <c r="C63" t="s">
        <v>1876</v>
      </c>
    </row>
    <row r="64" spans="1:3" x14ac:dyDescent="0.25">
      <c r="A64">
        <v>102</v>
      </c>
      <c r="B64">
        <v>107</v>
      </c>
      <c r="C64" t="s">
        <v>1876</v>
      </c>
    </row>
    <row r="65" spans="1:3" x14ac:dyDescent="0.25">
      <c r="A65">
        <v>103</v>
      </c>
      <c r="B65">
        <v>107</v>
      </c>
      <c r="C65" t="s">
        <v>1876</v>
      </c>
    </row>
    <row r="66" spans="1:3" x14ac:dyDescent="0.25">
      <c r="A66">
        <v>104</v>
      </c>
      <c r="B66">
        <v>107</v>
      </c>
      <c r="C66" t="s">
        <v>1876</v>
      </c>
    </row>
    <row r="67" spans="1:3" x14ac:dyDescent="0.25">
      <c r="A67">
        <v>105</v>
      </c>
      <c r="B67">
        <v>107</v>
      </c>
      <c r="C67" t="s">
        <v>1876</v>
      </c>
    </row>
    <row r="68" spans="1:3" x14ac:dyDescent="0.25">
      <c r="A68">
        <v>106</v>
      </c>
      <c r="B68">
        <v>107</v>
      </c>
      <c r="C68" t="s">
        <v>1876</v>
      </c>
    </row>
    <row r="69" spans="1:3" x14ac:dyDescent="0.25">
      <c r="A69">
        <v>107</v>
      </c>
      <c r="B69">
        <v>107</v>
      </c>
      <c r="C69" t="s">
        <v>1876</v>
      </c>
    </row>
    <row r="70" spans="1:3" x14ac:dyDescent="0.25">
      <c r="A70">
        <v>108</v>
      </c>
      <c r="B70">
        <v>107</v>
      </c>
      <c r="C70" t="s">
        <v>1876</v>
      </c>
    </row>
    <row r="71" spans="1:3" x14ac:dyDescent="0.25">
      <c r="A71">
        <v>109</v>
      </c>
      <c r="B71">
        <v>107</v>
      </c>
      <c r="C71" t="s">
        <v>1876</v>
      </c>
    </row>
    <row r="72" spans="1:3" x14ac:dyDescent="0.25">
      <c r="A72">
        <v>110</v>
      </c>
      <c r="B72">
        <v>107</v>
      </c>
      <c r="C72" t="s">
        <v>1876</v>
      </c>
    </row>
    <row r="73" spans="1:3" x14ac:dyDescent="0.25">
      <c r="A73">
        <v>111</v>
      </c>
      <c r="B73">
        <v>107</v>
      </c>
      <c r="C73" t="s">
        <v>1876</v>
      </c>
    </row>
    <row r="74" spans="1:3" x14ac:dyDescent="0.25">
      <c r="A74">
        <v>112</v>
      </c>
      <c r="B74">
        <v>107</v>
      </c>
      <c r="C74" t="s">
        <v>1876</v>
      </c>
    </row>
    <row r="75" spans="1:3" x14ac:dyDescent="0.25">
      <c r="A75">
        <v>113</v>
      </c>
      <c r="B75">
        <v>107</v>
      </c>
      <c r="C75" t="s">
        <v>1876</v>
      </c>
    </row>
    <row r="76" spans="1:3" x14ac:dyDescent="0.25">
      <c r="A76">
        <v>114</v>
      </c>
      <c r="B76">
        <v>107</v>
      </c>
      <c r="C76" t="s">
        <v>1876</v>
      </c>
    </row>
    <row r="77" spans="1:3" x14ac:dyDescent="0.25">
      <c r="A77">
        <v>115</v>
      </c>
      <c r="B77">
        <v>107</v>
      </c>
      <c r="C77" t="s">
        <v>1876</v>
      </c>
    </row>
    <row r="78" spans="1:3" x14ac:dyDescent="0.25">
      <c r="A78">
        <v>116</v>
      </c>
      <c r="B78">
        <v>107</v>
      </c>
      <c r="C78" t="s">
        <v>1876</v>
      </c>
    </row>
    <row r="79" spans="1:3" x14ac:dyDescent="0.25">
      <c r="A79">
        <v>117</v>
      </c>
      <c r="B79">
        <v>107</v>
      </c>
      <c r="C79" t="s">
        <v>1877</v>
      </c>
    </row>
    <row r="80" spans="1:3" x14ac:dyDescent="0.25">
      <c r="A80">
        <v>118</v>
      </c>
      <c r="B80">
        <v>107</v>
      </c>
      <c r="C80" t="s">
        <v>1878</v>
      </c>
    </row>
    <row r="81" spans="1:3" x14ac:dyDescent="0.25">
      <c r="A81">
        <v>119</v>
      </c>
      <c r="B81">
        <v>107</v>
      </c>
      <c r="C81" t="s">
        <v>1879</v>
      </c>
    </row>
    <row r="82" spans="1:3" x14ac:dyDescent="0.25">
      <c r="A82">
        <v>120</v>
      </c>
      <c r="B82">
        <v>107</v>
      </c>
      <c r="C82" t="s">
        <v>1877</v>
      </c>
    </row>
    <row r="83" spans="1:3" x14ac:dyDescent="0.25">
      <c r="A83">
        <v>121</v>
      </c>
      <c r="B83">
        <v>107</v>
      </c>
      <c r="C83" t="s">
        <v>1878</v>
      </c>
    </row>
    <row r="84" spans="1:3" x14ac:dyDescent="0.25">
      <c r="A84">
        <v>122</v>
      </c>
      <c r="B84">
        <v>107</v>
      </c>
      <c r="C84" t="s">
        <v>1879</v>
      </c>
    </row>
    <row r="85" spans="1:3" x14ac:dyDescent="0.25">
      <c r="A85">
        <v>123</v>
      </c>
      <c r="B85">
        <v>107</v>
      </c>
      <c r="C85" t="s">
        <v>1880</v>
      </c>
    </row>
    <row r="86" spans="1:3" x14ac:dyDescent="0.25">
      <c r="A86">
        <v>124</v>
      </c>
      <c r="B86">
        <v>107</v>
      </c>
      <c r="C86" t="s">
        <v>1880</v>
      </c>
    </row>
    <row r="87" spans="1:3" x14ac:dyDescent="0.25">
      <c r="A87">
        <v>125</v>
      </c>
      <c r="B87">
        <v>107</v>
      </c>
      <c r="C87" t="s">
        <v>1880</v>
      </c>
    </row>
    <row r="88" spans="1:3" x14ac:dyDescent="0.25">
      <c r="A88">
        <v>126</v>
      </c>
      <c r="B88">
        <v>108</v>
      </c>
      <c r="C88" t="s">
        <v>1876</v>
      </c>
    </row>
    <row r="89" spans="1:3" x14ac:dyDescent="0.25">
      <c r="A89">
        <v>127</v>
      </c>
      <c r="B89">
        <v>108</v>
      </c>
      <c r="C89" t="s">
        <v>1876</v>
      </c>
    </row>
    <row r="90" spans="1:3" x14ac:dyDescent="0.25">
      <c r="A90">
        <v>128</v>
      </c>
      <c r="B90">
        <v>108</v>
      </c>
      <c r="C90" t="s">
        <v>1876</v>
      </c>
    </row>
    <row r="91" spans="1:3" x14ac:dyDescent="0.25">
      <c r="A91">
        <v>129</v>
      </c>
      <c r="B91">
        <v>108</v>
      </c>
      <c r="C91" t="s">
        <v>1876</v>
      </c>
    </row>
    <row r="92" spans="1:3" x14ac:dyDescent="0.25">
      <c r="A92">
        <v>130</v>
      </c>
      <c r="B92">
        <v>108</v>
      </c>
      <c r="C92" t="s">
        <v>1876</v>
      </c>
    </row>
    <row r="93" spans="1:3" x14ac:dyDescent="0.25">
      <c r="A93">
        <v>131</v>
      </c>
      <c r="B93">
        <v>108</v>
      </c>
      <c r="C93" t="s">
        <v>1876</v>
      </c>
    </row>
    <row r="94" spans="1:3" x14ac:dyDescent="0.25">
      <c r="A94">
        <v>132</v>
      </c>
      <c r="B94">
        <v>108</v>
      </c>
      <c r="C94" t="s">
        <v>1876</v>
      </c>
    </row>
    <row r="95" spans="1:3" x14ac:dyDescent="0.25">
      <c r="A95">
        <v>137</v>
      </c>
      <c r="B95">
        <v>108</v>
      </c>
      <c r="C95" t="s">
        <v>1877</v>
      </c>
    </row>
    <row r="96" spans="1:3" x14ac:dyDescent="0.25">
      <c r="A96">
        <v>138</v>
      </c>
      <c r="B96">
        <v>108</v>
      </c>
      <c r="C96" t="s">
        <v>1878</v>
      </c>
    </row>
    <row r="97" spans="1:3" x14ac:dyDescent="0.25">
      <c r="A97">
        <v>139</v>
      </c>
      <c r="B97">
        <v>108</v>
      </c>
      <c r="C97" t="s">
        <v>1879</v>
      </c>
    </row>
    <row r="98" spans="1:3" x14ac:dyDescent="0.25">
      <c r="A98">
        <v>140</v>
      </c>
      <c r="B98">
        <v>108</v>
      </c>
      <c r="C98" t="s">
        <v>1877</v>
      </c>
    </row>
    <row r="99" spans="1:3" x14ac:dyDescent="0.25">
      <c r="A99">
        <v>141</v>
      </c>
      <c r="B99">
        <v>108</v>
      </c>
      <c r="C99" t="s">
        <v>1878</v>
      </c>
    </row>
    <row r="100" spans="1:3" x14ac:dyDescent="0.25">
      <c r="A100">
        <v>142</v>
      </c>
      <c r="B100">
        <v>108</v>
      </c>
      <c r="C100" t="s">
        <v>1879</v>
      </c>
    </row>
    <row r="101" spans="1:3" x14ac:dyDescent="0.25">
      <c r="A101">
        <v>143</v>
      </c>
      <c r="B101">
        <v>108</v>
      </c>
      <c r="C101" t="s">
        <v>1880</v>
      </c>
    </row>
    <row r="102" spans="1:3" x14ac:dyDescent="0.25">
      <c r="A102">
        <v>144</v>
      </c>
      <c r="B102">
        <v>108</v>
      </c>
      <c r="C102" t="s">
        <v>1880</v>
      </c>
    </row>
    <row r="103" spans="1:3" x14ac:dyDescent="0.25">
      <c r="A103">
        <v>145</v>
      </c>
      <c r="B103">
        <v>108</v>
      </c>
      <c r="C103" t="s">
        <v>1880</v>
      </c>
    </row>
    <row r="104" spans="1:3" x14ac:dyDescent="0.25">
      <c r="A104">
        <v>146</v>
      </c>
      <c r="B104">
        <v>109</v>
      </c>
      <c r="C104" t="s">
        <v>1876</v>
      </c>
    </row>
    <row r="105" spans="1:3" x14ac:dyDescent="0.25">
      <c r="A105">
        <v>147</v>
      </c>
      <c r="B105">
        <v>109</v>
      </c>
      <c r="C105" t="s">
        <v>1876</v>
      </c>
    </row>
    <row r="106" spans="1:3" x14ac:dyDescent="0.25">
      <c r="A106">
        <v>154</v>
      </c>
      <c r="B106">
        <v>109</v>
      </c>
      <c r="C106" t="s">
        <v>1877</v>
      </c>
    </row>
    <row r="107" spans="1:3" x14ac:dyDescent="0.25">
      <c r="A107">
        <v>155</v>
      </c>
      <c r="B107">
        <v>109</v>
      </c>
      <c r="C107" t="s">
        <v>1878</v>
      </c>
    </row>
    <row r="108" spans="1:3" x14ac:dyDescent="0.25">
      <c r="A108">
        <v>156</v>
      </c>
      <c r="B108">
        <v>109</v>
      </c>
      <c r="C108" t="s">
        <v>1879</v>
      </c>
    </row>
    <row r="109" spans="1:3" x14ac:dyDescent="0.25">
      <c r="A109">
        <v>157</v>
      </c>
      <c r="B109">
        <v>109</v>
      </c>
      <c r="C109" t="s">
        <v>1877</v>
      </c>
    </row>
    <row r="110" spans="1:3" x14ac:dyDescent="0.25">
      <c r="A110">
        <v>158</v>
      </c>
      <c r="B110">
        <v>109</v>
      </c>
      <c r="C110" t="s">
        <v>1878</v>
      </c>
    </row>
    <row r="111" spans="1:3" x14ac:dyDescent="0.25">
      <c r="A111">
        <v>159</v>
      </c>
      <c r="B111">
        <v>109</v>
      </c>
      <c r="C111" t="s">
        <v>1879</v>
      </c>
    </row>
    <row r="112" spans="1:3" x14ac:dyDescent="0.25">
      <c r="A112">
        <v>160</v>
      </c>
      <c r="B112">
        <v>109</v>
      </c>
      <c r="C112" t="s">
        <v>1880</v>
      </c>
    </row>
    <row r="113" spans="1:3" x14ac:dyDescent="0.25">
      <c r="A113">
        <v>161</v>
      </c>
      <c r="B113">
        <v>110</v>
      </c>
      <c r="C113" t="s">
        <v>1876</v>
      </c>
    </row>
    <row r="114" spans="1:3" x14ac:dyDescent="0.25">
      <c r="A114">
        <v>162</v>
      </c>
      <c r="B114">
        <v>110</v>
      </c>
      <c r="C114" t="s">
        <v>1876</v>
      </c>
    </row>
    <row r="115" spans="1:3" x14ac:dyDescent="0.25">
      <c r="A115">
        <v>163</v>
      </c>
      <c r="B115">
        <v>110</v>
      </c>
      <c r="C115" t="s">
        <v>1876</v>
      </c>
    </row>
    <row r="116" spans="1:3" x14ac:dyDescent="0.25">
      <c r="A116">
        <v>164</v>
      </c>
      <c r="B116">
        <v>110</v>
      </c>
      <c r="C116" t="s">
        <v>1876</v>
      </c>
    </row>
    <row r="117" spans="1:3" x14ac:dyDescent="0.25">
      <c r="A117">
        <v>169</v>
      </c>
      <c r="B117">
        <v>110</v>
      </c>
      <c r="C117" t="s">
        <v>1877</v>
      </c>
    </row>
    <row r="118" spans="1:3" x14ac:dyDescent="0.25">
      <c r="A118">
        <v>170</v>
      </c>
      <c r="B118">
        <v>110</v>
      </c>
      <c r="C118" t="s">
        <v>1878</v>
      </c>
    </row>
    <row r="119" spans="1:3" x14ac:dyDescent="0.25">
      <c r="A119">
        <v>171</v>
      </c>
      <c r="B119">
        <v>110</v>
      </c>
      <c r="C119" t="s">
        <v>1879</v>
      </c>
    </row>
    <row r="120" spans="1:3" x14ac:dyDescent="0.25">
      <c r="A120">
        <v>172</v>
      </c>
      <c r="B120">
        <v>110</v>
      </c>
      <c r="C120" t="s">
        <v>1877</v>
      </c>
    </row>
    <row r="121" spans="1:3" x14ac:dyDescent="0.25">
      <c r="A121">
        <v>173</v>
      </c>
      <c r="B121">
        <v>110</v>
      </c>
      <c r="C121" t="s">
        <v>1878</v>
      </c>
    </row>
    <row r="122" spans="1:3" x14ac:dyDescent="0.25">
      <c r="A122">
        <v>174</v>
      </c>
      <c r="B122">
        <v>110</v>
      </c>
      <c r="C122" t="s">
        <v>1879</v>
      </c>
    </row>
    <row r="123" spans="1:3" x14ac:dyDescent="0.25">
      <c r="A123">
        <v>175</v>
      </c>
      <c r="B123">
        <v>110</v>
      </c>
      <c r="C123" t="s">
        <v>1880</v>
      </c>
    </row>
    <row r="124" spans="1:3" x14ac:dyDescent="0.25">
      <c r="A124">
        <v>176</v>
      </c>
      <c r="B124">
        <v>111</v>
      </c>
      <c r="C124" t="s">
        <v>1876</v>
      </c>
    </row>
    <row r="125" spans="1:3" x14ac:dyDescent="0.25">
      <c r="A125">
        <v>177</v>
      </c>
      <c r="B125">
        <v>111</v>
      </c>
      <c r="C125" t="s">
        <v>1876</v>
      </c>
    </row>
    <row r="126" spans="1:3" x14ac:dyDescent="0.25">
      <c r="A126">
        <v>185</v>
      </c>
      <c r="B126">
        <v>111</v>
      </c>
      <c r="C126" t="s">
        <v>1877</v>
      </c>
    </row>
    <row r="127" spans="1:3" x14ac:dyDescent="0.25">
      <c r="A127">
        <v>186</v>
      </c>
      <c r="B127">
        <v>111</v>
      </c>
      <c r="C127" t="s">
        <v>1878</v>
      </c>
    </row>
    <row r="128" spans="1:3" x14ac:dyDescent="0.25">
      <c r="A128">
        <v>187</v>
      </c>
      <c r="B128">
        <v>111</v>
      </c>
      <c r="C128" t="s">
        <v>1879</v>
      </c>
    </row>
    <row r="129" spans="1:3" x14ac:dyDescent="0.25">
      <c r="A129">
        <v>188</v>
      </c>
      <c r="B129">
        <v>111</v>
      </c>
      <c r="C129" t="s">
        <v>1877</v>
      </c>
    </row>
    <row r="130" spans="1:3" x14ac:dyDescent="0.25">
      <c r="A130">
        <v>189</v>
      </c>
      <c r="B130">
        <v>111</v>
      </c>
      <c r="C130" t="s">
        <v>1878</v>
      </c>
    </row>
    <row r="131" spans="1:3" x14ac:dyDescent="0.25">
      <c r="A131">
        <v>190</v>
      </c>
      <c r="B131">
        <v>111</v>
      </c>
      <c r="C131" t="s">
        <v>1879</v>
      </c>
    </row>
    <row r="132" spans="1:3" x14ac:dyDescent="0.25">
      <c r="A132">
        <v>191</v>
      </c>
      <c r="B132">
        <v>112</v>
      </c>
      <c r="C132" t="s">
        <v>1876</v>
      </c>
    </row>
    <row r="133" spans="1:3" x14ac:dyDescent="0.25">
      <c r="A133">
        <v>192</v>
      </c>
      <c r="B133">
        <v>112</v>
      </c>
      <c r="C133" t="s">
        <v>1876</v>
      </c>
    </row>
    <row r="134" spans="1:3" x14ac:dyDescent="0.25">
      <c r="A134">
        <v>193</v>
      </c>
      <c r="B134">
        <v>112</v>
      </c>
      <c r="C134" t="s">
        <v>1876</v>
      </c>
    </row>
    <row r="135" spans="1:3" x14ac:dyDescent="0.25">
      <c r="A135">
        <v>199</v>
      </c>
      <c r="B135">
        <v>112</v>
      </c>
      <c r="C135" t="s">
        <v>1877</v>
      </c>
    </row>
    <row r="136" spans="1:3" x14ac:dyDescent="0.25">
      <c r="A136">
        <v>200</v>
      </c>
      <c r="B136">
        <v>112</v>
      </c>
      <c r="C136" t="s">
        <v>1878</v>
      </c>
    </row>
    <row r="137" spans="1:3" x14ac:dyDescent="0.25">
      <c r="A137">
        <v>201</v>
      </c>
      <c r="B137">
        <v>112</v>
      </c>
      <c r="C137" t="s">
        <v>1879</v>
      </c>
    </row>
    <row r="138" spans="1:3" x14ac:dyDescent="0.25">
      <c r="A138">
        <v>202</v>
      </c>
      <c r="B138">
        <v>112</v>
      </c>
      <c r="C138" t="s">
        <v>1877</v>
      </c>
    </row>
    <row r="139" spans="1:3" x14ac:dyDescent="0.25">
      <c r="A139">
        <v>203</v>
      </c>
      <c r="B139">
        <v>112</v>
      </c>
      <c r="C139" t="s">
        <v>1878</v>
      </c>
    </row>
    <row r="140" spans="1:3" x14ac:dyDescent="0.25">
      <c r="A140">
        <v>204</v>
      </c>
      <c r="B140">
        <v>112</v>
      </c>
      <c r="C140" t="s">
        <v>1879</v>
      </c>
    </row>
    <row r="141" spans="1:3" x14ac:dyDescent="0.25">
      <c r="A141">
        <v>205</v>
      </c>
      <c r="B141">
        <v>112</v>
      </c>
      <c r="C141" t="s">
        <v>1880</v>
      </c>
    </row>
    <row r="142" spans="1:3" x14ac:dyDescent="0.25">
      <c r="A142">
        <v>206</v>
      </c>
      <c r="B142">
        <v>113</v>
      </c>
      <c r="C142" t="s">
        <v>1876</v>
      </c>
    </row>
    <row r="143" spans="1:3" x14ac:dyDescent="0.25">
      <c r="A143">
        <v>207</v>
      </c>
      <c r="B143">
        <v>113</v>
      </c>
      <c r="C143" t="s">
        <v>1876</v>
      </c>
    </row>
    <row r="144" spans="1:3" x14ac:dyDescent="0.25">
      <c r="A144">
        <v>214</v>
      </c>
      <c r="B144">
        <v>113</v>
      </c>
      <c r="C144" t="s">
        <v>1877</v>
      </c>
    </row>
    <row r="145" spans="1:3" x14ac:dyDescent="0.25">
      <c r="A145">
        <v>215</v>
      </c>
      <c r="B145">
        <v>113</v>
      </c>
      <c r="C145" t="s">
        <v>1878</v>
      </c>
    </row>
    <row r="146" spans="1:3" x14ac:dyDescent="0.25">
      <c r="A146">
        <v>216</v>
      </c>
      <c r="B146">
        <v>113</v>
      </c>
      <c r="C146" t="s">
        <v>1879</v>
      </c>
    </row>
    <row r="147" spans="1:3" x14ac:dyDescent="0.25">
      <c r="A147">
        <v>217</v>
      </c>
      <c r="B147">
        <v>113</v>
      </c>
      <c r="C147" t="s">
        <v>1877</v>
      </c>
    </row>
    <row r="148" spans="1:3" x14ac:dyDescent="0.25">
      <c r="A148">
        <v>218</v>
      </c>
      <c r="B148">
        <v>113</v>
      </c>
      <c r="C148" t="s">
        <v>1878</v>
      </c>
    </row>
    <row r="149" spans="1:3" x14ac:dyDescent="0.25">
      <c r="A149">
        <v>219</v>
      </c>
      <c r="B149">
        <v>113</v>
      </c>
      <c r="C149" t="s">
        <v>1879</v>
      </c>
    </row>
    <row r="150" spans="1:3" x14ac:dyDescent="0.25">
      <c r="A150">
        <v>220</v>
      </c>
      <c r="B150">
        <v>113</v>
      </c>
      <c r="C150" t="s">
        <v>1880</v>
      </c>
    </row>
    <row r="151" spans="1:3" x14ac:dyDescent="0.25">
      <c r="A151">
        <v>221</v>
      </c>
      <c r="B151">
        <v>114</v>
      </c>
      <c r="C151" t="s">
        <v>1876</v>
      </c>
    </row>
    <row r="152" spans="1:3" x14ac:dyDescent="0.25">
      <c r="A152">
        <v>222</v>
      </c>
      <c r="B152">
        <v>114</v>
      </c>
      <c r="C152" t="s">
        <v>1876</v>
      </c>
    </row>
    <row r="153" spans="1:3" x14ac:dyDescent="0.25">
      <c r="A153">
        <v>229</v>
      </c>
      <c r="B153">
        <v>114</v>
      </c>
      <c r="C153" t="s">
        <v>1877</v>
      </c>
    </row>
    <row r="154" spans="1:3" x14ac:dyDescent="0.25">
      <c r="A154">
        <v>230</v>
      </c>
      <c r="B154">
        <v>114</v>
      </c>
      <c r="C154" t="s">
        <v>1878</v>
      </c>
    </row>
    <row r="155" spans="1:3" x14ac:dyDescent="0.25">
      <c r="A155">
        <v>231</v>
      </c>
      <c r="B155">
        <v>114</v>
      </c>
      <c r="C155" t="s">
        <v>1879</v>
      </c>
    </row>
    <row r="156" spans="1:3" x14ac:dyDescent="0.25">
      <c r="A156">
        <v>232</v>
      </c>
      <c r="B156">
        <v>114</v>
      </c>
      <c r="C156" t="s">
        <v>1877</v>
      </c>
    </row>
    <row r="157" spans="1:3" x14ac:dyDescent="0.25">
      <c r="A157">
        <v>233</v>
      </c>
      <c r="B157">
        <v>114</v>
      </c>
      <c r="C157" t="s">
        <v>1878</v>
      </c>
    </row>
    <row r="158" spans="1:3" x14ac:dyDescent="0.25">
      <c r="A158">
        <v>234</v>
      </c>
      <c r="B158">
        <v>114</v>
      </c>
      <c r="C158" t="s">
        <v>1879</v>
      </c>
    </row>
    <row r="159" spans="1:3" x14ac:dyDescent="0.25">
      <c r="A159">
        <v>235</v>
      </c>
      <c r="B159">
        <v>114</v>
      </c>
      <c r="C159" t="s">
        <v>1880</v>
      </c>
    </row>
    <row r="160" spans="1:3" x14ac:dyDescent="0.25">
      <c r="A160">
        <v>236</v>
      </c>
      <c r="B160">
        <v>115</v>
      </c>
      <c r="C160" t="s">
        <v>1876</v>
      </c>
    </row>
    <row r="161" spans="1:3" x14ac:dyDescent="0.25">
      <c r="A161">
        <v>237</v>
      </c>
      <c r="B161">
        <v>115</v>
      </c>
      <c r="C161" t="s">
        <v>1876</v>
      </c>
    </row>
    <row r="162" spans="1:3" x14ac:dyDescent="0.25">
      <c r="A162">
        <v>244</v>
      </c>
      <c r="B162">
        <v>115</v>
      </c>
      <c r="C162" t="s">
        <v>1877</v>
      </c>
    </row>
    <row r="163" spans="1:3" x14ac:dyDescent="0.25">
      <c r="A163">
        <v>245</v>
      </c>
      <c r="B163">
        <v>115</v>
      </c>
      <c r="C163" t="s">
        <v>1878</v>
      </c>
    </row>
    <row r="164" spans="1:3" x14ac:dyDescent="0.25">
      <c r="A164">
        <v>246</v>
      </c>
      <c r="B164">
        <v>115</v>
      </c>
      <c r="C164" t="s">
        <v>1879</v>
      </c>
    </row>
    <row r="165" spans="1:3" x14ac:dyDescent="0.25">
      <c r="A165">
        <v>247</v>
      </c>
      <c r="B165">
        <v>115</v>
      </c>
      <c r="C165" t="s">
        <v>1877</v>
      </c>
    </row>
    <row r="166" spans="1:3" x14ac:dyDescent="0.25">
      <c r="A166">
        <v>248</v>
      </c>
      <c r="B166">
        <v>115</v>
      </c>
      <c r="C166" t="s">
        <v>1878</v>
      </c>
    </row>
    <row r="167" spans="1:3" x14ac:dyDescent="0.25">
      <c r="A167">
        <v>249</v>
      </c>
      <c r="B167">
        <v>115</v>
      </c>
      <c r="C167" t="s">
        <v>1879</v>
      </c>
    </row>
    <row r="168" spans="1:3" x14ac:dyDescent="0.25">
      <c r="A168">
        <v>250</v>
      </c>
      <c r="B168">
        <v>115</v>
      </c>
      <c r="C168" t="s">
        <v>1880</v>
      </c>
    </row>
    <row r="169" spans="1:3" x14ac:dyDescent="0.25">
      <c r="A169">
        <v>251</v>
      </c>
      <c r="B169">
        <v>116</v>
      </c>
      <c r="C169" t="s">
        <v>1876</v>
      </c>
    </row>
    <row r="170" spans="1:3" x14ac:dyDescent="0.25">
      <c r="A170">
        <v>252</v>
      </c>
      <c r="B170">
        <v>116</v>
      </c>
      <c r="C170" t="s">
        <v>1876</v>
      </c>
    </row>
    <row r="171" spans="1:3" x14ac:dyDescent="0.25">
      <c r="A171">
        <v>253</v>
      </c>
      <c r="B171">
        <v>116</v>
      </c>
      <c r="C171" t="s">
        <v>1876</v>
      </c>
    </row>
    <row r="172" spans="1:3" x14ac:dyDescent="0.25">
      <c r="A172">
        <v>254</v>
      </c>
      <c r="B172">
        <v>116</v>
      </c>
      <c r="C172" t="s">
        <v>1876</v>
      </c>
    </row>
    <row r="173" spans="1:3" x14ac:dyDescent="0.25">
      <c r="A173">
        <v>255</v>
      </c>
      <c r="B173">
        <v>116</v>
      </c>
      <c r="C173" t="s">
        <v>1876</v>
      </c>
    </row>
    <row r="174" spans="1:3" x14ac:dyDescent="0.25">
      <c r="A174">
        <v>256</v>
      </c>
      <c r="B174">
        <v>116</v>
      </c>
      <c r="C174" t="s">
        <v>1876</v>
      </c>
    </row>
    <row r="175" spans="1:3" x14ac:dyDescent="0.25">
      <c r="A175">
        <v>257</v>
      </c>
      <c r="B175">
        <v>116</v>
      </c>
      <c r="C175" t="s">
        <v>1876</v>
      </c>
    </row>
    <row r="176" spans="1:3" x14ac:dyDescent="0.25">
      <c r="A176">
        <v>258</v>
      </c>
      <c r="B176">
        <v>116</v>
      </c>
      <c r="C176" t="s">
        <v>1876</v>
      </c>
    </row>
    <row r="177" spans="1:3" x14ac:dyDescent="0.25">
      <c r="A177">
        <v>263</v>
      </c>
      <c r="B177">
        <v>116</v>
      </c>
      <c r="C177" t="s">
        <v>1877</v>
      </c>
    </row>
    <row r="178" spans="1:3" x14ac:dyDescent="0.25">
      <c r="A178">
        <v>264</v>
      </c>
      <c r="B178">
        <v>116</v>
      </c>
      <c r="C178" t="s">
        <v>1878</v>
      </c>
    </row>
    <row r="179" spans="1:3" x14ac:dyDescent="0.25">
      <c r="A179">
        <v>265</v>
      </c>
      <c r="B179">
        <v>116</v>
      </c>
      <c r="C179" t="s">
        <v>1879</v>
      </c>
    </row>
    <row r="180" spans="1:3" x14ac:dyDescent="0.25">
      <c r="A180">
        <v>266</v>
      </c>
      <c r="B180">
        <v>116</v>
      </c>
      <c r="C180" t="s">
        <v>1877</v>
      </c>
    </row>
    <row r="181" spans="1:3" x14ac:dyDescent="0.25">
      <c r="A181">
        <v>267</v>
      </c>
      <c r="B181">
        <v>116</v>
      </c>
      <c r="C181" t="s">
        <v>1878</v>
      </c>
    </row>
    <row r="182" spans="1:3" x14ac:dyDescent="0.25">
      <c r="A182">
        <v>268</v>
      </c>
      <c r="B182">
        <v>116</v>
      </c>
      <c r="C182" t="s">
        <v>1879</v>
      </c>
    </row>
    <row r="183" spans="1:3" x14ac:dyDescent="0.25">
      <c r="A183">
        <v>269</v>
      </c>
      <c r="B183">
        <v>116</v>
      </c>
      <c r="C183" t="s">
        <v>1880</v>
      </c>
    </row>
    <row r="184" spans="1:3" x14ac:dyDescent="0.25">
      <c r="A184">
        <v>270</v>
      </c>
      <c r="B184">
        <v>116</v>
      </c>
      <c r="C184" t="s">
        <v>1880</v>
      </c>
    </row>
    <row r="185" spans="1:3" x14ac:dyDescent="0.25">
      <c r="A185">
        <v>271</v>
      </c>
      <c r="B185">
        <v>117</v>
      </c>
      <c r="C185" t="s">
        <v>1881</v>
      </c>
    </row>
    <row r="186" spans="1:3" x14ac:dyDescent="0.25">
      <c r="A186">
        <v>272</v>
      </c>
      <c r="B186">
        <v>117</v>
      </c>
      <c r="C186" t="s">
        <v>1881</v>
      </c>
    </row>
    <row r="187" spans="1:3" x14ac:dyDescent="0.25">
      <c r="A187">
        <v>273</v>
      </c>
      <c r="B187">
        <v>117</v>
      </c>
      <c r="C187" t="s">
        <v>1881</v>
      </c>
    </row>
    <row r="188" spans="1:3" x14ac:dyDescent="0.25">
      <c r="A188">
        <v>274</v>
      </c>
      <c r="B188">
        <v>117</v>
      </c>
      <c r="C188" t="s">
        <v>1881</v>
      </c>
    </row>
    <row r="189" spans="1:3" x14ac:dyDescent="0.25">
      <c r="A189">
        <v>275</v>
      </c>
      <c r="B189">
        <v>117</v>
      </c>
      <c r="C189" t="s">
        <v>1881</v>
      </c>
    </row>
    <row r="190" spans="1:3" x14ac:dyDescent="0.25">
      <c r="A190">
        <v>276</v>
      </c>
      <c r="B190">
        <v>117</v>
      </c>
      <c r="C190" t="s">
        <v>1881</v>
      </c>
    </row>
    <row r="191" spans="1:3" x14ac:dyDescent="0.25">
      <c r="A191">
        <v>277</v>
      </c>
      <c r="B191">
        <v>117</v>
      </c>
      <c r="C191" t="s">
        <v>1881</v>
      </c>
    </row>
    <row r="192" spans="1:3" x14ac:dyDescent="0.25">
      <c r="A192">
        <v>278</v>
      </c>
      <c r="B192">
        <v>117</v>
      </c>
      <c r="C192" t="s">
        <v>1881</v>
      </c>
    </row>
    <row r="193" spans="1:3" x14ac:dyDescent="0.25">
      <c r="A193">
        <v>279</v>
      </c>
      <c r="B193">
        <v>117</v>
      </c>
      <c r="C193" t="s">
        <v>1881</v>
      </c>
    </row>
    <row r="194" spans="1:3" x14ac:dyDescent="0.25">
      <c r="A194">
        <v>280</v>
      </c>
      <c r="B194">
        <v>117</v>
      </c>
      <c r="C194" t="s">
        <v>1881</v>
      </c>
    </row>
    <row r="195" spans="1:3" x14ac:dyDescent="0.25">
      <c r="A195">
        <v>281</v>
      </c>
      <c r="B195">
        <v>117</v>
      </c>
      <c r="C195" t="s">
        <v>1881</v>
      </c>
    </row>
    <row r="196" spans="1:3" x14ac:dyDescent="0.25">
      <c r="A196">
        <v>282</v>
      </c>
      <c r="B196">
        <v>117</v>
      </c>
      <c r="C196" t="s">
        <v>1881</v>
      </c>
    </row>
    <row r="197" spans="1:3" x14ac:dyDescent="0.25">
      <c r="A197">
        <v>283</v>
      </c>
      <c r="B197">
        <v>117</v>
      </c>
      <c r="C197" t="s">
        <v>1881</v>
      </c>
    </row>
    <row r="198" spans="1:3" x14ac:dyDescent="0.25">
      <c r="A198">
        <v>284</v>
      </c>
      <c r="B198">
        <v>117</v>
      </c>
      <c r="C198" t="s">
        <v>1881</v>
      </c>
    </row>
    <row r="199" spans="1:3" x14ac:dyDescent="0.25">
      <c r="A199">
        <v>285</v>
      </c>
      <c r="B199">
        <v>117</v>
      </c>
      <c r="C199" t="s">
        <v>1881</v>
      </c>
    </row>
    <row r="200" spans="1:3" x14ac:dyDescent="0.25">
      <c r="A200">
        <v>286</v>
      </c>
      <c r="B200">
        <v>117</v>
      </c>
      <c r="C200" t="s">
        <v>1881</v>
      </c>
    </row>
    <row r="201" spans="1:3" x14ac:dyDescent="0.25">
      <c r="A201">
        <v>287</v>
      </c>
      <c r="B201">
        <v>117</v>
      </c>
      <c r="C201" t="s">
        <v>1881</v>
      </c>
    </row>
    <row r="202" spans="1:3" x14ac:dyDescent="0.25">
      <c r="A202">
        <v>288</v>
      </c>
      <c r="B202">
        <v>117</v>
      </c>
      <c r="C202" t="s">
        <v>1881</v>
      </c>
    </row>
    <row r="203" spans="1:3" x14ac:dyDescent="0.25">
      <c r="A203">
        <v>289</v>
      </c>
      <c r="B203">
        <v>117</v>
      </c>
      <c r="C203" t="s">
        <v>1881</v>
      </c>
    </row>
    <row r="204" spans="1:3" x14ac:dyDescent="0.25">
      <c r="A204">
        <v>290</v>
      </c>
      <c r="B204">
        <v>117</v>
      </c>
      <c r="C204" t="s">
        <v>1881</v>
      </c>
    </row>
    <row r="205" spans="1:3" x14ac:dyDescent="0.25">
      <c r="A205">
        <v>291</v>
      </c>
      <c r="B205">
        <v>117</v>
      </c>
      <c r="C205" t="s">
        <v>1881</v>
      </c>
    </row>
    <row r="206" spans="1:3" x14ac:dyDescent="0.25">
      <c r="A206">
        <v>292</v>
      </c>
      <c r="B206">
        <v>117</v>
      </c>
      <c r="C206" t="s">
        <v>1881</v>
      </c>
    </row>
    <row r="207" spans="1:3" x14ac:dyDescent="0.25">
      <c r="A207">
        <v>293</v>
      </c>
      <c r="B207">
        <v>117</v>
      </c>
      <c r="C207" t="s">
        <v>1881</v>
      </c>
    </row>
    <row r="208" spans="1:3" x14ac:dyDescent="0.25">
      <c r="A208">
        <v>294</v>
      </c>
      <c r="B208">
        <v>117</v>
      </c>
      <c r="C208" t="s">
        <v>1881</v>
      </c>
    </row>
    <row r="209" spans="1:3" x14ac:dyDescent="0.25">
      <c r="A209">
        <v>295</v>
      </c>
      <c r="B209">
        <v>117</v>
      </c>
      <c r="C209" t="s">
        <v>1881</v>
      </c>
    </row>
    <row r="210" spans="1:3" x14ac:dyDescent="0.25">
      <c r="A210">
        <v>296</v>
      </c>
      <c r="B210">
        <v>117</v>
      </c>
      <c r="C210" t="s">
        <v>1881</v>
      </c>
    </row>
    <row r="211" spans="1:3" x14ac:dyDescent="0.25">
      <c r="A211">
        <v>297</v>
      </c>
      <c r="B211">
        <v>117</v>
      </c>
      <c r="C211" t="s">
        <v>1881</v>
      </c>
    </row>
    <row r="212" spans="1:3" x14ac:dyDescent="0.25">
      <c r="A212">
        <v>298</v>
      </c>
      <c r="B212">
        <v>117</v>
      </c>
      <c r="C212" t="s">
        <v>1881</v>
      </c>
    </row>
    <row r="213" spans="1:3" x14ac:dyDescent="0.25">
      <c r="A213">
        <v>299</v>
      </c>
      <c r="B213">
        <v>117</v>
      </c>
      <c r="C213" t="s">
        <v>1881</v>
      </c>
    </row>
    <row r="214" spans="1:3" x14ac:dyDescent="0.25">
      <c r="A214">
        <v>300</v>
      </c>
      <c r="B214">
        <v>117</v>
      </c>
      <c r="C214" t="s">
        <v>1881</v>
      </c>
    </row>
    <row r="215" spans="1:3" x14ac:dyDescent="0.25">
      <c r="A215">
        <v>301</v>
      </c>
      <c r="B215">
        <v>118</v>
      </c>
      <c r="C215" t="s">
        <v>1876</v>
      </c>
    </row>
    <row r="216" spans="1:3" x14ac:dyDescent="0.25">
      <c r="A216">
        <v>302</v>
      </c>
      <c r="B216">
        <v>118</v>
      </c>
      <c r="C216" t="s">
        <v>1876</v>
      </c>
    </row>
    <row r="217" spans="1:3" x14ac:dyDescent="0.25">
      <c r="A217">
        <v>309</v>
      </c>
      <c r="B217">
        <v>118</v>
      </c>
      <c r="C217" t="s">
        <v>1877</v>
      </c>
    </row>
    <row r="218" spans="1:3" x14ac:dyDescent="0.25">
      <c r="A218">
        <v>310</v>
      </c>
      <c r="B218">
        <v>118</v>
      </c>
      <c r="C218" t="s">
        <v>1878</v>
      </c>
    </row>
    <row r="219" spans="1:3" x14ac:dyDescent="0.25">
      <c r="A219">
        <v>311</v>
      </c>
      <c r="B219">
        <v>118</v>
      </c>
      <c r="C219" t="s">
        <v>1879</v>
      </c>
    </row>
    <row r="220" spans="1:3" x14ac:dyDescent="0.25">
      <c r="A220">
        <v>312</v>
      </c>
      <c r="B220">
        <v>118</v>
      </c>
      <c r="C220" t="s">
        <v>1877</v>
      </c>
    </row>
    <row r="221" spans="1:3" x14ac:dyDescent="0.25">
      <c r="A221">
        <v>313</v>
      </c>
      <c r="B221">
        <v>118</v>
      </c>
      <c r="C221" t="s">
        <v>1878</v>
      </c>
    </row>
    <row r="222" spans="1:3" x14ac:dyDescent="0.25">
      <c r="A222">
        <v>314</v>
      </c>
      <c r="B222">
        <v>118</v>
      </c>
      <c r="C222" t="s">
        <v>1879</v>
      </c>
    </row>
    <row r="223" spans="1:3" x14ac:dyDescent="0.25">
      <c r="A223">
        <v>315</v>
      </c>
      <c r="B223">
        <v>118</v>
      </c>
      <c r="C223" t="s">
        <v>1880</v>
      </c>
    </row>
    <row r="224" spans="1:3" x14ac:dyDescent="0.25">
      <c r="A224">
        <v>316</v>
      </c>
      <c r="B224">
        <v>119</v>
      </c>
      <c r="C224" t="s">
        <v>1876</v>
      </c>
    </row>
    <row r="225" spans="1:3" x14ac:dyDescent="0.25">
      <c r="A225">
        <v>317</v>
      </c>
      <c r="B225">
        <v>119</v>
      </c>
      <c r="C225" t="s">
        <v>1876</v>
      </c>
    </row>
    <row r="226" spans="1:3" x14ac:dyDescent="0.25">
      <c r="A226">
        <v>318</v>
      </c>
      <c r="B226">
        <v>119</v>
      </c>
      <c r="C226" t="s">
        <v>1876</v>
      </c>
    </row>
    <row r="227" spans="1:3" x14ac:dyDescent="0.25">
      <c r="A227">
        <v>324</v>
      </c>
      <c r="B227">
        <v>119</v>
      </c>
      <c r="C227" t="s">
        <v>1877</v>
      </c>
    </row>
    <row r="228" spans="1:3" x14ac:dyDescent="0.25">
      <c r="A228">
        <v>325</v>
      </c>
      <c r="B228">
        <v>119</v>
      </c>
      <c r="C228" t="s">
        <v>1878</v>
      </c>
    </row>
    <row r="229" spans="1:3" x14ac:dyDescent="0.25">
      <c r="A229">
        <v>326</v>
      </c>
      <c r="B229">
        <v>119</v>
      </c>
      <c r="C229" t="s">
        <v>1879</v>
      </c>
    </row>
    <row r="230" spans="1:3" x14ac:dyDescent="0.25">
      <c r="A230">
        <v>327</v>
      </c>
      <c r="B230">
        <v>119</v>
      </c>
      <c r="C230" t="s">
        <v>1877</v>
      </c>
    </row>
    <row r="231" spans="1:3" x14ac:dyDescent="0.25">
      <c r="A231">
        <v>328</v>
      </c>
      <c r="B231">
        <v>119</v>
      </c>
      <c r="C231" t="s">
        <v>1878</v>
      </c>
    </row>
    <row r="232" spans="1:3" x14ac:dyDescent="0.25">
      <c r="A232">
        <v>329</v>
      </c>
      <c r="B232">
        <v>119</v>
      </c>
      <c r="C232" t="s">
        <v>1879</v>
      </c>
    </row>
    <row r="233" spans="1:3" x14ac:dyDescent="0.25">
      <c r="A233">
        <v>330</v>
      </c>
      <c r="B233">
        <v>119</v>
      </c>
      <c r="C233" t="s">
        <v>1880</v>
      </c>
    </row>
    <row r="234" spans="1:3" x14ac:dyDescent="0.25">
      <c r="A234">
        <v>331</v>
      </c>
      <c r="B234">
        <v>120</v>
      </c>
      <c r="C234" t="s">
        <v>1876</v>
      </c>
    </row>
    <row r="235" spans="1:3" x14ac:dyDescent="0.25">
      <c r="A235">
        <v>332</v>
      </c>
      <c r="B235">
        <v>120</v>
      </c>
      <c r="C235" t="s">
        <v>1876</v>
      </c>
    </row>
    <row r="236" spans="1:3" x14ac:dyDescent="0.25">
      <c r="A236">
        <v>333</v>
      </c>
      <c r="B236">
        <v>120</v>
      </c>
      <c r="C236" t="s">
        <v>1876</v>
      </c>
    </row>
    <row r="237" spans="1:3" x14ac:dyDescent="0.25">
      <c r="A237">
        <v>342</v>
      </c>
      <c r="B237">
        <v>120</v>
      </c>
      <c r="C237" t="s">
        <v>1877</v>
      </c>
    </row>
    <row r="238" spans="1:3" x14ac:dyDescent="0.25">
      <c r="A238">
        <v>343</v>
      </c>
      <c r="B238">
        <v>120</v>
      </c>
      <c r="C238" t="s">
        <v>1878</v>
      </c>
    </row>
    <row r="239" spans="1:3" x14ac:dyDescent="0.25">
      <c r="A239">
        <v>344</v>
      </c>
      <c r="B239">
        <v>120</v>
      </c>
      <c r="C239" t="s">
        <v>1879</v>
      </c>
    </row>
    <row r="240" spans="1:3" x14ac:dyDescent="0.25">
      <c r="A240">
        <v>345</v>
      </c>
      <c r="B240">
        <v>120</v>
      </c>
      <c r="C240" t="s">
        <v>1880</v>
      </c>
    </row>
    <row r="241" spans="1:3" x14ac:dyDescent="0.25">
      <c r="A241">
        <v>346</v>
      </c>
      <c r="B241">
        <v>121</v>
      </c>
      <c r="C241" t="s">
        <v>1876</v>
      </c>
    </row>
    <row r="242" spans="1:3" x14ac:dyDescent="0.25">
      <c r="A242">
        <v>347</v>
      </c>
      <c r="B242">
        <v>121</v>
      </c>
      <c r="C242" t="s">
        <v>1876</v>
      </c>
    </row>
    <row r="243" spans="1:3" x14ac:dyDescent="0.25">
      <c r="A243">
        <v>348</v>
      </c>
      <c r="B243">
        <v>121</v>
      </c>
      <c r="C243" t="s">
        <v>1876</v>
      </c>
    </row>
    <row r="244" spans="1:3" x14ac:dyDescent="0.25">
      <c r="A244">
        <v>349</v>
      </c>
      <c r="B244">
        <v>121</v>
      </c>
      <c r="C244" t="s">
        <v>1876</v>
      </c>
    </row>
    <row r="245" spans="1:3" x14ac:dyDescent="0.25">
      <c r="A245">
        <v>350</v>
      </c>
      <c r="B245">
        <v>121</v>
      </c>
      <c r="C245" t="s">
        <v>1876</v>
      </c>
    </row>
    <row r="246" spans="1:3" x14ac:dyDescent="0.25">
      <c r="A246">
        <v>351</v>
      </c>
      <c r="B246">
        <v>121</v>
      </c>
      <c r="C246" t="s">
        <v>1876</v>
      </c>
    </row>
    <row r="247" spans="1:3" x14ac:dyDescent="0.25">
      <c r="A247">
        <v>352</v>
      </c>
      <c r="B247">
        <v>121</v>
      </c>
      <c r="C247" t="s">
        <v>1876</v>
      </c>
    </row>
    <row r="248" spans="1:3" x14ac:dyDescent="0.25">
      <c r="A248">
        <v>353</v>
      </c>
      <c r="B248">
        <v>121</v>
      </c>
      <c r="C248" t="s">
        <v>1876</v>
      </c>
    </row>
    <row r="249" spans="1:3" x14ac:dyDescent="0.25">
      <c r="A249">
        <v>354</v>
      </c>
      <c r="B249">
        <v>121</v>
      </c>
      <c r="C249" t="s">
        <v>1876</v>
      </c>
    </row>
    <row r="250" spans="1:3" x14ac:dyDescent="0.25">
      <c r="A250">
        <v>355</v>
      </c>
      <c r="B250">
        <v>121</v>
      </c>
      <c r="C250" t="s">
        <v>1876</v>
      </c>
    </row>
    <row r="251" spans="1:3" x14ac:dyDescent="0.25">
      <c r="A251">
        <v>356</v>
      </c>
      <c r="B251">
        <v>121</v>
      </c>
      <c r="C251" t="s">
        <v>1876</v>
      </c>
    </row>
    <row r="252" spans="1:3" x14ac:dyDescent="0.25">
      <c r="A252">
        <v>357</v>
      </c>
      <c r="B252">
        <v>121</v>
      </c>
      <c r="C252" t="s">
        <v>1876</v>
      </c>
    </row>
    <row r="253" spans="1:3" x14ac:dyDescent="0.25">
      <c r="A253">
        <v>358</v>
      </c>
      <c r="B253">
        <v>121</v>
      </c>
      <c r="C253" t="s">
        <v>1876</v>
      </c>
    </row>
    <row r="254" spans="1:3" x14ac:dyDescent="0.25">
      <c r="A254">
        <v>359</v>
      </c>
      <c r="B254">
        <v>121</v>
      </c>
      <c r="C254" t="s">
        <v>1876</v>
      </c>
    </row>
    <row r="255" spans="1:3" x14ac:dyDescent="0.25">
      <c r="A255">
        <v>360</v>
      </c>
      <c r="B255">
        <v>121</v>
      </c>
      <c r="C255" t="s">
        <v>1876</v>
      </c>
    </row>
    <row r="256" spans="1:3" x14ac:dyDescent="0.25">
      <c r="A256">
        <v>361</v>
      </c>
      <c r="B256">
        <v>121</v>
      </c>
      <c r="C256" t="s">
        <v>1876</v>
      </c>
    </row>
    <row r="257" spans="1:3" x14ac:dyDescent="0.25">
      <c r="A257">
        <v>362</v>
      </c>
      <c r="B257">
        <v>121</v>
      </c>
      <c r="C257" t="s">
        <v>1876</v>
      </c>
    </row>
    <row r="258" spans="1:3" x14ac:dyDescent="0.25">
      <c r="A258">
        <v>363</v>
      </c>
      <c r="B258">
        <v>121</v>
      </c>
      <c r="C258" t="s">
        <v>1876</v>
      </c>
    </row>
    <row r="259" spans="1:3" x14ac:dyDescent="0.25">
      <c r="A259">
        <v>364</v>
      </c>
      <c r="B259">
        <v>121</v>
      </c>
      <c r="C259" t="s">
        <v>1876</v>
      </c>
    </row>
    <row r="260" spans="1:3" x14ac:dyDescent="0.25">
      <c r="A260">
        <v>365</v>
      </c>
      <c r="B260">
        <v>121</v>
      </c>
      <c r="C260" t="s">
        <v>1876</v>
      </c>
    </row>
    <row r="261" spans="1:3" x14ac:dyDescent="0.25">
      <c r="A261">
        <v>366</v>
      </c>
      <c r="B261">
        <v>121</v>
      </c>
      <c r="C261" t="s">
        <v>1876</v>
      </c>
    </row>
    <row r="262" spans="1:3" x14ac:dyDescent="0.25">
      <c r="A262">
        <v>367</v>
      </c>
      <c r="B262">
        <v>121</v>
      </c>
      <c r="C262" t="s">
        <v>1877</v>
      </c>
    </row>
    <row r="263" spans="1:3" x14ac:dyDescent="0.25">
      <c r="A263">
        <v>368</v>
      </c>
      <c r="B263">
        <v>121</v>
      </c>
      <c r="C263" t="s">
        <v>1878</v>
      </c>
    </row>
    <row r="264" spans="1:3" x14ac:dyDescent="0.25">
      <c r="A264">
        <v>369</v>
      </c>
      <c r="B264">
        <v>121</v>
      </c>
      <c r="C264" t="s">
        <v>1879</v>
      </c>
    </row>
    <row r="265" spans="1:3" x14ac:dyDescent="0.25">
      <c r="A265">
        <v>370</v>
      </c>
      <c r="B265">
        <v>121</v>
      </c>
      <c r="C265" t="s">
        <v>1877</v>
      </c>
    </row>
    <row r="266" spans="1:3" x14ac:dyDescent="0.25">
      <c r="A266">
        <v>371</v>
      </c>
      <c r="B266">
        <v>121</v>
      </c>
      <c r="C266" t="s">
        <v>1878</v>
      </c>
    </row>
    <row r="267" spans="1:3" x14ac:dyDescent="0.25">
      <c r="A267">
        <v>372</v>
      </c>
      <c r="B267">
        <v>121</v>
      </c>
      <c r="C267" t="s">
        <v>1879</v>
      </c>
    </row>
    <row r="268" spans="1:3" x14ac:dyDescent="0.25">
      <c r="A268">
        <v>373</v>
      </c>
      <c r="B268">
        <v>121</v>
      </c>
      <c r="C268" t="s">
        <v>1880</v>
      </c>
    </row>
    <row r="269" spans="1:3" x14ac:dyDescent="0.25">
      <c r="A269">
        <v>374</v>
      </c>
      <c r="B269">
        <v>121</v>
      </c>
      <c r="C269" t="s">
        <v>1880</v>
      </c>
    </row>
    <row r="270" spans="1:3" x14ac:dyDescent="0.25">
      <c r="A270">
        <v>375</v>
      </c>
      <c r="B270">
        <v>121</v>
      </c>
      <c r="C270" t="s">
        <v>1880</v>
      </c>
    </row>
    <row r="271" spans="1:3" x14ac:dyDescent="0.25">
      <c r="A271">
        <v>376</v>
      </c>
      <c r="B271">
        <v>122</v>
      </c>
      <c r="C271" t="s">
        <v>1876</v>
      </c>
    </row>
    <row r="272" spans="1:3" x14ac:dyDescent="0.25">
      <c r="A272">
        <v>377</v>
      </c>
      <c r="B272">
        <v>122</v>
      </c>
      <c r="C272" t="s">
        <v>1876</v>
      </c>
    </row>
    <row r="273" spans="1:3" x14ac:dyDescent="0.25">
      <c r="A273">
        <v>384</v>
      </c>
      <c r="B273">
        <v>122</v>
      </c>
      <c r="C273" t="s">
        <v>1877</v>
      </c>
    </row>
    <row r="274" spans="1:3" x14ac:dyDescent="0.25">
      <c r="A274">
        <v>385</v>
      </c>
      <c r="B274">
        <v>122</v>
      </c>
      <c r="C274" t="s">
        <v>1878</v>
      </c>
    </row>
    <row r="275" spans="1:3" x14ac:dyDescent="0.25">
      <c r="A275">
        <v>386</v>
      </c>
      <c r="B275">
        <v>122</v>
      </c>
      <c r="C275" t="s">
        <v>1879</v>
      </c>
    </row>
    <row r="276" spans="1:3" x14ac:dyDescent="0.25">
      <c r="A276">
        <v>387</v>
      </c>
      <c r="B276">
        <v>122</v>
      </c>
      <c r="C276" t="s">
        <v>1877</v>
      </c>
    </row>
    <row r="277" spans="1:3" x14ac:dyDescent="0.25">
      <c r="A277">
        <v>388</v>
      </c>
      <c r="B277">
        <v>122</v>
      </c>
      <c r="C277" t="s">
        <v>1878</v>
      </c>
    </row>
    <row r="278" spans="1:3" x14ac:dyDescent="0.25">
      <c r="A278">
        <v>389</v>
      </c>
      <c r="B278">
        <v>122</v>
      </c>
      <c r="C278" t="s">
        <v>1879</v>
      </c>
    </row>
    <row r="279" spans="1:3" x14ac:dyDescent="0.25">
      <c r="A279">
        <v>390</v>
      </c>
      <c r="B279">
        <v>122</v>
      </c>
      <c r="C279" t="s">
        <v>1880</v>
      </c>
    </row>
    <row r="280" spans="1:3" x14ac:dyDescent="0.25">
      <c r="A280">
        <v>391</v>
      </c>
      <c r="B280">
        <v>123</v>
      </c>
      <c r="C280" t="s">
        <v>1876</v>
      </c>
    </row>
    <row r="281" spans="1:3" x14ac:dyDescent="0.25">
      <c r="A281">
        <v>392</v>
      </c>
      <c r="B281">
        <v>123</v>
      </c>
      <c r="C281" t="s">
        <v>1876</v>
      </c>
    </row>
    <row r="282" spans="1:3" x14ac:dyDescent="0.25">
      <c r="A282">
        <v>393</v>
      </c>
      <c r="B282">
        <v>123</v>
      </c>
      <c r="C282" t="s">
        <v>1876</v>
      </c>
    </row>
    <row r="283" spans="1:3" x14ac:dyDescent="0.25">
      <c r="A283">
        <v>394</v>
      </c>
      <c r="B283">
        <v>123</v>
      </c>
      <c r="C283" t="s">
        <v>1876</v>
      </c>
    </row>
    <row r="284" spans="1:3" x14ac:dyDescent="0.25">
      <c r="A284">
        <v>395</v>
      </c>
      <c r="B284">
        <v>123</v>
      </c>
      <c r="C284" t="s">
        <v>1876</v>
      </c>
    </row>
    <row r="285" spans="1:3" x14ac:dyDescent="0.25">
      <c r="A285">
        <v>400</v>
      </c>
      <c r="B285">
        <v>123</v>
      </c>
      <c r="C285" t="s">
        <v>1877</v>
      </c>
    </row>
    <row r="286" spans="1:3" x14ac:dyDescent="0.25">
      <c r="A286">
        <v>401</v>
      </c>
      <c r="B286">
        <v>123</v>
      </c>
      <c r="C286" t="s">
        <v>1878</v>
      </c>
    </row>
    <row r="287" spans="1:3" x14ac:dyDescent="0.25">
      <c r="A287">
        <v>402</v>
      </c>
      <c r="B287">
        <v>123</v>
      </c>
      <c r="C287" t="s">
        <v>1879</v>
      </c>
    </row>
    <row r="288" spans="1:3" x14ac:dyDescent="0.25">
      <c r="A288">
        <v>403</v>
      </c>
      <c r="B288">
        <v>123</v>
      </c>
      <c r="C288" t="s">
        <v>1877</v>
      </c>
    </row>
    <row r="289" spans="1:3" x14ac:dyDescent="0.25">
      <c r="A289">
        <v>404</v>
      </c>
      <c r="B289">
        <v>123</v>
      </c>
      <c r="C289" t="s">
        <v>1878</v>
      </c>
    </row>
    <row r="290" spans="1:3" x14ac:dyDescent="0.25">
      <c r="A290">
        <v>405</v>
      </c>
      <c r="B290">
        <v>123</v>
      </c>
      <c r="C290" t="s">
        <v>1879</v>
      </c>
    </row>
    <row r="291" spans="1:3" x14ac:dyDescent="0.25">
      <c r="A291">
        <v>406</v>
      </c>
      <c r="B291">
        <v>124</v>
      </c>
      <c r="C291" t="s">
        <v>1876</v>
      </c>
    </row>
    <row r="292" spans="1:3" x14ac:dyDescent="0.25">
      <c r="A292">
        <v>407</v>
      </c>
      <c r="B292">
        <v>124</v>
      </c>
      <c r="C292" t="s">
        <v>1876</v>
      </c>
    </row>
    <row r="293" spans="1:3" x14ac:dyDescent="0.25">
      <c r="A293">
        <v>408</v>
      </c>
      <c r="B293">
        <v>124</v>
      </c>
      <c r="C293" t="s">
        <v>1876</v>
      </c>
    </row>
    <row r="294" spans="1:3" x14ac:dyDescent="0.25">
      <c r="A294">
        <v>415</v>
      </c>
      <c r="B294">
        <v>124</v>
      </c>
      <c r="C294" t="s">
        <v>1877</v>
      </c>
    </row>
    <row r="295" spans="1:3" x14ac:dyDescent="0.25">
      <c r="A295">
        <v>416</v>
      </c>
      <c r="B295">
        <v>124</v>
      </c>
      <c r="C295" t="s">
        <v>1878</v>
      </c>
    </row>
    <row r="296" spans="1:3" x14ac:dyDescent="0.25">
      <c r="A296">
        <v>417</v>
      </c>
      <c r="B296">
        <v>124</v>
      </c>
      <c r="C296" t="s">
        <v>1879</v>
      </c>
    </row>
    <row r="297" spans="1:3" x14ac:dyDescent="0.25">
      <c r="A297">
        <v>418</v>
      </c>
      <c r="B297">
        <v>124</v>
      </c>
      <c r="C297" t="s">
        <v>1877</v>
      </c>
    </row>
    <row r="298" spans="1:3" x14ac:dyDescent="0.25">
      <c r="A298">
        <v>419</v>
      </c>
      <c r="B298">
        <v>124</v>
      </c>
      <c r="C298" t="s">
        <v>1878</v>
      </c>
    </row>
    <row r="299" spans="1:3" x14ac:dyDescent="0.25">
      <c r="A299">
        <v>420</v>
      </c>
      <c r="B299">
        <v>124</v>
      </c>
      <c r="C299" t="s">
        <v>1879</v>
      </c>
    </row>
    <row r="300" spans="1:3" x14ac:dyDescent="0.25">
      <c r="A300">
        <v>421</v>
      </c>
      <c r="B300">
        <v>125</v>
      </c>
      <c r="C300" t="s">
        <v>1876</v>
      </c>
    </row>
    <row r="301" spans="1:3" x14ac:dyDescent="0.25">
      <c r="A301">
        <v>422</v>
      </c>
      <c r="B301">
        <v>125</v>
      </c>
      <c r="C301" t="s">
        <v>1876</v>
      </c>
    </row>
    <row r="302" spans="1:3" x14ac:dyDescent="0.25">
      <c r="A302">
        <v>429</v>
      </c>
      <c r="B302">
        <v>125</v>
      </c>
      <c r="C302" t="s">
        <v>1877</v>
      </c>
    </row>
    <row r="303" spans="1:3" x14ac:dyDescent="0.25">
      <c r="A303">
        <v>430</v>
      </c>
      <c r="B303">
        <v>125</v>
      </c>
      <c r="C303" t="s">
        <v>1878</v>
      </c>
    </row>
    <row r="304" spans="1:3" x14ac:dyDescent="0.25">
      <c r="A304">
        <v>431</v>
      </c>
      <c r="B304">
        <v>125</v>
      </c>
      <c r="C304" t="s">
        <v>1879</v>
      </c>
    </row>
    <row r="305" spans="1:3" x14ac:dyDescent="0.25">
      <c r="A305">
        <v>432</v>
      </c>
      <c r="B305">
        <v>125</v>
      </c>
      <c r="C305" t="s">
        <v>1877</v>
      </c>
    </row>
    <row r="306" spans="1:3" x14ac:dyDescent="0.25">
      <c r="A306">
        <v>433</v>
      </c>
      <c r="B306">
        <v>125</v>
      </c>
      <c r="C306" t="s">
        <v>1878</v>
      </c>
    </row>
    <row r="307" spans="1:3" x14ac:dyDescent="0.25">
      <c r="A307">
        <v>434</v>
      </c>
      <c r="B307">
        <v>125</v>
      </c>
      <c r="C307" t="s">
        <v>1879</v>
      </c>
    </row>
    <row r="308" spans="1:3" x14ac:dyDescent="0.25">
      <c r="A308">
        <v>435</v>
      </c>
      <c r="B308">
        <v>125</v>
      </c>
      <c r="C308" t="s">
        <v>1880</v>
      </c>
    </row>
    <row r="309" spans="1:3" x14ac:dyDescent="0.25">
      <c r="A309">
        <v>436</v>
      </c>
      <c r="B309">
        <v>126</v>
      </c>
      <c r="C309" t="s">
        <v>1876</v>
      </c>
    </row>
    <row r="310" spans="1:3" x14ac:dyDescent="0.25">
      <c r="A310">
        <v>437</v>
      </c>
      <c r="B310">
        <v>126</v>
      </c>
      <c r="C310" t="s">
        <v>1876</v>
      </c>
    </row>
    <row r="311" spans="1:3" x14ac:dyDescent="0.25">
      <c r="A311">
        <v>438</v>
      </c>
      <c r="B311">
        <v>126</v>
      </c>
      <c r="C311" t="s">
        <v>1876</v>
      </c>
    </row>
    <row r="312" spans="1:3" x14ac:dyDescent="0.25">
      <c r="A312">
        <v>443</v>
      </c>
      <c r="B312">
        <v>126</v>
      </c>
      <c r="C312" t="s">
        <v>1877</v>
      </c>
    </row>
    <row r="313" spans="1:3" x14ac:dyDescent="0.25">
      <c r="A313">
        <v>444</v>
      </c>
      <c r="B313">
        <v>126</v>
      </c>
      <c r="C313" t="s">
        <v>1878</v>
      </c>
    </row>
    <row r="314" spans="1:3" x14ac:dyDescent="0.25">
      <c r="A314">
        <v>445</v>
      </c>
      <c r="B314">
        <v>126</v>
      </c>
      <c r="C314" t="s">
        <v>1879</v>
      </c>
    </row>
    <row r="315" spans="1:3" x14ac:dyDescent="0.25">
      <c r="A315">
        <v>446</v>
      </c>
      <c r="B315">
        <v>127</v>
      </c>
      <c r="C315" t="s">
        <v>1876</v>
      </c>
    </row>
    <row r="316" spans="1:3" x14ac:dyDescent="0.25">
      <c r="A316">
        <v>447</v>
      </c>
      <c r="B316">
        <v>127</v>
      </c>
      <c r="C316" t="s">
        <v>1876</v>
      </c>
    </row>
    <row r="317" spans="1:3" x14ac:dyDescent="0.25">
      <c r="A317">
        <v>448</v>
      </c>
      <c r="B317">
        <v>127</v>
      </c>
      <c r="C317" t="s">
        <v>1876</v>
      </c>
    </row>
    <row r="318" spans="1:3" x14ac:dyDescent="0.25">
      <c r="A318">
        <v>449</v>
      </c>
      <c r="B318">
        <v>127</v>
      </c>
      <c r="C318" t="s">
        <v>1876</v>
      </c>
    </row>
    <row r="319" spans="1:3" x14ac:dyDescent="0.25">
      <c r="A319">
        <v>450</v>
      </c>
      <c r="B319">
        <v>127</v>
      </c>
      <c r="C319" t="s">
        <v>1876</v>
      </c>
    </row>
    <row r="320" spans="1:3" x14ac:dyDescent="0.25">
      <c r="A320">
        <v>451</v>
      </c>
      <c r="B320">
        <v>127</v>
      </c>
      <c r="C320" t="s">
        <v>1876</v>
      </c>
    </row>
    <row r="321" spans="1:3" x14ac:dyDescent="0.25">
      <c r="A321">
        <v>452</v>
      </c>
      <c r="B321">
        <v>127</v>
      </c>
      <c r="C321" t="s">
        <v>1876</v>
      </c>
    </row>
    <row r="322" spans="1:3" x14ac:dyDescent="0.25">
      <c r="A322">
        <v>453</v>
      </c>
      <c r="B322">
        <v>127</v>
      </c>
      <c r="C322" t="s">
        <v>1876</v>
      </c>
    </row>
    <row r="323" spans="1:3" x14ac:dyDescent="0.25">
      <c r="A323">
        <v>454</v>
      </c>
      <c r="B323">
        <v>127</v>
      </c>
      <c r="C323" t="s">
        <v>1877</v>
      </c>
    </row>
    <row r="324" spans="1:3" x14ac:dyDescent="0.25">
      <c r="A324">
        <v>455</v>
      </c>
      <c r="B324">
        <v>127</v>
      </c>
      <c r="C324" t="s">
        <v>1878</v>
      </c>
    </row>
    <row r="325" spans="1:3" x14ac:dyDescent="0.25">
      <c r="A325">
        <v>456</v>
      </c>
      <c r="B325">
        <v>127</v>
      </c>
      <c r="C325" t="s">
        <v>1879</v>
      </c>
    </row>
    <row r="326" spans="1:3" x14ac:dyDescent="0.25">
      <c r="A326">
        <v>457</v>
      </c>
      <c r="B326">
        <v>127</v>
      </c>
      <c r="C326" t="s">
        <v>1877</v>
      </c>
    </row>
    <row r="327" spans="1:3" x14ac:dyDescent="0.25">
      <c r="A327">
        <v>458</v>
      </c>
      <c r="B327">
        <v>127</v>
      </c>
      <c r="C327" t="s">
        <v>1878</v>
      </c>
    </row>
    <row r="328" spans="1:3" x14ac:dyDescent="0.25">
      <c r="A328">
        <v>459</v>
      </c>
      <c r="B328">
        <v>127</v>
      </c>
      <c r="C328" t="s">
        <v>1879</v>
      </c>
    </row>
    <row r="329" spans="1:3" x14ac:dyDescent="0.25">
      <c r="A329">
        <v>460</v>
      </c>
      <c r="B329">
        <v>127</v>
      </c>
      <c r="C329" t="s">
        <v>1880</v>
      </c>
    </row>
    <row r="330" spans="1:3" x14ac:dyDescent="0.25">
      <c r="A330">
        <v>461</v>
      </c>
      <c r="B330">
        <v>128</v>
      </c>
      <c r="C330" t="s">
        <v>1876</v>
      </c>
    </row>
    <row r="331" spans="1:3" x14ac:dyDescent="0.25">
      <c r="A331">
        <v>462</v>
      </c>
      <c r="B331">
        <v>128</v>
      </c>
      <c r="C331" t="s">
        <v>1876</v>
      </c>
    </row>
    <row r="332" spans="1:3" x14ac:dyDescent="0.25">
      <c r="A332">
        <v>468</v>
      </c>
      <c r="B332">
        <v>128</v>
      </c>
      <c r="C332" t="s">
        <v>1877</v>
      </c>
    </row>
    <row r="333" spans="1:3" x14ac:dyDescent="0.25">
      <c r="A333">
        <v>469</v>
      </c>
      <c r="B333">
        <v>128</v>
      </c>
      <c r="C333" t="s">
        <v>1878</v>
      </c>
    </row>
    <row r="334" spans="1:3" x14ac:dyDescent="0.25">
      <c r="A334">
        <v>470</v>
      </c>
      <c r="B334">
        <v>128</v>
      </c>
      <c r="C334" t="s">
        <v>1879</v>
      </c>
    </row>
    <row r="335" spans="1:3" x14ac:dyDescent="0.25">
      <c r="A335">
        <v>471</v>
      </c>
      <c r="B335">
        <v>129</v>
      </c>
      <c r="C335" t="s">
        <v>1876</v>
      </c>
    </row>
    <row r="336" spans="1:3" x14ac:dyDescent="0.25">
      <c r="A336">
        <v>472</v>
      </c>
      <c r="B336">
        <v>129</v>
      </c>
      <c r="C336" t="s">
        <v>1876</v>
      </c>
    </row>
    <row r="337" spans="1:3" x14ac:dyDescent="0.25">
      <c r="A337">
        <v>473</v>
      </c>
      <c r="B337">
        <v>129</v>
      </c>
      <c r="C337" t="s">
        <v>1876</v>
      </c>
    </row>
    <row r="338" spans="1:3" x14ac:dyDescent="0.25">
      <c r="A338">
        <v>474</v>
      </c>
      <c r="B338">
        <v>129</v>
      </c>
      <c r="C338" t="s">
        <v>1876</v>
      </c>
    </row>
    <row r="339" spans="1:3" x14ac:dyDescent="0.25">
      <c r="A339">
        <v>475</v>
      </c>
      <c r="B339">
        <v>129</v>
      </c>
      <c r="C339" t="s">
        <v>1876</v>
      </c>
    </row>
    <row r="340" spans="1:3" x14ac:dyDescent="0.25">
      <c r="A340">
        <v>476</v>
      </c>
      <c r="B340">
        <v>129</v>
      </c>
      <c r="C340" t="s">
        <v>1876</v>
      </c>
    </row>
    <row r="341" spans="1:3" x14ac:dyDescent="0.25">
      <c r="A341">
        <v>477</v>
      </c>
      <c r="B341">
        <v>129</v>
      </c>
      <c r="C341" t="s">
        <v>1876</v>
      </c>
    </row>
    <row r="342" spans="1:3" x14ac:dyDescent="0.25">
      <c r="A342">
        <v>478</v>
      </c>
      <c r="B342">
        <v>129</v>
      </c>
      <c r="C342" t="s">
        <v>1876</v>
      </c>
    </row>
    <row r="343" spans="1:3" x14ac:dyDescent="0.25">
      <c r="A343">
        <v>479</v>
      </c>
      <c r="B343">
        <v>129</v>
      </c>
      <c r="C343" t="s">
        <v>1876</v>
      </c>
    </row>
    <row r="344" spans="1:3" x14ac:dyDescent="0.25">
      <c r="A344">
        <v>480</v>
      </c>
      <c r="B344">
        <v>129</v>
      </c>
      <c r="C344" t="s">
        <v>1876</v>
      </c>
    </row>
    <row r="345" spans="1:3" x14ac:dyDescent="0.25">
      <c r="A345">
        <v>481</v>
      </c>
      <c r="B345">
        <v>129</v>
      </c>
      <c r="C345" t="s">
        <v>1876</v>
      </c>
    </row>
    <row r="346" spans="1:3" x14ac:dyDescent="0.25">
      <c r="A346">
        <v>482</v>
      </c>
      <c r="B346">
        <v>129</v>
      </c>
      <c r="C346" t="s">
        <v>1876</v>
      </c>
    </row>
    <row r="347" spans="1:3" x14ac:dyDescent="0.25">
      <c r="A347">
        <v>483</v>
      </c>
      <c r="B347">
        <v>129</v>
      </c>
      <c r="C347" t="s">
        <v>1877</v>
      </c>
    </row>
    <row r="348" spans="1:3" x14ac:dyDescent="0.25">
      <c r="A348">
        <v>484</v>
      </c>
      <c r="B348">
        <v>129</v>
      </c>
      <c r="C348" t="s">
        <v>1878</v>
      </c>
    </row>
    <row r="349" spans="1:3" x14ac:dyDescent="0.25">
      <c r="A349">
        <v>485</v>
      </c>
      <c r="B349">
        <v>129</v>
      </c>
      <c r="C349" t="s">
        <v>1879</v>
      </c>
    </row>
    <row r="350" spans="1:3" x14ac:dyDescent="0.25">
      <c r="A350">
        <v>486</v>
      </c>
      <c r="B350">
        <v>129</v>
      </c>
      <c r="C350" t="s">
        <v>1877</v>
      </c>
    </row>
    <row r="351" spans="1:3" x14ac:dyDescent="0.25">
      <c r="A351">
        <v>487</v>
      </c>
      <c r="B351">
        <v>129</v>
      </c>
      <c r="C351" t="s">
        <v>1878</v>
      </c>
    </row>
    <row r="352" spans="1:3" x14ac:dyDescent="0.25">
      <c r="A352">
        <v>488</v>
      </c>
      <c r="B352">
        <v>129</v>
      </c>
      <c r="C352" t="s">
        <v>1879</v>
      </c>
    </row>
    <row r="353" spans="1:3" x14ac:dyDescent="0.25">
      <c r="A353">
        <v>489</v>
      </c>
      <c r="B353">
        <v>129</v>
      </c>
      <c r="C353" t="s">
        <v>1880</v>
      </c>
    </row>
    <row r="354" spans="1:3" x14ac:dyDescent="0.25">
      <c r="A354">
        <v>490</v>
      </c>
      <c r="B354">
        <v>129</v>
      </c>
      <c r="C354" t="s">
        <v>1880</v>
      </c>
    </row>
    <row r="355" spans="1:3" x14ac:dyDescent="0.25">
      <c r="A355">
        <v>491</v>
      </c>
      <c r="B355">
        <v>130</v>
      </c>
      <c r="C355" t="s">
        <v>1876</v>
      </c>
    </row>
    <row r="356" spans="1:3" x14ac:dyDescent="0.25">
      <c r="A356">
        <v>492</v>
      </c>
      <c r="B356">
        <v>130</v>
      </c>
      <c r="C356" t="s">
        <v>1876</v>
      </c>
    </row>
    <row r="357" spans="1:3" x14ac:dyDescent="0.25">
      <c r="A357">
        <v>493</v>
      </c>
      <c r="B357">
        <v>130</v>
      </c>
      <c r="C357" t="s">
        <v>1876</v>
      </c>
    </row>
    <row r="358" spans="1:3" x14ac:dyDescent="0.25">
      <c r="A358">
        <v>494</v>
      </c>
      <c r="B358">
        <v>130</v>
      </c>
      <c r="C358" t="s">
        <v>1876</v>
      </c>
    </row>
    <row r="359" spans="1:3" x14ac:dyDescent="0.25">
      <c r="A359">
        <v>495</v>
      </c>
      <c r="B359">
        <v>130</v>
      </c>
      <c r="C359" t="s">
        <v>1876</v>
      </c>
    </row>
    <row r="360" spans="1:3" x14ac:dyDescent="0.25">
      <c r="A360">
        <v>496</v>
      </c>
      <c r="B360">
        <v>130</v>
      </c>
      <c r="C360" t="s">
        <v>1876</v>
      </c>
    </row>
    <row r="361" spans="1:3" x14ac:dyDescent="0.25">
      <c r="A361">
        <v>497</v>
      </c>
      <c r="B361">
        <v>130</v>
      </c>
      <c r="C361" t="s">
        <v>1876</v>
      </c>
    </row>
    <row r="362" spans="1:3" x14ac:dyDescent="0.25">
      <c r="A362">
        <v>498</v>
      </c>
      <c r="B362">
        <v>130</v>
      </c>
      <c r="C362" t="s">
        <v>1876</v>
      </c>
    </row>
    <row r="363" spans="1:3" x14ac:dyDescent="0.25">
      <c r="A363">
        <v>499</v>
      </c>
      <c r="B363">
        <v>130</v>
      </c>
      <c r="C363" t="s">
        <v>1876</v>
      </c>
    </row>
    <row r="364" spans="1:3" x14ac:dyDescent="0.25">
      <c r="A364">
        <v>500</v>
      </c>
      <c r="B364">
        <v>130</v>
      </c>
      <c r="C364" t="s">
        <v>1876</v>
      </c>
    </row>
    <row r="365" spans="1:3" x14ac:dyDescent="0.25">
      <c r="A365">
        <v>501</v>
      </c>
      <c r="B365">
        <v>130</v>
      </c>
      <c r="C365" t="s">
        <v>1876</v>
      </c>
    </row>
    <row r="366" spans="1:3" x14ac:dyDescent="0.25">
      <c r="A366">
        <v>502</v>
      </c>
      <c r="B366">
        <v>130</v>
      </c>
      <c r="C366" t="s">
        <v>1876</v>
      </c>
    </row>
    <row r="367" spans="1:3" x14ac:dyDescent="0.25">
      <c r="A367">
        <v>503</v>
      </c>
      <c r="B367">
        <v>130</v>
      </c>
      <c r="C367" t="s">
        <v>1876</v>
      </c>
    </row>
    <row r="368" spans="1:3" x14ac:dyDescent="0.25">
      <c r="A368">
        <v>504</v>
      </c>
      <c r="B368">
        <v>130</v>
      </c>
      <c r="C368" t="s">
        <v>1877</v>
      </c>
    </row>
    <row r="369" spans="1:3" x14ac:dyDescent="0.25">
      <c r="A369">
        <v>505</v>
      </c>
      <c r="B369">
        <v>130</v>
      </c>
      <c r="C369" t="s">
        <v>1878</v>
      </c>
    </row>
    <row r="370" spans="1:3" x14ac:dyDescent="0.25">
      <c r="A370">
        <v>506</v>
      </c>
      <c r="B370">
        <v>130</v>
      </c>
      <c r="C370" t="s">
        <v>1879</v>
      </c>
    </row>
    <row r="371" spans="1:3" x14ac:dyDescent="0.25">
      <c r="A371">
        <v>507</v>
      </c>
      <c r="B371">
        <v>130</v>
      </c>
      <c r="C371" t="s">
        <v>1877</v>
      </c>
    </row>
    <row r="372" spans="1:3" x14ac:dyDescent="0.25">
      <c r="A372">
        <v>508</v>
      </c>
      <c r="B372">
        <v>130</v>
      </c>
      <c r="C372" t="s">
        <v>1878</v>
      </c>
    </row>
    <row r="373" spans="1:3" x14ac:dyDescent="0.25">
      <c r="A373">
        <v>509</v>
      </c>
      <c r="B373">
        <v>130</v>
      </c>
      <c r="C373" t="s">
        <v>1879</v>
      </c>
    </row>
    <row r="374" spans="1:3" x14ac:dyDescent="0.25">
      <c r="A374">
        <v>510</v>
      </c>
      <c r="B374">
        <v>130</v>
      </c>
      <c r="C374" t="s">
        <v>1877</v>
      </c>
    </row>
    <row r="375" spans="1:3" x14ac:dyDescent="0.25">
      <c r="A375">
        <v>511</v>
      </c>
      <c r="B375">
        <v>130</v>
      </c>
      <c r="C375" t="s">
        <v>1878</v>
      </c>
    </row>
    <row r="376" spans="1:3" x14ac:dyDescent="0.25">
      <c r="A376">
        <v>512</v>
      </c>
      <c r="B376">
        <v>130</v>
      </c>
      <c r="C376" t="s">
        <v>1879</v>
      </c>
    </row>
    <row r="377" spans="1:3" x14ac:dyDescent="0.25">
      <c r="A377">
        <v>513</v>
      </c>
      <c r="B377">
        <v>130</v>
      </c>
      <c r="C377" t="s">
        <v>1877</v>
      </c>
    </row>
    <row r="378" spans="1:3" x14ac:dyDescent="0.25">
      <c r="A378">
        <v>514</v>
      </c>
      <c r="B378">
        <v>130</v>
      </c>
      <c r="C378" t="s">
        <v>1878</v>
      </c>
    </row>
    <row r="379" spans="1:3" x14ac:dyDescent="0.25">
      <c r="A379">
        <v>515</v>
      </c>
      <c r="B379">
        <v>130</v>
      </c>
      <c r="C379" t="s">
        <v>1879</v>
      </c>
    </row>
    <row r="380" spans="1:3" x14ac:dyDescent="0.25">
      <c r="A380">
        <v>516</v>
      </c>
      <c r="B380">
        <v>130</v>
      </c>
      <c r="C380" t="s">
        <v>1877</v>
      </c>
    </row>
    <row r="381" spans="1:3" x14ac:dyDescent="0.25">
      <c r="A381">
        <v>517</v>
      </c>
      <c r="B381">
        <v>130</v>
      </c>
      <c r="C381" t="s">
        <v>1878</v>
      </c>
    </row>
    <row r="382" spans="1:3" x14ac:dyDescent="0.25">
      <c r="A382">
        <v>518</v>
      </c>
      <c r="B382">
        <v>130</v>
      </c>
      <c r="C382" t="s">
        <v>1879</v>
      </c>
    </row>
    <row r="383" spans="1:3" x14ac:dyDescent="0.25">
      <c r="A383">
        <v>519</v>
      </c>
      <c r="B383">
        <v>130</v>
      </c>
      <c r="C383" t="s">
        <v>1880</v>
      </c>
    </row>
    <row r="384" spans="1:3" x14ac:dyDescent="0.25">
      <c r="A384">
        <v>520</v>
      </c>
      <c r="B384">
        <v>130</v>
      </c>
      <c r="C384" t="s">
        <v>1880</v>
      </c>
    </row>
    <row r="385" spans="1:3" x14ac:dyDescent="0.25">
      <c r="A385">
        <v>521</v>
      </c>
      <c r="B385">
        <v>131</v>
      </c>
      <c r="C385" t="s">
        <v>1876</v>
      </c>
    </row>
    <row r="386" spans="1:3" x14ac:dyDescent="0.25">
      <c r="A386">
        <v>522</v>
      </c>
      <c r="B386">
        <v>131</v>
      </c>
      <c r="C386" t="s">
        <v>1876</v>
      </c>
    </row>
    <row r="387" spans="1:3" x14ac:dyDescent="0.25">
      <c r="A387">
        <v>523</v>
      </c>
      <c r="B387">
        <v>131</v>
      </c>
      <c r="C387" t="s">
        <v>1876</v>
      </c>
    </row>
    <row r="388" spans="1:3" x14ac:dyDescent="0.25">
      <c r="A388">
        <v>524</v>
      </c>
      <c r="B388">
        <v>131</v>
      </c>
      <c r="C388" t="s">
        <v>1876</v>
      </c>
    </row>
    <row r="389" spans="1:3" x14ac:dyDescent="0.25">
      <c r="A389">
        <v>525</v>
      </c>
      <c r="B389">
        <v>131</v>
      </c>
      <c r="C389" t="s">
        <v>1876</v>
      </c>
    </row>
    <row r="390" spans="1:3" x14ac:dyDescent="0.25">
      <c r="A390">
        <v>528</v>
      </c>
      <c r="B390">
        <v>131</v>
      </c>
      <c r="C390" t="s">
        <v>1877</v>
      </c>
    </row>
    <row r="391" spans="1:3" x14ac:dyDescent="0.25">
      <c r="A391">
        <v>529</v>
      </c>
      <c r="B391">
        <v>131</v>
      </c>
      <c r="C391" t="s">
        <v>1878</v>
      </c>
    </row>
    <row r="392" spans="1:3" x14ac:dyDescent="0.25">
      <c r="A392">
        <v>530</v>
      </c>
      <c r="B392">
        <v>131</v>
      </c>
      <c r="C392" t="s">
        <v>1879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4"/>
  <sheetViews>
    <sheetView zoomScale="122" workbookViewId="0">
      <selection activeCell="B26" sqref="B26"/>
    </sheetView>
  </sheetViews>
  <sheetFormatPr defaultRowHeight="15" x14ac:dyDescent="0.25"/>
  <cols>
    <col min="1" max="1" width="11.140625" customWidth="1"/>
    <col min="2" max="2" width="26.28515625" bestFit="1" customWidth="1"/>
    <col min="3" max="3" width="10" customWidth="1"/>
  </cols>
  <sheetData>
    <row r="1" spans="1:3" x14ac:dyDescent="0.25">
      <c r="A1" s="2" t="s">
        <v>30</v>
      </c>
      <c r="B1" s="2" t="s">
        <v>1884</v>
      </c>
      <c r="C1" s="2" t="s">
        <v>36</v>
      </c>
    </row>
    <row r="2" spans="1:3" x14ac:dyDescent="0.25">
      <c r="A2">
        <v>501</v>
      </c>
      <c r="B2" t="s">
        <v>1885</v>
      </c>
      <c r="C2">
        <v>101</v>
      </c>
    </row>
    <row r="3" spans="1:3" x14ac:dyDescent="0.25">
      <c r="A3">
        <v>502</v>
      </c>
      <c r="B3" t="s">
        <v>1886</v>
      </c>
      <c r="C3">
        <v>101</v>
      </c>
    </row>
    <row r="4" spans="1:3" x14ac:dyDescent="0.25">
      <c r="A4">
        <v>503</v>
      </c>
      <c r="B4" t="s">
        <v>1886</v>
      </c>
      <c r="C4">
        <v>101</v>
      </c>
    </row>
    <row r="5" spans="1:3" x14ac:dyDescent="0.25">
      <c r="A5">
        <v>504</v>
      </c>
      <c r="B5" t="s">
        <v>1885</v>
      </c>
      <c r="C5">
        <v>101</v>
      </c>
    </row>
    <row r="6" spans="1:3" x14ac:dyDescent="0.25">
      <c r="A6">
        <v>505</v>
      </c>
      <c r="B6" t="s">
        <v>1886</v>
      </c>
      <c r="C6">
        <v>101</v>
      </c>
    </row>
    <row r="7" spans="1:3" x14ac:dyDescent="0.25">
      <c r="A7">
        <v>506</v>
      </c>
      <c r="B7" t="s">
        <v>1887</v>
      </c>
      <c r="C7">
        <v>102</v>
      </c>
    </row>
    <row r="8" spans="1:3" x14ac:dyDescent="0.25">
      <c r="A8">
        <v>507</v>
      </c>
      <c r="B8" t="s">
        <v>1887</v>
      </c>
      <c r="C8">
        <v>102</v>
      </c>
    </row>
    <row r="9" spans="1:3" x14ac:dyDescent="0.25">
      <c r="A9">
        <v>508</v>
      </c>
      <c r="B9" t="s">
        <v>1885</v>
      </c>
      <c r="C9">
        <v>102</v>
      </c>
    </row>
    <row r="10" spans="1:3" x14ac:dyDescent="0.25">
      <c r="A10">
        <v>509</v>
      </c>
      <c r="B10" t="s">
        <v>1887</v>
      </c>
      <c r="C10">
        <v>102</v>
      </c>
    </row>
    <row r="11" spans="1:3" x14ac:dyDescent="0.25">
      <c r="A11">
        <v>510</v>
      </c>
      <c r="B11" t="s">
        <v>1888</v>
      </c>
      <c r="C11">
        <v>103</v>
      </c>
    </row>
    <row r="12" spans="1:3" x14ac:dyDescent="0.25">
      <c r="A12">
        <v>511</v>
      </c>
      <c r="B12" t="s">
        <v>1888</v>
      </c>
      <c r="C12">
        <v>104</v>
      </c>
    </row>
    <row r="13" spans="1:3" x14ac:dyDescent="0.25">
      <c r="A13">
        <v>512</v>
      </c>
      <c r="B13" t="s">
        <v>1888</v>
      </c>
      <c r="C13">
        <v>104</v>
      </c>
    </row>
    <row r="14" spans="1:3" x14ac:dyDescent="0.25">
      <c r="A14">
        <v>513</v>
      </c>
      <c r="B14" t="s">
        <v>1888</v>
      </c>
      <c r="C14">
        <v>105</v>
      </c>
    </row>
    <row r="15" spans="1:3" x14ac:dyDescent="0.25">
      <c r="A15">
        <v>514</v>
      </c>
      <c r="B15" t="s">
        <v>1889</v>
      </c>
      <c r="C15">
        <v>105</v>
      </c>
    </row>
    <row r="16" spans="1:3" x14ac:dyDescent="0.25">
      <c r="A16">
        <v>515</v>
      </c>
      <c r="B16" t="s">
        <v>1888</v>
      </c>
      <c r="C16">
        <v>106</v>
      </c>
    </row>
    <row r="17" spans="1:3" x14ac:dyDescent="0.25">
      <c r="A17">
        <v>516</v>
      </c>
      <c r="B17" t="s">
        <v>1888</v>
      </c>
      <c r="C17">
        <v>107</v>
      </c>
    </row>
    <row r="18" spans="1:3" x14ac:dyDescent="0.25">
      <c r="A18">
        <v>517</v>
      </c>
      <c r="B18" t="s">
        <v>1888</v>
      </c>
      <c r="C18">
        <v>107</v>
      </c>
    </row>
    <row r="19" spans="1:3" x14ac:dyDescent="0.25">
      <c r="A19">
        <v>518</v>
      </c>
      <c r="B19" t="s">
        <v>1888</v>
      </c>
      <c r="C19">
        <v>107</v>
      </c>
    </row>
    <row r="20" spans="1:3" x14ac:dyDescent="0.25">
      <c r="A20">
        <v>519</v>
      </c>
      <c r="B20" t="s">
        <v>1888</v>
      </c>
      <c r="C20">
        <v>107</v>
      </c>
    </row>
    <row r="21" spans="1:3" x14ac:dyDescent="0.25">
      <c r="A21">
        <v>520</v>
      </c>
      <c r="B21" t="s">
        <v>1888</v>
      </c>
      <c r="C21">
        <v>107</v>
      </c>
    </row>
    <row r="22" spans="1:3" x14ac:dyDescent="0.25">
      <c r="A22">
        <v>521</v>
      </c>
      <c r="B22" t="s">
        <v>1890</v>
      </c>
      <c r="C22">
        <v>108</v>
      </c>
    </row>
    <row r="23" spans="1:3" x14ac:dyDescent="0.25">
      <c r="A23">
        <v>522</v>
      </c>
      <c r="B23" t="s">
        <v>1890</v>
      </c>
      <c r="C23">
        <v>108</v>
      </c>
    </row>
    <row r="24" spans="1:3" x14ac:dyDescent="0.25">
      <c r="A24">
        <v>523</v>
      </c>
      <c r="B24" t="s">
        <v>1890</v>
      </c>
      <c r="C24">
        <v>108</v>
      </c>
    </row>
    <row r="25" spans="1:3" x14ac:dyDescent="0.25">
      <c r="A25">
        <v>524</v>
      </c>
      <c r="B25" t="s">
        <v>1891</v>
      </c>
      <c r="C25">
        <v>109</v>
      </c>
    </row>
    <row r="26" spans="1:3" x14ac:dyDescent="0.25">
      <c r="A26">
        <v>525</v>
      </c>
      <c r="B26" t="s">
        <v>1891</v>
      </c>
      <c r="C26">
        <v>109</v>
      </c>
    </row>
    <row r="27" spans="1:3" x14ac:dyDescent="0.25">
      <c r="A27">
        <v>526</v>
      </c>
      <c r="B27" t="s">
        <v>1892</v>
      </c>
      <c r="C27">
        <v>110</v>
      </c>
    </row>
    <row r="28" spans="1:3" x14ac:dyDescent="0.25">
      <c r="A28">
        <v>527</v>
      </c>
      <c r="B28" t="s">
        <v>1892</v>
      </c>
      <c r="C28">
        <v>110</v>
      </c>
    </row>
    <row r="29" spans="1:3" x14ac:dyDescent="0.25">
      <c r="A29">
        <v>528</v>
      </c>
      <c r="B29" t="s">
        <v>1892</v>
      </c>
      <c r="C29">
        <v>110</v>
      </c>
    </row>
    <row r="30" spans="1:3" x14ac:dyDescent="0.25">
      <c r="A30">
        <v>529</v>
      </c>
      <c r="B30" t="s">
        <v>1888</v>
      </c>
      <c r="C30">
        <v>111</v>
      </c>
    </row>
    <row r="31" spans="1:3" x14ac:dyDescent="0.25">
      <c r="A31">
        <v>530</v>
      </c>
      <c r="B31" t="s">
        <v>1888</v>
      </c>
      <c r="C31">
        <v>112</v>
      </c>
    </row>
    <row r="32" spans="1:3" x14ac:dyDescent="0.25">
      <c r="A32">
        <v>531</v>
      </c>
      <c r="B32" t="s">
        <v>1893</v>
      </c>
      <c r="C32">
        <v>113</v>
      </c>
    </row>
    <row r="33" spans="1:3" x14ac:dyDescent="0.25">
      <c r="A33">
        <v>532</v>
      </c>
      <c r="B33" t="s">
        <v>1893</v>
      </c>
      <c r="C33">
        <v>113</v>
      </c>
    </row>
    <row r="34" spans="1:3" x14ac:dyDescent="0.25">
      <c r="A34">
        <v>533</v>
      </c>
      <c r="B34" t="s">
        <v>1893</v>
      </c>
      <c r="C34">
        <v>113</v>
      </c>
    </row>
    <row r="35" spans="1:3" x14ac:dyDescent="0.25">
      <c r="A35">
        <v>534</v>
      </c>
      <c r="B35" t="s">
        <v>1893</v>
      </c>
      <c r="C35">
        <v>114</v>
      </c>
    </row>
    <row r="36" spans="1:3" x14ac:dyDescent="0.25">
      <c r="A36">
        <v>535</v>
      </c>
      <c r="B36" t="s">
        <v>1894</v>
      </c>
      <c r="C36">
        <v>115</v>
      </c>
    </row>
    <row r="37" spans="1:3" x14ac:dyDescent="0.25">
      <c r="A37">
        <v>536</v>
      </c>
      <c r="B37" t="s">
        <v>1894</v>
      </c>
      <c r="C37">
        <v>116</v>
      </c>
    </row>
    <row r="38" spans="1:3" x14ac:dyDescent="0.25">
      <c r="A38">
        <v>537</v>
      </c>
      <c r="B38" t="s">
        <v>1894</v>
      </c>
      <c r="C38">
        <v>117</v>
      </c>
    </row>
    <row r="39" spans="1:3" x14ac:dyDescent="0.25">
      <c r="A39">
        <v>538</v>
      </c>
      <c r="B39" t="s">
        <v>1894</v>
      </c>
      <c r="C39">
        <v>117</v>
      </c>
    </row>
    <row r="40" spans="1:3" x14ac:dyDescent="0.25">
      <c r="A40">
        <v>539</v>
      </c>
      <c r="B40" t="s">
        <v>1894</v>
      </c>
      <c r="C40">
        <v>117</v>
      </c>
    </row>
    <row r="41" spans="1:3" x14ac:dyDescent="0.25">
      <c r="A41">
        <v>540</v>
      </c>
      <c r="B41" t="s">
        <v>1888</v>
      </c>
      <c r="C41">
        <v>118</v>
      </c>
    </row>
    <row r="42" spans="1:3" x14ac:dyDescent="0.25">
      <c r="A42">
        <v>541</v>
      </c>
      <c r="B42" t="s">
        <v>1885</v>
      </c>
      <c r="C42">
        <v>118</v>
      </c>
    </row>
    <row r="43" spans="1:3" x14ac:dyDescent="0.25">
      <c r="A43">
        <v>542</v>
      </c>
      <c r="B43" t="s">
        <v>1895</v>
      </c>
      <c r="C43">
        <v>119</v>
      </c>
    </row>
    <row r="44" spans="1:3" x14ac:dyDescent="0.25">
      <c r="A44">
        <v>543</v>
      </c>
      <c r="B44" t="s">
        <v>1895</v>
      </c>
      <c r="C44">
        <v>119</v>
      </c>
    </row>
    <row r="45" spans="1:3" x14ac:dyDescent="0.25">
      <c r="A45">
        <v>544</v>
      </c>
      <c r="B45" t="s">
        <v>1895</v>
      </c>
      <c r="C45">
        <v>119</v>
      </c>
    </row>
    <row r="46" spans="1:3" x14ac:dyDescent="0.25">
      <c r="A46">
        <v>545</v>
      </c>
      <c r="B46" t="s">
        <v>1889</v>
      </c>
      <c r="C46">
        <v>119</v>
      </c>
    </row>
    <row r="47" spans="1:3" x14ac:dyDescent="0.25">
      <c r="A47">
        <v>546</v>
      </c>
      <c r="B47" t="s">
        <v>1896</v>
      </c>
      <c r="C47">
        <v>120</v>
      </c>
    </row>
    <row r="48" spans="1:3" x14ac:dyDescent="0.25">
      <c r="A48">
        <v>547</v>
      </c>
      <c r="B48" t="s">
        <v>1897</v>
      </c>
      <c r="C48">
        <v>121</v>
      </c>
    </row>
    <row r="49" spans="1:3" x14ac:dyDescent="0.25">
      <c r="A49">
        <v>548</v>
      </c>
      <c r="B49" t="s">
        <v>1897</v>
      </c>
      <c r="C49">
        <v>121</v>
      </c>
    </row>
    <row r="50" spans="1:3" x14ac:dyDescent="0.25">
      <c r="A50">
        <v>549</v>
      </c>
      <c r="B50" t="s">
        <v>1897</v>
      </c>
      <c r="C50">
        <v>121</v>
      </c>
    </row>
    <row r="51" spans="1:3" x14ac:dyDescent="0.25">
      <c r="A51">
        <v>550</v>
      </c>
      <c r="B51" t="s">
        <v>1888</v>
      </c>
      <c r="C51">
        <v>122</v>
      </c>
    </row>
    <row r="52" spans="1:3" x14ac:dyDescent="0.25">
      <c r="A52">
        <v>551</v>
      </c>
      <c r="B52" t="s">
        <v>1898</v>
      </c>
      <c r="C52">
        <v>123</v>
      </c>
    </row>
    <row r="53" spans="1:3" x14ac:dyDescent="0.25">
      <c r="A53">
        <v>552</v>
      </c>
      <c r="B53" t="s">
        <v>1889</v>
      </c>
      <c r="C53">
        <v>124</v>
      </c>
    </row>
    <row r="54" spans="1:3" x14ac:dyDescent="0.25">
      <c r="A54">
        <v>553</v>
      </c>
      <c r="B54" t="s">
        <v>1889</v>
      </c>
      <c r="C54">
        <v>125</v>
      </c>
    </row>
    <row r="55" spans="1:3" x14ac:dyDescent="0.25">
      <c r="A55">
        <v>554</v>
      </c>
      <c r="B55" t="s">
        <v>1888</v>
      </c>
      <c r="C55">
        <v>126</v>
      </c>
    </row>
    <row r="56" spans="1:3" x14ac:dyDescent="0.25">
      <c r="A56">
        <v>555</v>
      </c>
      <c r="B56" t="s">
        <v>1888</v>
      </c>
      <c r="C56">
        <v>127</v>
      </c>
    </row>
    <row r="57" spans="1:3" x14ac:dyDescent="0.25">
      <c r="A57">
        <v>556</v>
      </c>
      <c r="B57" t="s">
        <v>1893</v>
      </c>
      <c r="C57">
        <v>128</v>
      </c>
    </row>
    <row r="58" spans="1:3" x14ac:dyDescent="0.25">
      <c r="A58">
        <v>557</v>
      </c>
      <c r="B58" t="s">
        <v>1888</v>
      </c>
      <c r="C58">
        <v>129</v>
      </c>
    </row>
    <row r="59" spans="1:3" x14ac:dyDescent="0.25">
      <c r="A59">
        <v>558</v>
      </c>
      <c r="B59" t="s">
        <v>1885</v>
      </c>
      <c r="C59">
        <v>130</v>
      </c>
    </row>
    <row r="60" spans="1:3" x14ac:dyDescent="0.25">
      <c r="A60">
        <v>559</v>
      </c>
      <c r="B60" t="s">
        <v>1885</v>
      </c>
      <c r="C60">
        <v>130</v>
      </c>
    </row>
    <row r="61" spans="1:3" x14ac:dyDescent="0.25">
      <c r="A61">
        <v>560</v>
      </c>
      <c r="B61" t="s">
        <v>1885</v>
      </c>
      <c r="C61">
        <v>130</v>
      </c>
    </row>
    <row r="62" spans="1:3" x14ac:dyDescent="0.25">
      <c r="A62">
        <v>561</v>
      </c>
      <c r="B62" t="s">
        <v>1899</v>
      </c>
      <c r="C62">
        <v>131</v>
      </c>
    </row>
    <row r="63" spans="1:3" x14ac:dyDescent="0.25">
      <c r="A63">
        <v>562</v>
      </c>
      <c r="B63" t="s">
        <v>1899</v>
      </c>
      <c r="C63">
        <v>131</v>
      </c>
    </row>
    <row r="64" spans="1:3" x14ac:dyDescent="0.25">
      <c r="A64">
        <v>563</v>
      </c>
      <c r="B64" t="s">
        <v>1899</v>
      </c>
      <c r="C64">
        <v>131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1"/>
  <sheetViews>
    <sheetView zoomScale="135" workbookViewId="0">
      <selection activeCell="F24" sqref="F24"/>
    </sheetView>
  </sheetViews>
  <sheetFormatPr defaultRowHeight="15" x14ac:dyDescent="0.25"/>
  <cols>
    <col min="1" max="1" width="14.42578125" customWidth="1"/>
    <col min="2" max="2" width="11.140625" customWidth="1"/>
    <col min="3" max="3" width="12.28515625" customWidth="1"/>
    <col min="4" max="4" width="10.5703125" bestFit="1" customWidth="1"/>
    <col min="5" max="5" width="17.28515625" style="1" customWidth="1"/>
    <col min="6" max="6" width="16.7109375" style="1" customWidth="1"/>
    <col min="7" max="7" width="10" customWidth="1"/>
    <col min="8" max="8" width="20" customWidth="1"/>
  </cols>
  <sheetData>
    <row r="1" spans="1:8" x14ac:dyDescent="0.25">
      <c r="A1" s="2" t="s">
        <v>1882</v>
      </c>
      <c r="B1" s="2" t="s">
        <v>1883</v>
      </c>
      <c r="C1" s="2" t="s">
        <v>1</v>
      </c>
      <c r="D1" s="2" t="s">
        <v>32</v>
      </c>
      <c r="E1" s="4" t="s">
        <v>33</v>
      </c>
      <c r="F1" s="4" t="s">
        <v>34</v>
      </c>
      <c r="G1" s="2" t="s">
        <v>35</v>
      </c>
      <c r="H1" s="2" t="s">
        <v>6</v>
      </c>
    </row>
    <row r="2" spans="1:8" x14ac:dyDescent="0.25">
      <c r="A2">
        <v>500001</v>
      </c>
      <c r="B2">
        <v>34</v>
      </c>
      <c r="C2">
        <v>1170</v>
      </c>
      <c r="D2">
        <v>3418</v>
      </c>
      <c r="E2" s="1">
        <v>45643</v>
      </c>
      <c r="F2" s="1">
        <v>45650</v>
      </c>
      <c r="G2">
        <v>91007</v>
      </c>
      <c r="H2" t="s">
        <v>10</v>
      </c>
    </row>
    <row r="3" spans="1:8" x14ac:dyDescent="0.25">
      <c r="A3">
        <v>500002</v>
      </c>
      <c r="B3">
        <v>312</v>
      </c>
      <c r="C3">
        <v>223</v>
      </c>
      <c r="D3">
        <v>3236</v>
      </c>
      <c r="E3" s="1">
        <v>45708</v>
      </c>
      <c r="F3" s="1">
        <v>45712</v>
      </c>
      <c r="G3">
        <v>58029</v>
      </c>
      <c r="H3" t="s">
        <v>10</v>
      </c>
    </row>
    <row r="4" spans="1:8" x14ac:dyDescent="0.25">
      <c r="A4">
        <v>500003</v>
      </c>
      <c r="B4">
        <v>185</v>
      </c>
      <c r="C4">
        <v>463</v>
      </c>
      <c r="D4">
        <v>3221</v>
      </c>
      <c r="E4" s="1">
        <v>45657</v>
      </c>
      <c r="F4" s="1">
        <v>45660</v>
      </c>
      <c r="G4">
        <v>65889</v>
      </c>
      <c r="H4" t="s">
        <v>10</v>
      </c>
    </row>
    <row r="5" spans="1:8" x14ac:dyDescent="0.25">
      <c r="A5">
        <v>500004</v>
      </c>
      <c r="B5">
        <v>368</v>
      </c>
      <c r="C5">
        <v>873</v>
      </c>
      <c r="D5">
        <v>3268</v>
      </c>
      <c r="E5" s="1">
        <v>45753</v>
      </c>
      <c r="F5" s="1">
        <v>45755</v>
      </c>
      <c r="G5">
        <v>30495</v>
      </c>
      <c r="H5" t="s">
        <v>14</v>
      </c>
    </row>
    <row r="6" spans="1:8" x14ac:dyDescent="0.25">
      <c r="A6">
        <v>500005</v>
      </c>
      <c r="B6">
        <v>202</v>
      </c>
      <c r="C6">
        <v>515</v>
      </c>
      <c r="D6">
        <v>3200</v>
      </c>
      <c r="E6" s="1">
        <v>45743</v>
      </c>
      <c r="F6" s="1">
        <v>45748</v>
      </c>
      <c r="G6">
        <v>73313</v>
      </c>
      <c r="H6" t="s">
        <v>25</v>
      </c>
    </row>
    <row r="7" spans="1:8" x14ac:dyDescent="0.25">
      <c r="A7">
        <v>500006</v>
      </c>
      <c r="B7">
        <v>264</v>
      </c>
      <c r="C7">
        <v>831</v>
      </c>
      <c r="D7">
        <v>3198</v>
      </c>
      <c r="E7" s="1">
        <v>45799</v>
      </c>
      <c r="F7" s="1">
        <v>45802</v>
      </c>
      <c r="G7">
        <v>42932</v>
      </c>
      <c r="H7" t="s">
        <v>10</v>
      </c>
    </row>
    <row r="8" spans="1:8" x14ac:dyDescent="0.25">
      <c r="A8">
        <v>500007</v>
      </c>
      <c r="B8">
        <v>445</v>
      </c>
      <c r="C8">
        <v>1123</v>
      </c>
      <c r="D8">
        <v>3281</v>
      </c>
      <c r="E8" s="1">
        <v>45698</v>
      </c>
      <c r="F8" s="1">
        <v>45699</v>
      </c>
      <c r="G8">
        <v>25093</v>
      </c>
      <c r="H8" t="s">
        <v>14</v>
      </c>
    </row>
    <row r="9" spans="1:8" x14ac:dyDescent="0.25">
      <c r="A9">
        <v>500008</v>
      </c>
      <c r="B9">
        <v>48</v>
      </c>
      <c r="C9">
        <v>1320</v>
      </c>
      <c r="D9">
        <v>3472</v>
      </c>
      <c r="E9" s="1">
        <v>45801</v>
      </c>
      <c r="F9" s="1">
        <v>45808</v>
      </c>
      <c r="G9">
        <v>70923</v>
      </c>
      <c r="H9" t="s">
        <v>14</v>
      </c>
    </row>
    <row r="10" spans="1:8" x14ac:dyDescent="0.25">
      <c r="A10">
        <v>500009</v>
      </c>
      <c r="B10">
        <v>470</v>
      </c>
      <c r="C10">
        <v>1587</v>
      </c>
      <c r="D10">
        <v>3207</v>
      </c>
      <c r="E10" s="1">
        <v>45788</v>
      </c>
      <c r="F10" s="1">
        <v>45794</v>
      </c>
      <c r="G10">
        <v>89296</v>
      </c>
      <c r="H10" t="s">
        <v>10</v>
      </c>
    </row>
    <row r="11" spans="1:8" x14ac:dyDescent="0.25">
      <c r="A11">
        <v>500010</v>
      </c>
      <c r="B11">
        <v>199</v>
      </c>
      <c r="C11">
        <v>1575</v>
      </c>
      <c r="D11">
        <v>3175</v>
      </c>
      <c r="E11" s="1">
        <v>45736</v>
      </c>
      <c r="F11" s="1">
        <v>45738</v>
      </c>
      <c r="G11">
        <v>39742</v>
      </c>
      <c r="H11" t="s">
        <v>25</v>
      </c>
    </row>
    <row r="12" spans="1:8" x14ac:dyDescent="0.25">
      <c r="A12">
        <v>500011</v>
      </c>
      <c r="B12">
        <v>218</v>
      </c>
      <c r="C12">
        <v>256</v>
      </c>
      <c r="D12">
        <v>3386</v>
      </c>
      <c r="E12" s="1">
        <v>45690</v>
      </c>
      <c r="F12" s="1">
        <v>45692</v>
      </c>
      <c r="G12">
        <v>70917</v>
      </c>
      <c r="H12" t="s">
        <v>25</v>
      </c>
    </row>
    <row r="13" spans="1:8" x14ac:dyDescent="0.25">
      <c r="A13">
        <v>500012</v>
      </c>
      <c r="B13">
        <v>138</v>
      </c>
      <c r="C13">
        <v>1318</v>
      </c>
      <c r="D13">
        <v>3425</v>
      </c>
      <c r="E13" s="1">
        <v>45627</v>
      </c>
      <c r="F13" s="1">
        <v>45635</v>
      </c>
      <c r="G13">
        <v>112998</v>
      </c>
      <c r="H13" t="s">
        <v>10</v>
      </c>
    </row>
    <row r="14" spans="1:8" x14ac:dyDescent="0.25">
      <c r="A14">
        <v>500013</v>
      </c>
      <c r="B14">
        <v>158</v>
      </c>
      <c r="C14">
        <v>1454</v>
      </c>
      <c r="D14">
        <v>3378</v>
      </c>
      <c r="E14" s="1">
        <v>45773</v>
      </c>
      <c r="F14" s="1">
        <v>45777</v>
      </c>
      <c r="G14">
        <v>98978</v>
      </c>
      <c r="H14" t="s">
        <v>10</v>
      </c>
    </row>
    <row r="15" spans="1:8" x14ac:dyDescent="0.25">
      <c r="A15">
        <v>500014</v>
      </c>
      <c r="B15">
        <v>485</v>
      </c>
      <c r="C15">
        <v>1217</v>
      </c>
      <c r="D15">
        <v>3046</v>
      </c>
      <c r="E15" s="1">
        <v>45626</v>
      </c>
      <c r="F15" s="1">
        <v>45631</v>
      </c>
      <c r="G15">
        <v>58461</v>
      </c>
      <c r="H15" t="s">
        <v>10</v>
      </c>
    </row>
    <row r="16" spans="1:8" x14ac:dyDescent="0.25">
      <c r="A16">
        <v>500015</v>
      </c>
      <c r="B16">
        <v>45</v>
      </c>
      <c r="C16">
        <v>1224</v>
      </c>
      <c r="D16">
        <v>3145</v>
      </c>
      <c r="E16" s="1">
        <v>45609</v>
      </c>
      <c r="F16" s="1">
        <v>45616</v>
      </c>
      <c r="G16">
        <v>104747</v>
      </c>
      <c r="H16" t="s">
        <v>14</v>
      </c>
    </row>
    <row r="17" spans="1:8" x14ac:dyDescent="0.25">
      <c r="A17">
        <v>500016</v>
      </c>
      <c r="B17">
        <v>434</v>
      </c>
      <c r="C17">
        <v>1336</v>
      </c>
      <c r="D17">
        <v>3029</v>
      </c>
      <c r="E17" s="1">
        <v>45653</v>
      </c>
      <c r="F17" s="1">
        <v>45659</v>
      </c>
      <c r="G17">
        <v>129100</v>
      </c>
      <c r="H17" t="s">
        <v>10</v>
      </c>
    </row>
    <row r="18" spans="1:8" x14ac:dyDescent="0.25">
      <c r="A18">
        <v>500017</v>
      </c>
      <c r="B18">
        <v>120</v>
      </c>
      <c r="C18">
        <v>1065</v>
      </c>
      <c r="D18">
        <v>3374</v>
      </c>
      <c r="E18" s="1">
        <v>45681</v>
      </c>
      <c r="F18" s="1">
        <v>45684</v>
      </c>
      <c r="G18">
        <v>53409</v>
      </c>
      <c r="H18" t="s">
        <v>10</v>
      </c>
    </row>
    <row r="19" spans="1:8" x14ac:dyDescent="0.25">
      <c r="A19">
        <v>500018</v>
      </c>
      <c r="B19">
        <v>405</v>
      </c>
      <c r="C19">
        <v>438</v>
      </c>
      <c r="D19">
        <v>3094</v>
      </c>
      <c r="E19" s="1">
        <v>45744</v>
      </c>
      <c r="F19" s="1">
        <v>45745</v>
      </c>
      <c r="G19">
        <v>23552</v>
      </c>
      <c r="H19" t="s">
        <v>10</v>
      </c>
    </row>
    <row r="20" spans="1:8" x14ac:dyDescent="0.25">
      <c r="A20">
        <v>500019</v>
      </c>
      <c r="B20">
        <v>139</v>
      </c>
      <c r="C20">
        <v>735</v>
      </c>
      <c r="D20">
        <v>3466</v>
      </c>
      <c r="E20" s="1">
        <v>45784</v>
      </c>
      <c r="F20" s="1">
        <v>45786</v>
      </c>
      <c r="G20">
        <v>26020</v>
      </c>
      <c r="H20" t="s">
        <v>10</v>
      </c>
    </row>
    <row r="21" spans="1:8" x14ac:dyDescent="0.25">
      <c r="A21">
        <v>500020</v>
      </c>
      <c r="B21">
        <v>388</v>
      </c>
      <c r="C21">
        <v>146</v>
      </c>
      <c r="D21">
        <v>3422</v>
      </c>
      <c r="E21" s="1">
        <v>45778</v>
      </c>
      <c r="F21" s="1">
        <v>45782</v>
      </c>
      <c r="G21">
        <v>48517</v>
      </c>
      <c r="H21" t="s">
        <v>10</v>
      </c>
    </row>
    <row r="22" spans="1:8" x14ac:dyDescent="0.25">
      <c r="A22">
        <v>500021</v>
      </c>
      <c r="B22">
        <v>372</v>
      </c>
      <c r="C22">
        <v>577</v>
      </c>
      <c r="D22">
        <v>3105</v>
      </c>
      <c r="E22" s="1">
        <v>45658</v>
      </c>
      <c r="F22" s="1">
        <v>45659</v>
      </c>
      <c r="G22">
        <v>25762</v>
      </c>
      <c r="H22" t="s">
        <v>14</v>
      </c>
    </row>
    <row r="23" spans="1:8" x14ac:dyDescent="0.25">
      <c r="A23">
        <v>500022</v>
      </c>
      <c r="B23">
        <v>370</v>
      </c>
      <c r="C23">
        <v>1442</v>
      </c>
      <c r="D23">
        <v>3339</v>
      </c>
      <c r="E23" s="1">
        <v>45645</v>
      </c>
      <c r="F23" s="1">
        <v>45650</v>
      </c>
      <c r="G23">
        <v>54420</v>
      </c>
      <c r="H23" t="s">
        <v>10</v>
      </c>
    </row>
    <row r="24" spans="1:8" x14ac:dyDescent="0.25">
      <c r="A24">
        <v>500023</v>
      </c>
      <c r="B24">
        <v>172</v>
      </c>
      <c r="C24">
        <v>1329</v>
      </c>
      <c r="D24">
        <v>3111</v>
      </c>
      <c r="E24" s="1">
        <v>45788</v>
      </c>
      <c r="F24" s="1">
        <v>45795</v>
      </c>
      <c r="G24">
        <v>84322</v>
      </c>
      <c r="H24" t="s">
        <v>25</v>
      </c>
    </row>
    <row r="25" spans="1:8" x14ac:dyDescent="0.25">
      <c r="A25">
        <v>500024</v>
      </c>
      <c r="B25">
        <v>403</v>
      </c>
      <c r="C25">
        <v>1135</v>
      </c>
      <c r="D25">
        <v>3454</v>
      </c>
      <c r="E25" s="1">
        <v>45733</v>
      </c>
      <c r="F25" s="1">
        <v>45737</v>
      </c>
      <c r="G25">
        <v>56363</v>
      </c>
      <c r="H25" t="s">
        <v>25</v>
      </c>
    </row>
    <row r="26" spans="1:8" x14ac:dyDescent="0.25">
      <c r="A26">
        <v>500025</v>
      </c>
      <c r="B26">
        <v>173</v>
      </c>
      <c r="C26">
        <v>1481</v>
      </c>
      <c r="D26">
        <v>3010</v>
      </c>
      <c r="E26" s="1">
        <v>45630</v>
      </c>
      <c r="F26" s="1">
        <v>45637</v>
      </c>
      <c r="G26">
        <v>57219</v>
      </c>
      <c r="H26" t="s">
        <v>14</v>
      </c>
    </row>
    <row r="27" spans="1:8" x14ac:dyDescent="0.25">
      <c r="A27">
        <v>500026</v>
      </c>
      <c r="B27">
        <v>215</v>
      </c>
      <c r="C27">
        <v>1583</v>
      </c>
      <c r="D27">
        <v>3200</v>
      </c>
      <c r="E27" s="1">
        <v>45754</v>
      </c>
      <c r="F27" s="1">
        <v>45762</v>
      </c>
      <c r="G27">
        <v>99364</v>
      </c>
      <c r="H27" t="s">
        <v>10</v>
      </c>
    </row>
    <row r="28" spans="1:8" x14ac:dyDescent="0.25">
      <c r="A28">
        <v>500027</v>
      </c>
      <c r="B28">
        <v>367</v>
      </c>
      <c r="C28">
        <v>856</v>
      </c>
      <c r="D28">
        <v>3404</v>
      </c>
      <c r="E28" s="1">
        <v>45801</v>
      </c>
      <c r="F28" s="1">
        <v>45808</v>
      </c>
      <c r="G28">
        <v>139255</v>
      </c>
      <c r="H28" t="s">
        <v>10</v>
      </c>
    </row>
    <row r="29" spans="1:8" x14ac:dyDescent="0.25">
      <c r="A29">
        <v>500028</v>
      </c>
      <c r="B29">
        <v>78</v>
      </c>
      <c r="C29">
        <v>1097</v>
      </c>
      <c r="D29">
        <v>3177</v>
      </c>
      <c r="E29" s="1">
        <v>45636</v>
      </c>
      <c r="F29" s="1">
        <v>45641</v>
      </c>
      <c r="G29">
        <v>97283</v>
      </c>
      <c r="H29" t="s">
        <v>10</v>
      </c>
    </row>
    <row r="30" spans="1:8" x14ac:dyDescent="0.25">
      <c r="A30">
        <v>500029</v>
      </c>
      <c r="B30">
        <v>32</v>
      </c>
      <c r="C30">
        <v>859</v>
      </c>
      <c r="D30">
        <v>3434</v>
      </c>
      <c r="E30" s="1">
        <v>45794</v>
      </c>
      <c r="F30" s="1">
        <v>45799</v>
      </c>
      <c r="G30">
        <v>69904</v>
      </c>
      <c r="H30" t="s">
        <v>10</v>
      </c>
    </row>
    <row r="31" spans="1:8" x14ac:dyDescent="0.25">
      <c r="A31">
        <v>500030</v>
      </c>
      <c r="B31">
        <v>74</v>
      </c>
      <c r="C31">
        <v>1452</v>
      </c>
      <c r="D31">
        <v>3129</v>
      </c>
      <c r="E31" s="1">
        <v>45654</v>
      </c>
      <c r="F31" s="1">
        <v>45658</v>
      </c>
      <c r="G31">
        <v>88168</v>
      </c>
      <c r="H31" t="s">
        <v>14</v>
      </c>
    </row>
    <row r="32" spans="1:8" x14ac:dyDescent="0.25">
      <c r="A32">
        <v>500031</v>
      </c>
      <c r="B32">
        <v>79</v>
      </c>
      <c r="C32">
        <v>934</v>
      </c>
      <c r="D32">
        <v>3261</v>
      </c>
      <c r="E32" s="1">
        <v>45611</v>
      </c>
      <c r="F32" s="1">
        <v>45615</v>
      </c>
      <c r="G32">
        <v>74848</v>
      </c>
      <c r="H32" t="s">
        <v>10</v>
      </c>
    </row>
    <row r="33" spans="1:8" x14ac:dyDescent="0.25">
      <c r="A33">
        <v>500032</v>
      </c>
      <c r="B33">
        <v>233</v>
      </c>
      <c r="C33">
        <v>1500</v>
      </c>
      <c r="D33">
        <v>3122</v>
      </c>
      <c r="E33" s="1">
        <v>45687</v>
      </c>
      <c r="F33" s="1">
        <v>45689</v>
      </c>
      <c r="G33">
        <v>27048</v>
      </c>
      <c r="H33" t="s">
        <v>14</v>
      </c>
    </row>
    <row r="34" spans="1:8" x14ac:dyDescent="0.25">
      <c r="A34">
        <v>500033</v>
      </c>
      <c r="B34">
        <v>509</v>
      </c>
      <c r="C34">
        <v>155</v>
      </c>
      <c r="D34">
        <v>3476</v>
      </c>
      <c r="E34" s="1">
        <v>45654</v>
      </c>
      <c r="F34" s="1">
        <v>45658</v>
      </c>
      <c r="G34">
        <v>51289</v>
      </c>
      <c r="H34" t="s">
        <v>10</v>
      </c>
    </row>
    <row r="35" spans="1:8" x14ac:dyDescent="0.25">
      <c r="A35">
        <v>500034</v>
      </c>
      <c r="B35">
        <v>137</v>
      </c>
      <c r="C35">
        <v>737</v>
      </c>
      <c r="D35">
        <v>3180</v>
      </c>
      <c r="E35" s="1">
        <v>45685</v>
      </c>
      <c r="F35" s="1">
        <v>45691</v>
      </c>
      <c r="G35">
        <v>45916</v>
      </c>
      <c r="H35" t="s">
        <v>14</v>
      </c>
    </row>
    <row r="36" spans="1:8" x14ac:dyDescent="0.25">
      <c r="A36">
        <v>500035</v>
      </c>
      <c r="B36">
        <v>201</v>
      </c>
      <c r="C36">
        <v>1592</v>
      </c>
      <c r="D36">
        <v>3280</v>
      </c>
      <c r="E36" s="1">
        <v>45733</v>
      </c>
      <c r="F36" s="1">
        <v>45734</v>
      </c>
      <c r="G36">
        <v>21985</v>
      </c>
      <c r="H36" t="s">
        <v>14</v>
      </c>
    </row>
    <row r="37" spans="1:8" x14ac:dyDescent="0.25">
      <c r="A37">
        <v>500036</v>
      </c>
      <c r="B37">
        <v>264</v>
      </c>
      <c r="C37">
        <v>306</v>
      </c>
      <c r="D37">
        <v>3275</v>
      </c>
      <c r="E37" s="1">
        <v>45744</v>
      </c>
      <c r="F37" s="1">
        <v>45747</v>
      </c>
      <c r="G37">
        <v>82041</v>
      </c>
      <c r="H37" t="s">
        <v>10</v>
      </c>
    </row>
    <row r="38" spans="1:8" x14ac:dyDescent="0.25">
      <c r="A38">
        <v>500037</v>
      </c>
      <c r="B38">
        <v>219</v>
      </c>
      <c r="C38">
        <v>298</v>
      </c>
      <c r="D38">
        <v>3312</v>
      </c>
      <c r="E38" s="1">
        <v>45665</v>
      </c>
      <c r="F38" s="1">
        <v>45667</v>
      </c>
      <c r="G38">
        <v>29130</v>
      </c>
      <c r="H38" t="s">
        <v>14</v>
      </c>
    </row>
    <row r="39" spans="1:8" x14ac:dyDescent="0.25">
      <c r="A39">
        <v>500038</v>
      </c>
      <c r="B39">
        <v>267</v>
      </c>
      <c r="C39">
        <v>754</v>
      </c>
      <c r="D39">
        <v>3470</v>
      </c>
      <c r="E39" s="1">
        <v>45790</v>
      </c>
      <c r="F39" s="1">
        <v>45805</v>
      </c>
      <c r="G39">
        <v>175925</v>
      </c>
      <c r="H39" t="s">
        <v>10</v>
      </c>
    </row>
    <row r="40" spans="1:8" x14ac:dyDescent="0.25">
      <c r="A40">
        <v>500039</v>
      </c>
      <c r="B40">
        <v>324</v>
      </c>
      <c r="C40">
        <v>1138</v>
      </c>
      <c r="D40">
        <v>3045</v>
      </c>
      <c r="E40" s="1">
        <v>45640</v>
      </c>
      <c r="F40" s="1">
        <v>45648</v>
      </c>
      <c r="G40">
        <v>142423</v>
      </c>
      <c r="H40" t="s">
        <v>10</v>
      </c>
    </row>
    <row r="41" spans="1:8" x14ac:dyDescent="0.25">
      <c r="A41">
        <v>500040</v>
      </c>
      <c r="B41">
        <v>34</v>
      </c>
      <c r="C41">
        <v>229</v>
      </c>
      <c r="D41">
        <v>3112</v>
      </c>
      <c r="E41" s="1">
        <v>45803</v>
      </c>
      <c r="F41" s="1">
        <v>45805</v>
      </c>
      <c r="G41">
        <v>28437</v>
      </c>
      <c r="H41" t="s">
        <v>14</v>
      </c>
    </row>
    <row r="42" spans="1:8" x14ac:dyDescent="0.25">
      <c r="A42">
        <v>500041</v>
      </c>
      <c r="B42">
        <v>419</v>
      </c>
      <c r="C42">
        <v>439</v>
      </c>
      <c r="D42">
        <v>3165</v>
      </c>
      <c r="E42" s="1">
        <v>45611</v>
      </c>
      <c r="F42" s="1">
        <v>45614</v>
      </c>
      <c r="G42">
        <v>38958</v>
      </c>
      <c r="H42" t="s">
        <v>14</v>
      </c>
    </row>
    <row r="43" spans="1:8" x14ac:dyDescent="0.25">
      <c r="A43">
        <v>500042</v>
      </c>
      <c r="B43">
        <v>159</v>
      </c>
      <c r="C43">
        <v>550</v>
      </c>
      <c r="D43">
        <v>3140</v>
      </c>
      <c r="E43" s="1">
        <v>45760</v>
      </c>
      <c r="F43" s="1">
        <v>45765</v>
      </c>
      <c r="G43">
        <v>80887</v>
      </c>
      <c r="H43" t="s">
        <v>10</v>
      </c>
    </row>
    <row r="44" spans="1:8" x14ac:dyDescent="0.25">
      <c r="A44">
        <v>500043</v>
      </c>
      <c r="B44">
        <v>16</v>
      </c>
      <c r="C44">
        <v>722</v>
      </c>
      <c r="D44">
        <v>3070</v>
      </c>
      <c r="E44" s="1">
        <v>45747</v>
      </c>
      <c r="F44" s="1">
        <v>45748</v>
      </c>
      <c r="G44">
        <v>25122</v>
      </c>
      <c r="H44" t="s">
        <v>14</v>
      </c>
    </row>
    <row r="45" spans="1:8" x14ac:dyDescent="0.25">
      <c r="A45">
        <v>500044</v>
      </c>
      <c r="B45">
        <v>389</v>
      </c>
      <c r="C45">
        <v>221</v>
      </c>
      <c r="D45">
        <v>3135</v>
      </c>
      <c r="E45" s="1">
        <v>45768</v>
      </c>
      <c r="F45" s="1">
        <v>45769</v>
      </c>
      <c r="G45">
        <v>21625</v>
      </c>
      <c r="H45" t="s">
        <v>10</v>
      </c>
    </row>
    <row r="46" spans="1:8" x14ac:dyDescent="0.25">
      <c r="A46">
        <v>500045</v>
      </c>
      <c r="B46">
        <v>244</v>
      </c>
      <c r="C46">
        <v>783</v>
      </c>
      <c r="D46">
        <v>3203</v>
      </c>
      <c r="E46" s="1">
        <v>45762</v>
      </c>
      <c r="F46" s="1">
        <v>45765</v>
      </c>
      <c r="G46">
        <v>81379</v>
      </c>
      <c r="H46" t="s">
        <v>25</v>
      </c>
    </row>
    <row r="47" spans="1:8" x14ac:dyDescent="0.25">
      <c r="A47">
        <v>500046</v>
      </c>
      <c r="B47">
        <v>231</v>
      </c>
      <c r="C47">
        <v>1232</v>
      </c>
      <c r="D47">
        <v>3180</v>
      </c>
      <c r="E47" s="1">
        <v>45692</v>
      </c>
      <c r="F47" s="1">
        <v>45700</v>
      </c>
      <c r="G47">
        <v>196276</v>
      </c>
      <c r="H47" t="s">
        <v>14</v>
      </c>
    </row>
    <row r="48" spans="1:8" x14ac:dyDescent="0.25">
      <c r="A48">
        <v>500047</v>
      </c>
      <c r="B48">
        <v>14</v>
      </c>
      <c r="C48">
        <v>1261</v>
      </c>
      <c r="D48">
        <v>3366</v>
      </c>
      <c r="E48" s="1">
        <v>45779</v>
      </c>
      <c r="F48" s="1">
        <v>45783</v>
      </c>
      <c r="G48">
        <v>33978</v>
      </c>
      <c r="H48" t="s">
        <v>10</v>
      </c>
    </row>
    <row r="49" spans="1:8" x14ac:dyDescent="0.25">
      <c r="A49">
        <v>500048</v>
      </c>
      <c r="B49">
        <v>185</v>
      </c>
      <c r="C49">
        <v>1417</v>
      </c>
      <c r="D49">
        <v>3365</v>
      </c>
      <c r="E49" s="1">
        <v>45706</v>
      </c>
      <c r="F49" s="1">
        <v>45730</v>
      </c>
      <c r="G49">
        <v>270771</v>
      </c>
      <c r="H49" t="s">
        <v>10</v>
      </c>
    </row>
    <row r="50" spans="1:8" x14ac:dyDescent="0.25">
      <c r="A50">
        <v>500049</v>
      </c>
      <c r="B50">
        <v>328</v>
      </c>
      <c r="C50">
        <v>509</v>
      </c>
      <c r="D50">
        <v>3360</v>
      </c>
      <c r="E50" s="1">
        <v>45717</v>
      </c>
      <c r="F50" s="1">
        <v>45719</v>
      </c>
      <c r="G50">
        <v>38864</v>
      </c>
      <c r="H50" t="s">
        <v>14</v>
      </c>
    </row>
    <row r="51" spans="1:8" x14ac:dyDescent="0.25">
      <c r="A51">
        <v>500050</v>
      </c>
      <c r="B51">
        <v>402</v>
      </c>
      <c r="C51">
        <v>1162</v>
      </c>
      <c r="D51">
        <v>3269</v>
      </c>
      <c r="E51" s="1">
        <v>45635</v>
      </c>
      <c r="F51" s="1">
        <v>45636</v>
      </c>
      <c r="G51">
        <v>38463</v>
      </c>
      <c r="H51" t="s">
        <v>10</v>
      </c>
    </row>
    <row r="52" spans="1:8" x14ac:dyDescent="0.25">
      <c r="A52">
        <v>500051</v>
      </c>
      <c r="B52">
        <v>216</v>
      </c>
      <c r="C52">
        <v>1003</v>
      </c>
      <c r="D52">
        <v>3371</v>
      </c>
      <c r="E52" s="1">
        <v>45650</v>
      </c>
      <c r="F52" s="1">
        <v>45655</v>
      </c>
      <c r="G52">
        <v>62401</v>
      </c>
      <c r="H52" t="s">
        <v>10</v>
      </c>
    </row>
    <row r="53" spans="1:8" x14ac:dyDescent="0.25">
      <c r="A53">
        <v>500052</v>
      </c>
      <c r="B53">
        <v>372</v>
      </c>
      <c r="C53">
        <v>846</v>
      </c>
      <c r="D53">
        <v>3027</v>
      </c>
      <c r="E53" s="1">
        <v>45622</v>
      </c>
      <c r="F53" s="1">
        <v>45624</v>
      </c>
      <c r="G53">
        <v>34522</v>
      </c>
      <c r="H53" t="s">
        <v>10</v>
      </c>
    </row>
    <row r="54" spans="1:8" x14ac:dyDescent="0.25">
      <c r="A54">
        <v>500053</v>
      </c>
      <c r="B54">
        <v>234</v>
      </c>
      <c r="C54">
        <v>1048</v>
      </c>
      <c r="D54">
        <v>3193</v>
      </c>
      <c r="E54" s="1">
        <v>45658</v>
      </c>
      <c r="F54" s="1">
        <v>45660</v>
      </c>
      <c r="G54">
        <v>36998</v>
      </c>
      <c r="H54" t="s">
        <v>10</v>
      </c>
    </row>
    <row r="55" spans="1:8" x14ac:dyDescent="0.25">
      <c r="A55">
        <v>500054</v>
      </c>
      <c r="B55">
        <v>232</v>
      </c>
      <c r="C55">
        <v>147</v>
      </c>
      <c r="D55">
        <v>3163</v>
      </c>
      <c r="E55" s="1">
        <v>45717</v>
      </c>
      <c r="F55" s="1">
        <v>45723</v>
      </c>
      <c r="G55">
        <v>81207</v>
      </c>
      <c r="H55" t="s">
        <v>10</v>
      </c>
    </row>
    <row r="56" spans="1:8" x14ac:dyDescent="0.25">
      <c r="A56">
        <v>500055</v>
      </c>
      <c r="B56">
        <v>185</v>
      </c>
      <c r="C56">
        <v>329</v>
      </c>
      <c r="D56">
        <v>3381</v>
      </c>
      <c r="E56" s="1">
        <v>45620</v>
      </c>
      <c r="F56" s="1">
        <v>45622</v>
      </c>
      <c r="G56">
        <v>26130</v>
      </c>
      <c r="H56" t="s">
        <v>14</v>
      </c>
    </row>
    <row r="57" spans="1:8" x14ac:dyDescent="0.25">
      <c r="A57">
        <v>500056</v>
      </c>
      <c r="B57">
        <v>470</v>
      </c>
      <c r="C57">
        <v>1051</v>
      </c>
      <c r="D57">
        <v>3307</v>
      </c>
      <c r="E57" s="1">
        <v>45652</v>
      </c>
      <c r="F57" s="1">
        <v>45665</v>
      </c>
      <c r="G57">
        <v>152259</v>
      </c>
      <c r="H57" t="s">
        <v>10</v>
      </c>
    </row>
    <row r="58" spans="1:8" x14ac:dyDescent="0.25">
      <c r="A58">
        <v>500057</v>
      </c>
      <c r="B58">
        <v>432</v>
      </c>
      <c r="C58">
        <v>390</v>
      </c>
      <c r="D58">
        <v>3219</v>
      </c>
      <c r="E58" s="1">
        <v>45659</v>
      </c>
      <c r="F58" s="1">
        <v>45667</v>
      </c>
      <c r="G58">
        <v>57964</v>
      </c>
      <c r="H58" t="s">
        <v>10</v>
      </c>
    </row>
    <row r="59" spans="1:8" x14ac:dyDescent="0.25">
      <c r="A59">
        <v>500058</v>
      </c>
      <c r="B59">
        <v>507</v>
      </c>
      <c r="C59">
        <v>673</v>
      </c>
      <c r="D59">
        <v>3060</v>
      </c>
      <c r="E59" s="1">
        <v>45804</v>
      </c>
      <c r="F59" s="1">
        <v>45808</v>
      </c>
      <c r="G59">
        <v>46089</v>
      </c>
      <c r="H59" t="s">
        <v>10</v>
      </c>
    </row>
    <row r="60" spans="1:8" x14ac:dyDescent="0.25">
      <c r="A60">
        <v>500059</v>
      </c>
      <c r="B60">
        <v>94</v>
      </c>
      <c r="C60">
        <v>246</v>
      </c>
      <c r="D60">
        <v>3029</v>
      </c>
      <c r="E60" s="1">
        <v>45763</v>
      </c>
      <c r="F60" s="1">
        <v>45770</v>
      </c>
      <c r="G60">
        <v>156455</v>
      </c>
      <c r="H60" t="s">
        <v>14</v>
      </c>
    </row>
    <row r="61" spans="1:8" x14ac:dyDescent="0.25">
      <c r="A61">
        <v>500060</v>
      </c>
      <c r="B61">
        <v>429</v>
      </c>
      <c r="C61">
        <v>694</v>
      </c>
      <c r="D61">
        <v>3487</v>
      </c>
      <c r="E61" s="1">
        <v>45659</v>
      </c>
      <c r="F61" s="1">
        <v>45661</v>
      </c>
      <c r="G61">
        <v>39869</v>
      </c>
      <c r="H61" t="s">
        <v>25</v>
      </c>
    </row>
    <row r="62" spans="1:8" x14ac:dyDescent="0.25">
      <c r="A62">
        <v>500061</v>
      </c>
      <c r="B62">
        <v>343</v>
      </c>
      <c r="C62">
        <v>841</v>
      </c>
      <c r="D62">
        <v>3095</v>
      </c>
      <c r="E62" s="1">
        <v>45646</v>
      </c>
      <c r="F62" s="1">
        <v>45648</v>
      </c>
      <c r="G62">
        <v>24190</v>
      </c>
      <c r="H62" t="s">
        <v>14</v>
      </c>
    </row>
    <row r="63" spans="1:8" x14ac:dyDescent="0.25">
      <c r="A63">
        <v>500062</v>
      </c>
      <c r="B63">
        <v>139</v>
      </c>
      <c r="C63">
        <v>974</v>
      </c>
      <c r="D63">
        <v>3022</v>
      </c>
      <c r="E63" s="1">
        <v>45619</v>
      </c>
      <c r="F63" s="1">
        <v>45625</v>
      </c>
      <c r="G63">
        <v>68894</v>
      </c>
      <c r="H63" t="s">
        <v>25</v>
      </c>
    </row>
    <row r="64" spans="1:8" x14ac:dyDescent="0.25">
      <c r="A64">
        <v>500063</v>
      </c>
      <c r="B64">
        <v>458</v>
      </c>
      <c r="C64">
        <v>904</v>
      </c>
      <c r="D64">
        <v>3382</v>
      </c>
      <c r="E64" s="1">
        <v>45794</v>
      </c>
      <c r="F64" s="1">
        <v>45802</v>
      </c>
      <c r="G64">
        <v>225482</v>
      </c>
      <c r="H64" t="s">
        <v>10</v>
      </c>
    </row>
    <row r="65" spans="1:8" x14ac:dyDescent="0.25">
      <c r="A65">
        <v>500064</v>
      </c>
      <c r="B65">
        <v>312</v>
      </c>
      <c r="C65">
        <v>1383</v>
      </c>
      <c r="D65">
        <v>3419</v>
      </c>
      <c r="E65" s="1">
        <v>45756</v>
      </c>
      <c r="F65" s="1">
        <v>45762</v>
      </c>
      <c r="G65">
        <v>78609</v>
      </c>
      <c r="H65" t="s">
        <v>25</v>
      </c>
    </row>
    <row r="66" spans="1:8" x14ac:dyDescent="0.25">
      <c r="A66">
        <v>500065</v>
      </c>
      <c r="B66">
        <v>443</v>
      </c>
      <c r="C66">
        <v>326</v>
      </c>
      <c r="D66">
        <v>3271</v>
      </c>
      <c r="E66" s="1">
        <v>45690</v>
      </c>
      <c r="F66" s="1">
        <v>45693</v>
      </c>
      <c r="G66">
        <v>51873</v>
      </c>
      <c r="H66" t="s">
        <v>10</v>
      </c>
    </row>
    <row r="67" spans="1:8" x14ac:dyDescent="0.25">
      <c r="A67">
        <v>500066</v>
      </c>
      <c r="B67">
        <v>369</v>
      </c>
      <c r="C67">
        <v>512</v>
      </c>
      <c r="D67">
        <v>3019</v>
      </c>
      <c r="E67" s="1">
        <v>45760</v>
      </c>
      <c r="F67" s="1">
        <v>45773</v>
      </c>
      <c r="G67">
        <v>198911</v>
      </c>
      <c r="H67" t="s">
        <v>14</v>
      </c>
    </row>
    <row r="68" spans="1:8" x14ac:dyDescent="0.25">
      <c r="A68">
        <v>500067</v>
      </c>
      <c r="B68">
        <v>173</v>
      </c>
      <c r="C68">
        <v>1104</v>
      </c>
      <c r="D68">
        <v>3117</v>
      </c>
      <c r="E68" s="1">
        <v>45684</v>
      </c>
      <c r="F68" s="1">
        <v>45690</v>
      </c>
      <c r="G68">
        <v>77979</v>
      </c>
      <c r="H68" t="s">
        <v>10</v>
      </c>
    </row>
    <row r="69" spans="1:8" x14ac:dyDescent="0.25">
      <c r="A69">
        <v>500068</v>
      </c>
      <c r="B69">
        <v>384</v>
      </c>
      <c r="C69">
        <v>478</v>
      </c>
      <c r="D69">
        <v>3189</v>
      </c>
      <c r="E69" s="1">
        <v>45746</v>
      </c>
      <c r="F69" s="1">
        <v>45750</v>
      </c>
      <c r="G69">
        <v>53519</v>
      </c>
      <c r="H69" t="s">
        <v>14</v>
      </c>
    </row>
    <row r="70" spans="1:8" x14ac:dyDescent="0.25">
      <c r="A70">
        <v>500069</v>
      </c>
      <c r="B70">
        <v>485</v>
      </c>
      <c r="C70">
        <v>331</v>
      </c>
      <c r="D70">
        <v>3339</v>
      </c>
      <c r="E70" s="1">
        <v>45667</v>
      </c>
      <c r="F70" s="1">
        <v>45669</v>
      </c>
      <c r="G70">
        <v>35800</v>
      </c>
      <c r="H70" t="s">
        <v>14</v>
      </c>
    </row>
    <row r="71" spans="1:8" x14ac:dyDescent="0.25">
      <c r="A71">
        <v>500070</v>
      </c>
      <c r="B71">
        <v>515</v>
      </c>
      <c r="C71">
        <v>991</v>
      </c>
      <c r="D71">
        <v>3023</v>
      </c>
      <c r="E71" s="1">
        <v>45757</v>
      </c>
      <c r="F71" s="1">
        <v>45761</v>
      </c>
      <c r="G71">
        <v>34112</v>
      </c>
      <c r="H71" t="s">
        <v>10</v>
      </c>
    </row>
    <row r="72" spans="1:8" x14ac:dyDescent="0.25">
      <c r="A72">
        <v>500071</v>
      </c>
      <c r="B72">
        <v>246</v>
      </c>
      <c r="C72">
        <v>992</v>
      </c>
      <c r="D72">
        <v>3350</v>
      </c>
      <c r="E72" s="1">
        <v>45711</v>
      </c>
      <c r="F72" s="1">
        <v>45713</v>
      </c>
      <c r="G72">
        <v>36394</v>
      </c>
      <c r="H72" t="s">
        <v>25</v>
      </c>
    </row>
    <row r="73" spans="1:8" x14ac:dyDescent="0.25">
      <c r="A73">
        <v>500072</v>
      </c>
      <c r="B73">
        <v>369</v>
      </c>
      <c r="C73">
        <v>638</v>
      </c>
      <c r="D73">
        <v>3316</v>
      </c>
      <c r="E73" s="1">
        <v>45718</v>
      </c>
      <c r="F73" s="1">
        <v>45731</v>
      </c>
      <c r="G73">
        <v>132235</v>
      </c>
      <c r="H73" t="s">
        <v>25</v>
      </c>
    </row>
    <row r="74" spans="1:8" x14ac:dyDescent="0.25">
      <c r="A74">
        <v>500073</v>
      </c>
      <c r="B74">
        <v>171</v>
      </c>
      <c r="C74">
        <v>133</v>
      </c>
      <c r="D74">
        <v>3259</v>
      </c>
      <c r="E74" s="1">
        <v>45713</v>
      </c>
      <c r="F74" s="1">
        <v>45724</v>
      </c>
      <c r="G74">
        <v>213353</v>
      </c>
      <c r="H74" t="s">
        <v>10</v>
      </c>
    </row>
    <row r="75" spans="1:8" x14ac:dyDescent="0.25">
      <c r="A75">
        <v>500074</v>
      </c>
      <c r="B75">
        <v>372</v>
      </c>
      <c r="C75">
        <v>516</v>
      </c>
      <c r="D75">
        <v>3139</v>
      </c>
      <c r="E75" s="1">
        <v>45601</v>
      </c>
      <c r="F75" s="1">
        <v>45602</v>
      </c>
      <c r="G75">
        <v>22503</v>
      </c>
      <c r="H75" t="s">
        <v>10</v>
      </c>
    </row>
    <row r="76" spans="1:8" x14ac:dyDescent="0.25">
      <c r="A76">
        <v>500075</v>
      </c>
      <c r="B76">
        <v>509</v>
      </c>
      <c r="C76">
        <v>624</v>
      </c>
      <c r="D76">
        <v>3161</v>
      </c>
      <c r="E76" s="1">
        <v>45688</v>
      </c>
      <c r="F76" s="1">
        <v>45690</v>
      </c>
      <c r="G76">
        <v>37574</v>
      </c>
      <c r="H76" t="s">
        <v>25</v>
      </c>
    </row>
    <row r="77" spans="1:8" x14ac:dyDescent="0.25">
      <c r="A77">
        <v>500076</v>
      </c>
      <c r="B77">
        <v>139</v>
      </c>
      <c r="C77">
        <v>406</v>
      </c>
      <c r="D77">
        <v>3415</v>
      </c>
      <c r="E77" s="1">
        <v>45764</v>
      </c>
      <c r="F77" s="1">
        <v>45774</v>
      </c>
      <c r="G77">
        <v>75415</v>
      </c>
      <c r="H77" t="s">
        <v>10</v>
      </c>
    </row>
    <row r="78" spans="1:8" x14ac:dyDescent="0.25">
      <c r="A78">
        <v>500077</v>
      </c>
      <c r="B78">
        <v>455</v>
      </c>
      <c r="C78">
        <v>425</v>
      </c>
      <c r="D78">
        <v>3399</v>
      </c>
      <c r="E78" s="1">
        <v>45621</v>
      </c>
      <c r="F78" s="1">
        <v>45626</v>
      </c>
      <c r="G78">
        <v>67152</v>
      </c>
      <c r="H78" t="s">
        <v>25</v>
      </c>
    </row>
    <row r="79" spans="1:8" x14ac:dyDescent="0.25">
      <c r="A79">
        <v>500078</v>
      </c>
      <c r="B79">
        <v>186</v>
      </c>
      <c r="C79">
        <v>936</v>
      </c>
      <c r="D79">
        <v>3054</v>
      </c>
      <c r="E79" s="1">
        <v>45732</v>
      </c>
      <c r="F79" s="1">
        <v>45734</v>
      </c>
      <c r="G79">
        <v>26227</v>
      </c>
      <c r="H79" t="s">
        <v>25</v>
      </c>
    </row>
    <row r="80" spans="1:8" x14ac:dyDescent="0.25">
      <c r="A80">
        <v>500079</v>
      </c>
      <c r="B80">
        <v>313</v>
      </c>
      <c r="C80">
        <v>526</v>
      </c>
      <c r="D80">
        <v>3307</v>
      </c>
      <c r="E80" s="1">
        <v>45692</v>
      </c>
      <c r="F80" s="1">
        <v>45693</v>
      </c>
      <c r="G80">
        <v>24583</v>
      </c>
      <c r="H80" t="s">
        <v>10</v>
      </c>
    </row>
    <row r="81" spans="1:8" x14ac:dyDescent="0.25">
      <c r="A81">
        <v>500080</v>
      </c>
      <c r="B81">
        <v>11</v>
      </c>
      <c r="C81">
        <v>562</v>
      </c>
      <c r="D81">
        <v>3088</v>
      </c>
      <c r="E81" s="1">
        <v>45607</v>
      </c>
      <c r="F81" s="1">
        <v>45608</v>
      </c>
      <c r="G81">
        <v>22523</v>
      </c>
      <c r="H81" t="s">
        <v>14</v>
      </c>
    </row>
    <row r="82" spans="1:8" x14ac:dyDescent="0.25">
      <c r="A82">
        <v>500081</v>
      </c>
      <c r="B82">
        <v>29</v>
      </c>
      <c r="C82">
        <v>967</v>
      </c>
      <c r="D82">
        <v>3219</v>
      </c>
      <c r="E82" s="1">
        <v>45711</v>
      </c>
      <c r="F82" s="1">
        <v>45718</v>
      </c>
      <c r="G82">
        <v>67631</v>
      </c>
      <c r="H82" t="s">
        <v>14</v>
      </c>
    </row>
    <row r="83" spans="1:8" x14ac:dyDescent="0.25">
      <c r="A83">
        <v>500082</v>
      </c>
      <c r="B83">
        <v>528</v>
      </c>
      <c r="C83">
        <v>276</v>
      </c>
      <c r="D83">
        <v>3135</v>
      </c>
      <c r="E83" s="1">
        <v>45625</v>
      </c>
      <c r="F83" s="1">
        <v>45632</v>
      </c>
      <c r="G83">
        <v>65899</v>
      </c>
      <c r="H83" t="s">
        <v>14</v>
      </c>
    </row>
    <row r="84" spans="1:8" x14ac:dyDescent="0.25">
      <c r="A84">
        <v>500083</v>
      </c>
      <c r="B84">
        <v>121</v>
      </c>
      <c r="C84">
        <v>1097</v>
      </c>
      <c r="D84">
        <v>3256</v>
      </c>
      <c r="E84" s="1">
        <v>45758</v>
      </c>
      <c r="F84" s="1">
        <v>45763</v>
      </c>
      <c r="G84">
        <v>69024</v>
      </c>
      <c r="H84" t="s">
        <v>25</v>
      </c>
    </row>
    <row r="85" spans="1:8" x14ac:dyDescent="0.25">
      <c r="A85">
        <v>500084</v>
      </c>
      <c r="B85">
        <v>372</v>
      </c>
      <c r="C85">
        <v>296</v>
      </c>
      <c r="D85">
        <v>3203</v>
      </c>
      <c r="E85" s="1">
        <v>45701</v>
      </c>
      <c r="F85" s="1">
        <v>45715</v>
      </c>
      <c r="G85">
        <v>165605</v>
      </c>
      <c r="H85" t="s">
        <v>14</v>
      </c>
    </row>
    <row r="86" spans="1:8" x14ac:dyDescent="0.25">
      <c r="A86">
        <v>500085</v>
      </c>
      <c r="B86">
        <v>91</v>
      </c>
      <c r="C86">
        <v>622</v>
      </c>
      <c r="D86">
        <v>3226</v>
      </c>
      <c r="E86" s="1">
        <v>45721</v>
      </c>
      <c r="F86" s="1">
        <v>45726</v>
      </c>
      <c r="G86">
        <v>89873</v>
      </c>
      <c r="H86" t="s">
        <v>10</v>
      </c>
    </row>
    <row r="87" spans="1:8" x14ac:dyDescent="0.25">
      <c r="A87">
        <v>500086</v>
      </c>
      <c r="B87">
        <v>47</v>
      </c>
      <c r="C87">
        <v>979</v>
      </c>
      <c r="D87">
        <v>3376</v>
      </c>
      <c r="E87" s="1">
        <v>45633</v>
      </c>
      <c r="F87" s="1">
        <v>45635</v>
      </c>
      <c r="G87">
        <v>46977</v>
      </c>
      <c r="H87" t="s">
        <v>10</v>
      </c>
    </row>
    <row r="88" spans="1:8" x14ac:dyDescent="0.25">
      <c r="A88">
        <v>500087</v>
      </c>
      <c r="B88">
        <v>324</v>
      </c>
      <c r="C88">
        <v>248</v>
      </c>
      <c r="D88">
        <v>3498</v>
      </c>
      <c r="E88" s="1">
        <v>45653</v>
      </c>
      <c r="F88" s="1">
        <v>45659</v>
      </c>
      <c r="G88">
        <v>187042</v>
      </c>
      <c r="H88" t="s">
        <v>10</v>
      </c>
    </row>
    <row r="89" spans="1:8" x14ac:dyDescent="0.25">
      <c r="A89">
        <v>500088</v>
      </c>
      <c r="B89">
        <v>247</v>
      </c>
      <c r="C89">
        <v>800</v>
      </c>
      <c r="D89">
        <v>3243</v>
      </c>
      <c r="E89" s="1">
        <v>45729</v>
      </c>
      <c r="F89" s="1">
        <v>45730</v>
      </c>
      <c r="G89">
        <v>22128</v>
      </c>
      <c r="H89" t="s">
        <v>25</v>
      </c>
    </row>
    <row r="90" spans="1:8" x14ac:dyDescent="0.25">
      <c r="A90">
        <v>500089</v>
      </c>
      <c r="B90">
        <v>120</v>
      </c>
      <c r="C90">
        <v>1081</v>
      </c>
      <c r="D90">
        <v>3145</v>
      </c>
      <c r="E90" s="1">
        <v>45802</v>
      </c>
      <c r="F90" s="1">
        <v>45808</v>
      </c>
      <c r="G90">
        <v>98579</v>
      </c>
      <c r="H90" t="s">
        <v>10</v>
      </c>
    </row>
    <row r="91" spans="1:8" x14ac:dyDescent="0.25">
      <c r="A91">
        <v>500090</v>
      </c>
      <c r="B91">
        <v>310</v>
      </c>
      <c r="C91">
        <v>687</v>
      </c>
      <c r="D91">
        <v>3455</v>
      </c>
      <c r="E91" s="1">
        <v>45621</v>
      </c>
      <c r="F91" s="1">
        <v>45629</v>
      </c>
      <c r="G91">
        <v>126346</v>
      </c>
      <c r="H91" t="s">
        <v>14</v>
      </c>
    </row>
    <row r="92" spans="1:8" x14ac:dyDescent="0.25">
      <c r="A92">
        <v>500091</v>
      </c>
      <c r="B92">
        <v>371</v>
      </c>
      <c r="C92">
        <v>141</v>
      </c>
      <c r="D92">
        <v>3108</v>
      </c>
      <c r="E92" s="1">
        <v>45800</v>
      </c>
      <c r="F92" s="1">
        <v>45801</v>
      </c>
      <c r="G92">
        <v>17768</v>
      </c>
      <c r="H92" t="s">
        <v>10</v>
      </c>
    </row>
    <row r="93" spans="1:8" x14ac:dyDescent="0.25">
      <c r="A93">
        <v>500092</v>
      </c>
      <c r="B93">
        <v>203</v>
      </c>
      <c r="C93">
        <v>784</v>
      </c>
      <c r="D93">
        <v>3328</v>
      </c>
      <c r="E93" s="1">
        <v>45730</v>
      </c>
      <c r="F93" s="1">
        <v>45738</v>
      </c>
      <c r="G93">
        <v>133611</v>
      </c>
      <c r="H93" t="s">
        <v>10</v>
      </c>
    </row>
    <row r="94" spans="1:8" x14ac:dyDescent="0.25">
      <c r="A94">
        <v>500093</v>
      </c>
      <c r="B94">
        <v>46</v>
      </c>
      <c r="C94">
        <v>1027</v>
      </c>
      <c r="D94">
        <v>3131</v>
      </c>
      <c r="E94" s="1">
        <v>45705</v>
      </c>
      <c r="F94" s="1">
        <v>45708</v>
      </c>
      <c r="G94">
        <v>42420</v>
      </c>
      <c r="H94" t="s">
        <v>10</v>
      </c>
    </row>
    <row r="95" spans="1:8" x14ac:dyDescent="0.25">
      <c r="A95">
        <v>500094</v>
      </c>
      <c r="B95">
        <v>203</v>
      </c>
      <c r="C95">
        <v>226</v>
      </c>
      <c r="D95">
        <v>3061</v>
      </c>
      <c r="E95" s="1">
        <v>45661</v>
      </c>
      <c r="F95" s="1">
        <v>45663</v>
      </c>
      <c r="G95">
        <v>42089</v>
      </c>
      <c r="H95" t="s">
        <v>14</v>
      </c>
    </row>
    <row r="96" spans="1:8" x14ac:dyDescent="0.25">
      <c r="A96">
        <v>500095</v>
      </c>
      <c r="B96">
        <v>44</v>
      </c>
      <c r="C96">
        <v>1444</v>
      </c>
      <c r="D96">
        <v>3033</v>
      </c>
      <c r="E96" s="1">
        <v>45629</v>
      </c>
      <c r="F96" s="1">
        <v>45633</v>
      </c>
      <c r="G96">
        <v>63477</v>
      </c>
      <c r="H96" t="s">
        <v>10</v>
      </c>
    </row>
    <row r="97" spans="1:8" x14ac:dyDescent="0.25">
      <c r="A97">
        <v>500096</v>
      </c>
      <c r="B97">
        <v>266</v>
      </c>
      <c r="C97">
        <v>587</v>
      </c>
      <c r="D97">
        <v>3029</v>
      </c>
      <c r="E97" s="1">
        <v>45797</v>
      </c>
      <c r="F97" s="1">
        <v>45801</v>
      </c>
      <c r="G97">
        <v>39470</v>
      </c>
      <c r="H97" t="s">
        <v>25</v>
      </c>
    </row>
    <row r="98" spans="1:8" x14ac:dyDescent="0.25">
      <c r="A98">
        <v>500097</v>
      </c>
      <c r="B98">
        <v>515</v>
      </c>
      <c r="C98">
        <v>365</v>
      </c>
      <c r="D98">
        <v>3447</v>
      </c>
      <c r="E98" s="1">
        <v>45598</v>
      </c>
      <c r="F98" s="1">
        <v>45601</v>
      </c>
      <c r="G98">
        <v>56388</v>
      </c>
      <c r="H98" t="s">
        <v>14</v>
      </c>
    </row>
    <row r="99" spans="1:8" x14ac:dyDescent="0.25">
      <c r="A99">
        <v>500098</v>
      </c>
      <c r="B99">
        <v>405</v>
      </c>
      <c r="C99">
        <v>1286</v>
      </c>
      <c r="D99">
        <v>3174</v>
      </c>
      <c r="E99" s="1">
        <v>45644</v>
      </c>
      <c r="F99" s="1">
        <v>45649</v>
      </c>
      <c r="G99">
        <v>90891</v>
      </c>
      <c r="H99" t="s">
        <v>10</v>
      </c>
    </row>
    <row r="100" spans="1:8" x14ac:dyDescent="0.25">
      <c r="A100">
        <v>500099</v>
      </c>
      <c r="B100">
        <v>402</v>
      </c>
      <c r="C100">
        <v>1494</v>
      </c>
      <c r="D100">
        <v>3343</v>
      </c>
      <c r="E100" s="1">
        <v>45773</v>
      </c>
      <c r="F100" s="1">
        <v>45777</v>
      </c>
      <c r="G100">
        <v>53002</v>
      </c>
      <c r="H100" t="s">
        <v>14</v>
      </c>
    </row>
    <row r="101" spans="1:8" x14ac:dyDescent="0.25">
      <c r="A101">
        <v>500100</v>
      </c>
      <c r="B101">
        <v>218</v>
      </c>
      <c r="C101">
        <v>534</v>
      </c>
      <c r="D101">
        <v>3397</v>
      </c>
      <c r="E101" s="1">
        <v>45756</v>
      </c>
      <c r="F101" s="1">
        <v>45764</v>
      </c>
      <c r="G101">
        <v>91546</v>
      </c>
      <c r="H101" t="s">
        <v>10</v>
      </c>
    </row>
    <row r="102" spans="1:8" x14ac:dyDescent="0.25">
      <c r="A102">
        <v>500101</v>
      </c>
      <c r="B102">
        <v>174</v>
      </c>
      <c r="C102">
        <v>873</v>
      </c>
      <c r="D102">
        <v>3231</v>
      </c>
      <c r="E102" s="1">
        <v>45680</v>
      </c>
      <c r="F102" s="1">
        <v>45682</v>
      </c>
      <c r="G102">
        <v>24438</v>
      </c>
      <c r="H102" t="s">
        <v>14</v>
      </c>
    </row>
    <row r="103" spans="1:8" x14ac:dyDescent="0.25">
      <c r="A103">
        <v>500102</v>
      </c>
      <c r="B103">
        <v>233</v>
      </c>
      <c r="C103">
        <v>793</v>
      </c>
      <c r="D103">
        <v>3477</v>
      </c>
      <c r="E103" s="1">
        <v>45663</v>
      </c>
      <c r="F103" s="1">
        <v>45664</v>
      </c>
      <c r="G103">
        <v>18408</v>
      </c>
      <c r="H103" t="s">
        <v>10</v>
      </c>
    </row>
    <row r="104" spans="1:8" x14ac:dyDescent="0.25">
      <c r="A104">
        <v>500103</v>
      </c>
      <c r="B104">
        <v>511</v>
      </c>
      <c r="C104">
        <v>630</v>
      </c>
      <c r="D104">
        <v>3405</v>
      </c>
      <c r="E104" s="1">
        <v>45606</v>
      </c>
      <c r="F104" s="1">
        <v>45607</v>
      </c>
      <c r="G104">
        <v>19962</v>
      </c>
      <c r="H104" t="s">
        <v>14</v>
      </c>
    </row>
    <row r="105" spans="1:8" x14ac:dyDescent="0.25">
      <c r="A105">
        <v>500104</v>
      </c>
      <c r="B105">
        <v>49</v>
      </c>
      <c r="C105">
        <v>163</v>
      </c>
      <c r="D105">
        <v>3060</v>
      </c>
      <c r="E105" s="1">
        <v>45743</v>
      </c>
      <c r="F105" s="1">
        <v>45747</v>
      </c>
      <c r="G105">
        <v>65862</v>
      </c>
      <c r="H105" t="s">
        <v>10</v>
      </c>
    </row>
    <row r="106" spans="1:8" x14ac:dyDescent="0.25">
      <c r="A106">
        <v>500105</v>
      </c>
      <c r="B106">
        <v>516</v>
      </c>
      <c r="C106">
        <v>1050</v>
      </c>
      <c r="D106">
        <v>3422</v>
      </c>
      <c r="E106" s="1">
        <v>45601</v>
      </c>
      <c r="F106" s="1">
        <v>45603</v>
      </c>
      <c r="G106">
        <v>25149</v>
      </c>
      <c r="H106" t="s">
        <v>10</v>
      </c>
    </row>
    <row r="107" spans="1:8" x14ac:dyDescent="0.25">
      <c r="A107">
        <v>500106</v>
      </c>
      <c r="B107">
        <v>444</v>
      </c>
      <c r="C107">
        <v>1104</v>
      </c>
      <c r="D107">
        <v>3433</v>
      </c>
      <c r="E107" s="1">
        <v>45605</v>
      </c>
      <c r="F107" s="1">
        <v>45616</v>
      </c>
      <c r="G107">
        <v>231095</v>
      </c>
      <c r="H107" t="s">
        <v>14</v>
      </c>
    </row>
    <row r="108" spans="1:8" x14ac:dyDescent="0.25">
      <c r="A108">
        <v>500107</v>
      </c>
      <c r="B108">
        <v>328</v>
      </c>
      <c r="C108">
        <v>742</v>
      </c>
      <c r="D108">
        <v>3087</v>
      </c>
      <c r="E108" s="1">
        <v>45674</v>
      </c>
      <c r="F108" s="1">
        <v>45685</v>
      </c>
      <c r="G108">
        <v>125274</v>
      </c>
      <c r="H108" t="s">
        <v>10</v>
      </c>
    </row>
    <row r="109" spans="1:8" x14ac:dyDescent="0.25">
      <c r="A109">
        <v>500108</v>
      </c>
      <c r="B109">
        <v>314</v>
      </c>
      <c r="C109">
        <v>377</v>
      </c>
      <c r="D109">
        <v>3332</v>
      </c>
      <c r="E109" s="1">
        <v>45601</v>
      </c>
      <c r="F109" s="1">
        <v>45602</v>
      </c>
      <c r="G109">
        <v>25057</v>
      </c>
      <c r="H109" t="s">
        <v>14</v>
      </c>
    </row>
    <row r="110" spans="1:8" x14ac:dyDescent="0.25">
      <c r="A110">
        <v>500109</v>
      </c>
      <c r="B110">
        <v>443</v>
      </c>
      <c r="C110">
        <v>372</v>
      </c>
      <c r="D110">
        <v>3348</v>
      </c>
      <c r="E110" s="1">
        <v>45736</v>
      </c>
      <c r="F110" s="1">
        <v>45738</v>
      </c>
      <c r="G110">
        <v>34843</v>
      </c>
      <c r="H110" t="s">
        <v>10</v>
      </c>
    </row>
    <row r="111" spans="1:8" x14ac:dyDescent="0.25">
      <c r="A111">
        <v>500110</v>
      </c>
      <c r="B111">
        <v>510</v>
      </c>
      <c r="C111">
        <v>545</v>
      </c>
      <c r="D111">
        <v>3428</v>
      </c>
      <c r="E111" s="1">
        <v>45615</v>
      </c>
      <c r="F111" s="1">
        <v>45619</v>
      </c>
      <c r="G111">
        <v>56242</v>
      </c>
      <c r="H111" t="s">
        <v>10</v>
      </c>
    </row>
    <row r="112" spans="1:8" x14ac:dyDescent="0.25">
      <c r="A112">
        <v>500111</v>
      </c>
      <c r="B112">
        <v>513</v>
      </c>
      <c r="C112">
        <v>330</v>
      </c>
      <c r="D112">
        <v>3011</v>
      </c>
      <c r="E112" s="1">
        <v>45769</v>
      </c>
      <c r="F112" s="1">
        <v>45773</v>
      </c>
      <c r="G112">
        <v>34281</v>
      </c>
      <c r="H112" t="s">
        <v>10</v>
      </c>
    </row>
    <row r="113" spans="1:8" x14ac:dyDescent="0.25">
      <c r="A113">
        <v>500112</v>
      </c>
      <c r="B113">
        <v>74</v>
      </c>
      <c r="C113">
        <v>1478</v>
      </c>
      <c r="D113">
        <v>3162</v>
      </c>
      <c r="E113" s="1">
        <v>45752</v>
      </c>
      <c r="F113" s="1">
        <v>45754</v>
      </c>
      <c r="G113">
        <v>53538</v>
      </c>
      <c r="H113" t="s">
        <v>10</v>
      </c>
    </row>
    <row r="114" spans="1:8" x14ac:dyDescent="0.25">
      <c r="A114">
        <v>500113</v>
      </c>
      <c r="B114">
        <v>138</v>
      </c>
      <c r="C114">
        <v>347</v>
      </c>
      <c r="D114">
        <v>3451</v>
      </c>
      <c r="E114" s="1">
        <v>45771</v>
      </c>
      <c r="F114" s="1">
        <v>45776</v>
      </c>
      <c r="G114">
        <v>73271</v>
      </c>
      <c r="H114" t="s">
        <v>10</v>
      </c>
    </row>
    <row r="115" spans="1:8" x14ac:dyDescent="0.25">
      <c r="A115">
        <v>500114</v>
      </c>
      <c r="B115">
        <v>458</v>
      </c>
      <c r="C115">
        <v>677</v>
      </c>
      <c r="D115">
        <v>3328</v>
      </c>
      <c r="E115" s="1">
        <v>45661</v>
      </c>
      <c r="F115" s="1">
        <v>45664</v>
      </c>
      <c r="G115">
        <v>44779</v>
      </c>
      <c r="H115" t="s">
        <v>10</v>
      </c>
    </row>
    <row r="116" spans="1:8" x14ac:dyDescent="0.25">
      <c r="A116">
        <v>500115</v>
      </c>
      <c r="B116">
        <v>517</v>
      </c>
      <c r="C116">
        <v>439</v>
      </c>
      <c r="D116">
        <v>3058</v>
      </c>
      <c r="E116" s="1">
        <v>45735</v>
      </c>
      <c r="F116" s="1">
        <v>45743</v>
      </c>
      <c r="G116">
        <v>225169</v>
      </c>
      <c r="H116" t="s">
        <v>14</v>
      </c>
    </row>
    <row r="117" spans="1:8" x14ac:dyDescent="0.25">
      <c r="A117">
        <v>500116</v>
      </c>
      <c r="B117">
        <v>367</v>
      </c>
      <c r="C117">
        <v>1357</v>
      </c>
      <c r="D117">
        <v>3459</v>
      </c>
      <c r="E117" s="1">
        <v>45635</v>
      </c>
      <c r="F117" s="1">
        <v>45641</v>
      </c>
      <c r="G117">
        <v>109842</v>
      </c>
      <c r="H117" t="s">
        <v>10</v>
      </c>
    </row>
    <row r="118" spans="1:8" x14ac:dyDescent="0.25">
      <c r="A118">
        <v>500117</v>
      </c>
      <c r="B118">
        <v>157</v>
      </c>
      <c r="C118">
        <v>949</v>
      </c>
      <c r="D118">
        <v>3085</v>
      </c>
      <c r="E118" s="1">
        <v>45719</v>
      </c>
      <c r="F118" s="1">
        <v>45721</v>
      </c>
      <c r="G118">
        <v>25435</v>
      </c>
      <c r="H118" t="s">
        <v>14</v>
      </c>
    </row>
    <row r="119" spans="1:8" x14ac:dyDescent="0.25">
      <c r="A119">
        <v>500118</v>
      </c>
      <c r="B119">
        <v>528</v>
      </c>
      <c r="C119">
        <v>623</v>
      </c>
      <c r="D119">
        <v>3242</v>
      </c>
      <c r="E119" s="1">
        <v>45706</v>
      </c>
      <c r="F119" s="1">
        <v>45712</v>
      </c>
      <c r="G119">
        <v>68076</v>
      </c>
      <c r="H119" t="s">
        <v>10</v>
      </c>
    </row>
    <row r="120" spans="1:8" x14ac:dyDescent="0.25">
      <c r="A120">
        <v>500119</v>
      </c>
      <c r="B120">
        <v>170</v>
      </c>
      <c r="C120">
        <v>775</v>
      </c>
      <c r="D120">
        <v>3280</v>
      </c>
      <c r="E120" s="1">
        <v>45686</v>
      </c>
      <c r="F120" s="1">
        <v>45687</v>
      </c>
      <c r="G120">
        <v>21497</v>
      </c>
      <c r="H120" t="s">
        <v>14</v>
      </c>
    </row>
    <row r="121" spans="1:8" x14ac:dyDescent="0.25">
      <c r="A121">
        <v>500120</v>
      </c>
      <c r="B121">
        <v>433</v>
      </c>
      <c r="C121">
        <v>797</v>
      </c>
      <c r="D121">
        <v>3020</v>
      </c>
      <c r="E121" s="1">
        <v>45621</v>
      </c>
      <c r="F121" s="1">
        <v>45635</v>
      </c>
      <c r="G121">
        <v>135013</v>
      </c>
      <c r="H121" t="s">
        <v>10</v>
      </c>
    </row>
    <row r="122" spans="1:8" x14ac:dyDescent="0.25">
      <c r="A122">
        <v>500121</v>
      </c>
      <c r="B122">
        <v>156</v>
      </c>
      <c r="C122">
        <v>592</v>
      </c>
      <c r="D122">
        <v>3118</v>
      </c>
      <c r="E122" s="1">
        <v>45672</v>
      </c>
      <c r="F122" s="1">
        <v>45674</v>
      </c>
      <c r="G122">
        <v>65214</v>
      </c>
      <c r="H122" t="s">
        <v>14</v>
      </c>
    </row>
    <row r="123" spans="1:8" x14ac:dyDescent="0.25">
      <c r="A123">
        <v>500122</v>
      </c>
      <c r="B123">
        <v>77</v>
      </c>
      <c r="C123">
        <v>827</v>
      </c>
      <c r="D123">
        <v>3005</v>
      </c>
      <c r="E123" s="1">
        <v>45619</v>
      </c>
      <c r="F123" s="1">
        <v>45621</v>
      </c>
      <c r="G123">
        <v>28992</v>
      </c>
      <c r="H123" t="s">
        <v>14</v>
      </c>
    </row>
    <row r="124" spans="1:8" x14ac:dyDescent="0.25">
      <c r="A124">
        <v>500123</v>
      </c>
      <c r="B124">
        <v>232</v>
      </c>
      <c r="C124">
        <v>1461</v>
      </c>
      <c r="D124">
        <v>3001</v>
      </c>
      <c r="E124" s="1">
        <v>45684</v>
      </c>
      <c r="F124" s="1">
        <v>45687</v>
      </c>
      <c r="G124">
        <v>40605</v>
      </c>
      <c r="H124" t="s">
        <v>25</v>
      </c>
    </row>
    <row r="125" spans="1:8" x14ac:dyDescent="0.25">
      <c r="A125">
        <v>500124</v>
      </c>
      <c r="B125">
        <v>17</v>
      </c>
      <c r="C125">
        <v>1165</v>
      </c>
      <c r="D125">
        <v>3339</v>
      </c>
      <c r="E125" s="1">
        <v>45779</v>
      </c>
      <c r="F125" s="1">
        <v>45785</v>
      </c>
      <c r="G125">
        <v>143773</v>
      </c>
      <c r="H125" t="s">
        <v>25</v>
      </c>
    </row>
    <row r="126" spans="1:8" x14ac:dyDescent="0.25">
      <c r="A126">
        <v>500125</v>
      </c>
      <c r="B126">
        <v>29</v>
      </c>
      <c r="C126">
        <v>206</v>
      </c>
      <c r="D126">
        <v>3440</v>
      </c>
      <c r="E126" s="1">
        <v>45784</v>
      </c>
      <c r="F126" s="1">
        <v>45786</v>
      </c>
      <c r="G126">
        <v>35610</v>
      </c>
      <c r="H126" t="s">
        <v>10</v>
      </c>
    </row>
    <row r="127" spans="1:8" x14ac:dyDescent="0.25">
      <c r="A127">
        <v>500126</v>
      </c>
      <c r="B127">
        <v>367</v>
      </c>
      <c r="C127">
        <v>1001</v>
      </c>
      <c r="D127">
        <v>3426</v>
      </c>
      <c r="E127" s="1">
        <v>45774</v>
      </c>
      <c r="F127" s="1">
        <v>45799</v>
      </c>
      <c r="G127">
        <v>165912</v>
      </c>
      <c r="H127" t="s">
        <v>10</v>
      </c>
    </row>
    <row r="128" spans="1:8" x14ac:dyDescent="0.25">
      <c r="A128">
        <v>500127</v>
      </c>
      <c r="B128">
        <v>218</v>
      </c>
      <c r="C128">
        <v>491</v>
      </c>
      <c r="D128">
        <v>3292</v>
      </c>
      <c r="E128" s="1">
        <v>45681</v>
      </c>
      <c r="F128" s="1">
        <v>45682</v>
      </c>
      <c r="G128">
        <v>14578</v>
      </c>
      <c r="H128" t="s">
        <v>10</v>
      </c>
    </row>
    <row r="129" spans="1:8" x14ac:dyDescent="0.25">
      <c r="A129">
        <v>500128</v>
      </c>
      <c r="B129">
        <v>45</v>
      </c>
      <c r="C129">
        <v>745</v>
      </c>
      <c r="D129">
        <v>3172</v>
      </c>
      <c r="E129" s="1">
        <v>45786</v>
      </c>
      <c r="F129" s="1">
        <v>45808</v>
      </c>
      <c r="G129">
        <v>206799</v>
      </c>
      <c r="H129" t="s">
        <v>14</v>
      </c>
    </row>
    <row r="130" spans="1:8" x14ac:dyDescent="0.25">
      <c r="A130">
        <v>500129</v>
      </c>
      <c r="B130">
        <v>138</v>
      </c>
      <c r="C130">
        <v>954</v>
      </c>
      <c r="D130">
        <v>3086</v>
      </c>
      <c r="E130" s="1">
        <v>45742</v>
      </c>
      <c r="F130" s="1">
        <v>45744</v>
      </c>
      <c r="G130">
        <v>30942</v>
      </c>
      <c r="H130" t="s">
        <v>25</v>
      </c>
    </row>
    <row r="131" spans="1:8" x14ac:dyDescent="0.25">
      <c r="A131">
        <v>500130</v>
      </c>
      <c r="B131">
        <v>517</v>
      </c>
      <c r="C131">
        <v>886</v>
      </c>
      <c r="D131">
        <v>3130</v>
      </c>
      <c r="E131" s="1">
        <v>45722</v>
      </c>
      <c r="F131" s="1">
        <v>45726</v>
      </c>
      <c r="G131">
        <v>62760</v>
      </c>
      <c r="H131" t="s">
        <v>10</v>
      </c>
    </row>
    <row r="132" spans="1:8" x14ac:dyDescent="0.25">
      <c r="A132">
        <v>500131</v>
      </c>
      <c r="B132">
        <v>200</v>
      </c>
      <c r="C132">
        <v>600</v>
      </c>
      <c r="D132">
        <v>3139</v>
      </c>
      <c r="E132" s="1">
        <v>45689</v>
      </c>
      <c r="F132" s="1">
        <v>45691</v>
      </c>
      <c r="G132">
        <v>36631</v>
      </c>
      <c r="H132" t="s">
        <v>25</v>
      </c>
    </row>
    <row r="133" spans="1:8" x14ac:dyDescent="0.25">
      <c r="A133">
        <v>500132</v>
      </c>
      <c r="B133">
        <v>418</v>
      </c>
      <c r="C133">
        <v>1112</v>
      </c>
      <c r="D133">
        <v>3160</v>
      </c>
      <c r="E133" s="1">
        <v>45654</v>
      </c>
      <c r="F133" s="1">
        <v>45667</v>
      </c>
      <c r="G133">
        <v>217356</v>
      </c>
      <c r="H133" t="s">
        <v>10</v>
      </c>
    </row>
    <row r="134" spans="1:8" x14ac:dyDescent="0.25">
      <c r="A134">
        <v>500133</v>
      </c>
      <c r="B134">
        <v>486</v>
      </c>
      <c r="C134">
        <v>1239</v>
      </c>
      <c r="D134">
        <v>3226</v>
      </c>
      <c r="E134" s="1">
        <v>45801</v>
      </c>
      <c r="F134" s="1">
        <v>45803</v>
      </c>
      <c r="G134">
        <v>35883</v>
      </c>
      <c r="H134" t="s">
        <v>14</v>
      </c>
    </row>
    <row r="135" spans="1:8" x14ac:dyDescent="0.25">
      <c r="A135">
        <v>500134</v>
      </c>
      <c r="B135">
        <v>314</v>
      </c>
      <c r="C135">
        <v>1296</v>
      </c>
      <c r="D135">
        <v>3022</v>
      </c>
      <c r="E135" s="1">
        <v>45757</v>
      </c>
      <c r="F135" s="1">
        <v>45760</v>
      </c>
      <c r="G135">
        <v>96339</v>
      </c>
      <c r="H135" t="s">
        <v>10</v>
      </c>
    </row>
    <row r="136" spans="1:8" x14ac:dyDescent="0.25">
      <c r="A136">
        <v>500135</v>
      </c>
      <c r="B136">
        <v>314</v>
      </c>
      <c r="C136">
        <v>1327</v>
      </c>
      <c r="D136">
        <v>3194</v>
      </c>
      <c r="E136" s="1">
        <v>45772</v>
      </c>
      <c r="F136" s="1">
        <v>45777</v>
      </c>
      <c r="G136">
        <v>55931</v>
      </c>
      <c r="H136" t="s">
        <v>10</v>
      </c>
    </row>
    <row r="137" spans="1:8" x14ac:dyDescent="0.25">
      <c r="A137">
        <v>500136</v>
      </c>
      <c r="B137">
        <v>47</v>
      </c>
      <c r="C137">
        <v>303</v>
      </c>
      <c r="D137">
        <v>3408</v>
      </c>
      <c r="E137" s="1">
        <v>45602</v>
      </c>
      <c r="F137" s="1">
        <v>45608</v>
      </c>
      <c r="G137">
        <v>97630</v>
      </c>
      <c r="H137" t="s">
        <v>14</v>
      </c>
    </row>
    <row r="138" spans="1:8" x14ac:dyDescent="0.25">
      <c r="A138">
        <v>500137</v>
      </c>
      <c r="B138">
        <v>93</v>
      </c>
      <c r="C138">
        <v>676</v>
      </c>
      <c r="D138">
        <v>3088</v>
      </c>
      <c r="E138" s="1">
        <v>45722</v>
      </c>
      <c r="F138" s="1">
        <v>45723</v>
      </c>
      <c r="G138">
        <v>12890</v>
      </c>
      <c r="H138" t="s">
        <v>25</v>
      </c>
    </row>
    <row r="139" spans="1:8" x14ac:dyDescent="0.25">
      <c r="A139">
        <v>500138</v>
      </c>
      <c r="B139">
        <v>510</v>
      </c>
      <c r="C139">
        <v>205</v>
      </c>
      <c r="D139">
        <v>3362</v>
      </c>
      <c r="E139" s="1">
        <v>45639</v>
      </c>
      <c r="F139" s="1">
        <v>45655</v>
      </c>
      <c r="G139">
        <v>306246</v>
      </c>
      <c r="H139" t="s">
        <v>25</v>
      </c>
    </row>
    <row r="140" spans="1:8" x14ac:dyDescent="0.25">
      <c r="A140">
        <v>500139</v>
      </c>
      <c r="B140">
        <v>78</v>
      </c>
      <c r="C140">
        <v>1090</v>
      </c>
      <c r="D140">
        <v>3376</v>
      </c>
      <c r="E140" s="1">
        <v>45611</v>
      </c>
      <c r="F140" s="1">
        <v>45614</v>
      </c>
      <c r="G140">
        <v>42764</v>
      </c>
      <c r="H140" t="s">
        <v>10</v>
      </c>
    </row>
    <row r="141" spans="1:8" x14ac:dyDescent="0.25">
      <c r="A141">
        <v>500140</v>
      </c>
      <c r="B141">
        <v>45</v>
      </c>
      <c r="C141">
        <v>238</v>
      </c>
      <c r="D141">
        <v>3016</v>
      </c>
      <c r="E141" s="1">
        <v>45679</v>
      </c>
      <c r="F141" s="1">
        <v>45687</v>
      </c>
      <c r="G141">
        <v>85364</v>
      </c>
      <c r="H141" t="s">
        <v>10</v>
      </c>
    </row>
    <row r="142" spans="1:8" x14ac:dyDescent="0.25">
      <c r="A142">
        <v>500141</v>
      </c>
      <c r="B142">
        <v>18</v>
      </c>
      <c r="C142">
        <v>345</v>
      </c>
      <c r="D142">
        <v>3336</v>
      </c>
      <c r="E142" s="1">
        <v>45695</v>
      </c>
      <c r="F142" s="1">
        <v>45698</v>
      </c>
      <c r="G142">
        <v>31619</v>
      </c>
      <c r="H142" t="s">
        <v>14</v>
      </c>
    </row>
    <row r="143" spans="1:8" x14ac:dyDescent="0.25">
      <c r="A143">
        <v>500142</v>
      </c>
      <c r="B143">
        <v>199</v>
      </c>
      <c r="C143">
        <v>982</v>
      </c>
      <c r="D143">
        <v>3125</v>
      </c>
      <c r="E143" s="1">
        <v>45664</v>
      </c>
      <c r="F143" s="1">
        <v>45665</v>
      </c>
      <c r="G143">
        <v>16933</v>
      </c>
      <c r="H143" t="s">
        <v>14</v>
      </c>
    </row>
    <row r="144" spans="1:8" x14ac:dyDescent="0.25">
      <c r="A144">
        <v>500143</v>
      </c>
      <c r="B144">
        <v>170</v>
      </c>
      <c r="C144">
        <v>532</v>
      </c>
      <c r="D144">
        <v>3071</v>
      </c>
      <c r="E144" s="1">
        <v>45657</v>
      </c>
      <c r="F144" s="1">
        <v>45662</v>
      </c>
      <c r="G144">
        <v>69891</v>
      </c>
      <c r="H144" t="s">
        <v>10</v>
      </c>
    </row>
    <row r="145" spans="1:8" x14ac:dyDescent="0.25">
      <c r="A145">
        <v>500144</v>
      </c>
      <c r="B145">
        <v>48</v>
      </c>
      <c r="C145">
        <v>839</v>
      </c>
      <c r="D145">
        <v>3010</v>
      </c>
      <c r="E145" s="1">
        <v>45781</v>
      </c>
      <c r="F145" s="1">
        <v>45785</v>
      </c>
      <c r="G145">
        <v>44201</v>
      </c>
      <c r="H145" t="s">
        <v>10</v>
      </c>
    </row>
    <row r="146" spans="1:8" x14ac:dyDescent="0.25">
      <c r="A146">
        <v>500145</v>
      </c>
      <c r="B146">
        <v>512</v>
      </c>
      <c r="C146">
        <v>626</v>
      </c>
      <c r="D146">
        <v>3485</v>
      </c>
      <c r="E146" s="1">
        <v>45601</v>
      </c>
      <c r="F146" s="1">
        <v>45603</v>
      </c>
      <c r="G146">
        <v>46045</v>
      </c>
      <c r="H146" t="s">
        <v>25</v>
      </c>
    </row>
    <row r="147" spans="1:8" x14ac:dyDescent="0.25">
      <c r="A147">
        <v>500146</v>
      </c>
      <c r="B147">
        <v>458</v>
      </c>
      <c r="C147">
        <v>138</v>
      </c>
      <c r="D147">
        <v>3416</v>
      </c>
      <c r="E147" s="1">
        <v>45635</v>
      </c>
      <c r="F147" s="1">
        <v>45638</v>
      </c>
      <c r="G147">
        <v>34926</v>
      </c>
      <c r="H147" t="s">
        <v>10</v>
      </c>
    </row>
    <row r="148" spans="1:8" x14ac:dyDescent="0.25">
      <c r="A148">
        <v>500147</v>
      </c>
      <c r="B148">
        <v>187</v>
      </c>
      <c r="C148">
        <v>928</v>
      </c>
      <c r="D148">
        <v>3428</v>
      </c>
      <c r="E148" s="1">
        <v>45674</v>
      </c>
      <c r="F148" s="1">
        <v>45676</v>
      </c>
      <c r="G148">
        <v>35269</v>
      </c>
      <c r="H148" t="s">
        <v>25</v>
      </c>
    </row>
    <row r="149" spans="1:8" x14ac:dyDescent="0.25">
      <c r="A149">
        <v>500148</v>
      </c>
      <c r="B149">
        <v>64</v>
      </c>
      <c r="C149">
        <v>566</v>
      </c>
      <c r="D149">
        <v>3189</v>
      </c>
      <c r="E149" s="1">
        <v>45676</v>
      </c>
      <c r="F149" s="1">
        <v>45679</v>
      </c>
      <c r="G149">
        <v>37317</v>
      </c>
      <c r="H149" t="s">
        <v>10</v>
      </c>
    </row>
    <row r="150" spans="1:8" x14ac:dyDescent="0.25">
      <c r="A150">
        <v>500149</v>
      </c>
      <c r="B150">
        <v>77</v>
      </c>
      <c r="C150">
        <v>509</v>
      </c>
      <c r="D150">
        <v>3465</v>
      </c>
      <c r="E150" s="1">
        <v>45804</v>
      </c>
      <c r="F150" s="1">
        <v>45805</v>
      </c>
      <c r="G150">
        <v>22685</v>
      </c>
      <c r="H150" t="s">
        <v>10</v>
      </c>
    </row>
    <row r="151" spans="1:8" x14ac:dyDescent="0.25">
      <c r="A151">
        <v>500150</v>
      </c>
      <c r="B151">
        <v>122</v>
      </c>
      <c r="C151">
        <v>1447</v>
      </c>
      <c r="D151">
        <v>3336</v>
      </c>
      <c r="E151" s="1">
        <v>45797</v>
      </c>
      <c r="F151" s="1">
        <v>45804</v>
      </c>
      <c r="G151">
        <v>52539</v>
      </c>
      <c r="H151" t="s">
        <v>10</v>
      </c>
    </row>
    <row r="152" spans="1:8" x14ac:dyDescent="0.25">
      <c r="A152">
        <v>500151</v>
      </c>
      <c r="B152">
        <v>483</v>
      </c>
      <c r="C152">
        <v>150</v>
      </c>
      <c r="D152">
        <v>3391</v>
      </c>
      <c r="E152" s="1">
        <v>45761</v>
      </c>
      <c r="F152" s="1">
        <v>45764</v>
      </c>
      <c r="G152">
        <v>27931</v>
      </c>
      <c r="H152" t="s">
        <v>10</v>
      </c>
    </row>
    <row r="153" spans="1:8" x14ac:dyDescent="0.25">
      <c r="A153">
        <v>500152</v>
      </c>
      <c r="B153">
        <v>142</v>
      </c>
      <c r="C153">
        <v>1277</v>
      </c>
      <c r="D153">
        <v>3009</v>
      </c>
      <c r="E153" s="1">
        <v>45802</v>
      </c>
      <c r="F153" s="1">
        <v>45803</v>
      </c>
      <c r="G153">
        <v>30052</v>
      </c>
      <c r="H153" t="s">
        <v>10</v>
      </c>
    </row>
    <row r="154" spans="1:8" x14ac:dyDescent="0.25">
      <c r="A154">
        <v>500153</v>
      </c>
      <c r="B154">
        <v>387</v>
      </c>
      <c r="C154">
        <v>1494</v>
      </c>
      <c r="D154">
        <v>3482</v>
      </c>
      <c r="E154" s="1">
        <v>45672</v>
      </c>
      <c r="F154" s="1">
        <v>45674</v>
      </c>
      <c r="G154">
        <v>28520</v>
      </c>
      <c r="H154" t="s">
        <v>25</v>
      </c>
    </row>
    <row r="155" spans="1:8" x14ac:dyDescent="0.25">
      <c r="A155">
        <v>500154</v>
      </c>
      <c r="B155">
        <v>77</v>
      </c>
      <c r="C155">
        <v>905</v>
      </c>
      <c r="D155">
        <v>3231</v>
      </c>
      <c r="E155" s="1">
        <v>45730</v>
      </c>
      <c r="F155" s="1">
        <v>45732</v>
      </c>
      <c r="G155">
        <v>24461</v>
      </c>
      <c r="H155" t="s">
        <v>14</v>
      </c>
    </row>
    <row r="156" spans="1:8" x14ac:dyDescent="0.25">
      <c r="A156">
        <v>500155</v>
      </c>
      <c r="B156">
        <v>326</v>
      </c>
      <c r="C156">
        <v>885</v>
      </c>
      <c r="D156">
        <v>3220</v>
      </c>
      <c r="E156" s="1">
        <v>45799</v>
      </c>
      <c r="F156" s="1">
        <v>45808</v>
      </c>
      <c r="G156">
        <v>93495</v>
      </c>
      <c r="H156" t="s">
        <v>10</v>
      </c>
    </row>
    <row r="157" spans="1:8" x14ac:dyDescent="0.25">
      <c r="A157">
        <v>500156</v>
      </c>
      <c r="B157">
        <v>63</v>
      </c>
      <c r="C157">
        <v>1202</v>
      </c>
      <c r="D157">
        <v>3039</v>
      </c>
      <c r="E157" s="1">
        <v>45738</v>
      </c>
      <c r="F157" s="1">
        <v>45751</v>
      </c>
      <c r="G157">
        <v>179389</v>
      </c>
      <c r="H157" t="s">
        <v>10</v>
      </c>
    </row>
    <row r="158" spans="1:8" x14ac:dyDescent="0.25">
      <c r="A158">
        <v>500157</v>
      </c>
      <c r="B158">
        <v>483</v>
      </c>
      <c r="C158">
        <v>1541</v>
      </c>
      <c r="D158">
        <v>3297</v>
      </c>
      <c r="E158" s="1">
        <v>45618</v>
      </c>
      <c r="F158" s="1">
        <v>45620</v>
      </c>
      <c r="G158">
        <v>28638</v>
      </c>
      <c r="H158" t="s">
        <v>10</v>
      </c>
    </row>
    <row r="159" spans="1:8" x14ac:dyDescent="0.25">
      <c r="A159">
        <v>500158</v>
      </c>
      <c r="B159">
        <v>200</v>
      </c>
      <c r="C159">
        <v>687</v>
      </c>
      <c r="D159">
        <v>3346</v>
      </c>
      <c r="E159" s="1">
        <v>45802</v>
      </c>
      <c r="F159" s="1">
        <v>45804</v>
      </c>
      <c r="G159">
        <v>27116</v>
      </c>
      <c r="H159" t="s">
        <v>14</v>
      </c>
    </row>
    <row r="160" spans="1:8" x14ac:dyDescent="0.25">
      <c r="A160">
        <v>500159</v>
      </c>
      <c r="B160">
        <v>173</v>
      </c>
      <c r="C160">
        <v>579</v>
      </c>
      <c r="D160">
        <v>3103</v>
      </c>
      <c r="E160" s="1">
        <v>45638</v>
      </c>
      <c r="F160" s="1">
        <v>45640</v>
      </c>
      <c r="G160">
        <v>31287</v>
      </c>
      <c r="H160" t="s">
        <v>14</v>
      </c>
    </row>
    <row r="161" spans="1:8" x14ac:dyDescent="0.25">
      <c r="A161">
        <v>500160</v>
      </c>
      <c r="B161">
        <v>311</v>
      </c>
      <c r="C161">
        <v>253</v>
      </c>
      <c r="D161">
        <v>3349</v>
      </c>
      <c r="E161" s="1">
        <v>45625</v>
      </c>
      <c r="F161" s="1">
        <v>45637</v>
      </c>
      <c r="G161">
        <v>135366</v>
      </c>
      <c r="H161" t="s">
        <v>10</v>
      </c>
    </row>
    <row r="162" spans="1:8" x14ac:dyDescent="0.25">
      <c r="A162">
        <v>500161</v>
      </c>
      <c r="B162">
        <v>169</v>
      </c>
      <c r="C162">
        <v>674</v>
      </c>
      <c r="D162">
        <v>3433</v>
      </c>
      <c r="E162" s="1">
        <v>45779</v>
      </c>
      <c r="F162" s="1">
        <v>45783</v>
      </c>
      <c r="G162">
        <v>35565</v>
      </c>
      <c r="H162" t="s">
        <v>10</v>
      </c>
    </row>
    <row r="163" spans="1:8" x14ac:dyDescent="0.25">
      <c r="A163">
        <v>500162</v>
      </c>
      <c r="B163">
        <v>142</v>
      </c>
      <c r="C163">
        <v>814</v>
      </c>
      <c r="D163">
        <v>3068</v>
      </c>
      <c r="E163" s="1">
        <v>45757</v>
      </c>
      <c r="F163" s="1">
        <v>45764</v>
      </c>
      <c r="G163">
        <v>234767</v>
      </c>
      <c r="H163" t="s">
        <v>14</v>
      </c>
    </row>
    <row r="164" spans="1:8" x14ac:dyDescent="0.25">
      <c r="A164">
        <v>500163</v>
      </c>
      <c r="B164">
        <v>119</v>
      </c>
      <c r="C164">
        <v>1033</v>
      </c>
      <c r="D164">
        <v>3249</v>
      </c>
      <c r="E164" s="1">
        <v>45650</v>
      </c>
      <c r="F164" s="1">
        <v>45653</v>
      </c>
      <c r="G164">
        <v>42342</v>
      </c>
      <c r="H164" t="s">
        <v>10</v>
      </c>
    </row>
    <row r="165" spans="1:8" x14ac:dyDescent="0.25">
      <c r="A165">
        <v>500164</v>
      </c>
      <c r="B165">
        <v>371</v>
      </c>
      <c r="C165">
        <v>1053</v>
      </c>
      <c r="D165">
        <v>3025</v>
      </c>
      <c r="E165" s="1">
        <v>45646</v>
      </c>
      <c r="F165" s="1">
        <v>45649</v>
      </c>
      <c r="G165">
        <v>48416</v>
      </c>
      <c r="H165" t="s">
        <v>10</v>
      </c>
    </row>
    <row r="166" spans="1:8" x14ac:dyDescent="0.25">
      <c r="A166">
        <v>500165</v>
      </c>
      <c r="B166">
        <v>344</v>
      </c>
      <c r="C166">
        <v>977</v>
      </c>
      <c r="D166">
        <v>3191</v>
      </c>
      <c r="E166" s="1">
        <v>45682</v>
      </c>
      <c r="F166" s="1">
        <v>45688</v>
      </c>
      <c r="G166">
        <v>151669</v>
      </c>
      <c r="H166" t="s">
        <v>10</v>
      </c>
    </row>
    <row r="167" spans="1:8" x14ac:dyDescent="0.25">
      <c r="A167">
        <v>500166</v>
      </c>
      <c r="B167">
        <v>487</v>
      </c>
      <c r="C167">
        <v>815</v>
      </c>
      <c r="D167">
        <v>3043</v>
      </c>
      <c r="E167" s="1">
        <v>45790</v>
      </c>
      <c r="F167" s="1">
        <v>45796</v>
      </c>
      <c r="G167">
        <v>78946</v>
      </c>
      <c r="H167" t="s">
        <v>10</v>
      </c>
    </row>
    <row r="168" spans="1:8" x14ac:dyDescent="0.25">
      <c r="A168">
        <v>500167</v>
      </c>
      <c r="B168">
        <v>188</v>
      </c>
      <c r="C168">
        <v>1387</v>
      </c>
      <c r="D168">
        <v>3349</v>
      </c>
      <c r="E168" s="1">
        <v>45714</v>
      </c>
      <c r="F168" s="1">
        <v>45726</v>
      </c>
      <c r="G168">
        <v>107226</v>
      </c>
      <c r="H168" t="s">
        <v>10</v>
      </c>
    </row>
    <row r="169" spans="1:8" x14ac:dyDescent="0.25">
      <c r="A169">
        <v>500168</v>
      </c>
      <c r="B169">
        <v>120</v>
      </c>
      <c r="C169">
        <v>642</v>
      </c>
      <c r="D169">
        <v>3331</v>
      </c>
      <c r="E169" s="1">
        <v>45725</v>
      </c>
      <c r="F169" s="1">
        <v>45727</v>
      </c>
      <c r="G169">
        <v>30296</v>
      </c>
      <c r="H169" t="s">
        <v>14</v>
      </c>
    </row>
    <row r="170" spans="1:8" x14ac:dyDescent="0.25">
      <c r="A170">
        <v>500169</v>
      </c>
      <c r="B170">
        <v>49</v>
      </c>
      <c r="C170">
        <v>892</v>
      </c>
      <c r="D170">
        <v>3486</v>
      </c>
      <c r="E170" s="1">
        <v>45747</v>
      </c>
      <c r="F170" s="1">
        <v>45749</v>
      </c>
      <c r="G170">
        <v>21876</v>
      </c>
      <c r="H170" t="s">
        <v>10</v>
      </c>
    </row>
    <row r="171" spans="1:8" x14ac:dyDescent="0.25">
      <c r="A171">
        <v>500170</v>
      </c>
      <c r="B171">
        <v>247</v>
      </c>
      <c r="C171">
        <v>765</v>
      </c>
      <c r="D171">
        <v>3235</v>
      </c>
      <c r="E171" s="1">
        <v>45732</v>
      </c>
      <c r="F171" s="1">
        <v>45736</v>
      </c>
      <c r="G171">
        <v>55355</v>
      </c>
      <c r="H171" t="s">
        <v>14</v>
      </c>
    </row>
    <row r="172" spans="1:8" x14ac:dyDescent="0.25">
      <c r="A172">
        <v>500171</v>
      </c>
      <c r="B172">
        <v>77</v>
      </c>
      <c r="C172">
        <v>183</v>
      </c>
      <c r="D172">
        <v>3489</v>
      </c>
      <c r="E172" s="1">
        <v>45734</v>
      </c>
      <c r="F172" s="1">
        <v>45747</v>
      </c>
      <c r="G172">
        <v>170834</v>
      </c>
      <c r="H172" t="s">
        <v>10</v>
      </c>
    </row>
    <row r="173" spans="1:8" x14ac:dyDescent="0.25">
      <c r="A173">
        <v>500172</v>
      </c>
      <c r="B173">
        <v>93</v>
      </c>
      <c r="C173">
        <v>1182</v>
      </c>
      <c r="D173">
        <v>3071</v>
      </c>
      <c r="E173" s="1">
        <v>45699</v>
      </c>
      <c r="F173" s="1">
        <v>45705</v>
      </c>
      <c r="G173">
        <v>68007</v>
      </c>
      <c r="H173" t="s">
        <v>25</v>
      </c>
    </row>
    <row r="174" spans="1:8" x14ac:dyDescent="0.25">
      <c r="A174">
        <v>500173</v>
      </c>
      <c r="B174">
        <v>457</v>
      </c>
      <c r="C174">
        <v>1230</v>
      </c>
      <c r="D174">
        <v>3431</v>
      </c>
      <c r="E174" s="1">
        <v>45784</v>
      </c>
      <c r="F174" s="1">
        <v>45787</v>
      </c>
      <c r="G174">
        <v>65268</v>
      </c>
      <c r="H174" t="s">
        <v>10</v>
      </c>
    </row>
    <row r="175" spans="1:8" x14ac:dyDescent="0.25">
      <c r="A175">
        <v>500174</v>
      </c>
      <c r="B175">
        <v>267</v>
      </c>
      <c r="C175">
        <v>396</v>
      </c>
      <c r="D175">
        <v>3051</v>
      </c>
      <c r="E175" s="1">
        <v>45718</v>
      </c>
      <c r="F175" s="1">
        <v>45719</v>
      </c>
      <c r="G175">
        <v>23915</v>
      </c>
      <c r="H175" t="s">
        <v>14</v>
      </c>
    </row>
    <row r="176" spans="1:8" x14ac:dyDescent="0.25">
      <c r="A176">
        <v>500175</v>
      </c>
      <c r="B176">
        <v>488</v>
      </c>
      <c r="C176">
        <v>1576</v>
      </c>
      <c r="D176">
        <v>3282</v>
      </c>
      <c r="E176" s="1">
        <v>45758</v>
      </c>
      <c r="F176" s="1">
        <v>45760</v>
      </c>
      <c r="G176">
        <v>41096</v>
      </c>
      <c r="H176" t="s">
        <v>10</v>
      </c>
    </row>
    <row r="177" spans="1:8" x14ac:dyDescent="0.25">
      <c r="A177">
        <v>500176</v>
      </c>
      <c r="B177">
        <v>328</v>
      </c>
      <c r="C177">
        <v>290</v>
      </c>
      <c r="D177">
        <v>3477</v>
      </c>
      <c r="E177" s="1">
        <v>45749</v>
      </c>
      <c r="F177" s="1">
        <v>45751</v>
      </c>
      <c r="G177">
        <v>30975</v>
      </c>
      <c r="H177" t="s">
        <v>14</v>
      </c>
    </row>
    <row r="178" spans="1:8" x14ac:dyDescent="0.25">
      <c r="A178">
        <v>500177</v>
      </c>
      <c r="B178">
        <v>312</v>
      </c>
      <c r="C178">
        <v>371</v>
      </c>
      <c r="D178">
        <v>3280</v>
      </c>
      <c r="E178" s="1">
        <v>45749</v>
      </c>
      <c r="F178" s="1">
        <v>45750</v>
      </c>
      <c r="G178">
        <v>13340</v>
      </c>
      <c r="H178" t="s">
        <v>25</v>
      </c>
    </row>
    <row r="179" spans="1:8" x14ac:dyDescent="0.25">
      <c r="A179">
        <v>500178</v>
      </c>
      <c r="B179">
        <v>401</v>
      </c>
      <c r="C179">
        <v>395</v>
      </c>
      <c r="D179">
        <v>3380</v>
      </c>
      <c r="E179" s="1">
        <v>45744</v>
      </c>
      <c r="F179" s="1">
        <v>45748</v>
      </c>
      <c r="G179">
        <v>130988</v>
      </c>
      <c r="H179" t="s">
        <v>14</v>
      </c>
    </row>
    <row r="180" spans="1:8" x14ac:dyDescent="0.25">
      <c r="A180">
        <v>500179</v>
      </c>
      <c r="B180">
        <v>48</v>
      </c>
      <c r="C180">
        <v>279</v>
      </c>
      <c r="D180">
        <v>3489</v>
      </c>
      <c r="E180" s="1">
        <v>45597</v>
      </c>
      <c r="F180" s="1">
        <v>45599</v>
      </c>
      <c r="G180">
        <v>32524</v>
      </c>
      <c r="H180" t="s">
        <v>14</v>
      </c>
    </row>
    <row r="181" spans="1:8" x14ac:dyDescent="0.25">
      <c r="A181">
        <v>500180</v>
      </c>
      <c r="B181">
        <v>432</v>
      </c>
      <c r="C181">
        <v>996</v>
      </c>
      <c r="D181">
        <v>3049</v>
      </c>
      <c r="E181" s="1">
        <v>45615</v>
      </c>
      <c r="F181" s="1">
        <v>45622</v>
      </c>
      <c r="G181">
        <v>82626</v>
      </c>
      <c r="H181" t="s">
        <v>25</v>
      </c>
    </row>
    <row r="182" spans="1:8" x14ac:dyDescent="0.25">
      <c r="A182">
        <v>500181</v>
      </c>
      <c r="B182">
        <v>204</v>
      </c>
      <c r="C182">
        <v>992</v>
      </c>
      <c r="D182">
        <v>3400</v>
      </c>
      <c r="E182" s="1">
        <v>45680</v>
      </c>
      <c r="F182" s="1">
        <v>45686</v>
      </c>
      <c r="G182">
        <v>139934</v>
      </c>
      <c r="H182" t="s">
        <v>14</v>
      </c>
    </row>
    <row r="183" spans="1:8" x14ac:dyDescent="0.25">
      <c r="A183">
        <v>500182</v>
      </c>
      <c r="B183">
        <v>44</v>
      </c>
      <c r="C183">
        <v>700</v>
      </c>
      <c r="D183">
        <v>3456</v>
      </c>
      <c r="E183" s="1">
        <v>45693</v>
      </c>
      <c r="F183" s="1">
        <v>45696</v>
      </c>
      <c r="G183">
        <v>40400</v>
      </c>
      <c r="H183" t="s">
        <v>10</v>
      </c>
    </row>
    <row r="184" spans="1:8" x14ac:dyDescent="0.25">
      <c r="A184">
        <v>500183</v>
      </c>
      <c r="B184">
        <v>314</v>
      </c>
      <c r="C184">
        <v>809</v>
      </c>
      <c r="D184">
        <v>3435</v>
      </c>
      <c r="E184" s="1">
        <v>45701</v>
      </c>
      <c r="F184" s="1">
        <v>45705</v>
      </c>
      <c r="G184">
        <v>42574</v>
      </c>
      <c r="H184" t="s">
        <v>10</v>
      </c>
    </row>
    <row r="185" spans="1:8" x14ac:dyDescent="0.25">
      <c r="A185">
        <v>500184</v>
      </c>
      <c r="B185">
        <v>159</v>
      </c>
      <c r="C185">
        <v>503</v>
      </c>
      <c r="D185">
        <v>3169</v>
      </c>
      <c r="E185" s="1">
        <v>45600</v>
      </c>
      <c r="F185" s="1">
        <v>45603</v>
      </c>
      <c r="G185">
        <v>60774</v>
      </c>
      <c r="H185" t="s">
        <v>25</v>
      </c>
    </row>
    <row r="186" spans="1:8" x14ac:dyDescent="0.25">
      <c r="A186">
        <v>500185</v>
      </c>
      <c r="B186">
        <v>516</v>
      </c>
      <c r="C186">
        <v>909</v>
      </c>
      <c r="D186">
        <v>3346</v>
      </c>
      <c r="E186" s="1">
        <v>45800</v>
      </c>
      <c r="F186" s="1">
        <v>45808</v>
      </c>
      <c r="G186">
        <v>102896</v>
      </c>
      <c r="H186" t="s">
        <v>10</v>
      </c>
    </row>
    <row r="187" spans="1:8" x14ac:dyDescent="0.25">
      <c r="A187">
        <v>500186</v>
      </c>
      <c r="B187">
        <v>517</v>
      </c>
      <c r="C187">
        <v>1313</v>
      </c>
      <c r="D187">
        <v>3255</v>
      </c>
      <c r="E187" s="1">
        <v>45693</v>
      </c>
      <c r="F187" s="1">
        <v>45696</v>
      </c>
      <c r="G187">
        <v>41771</v>
      </c>
      <c r="H187" t="s">
        <v>10</v>
      </c>
    </row>
    <row r="188" spans="1:8" x14ac:dyDescent="0.25">
      <c r="A188">
        <v>500187</v>
      </c>
      <c r="B188">
        <v>247</v>
      </c>
      <c r="C188">
        <v>1196</v>
      </c>
      <c r="D188">
        <v>3044</v>
      </c>
      <c r="E188" s="1">
        <v>45665</v>
      </c>
      <c r="F188" s="1">
        <v>45667</v>
      </c>
      <c r="G188">
        <v>34848</v>
      </c>
      <c r="H188" t="s">
        <v>10</v>
      </c>
    </row>
    <row r="189" spans="1:8" x14ac:dyDescent="0.25">
      <c r="A189">
        <v>500188</v>
      </c>
      <c r="B189">
        <v>185</v>
      </c>
      <c r="C189">
        <v>605</v>
      </c>
      <c r="D189">
        <v>3377</v>
      </c>
      <c r="E189" s="1">
        <v>45666</v>
      </c>
      <c r="F189" s="1">
        <v>45668</v>
      </c>
      <c r="G189">
        <v>28803</v>
      </c>
      <c r="H189" t="s">
        <v>10</v>
      </c>
    </row>
    <row r="190" spans="1:8" x14ac:dyDescent="0.25">
      <c r="A190">
        <v>500189</v>
      </c>
      <c r="B190">
        <v>416</v>
      </c>
      <c r="C190">
        <v>674</v>
      </c>
      <c r="D190">
        <v>3006</v>
      </c>
      <c r="E190" s="1">
        <v>45687</v>
      </c>
      <c r="F190" s="1">
        <v>45689</v>
      </c>
      <c r="G190">
        <v>45001</v>
      </c>
      <c r="H190" t="s">
        <v>10</v>
      </c>
    </row>
    <row r="191" spans="1:8" x14ac:dyDescent="0.25">
      <c r="A191">
        <v>500190</v>
      </c>
      <c r="B191">
        <v>59</v>
      </c>
      <c r="C191">
        <v>217</v>
      </c>
      <c r="D191">
        <v>3456</v>
      </c>
      <c r="E191" s="1">
        <v>45764</v>
      </c>
      <c r="F191" s="1">
        <v>45768</v>
      </c>
      <c r="G191">
        <v>61881</v>
      </c>
      <c r="H191" t="s">
        <v>25</v>
      </c>
    </row>
    <row r="192" spans="1:8" x14ac:dyDescent="0.25">
      <c r="A192">
        <v>500191</v>
      </c>
      <c r="B192">
        <v>247</v>
      </c>
      <c r="C192">
        <v>770</v>
      </c>
      <c r="D192">
        <v>3301</v>
      </c>
      <c r="E192" s="1">
        <v>45763</v>
      </c>
      <c r="F192" s="1">
        <v>45768</v>
      </c>
      <c r="G192">
        <v>69742</v>
      </c>
      <c r="H192" t="s">
        <v>10</v>
      </c>
    </row>
    <row r="193" spans="1:8" x14ac:dyDescent="0.25">
      <c r="A193">
        <v>500192</v>
      </c>
      <c r="B193">
        <v>484</v>
      </c>
      <c r="C193">
        <v>333</v>
      </c>
      <c r="D193">
        <v>3121</v>
      </c>
      <c r="E193" s="1">
        <v>45619</v>
      </c>
      <c r="F193" s="1">
        <v>45630</v>
      </c>
      <c r="G193">
        <v>181441</v>
      </c>
      <c r="H193" t="s">
        <v>10</v>
      </c>
    </row>
    <row r="194" spans="1:8" x14ac:dyDescent="0.25">
      <c r="A194">
        <v>500193</v>
      </c>
      <c r="B194">
        <v>199</v>
      </c>
      <c r="C194">
        <v>247</v>
      </c>
      <c r="D194">
        <v>3184</v>
      </c>
      <c r="E194" s="1">
        <v>45641</v>
      </c>
      <c r="F194" s="1">
        <v>45642</v>
      </c>
      <c r="G194">
        <v>16785</v>
      </c>
      <c r="H194" t="s">
        <v>10</v>
      </c>
    </row>
    <row r="195" spans="1:8" x14ac:dyDescent="0.25">
      <c r="A195">
        <v>500194</v>
      </c>
      <c r="B195">
        <v>387</v>
      </c>
      <c r="C195">
        <v>723</v>
      </c>
      <c r="D195">
        <v>3231</v>
      </c>
      <c r="E195" s="1">
        <v>45662</v>
      </c>
      <c r="F195" s="1">
        <v>45668</v>
      </c>
      <c r="G195">
        <v>75023</v>
      </c>
      <c r="H195" t="s">
        <v>10</v>
      </c>
    </row>
    <row r="196" spans="1:8" x14ac:dyDescent="0.25">
      <c r="A196">
        <v>500195</v>
      </c>
      <c r="B196">
        <v>171</v>
      </c>
      <c r="C196">
        <v>682</v>
      </c>
      <c r="D196">
        <v>3324</v>
      </c>
      <c r="E196" s="1">
        <v>45765</v>
      </c>
      <c r="F196" s="1">
        <v>45768</v>
      </c>
      <c r="G196">
        <v>61949</v>
      </c>
      <c r="H196" t="s">
        <v>10</v>
      </c>
    </row>
    <row r="197" spans="1:8" x14ac:dyDescent="0.25">
      <c r="A197">
        <v>500196</v>
      </c>
      <c r="B197">
        <v>201</v>
      </c>
      <c r="C197">
        <v>1050</v>
      </c>
      <c r="D197">
        <v>3328</v>
      </c>
      <c r="E197" s="1">
        <v>45759</v>
      </c>
      <c r="F197" s="1">
        <v>45761</v>
      </c>
      <c r="G197">
        <v>49353</v>
      </c>
      <c r="H197" t="s">
        <v>14</v>
      </c>
    </row>
    <row r="198" spans="1:8" x14ac:dyDescent="0.25">
      <c r="A198">
        <v>500197</v>
      </c>
      <c r="B198">
        <v>484</v>
      </c>
      <c r="C198">
        <v>444</v>
      </c>
      <c r="D198">
        <v>3107</v>
      </c>
      <c r="E198" s="1">
        <v>45678</v>
      </c>
      <c r="F198" s="1">
        <v>45680</v>
      </c>
      <c r="G198">
        <v>57688</v>
      </c>
      <c r="H198" t="s">
        <v>10</v>
      </c>
    </row>
    <row r="199" spans="1:8" x14ac:dyDescent="0.25">
      <c r="A199">
        <v>500198</v>
      </c>
      <c r="B199">
        <v>370</v>
      </c>
      <c r="C199">
        <v>1046</v>
      </c>
      <c r="D199">
        <v>3093</v>
      </c>
      <c r="E199" s="1">
        <v>45614</v>
      </c>
      <c r="F199" s="1">
        <v>45616</v>
      </c>
      <c r="G199">
        <v>20900</v>
      </c>
      <c r="H199" t="s">
        <v>25</v>
      </c>
    </row>
    <row r="200" spans="1:8" x14ac:dyDescent="0.25">
      <c r="A200">
        <v>500199</v>
      </c>
      <c r="B200">
        <v>62</v>
      </c>
      <c r="C200">
        <v>1042</v>
      </c>
      <c r="D200">
        <v>3308</v>
      </c>
      <c r="E200" s="1">
        <v>45801</v>
      </c>
      <c r="F200" s="1">
        <v>45808</v>
      </c>
      <c r="G200">
        <v>134980</v>
      </c>
      <c r="H200" t="s">
        <v>10</v>
      </c>
    </row>
    <row r="201" spans="1:8" x14ac:dyDescent="0.25">
      <c r="A201">
        <v>500200</v>
      </c>
      <c r="B201">
        <v>483</v>
      </c>
      <c r="C201">
        <v>650</v>
      </c>
      <c r="D201">
        <v>3150</v>
      </c>
      <c r="E201" s="1">
        <v>45609</v>
      </c>
      <c r="F201" s="1">
        <v>45611</v>
      </c>
      <c r="G201">
        <v>36090</v>
      </c>
      <c r="H201" t="s">
        <v>25</v>
      </c>
    </row>
    <row r="202" spans="1:8" x14ac:dyDescent="0.25">
      <c r="A202">
        <v>500201</v>
      </c>
      <c r="B202">
        <v>343</v>
      </c>
      <c r="C202">
        <v>1100</v>
      </c>
      <c r="D202">
        <v>3283</v>
      </c>
      <c r="E202" s="1">
        <v>45755</v>
      </c>
      <c r="F202" s="1">
        <v>45757</v>
      </c>
      <c r="G202">
        <v>27789</v>
      </c>
      <c r="H202" t="s">
        <v>10</v>
      </c>
    </row>
    <row r="203" spans="1:8" x14ac:dyDescent="0.25">
      <c r="A203">
        <v>500202</v>
      </c>
      <c r="B203">
        <v>443</v>
      </c>
      <c r="C203">
        <v>921</v>
      </c>
      <c r="D203">
        <v>3488</v>
      </c>
      <c r="E203" s="1">
        <v>45714</v>
      </c>
      <c r="F203" s="1">
        <v>45730</v>
      </c>
      <c r="G203">
        <v>492341</v>
      </c>
      <c r="H203" t="s">
        <v>10</v>
      </c>
    </row>
    <row r="204" spans="1:8" x14ac:dyDescent="0.25">
      <c r="A204">
        <v>500203</v>
      </c>
      <c r="B204">
        <v>420</v>
      </c>
      <c r="C204">
        <v>210</v>
      </c>
      <c r="D204">
        <v>3279</v>
      </c>
      <c r="E204" s="1">
        <v>45734</v>
      </c>
      <c r="F204" s="1">
        <v>45736</v>
      </c>
      <c r="G204">
        <v>52242</v>
      </c>
      <c r="H204" t="s">
        <v>10</v>
      </c>
    </row>
    <row r="205" spans="1:8" x14ac:dyDescent="0.25">
      <c r="A205">
        <v>500204</v>
      </c>
      <c r="B205">
        <v>430</v>
      </c>
      <c r="C205">
        <v>629</v>
      </c>
      <c r="D205">
        <v>3187</v>
      </c>
      <c r="E205" s="1">
        <v>45652</v>
      </c>
      <c r="F205" s="1">
        <v>45663</v>
      </c>
      <c r="G205">
        <v>152811</v>
      </c>
      <c r="H205" t="s">
        <v>10</v>
      </c>
    </row>
    <row r="206" spans="1:8" x14ac:dyDescent="0.25">
      <c r="A206">
        <v>500205</v>
      </c>
      <c r="B206">
        <v>456</v>
      </c>
      <c r="C206">
        <v>700</v>
      </c>
      <c r="D206">
        <v>3186</v>
      </c>
      <c r="E206" s="1">
        <v>45605</v>
      </c>
      <c r="F206" s="1">
        <v>45609</v>
      </c>
      <c r="G206">
        <v>52448</v>
      </c>
      <c r="H206" t="s">
        <v>25</v>
      </c>
    </row>
    <row r="207" spans="1:8" x14ac:dyDescent="0.25">
      <c r="A207">
        <v>500206</v>
      </c>
      <c r="B207">
        <v>389</v>
      </c>
      <c r="C207">
        <v>566</v>
      </c>
      <c r="D207">
        <v>3019</v>
      </c>
      <c r="E207" s="1">
        <v>45687</v>
      </c>
      <c r="F207" s="1">
        <v>45690</v>
      </c>
      <c r="G207">
        <v>44440</v>
      </c>
      <c r="H207" t="s">
        <v>10</v>
      </c>
    </row>
    <row r="208" spans="1:8" x14ac:dyDescent="0.25">
      <c r="A208">
        <v>500207</v>
      </c>
      <c r="B208">
        <v>530</v>
      </c>
      <c r="C208">
        <v>340</v>
      </c>
      <c r="D208">
        <v>3035</v>
      </c>
      <c r="E208" s="1">
        <v>45736</v>
      </c>
      <c r="F208" s="1">
        <v>45739</v>
      </c>
      <c r="G208">
        <v>27244</v>
      </c>
      <c r="H208" t="s">
        <v>10</v>
      </c>
    </row>
    <row r="209" spans="1:8" x14ac:dyDescent="0.25">
      <c r="A209">
        <v>500208</v>
      </c>
      <c r="B209">
        <v>419</v>
      </c>
      <c r="C209">
        <v>1031</v>
      </c>
      <c r="D209">
        <v>3417</v>
      </c>
      <c r="E209" s="1">
        <v>45793</v>
      </c>
      <c r="F209" s="1">
        <v>45799</v>
      </c>
      <c r="G209">
        <v>81570</v>
      </c>
      <c r="H209" t="s">
        <v>10</v>
      </c>
    </row>
    <row r="210" spans="1:8" x14ac:dyDescent="0.25">
      <c r="A210">
        <v>500209</v>
      </c>
      <c r="B210">
        <v>342</v>
      </c>
      <c r="C210">
        <v>644</v>
      </c>
      <c r="D210">
        <v>3073</v>
      </c>
      <c r="E210" s="1">
        <v>45796</v>
      </c>
      <c r="F210" s="1">
        <v>45801</v>
      </c>
      <c r="G210">
        <v>76099</v>
      </c>
      <c r="H210" t="s">
        <v>10</v>
      </c>
    </row>
    <row r="211" spans="1:8" x14ac:dyDescent="0.25">
      <c r="A211">
        <v>500210</v>
      </c>
      <c r="B211">
        <v>401</v>
      </c>
      <c r="C211">
        <v>1155</v>
      </c>
      <c r="D211">
        <v>3269</v>
      </c>
      <c r="E211" s="1">
        <v>45597</v>
      </c>
      <c r="F211" s="1">
        <v>45601</v>
      </c>
      <c r="G211">
        <v>52169</v>
      </c>
      <c r="H211" t="s">
        <v>10</v>
      </c>
    </row>
    <row r="212" spans="1:8" x14ac:dyDescent="0.25">
      <c r="A212">
        <v>500211</v>
      </c>
      <c r="B212">
        <v>122</v>
      </c>
      <c r="C212">
        <v>835</v>
      </c>
      <c r="D212">
        <v>3282</v>
      </c>
      <c r="E212" s="1">
        <v>45806</v>
      </c>
      <c r="F212" s="1">
        <v>45808</v>
      </c>
      <c r="G212">
        <v>39579</v>
      </c>
      <c r="H212" t="s">
        <v>25</v>
      </c>
    </row>
    <row r="213" spans="1:8" x14ac:dyDescent="0.25">
      <c r="A213">
        <v>500212</v>
      </c>
      <c r="B213">
        <v>515</v>
      </c>
      <c r="C213">
        <v>115</v>
      </c>
      <c r="D213">
        <v>3034</v>
      </c>
      <c r="E213" s="1">
        <v>45695</v>
      </c>
      <c r="F213" s="1">
        <v>45698</v>
      </c>
      <c r="G213">
        <v>32739</v>
      </c>
      <c r="H213" t="s">
        <v>10</v>
      </c>
    </row>
    <row r="214" spans="1:8" x14ac:dyDescent="0.25">
      <c r="A214">
        <v>500213</v>
      </c>
      <c r="B214">
        <v>268</v>
      </c>
      <c r="C214">
        <v>1465</v>
      </c>
      <c r="D214">
        <v>3221</v>
      </c>
      <c r="E214" s="1">
        <v>45604</v>
      </c>
      <c r="F214" s="1">
        <v>45611</v>
      </c>
      <c r="G214">
        <v>59463</v>
      </c>
      <c r="H214" t="s">
        <v>10</v>
      </c>
    </row>
    <row r="215" spans="1:8" x14ac:dyDescent="0.25">
      <c r="A215">
        <v>500214</v>
      </c>
      <c r="B215">
        <v>138</v>
      </c>
      <c r="C215">
        <v>597</v>
      </c>
      <c r="D215">
        <v>3342</v>
      </c>
      <c r="E215" s="1">
        <v>45794</v>
      </c>
      <c r="F215" s="1">
        <v>45808</v>
      </c>
      <c r="G215">
        <v>134051</v>
      </c>
      <c r="H215" t="s">
        <v>10</v>
      </c>
    </row>
    <row r="216" spans="1:8" x14ac:dyDescent="0.25">
      <c r="A216">
        <v>500215</v>
      </c>
      <c r="B216">
        <v>384</v>
      </c>
      <c r="C216">
        <v>884</v>
      </c>
      <c r="D216">
        <v>3309</v>
      </c>
      <c r="E216" s="1">
        <v>45689</v>
      </c>
      <c r="F216" s="1">
        <v>45691</v>
      </c>
      <c r="G216">
        <v>42166</v>
      </c>
      <c r="H216" t="s">
        <v>25</v>
      </c>
    </row>
    <row r="217" spans="1:8" x14ac:dyDescent="0.25">
      <c r="A217">
        <v>500216</v>
      </c>
      <c r="B217">
        <v>248</v>
      </c>
      <c r="C217">
        <v>433</v>
      </c>
      <c r="D217">
        <v>3153</v>
      </c>
      <c r="E217" s="1">
        <v>45789</v>
      </c>
      <c r="F217" s="1">
        <v>45791</v>
      </c>
      <c r="G217">
        <v>33307</v>
      </c>
      <c r="H217" t="s">
        <v>10</v>
      </c>
    </row>
    <row r="218" spans="1:8" x14ac:dyDescent="0.25">
      <c r="A218">
        <v>500217</v>
      </c>
      <c r="B218">
        <v>313</v>
      </c>
      <c r="C218">
        <v>321</v>
      </c>
      <c r="D218">
        <v>3192</v>
      </c>
      <c r="E218" s="1">
        <v>45670</v>
      </c>
      <c r="F218" s="1">
        <v>45672</v>
      </c>
      <c r="G218">
        <v>24984</v>
      </c>
      <c r="H218" t="s">
        <v>25</v>
      </c>
    </row>
    <row r="219" spans="1:8" x14ac:dyDescent="0.25">
      <c r="A219">
        <v>500218</v>
      </c>
      <c r="B219">
        <v>74</v>
      </c>
      <c r="C219">
        <v>1022</v>
      </c>
      <c r="D219">
        <v>3211</v>
      </c>
      <c r="E219" s="1">
        <v>45790</v>
      </c>
      <c r="F219" s="1">
        <v>45798</v>
      </c>
      <c r="G219">
        <v>98825</v>
      </c>
      <c r="H219" t="s">
        <v>10</v>
      </c>
    </row>
    <row r="220" spans="1:8" x14ac:dyDescent="0.25">
      <c r="A220">
        <v>500219</v>
      </c>
      <c r="B220">
        <v>93</v>
      </c>
      <c r="C220">
        <v>166</v>
      </c>
      <c r="D220">
        <v>3428</v>
      </c>
      <c r="E220" s="1">
        <v>45682</v>
      </c>
      <c r="F220" s="1">
        <v>45684</v>
      </c>
      <c r="G220">
        <v>32261</v>
      </c>
      <c r="H220" t="s">
        <v>10</v>
      </c>
    </row>
    <row r="221" spans="1:8" x14ac:dyDescent="0.25">
      <c r="A221">
        <v>500220</v>
      </c>
      <c r="B221">
        <v>529</v>
      </c>
      <c r="C221">
        <v>106</v>
      </c>
      <c r="D221">
        <v>3291</v>
      </c>
      <c r="E221" s="1">
        <v>45701</v>
      </c>
      <c r="F221" s="1">
        <v>45704</v>
      </c>
      <c r="G221">
        <v>58618</v>
      </c>
      <c r="H221" t="s">
        <v>10</v>
      </c>
    </row>
    <row r="222" spans="1:8" x14ac:dyDescent="0.25">
      <c r="A222">
        <v>500221</v>
      </c>
      <c r="B222">
        <v>511</v>
      </c>
      <c r="C222">
        <v>1493</v>
      </c>
      <c r="D222">
        <v>3389</v>
      </c>
      <c r="E222" s="1">
        <v>45743</v>
      </c>
      <c r="F222" s="1">
        <v>45745</v>
      </c>
      <c r="G222">
        <v>65461</v>
      </c>
      <c r="H222" t="s">
        <v>14</v>
      </c>
    </row>
    <row r="223" spans="1:8" x14ac:dyDescent="0.25">
      <c r="A223">
        <v>500222</v>
      </c>
      <c r="B223">
        <v>78</v>
      </c>
      <c r="C223">
        <v>1495</v>
      </c>
      <c r="D223">
        <v>3216</v>
      </c>
      <c r="E223" s="1">
        <v>45652</v>
      </c>
      <c r="F223" s="1">
        <v>45670</v>
      </c>
      <c r="G223">
        <v>489932</v>
      </c>
      <c r="H223" t="s">
        <v>10</v>
      </c>
    </row>
    <row r="224" spans="1:8" x14ac:dyDescent="0.25">
      <c r="A224">
        <v>500223</v>
      </c>
      <c r="B224">
        <v>234</v>
      </c>
      <c r="C224">
        <v>545</v>
      </c>
      <c r="D224">
        <v>3174</v>
      </c>
      <c r="E224" s="1">
        <v>45795</v>
      </c>
      <c r="F224" s="1">
        <v>45799</v>
      </c>
      <c r="G224">
        <v>47265</v>
      </c>
      <c r="H224" t="s">
        <v>10</v>
      </c>
    </row>
    <row r="225" spans="1:8" x14ac:dyDescent="0.25">
      <c r="A225">
        <v>500224</v>
      </c>
      <c r="B225">
        <v>454</v>
      </c>
      <c r="C225">
        <v>1232</v>
      </c>
      <c r="D225">
        <v>3038</v>
      </c>
      <c r="E225" s="1">
        <v>45615</v>
      </c>
      <c r="F225" s="1">
        <v>45623</v>
      </c>
      <c r="G225">
        <v>60363</v>
      </c>
      <c r="H225" t="s">
        <v>14</v>
      </c>
    </row>
    <row r="226" spans="1:8" x14ac:dyDescent="0.25">
      <c r="A226">
        <v>500225</v>
      </c>
      <c r="B226">
        <v>219</v>
      </c>
      <c r="C226">
        <v>392</v>
      </c>
      <c r="D226">
        <v>3264</v>
      </c>
      <c r="E226" s="1">
        <v>45659</v>
      </c>
      <c r="F226" s="1">
        <v>45660</v>
      </c>
      <c r="G226">
        <v>29073</v>
      </c>
      <c r="H226" t="s">
        <v>10</v>
      </c>
    </row>
    <row r="227" spans="1:8" x14ac:dyDescent="0.25">
      <c r="A227">
        <v>500226</v>
      </c>
      <c r="B227">
        <v>416</v>
      </c>
      <c r="C227">
        <v>1165</v>
      </c>
      <c r="D227">
        <v>3027</v>
      </c>
      <c r="E227" s="1">
        <v>45794</v>
      </c>
      <c r="F227" s="1">
        <v>45801</v>
      </c>
      <c r="G227">
        <v>76734</v>
      </c>
      <c r="H227" t="s">
        <v>10</v>
      </c>
    </row>
    <row r="228" spans="1:8" x14ac:dyDescent="0.25">
      <c r="A228">
        <v>500227</v>
      </c>
      <c r="B228">
        <v>443</v>
      </c>
      <c r="C228">
        <v>498</v>
      </c>
      <c r="D228">
        <v>3466</v>
      </c>
      <c r="E228" s="1">
        <v>45773</v>
      </c>
      <c r="F228" s="1">
        <v>45786</v>
      </c>
      <c r="G228">
        <v>163541</v>
      </c>
      <c r="H228" t="s">
        <v>14</v>
      </c>
    </row>
    <row r="229" spans="1:8" x14ac:dyDescent="0.25">
      <c r="A229">
        <v>500228</v>
      </c>
      <c r="B229">
        <v>93</v>
      </c>
      <c r="C229">
        <v>812</v>
      </c>
      <c r="D229">
        <v>3340</v>
      </c>
      <c r="E229" s="1">
        <v>45688</v>
      </c>
      <c r="F229" s="1">
        <v>45691</v>
      </c>
      <c r="G229">
        <v>41293</v>
      </c>
      <c r="H229" t="s">
        <v>14</v>
      </c>
    </row>
    <row r="230" spans="1:8" x14ac:dyDescent="0.25">
      <c r="A230">
        <v>500229</v>
      </c>
      <c r="B230">
        <v>16</v>
      </c>
      <c r="C230">
        <v>1270</v>
      </c>
      <c r="D230">
        <v>3252</v>
      </c>
      <c r="E230" s="1">
        <v>45774</v>
      </c>
      <c r="F230" s="1">
        <v>45778</v>
      </c>
      <c r="G230">
        <v>53805</v>
      </c>
      <c r="H230" t="s">
        <v>10</v>
      </c>
    </row>
    <row r="231" spans="1:8" x14ac:dyDescent="0.25">
      <c r="A231">
        <v>500230</v>
      </c>
      <c r="B231">
        <v>430</v>
      </c>
      <c r="C231">
        <v>1289</v>
      </c>
      <c r="D231">
        <v>3305</v>
      </c>
      <c r="E231" s="1">
        <v>45745</v>
      </c>
      <c r="F231" s="1">
        <v>45746</v>
      </c>
      <c r="G231">
        <v>22443</v>
      </c>
      <c r="H231" t="s">
        <v>10</v>
      </c>
    </row>
    <row r="232" spans="1:8" x14ac:dyDescent="0.25">
      <c r="A232">
        <v>500231</v>
      </c>
      <c r="B232">
        <v>247</v>
      </c>
      <c r="C232">
        <v>355</v>
      </c>
      <c r="D232">
        <v>3208</v>
      </c>
      <c r="E232" s="1">
        <v>45634</v>
      </c>
      <c r="F232" s="1">
        <v>45638</v>
      </c>
      <c r="G232">
        <v>131269</v>
      </c>
      <c r="H232" t="s">
        <v>14</v>
      </c>
    </row>
    <row r="233" spans="1:8" x14ac:dyDescent="0.25">
      <c r="A233">
        <v>500232</v>
      </c>
      <c r="B233">
        <v>401</v>
      </c>
      <c r="C233">
        <v>1192</v>
      </c>
      <c r="D233">
        <v>3170</v>
      </c>
      <c r="E233" s="1">
        <v>45622</v>
      </c>
      <c r="F233" s="1">
        <v>45623</v>
      </c>
      <c r="G233">
        <v>29564</v>
      </c>
      <c r="H233" t="s">
        <v>10</v>
      </c>
    </row>
    <row r="234" spans="1:8" x14ac:dyDescent="0.25">
      <c r="A234">
        <v>500233</v>
      </c>
      <c r="B234">
        <v>62</v>
      </c>
      <c r="C234">
        <v>1192</v>
      </c>
      <c r="D234">
        <v>3050</v>
      </c>
      <c r="E234" s="1">
        <v>45656</v>
      </c>
      <c r="F234" s="1">
        <v>45660</v>
      </c>
      <c r="G234">
        <v>63089</v>
      </c>
      <c r="H234" t="s">
        <v>14</v>
      </c>
    </row>
    <row r="235" spans="1:8" x14ac:dyDescent="0.25">
      <c r="A235">
        <v>500234</v>
      </c>
      <c r="B235">
        <v>204</v>
      </c>
      <c r="C235">
        <v>540</v>
      </c>
      <c r="D235">
        <v>3058</v>
      </c>
      <c r="E235" s="1">
        <v>45692</v>
      </c>
      <c r="F235" s="1">
        <v>45694</v>
      </c>
      <c r="G235">
        <v>30932</v>
      </c>
      <c r="H235" t="s">
        <v>14</v>
      </c>
    </row>
    <row r="236" spans="1:8" x14ac:dyDescent="0.25">
      <c r="A236">
        <v>500235</v>
      </c>
      <c r="B236">
        <v>119</v>
      </c>
      <c r="C236">
        <v>1467</v>
      </c>
      <c r="D236">
        <v>3368</v>
      </c>
      <c r="E236" s="1">
        <v>45609</v>
      </c>
      <c r="F236" s="1">
        <v>45614</v>
      </c>
      <c r="G236">
        <v>44873</v>
      </c>
      <c r="H236" t="s">
        <v>10</v>
      </c>
    </row>
    <row r="237" spans="1:8" x14ac:dyDescent="0.25">
      <c r="A237">
        <v>500236</v>
      </c>
      <c r="B237">
        <v>215</v>
      </c>
      <c r="C237">
        <v>317</v>
      </c>
      <c r="D237">
        <v>3479</v>
      </c>
      <c r="E237" s="1">
        <v>45649</v>
      </c>
      <c r="F237" s="1">
        <v>45650</v>
      </c>
      <c r="G237">
        <v>26261</v>
      </c>
      <c r="H237" t="s">
        <v>10</v>
      </c>
    </row>
    <row r="238" spans="1:8" x14ac:dyDescent="0.25">
      <c r="A238">
        <v>500237</v>
      </c>
      <c r="B238">
        <v>154</v>
      </c>
      <c r="C238">
        <v>1002</v>
      </c>
      <c r="D238">
        <v>3354</v>
      </c>
      <c r="E238" s="1">
        <v>45644</v>
      </c>
      <c r="F238" s="1">
        <v>45651</v>
      </c>
      <c r="G238">
        <v>84068</v>
      </c>
      <c r="H238" t="s">
        <v>10</v>
      </c>
    </row>
    <row r="239" spans="1:8" x14ac:dyDescent="0.25">
      <c r="A239">
        <v>500238</v>
      </c>
      <c r="B239">
        <v>487</v>
      </c>
      <c r="C239">
        <v>362</v>
      </c>
      <c r="D239">
        <v>3118</v>
      </c>
      <c r="E239" s="1">
        <v>45798</v>
      </c>
      <c r="F239" s="1">
        <v>45805</v>
      </c>
      <c r="G239">
        <v>83627</v>
      </c>
      <c r="H239" t="s">
        <v>14</v>
      </c>
    </row>
    <row r="240" spans="1:8" x14ac:dyDescent="0.25">
      <c r="A240">
        <v>500239</v>
      </c>
      <c r="B240">
        <v>14</v>
      </c>
      <c r="C240">
        <v>396</v>
      </c>
      <c r="D240">
        <v>3307</v>
      </c>
      <c r="E240" s="1">
        <v>45675</v>
      </c>
      <c r="F240" s="1">
        <v>45676</v>
      </c>
      <c r="G240">
        <v>18319</v>
      </c>
      <c r="H240" t="s">
        <v>10</v>
      </c>
    </row>
    <row r="241" spans="1:8" x14ac:dyDescent="0.25">
      <c r="A241">
        <v>500240</v>
      </c>
      <c r="B241">
        <v>16</v>
      </c>
      <c r="C241">
        <v>719</v>
      </c>
      <c r="D241">
        <v>3053</v>
      </c>
      <c r="E241" s="1">
        <v>45763</v>
      </c>
      <c r="F241" s="1">
        <v>45766</v>
      </c>
      <c r="G241">
        <v>29498</v>
      </c>
      <c r="H241" t="s">
        <v>10</v>
      </c>
    </row>
    <row r="242" spans="1:8" x14ac:dyDescent="0.25">
      <c r="A242">
        <v>500241</v>
      </c>
      <c r="B242">
        <v>203</v>
      </c>
      <c r="C242">
        <v>221</v>
      </c>
      <c r="D242">
        <v>3224</v>
      </c>
      <c r="E242" s="1">
        <v>45712</v>
      </c>
      <c r="F242" s="1">
        <v>45713</v>
      </c>
      <c r="G242">
        <v>22136</v>
      </c>
      <c r="H242" t="s">
        <v>25</v>
      </c>
    </row>
    <row r="243" spans="1:8" x14ac:dyDescent="0.25">
      <c r="A243">
        <v>500242</v>
      </c>
      <c r="B243">
        <v>486</v>
      </c>
      <c r="C243">
        <v>1440</v>
      </c>
      <c r="D243">
        <v>3097</v>
      </c>
      <c r="E243" s="1">
        <v>45724</v>
      </c>
      <c r="F243" s="1">
        <v>45726</v>
      </c>
      <c r="G243">
        <v>30734</v>
      </c>
      <c r="H243" t="s">
        <v>25</v>
      </c>
    </row>
    <row r="244" spans="1:8" x14ac:dyDescent="0.25">
      <c r="A244">
        <v>500243</v>
      </c>
      <c r="B244">
        <v>248</v>
      </c>
      <c r="C244">
        <v>309</v>
      </c>
      <c r="D244">
        <v>3088</v>
      </c>
      <c r="E244" s="1">
        <v>45609</v>
      </c>
      <c r="F244" s="1">
        <v>45610</v>
      </c>
      <c r="G244">
        <v>22647</v>
      </c>
      <c r="H244" t="s">
        <v>25</v>
      </c>
    </row>
    <row r="245" spans="1:8" x14ac:dyDescent="0.25">
      <c r="A245">
        <v>500244</v>
      </c>
      <c r="B245">
        <v>343</v>
      </c>
      <c r="C245">
        <v>144</v>
      </c>
      <c r="D245">
        <v>3299</v>
      </c>
      <c r="E245" s="1">
        <v>45731</v>
      </c>
      <c r="F245" s="1">
        <v>45732</v>
      </c>
      <c r="G245">
        <v>30971</v>
      </c>
      <c r="H245" t="s">
        <v>14</v>
      </c>
    </row>
    <row r="246" spans="1:8" x14ac:dyDescent="0.25">
      <c r="A246">
        <v>500245</v>
      </c>
      <c r="B246">
        <v>142</v>
      </c>
      <c r="C246">
        <v>809</v>
      </c>
      <c r="D246">
        <v>3392</v>
      </c>
      <c r="E246" s="1">
        <v>45615</v>
      </c>
      <c r="F246" s="1">
        <v>45618</v>
      </c>
      <c r="G246">
        <v>45834</v>
      </c>
      <c r="H246" t="s">
        <v>10</v>
      </c>
    </row>
    <row r="247" spans="1:8" x14ac:dyDescent="0.25">
      <c r="A247">
        <v>500246</v>
      </c>
      <c r="B247">
        <v>49</v>
      </c>
      <c r="C247">
        <v>1448</v>
      </c>
      <c r="D247">
        <v>3287</v>
      </c>
      <c r="E247" s="1">
        <v>45609</v>
      </c>
      <c r="F247" s="1">
        <v>45611</v>
      </c>
      <c r="G247">
        <v>36892</v>
      </c>
      <c r="H247" t="s">
        <v>25</v>
      </c>
    </row>
    <row r="248" spans="1:8" x14ac:dyDescent="0.25">
      <c r="A248">
        <v>500247</v>
      </c>
      <c r="B248">
        <v>204</v>
      </c>
      <c r="C248">
        <v>310</v>
      </c>
      <c r="D248">
        <v>3298</v>
      </c>
      <c r="E248" s="1">
        <v>45706</v>
      </c>
      <c r="F248" s="1">
        <v>45709</v>
      </c>
      <c r="G248">
        <v>54326</v>
      </c>
      <c r="H248" t="s">
        <v>10</v>
      </c>
    </row>
    <row r="249" spans="1:8" x14ac:dyDescent="0.25">
      <c r="A249">
        <v>500248</v>
      </c>
      <c r="B249">
        <v>90</v>
      </c>
      <c r="C249">
        <v>555</v>
      </c>
      <c r="D249">
        <v>3322</v>
      </c>
      <c r="E249" s="1">
        <v>45770</v>
      </c>
      <c r="F249" s="1">
        <v>45771</v>
      </c>
      <c r="G249">
        <v>25723</v>
      </c>
      <c r="H249" t="s">
        <v>10</v>
      </c>
    </row>
    <row r="250" spans="1:8" x14ac:dyDescent="0.25">
      <c r="A250">
        <v>500249</v>
      </c>
      <c r="B250">
        <v>529</v>
      </c>
      <c r="C250">
        <v>423</v>
      </c>
      <c r="D250">
        <v>3080</v>
      </c>
      <c r="E250" s="1">
        <v>45629</v>
      </c>
      <c r="F250" s="1">
        <v>45631</v>
      </c>
      <c r="G250">
        <v>34030</v>
      </c>
      <c r="H250" t="s">
        <v>10</v>
      </c>
    </row>
    <row r="251" spans="1:8" x14ac:dyDescent="0.25">
      <c r="A251">
        <v>500250</v>
      </c>
      <c r="B251">
        <v>121</v>
      </c>
      <c r="C251">
        <v>1044</v>
      </c>
      <c r="D251">
        <v>3312</v>
      </c>
      <c r="E251" s="1">
        <v>45797</v>
      </c>
      <c r="F251" s="1">
        <v>45799</v>
      </c>
      <c r="G251">
        <v>42600</v>
      </c>
      <c r="H251" t="s">
        <v>14</v>
      </c>
    </row>
    <row r="252" spans="1:8" x14ac:dyDescent="0.25">
      <c r="A252">
        <v>500251</v>
      </c>
      <c r="B252">
        <v>234</v>
      </c>
      <c r="C252">
        <v>600</v>
      </c>
      <c r="D252">
        <v>3342</v>
      </c>
      <c r="E252" s="1">
        <v>45628</v>
      </c>
      <c r="F252" s="1">
        <v>45633</v>
      </c>
      <c r="G252">
        <v>117818</v>
      </c>
      <c r="H252" t="s">
        <v>14</v>
      </c>
    </row>
    <row r="253" spans="1:8" x14ac:dyDescent="0.25">
      <c r="A253">
        <v>500252</v>
      </c>
      <c r="B253">
        <v>74</v>
      </c>
      <c r="C253">
        <v>936</v>
      </c>
      <c r="D253">
        <v>3155</v>
      </c>
      <c r="E253" s="1">
        <v>45719</v>
      </c>
      <c r="F253" s="1">
        <v>45721</v>
      </c>
      <c r="G253">
        <v>24711</v>
      </c>
      <c r="H253" t="s">
        <v>14</v>
      </c>
    </row>
    <row r="254" spans="1:8" x14ac:dyDescent="0.25">
      <c r="A254">
        <v>500253</v>
      </c>
      <c r="B254">
        <v>216</v>
      </c>
      <c r="C254">
        <v>1185</v>
      </c>
      <c r="D254">
        <v>3476</v>
      </c>
      <c r="E254" s="1">
        <v>45789</v>
      </c>
      <c r="F254" s="1">
        <v>45793</v>
      </c>
      <c r="G254">
        <v>51240</v>
      </c>
      <c r="H254" t="s">
        <v>14</v>
      </c>
    </row>
    <row r="255" spans="1:8" x14ac:dyDescent="0.25">
      <c r="A255">
        <v>500254</v>
      </c>
      <c r="B255">
        <v>117</v>
      </c>
      <c r="C255">
        <v>1351</v>
      </c>
      <c r="D255">
        <v>3168</v>
      </c>
      <c r="E255" s="1">
        <v>45646</v>
      </c>
      <c r="F255" s="1">
        <v>45657</v>
      </c>
      <c r="G255">
        <v>115154</v>
      </c>
      <c r="H255" t="s">
        <v>14</v>
      </c>
    </row>
    <row r="256" spans="1:8" x14ac:dyDescent="0.25">
      <c r="A256">
        <v>500255</v>
      </c>
      <c r="B256">
        <v>173</v>
      </c>
      <c r="C256">
        <v>486</v>
      </c>
      <c r="D256">
        <v>3116</v>
      </c>
      <c r="E256" s="1">
        <v>45743</v>
      </c>
      <c r="F256" s="1">
        <v>45748</v>
      </c>
      <c r="G256">
        <v>113154</v>
      </c>
      <c r="H256" t="s">
        <v>25</v>
      </c>
    </row>
    <row r="257" spans="1:8" x14ac:dyDescent="0.25">
      <c r="A257">
        <v>500256</v>
      </c>
      <c r="B257">
        <v>486</v>
      </c>
      <c r="C257">
        <v>224</v>
      </c>
      <c r="D257">
        <v>3397</v>
      </c>
      <c r="E257" s="1">
        <v>45659</v>
      </c>
      <c r="F257" s="1">
        <v>45662</v>
      </c>
      <c r="G257">
        <v>58275</v>
      </c>
      <c r="H257" t="s">
        <v>10</v>
      </c>
    </row>
    <row r="258" spans="1:8" x14ac:dyDescent="0.25">
      <c r="A258">
        <v>500257</v>
      </c>
      <c r="B258">
        <v>169</v>
      </c>
      <c r="C258">
        <v>784</v>
      </c>
      <c r="D258">
        <v>3167</v>
      </c>
      <c r="E258" s="1">
        <v>45732</v>
      </c>
      <c r="F258" s="1">
        <v>45740</v>
      </c>
      <c r="G258">
        <v>96851</v>
      </c>
      <c r="H258" t="s">
        <v>10</v>
      </c>
    </row>
    <row r="259" spans="1:8" x14ac:dyDescent="0.25">
      <c r="A259">
        <v>500258</v>
      </c>
      <c r="B259">
        <v>142</v>
      </c>
      <c r="C259">
        <v>844</v>
      </c>
      <c r="D259">
        <v>3029</v>
      </c>
      <c r="E259" s="1">
        <v>45689</v>
      </c>
      <c r="F259" s="1">
        <v>45693</v>
      </c>
      <c r="G259">
        <v>44574</v>
      </c>
      <c r="H259" t="s">
        <v>10</v>
      </c>
    </row>
    <row r="260" spans="1:8" x14ac:dyDescent="0.25">
      <c r="A260">
        <v>500259</v>
      </c>
      <c r="B260">
        <v>400</v>
      </c>
      <c r="C260">
        <v>388</v>
      </c>
      <c r="D260">
        <v>3019</v>
      </c>
      <c r="E260" s="1">
        <v>45704</v>
      </c>
      <c r="F260" s="1">
        <v>45707</v>
      </c>
      <c r="G260">
        <v>41295</v>
      </c>
      <c r="H260" t="s">
        <v>25</v>
      </c>
    </row>
    <row r="261" spans="1:8" x14ac:dyDescent="0.25">
      <c r="A261">
        <v>500260</v>
      </c>
      <c r="B261">
        <v>30</v>
      </c>
      <c r="C261">
        <v>910</v>
      </c>
      <c r="D261">
        <v>3195</v>
      </c>
      <c r="E261" s="1">
        <v>45604</v>
      </c>
      <c r="F261" s="1">
        <v>45609</v>
      </c>
      <c r="G261">
        <v>70350</v>
      </c>
      <c r="H261" t="s">
        <v>10</v>
      </c>
    </row>
    <row r="262" spans="1:8" x14ac:dyDescent="0.25">
      <c r="A262">
        <v>500261</v>
      </c>
      <c r="B262">
        <v>171</v>
      </c>
      <c r="C262">
        <v>221</v>
      </c>
      <c r="D262">
        <v>3049</v>
      </c>
      <c r="E262" s="1">
        <v>45618</v>
      </c>
      <c r="F262" s="1">
        <v>45619</v>
      </c>
      <c r="G262">
        <v>20528</v>
      </c>
      <c r="H262" t="s">
        <v>25</v>
      </c>
    </row>
    <row r="263" spans="1:8" x14ac:dyDescent="0.25">
      <c r="A263">
        <v>500262</v>
      </c>
      <c r="B263">
        <v>215</v>
      </c>
      <c r="C263">
        <v>268</v>
      </c>
      <c r="D263">
        <v>3264</v>
      </c>
      <c r="E263" s="1">
        <v>45724</v>
      </c>
      <c r="F263" s="1">
        <v>45731</v>
      </c>
      <c r="G263">
        <v>55795</v>
      </c>
      <c r="H263" t="s">
        <v>25</v>
      </c>
    </row>
    <row r="264" spans="1:8" x14ac:dyDescent="0.25">
      <c r="A264">
        <v>500263</v>
      </c>
      <c r="B264">
        <v>309</v>
      </c>
      <c r="C264">
        <v>1179</v>
      </c>
      <c r="D264">
        <v>3453</v>
      </c>
      <c r="E264" s="1">
        <v>45638</v>
      </c>
      <c r="F264" s="1">
        <v>45642</v>
      </c>
      <c r="G264">
        <v>69690</v>
      </c>
      <c r="H264" t="s">
        <v>14</v>
      </c>
    </row>
    <row r="265" spans="1:8" x14ac:dyDescent="0.25">
      <c r="A265">
        <v>500264</v>
      </c>
      <c r="B265">
        <v>529</v>
      </c>
      <c r="C265">
        <v>972</v>
      </c>
      <c r="D265">
        <v>3275</v>
      </c>
      <c r="E265" s="1">
        <v>45659</v>
      </c>
      <c r="F265" s="1">
        <v>45660</v>
      </c>
      <c r="G265">
        <v>20962</v>
      </c>
      <c r="H265" t="s">
        <v>10</v>
      </c>
    </row>
    <row r="266" spans="1:8" x14ac:dyDescent="0.25">
      <c r="A266">
        <v>500265</v>
      </c>
      <c r="B266">
        <v>117</v>
      </c>
      <c r="C266">
        <v>422</v>
      </c>
      <c r="D266">
        <v>3431</v>
      </c>
      <c r="E266" s="1">
        <v>45786</v>
      </c>
      <c r="F266" s="1">
        <v>45791</v>
      </c>
      <c r="G266">
        <v>47844</v>
      </c>
      <c r="H266" t="s">
        <v>14</v>
      </c>
    </row>
    <row r="267" spans="1:8" x14ac:dyDescent="0.25">
      <c r="A267">
        <v>500266</v>
      </c>
      <c r="B267">
        <v>202</v>
      </c>
      <c r="C267">
        <v>290</v>
      </c>
      <c r="D267">
        <v>3479</v>
      </c>
      <c r="E267" s="1">
        <v>45757</v>
      </c>
      <c r="F267" s="1">
        <v>45759</v>
      </c>
      <c r="G267">
        <v>38432</v>
      </c>
      <c r="H267" t="s">
        <v>10</v>
      </c>
    </row>
    <row r="268" spans="1:8" x14ac:dyDescent="0.25">
      <c r="A268">
        <v>500267</v>
      </c>
      <c r="B268">
        <v>429</v>
      </c>
      <c r="C268">
        <v>1386</v>
      </c>
      <c r="D268">
        <v>3085</v>
      </c>
      <c r="E268" s="1">
        <v>45758</v>
      </c>
      <c r="F268" s="1">
        <v>45766</v>
      </c>
      <c r="G268">
        <v>68078</v>
      </c>
      <c r="H268" t="s">
        <v>25</v>
      </c>
    </row>
    <row r="269" spans="1:8" x14ac:dyDescent="0.25">
      <c r="A269">
        <v>500268</v>
      </c>
      <c r="B269">
        <v>511</v>
      </c>
      <c r="C269">
        <v>1120</v>
      </c>
      <c r="D269">
        <v>3328</v>
      </c>
      <c r="E269" s="1">
        <v>45637</v>
      </c>
      <c r="F269" s="1">
        <v>45644</v>
      </c>
      <c r="G269">
        <v>115917</v>
      </c>
      <c r="H269" t="s">
        <v>10</v>
      </c>
    </row>
    <row r="270" spans="1:8" x14ac:dyDescent="0.25">
      <c r="A270">
        <v>500269</v>
      </c>
      <c r="B270">
        <v>44</v>
      </c>
      <c r="C270">
        <v>617</v>
      </c>
      <c r="D270">
        <v>3187</v>
      </c>
      <c r="E270" s="1">
        <v>45661</v>
      </c>
      <c r="F270" s="1">
        <v>45666</v>
      </c>
      <c r="G270">
        <v>79004</v>
      </c>
      <c r="H270" t="s">
        <v>10</v>
      </c>
    </row>
    <row r="271" spans="1:8" x14ac:dyDescent="0.25">
      <c r="A271">
        <v>500270</v>
      </c>
      <c r="B271">
        <v>16</v>
      </c>
      <c r="C271">
        <v>1442</v>
      </c>
      <c r="D271">
        <v>3101</v>
      </c>
      <c r="E271" s="1">
        <v>45597</v>
      </c>
      <c r="F271" s="1">
        <v>45605</v>
      </c>
      <c r="G271">
        <v>79913</v>
      </c>
      <c r="H271" t="s">
        <v>25</v>
      </c>
    </row>
    <row r="272" spans="1:8" x14ac:dyDescent="0.25">
      <c r="A272">
        <v>500271</v>
      </c>
      <c r="B272">
        <v>169</v>
      </c>
      <c r="C272">
        <v>940</v>
      </c>
      <c r="D272">
        <v>3122</v>
      </c>
      <c r="E272" s="1">
        <v>45701</v>
      </c>
      <c r="F272" s="1">
        <v>45705</v>
      </c>
      <c r="G272">
        <v>54422</v>
      </c>
      <c r="H272" t="s">
        <v>14</v>
      </c>
    </row>
    <row r="273" spans="1:8" x14ac:dyDescent="0.25">
      <c r="A273">
        <v>500272</v>
      </c>
      <c r="B273">
        <v>508</v>
      </c>
      <c r="C273">
        <v>1152</v>
      </c>
      <c r="D273">
        <v>3285</v>
      </c>
      <c r="E273" s="1">
        <v>45690</v>
      </c>
      <c r="F273" s="1">
        <v>45696</v>
      </c>
      <c r="G273">
        <v>189196</v>
      </c>
      <c r="H273" t="s">
        <v>10</v>
      </c>
    </row>
    <row r="274" spans="1:8" x14ac:dyDescent="0.25">
      <c r="A274">
        <v>500273</v>
      </c>
      <c r="B274">
        <v>141</v>
      </c>
      <c r="C274">
        <v>947</v>
      </c>
      <c r="D274">
        <v>3005</v>
      </c>
      <c r="E274" s="1">
        <v>45759</v>
      </c>
      <c r="F274" s="1">
        <v>45760</v>
      </c>
      <c r="G274">
        <v>21164</v>
      </c>
      <c r="H274" t="s">
        <v>25</v>
      </c>
    </row>
    <row r="275" spans="1:8" x14ac:dyDescent="0.25">
      <c r="A275">
        <v>500274</v>
      </c>
      <c r="B275">
        <v>367</v>
      </c>
      <c r="C275">
        <v>781</v>
      </c>
      <c r="D275">
        <v>3207</v>
      </c>
      <c r="E275" s="1">
        <v>45722</v>
      </c>
      <c r="F275" s="1">
        <v>45724</v>
      </c>
      <c r="G275">
        <v>33173</v>
      </c>
      <c r="H275" t="s">
        <v>10</v>
      </c>
    </row>
    <row r="276" spans="1:8" x14ac:dyDescent="0.25">
      <c r="A276">
        <v>500275</v>
      </c>
      <c r="B276">
        <v>77</v>
      </c>
      <c r="C276">
        <v>260</v>
      </c>
      <c r="D276">
        <v>3419</v>
      </c>
      <c r="E276" s="1">
        <v>45673</v>
      </c>
      <c r="F276" s="1">
        <v>45680</v>
      </c>
      <c r="G276">
        <v>117656</v>
      </c>
      <c r="H276" t="s">
        <v>10</v>
      </c>
    </row>
    <row r="277" spans="1:8" x14ac:dyDescent="0.25">
      <c r="A277">
        <v>500276</v>
      </c>
      <c r="B277">
        <v>515</v>
      </c>
      <c r="C277">
        <v>1058</v>
      </c>
      <c r="D277">
        <v>3214</v>
      </c>
      <c r="E277" s="1">
        <v>45670</v>
      </c>
      <c r="F277" s="1">
        <v>45685</v>
      </c>
      <c r="G277">
        <v>252102</v>
      </c>
      <c r="H277" t="s">
        <v>10</v>
      </c>
    </row>
    <row r="278" spans="1:8" x14ac:dyDescent="0.25">
      <c r="A278">
        <v>500277</v>
      </c>
      <c r="B278">
        <v>171</v>
      </c>
      <c r="C278">
        <v>374</v>
      </c>
      <c r="D278">
        <v>3009</v>
      </c>
      <c r="E278" s="1">
        <v>45785</v>
      </c>
      <c r="F278" s="1">
        <v>45791</v>
      </c>
      <c r="G278">
        <v>116363</v>
      </c>
      <c r="H278" t="s">
        <v>25</v>
      </c>
    </row>
    <row r="279" spans="1:8" x14ac:dyDescent="0.25">
      <c r="A279">
        <v>500278</v>
      </c>
      <c r="B279">
        <v>488</v>
      </c>
      <c r="C279">
        <v>1576</v>
      </c>
      <c r="D279">
        <v>3410</v>
      </c>
      <c r="E279" s="1">
        <v>45719</v>
      </c>
      <c r="F279" s="1">
        <v>45723</v>
      </c>
      <c r="G279">
        <v>45513</v>
      </c>
      <c r="H279" t="s">
        <v>10</v>
      </c>
    </row>
    <row r="280" spans="1:8" x14ac:dyDescent="0.25">
      <c r="A280">
        <v>500279</v>
      </c>
      <c r="B280">
        <v>12</v>
      </c>
      <c r="C280">
        <v>1249</v>
      </c>
      <c r="D280">
        <v>3167</v>
      </c>
      <c r="E280" s="1">
        <v>45790</v>
      </c>
      <c r="F280" s="1">
        <v>45798</v>
      </c>
      <c r="G280">
        <v>90566</v>
      </c>
      <c r="H280" t="s">
        <v>14</v>
      </c>
    </row>
    <row r="281" spans="1:8" x14ac:dyDescent="0.25">
      <c r="A281">
        <v>500280</v>
      </c>
      <c r="B281">
        <v>120</v>
      </c>
      <c r="C281">
        <v>977</v>
      </c>
      <c r="D281">
        <v>3112</v>
      </c>
      <c r="E281" s="1">
        <v>45674</v>
      </c>
      <c r="F281" s="1">
        <v>45677</v>
      </c>
      <c r="G281">
        <v>45210</v>
      </c>
      <c r="H281" t="s">
        <v>10</v>
      </c>
    </row>
    <row r="282" spans="1:8" x14ac:dyDescent="0.25">
      <c r="A282">
        <v>500281</v>
      </c>
      <c r="B282">
        <v>190</v>
      </c>
      <c r="C282">
        <v>640</v>
      </c>
      <c r="D282">
        <v>3017</v>
      </c>
      <c r="E282" s="1">
        <v>45625</v>
      </c>
      <c r="F282" s="1">
        <v>45628</v>
      </c>
      <c r="G282">
        <v>45066</v>
      </c>
      <c r="H282" t="s">
        <v>10</v>
      </c>
    </row>
    <row r="283" spans="1:8" x14ac:dyDescent="0.25">
      <c r="A283">
        <v>500282</v>
      </c>
      <c r="B283">
        <v>456</v>
      </c>
      <c r="C283">
        <v>739</v>
      </c>
      <c r="D283">
        <v>3129</v>
      </c>
      <c r="E283" s="1">
        <v>45776</v>
      </c>
      <c r="F283" s="1">
        <v>45780</v>
      </c>
      <c r="G283">
        <v>35413</v>
      </c>
      <c r="H283" t="s">
        <v>10</v>
      </c>
    </row>
    <row r="284" spans="1:8" x14ac:dyDescent="0.25">
      <c r="A284">
        <v>500283</v>
      </c>
      <c r="B284">
        <v>216</v>
      </c>
      <c r="C284">
        <v>753</v>
      </c>
      <c r="D284">
        <v>3096</v>
      </c>
      <c r="E284" s="1">
        <v>45715</v>
      </c>
      <c r="F284" s="1">
        <v>45724</v>
      </c>
      <c r="G284">
        <v>71964</v>
      </c>
      <c r="H284" t="s">
        <v>14</v>
      </c>
    </row>
    <row r="285" spans="1:8" x14ac:dyDescent="0.25">
      <c r="A285">
        <v>500284</v>
      </c>
      <c r="B285">
        <v>419</v>
      </c>
      <c r="C285">
        <v>871</v>
      </c>
      <c r="D285">
        <v>3371</v>
      </c>
      <c r="E285" s="1">
        <v>45780</v>
      </c>
      <c r="F285" s="1">
        <v>45781</v>
      </c>
      <c r="G285">
        <v>21431</v>
      </c>
      <c r="H285" t="s">
        <v>10</v>
      </c>
    </row>
    <row r="286" spans="1:8" x14ac:dyDescent="0.25">
      <c r="A286">
        <v>500285</v>
      </c>
      <c r="B286">
        <v>90</v>
      </c>
      <c r="C286">
        <v>501</v>
      </c>
      <c r="D286">
        <v>3014</v>
      </c>
      <c r="E286" s="1">
        <v>45801</v>
      </c>
      <c r="F286" s="1">
        <v>45803</v>
      </c>
      <c r="G286">
        <v>34089</v>
      </c>
      <c r="H286" t="s">
        <v>14</v>
      </c>
    </row>
    <row r="287" spans="1:8" x14ac:dyDescent="0.25">
      <c r="A287">
        <v>500286</v>
      </c>
      <c r="B287">
        <v>154</v>
      </c>
      <c r="C287">
        <v>1329</v>
      </c>
      <c r="D287">
        <v>3048</v>
      </c>
      <c r="E287" s="1">
        <v>45697</v>
      </c>
      <c r="F287" s="1">
        <v>45719</v>
      </c>
      <c r="G287">
        <v>211041</v>
      </c>
      <c r="H287" t="s">
        <v>14</v>
      </c>
    </row>
    <row r="288" spans="1:8" x14ac:dyDescent="0.25">
      <c r="A288">
        <v>500287</v>
      </c>
      <c r="B288">
        <v>33</v>
      </c>
      <c r="C288">
        <v>1027</v>
      </c>
      <c r="D288">
        <v>3299</v>
      </c>
      <c r="E288" s="1">
        <v>45776</v>
      </c>
      <c r="F288" s="1">
        <v>45778</v>
      </c>
      <c r="G288">
        <v>48939</v>
      </c>
      <c r="H288" t="s">
        <v>14</v>
      </c>
    </row>
    <row r="289" spans="1:8" x14ac:dyDescent="0.25">
      <c r="A289">
        <v>500288</v>
      </c>
      <c r="B289">
        <v>159</v>
      </c>
      <c r="C289">
        <v>1171</v>
      </c>
      <c r="D289">
        <v>3465</v>
      </c>
      <c r="E289" s="1">
        <v>45726</v>
      </c>
      <c r="F289" s="1">
        <v>45728</v>
      </c>
      <c r="G289">
        <v>30216</v>
      </c>
      <c r="H289" t="s">
        <v>10</v>
      </c>
    </row>
    <row r="290" spans="1:8" x14ac:dyDescent="0.25">
      <c r="A290">
        <v>500289</v>
      </c>
      <c r="B290">
        <v>516</v>
      </c>
      <c r="C290">
        <v>1470</v>
      </c>
      <c r="D290">
        <v>3077</v>
      </c>
      <c r="E290" s="1">
        <v>45695</v>
      </c>
      <c r="F290" s="1">
        <v>45725</v>
      </c>
      <c r="G290">
        <v>301260</v>
      </c>
      <c r="H290" t="s">
        <v>25</v>
      </c>
    </row>
    <row r="291" spans="1:8" x14ac:dyDescent="0.25">
      <c r="A291">
        <v>500290</v>
      </c>
      <c r="B291">
        <v>185</v>
      </c>
      <c r="C291">
        <v>992</v>
      </c>
      <c r="D291">
        <v>3265</v>
      </c>
      <c r="E291" s="1">
        <v>45680</v>
      </c>
      <c r="F291" s="1">
        <v>45694</v>
      </c>
      <c r="G291">
        <v>101613</v>
      </c>
      <c r="H291" t="s">
        <v>25</v>
      </c>
    </row>
    <row r="292" spans="1:8" x14ac:dyDescent="0.25">
      <c r="A292">
        <v>500291</v>
      </c>
      <c r="B292">
        <v>432</v>
      </c>
      <c r="C292">
        <v>704</v>
      </c>
      <c r="D292">
        <v>3475</v>
      </c>
      <c r="E292" s="1">
        <v>45690</v>
      </c>
      <c r="F292" s="1">
        <v>45693</v>
      </c>
      <c r="G292">
        <v>36978</v>
      </c>
      <c r="H292" t="s">
        <v>25</v>
      </c>
    </row>
    <row r="293" spans="1:8" x14ac:dyDescent="0.25">
      <c r="A293">
        <v>500292</v>
      </c>
      <c r="B293">
        <v>511</v>
      </c>
      <c r="C293">
        <v>349</v>
      </c>
      <c r="D293">
        <v>3138</v>
      </c>
      <c r="E293" s="1">
        <v>45769</v>
      </c>
      <c r="F293" s="1">
        <v>45777</v>
      </c>
      <c r="G293">
        <v>103516</v>
      </c>
      <c r="H293" t="s">
        <v>25</v>
      </c>
    </row>
    <row r="294" spans="1:8" x14ac:dyDescent="0.25">
      <c r="A294">
        <v>500293</v>
      </c>
      <c r="B294">
        <v>416</v>
      </c>
      <c r="C294">
        <v>1578</v>
      </c>
      <c r="D294">
        <v>3296</v>
      </c>
      <c r="E294" s="1">
        <v>45729</v>
      </c>
      <c r="F294" s="1">
        <v>45737</v>
      </c>
      <c r="G294">
        <v>139148</v>
      </c>
      <c r="H294" t="s">
        <v>10</v>
      </c>
    </row>
    <row r="295" spans="1:8" x14ac:dyDescent="0.25">
      <c r="A295">
        <v>500294</v>
      </c>
      <c r="B295">
        <v>487</v>
      </c>
      <c r="C295">
        <v>548</v>
      </c>
      <c r="D295">
        <v>3046</v>
      </c>
      <c r="E295" s="1">
        <v>45677</v>
      </c>
      <c r="F295" s="1">
        <v>45688</v>
      </c>
      <c r="G295">
        <v>109356</v>
      </c>
      <c r="H295" t="s">
        <v>10</v>
      </c>
    </row>
    <row r="296" spans="1:8" x14ac:dyDescent="0.25">
      <c r="A296">
        <v>500295</v>
      </c>
      <c r="B296">
        <v>314</v>
      </c>
      <c r="C296">
        <v>209</v>
      </c>
      <c r="D296">
        <v>3463</v>
      </c>
      <c r="E296" s="1">
        <v>45740</v>
      </c>
      <c r="F296" s="1">
        <v>45743</v>
      </c>
      <c r="G296">
        <v>46827</v>
      </c>
      <c r="H296" t="s">
        <v>14</v>
      </c>
    </row>
    <row r="297" spans="1:8" x14ac:dyDescent="0.25">
      <c r="A297">
        <v>500296</v>
      </c>
      <c r="B297">
        <v>121</v>
      </c>
      <c r="C297">
        <v>671</v>
      </c>
      <c r="D297">
        <v>3012</v>
      </c>
      <c r="E297" s="1">
        <v>45735</v>
      </c>
      <c r="F297" s="1">
        <v>45738</v>
      </c>
      <c r="G297">
        <v>44442</v>
      </c>
      <c r="H297" t="s">
        <v>10</v>
      </c>
    </row>
    <row r="298" spans="1:8" x14ac:dyDescent="0.25">
      <c r="A298">
        <v>500297</v>
      </c>
      <c r="B298">
        <v>246</v>
      </c>
      <c r="C298">
        <v>301</v>
      </c>
      <c r="D298">
        <v>3101</v>
      </c>
      <c r="E298" s="1">
        <v>45699</v>
      </c>
      <c r="F298" s="1">
        <v>45705</v>
      </c>
      <c r="G298">
        <v>85774</v>
      </c>
      <c r="H298" t="s">
        <v>25</v>
      </c>
    </row>
    <row r="299" spans="1:8" x14ac:dyDescent="0.25">
      <c r="A299">
        <v>500298</v>
      </c>
      <c r="B299">
        <v>368</v>
      </c>
      <c r="C299">
        <v>836</v>
      </c>
      <c r="D299">
        <v>3380</v>
      </c>
      <c r="E299" s="1">
        <v>45709</v>
      </c>
      <c r="F299" s="1">
        <v>45717</v>
      </c>
      <c r="G299">
        <v>199806</v>
      </c>
      <c r="H299" t="s">
        <v>14</v>
      </c>
    </row>
    <row r="300" spans="1:8" x14ac:dyDescent="0.25">
      <c r="A300">
        <v>500299</v>
      </c>
      <c r="B300">
        <v>121</v>
      </c>
      <c r="C300">
        <v>1379</v>
      </c>
      <c r="D300">
        <v>3004</v>
      </c>
      <c r="E300" s="1">
        <v>45784</v>
      </c>
      <c r="F300" s="1">
        <v>45785</v>
      </c>
      <c r="G300">
        <v>31989</v>
      </c>
      <c r="H300" t="s">
        <v>10</v>
      </c>
    </row>
    <row r="301" spans="1:8" x14ac:dyDescent="0.25">
      <c r="A301">
        <v>500300</v>
      </c>
      <c r="B301">
        <v>47</v>
      </c>
      <c r="C301">
        <v>220</v>
      </c>
      <c r="D301">
        <v>3377</v>
      </c>
      <c r="E301" s="1">
        <v>45775</v>
      </c>
      <c r="F301" s="1">
        <v>45779</v>
      </c>
      <c r="G301">
        <v>100472</v>
      </c>
      <c r="H301" t="s">
        <v>10</v>
      </c>
    </row>
    <row r="302" spans="1:8" x14ac:dyDescent="0.25">
      <c r="A302">
        <v>500301</v>
      </c>
      <c r="B302">
        <v>506</v>
      </c>
      <c r="C302">
        <v>526</v>
      </c>
      <c r="D302">
        <v>3476</v>
      </c>
      <c r="E302" s="1">
        <v>45788</v>
      </c>
      <c r="F302" s="1">
        <v>45792</v>
      </c>
      <c r="G302">
        <v>61391</v>
      </c>
      <c r="H302" t="s">
        <v>14</v>
      </c>
    </row>
    <row r="303" spans="1:8" x14ac:dyDescent="0.25">
      <c r="A303">
        <v>500302</v>
      </c>
      <c r="B303">
        <v>230</v>
      </c>
      <c r="C303">
        <v>1030</v>
      </c>
      <c r="D303">
        <v>3071</v>
      </c>
      <c r="E303" s="1">
        <v>45723</v>
      </c>
      <c r="F303" s="1">
        <v>45726</v>
      </c>
      <c r="G303">
        <v>67131</v>
      </c>
      <c r="H303" t="s">
        <v>14</v>
      </c>
    </row>
    <row r="304" spans="1:8" x14ac:dyDescent="0.25">
      <c r="A304">
        <v>500303</v>
      </c>
      <c r="B304">
        <v>186</v>
      </c>
      <c r="C304">
        <v>535</v>
      </c>
      <c r="D304">
        <v>3135</v>
      </c>
      <c r="E304" s="1">
        <v>45800</v>
      </c>
      <c r="F304" s="1">
        <v>45804</v>
      </c>
      <c r="G304">
        <v>48884</v>
      </c>
      <c r="H304" t="s">
        <v>14</v>
      </c>
    </row>
    <row r="305" spans="1:8" x14ac:dyDescent="0.25">
      <c r="A305">
        <v>500304</v>
      </c>
      <c r="B305">
        <v>159</v>
      </c>
      <c r="C305">
        <v>112</v>
      </c>
      <c r="D305">
        <v>3122</v>
      </c>
      <c r="E305" s="1">
        <v>45670</v>
      </c>
      <c r="F305" s="1">
        <v>45671</v>
      </c>
      <c r="G305">
        <v>19213</v>
      </c>
      <c r="H305" t="s">
        <v>10</v>
      </c>
    </row>
    <row r="306" spans="1:8" x14ac:dyDescent="0.25">
      <c r="A306">
        <v>500305</v>
      </c>
      <c r="B306">
        <v>48</v>
      </c>
      <c r="C306">
        <v>295</v>
      </c>
      <c r="D306">
        <v>3493</v>
      </c>
      <c r="E306" s="1">
        <v>45674</v>
      </c>
      <c r="F306" s="1">
        <v>45675</v>
      </c>
      <c r="G306">
        <v>22067</v>
      </c>
      <c r="H306" t="s">
        <v>14</v>
      </c>
    </row>
    <row r="307" spans="1:8" x14ac:dyDescent="0.25">
      <c r="A307">
        <v>500306</v>
      </c>
      <c r="B307">
        <v>430</v>
      </c>
      <c r="C307">
        <v>821</v>
      </c>
      <c r="D307">
        <v>3452</v>
      </c>
      <c r="E307" s="1">
        <v>45612</v>
      </c>
      <c r="F307" s="1">
        <v>45618</v>
      </c>
      <c r="G307">
        <v>88121</v>
      </c>
      <c r="H307" t="s">
        <v>10</v>
      </c>
    </row>
    <row r="308" spans="1:8" x14ac:dyDescent="0.25">
      <c r="A308">
        <v>500307</v>
      </c>
      <c r="B308">
        <v>504</v>
      </c>
      <c r="C308">
        <v>291</v>
      </c>
      <c r="D308">
        <v>3362</v>
      </c>
      <c r="E308" s="1">
        <v>45789</v>
      </c>
      <c r="F308" s="1">
        <v>45793</v>
      </c>
      <c r="G308">
        <v>42321</v>
      </c>
      <c r="H308" t="s">
        <v>25</v>
      </c>
    </row>
    <row r="309" spans="1:8" x14ac:dyDescent="0.25">
      <c r="A309">
        <v>500308</v>
      </c>
      <c r="B309">
        <v>417</v>
      </c>
      <c r="C309">
        <v>1185</v>
      </c>
      <c r="D309">
        <v>3397</v>
      </c>
      <c r="E309" s="1">
        <v>45616</v>
      </c>
      <c r="F309" s="1">
        <v>45617</v>
      </c>
      <c r="G309">
        <v>14507</v>
      </c>
      <c r="H309" t="s">
        <v>10</v>
      </c>
    </row>
    <row r="310" spans="1:8" x14ac:dyDescent="0.25">
      <c r="A310">
        <v>500309</v>
      </c>
      <c r="B310">
        <v>15</v>
      </c>
      <c r="C310">
        <v>944</v>
      </c>
      <c r="D310">
        <v>3055</v>
      </c>
      <c r="E310" s="1">
        <v>45629</v>
      </c>
      <c r="F310" s="1">
        <v>45632</v>
      </c>
      <c r="G310">
        <v>34226</v>
      </c>
      <c r="H310" t="s">
        <v>25</v>
      </c>
    </row>
    <row r="311" spans="1:8" x14ac:dyDescent="0.25">
      <c r="A311">
        <v>500310</v>
      </c>
      <c r="B311">
        <v>457</v>
      </c>
      <c r="C311">
        <v>323</v>
      </c>
      <c r="D311">
        <v>3160</v>
      </c>
      <c r="E311" s="1">
        <v>45625</v>
      </c>
      <c r="F311" s="1">
        <v>45629</v>
      </c>
      <c r="G311">
        <v>47435</v>
      </c>
      <c r="H311" t="s">
        <v>14</v>
      </c>
    </row>
    <row r="312" spans="1:8" x14ac:dyDescent="0.25">
      <c r="A312">
        <v>500311</v>
      </c>
      <c r="B312">
        <v>16</v>
      </c>
      <c r="C312">
        <v>881</v>
      </c>
      <c r="D312">
        <v>3327</v>
      </c>
      <c r="E312" s="1">
        <v>45665</v>
      </c>
      <c r="F312" s="1">
        <v>45671</v>
      </c>
      <c r="G312">
        <v>66365</v>
      </c>
      <c r="H312" t="s">
        <v>14</v>
      </c>
    </row>
    <row r="313" spans="1:8" x14ac:dyDescent="0.25">
      <c r="A313">
        <v>500312</v>
      </c>
      <c r="B313">
        <v>118</v>
      </c>
      <c r="C313">
        <v>1137</v>
      </c>
      <c r="D313">
        <v>3001</v>
      </c>
      <c r="E313" s="1">
        <v>45700</v>
      </c>
      <c r="F313" s="1">
        <v>45702</v>
      </c>
      <c r="G313">
        <v>39004</v>
      </c>
      <c r="H313" t="s">
        <v>10</v>
      </c>
    </row>
    <row r="314" spans="1:8" x14ac:dyDescent="0.25">
      <c r="A314">
        <v>500313</v>
      </c>
      <c r="B314">
        <v>264</v>
      </c>
      <c r="C314">
        <v>1455</v>
      </c>
      <c r="D314">
        <v>3379</v>
      </c>
      <c r="E314" s="1">
        <v>45680</v>
      </c>
      <c r="F314" s="1">
        <v>45684</v>
      </c>
      <c r="G314">
        <v>59710</v>
      </c>
      <c r="H314" t="s">
        <v>10</v>
      </c>
    </row>
    <row r="315" spans="1:8" x14ac:dyDescent="0.25">
      <c r="A315">
        <v>500314</v>
      </c>
      <c r="B315">
        <v>30</v>
      </c>
      <c r="C315">
        <v>860</v>
      </c>
      <c r="D315">
        <v>3336</v>
      </c>
      <c r="E315" s="1">
        <v>45628</v>
      </c>
      <c r="F315" s="1">
        <v>45634</v>
      </c>
      <c r="G315">
        <v>86718</v>
      </c>
      <c r="H315" t="s">
        <v>10</v>
      </c>
    </row>
    <row r="316" spans="1:8" x14ac:dyDescent="0.25">
      <c r="A316">
        <v>500315</v>
      </c>
      <c r="B316">
        <v>156</v>
      </c>
      <c r="C316">
        <v>975</v>
      </c>
      <c r="D316">
        <v>3415</v>
      </c>
      <c r="E316" s="1">
        <v>45678</v>
      </c>
      <c r="F316" s="1">
        <v>45680</v>
      </c>
      <c r="G316">
        <v>41789</v>
      </c>
      <c r="H316" t="s">
        <v>14</v>
      </c>
    </row>
    <row r="317" spans="1:8" x14ac:dyDescent="0.25">
      <c r="A317">
        <v>500316</v>
      </c>
      <c r="B317">
        <v>45</v>
      </c>
      <c r="C317">
        <v>450</v>
      </c>
      <c r="D317">
        <v>3403</v>
      </c>
      <c r="E317" s="1">
        <v>45753</v>
      </c>
      <c r="F317" s="1">
        <v>45760</v>
      </c>
      <c r="G317">
        <v>74861</v>
      </c>
      <c r="H317" t="s">
        <v>14</v>
      </c>
    </row>
    <row r="318" spans="1:8" x14ac:dyDescent="0.25">
      <c r="A318">
        <v>500317</v>
      </c>
      <c r="B318">
        <v>171</v>
      </c>
      <c r="C318">
        <v>1243</v>
      </c>
      <c r="D318">
        <v>3358</v>
      </c>
      <c r="E318" s="1">
        <v>45604</v>
      </c>
      <c r="F318" s="1">
        <v>45607</v>
      </c>
      <c r="G318">
        <v>75220</v>
      </c>
      <c r="H318" t="s">
        <v>10</v>
      </c>
    </row>
    <row r="319" spans="1:8" x14ac:dyDescent="0.25">
      <c r="A319">
        <v>500318</v>
      </c>
      <c r="B319">
        <v>265</v>
      </c>
      <c r="C319">
        <v>1263</v>
      </c>
      <c r="D319">
        <v>3090</v>
      </c>
      <c r="E319" s="1">
        <v>45711</v>
      </c>
      <c r="F319" s="1">
        <v>45713</v>
      </c>
      <c r="G319">
        <v>19089</v>
      </c>
      <c r="H319" t="s">
        <v>25</v>
      </c>
    </row>
    <row r="320" spans="1:8" x14ac:dyDescent="0.25">
      <c r="A320">
        <v>500319</v>
      </c>
      <c r="B320">
        <v>187</v>
      </c>
      <c r="C320">
        <v>614</v>
      </c>
      <c r="D320">
        <v>3197</v>
      </c>
      <c r="E320" s="1">
        <v>45710</v>
      </c>
      <c r="F320" s="1">
        <v>45714</v>
      </c>
      <c r="G320">
        <v>58817</v>
      </c>
      <c r="H320" t="s">
        <v>14</v>
      </c>
    </row>
    <row r="321" spans="1:8" x14ac:dyDescent="0.25">
      <c r="A321">
        <v>500320</v>
      </c>
      <c r="B321">
        <v>63</v>
      </c>
      <c r="C321">
        <v>1224</v>
      </c>
      <c r="D321">
        <v>3082</v>
      </c>
      <c r="E321" s="1">
        <v>45711</v>
      </c>
      <c r="F321" s="1">
        <v>45713</v>
      </c>
      <c r="G321">
        <v>32668</v>
      </c>
      <c r="H321" t="s">
        <v>10</v>
      </c>
    </row>
    <row r="322" spans="1:8" x14ac:dyDescent="0.25">
      <c r="A322">
        <v>500321</v>
      </c>
      <c r="B322">
        <v>504</v>
      </c>
      <c r="C322">
        <v>194</v>
      </c>
      <c r="D322">
        <v>3076</v>
      </c>
      <c r="E322" s="1">
        <v>45680</v>
      </c>
      <c r="F322" s="1">
        <v>45691</v>
      </c>
      <c r="G322">
        <v>143677</v>
      </c>
      <c r="H322" t="s">
        <v>10</v>
      </c>
    </row>
    <row r="323" spans="1:8" x14ac:dyDescent="0.25">
      <c r="A323">
        <v>500322</v>
      </c>
      <c r="B323">
        <v>405</v>
      </c>
      <c r="C323">
        <v>1574</v>
      </c>
      <c r="D323">
        <v>3017</v>
      </c>
      <c r="E323" s="1">
        <v>45627</v>
      </c>
      <c r="F323" s="1">
        <v>45631</v>
      </c>
      <c r="G323">
        <v>53580</v>
      </c>
      <c r="H323" t="s">
        <v>10</v>
      </c>
    </row>
    <row r="324" spans="1:8" x14ac:dyDescent="0.25">
      <c r="A324">
        <v>500323</v>
      </c>
      <c r="B324">
        <v>454</v>
      </c>
      <c r="C324">
        <v>1381</v>
      </c>
      <c r="D324">
        <v>3194</v>
      </c>
      <c r="E324" s="1">
        <v>45758</v>
      </c>
      <c r="F324" s="1">
        <v>45766</v>
      </c>
      <c r="G324">
        <v>231980</v>
      </c>
      <c r="H324" t="s">
        <v>10</v>
      </c>
    </row>
    <row r="325" spans="1:8" x14ac:dyDescent="0.25">
      <c r="A325">
        <v>500324</v>
      </c>
      <c r="B325">
        <v>90</v>
      </c>
      <c r="C325">
        <v>261</v>
      </c>
      <c r="D325">
        <v>3456</v>
      </c>
      <c r="E325" s="1">
        <v>45719</v>
      </c>
      <c r="F325" s="1">
        <v>45724</v>
      </c>
      <c r="G325">
        <v>147659</v>
      </c>
      <c r="H325" t="s">
        <v>10</v>
      </c>
    </row>
    <row r="326" spans="1:8" x14ac:dyDescent="0.25">
      <c r="A326">
        <v>500325</v>
      </c>
      <c r="B326">
        <v>506</v>
      </c>
      <c r="C326">
        <v>195</v>
      </c>
      <c r="D326">
        <v>3348</v>
      </c>
      <c r="E326" s="1">
        <v>45687</v>
      </c>
      <c r="F326" s="1">
        <v>45700</v>
      </c>
      <c r="G326">
        <v>161621</v>
      </c>
      <c r="H326" t="s">
        <v>14</v>
      </c>
    </row>
    <row r="327" spans="1:8" x14ac:dyDescent="0.25">
      <c r="A327">
        <v>500326</v>
      </c>
      <c r="B327">
        <v>190</v>
      </c>
      <c r="C327">
        <v>144</v>
      </c>
      <c r="D327">
        <v>3294</v>
      </c>
      <c r="E327" s="1">
        <v>45788</v>
      </c>
      <c r="F327" s="1">
        <v>45790</v>
      </c>
      <c r="G327">
        <v>47261</v>
      </c>
      <c r="H327" t="s">
        <v>14</v>
      </c>
    </row>
    <row r="328" spans="1:8" x14ac:dyDescent="0.25">
      <c r="A328">
        <v>500327</v>
      </c>
      <c r="B328">
        <v>46</v>
      </c>
      <c r="C328">
        <v>1527</v>
      </c>
      <c r="D328">
        <v>3114</v>
      </c>
      <c r="E328" s="1">
        <v>45625</v>
      </c>
      <c r="F328" s="1">
        <v>45627</v>
      </c>
      <c r="G328">
        <v>50294</v>
      </c>
      <c r="H328" t="s">
        <v>10</v>
      </c>
    </row>
    <row r="329" spans="1:8" x14ac:dyDescent="0.25">
      <c r="A329">
        <v>500328</v>
      </c>
      <c r="B329">
        <v>90</v>
      </c>
      <c r="C329">
        <v>1500</v>
      </c>
      <c r="D329">
        <v>3007</v>
      </c>
      <c r="E329" s="1">
        <v>45651</v>
      </c>
      <c r="F329" s="1">
        <v>45652</v>
      </c>
      <c r="G329">
        <v>33681</v>
      </c>
      <c r="H329" t="s">
        <v>14</v>
      </c>
    </row>
    <row r="330" spans="1:8" x14ac:dyDescent="0.25">
      <c r="A330">
        <v>500329</v>
      </c>
      <c r="B330">
        <v>444</v>
      </c>
      <c r="C330">
        <v>1244</v>
      </c>
      <c r="D330">
        <v>3490</v>
      </c>
      <c r="E330" s="1">
        <v>45745</v>
      </c>
      <c r="F330" s="1">
        <v>45752</v>
      </c>
      <c r="G330">
        <v>101112</v>
      </c>
      <c r="H330" t="s">
        <v>14</v>
      </c>
    </row>
    <row r="331" spans="1:8" x14ac:dyDescent="0.25">
      <c r="A331">
        <v>500330</v>
      </c>
      <c r="B331">
        <v>457</v>
      </c>
      <c r="C331">
        <v>920</v>
      </c>
      <c r="D331">
        <v>3498</v>
      </c>
      <c r="E331" s="1">
        <v>45637</v>
      </c>
      <c r="F331" s="1">
        <v>45640</v>
      </c>
      <c r="G331">
        <v>37087</v>
      </c>
      <c r="H331" t="s">
        <v>10</v>
      </c>
    </row>
    <row r="332" spans="1:8" x14ac:dyDescent="0.25">
      <c r="A332">
        <v>500331</v>
      </c>
      <c r="B332">
        <v>508</v>
      </c>
      <c r="C332">
        <v>424</v>
      </c>
      <c r="D332">
        <v>3036</v>
      </c>
      <c r="E332" s="1">
        <v>45736</v>
      </c>
      <c r="F332" s="1">
        <v>45740</v>
      </c>
      <c r="G332">
        <v>71326</v>
      </c>
      <c r="H332" t="s">
        <v>14</v>
      </c>
    </row>
    <row r="333" spans="1:8" x14ac:dyDescent="0.25">
      <c r="A333">
        <v>500332</v>
      </c>
      <c r="B333">
        <v>327</v>
      </c>
      <c r="C333">
        <v>876</v>
      </c>
      <c r="D333">
        <v>3242</v>
      </c>
      <c r="E333" s="1">
        <v>45710</v>
      </c>
      <c r="F333" s="1">
        <v>45715</v>
      </c>
      <c r="G333">
        <v>81020</v>
      </c>
      <c r="H333" t="s">
        <v>10</v>
      </c>
    </row>
    <row r="334" spans="1:8" x14ac:dyDescent="0.25">
      <c r="A334">
        <v>500333</v>
      </c>
      <c r="B334">
        <v>327</v>
      </c>
      <c r="C334">
        <v>607</v>
      </c>
      <c r="D334">
        <v>3366</v>
      </c>
      <c r="E334" s="1">
        <v>45780</v>
      </c>
      <c r="F334" s="1">
        <v>45808</v>
      </c>
      <c r="G334">
        <v>273241</v>
      </c>
      <c r="H334" t="s">
        <v>14</v>
      </c>
    </row>
    <row r="335" spans="1:8" x14ac:dyDescent="0.25">
      <c r="A335">
        <v>500334</v>
      </c>
      <c r="B335">
        <v>30</v>
      </c>
      <c r="C335">
        <v>763</v>
      </c>
      <c r="D335">
        <v>3005</v>
      </c>
      <c r="E335" s="1">
        <v>45719</v>
      </c>
      <c r="F335" s="1">
        <v>45721</v>
      </c>
      <c r="G335">
        <v>18654</v>
      </c>
      <c r="H335" t="s">
        <v>10</v>
      </c>
    </row>
    <row r="336" spans="1:8" x14ac:dyDescent="0.25">
      <c r="A336">
        <v>500335</v>
      </c>
      <c r="B336">
        <v>389</v>
      </c>
      <c r="C336">
        <v>1535</v>
      </c>
      <c r="D336">
        <v>3477</v>
      </c>
      <c r="E336" s="1">
        <v>45732</v>
      </c>
      <c r="F336" s="1">
        <v>45736</v>
      </c>
      <c r="G336">
        <v>43631</v>
      </c>
      <c r="H336" t="s">
        <v>10</v>
      </c>
    </row>
    <row r="337" spans="1:8" x14ac:dyDescent="0.25">
      <c r="A337">
        <v>500336</v>
      </c>
      <c r="B337">
        <v>49</v>
      </c>
      <c r="C337">
        <v>335</v>
      </c>
      <c r="D337">
        <v>3397</v>
      </c>
      <c r="E337" s="1">
        <v>45623</v>
      </c>
      <c r="F337" s="1">
        <v>45625</v>
      </c>
      <c r="G337">
        <v>25083</v>
      </c>
      <c r="H337" t="s">
        <v>25</v>
      </c>
    </row>
    <row r="338" spans="1:8" x14ac:dyDescent="0.25">
      <c r="A338">
        <v>500337</v>
      </c>
      <c r="B338">
        <v>89</v>
      </c>
      <c r="C338">
        <v>1407</v>
      </c>
      <c r="D338">
        <v>3464</v>
      </c>
      <c r="E338" s="1">
        <v>45675</v>
      </c>
      <c r="F338" s="1">
        <v>45685</v>
      </c>
      <c r="G338">
        <v>105782</v>
      </c>
      <c r="H338" t="s">
        <v>10</v>
      </c>
    </row>
    <row r="339" spans="1:8" x14ac:dyDescent="0.25">
      <c r="A339">
        <v>500338</v>
      </c>
      <c r="B339">
        <v>444</v>
      </c>
      <c r="C339">
        <v>1518</v>
      </c>
      <c r="D339">
        <v>3086</v>
      </c>
      <c r="E339" s="1">
        <v>45775</v>
      </c>
      <c r="F339" s="1">
        <v>45778</v>
      </c>
      <c r="G339">
        <v>28039</v>
      </c>
      <c r="H339" t="s">
        <v>10</v>
      </c>
    </row>
    <row r="340" spans="1:8" x14ac:dyDescent="0.25">
      <c r="A340">
        <v>500339</v>
      </c>
      <c r="B340">
        <v>190</v>
      </c>
      <c r="C340">
        <v>619</v>
      </c>
      <c r="D340">
        <v>3432</v>
      </c>
      <c r="E340" s="1">
        <v>45635</v>
      </c>
      <c r="F340" s="1">
        <v>45637</v>
      </c>
      <c r="G340">
        <v>29189</v>
      </c>
      <c r="H340" t="s">
        <v>10</v>
      </c>
    </row>
    <row r="341" spans="1:8" x14ac:dyDescent="0.25">
      <c r="A341">
        <v>500340</v>
      </c>
      <c r="B341">
        <v>405</v>
      </c>
      <c r="C341">
        <v>372</v>
      </c>
      <c r="D341">
        <v>3064</v>
      </c>
      <c r="E341" s="1">
        <v>45666</v>
      </c>
      <c r="F341" s="1">
        <v>45668</v>
      </c>
      <c r="G341">
        <v>37383</v>
      </c>
      <c r="H341" t="s">
        <v>10</v>
      </c>
    </row>
    <row r="342" spans="1:8" x14ac:dyDescent="0.25">
      <c r="A342">
        <v>500341</v>
      </c>
      <c r="B342">
        <v>313</v>
      </c>
      <c r="C342">
        <v>1396</v>
      </c>
      <c r="D342">
        <v>3081</v>
      </c>
      <c r="E342" s="1">
        <v>45649</v>
      </c>
      <c r="F342" s="1">
        <v>45650</v>
      </c>
      <c r="G342">
        <v>23638</v>
      </c>
      <c r="H342" t="s">
        <v>10</v>
      </c>
    </row>
    <row r="343" spans="1:8" x14ac:dyDescent="0.25">
      <c r="A343">
        <v>500342</v>
      </c>
      <c r="B343">
        <v>469</v>
      </c>
      <c r="C343">
        <v>569</v>
      </c>
      <c r="D343">
        <v>3162</v>
      </c>
      <c r="E343" s="1">
        <v>45624</v>
      </c>
      <c r="F343" s="1">
        <v>45632</v>
      </c>
      <c r="G343">
        <v>133949</v>
      </c>
      <c r="H343" t="s">
        <v>14</v>
      </c>
    </row>
    <row r="344" spans="1:8" x14ac:dyDescent="0.25">
      <c r="A344">
        <v>500343</v>
      </c>
      <c r="B344">
        <v>172</v>
      </c>
      <c r="C344">
        <v>491</v>
      </c>
      <c r="D344">
        <v>3337</v>
      </c>
      <c r="E344" s="1">
        <v>45632</v>
      </c>
      <c r="F344" s="1">
        <v>45640</v>
      </c>
      <c r="G344">
        <v>94034</v>
      </c>
      <c r="H344" t="s">
        <v>10</v>
      </c>
    </row>
    <row r="345" spans="1:8" x14ac:dyDescent="0.25">
      <c r="A345">
        <v>500344</v>
      </c>
      <c r="B345">
        <v>367</v>
      </c>
      <c r="C345">
        <v>1116</v>
      </c>
      <c r="D345">
        <v>3176</v>
      </c>
      <c r="E345" s="1">
        <v>45752</v>
      </c>
      <c r="F345" s="1">
        <v>45756</v>
      </c>
      <c r="G345">
        <v>52501</v>
      </c>
      <c r="H345" t="s">
        <v>10</v>
      </c>
    </row>
    <row r="346" spans="1:8" x14ac:dyDescent="0.25">
      <c r="A346">
        <v>500345</v>
      </c>
      <c r="B346">
        <v>158</v>
      </c>
      <c r="C346">
        <v>890</v>
      </c>
      <c r="D346">
        <v>3338</v>
      </c>
      <c r="E346" s="1">
        <v>45741</v>
      </c>
      <c r="F346" s="1">
        <v>45744</v>
      </c>
      <c r="G346">
        <v>93049</v>
      </c>
      <c r="H346" t="s">
        <v>10</v>
      </c>
    </row>
    <row r="347" spans="1:8" x14ac:dyDescent="0.25">
      <c r="A347">
        <v>500346</v>
      </c>
      <c r="B347">
        <v>515</v>
      </c>
      <c r="C347">
        <v>721</v>
      </c>
      <c r="D347">
        <v>3311</v>
      </c>
      <c r="E347" s="1">
        <v>45724</v>
      </c>
      <c r="F347" s="1">
        <v>45732</v>
      </c>
      <c r="G347">
        <v>120152</v>
      </c>
      <c r="H347" t="s">
        <v>10</v>
      </c>
    </row>
    <row r="348" spans="1:8" x14ac:dyDescent="0.25">
      <c r="A348">
        <v>500347</v>
      </c>
      <c r="B348">
        <v>518</v>
      </c>
      <c r="C348">
        <v>986</v>
      </c>
      <c r="D348">
        <v>3271</v>
      </c>
      <c r="E348" s="1">
        <v>45775</v>
      </c>
      <c r="F348" s="1">
        <v>45780</v>
      </c>
      <c r="G348">
        <v>92860</v>
      </c>
      <c r="H348" t="s">
        <v>14</v>
      </c>
    </row>
    <row r="349" spans="1:8" x14ac:dyDescent="0.25">
      <c r="A349">
        <v>500348</v>
      </c>
      <c r="B349">
        <v>529</v>
      </c>
      <c r="C349">
        <v>679</v>
      </c>
      <c r="D349">
        <v>3184</v>
      </c>
      <c r="E349" s="1">
        <v>45618</v>
      </c>
      <c r="F349" s="1">
        <v>45625</v>
      </c>
      <c r="G349">
        <v>85212</v>
      </c>
      <c r="H349" t="s">
        <v>10</v>
      </c>
    </row>
    <row r="350" spans="1:8" x14ac:dyDescent="0.25">
      <c r="A350">
        <v>500349</v>
      </c>
      <c r="B350">
        <v>488</v>
      </c>
      <c r="C350">
        <v>1492</v>
      </c>
      <c r="D350">
        <v>3084</v>
      </c>
      <c r="E350" s="1">
        <v>45735</v>
      </c>
      <c r="F350" s="1">
        <v>45736</v>
      </c>
      <c r="G350">
        <v>22855</v>
      </c>
      <c r="H350" t="s">
        <v>25</v>
      </c>
    </row>
    <row r="351" spans="1:8" x14ac:dyDescent="0.25">
      <c r="A351">
        <v>500350</v>
      </c>
      <c r="B351">
        <v>158</v>
      </c>
      <c r="C351">
        <v>514</v>
      </c>
      <c r="D351">
        <v>3120</v>
      </c>
      <c r="E351" s="1">
        <v>45646</v>
      </c>
      <c r="F351" s="1">
        <v>45649</v>
      </c>
      <c r="G351">
        <v>30541</v>
      </c>
      <c r="H351" t="s">
        <v>14</v>
      </c>
    </row>
    <row r="352" spans="1:8" x14ac:dyDescent="0.25">
      <c r="A352">
        <v>500351</v>
      </c>
      <c r="B352">
        <v>444</v>
      </c>
      <c r="C352">
        <v>889</v>
      </c>
      <c r="D352">
        <v>3312</v>
      </c>
      <c r="E352" s="1">
        <v>45620</v>
      </c>
      <c r="F352" s="1">
        <v>45624</v>
      </c>
      <c r="G352">
        <v>41463</v>
      </c>
      <c r="H352" t="s">
        <v>25</v>
      </c>
    </row>
    <row r="353" spans="1:8" x14ac:dyDescent="0.25">
      <c r="A353">
        <v>500352</v>
      </c>
      <c r="B353">
        <v>90</v>
      </c>
      <c r="C353">
        <v>856</v>
      </c>
      <c r="D353">
        <v>3097</v>
      </c>
      <c r="E353" s="1">
        <v>45742</v>
      </c>
      <c r="F353" s="1">
        <v>45746</v>
      </c>
      <c r="G353">
        <v>45459</v>
      </c>
      <c r="H353" t="s">
        <v>14</v>
      </c>
    </row>
    <row r="354" spans="1:8" x14ac:dyDescent="0.25">
      <c r="A354">
        <v>500353</v>
      </c>
      <c r="B354">
        <v>517</v>
      </c>
      <c r="C354">
        <v>1494</v>
      </c>
      <c r="D354">
        <v>3140</v>
      </c>
      <c r="E354" s="1">
        <v>45709</v>
      </c>
      <c r="F354" s="1">
        <v>45713</v>
      </c>
      <c r="G354">
        <v>122720</v>
      </c>
      <c r="H354" t="s">
        <v>10</v>
      </c>
    </row>
    <row r="355" spans="1:8" x14ac:dyDescent="0.25">
      <c r="A355">
        <v>500354</v>
      </c>
      <c r="B355">
        <v>405</v>
      </c>
      <c r="C355">
        <v>134</v>
      </c>
      <c r="D355">
        <v>3158</v>
      </c>
      <c r="E355" s="1">
        <v>45690</v>
      </c>
      <c r="F355" s="1">
        <v>45693</v>
      </c>
      <c r="G355">
        <v>74984</v>
      </c>
      <c r="H355" t="s">
        <v>25</v>
      </c>
    </row>
    <row r="356" spans="1:8" x14ac:dyDescent="0.25">
      <c r="A356">
        <v>500355</v>
      </c>
      <c r="B356">
        <v>61</v>
      </c>
      <c r="C356">
        <v>1209</v>
      </c>
      <c r="D356">
        <v>3016</v>
      </c>
      <c r="E356" s="1">
        <v>45649</v>
      </c>
      <c r="F356" s="1">
        <v>45651</v>
      </c>
      <c r="G356">
        <v>39039</v>
      </c>
      <c r="H356" t="s">
        <v>14</v>
      </c>
    </row>
    <row r="357" spans="1:8" x14ac:dyDescent="0.25">
      <c r="A357">
        <v>500356</v>
      </c>
      <c r="B357">
        <v>488</v>
      </c>
      <c r="C357">
        <v>195</v>
      </c>
      <c r="D357">
        <v>3406</v>
      </c>
      <c r="E357" s="1">
        <v>45768</v>
      </c>
      <c r="F357" s="1">
        <v>45772</v>
      </c>
      <c r="G357">
        <v>46593</v>
      </c>
      <c r="H357" t="s">
        <v>14</v>
      </c>
    </row>
    <row r="358" spans="1:8" x14ac:dyDescent="0.25">
      <c r="A358">
        <v>500357</v>
      </c>
      <c r="B358">
        <v>32</v>
      </c>
      <c r="C358">
        <v>167</v>
      </c>
      <c r="D358">
        <v>3201</v>
      </c>
      <c r="E358" s="1">
        <v>45759</v>
      </c>
      <c r="F358" s="1">
        <v>45762</v>
      </c>
      <c r="G358">
        <v>63749</v>
      </c>
      <c r="H358" t="s">
        <v>14</v>
      </c>
    </row>
    <row r="359" spans="1:8" x14ac:dyDescent="0.25">
      <c r="A359">
        <v>500358</v>
      </c>
      <c r="B359">
        <v>12</v>
      </c>
      <c r="C359">
        <v>477</v>
      </c>
      <c r="D359">
        <v>3014</v>
      </c>
      <c r="E359" s="1">
        <v>45757</v>
      </c>
      <c r="F359" s="1">
        <v>45771</v>
      </c>
      <c r="G359">
        <v>311804</v>
      </c>
      <c r="H359" t="s">
        <v>14</v>
      </c>
    </row>
    <row r="360" spans="1:8" x14ac:dyDescent="0.25">
      <c r="A360">
        <v>500359</v>
      </c>
      <c r="B360">
        <v>94</v>
      </c>
      <c r="C360">
        <v>610</v>
      </c>
      <c r="D360">
        <v>3048</v>
      </c>
      <c r="E360" s="1">
        <v>45641</v>
      </c>
      <c r="F360" s="1">
        <v>45643</v>
      </c>
      <c r="G360">
        <v>32129</v>
      </c>
      <c r="H360" t="s">
        <v>14</v>
      </c>
    </row>
    <row r="361" spans="1:8" x14ac:dyDescent="0.25">
      <c r="A361">
        <v>500360</v>
      </c>
      <c r="B361">
        <v>518</v>
      </c>
      <c r="C361">
        <v>528</v>
      </c>
      <c r="D361">
        <v>3186</v>
      </c>
      <c r="E361" s="1">
        <v>45716</v>
      </c>
      <c r="F361" s="1">
        <v>45718</v>
      </c>
      <c r="G361">
        <v>59056</v>
      </c>
      <c r="H361" t="s">
        <v>25</v>
      </c>
    </row>
    <row r="362" spans="1:8" x14ac:dyDescent="0.25">
      <c r="A362">
        <v>500361</v>
      </c>
      <c r="B362">
        <v>419</v>
      </c>
      <c r="C362">
        <v>1431</v>
      </c>
      <c r="D362">
        <v>3455</v>
      </c>
      <c r="E362" s="1">
        <v>45706</v>
      </c>
      <c r="F362" s="1">
        <v>45708</v>
      </c>
      <c r="G362">
        <v>47232</v>
      </c>
      <c r="H362" t="s">
        <v>10</v>
      </c>
    </row>
    <row r="363" spans="1:8" x14ac:dyDescent="0.25">
      <c r="A363">
        <v>500362</v>
      </c>
      <c r="B363">
        <v>140</v>
      </c>
      <c r="C363">
        <v>366</v>
      </c>
      <c r="D363">
        <v>3442</v>
      </c>
      <c r="E363" s="1">
        <v>45602</v>
      </c>
      <c r="F363" s="1">
        <v>45604</v>
      </c>
      <c r="G363">
        <v>35070</v>
      </c>
      <c r="H363" t="s">
        <v>14</v>
      </c>
    </row>
    <row r="364" spans="1:8" x14ac:dyDescent="0.25">
      <c r="A364">
        <v>500363</v>
      </c>
      <c r="B364">
        <v>507</v>
      </c>
      <c r="C364">
        <v>839</v>
      </c>
      <c r="D364">
        <v>3037</v>
      </c>
      <c r="E364" s="1">
        <v>45727</v>
      </c>
      <c r="F364" s="1">
        <v>45735</v>
      </c>
      <c r="G364">
        <v>81257</v>
      </c>
      <c r="H364" t="s">
        <v>25</v>
      </c>
    </row>
    <row r="365" spans="1:8" x14ac:dyDescent="0.25">
      <c r="A365">
        <v>500364</v>
      </c>
      <c r="B365">
        <v>45</v>
      </c>
      <c r="C365">
        <v>879</v>
      </c>
      <c r="D365">
        <v>3211</v>
      </c>
      <c r="E365" s="1">
        <v>45724</v>
      </c>
      <c r="F365" s="1">
        <v>45726</v>
      </c>
      <c r="G365">
        <v>46098</v>
      </c>
      <c r="H365" t="s">
        <v>14</v>
      </c>
    </row>
    <row r="366" spans="1:8" x14ac:dyDescent="0.25">
      <c r="A366">
        <v>500365</v>
      </c>
      <c r="B366">
        <v>513</v>
      </c>
      <c r="C366">
        <v>999</v>
      </c>
      <c r="D366">
        <v>3014</v>
      </c>
      <c r="E366" s="1">
        <v>45799</v>
      </c>
      <c r="F366" s="1">
        <v>45803</v>
      </c>
      <c r="G366">
        <v>33023</v>
      </c>
      <c r="H366" t="s">
        <v>14</v>
      </c>
    </row>
    <row r="367" spans="1:8" x14ac:dyDescent="0.25">
      <c r="A367">
        <v>500366</v>
      </c>
      <c r="B367">
        <v>517</v>
      </c>
      <c r="C367">
        <v>763</v>
      </c>
      <c r="D367">
        <v>3021</v>
      </c>
      <c r="E367" s="1">
        <v>45778</v>
      </c>
      <c r="F367" s="1">
        <v>45786</v>
      </c>
      <c r="G367">
        <v>87175</v>
      </c>
      <c r="H367" t="s">
        <v>10</v>
      </c>
    </row>
    <row r="368" spans="1:8" x14ac:dyDescent="0.25">
      <c r="A368">
        <v>500367</v>
      </c>
      <c r="B368">
        <v>16</v>
      </c>
      <c r="C368">
        <v>1084</v>
      </c>
      <c r="D368">
        <v>3316</v>
      </c>
      <c r="E368" s="1">
        <v>45716</v>
      </c>
      <c r="F368" s="1">
        <v>45717</v>
      </c>
      <c r="G368">
        <v>28236</v>
      </c>
      <c r="H368" t="s">
        <v>14</v>
      </c>
    </row>
    <row r="369" spans="1:8" x14ac:dyDescent="0.25">
      <c r="A369">
        <v>500368</v>
      </c>
      <c r="B369">
        <v>434</v>
      </c>
      <c r="C369">
        <v>527</v>
      </c>
      <c r="D369">
        <v>3336</v>
      </c>
      <c r="E369" s="1">
        <v>45799</v>
      </c>
      <c r="F369" s="1">
        <v>45801</v>
      </c>
      <c r="G369">
        <v>31911</v>
      </c>
      <c r="H369" t="s">
        <v>10</v>
      </c>
    </row>
    <row r="370" spans="1:8" x14ac:dyDescent="0.25">
      <c r="A370">
        <v>500369</v>
      </c>
      <c r="B370">
        <v>46</v>
      </c>
      <c r="C370">
        <v>866</v>
      </c>
      <c r="D370">
        <v>3384</v>
      </c>
      <c r="E370" s="1">
        <v>45645</v>
      </c>
      <c r="F370" s="1">
        <v>45658</v>
      </c>
      <c r="G370">
        <v>153633</v>
      </c>
      <c r="H370" t="s">
        <v>10</v>
      </c>
    </row>
    <row r="371" spans="1:8" x14ac:dyDescent="0.25">
      <c r="A371">
        <v>500370</v>
      </c>
      <c r="B371">
        <v>263</v>
      </c>
      <c r="C371">
        <v>781</v>
      </c>
      <c r="D371">
        <v>3017</v>
      </c>
      <c r="E371" s="1">
        <v>45715</v>
      </c>
      <c r="F371" s="1">
        <v>45720</v>
      </c>
      <c r="G371">
        <v>102494</v>
      </c>
      <c r="H371" t="s">
        <v>14</v>
      </c>
    </row>
    <row r="372" spans="1:8" x14ac:dyDescent="0.25">
      <c r="A372">
        <v>500371</v>
      </c>
      <c r="B372">
        <v>368</v>
      </c>
      <c r="C372">
        <v>1499</v>
      </c>
      <c r="D372">
        <v>3399</v>
      </c>
      <c r="E372" s="1">
        <v>45647</v>
      </c>
      <c r="F372" s="1">
        <v>45655</v>
      </c>
      <c r="G372">
        <v>233506</v>
      </c>
      <c r="H372" t="s">
        <v>10</v>
      </c>
    </row>
    <row r="373" spans="1:8" x14ac:dyDescent="0.25">
      <c r="A373">
        <v>500372</v>
      </c>
      <c r="B373">
        <v>48</v>
      </c>
      <c r="C373">
        <v>440</v>
      </c>
      <c r="D373">
        <v>3190</v>
      </c>
      <c r="E373" s="1">
        <v>45695</v>
      </c>
      <c r="F373" s="1">
        <v>45700</v>
      </c>
      <c r="G373">
        <v>52981</v>
      </c>
      <c r="H373" t="s">
        <v>14</v>
      </c>
    </row>
    <row r="374" spans="1:8" x14ac:dyDescent="0.25">
      <c r="A374">
        <v>500373</v>
      </c>
      <c r="B374">
        <v>118</v>
      </c>
      <c r="C374">
        <v>1141</v>
      </c>
      <c r="D374">
        <v>3130</v>
      </c>
      <c r="E374" s="1">
        <v>45657</v>
      </c>
      <c r="F374" s="1">
        <v>45665</v>
      </c>
      <c r="G374">
        <v>101481</v>
      </c>
      <c r="H374" t="s">
        <v>14</v>
      </c>
    </row>
    <row r="375" spans="1:8" x14ac:dyDescent="0.25">
      <c r="A375">
        <v>500374</v>
      </c>
      <c r="B375">
        <v>368</v>
      </c>
      <c r="C375">
        <v>521</v>
      </c>
      <c r="D375">
        <v>3463</v>
      </c>
      <c r="E375" s="1">
        <v>45768</v>
      </c>
      <c r="F375" s="1">
        <v>45771</v>
      </c>
      <c r="G375">
        <v>43799</v>
      </c>
      <c r="H375" t="s">
        <v>25</v>
      </c>
    </row>
    <row r="376" spans="1:8" x14ac:dyDescent="0.25">
      <c r="A376">
        <v>500375</v>
      </c>
      <c r="B376">
        <v>405</v>
      </c>
      <c r="C376">
        <v>199</v>
      </c>
      <c r="D376">
        <v>3055</v>
      </c>
      <c r="E376" s="1">
        <v>45796</v>
      </c>
      <c r="F376" s="1">
        <v>45808</v>
      </c>
      <c r="G376">
        <v>135301</v>
      </c>
      <c r="H376" t="s">
        <v>10</v>
      </c>
    </row>
    <row r="377" spans="1:8" x14ac:dyDescent="0.25">
      <c r="A377">
        <v>500376</v>
      </c>
      <c r="B377">
        <v>325</v>
      </c>
      <c r="C377">
        <v>220</v>
      </c>
      <c r="D377">
        <v>3150</v>
      </c>
      <c r="E377" s="1">
        <v>45608</v>
      </c>
      <c r="F377" s="1">
        <v>45623</v>
      </c>
      <c r="G377">
        <v>115510</v>
      </c>
      <c r="H377" t="s">
        <v>10</v>
      </c>
    </row>
    <row r="378" spans="1:8" x14ac:dyDescent="0.25">
      <c r="A378">
        <v>500377</v>
      </c>
      <c r="B378">
        <v>31</v>
      </c>
      <c r="C378">
        <v>1191</v>
      </c>
      <c r="D378">
        <v>3326</v>
      </c>
      <c r="E378" s="1">
        <v>45803</v>
      </c>
      <c r="F378" s="1">
        <v>45807</v>
      </c>
      <c r="G378">
        <v>83626</v>
      </c>
      <c r="H378" t="s">
        <v>14</v>
      </c>
    </row>
    <row r="379" spans="1:8" x14ac:dyDescent="0.25">
      <c r="A379">
        <v>500378</v>
      </c>
      <c r="B379">
        <v>249</v>
      </c>
      <c r="C379">
        <v>394</v>
      </c>
      <c r="D379">
        <v>3057</v>
      </c>
      <c r="E379" s="1">
        <v>45790</v>
      </c>
      <c r="F379" s="1">
        <v>45797</v>
      </c>
      <c r="G379">
        <v>105119</v>
      </c>
      <c r="H379" t="s">
        <v>14</v>
      </c>
    </row>
    <row r="380" spans="1:8" x14ac:dyDescent="0.25">
      <c r="A380">
        <v>500379</v>
      </c>
      <c r="B380">
        <v>49</v>
      </c>
      <c r="C380">
        <v>242</v>
      </c>
      <c r="D380">
        <v>3112</v>
      </c>
      <c r="E380" s="1">
        <v>45685</v>
      </c>
      <c r="F380" s="1">
        <v>45687</v>
      </c>
      <c r="G380">
        <v>24069</v>
      </c>
      <c r="H380" t="s">
        <v>25</v>
      </c>
    </row>
    <row r="381" spans="1:8" x14ac:dyDescent="0.25">
      <c r="A381">
        <v>500380</v>
      </c>
      <c r="B381">
        <v>386</v>
      </c>
      <c r="C381">
        <v>600</v>
      </c>
      <c r="D381">
        <v>3403</v>
      </c>
      <c r="E381" s="1">
        <v>45753</v>
      </c>
      <c r="F381" s="1">
        <v>45757</v>
      </c>
      <c r="G381">
        <v>51648</v>
      </c>
      <c r="H381" t="s">
        <v>10</v>
      </c>
    </row>
    <row r="382" spans="1:8" x14ac:dyDescent="0.25">
      <c r="A382">
        <v>500381</v>
      </c>
      <c r="B382">
        <v>18</v>
      </c>
      <c r="C382">
        <v>1500</v>
      </c>
      <c r="D382">
        <v>3374</v>
      </c>
      <c r="E382" s="1">
        <v>45746</v>
      </c>
      <c r="F382" s="1">
        <v>45751</v>
      </c>
      <c r="G382">
        <v>51567</v>
      </c>
      <c r="H382" t="s">
        <v>14</v>
      </c>
    </row>
    <row r="383" spans="1:8" x14ac:dyDescent="0.25">
      <c r="A383">
        <v>500382</v>
      </c>
      <c r="B383">
        <v>385</v>
      </c>
      <c r="C383">
        <v>992</v>
      </c>
      <c r="D383">
        <v>3429</v>
      </c>
      <c r="E383" s="1">
        <v>45717</v>
      </c>
      <c r="F383" s="1">
        <v>45720</v>
      </c>
      <c r="G383">
        <v>52183</v>
      </c>
      <c r="H383" t="s">
        <v>10</v>
      </c>
    </row>
    <row r="384" spans="1:8" x14ac:dyDescent="0.25">
      <c r="A384">
        <v>500383</v>
      </c>
      <c r="B384">
        <v>47</v>
      </c>
      <c r="C384">
        <v>1345</v>
      </c>
      <c r="D384">
        <v>3295</v>
      </c>
      <c r="E384" s="1">
        <v>45692</v>
      </c>
      <c r="F384" s="1">
        <v>45703</v>
      </c>
      <c r="G384">
        <v>204390</v>
      </c>
      <c r="H384" t="s">
        <v>10</v>
      </c>
    </row>
    <row r="385" spans="1:8" x14ac:dyDescent="0.25">
      <c r="A385">
        <v>500384</v>
      </c>
      <c r="B385">
        <v>470</v>
      </c>
      <c r="C385">
        <v>1503</v>
      </c>
      <c r="D385">
        <v>3370</v>
      </c>
      <c r="E385" s="1">
        <v>45718</v>
      </c>
      <c r="F385" s="1">
        <v>45722</v>
      </c>
      <c r="G385">
        <v>73354</v>
      </c>
      <c r="H385" t="s">
        <v>10</v>
      </c>
    </row>
    <row r="386" spans="1:8" x14ac:dyDescent="0.25">
      <c r="A386">
        <v>500385</v>
      </c>
      <c r="B386">
        <v>418</v>
      </c>
      <c r="C386">
        <v>1412</v>
      </c>
      <c r="D386">
        <v>3236</v>
      </c>
      <c r="E386" s="1">
        <v>45647</v>
      </c>
      <c r="F386" s="1">
        <v>45650</v>
      </c>
      <c r="G386">
        <v>67978</v>
      </c>
      <c r="H386" t="s">
        <v>10</v>
      </c>
    </row>
    <row r="387" spans="1:8" x14ac:dyDescent="0.25">
      <c r="A387">
        <v>500386</v>
      </c>
      <c r="B387">
        <v>31</v>
      </c>
      <c r="C387">
        <v>999</v>
      </c>
      <c r="D387">
        <v>3368</v>
      </c>
      <c r="E387" s="1">
        <v>45627</v>
      </c>
      <c r="F387" s="1">
        <v>45642</v>
      </c>
      <c r="G387">
        <v>147664</v>
      </c>
      <c r="H387" t="s">
        <v>10</v>
      </c>
    </row>
    <row r="388" spans="1:8" x14ac:dyDescent="0.25">
      <c r="A388">
        <v>500387</v>
      </c>
      <c r="B388">
        <v>203</v>
      </c>
      <c r="C388">
        <v>1448</v>
      </c>
      <c r="D388">
        <v>3002</v>
      </c>
      <c r="E388" s="1">
        <v>45646</v>
      </c>
      <c r="F388" s="1">
        <v>45647</v>
      </c>
      <c r="G388">
        <v>24312</v>
      </c>
      <c r="H388" t="s">
        <v>10</v>
      </c>
    </row>
    <row r="389" spans="1:8" x14ac:dyDescent="0.25">
      <c r="A389">
        <v>500388</v>
      </c>
      <c r="B389">
        <v>369</v>
      </c>
      <c r="C389">
        <v>572</v>
      </c>
      <c r="D389">
        <v>3125</v>
      </c>
      <c r="E389" s="1">
        <v>45696</v>
      </c>
      <c r="F389" s="1">
        <v>45700</v>
      </c>
      <c r="G389">
        <v>87452</v>
      </c>
      <c r="H389" t="s">
        <v>10</v>
      </c>
    </row>
    <row r="390" spans="1:8" x14ac:dyDescent="0.25">
      <c r="A390">
        <v>500389</v>
      </c>
      <c r="B390">
        <v>156</v>
      </c>
      <c r="C390">
        <v>1008</v>
      </c>
      <c r="D390">
        <v>3385</v>
      </c>
      <c r="E390" s="1">
        <v>45661</v>
      </c>
      <c r="F390" s="1">
        <v>45662</v>
      </c>
      <c r="G390">
        <v>18997</v>
      </c>
      <c r="H390" t="s">
        <v>10</v>
      </c>
    </row>
    <row r="391" spans="1:8" x14ac:dyDescent="0.25">
      <c r="A391">
        <v>500390</v>
      </c>
      <c r="B391">
        <v>388</v>
      </c>
      <c r="C391">
        <v>1590</v>
      </c>
      <c r="D391">
        <v>3014</v>
      </c>
      <c r="E391" s="1">
        <v>45616</v>
      </c>
      <c r="F391" s="1">
        <v>45619</v>
      </c>
      <c r="G391">
        <v>33213</v>
      </c>
      <c r="H391" t="s">
        <v>10</v>
      </c>
    </row>
    <row r="392" spans="1:8" x14ac:dyDescent="0.25">
      <c r="A392">
        <v>500391</v>
      </c>
      <c r="B392">
        <v>120</v>
      </c>
      <c r="C392">
        <v>323</v>
      </c>
      <c r="D392">
        <v>3038</v>
      </c>
      <c r="E392" s="1">
        <v>45791</v>
      </c>
      <c r="F392" s="1">
        <v>45793</v>
      </c>
      <c r="G392">
        <v>27383</v>
      </c>
      <c r="H392" t="s">
        <v>10</v>
      </c>
    </row>
    <row r="393" spans="1:8" x14ac:dyDescent="0.25">
      <c r="A393">
        <v>500392</v>
      </c>
      <c r="B393">
        <v>484</v>
      </c>
      <c r="C393">
        <v>204</v>
      </c>
      <c r="D393">
        <v>3347</v>
      </c>
      <c r="E393" s="1">
        <v>45805</v>
      </c>
      <c r="F393" s="1">
        <v>45808</v>
      </c>
      <c r="G393">
        <v>65723</v>
      </c>
      <c r="H393" t="s">
        <v>14</v>
      </c>
    </row>
    <row r="394" spans="1:8" x14ac:dyDescent="0.25">
      <c r="A394">
        <v>500393</v>
      </c>
      <c r="B394">
        <v>433</v>
      </c>
      <c r="C394">
        <v>955</v>
      </c>
      <c r="D394">
        <v>3139</v>
      </c>
      <c r="E394" s="1">
        <v>45660</v>
      </c>
      <c r="F394" s="1">
        <v>45661</v>
      </c>
      <c r="G394">
        <v>18523</v>
      </c>
      <c r="H394" t="s">
        <v>10</v>
      </c>
    </row>
    <row r="395" spans="1:8" x14ac:dyDescent="0.25">
      <c r="A395">
        <v>500394</v>
      </c>
      <c r="B395">
        <v>187</v>
      </c>
      <c r="C395">
        <v>653</v>
      </c>
      <c r="D395">
        <v>3345</v>
      </c>
      <c r="E395" s="1">
        <v>45698</v>
      </c>
      <c r="F395" s="1">
        <v>45704</v>
      </c>
      <c r="G395">
        <v>80366</v>
      </c>
      <c r="H395" t="s">
        <v>14</v>
      </c>
    </row>
    <row r="396" spans="1:8" x14ac:dyDescent="0.25">
      <c r="A396">
        <v>500395</v>
      </c>
      <c r="B396">
        <v>62</v>
      </c>
      <c r="C396">
        <v>493</v>
      </c>
      <c r="D396">
        <v>3447</v>
      </c>
      <c r="E396" s="1">
        <v>45771</v>
      </c>
      <c r="F396" s="1">
        <v>45777</v>
      </c>
      <c r="G396">
        <v>96610</v>
      </c>
      <c r="H396" t="s">
        <v>14</v>
      </c>
    </row>
    <row r="397" spans="1:8" x14ac:dyDescent="0.25">
      <c r="A397">
        <v>500396</v>
      </c>
      <c r="B397">
        <v>367</v>
      </c>
      <c r="C397">
        <v>1385</v>
      </c>
      <c r="D397">
        <v>3227</v>
      </c>
      <c r="E397" s="1">
        <v>45604</v>
      </c>
      <c r="F397" s="1">
        <v>45610</v>
      </c>
      <c r="G397">
        <v>81354</v>
      </c>
      <c r="H397" t="s">
        <v>14</v>
      </c>
    </row>
    <row r="398" spans="1:8" x14ac:dyDescent="0.25">
      <c r="A398">
        <v>500397</v>
      </c>
      <c r="B398">
        <v>92</v>
      </c>
      <c r="C398">
        <v>191</v>
      </c>
      <c r="D398">
        <v>3077</v>
      </c>
      <c r="E398" s="1">
        <v>45695</v>
      </c>
      <c r="F398" s="1">
        <v>45701</v>
      </c>
      <c r="G398">
        <v>62842</v>
      </c>
      <c r="H398" t="s">
        <v>25</v>
      </c>
    </row>
    <row r="399" spans="1:8" x14ac:dyDescent="0.25">
      <c r="A399">
        <v>500398</v>
      </c>
      <c r="B399">
        <v>456</v>
      </c>
      <c r="C399">
        <v>779</v>
      </c>
      <c r="D399">
        <v>3077</v>
      </c>
      <c r="E399" s="1">
        <v>45699</v>
      </c>
      <c r="F399" s="1">
        <v>45704</v>
      </c>
      <c r="G399">
        <v>70163</v>
      </c>
      <c r="H399" t="s">
        <v>10</v>
      </c>
    </row>
    <row r="400" spans="1:8" x14ac:dyDescent="0.25">
      <c r="A400">
        <v>500399</v>
      </c>
      <c r="B400">
        <v>445</v>
      </c>
      <c r="C400">
        <v>1111</v>
      </c>
      <c r="D400">
        <v>3184</v>
      </c>
      <c r="E400" s="1">
        <v>45613</v>
      </c>
      <c r="F400" s="1">
        <v>45616</v>
      </c>
      <c r="G400">
        <v>51286</v>
      </c>
      <c r="H400" t="s">
        <v>14</v>
      </c>
    </row>
    <row r="401" spans="1:8" x14ac:dyDescent="0.25">
      <c r="A401">
        <v>500400</v>
      </c>
      <c r="B401">
        <v>154</v>
      </c>
      <c r="C401">
        <v>414</v>
      </c>
      <c r="D401">
        <v>3106</v>
      </c>
      <c r="E401" s="1">
        <v>45762</v>
      </c>
      <c r="F401" s="1">
        <v>45764</v>
      </c>
      <c r="G401">
        <v>33783</v>
      </c>
      <c r="H401" t="s">
        <v>25</v>
      </c>
    </row>
    <row r="402" spans="1:8" x14ac:dyDescent="0.25">
      <c r="A402">
        <v>500401</v>
      </c>
      <c r="B402">
        <v>157</v>
      </c>
      <c r="C402">
        <v>1192</v>
      </c>
      <c r="D402">
        <v>3204</v>
      </c>
      <c r="E402" s="1">
        <v>45746</v>
      </c>
      <c r="F402" s="1">
        <v>45748</v>
      </c>
      <c r="G402">
        <v>52767</v>
      </c>
      <c r="H402" t="s">
        <v>14</v>
      </c>
    </row>
    <row r="403" spans="1:8" x14ac:dyDescent="0.25">
      <c r="A403">
        <v>500402</v>
      </c>
      <c r="B403">
        <v>137</v>
      </c>
      <c r="C403">
        <v>1113</v>
      </c>
      <c r="D403">
        <v>3060</v>
      </c>
      <c r="E403" s="1">
        <v>45704</v>
      </c>
      <c r="F403" s="1">
        <v>45705</v>
      </c>
      <c r="G403">
        <v>21125</v>
      </c>
      <c r="H403" t="s">
        <v>25</v>
      </c>
    </row>
    <row r="404" spans="1:8" x14ac:dyDescent="0.25">
      <c r="A404">
        <v>500403</v>
      </c>
      <c r="B404">
        <v>78</v>
      </c>
      <c r="C404">
        <v>904</v>
      </c>
      <c r="D404">
        <v>3027</v>
      </c>
      <c r="E404" s="1">
        <v>45679</v>
      </c>
      <c r="F404" s="1">
        <v>45681</v>
      </c>
      <c r="G404">
        <v>31530</v>
      </c>
      <c r="H404" t="s">
        <v>10</v>
      </c>
    </row>
    <row r="405" spans="1:8" x14ac:dyDescent="0.25">
      <c r="A405">
        <v>500404</v>
      </c>
      <c r="B405">
        <v>507</v>
      </c>
      <c r="C405">
        <v>253</v>
      </c>
      <c r="D405">
        <v>3452</v>
      </c>
      <c r="E405" s="1">
        <v>45775</v>
      </c>
      <c r="F405" s="1">
        <v>45779</v>
      </c>
      <c r="G405">
        <v>66641</v>
      </c>
      <c r="H405" t="s">
        <v>10</v>
      </c>
    </row>
    <row r="406" spans="1:8" x14ac:dyDescent="0.25">
      <c r="A406">
        <v>500405</v>
      </c>
      <c r="B406">
        <v>244</v>
      </c>
      <c r="C406">
        <v>1437</v>
      </c>
      <c r="D406">
        <v>3324</v>
      </c>
      <c r="E406" s="1">
        <v>45645</v>
      </c>
      <c r="F406" s="1">
        <v>45648</v>
      </c>
      <c r="G406">
        <v>65975</v>
      </c>
      <c r="H406" t="s">
        <v>14</v>
      </c>
    </row>
    <row r="407" spans="1:8" x14ac:dyDescent="0.25">
      <c r="A407">
        <v>500406</v>
      </c>
      <c r="B407">
        <v>518</v>
      </c>
      <c r="C407">
        <v>816</v>
      </c>
      <c r="D407">
        <v>3169</v>
      </c>
      <c r="E407" s="1">
        <v>45688</v>
      </c>
      <c r="F407" s="1">
        <v>45692</v>
      </c>
      <c r="G407">
        <v>53322</v>
      </c>
      <c r="H407" t="s">
        <v>25</v>
      </c>
    </row>
    <row r="408" spans="1:8" x14ac:dyDescent="0.25">
      <c r="A408">
        <v>500407</v>
      </c>
      <c r="B408">
        <v>93</v>
      </c>
      <c r="C408">
        <v>1100</v>
      </c>
      <c r="D408">
        <v>3315</v>
      </c>
      <c r="E408" s="1">
        <v>45776</v>
      </c>
      <c r="F408" s="1">
        <v>45778</v>
      </c>
      <c r="G408">
        <v>33834</v>
      </c>
      <c r="H408" t="s">
        <v>25</v>
      </c>
    </row>
    <row r="409" spans="1:8" x14ac:dyDescent="0.25">
      <c r="A409">
        <v>500408</v>
      </c>
      <c r="B409">
        <v>188</v>
      </c>
      <c r="C409">
        <v>450</v>
      </c>
      <c r="D409">
        <v>3208</v>
      </c>
      <c r="E409" s="1">
        <v>45686</v>
      </c>
      <c r="F409" s="1">
        <v>45689</v>
      </c>
      <c r="G409">
        <v>34821</v>
      </c>
      <c r="H409" t="s">
        <v>10</v>
      </c>
    </row>
    <row r="410" spans="1:8" x14ac:dyDescent="0.25">
      <c r="A410">
        <v>500409</v>
      </c>
      <c r="B410">
        <v>158</v>
      </c>
      <c r="C410">
        <v>1200</v>
      </c>
      <c r="D410">
        <v>3308</v>
      </c>
      <c r="E410" s="1">
        <v>45735</v>
      </c>
      <c r="F410" s="1">
        <v>45737</v>
      </c>
      <c r="G410">
        <v>35343</v>
      </c>
      <c r="H410" t="s">
        <v>25</v>
      </c>
    </row>
    <row r="411" spans="1:8" x14ac:dyDescent="0.25">
      <c r="A411">
        <v>500410</v>
      </c>
      <c r="B411">
        <v>118</v>
      </c>
      <c r="C411">
        <v>1554</v>
      </c>
      <c r="D411">
        <v>3407</v>
      </c>
      <c r="E411" s="1">
        <v>45753</v>
      </c>
      <c r="F411" s="1">
        <v>45756</v>
      </c>
      <c r="G411">
        <v>82411</v>
      </c>
      <c r="H411" t="s">
        <v>25</v>
      </c>
    </row>
    <row r="412" spans="1:8" x14ac:dyDescent="0.25">
      <c r="A412">
        <v>500411</v>
      </c>
      <c r="B412">
        <v>485</v>
      </c>
      <c r="C412">
        <v>707</v>
      </c>
      <c r="D412">
        <v>3488</v>
      </c>
      <c r="E412" s="1">
        <v>45685</v>
      </c>
      <c r="F412" s="1">
        <v>45689</v>
      </c>
      <c r="G412">
        <v>114049</v>
      </c>
      <c r="H412" t="s">
        <v>25</v>
      </c>
    </row>
    <row r="413" spans="1:8" x14ac:dyDescent="0.25">
      <c r="A413">
        <v>500412</v>
      </c>
      <c r="B413">
        <v>233</v>
      </c>
      <c r="C413">
        <v>978</v>
      </c>
      <c r="D413">
        <v>3428</v>
      </c>
      <c r="E413" s="1">
        <v>45736</v>
      </c>
      <c r="F413" s="1">
        <v>45739</v>
      </c>
      <c r="G413">
        <v>54646</v>
      </c>
      <c r="H413" t="s">
        <v>25</v>
      </c>
    </row>
    <row r="414" spans="1:8" x14ac:dyDescent="0.25">
      <c r="A414">
        <v>500413</v>
      </c>
      <c r="B414">
        <v>247</v>
      </c>
      <c r="C414">
        <v>1182</v>
      </c>
      <c r="D414">
        <v>3257</v>
      </c>
      <c r="E414" s="1">
        <v>45805</v>
      </c>
      <c r="F414" s="1">
        <v>45807</v>
      </c>
      <c r="G414">
        <v>29497</v>
      </c>
      <c r="H414" t="s">
        <v>25</v>
      </c>
    </row>
    <row r="415" spans="1:8" x14ac:dyDescent="0.25">
      <c r="A415">
        <v>500414</v>
      </c>
      <c r="B415">
        <v>246</v>
      </c>
      <c r="C415">
        <v>907</v>
      </c>
      <c r="D415">
        <v>3177</v>
      </c>
      <c r="E415" s="1">
        <v>45777</v>
      </c>
      <c r="F415" s="1">
        <v>45779</v>
      </c>
      <c r="G415">
        <v>27280</v>
      </c>
      <c r="H415" t="s">
        <v>10</v>
      </c>
    </row>
    <row r="416" spans="1:8" x14ac:dyDescent="0.25">
      <c r="A416">
        <v>500415</v>
      </c>
      <c r="B416">
        <v>64</v>
      </c>
      <c r="C416">
        <v>200</v>
      </c>
      <c r="D416">
        <v>3414</v>
      </c>
      <c r="E416" s="1">
        <v>45732</v>
      </c>
      <c r="F416" s="1">
        <v>45744</v>
      </c>
      <c r="G416">
        <v>134856</v>
      </c>
      <c r="H416" t="s">
        <v>10</v>
      </c>
    </row>
    <row r="417" spans="1:8" x14ac:dyDescent="0.25">
      <c r="A417">
        <v>500416</v>
      </c>
      <c r="B417">
        <v>34</v>
      </c>
      <c r="C417">
        <v>195</v>
      </c>
      <c r="D417">
        <v>3141</v>
      </c>
      <c r="E417" s="1">
        <v>45737</v>
      </c>
      <c r="F417" s="1">
        <v>45739</v>
      </c>
      <c r="G417">
        <v>27764</v>
      </c>
      <c r="H417" t="s">
        <v>10</v>
      </c>
    </row>
    <row r="418" spans="1:8" x14ac:dyDescent="0.25">
      <c r="A418">
        <v>500417</v>
      </c>
      <c r="B418">
        <v>75</v>
      </c>
      <c r="C418">
        <v>1577</v>
      </c>
      <c r="D418">
        <v>3023</v>
      </c>
      <c r="E418" s="1">
        <v>45760</v>
      </c>
      <c r="F418" s="1">
        <v>45764</v>
      </c>
      <c r="G418">
        <v>119440</v>
      </c>
      <c r="H418" t="s">
        <v>14</v>
      </c>
    </row>
    <row r="419" spans="1:8" x14ac:dyDescent="0.25">
      <c r="A419">
        <v>500418</v>
      </c>
      <c r="B419">
        <v>417</v>
      </c>
      <c r="C419">
        <v>713</v>
      </c>
      <c r="D419">
        <v>3127</v>
      </c>
      <c r="E419" s="1">
        <v>45677</v>
      </c>
      <c r="F419" s="1">
        <v>45680</v>
      </c>
      <c r="G419">
        <v>46197</v>
      </c>
      <c r="H419" t="s">
        <v>14</v>
      </c>
    </row>
    <row r="420" spans="1:8" x14ac:dyDescent="0.25">
      <c r="A420">
        <v>500419</v>
      </c>
      <c r="B420">
        <v>154</v>
      </c>
      <c r="C420">
        <v>1318</v>
      </c>
      <c r="D420">
        <v>3236</v>
      </c>
      <c r="E420" s="1">
        <v>45682</v>
      </c>
      <c r="F420" s="1">
        <v>45687</v>
      </c>
      <c r="G420">
        <v>57724</v>
      </c>
      <c r="H420" t="s">
        <v>25</v>
      </c>
    </row>
    <row r="421" spans="1:8" x14ac:dyDescent="0.25">
      <c r="A421">
        <v>500420</v>
      </c>
      <c r="B421">
        <v>388</v>
      </c>
      <c r="C421">
        <v>958</v>
      </c>
      <c r="D421">
        <v>3090</v>
      </c>
      <c r="E421" s="1">
        <v>45702</v>
      </c>
      <c r="F421" s="1">
        <v>45706</v>
      </c>
      <c r="G421">
        <v>79336</v>
      </c>
      <c r="H421" t="s">
        <v>14</v>
      </c>
    </row>
    <row r="422" spans="1:8" x14ac:dyDescent="0.25">
      <c r="A422">
        <v>500421</v>
      </c>
      <c r="B422">
        <v>61</v>
      </c>
      <c r="C422">
        <v>252</v>
      </c>
      <c r="D422">
        <v>3428</v>
      </c>
      <c r="E422" s="1">
        <v>45776</v>
      </c>
      <c r="F422" s="1">
        <v>45781</v>
      </c>
      <c r="G422">
        <v>51802</v>
      </c>
      <c r="H422" t="s">
        <v>25</v>
      </c>
    </row>
    <row r="423" spans="1:8" x14ac:dyDescent="0.25">
      <c r="A423">
        <v>500422</v>
      </c>
      <c r="B423">
        <v>216</v>
      </c>
      <c r="C423">
        <v>323</v>
      </c>
      <c r="D423">
        <v>3221</v>
      </c>
      <c r="E423" s="1">
        <v>45696</v>
      </c>
      <c r="F423" s="1">
        <v>45698</v>
      </c>
      <c r="G423">
        <v>37237</v>
      </c>
      <c r="H423" t="s">
        <v>10</v>
      </c>
    </row>
    <row r="424" spans="1:8" x14ac:dyDescent="0.25">
      <c r="A424">
        <v>500423</v>
      </c>
      <c r="B424">
        <v>469</v>
      </c>
      <c r="C424">
        <v>1059</v>
      </c>
      <c r="D424">
        <v>3149</v>
      </c>
      <c r="E424" s="1">
        <v>45696</v>
      </c>
      <c r="F424" s="1">
        <v>45699</v>
      </c>
      <c r="G424">
        <v>41074</v>
      </c>
      <c r="H424" t="s">
        <v>10</v>
      </c>
    </row>
    <row r="425" spans="1:8" x14ac:dyDescent="0.25">
      <c r="A425">
        <v>500424</v>
      </c>
      <c r="B425">
        <v>169</v>
      </c>
      <c r="C425">
        <v>1378</v>
      </c>
      <c r="D425">
        <v>3281</v>
      </c>
      <c r="E425" s="1">
        <v>45785</v>
      </c>
      <c r="F425" s="1">
        <v>45788</v>
      </c>
      <c r="G425">
        <v>52207</v>
      </c>
      <c r="H425" t="s">
        <v>10</v>
      </c>
    </row>
    <row r="426" spans="1:8" x14ac:dyDescent="0.25">
      <c r="A426">
        <v>500425</v>
      </c>
      <c r="B426">
        <v>158</v>
      </c>
      <c r="C426">
        <v>697</v>
      </c>
      <c r="D426">
        <v>3203</v>
      </c>
      <c r="E426" s="1">
        <v>45695</v>
      </c>
      <c r="F426" s="1">
        <v>45700</v>
      </c>
      <c r="G426">
        <v>61005</v>
      </c>
      <c r="H426" t="s">
        <v>14</v>
      </c>
    </row>
    <row r="427" spans="1:8" x14ac:dyDescent="0.25">
      <c r="A427">
        <v>500426</v>
      </c>
      <c r="B427">
        <v>202</v>
      </c>
      <c r="C427">
        <v>235</v>
      </c>
      <c r="D427">
        <v>3088</v>
      </c>
      <c r="E427" s="1">
        <v>45611</v>
      </c>
      <c r="F427" s="1">
        <v>45615</v>
      </c>
      <c r="G427">
        <v>36118</v>
      </c>
      <c r="H427" t="s">
        <v>10</v>
      </c>
    </row>
    <row r="428" spans="1:8" x14ac:dyDescent="0.25">
      <c r="A428">
        <v>500427</v>
      </c>
      <c r="B428">
        <v>507</v>
      </c>
      <c r="C428">
        <v>689</v>
      </c>
      <c r="D428">
        <v>3125</v>
      </c>
      <c r="E428" s="1">
        <v>45704</v>
      </c>
      <c r="F428" s="1">
        <v>45707</v>
      </c>
      <c r="G428">
        <v>49958</v>
      </c>
      <c r="H428" t="s">
        <v>10</v>
      </c>
    </row>
    <row r="429" spans="1:8" x14ac:dyDescent="0.25">
      <c r="A429">
        <v>500428</v>
      </c>
      <c r="B429">
        <v>325</v>
      </c>
      <c r="C429">
        <v>218</v>
      </c>
      <c r="D429">
        <v>3255</v>
      </c>
      <c r="E429" s="1">
        <v>45780</v>
      </c>
      <c r="F429" s="1">
        <v>45783</v>
      </c>
      <c r="G429">
        <v>53306</v>
      </c>
      <c r="H429" t="s">
        <v>10</v>
      </c>
    </row>
    <row r="430" spans="1:8" x14ac:dyDescent="0.25">
      <c r="A430">
        <v>500429</v>
      </c>
      <c r="B430">
        <v>15</v>
      </c>
      <c r="C430">
        <v>445</v>
      </c>
      <c r="D430">
        <v>3280</v>
      </c>
      <c r="E430" s="1">
        <v>45784</v>
      </c>
      <c r="F430" s="1">
        <v>45787</v>
      </c>
      <c r="G430">
        <v>75135</v>
      </c>
      <c r="H430" t="s">
        <v>14</v>
      </c>
    </row>
    <row r="431" spans="1:8" x14ac:dyDescent="0.25">
      <c r="A431">
        <v>500430</v>
      </c>
      <c r="B431">
        <v>189</v>
      </c>
      <c r="C431">
        <v>729</v>
      </c>
      <c r="D431">
        <v>3320</v>
      </c>
      <c r="E431" s="1">
        <v>45715</v>
      </c>
      <c r="F431" s="1">
        <v>45720</v>
      </c>
      <c r="G431">
        <v>75112</v>
      </c>
      <c r="H431" t="s">
        <v>10</v>
      </c>
    </row>
    <row r="432" spans="1:8" x14ac:dyDescent="0.25">
      <c r="A432">
        <v>500431</v>
      </c>
      <c r="B432">
        <v>385</v>
      </c>
      <c r="C432">
        <v>1454</v>
      </c>
      <c r="D432">
        <v>3480</v>
      </c>
      <c r="E432" s="1">
        <v>45606</v>
      </c>
      <c r="F432" s="1">
        <v>45608</v>
      </c>
      <c r="G432">
        <v>53186</v>
      </c>
      <c r="H432" t="s">
        <v>14</v>
      </c>
    </row>
    <row r="433" spans="1:8" x14ac:dyDescent="0.25">
      <c r="A433">
        <v>500432</v>
      </c>
      <c r="B433">
        <v>34</v>
      </c>
      <c r="C433">
        <v>736</v>
      </c>
      <c r="D433">
        <v>3379</v>
      </c>
      <c r="E433" s="1">
        <v>45756</v>
      </c>
      <c r="F433" s="1">
        <v>45757</v>
      </c>
      <c r="G433">
        <v>20102</v>
      </c>
      <c r="H433" t="s">
        <v>10</v>
      </c>
    </row>
    <row r="434" spans="1:8" x14ac:dyDescent="0.25">
      <c r="A434">
        <v>500433</v>
      </c>
      <c r="B434">
        <v>324</v>
      </c>
      <c r="C434">
        <v>861</v>
      </c>
      <c r="D434">
        <v>3358</v>
      </c>
      <c r="E434" s="1">
        <v>45602</v>
      </c>
      <c r="F434" s="1">
        <v>45609</v>
      </c>
      <c r="G434">
        <v>87913</v>
      </c>
      <c r="H434" t="s">
        <v>10</v>
      </c>
    </row>
    <row r="435" spans="1:8" x14ac:dyDescent="0.25">
      <c r="A435">
        <v>500434</v>
      </c>
      <c r="B435">
        <v>403</v>
      </c>
      <c r="C435">
        <v>946</v>
      </c>
      <c r="D435">
        <v>3125</v>
      </c>
      <c r="E435" s="1">
        <v>45654</v>
      </c>
      <c r="F435" s="1">
        <v>45658</v>
      </c>
      <c r="G435">
        <v>41590</v>
      </c>
      <c r="H435" t="s">
        <v>10</v>
      </c>
    </row>
    <row r="436" spans="1:8" x14ac:dyDescent="0.25">
      <c r="A436">
        <v>500435</v>
      </c>
      <c r="B436">
        <v>59</v>
      </c>
      <c r="C436">
        <v>753</v>
      </c>
      <c r="D436">
        <v>3391</v>
      </c>
      <c r="E436" s="1">
        <v>45697</v>
      </c>
      <c r="F436" s="1">
        <v>45701</v>
      </c>
      <c r="G436">
        <v>43431</v>
      </c>
      <c r="H436" t="s">
        <v>25</v>
      </c>
    </row>
    <row r="437" spans="1:8" x14ac:dyDescent="0.25">
      <c r="A437">
        <v>500436</v>
      </c>
      <c r="B437">
        <v>530</v>
      </c>
      <c r="C437">
        <v>1106</v>
      </c>
      <c r="D437">
        <v>3199</v>
      </c>
      <c r="E437" s="1">
        <v>45761</v>
      </c>
      <c r="F437" s="1">
        <v>45765</v>
      </c>
      <c r="G437">
        <v>69300</v>
      </c>
      <c r="H437" t="s">
        <v>25</v>
      </c>
    </row>
    <row r="438" spans="1:8" x14ac:dyDescent="0.25">
      <c r="A438">
        <v>500437</v>
      </c>
      <c r="B438">
        <v>142</v>
      </c>
      <c r="C438">
        <v>1017</v>
      </c>
      <c r="D438">
        <v>3118</v>
      </c>
      <c r="E438" s="1">
        <v>45600</v>
      </c>
      <c r="F438" s="1">
        <v>45604</v>
      </c>
      <c r="G438">
        <v>38995</v>
      </c>
      <c r="H438" t="s">
        <v>14</v>
      </c>
    </row>
    <row r="439" spans="1:8" x14ac:dyDescent="0.25">
      <c r="A439">
        <v>500438</v>
      </c>
      <c r="B439">
        <v>327</v>
      </c>
      <c r="C439">
        <v>1191</v>
      </c>
      <c r="D439">
        <v>3285</v>
      </c>
      <c r="E439" s="1">
        <v>45652</v>
      </c>
      <c r="F439" s="1">
        <v>45654</v>
      </c>
      <c r="G439">
        <v>30963</v>
      </c>
      <c r="H439" t="s">
        <v>25</v>
      </c>
    </row>
    <row r="440" spans="1:8" x14ac:dyDescent="0.25">
      <c r="A440">
        <v>500439</v>
      </c>
      <c r="B440">
        <v>92</v>
      </c>
      <c r="C440">
        <v>1579</v>
      </c>
      <c r="D440">
        <v>3388</v>
      </c>
      <c r="E440" s="1">
        <v>45672</v>
      </c>
      <c r="F440" s="1">
        <v>45674</v>
      </c>
      <c r="G440">
        <v>34161</v>
      </c>
      <c r="H440" t="s">
        <v>10</v>
      </c>
    </row>
    <row r="441" spans="1:8" x14ac:dyDescent="0.25">
      <c r="A441">
        <v>500440</v>
      </c>
      <c r="B441">
        <v>415</v>
      </c>
      <c r="C441">
        <v>777</v>
      </c>
      <c r="D441">
        <v>3500</v>
      </c>
      <c r="E441" s="1">
        <v>45734</v>
      </c>
      <c r="F441" s="1">
        <v>45735</v>
      </c>
      <c r="G441">
        <v>35841</v>
      </c>
      <c r="H441" t="s">
        <v>14</v>
      </c>
    </row>
    <row r="442" spans="1:8" x14ac:dyDescent="0.25">
      <c r="A442">
        <v>500441</v>
      </c>
      <c r="B442">
        <v>14</v>
      </c>
      <c r="C442">
        <v>1397</v>
      </c>
      <c r="D442">
        <v>3269</v>
      </c>
      <c r="E442" s="1">
        <v>45737</v>
      </c>
      <c r="F442" s="1">
        <v>45749</v>
      </c>
      <c r="G442">
        <v>192217</v>
      </c>
      <c r="H442" t="s">
        <v>14</v>
      </c>
    </row>
    <row r="443" spans="1:8" x14ac:dyDescent="0.25">
      <c r="A443">
        <v>500442</v>
      </c>
      <c r="B443">
        <v>159</v>
      </c>
      <c r="C443">
        <v>457</v>
      </c>
      <c r="D443">
        <v>3420</v>
      </c>
      <c r="E443" s="1">
        <v>45615</v>
      </c>
      <c r="F443" s="1">
        <v>45627</v>
      </c>
      <c r="G443">
        <v>214497</v>
      </c>
      <c r="H443" t="s">
        <v>10</v>
      </c>
    </row>
    <row r="444" spans="1:8" x14ac:dyDescent="0.25">
      <c r="A444">
        <v>500443</v>
      </c>
      <c r="B444">
        <v>386</v>
      </c>
      <c r="C444">
        <v>206</v>
      </c>
      <c r="D444">
        <v>3229</v>
      </c>
      <c r="E444" s="1">
        <v>45714</v>
      </c>
      <c r="F444" s="1">
        <v>45721</v>
      </c>
      <c r="G444">
        <v>201415</v>
      </c>
      <c r="H444" t="s">
        <v>25</v>
      </c>
    </row>
    <row r="445" spans="1:8" x14ac:dyDescent="0.25">
      <c r="A445">
        <v>500444</v>
      </c>
      <c r="B445">
        <v>157</v>
      </c>
      <c r="C445">
        <v>884</v>
      </c>
      <c r="D445">
        <v>3232</v>
      </c>
      <c r="E445" s="1">
        <v>45615</v>
      </c>
      <c r="F445" s="1">
        <v>45617</v>
      </c>
      <c r="G445">
        <v>24417</v>
      </c>
      <c r="H445" t="s">
        <v>10</v>
      </c>
    </row>
    <row r="446" spans="1:8" x14ac:dyDescent="0.25">
      <c r="A446">
        <v>500445</v>
      </c>
      <c r="B446">
        <v>138</v>
      </c>
      <c r="C446">
        <v>394</v>
      </c>
      <c r="D446">
        <v>3210</v>
      </c>
      <c r="E446" s="1">
        <v>45692</v>
      </c>
      <c r="F446" s="1">
        <v>45705</v>
      </c>
      <c r="G446">
        <v>149172</v>
      </c>
      <c r="H446" t="s">
        <v>10</v>
      </c>
    </row>
    <row r="447" spans="1:8" x14ac:dyDescent="0.25">
      <c r="A447">
        <v>500446</v>
      </c>
      <c r="B447">
        <v>384</v>
      </c>
      <c r="C447">
        <v>795</v>
      </c>
      <c r="D447">
        <v>3105</v>
      </c>
      <c r="E447" s="1">
        <v>45725</v>
      </c>
      <c r="F447" s="1">
        <v>45734</v>
      </c>
      <c r="G447">
        <v>220502</v>
      </c>
      <c r="H447" t="s">
        <v>10</v>
      </c>
    </row>
    <row r="448" spans="1:8" x14ac:dyDescent="0.25">
      <c r="A448">
        <v>500447</v>
      </c>
      <c r="B448">
        <v>507</v>
      </c>
      <c r="C448">
        <v>957</v>
      </c>
      <c r="D448">
        <v>3253</v>
      </c>
      <c r="E448" s="1">
        <v>45615</v>
      </c>
      <c r="F448" s="1">
        <v>45621</v>
      </c>
      <c r="G448">
        <v>88970</v>
      </c>
      <c r="H448" t="s">
        <v>25</v>
      </c>
    </row>
    <row r="449" spans="1:8" x14ac:dyDescent="0.25">
      <c r="A449">
        <v>500448</v>
      </c>
      <c r="B449">
        <v>400</v>
      </c>
      <c r="C449">
        <v>152</v>
      </c>
      <c r="D449">
        <v>3297</v>
      </c>
      <c r="E449" s="1">
        <v>45740</v>
      </c>
      <c r="F449" s="1">
        <v>45746</v>
      </c>
      <c r="G449">
        <v>72910</v>
      </c>
      <c r="H449" t="s">
        <v>10</v>
      </c>
    </row>
    <row r="450" spans="1:8" x14ac:dyDescent="0.25">
      <c r="A450">
        <v>500449</v>
      </c>
      <c r="B450">
        <v>528</v>
      </c>
      <c r="C450">
        <v>1519</v>
      </c>
      <c r="D450">
        <v>3085</v>
      </c>
      <c r="E450" s="1">
        <v>45791</v>
      </c>
      <c r="F450" s="1">
        <v>45797</v>
      </c>
      <c r="G450">
        <v>85958</v>
      </c>
      <c r="H450" t="s">
        <v>10</v>
      </c>
    </row>
    <row r="451" spans="1:8" x14ac:dyDescent="0.25">
      <c r="A451">
        <v>500450</v>
      </c>
      <c r="B451">
        <v>231</v>
      </c>
      <c r="C451">
        <v>139</v>
      </c>
      <c r="D451">
        <v>3060</v>
      </c>
      <c r="E451" s="1">
        <v>45769</v>
      </c>
      <c r="F451" s="1">
        <v>45771</v>
      </c>
      <c r="G451">
        <v>31749</v>
      </c>
      <c r="H451" t="s">
        <v>10</v>
      </c>
    </row>
    <row r="452" spans="1:8" x14ac:dyDescent="0.25">
      <c r="A452">
        <v>500451</v>
      </c>
      <c r="B452">
        <v>456</v>
      </c>
      <c r="C452">
        <v>1538</v>
      </c>
      <c r="D452">
        <v>3345</v>
      </c>
      <c r="E452" s="1">
        <v>45766</v>
      </c>
      <c r="F452" s="1">
        <v>45771</v>
      </c>
      <c r="G452">
        <v>93958</v>
      </c>
      <c r="H452" t="s">
        <v>14</v>
      </c>
    </row>
    <row r="453" spans="1:8" x14ac:dyDescent="0.25">
      <c r="A453">
        <v>500452</v>
      </c>
      <c r="B453">
        <v>232</v>
      </c>
      <c r="C453">
        <v>914</v>
      </c>
      <c r="D453">
        <v>3088</v>
      </c>
      <c r="E453" s="1">
        <v>45731</v>
      </c>
      <c r="F453" s="1">
        <v>45734</v>
      </c>
      <c r="G453">
        <v>45412</v>
      </c>
      <c r="H453" t="s">
        <v>10</v>
      </c>
    </row>
    <row r="454" spans="1:8" x14ac:dyDescent="0.25">
      <c r="A454">
        <v>500453</v>
      </c>
      <c r="B454">
        <v>445</v>
      </c>
      <c r="C454">
        <v>648</v>
      </c>
      <c r="D454">
        <v>3267</v>
      </c>
      <c r="E454" s="1">
        <v>45684</v>
      </c>
      <c r="F454" s="1">
        <v>45690</v>
      </c>
      <c r="G454">
        <v>138164</v>
      </c>
      <c r="H454" t="s">
        <v>14</v>
      </c>
    </row>
    <row r="455" spans="1:8" x14ac:dyDescent="0.25">
      <c r="A455">
        <v>500454</v>
      </c>
      <c r="B455">
        <v>190</v>
      </c>
      <c r="C455">
        <v>127</v>
      </c>
      <c r="D455">
        <v>3144</v>
      </c>
      <c r="E455" s="1">
        <v>45669</v>
      </c>
      <c r="F455" s="1">
        <v>45671</v>
      </c>
      <c r="G455">
        <v>27436</v>
      </c>
      <c r="H455" t="s">
        <v>14</v>
      </c>
    </row>
    <row r="456" spans="1:8" x14ac:dyDescent="0.25">
      <c r="A456">
        <v>500455</v>
      </c>
      <c r="B456">
        <v>63</v>
      </c>
      <c r="C456">
        <v>514</v>
      </c>
      <c r="D456">
        <v>3481</v>
      </c>
      <c r="E456" s="1">
        <v>45778</v>
      </c>
      <c r="F456" s="1">
        <v>45783</v>
      </c>
      <c r="G456">
        <v>56570</v>
      </c>
      <c r="H456" t="s">
        <v>14</v>
      </c>
    </row>
    <row r="457" spans="1:8" x14ac:dyDescent="0.25">
      <c r="A457">
        <v>500456</v>
      </c>
      <c r="B457">
        <v>459</v>
      </c>
      <c r="C457">
        <v>262</v>
      </c>
      <c r="D457">
        <v>3066</v>
      </c>
      <c r="E457" s="1">
        <v>45701</v>
      </c>
      <c r="F457" s="1">
        <v>45702</v>
      </c>
      <c r="G457">
        <v>12444</v>
      </c>
      <c r="H457" t="s">
        <v>14</v>
      </c>
    </row>
    <row r="458" spans="1:8" x14ac:dyDescent="0.25">
      <c r="A458">
        <v>500457</v>
      </c>
      <c r="B458">
        <v>432</v>
      </c>
      <c r="C458">
        <v>977</v>
      </c>
      <c r="D458">
        <v>3122</v>
      </c>
      <c r="E458" s="1">
        <v>45708</v>
      </c>
      <c r="F458" s="1">
        <v>45710</v>
      </c>
      <c r="G458">
        <v>30190</v>
      </c>
      <c r="H458" t="s">
        <v>10</v>
      </c>
    </row>
    <row r="459" spans="1:8" x14ac:dyDescent="0.25">
      <c r="A459">
        <v>500458</v>
      </c>
      <c r="B459">
        <v>218</v>
      </c>
      <c r="C459">
        <v>142</v>
      </c>
      <c r="D459">
        <v>3232</v>
      </c>
      <c r="E459" s="1">
        <v>45635</v>
      </c>
      <c r="F459" s="1">
        <v>45637</v>
      </c>
      <c r="G459">
        <v>36639</v>
      </c>
      <c r="H459" t="s">
        <v>14</v>
      </c>
    </row>
    <row r="460" spans="1:8" x14ac:dyDescent="0.25">
      <c r="A460">
        <v>500459</v>
      </c>
      <c r="B460">
        <v>203</v>
      </c>
      <c r="C460">
        <v>765</v>
      </c>
      <c r="D460">
        <v>3456</v>
      </c>
      <c r="E460" s="1">
        <v>45778</v>
      </c>
      <c r="F460" s="1">
        <v>45780</v>
      </c>
      <c r="G460">
        <v>30897</v>
      </c>
      <c r="H460" t="s">
        <v>10</v>
      </c>
    </row>
    <row r="461" spans="1:8" x14ac:dyDescent="0.25">
      <c r="A461">
        <v>500460</v>
      </c>
      <c r="B461">
        <v>514</v>
      </c>
      <c r="C461">
        <v>765</v>
      </c>
      <c r="D461">
        <v>3127</v>
      </c>
      <c r="E461" s="1">
        <v>45738</v>
      </c>
      <c r="F461" s="1">
        <v>45743</v>
      </c>
      <c r="G461">
        <v>41125</v>
      </c>
      <c r="H461" t="s">
        <v>10</v>
      </c>
    </row>
    <row r="462" spans="1:8" x14ac:dyDescent="0.25">
      <c r="A462">
        <v>500461</v>
      </c>
      <c r="B462">
        <v>485</v>
      </c>
      <c r="C462">
        <v>1079</v>
      </c>
      <c r="D462">
        <v>3400</v>
      </c>
      <c r="E462" s="1">
        <v>45727</v>
      </c>
      <c r="F462" s="1">
        <v>45730</v>
      </c>
      <c r="G462">
        <v>93843</v>
      </c>
      <c r="H462" t="s">
        <v>14</v>
      </c>
    </row>
    <row r="463" spans="1:8" x14ac:dyDescent="0.25">
      <c r="A463">
        <v>500462</v>
      </c>
      <c r="B463">
        <v>385</v>
      </c>
      <c r="C463">
        <v>1548</v>
      </c>
      <c r="D463">
        <v>3155</v>
      </c>
      <c r="E463" s="1">
        <v>45658</v>
      </c>
      <c r="F463" s="1">
        <v>45663</v>
      </c>
      <c r="G463">
        <v>46812</v>
      </c>
      <c r="H463" t="s">
        <v>10</v>
      </c>
    </row>
    <row r="464" spans="1:8" x14ac:dyDescent="0.25">
      <c r="A464">
        <v>500463</v>
      </c>
      <c r="B464">
        <v>229</v>
      </c>
      <c r="C464">
        <v>194</v>
      </c>
      <c r="D464">
        <v>3292</v>
      </c>
      <c r="E464" s="1">
        <v>45726</v>
      </c>
      <c r="F464" s="1">
        <v>45728</v>
      </c>
      <c r="G464">
        <v>39179</v>
      </c>
      <c r="H464" t="s">
        <v>14</v>
      </c>
    </row>
    <row r="465" spans="1:8" x14ac:dyDescent="0.25">
      <c r="A465">
        <v>500464</v>
      </c>
      <c r="B465">
        <v>529</v>
      </c>
      <c r="C465">
        <v>1136</v>
      </c>
      <c r="D465">
        <v>3270</v>
      </c>
      <c r="E465" s="1">
        <v>45645</v>
      </c>
      <c r="F465" s="1">
        <v>45647</v>
      </c>
      <c r="G465">
        <v>26331</v>
      </c>
      <c r="H465" t="s">
        <v>10</v>
      </c>
    </row>
    <row r="466" spans="1:8" x14ac:dyDescent="0.25">
      <c r="A466">
        <v>500465</v>
      </c>
      <c r="B466">
        <v>388</v>
      </c>
      <c r="C466">
        <v>159</v>
      </c>
      <c r="D466">
        <v>3263</v>
      </c>
      <c r="E466" s="1">
        <v>45764</v>
      </c>
      <c r="F466" s="1">
        <v>45766</v>
      </c>
      <c r="G466">
        <v>25281</v>
      </c>
      <c r="H466" t="s">
        <v>25</v>
      </c>
    </row>
    <row r="467" spans="1:8" x14ac:dyDescent="0.25">
      <c r="A467">
        <v>500466</v>
      </c>
      <c r="B467">
        <v>117</v>
      </c>
      <c r="C467">
        <v>1009</v>
      </c>
      <c r="D467">
        <v>3359</v>
      </c>
      <c r="E467" s="1">
        <v>45746</v>
      </c>
      <c r="F467" s="1">
        <v>45749</v>
      </c>
      <c r="G467">
        <v>34576</v>
      </c>
      <c r="H467" t="s">
        <v>10</v>
      </c>
    </row>
    <row r="468" spans="1:8" x14ac:dyDescent="0.25">
      <c r="A468">
        <v>500467</v>
      </c>
      <c r="B468">
        <v>511</v>
      </c>
      <c r="C468">
        <v>1433</v>
      </c>
      <c r="D468">
        <v>3281</v>
      </c>
      <c r="E468" s="1">
        <v>45702</v>
      </c>
      <c r="F468" s="1">
        <v>45703</v>
      </c>
      <c r="G468">
        <v>29254</v>
      </c>
      <c r="H468" t="s">
        <v>14</v>
      </c>
    </row>
    <row r="469" spans="1:8" x14ac:dyDescent="0.25">
      <c r="A469">
        <v>500468</v>
      </c>
      <c r="B469">
        <v>312</v>
      </c>
      <c r="C469">
        <v>1560</v>
      </c>
      <c r="D469">
        <v>3008</v>
      </c>
      <c r="E469" s="1">
        <v>45600</v>
      </c>
      <c r="F469" s="1">
        <v>45602</v>
      </c>
      <c r="G469">
        <v>33684</v>
      </c>
      <c r="H469" t="s">
        <v>25</v>
      </c>
    </row>
    <row r="470" spans="1:8" x14ac:dyDescent="0.25">
      <c r="A470">
        <v>500469</v>
      </c>
      <c r="B470">
        <v>157</v>
      </c>
      <c r="C470">
        <v>1330</v>
      </c>
      <c r="D470">
        <v>3154</v>
      </c>
      <c r="E470" s="1">
        <v>45771</v>
      </c>
      <c r="F470" s="1">
        <v>45775</v>
      </c>
      <c r="G470">
        <v>58930</v>
      </c>
      <c r="H470" t="s">
        <v>25</v>
      </c>
    </row>
    <row r="471" spans="1:8" x14ac:dyDescent="0.25">
      <c r="A471">
        <v>500470</v>
      </c>
      <c r="B471">
        <v>91</v>
      </c>
      <c r="C471">
        <v>460</v>
      </c>
      <c r="D471">
        <v>3292</v>
      </c>
      <c r="E471" s="1">
        <v>45797</v>
      </c>
      <c r="F471" s="1">
        <v>45800</v>
      </c>
      <c r="G471">
        <v>90771</v>
      </c>
      <c r="H471" t="s">
        <v>14</v>
      </c>
    </row>
    <row r="472" spans="1:8" x14ac:dyDescent="0.25">
      <c r="A472">
        <v>500471</v>
      </c>
      <c r="B472">
        <v>32</v>
      </c>
      <c r="C472">
        <v>541</v>
      </c>
      <c r="D472">
        <v>3049</v>
      </c>
      <c r="E472" s="1">
        <v>45724</v>
      </c>
      <c r="F472" s="1">
        <v>45726</v>
      </c>
      <c r="G472">
        <v>25223</v>
      </c>
      <c r="H472" t="s">
        <v>14</v>
      </c>
    </row>
    <row r="473" spans="1:8" x14ac:dyDescent="0.25">
      <c r="A473">
        <v>500472</v>
      </c>
      <c r="B473">
        <v>234</v>
      </c>
      <c r="C473">
        <v>1338</v>
      </c>
      <c r="D473">
        <v>3032</v>
      </c>
      <c r="E473" s="1">
        <v>45601</v>
      </c>
      <c r="F473" s="1">
        <v>45608</v>
      </c>
      <c r="G473">
        <v>67633</v>
      </c>
      <c r="H473" t="s">
        <v>10</v>
      </c>
    </row>
    <row r="474" spans="1:8" x14ac:dyDescent="0.25">
      <c r="A474">
        <v>500473</v>
      </c>
      <c r="B474">
        <v>188</v>
      </c>
      <c r="C474">
        <v>239</v>
      </c>
      <c r="D474">
        <v>3129</v>
      </c>
      <c r="E474" s="1">
        <v>45651</v>
      </c>
      <c r="F474" s="1">
        <v>45656</v>
      </c>
      <c r="G474">
        <v>65537</v>
      </c>
      <c r="H474" t="s">
        <v>10</v>
      </c>
    </row>
    <row r="475" spans="1:8" x14ac:dyDescent="0.25">
      <c r="A475">
        <v>500474</v>
      </c>
      <c r="B475">
        <v>400</v>
      </c>
      <c r="C475">
        <v>414</v>
      </c>
      <c r="D475">
        <v>3435</v>
      </c>
      <c r="E475" s="1">
        <v>45678</v>
      </c>
      <c r="F475" s="1">
        <v>45692</v>
      </c>
      <c r="G475">
        <v>178942</v>
      </c>
      <c r="H475" t="s">
        <v>10</v>
      </c>
    </row>
    <row r="476" spans="1:8" x14ac:dyDescent="0.25">
      <c r="A476">
        <v>500475</v>
      </c>
      <c r="B476">
        <v>484</v>
      </c>
      <c r="C476">
        <v>1124</v>
      </c>
      <c r="D476">
        <v>3035</v>
      </c>
      <c r="E476" s="1">
        <v>45770</v>
      </c>
      <c r="F476" s="1">
        <v>45773</v>
      </c>
      <c r="G476">
        <v>88124</v>
      </c>
      <c r="H476" t="s">
        <v>10</v>
      </c>
    </row>
    <row r="477" spans="1:8" x14ac:dyDescent="0.25">
      <c r="A477">
        <v>500476</v>
      </c>
      <c r="B477">
        <v>457</v>
      </c>
      <c r="C477">
        <v>1207</v>
      </c>
      <c r="D477">
        <v>3296</v>
      </c>
      <c r="E477" s="1">
        <v>45788</v>
      </c>
      <c r="F477" s="1">
        <v>45792</v>
      </c>
      <c r="G477">
        <v>45487</v>
      </c>
      <c r="H477" t="s">
        <v>14</v>
      </c>
    </row>
    <row r="478" spans="1:8" x14ac:dyDescent="0.25">
      <c r="A478">
        <v>500477</v>
      </c>
      <c r="B478">
        <v>268</v>
      </c>
      <c r="C478">
        <v>231</v>
      </c>
      <c r="D478">
        <v>3426</v>
      </c>
      <c r="E478" s="1">
        <v>45758</v>
      </c>
      <c r="F478" s="1">
        <v>45760</v>
      </c>
      <c r="G478">
        <v>66810</v>
      </c>
      <c r="H478" t="s">
        <v>10</v>
      </c>
    </row>
    <row r="479" spans="1:8" x14ac:dyDescent="0.25">
      <c r="A479">
        <v>500478</v>
      </c>
      <c r="B479">
        <v>245</v>
      </c>
      <c r="C479">
        <v>490</v>
      </c>
      <c r="D479">
        <v>3073</v>
      </c>
      <c r="E479" s="1">
        <v>45612</v>
      </c>
      <c r="F479" s="1">
        <v>45618</v>
      </c>
      <c r="G479">
        <v>69097</v>
      </c>
      <c r="H479" t="s">
        <v>14</v>
      </c>
    </row>
    <row r="480" spans="1:8" x14ac:dyDescent="0.25">
      <c r="A480">
        <v>500479</v>
      </c>
      <c r="B480">
        <v>327</v>
      </c>
      <c r="C480">
        <v>339</v>
      </c>
      <c r="D480">
        <v>3366</v>
      </c>
      <c r="E480" s="1">
        <v>45706</v>
      </c>
      <c r="F480" s="1">
        <v>45709</v>
      </c>
      <c r="G480">
        <v>60996</v>
      </c>
      <c r="H480" t="s">
        <v>14</v>
      </c>
    </row>
    <row r="481" spans="1:8" x14ac:dyDescent="0.25">
      <c r="A481">
        <v>500480</v>
      </c>
      <c r="B481">
        <v>19</v>
      </c>
      <c r="C481">
        <v>180</v>
      </c>
      <c r="D481">
        <v>3202</v>
      </c>
      <c r="E481" s="1">
        <v>45690</v>
      </c>
      <c r="F481" s="1">
        <v>45692</v>
      </c>
      <c r="G481">
        <v>49336</v>
      </c>
      <c r="H481" t="s">
        <v>25</v>
      </c>
    </row>
    <row r="482" spans="1:8" x14ac:dyDescent="0.25">
      <c r="A482">
        <v>500481</v>
      </c>
      <c r="B482">
        <v>44</v>
      </c>
      <c r="C482">
        <v>117</v>
      </c>
      <c r="D482">
        <v>3118</v>
      </c>
      <c r="E482" s="1">
        <v>45741</v>
      </c>
      <c r="F482" s="1">
        <v>45742</v>
      </c>
      <c r="G482">
        <v>17074</v>
      </c>
      <c r="H482" t="s">
        <v>25</v>
      </c>
    </row>
    <row r="483" spans="1:8" x14ac:dyDescent="0.25">
      <c r="A483">
        <v>500482</v>
      </c>
      <c r="B483">
        <v>189</v>
      </c>
      <c r="C483">
        <v>250</v>
      </c>
      <c r="D483">
        <v>3318</v>
      </c>
      <c r="E483" s="1">
        <v>45687</v>
      </c>
      <c r="F483" s="1">
        <v>45689</v>
      </c>
      <c r="G483">
        <v>44245</v>
      </c>
      <c r="H483" t="s">
        <v>10</v>
      </c>
    </row>
    <row r="484" spans="1:8" x14ac:dyDescent="0.25">
      <c r="A484">
        <v>500483</v>
      </c>
      <c r="B484">
        <v>310</v>
      </c>
      <c r="C484">
        <v>1456</v>
      </c>
      <c r="D484">
        <v>3477</v>
      </c>
      <c r="E484" s="1">
        <v>45782</v>
      </c>
      <c r="F484" s="1">
        <v>45790</v>
      </c>
      <c r="G484">
        <v>88113</v>
      </c>
      <c r="H484" t="s">
        <v>10</v>
      </c>
    </row>
    <row r="485" spans="1:8" x14ac:dyDescent="0.25">
      <c r="A485">
        <v>500484</v>
      </c>
      <c r="B485">
        <v>174</v>
      </c>
      <c r="C485">
        <v>1041</v>
      </c>
      <c r="D485">
        <v>3311</v>
      </c>
      <c r="E485" s="1">
        <v>45770</v>
      </c>
      <c r="F485" s="1">
        <v>45771</v>
      </c>
      <c r="G485">
        <v>21993</v>
      </c>
      <c r="H485" t="s">
        <v>10</v>
      </c>
    </row>
    <row r="486" spans="1:8" x14ac:dyDescent="0.25">
      <c r="A486">
        <v>500485</v>
      </c>
      <c r="B486">
        <v>78</v>
      </c>
      <c r="C486">
        <v>870</v>
      </c>
      <c r="D486">
        <v>3416</v>
      </c>
      <c r="E486" s="1">
        <v>45622</v>
      </c>
      <c r="F486" s="1">
        <v>45628</v>
      </c>
      <c r="G486">
        <v>107277</v>
      </c>
      <c r="H486" t="s">
        <v>10</v>
      </c>
    </row>
    <row r="487" spans="1:8" x14ac:dyDescent="0.25">
      <c r="A487">
        <v>500486</v>
      </c>
      <c r="B487">
        <v>122</v>
      </c>
      <c r="C487">
        <v>605</v>
      </c>
      <c r="D487">
        <v>3160</v>
      </c>
      <c r="E487" s="1">
        <v>45682</v>
      </c>
      <c r="F487" s="1">
        <v>45686</v>
      </c>
      <c r="G487">
        <v>64990</v>
      </c>
      <c r="H487" t="s">
        <v>14</v>
      </c>
    </row>
    <row r="488" spans="1:8" x14ac:dyDescent="0.25">
      <c r="A488">
        <v>500487</v>
      </c>
      <c r="B488">
        <v>402</v>
      </c>
      <c r="C488">
        <v>677</v>
      </c>
      <c r="D488">
        <v>3093</v>
      </c>
      <c r="E488" s="1">
        <v>45738</v>
      </c>
      <c r="F488" s="1">
        <v>45749</v>
      </c>
      <c r="G488">
        <v>132539</v>
      </c>
      <c r="H488" t="s">
        <v>10</v>
      </c>
    </row>
    <row r="489" spans="1:8" x14ac:dyDescent="0.25">
      <c r="A489">
        <v>500488</v>
      </c>
      <c r="B489">
        <v>420</v>
      </c>
      <c r="C489">
        <v>574</v>
      </c>
      <c r="D489">
        <v>3169</v>
      </c>
      <c r="E489" s="1">
        <v>45636</v>
      </c>
      <c r="F489" s="1">
        <v>45639</v>
      </c>
      <c r="G489">
        <v>65848</v>
      </c>
      <c r="H489" t="s">
        <v>10</v>
      </c>
    </row>
    <row r="490" spans="1:8" x14ac:dyDescent="0.25">
      <c r="A490">
        <v>500489</v>
      </c>
      <c r="B490">
        <v>515</v>
      </c>
      <c r="C490">
        <v>275</v>
      </c>
      <c r="D490">
        <v>3117</v>
      </c>
      <c r="E490" s="1">
        <v>45642</v>
      </c>
      <c r="F490" s="1">
        <v>45645</v>
      </c>
      <c r="G490">
        <v>44120</v>
      </c>
      <c r="H490" t="s">
        <v>10</v>
      </c>
    </row>
    <row r="491" spans="1:8" x14ac:dyDescent="0.25">
      <c r="A491">
        <v>500490</v>
      </c>
      <c r="B491">
        <v>118</v>
      </c>
      <c r="C491">
        <v>1298</v>
      </c>
      <c r="D491">
        <v>3172</v>
      </c>
      <c r="E491" s="1">
        <v>45599</v>
      </c>
      <c r="F491" s="1">
        <v>45602</v>
      </c>
      <c r="G491">
        <v>27557</v>
      </c>
      <c r="H491" t="s">
        <v>14</v>
      </c>
    </row>
    <row r="492" spans="1:8" x14ac:dyDescent="0.25">
      <c r="A492">
        <v>500491</v>
      </c>
      <c r="B492">
        <v>201</v>
      </c>
      <c r="C492">
        <v>794</v>
      </c>
      <c r="D492">
        <v>3158</v>
      </c>
      <c r="E492" s="1">
        <v>45635</v>
      </c>
      <c r="F492" s="1">
        <v>45643</v>
      </c>
      <c r="G492">
        <v>116768</v>
      </c>
      <c r="H492" t="s">
        <v>25</v>
      </c>
    </row>
    <row r="493" spans="1:8" x14ac:dyDescent="0.25">
      <c r="A493">
        <v>500492</v>
      </c>
      <c r="B493">
        <v>483</v>
      </c>
      <c r="C493">
        <v>1170</v>
      </c>
      <c r="D493">
        <v>3189</v>
      </c>
      <c r="E493" s="1">
        <v>45734</v>
      </c>
      <c r="F493" s="1">
        <v>45736</v>
      </c>
      <c r="G493">
        <v>25239</v>
      </c>
      <c r="H493" t="s">
        <v>14</v>
      </c>
    </row>
    <row r="494" spans="1:8" x14ac:dyDescent="0.25">
      <c r="A494">
        <v>500493</v>
      </c>
      <c r="B494">
        <v>248</v>
      </c>
      <c r="C494">
        <v>731</v>
      </c>
      <c r="D494">
        <v>3142</v>
      </c>
      <c r="E494" s="1">
        <v>45733</v>
      </c>
      <c r="F494" s="1">
        <v>45737</v>
      </c>
      <c r="G494">
        <v>44498</v>
      </c>
      <c r="H494" t="s">
        <v>14</v>
      </c>
    </row>
    <row r="495" spans="1:8" x14ac:dyDescent="0.25">
      <c r="A495">
        <v>500494</v>
      </c>
      <c r="B495">
        <v>215</v>
      </c>
      <c r="C495">
        <v>349</v>
      </c>
      <c r="D495">
        <v>3035</v>
      </c>
      <c r="E495" s="1">
        <v>45789</v>
      </c>
      <c r="F495" s="1">
        <v>45802</v>
      </c>
      <c r="G495">
        <v>151440</v>
      </c>
      <c r="H495" t="s">
        <v>25</v>
      </c>
    </row>
    <row r="496" spans="1:8" x14ac:dyDescent="0.25">
      <c r="A496">
        <v>500495</v>
      </c>
      <c r="B496">
        <v>79</v>
      </c>
      <c r="C496">
        <v>205</v>
      </c>
      <c r="D496">
        <v>3154</v>
      </c>
      <c r="E496" s="1">
        <v>45735</v>
      </c>
      <c r="F496" s="1">
        <v>45737</v>
      </c>
      <c r="G496">
        <v>28739</v>
      </c>
      <c r="H496" t="s">
        <v>10</v>
      </c>
    </row>
    <row r="497" spans="1:8" x14ac:dyDescent="0.25">
      <c r="A497">
        <v>500496</v>
      </c>
      <c r="B497">
        <v>267</v>
      </c>
      <c r="C497">
        <v>493</v>
      </c>
      <c r="D497">
        <v>3013</v>
      </c>
      <c r="E497" s="1">
        <v>45785</v>
      </c>
      <c r="F497" s="1">
        <v>45786</v>
      </c>
      <c r="G497">
        <v>30043</v>
      </c>
      <c r="H497" t="s">
        <v>14</v>
      </c>
    </row>
    <row r="498" spans="1:8" x14ac:dyDescent="0.25">
      <c r="A498">
        <v>500497</v>
      </c>
      <c r="B498">
        <v>401</v>
      </c>
      <c r="C498">
        <v>109</v>
      </c>
      <c r="D498">
        <v>3480</v>
      </c>
      <c r="E498" s="1">
        <v>45726</v>
      </c>
      <c r="F498" s="1">
        <v>45730</v>
      </c>
      <c r="G498">
        <v>53144</v>
      </c>
      <c r="H498" t="s">
        <v>14</v>
      </c>
    </row>
    <row r="499" spans="1:8" x14ac:dyDescent="0.25">
      <c r="A499">
        <v>500498</v>
      </c>
      <c r="B499">
        <v>154</v>
      </c>
      <c r="C499">
        <v>1065</v>
      </c>
      <c r="D499">
        <v>3353</v>
      </c>
      <c r="E499" s="1">
        <v>45720</v>
      </c>
      <c r="F499" s="1">
        <v>45722</v>
      </c>
      <c r="G499">
        <v>41334</v>
      </c>
      <c r="H499" t="s">
        <v>14</v>
      </c>
    </row>
    <row r="500" spans="1:8" x14ac:dyDescent="0.25">
      <c r="A500">
        <v>500499</v>
      </c>
      <c r="B500">
        <v>402</v>
      </c>
      <c r="C500">
        <v>159</v>
      </c>
      <c r="D500">
        <v>3327</v>
      </c>
      <c r="E500" s="1">
        <v>45770</v>
      </c>
      <c r="F500" s="1">
        <v>45771</v>
      </c>
      <c r="G500">
        <v>21014</v>
      </c>
      <c r="H500" t="s">
        <v>14</v>
      </c>
    </row>
    <row r="501" spans="1:8" x14ac:dyDescent="0.25">
      <c r="A501">
        <v>500500</v>
      </c>
      <c r="B501">
        <v>513</v>
      </c>
      <c r="C501">
        <v>1183</v>
      </c>
      <c r="D501">
        <v>3290</v>
      </c>
      <c r="E501" s="1">
        <v>45755</v>
      </c>
      <c r="F501" s="1">
        <v>45757</v>
      </c>
      <c r="G501">
        <v>34427</v>
      </c>
      <c r="H501" t="s">
        <v>14</v>
      </c>
    </row>
    <row r="502" spans="1:8" x14ac:dyDescent="0.25">
      <c r="A502">
        <v>500501</v>
      </c>
      <c r="B502">
        <v>402</v>
      </c>
      <c r="C502">
        <v>1430</v>
      </c>
      <c r="D502">
        <v>3418</v>
      </c>
      <c r="E502" s="1">
        <v>45783</v>
      </c>
      <c r="F502" s="1">
        <v>45791</v>
      </c>
      <c r="G502">
        <v>100213</v>
      </c>
      <c r="H502" t="s">
        <v>10</v>
      </c>
    </row>
    <row r="503" spans="1:8" x14ac:dyDescent="0.25">
      <c r="A503">
        <v>500502</v>
      </c>
      <c r="B503">
        <v>400</v>
      </c>
      <c r="C503">
        <v>1148</v>
      </c>
      <c r="D503">
        <v>3295</v>
      </c>
      <c r="E503" s="1">
        <v>45620</v>
      </c>
      <c r="F503" s="1">
        <v>45621</v>
      </c>
      <c r="G503">
        <v>24115</v>
      </c>
      <c r="H503" t="s">
        <v>10</v>
      </c>
    </row>
    <row r="504" spans="1:8" x14ac:dyDescent="0.25">
      <c r="A504">
        <v>500503</v>
      </c>
      <c r="B504">
        <v>506</v>
      </c>
      <c r="C504">
        <v>1521</v>
      </c>
      <c r="D504">
        <v>3126</v>
      </c>
      <c r="E504" s="1">
        <v>45779</v>
      </c>
      <c r="F504" s="1">
        <v>45787</v>
      </c>
      <c r="G504">
        <v>126376</v>
      </c>
      <c r="H504" t="s">
        <v>25</v>
      </c>
    </row>
    <row r="505" spans="1:8" x14ac:dyDescent="0.25">
      <c r="A505">
        <v>500504</v>
      </c>
      <c r="B505">
        <v>33</v>
      </c>
      <c r="C505">
        <v>1273</v>
      </c>
      <c r="D505">
        <v>3323</v>
      </c>
      <c r="E505" s="1">
        <v>45676</v>
      </c>
      <c r="F505" s="1">
        <v>45677</v>
      </c>
      <c r="G505">
        <v>26410</v>
      </c>
      <c r="H505" t="s">
        <v>10</v>
      </c>
    </row>
    <row r="506" spans="1:8" x14ac:dyDescent="0.25">
      <c r="A506">
        <v>500505</v>
      </c>
      <c r="B506">
        <v>117</v>
      </c>
      <c r="C506">
        <v>1411</v>
      </c>
      <c r="D506">
        <v>3137</v>
      </c>
      <c r="E506" s="1">
        <v>45735</v>
      </c>
      <c r="F506" s="1">
        <v>45739</v>
      </c>
      <c r="G506">
        <v>114746</v>
      </c>
      <c r="H506" t="s">
        <v>25</v>
      </c>
    </row>
    <row r="507" spans="1:8" x14ac:dyDescent="0.25">
      <c r="A507">
        <v>500506</v>
      </c>
      <c r="B507">
        <v>217</v>
      </c>
      <c r="C507">
        <v>172</v>
      </c>
      <c r="D507">
        <v>3272</v>
      </c>
      <c r="E507" s="1">
        <v>45806</v>
      </c>
      <c r="F507" s="1">
        <v>45808</v>
      </c>
      <c r="G507">
        <v>36144</v>
      </c>
      <c r="H507" t="s">
        <v>14</v>
      </c>
    </row>
    <row r="508" spans="1:8" x14ac:dyDescent="0.25">
      <c r="A508">
        <v>500507</v>
      </c>
      <c r="B508">
        <v>246</v>
      </c>
      <c r="C508">
        <v>1095</v>
      </c>
      <c r="D508">
        <v>3392</v>
      </c>
      <c r="E508" s="1">
        <v>45743</v>
      </c>
      <c r="F508" s="1">
        <v>45763</v>
      </c>
      <c r="G508">
        <v>260613</v>
      </c>
      <c r="H508" t="s">
        <v>10</v>
      </c>
    </row>
    <row r="509" spans="1:8" x14ac:dyDescent="0.25">
      <c r="A509">
        <v>500508</v>
      </c>
      <c r="B509">
        <v>159</v>
      </c>
      <c r="C509">
        <v>1562</v>
      </c>
      <c r="D509">
        <v>3249</v>
      </c>
      <c r="E509" s="1">
        <v>45673</v>
      </c>
      <c r="F509" s="1">
        <v>45686</v>
      </c>
      <c r="G509">
        <v>245985</v>
      </c>
      <c r="H509" t="s">
        <v>10</v>
      </c>
    </row>
    <row r="510" spans="1:8" x14ac:dyDescent="0.25">
      <c r="A510">
        <v>500509</v>
      </c>
      <c r="B510">
        <v>418</v>
      </c>
      <c r="C510">
        <v>700</v>
      </c>
      <c r="D510">
        <v>3122</v>
      </c>
      <c r="E510" s="1">
        <v>45691</v>
      </c>
      <c r="F510" s="1">
        <v>45692</v>
      </c>
      <c r="G510">
        <v>12017</v>
      </c>
      <c r="H510" t="s">
        <v>25</v>
      </c>
    </row>
    <row r="511" spans="1:8" x14ac:dyDescent="0.25">
      <c r="A511">
        <v>500510</v>
      </c>
      <c r="B511">
        <v>93</v>
      </c>
      <c r="C511">
        <v>1242</v>
      </c>
      <c r="D511">
        <v>3239</v>
      </c>
      <c r="E511" s="1">
        <v>45609</v>
      </c>
      <c r="F511" s="1">
        <v>45610</v>
      </c>
      <c r="G511">
        <v>21844</v>
      </c>
      <c r="H511" t="s">
        <v>10</v>
      </c>
    </row>
    <row r="512" spans="1:8" x14ac:dyDescent="0.25">
      <c r="A512">
        <v>500511</v>
      </c>
      <c r="B512">
        <v>530</v>
      </c>
      <c r="C512">
        <v>642</v>
      </c>
      <c r="D512">
        <v>3492</v>
      </c>
      <c r="E512" s="1">
        <v>45717</v>
      </c>
      <c r="F512" s="1">
        <v>45718</v>
      </c>
      <c r="G512">
        <v>28037</v>
      </c>
      <c r="H512" t="s">
        <v>10</v>
      </c>
    </row>
    <row r="513" spans="1:8" x14ac:dyDescent="0.25">
      <c r="A513">
        <v>500512</v>
      </c>
      <c r="B513">
        <v>402</v>
      </c>
      <c r="C513">
        <v>1533</v>
      </c>
      <c r="D513">
        <v>3124</v>
      </c>
      <c r="E513" s="1">
        <v>45801</v>
      </c>
      <c r="F513" s="1">
        <v>45808</v>
      </c>
      <c r="G513">
        <v>190646</v>
      </c>
      <c r="H513" t="s">
        <v>25</v>
      </c>
    </row>
    <row r="514" spans="1:8" x14ac:dyDescent="0.25">
      <c r="A514">
        <v>500513</v>
      </c>
      <c r="B514">
        <v>19</v>
      </c>
      <c r="C514">
        <v>1545</v>
      </c>
      <c r="D514">
        <v>3333</v>
      </c>
      <c r="E514" s="1">
        <v>45674</v>
      </c>
      <c r="F514" s="1">
        <v>45676</v>
      </c>
      <c r="G514">
        <v>38521</v>
      </c>
      <c r="H514" t="s">
        <v>10</v>
      </c>
    </row>
    <row r="515" spans="1:8" x14ac:dyDescent="0.25">
      <c r="A515">
        <v>500514</v>
      </c>
      <c r="B515">
        <v>368</v>
      </c>
      <c r="C515">
        <v>1098</v>
      </c>
      <c r="D515">
        <v>3407</v>
      </c>
      <c r="E515" s="1">
        <v>45656</v>
      </c>
      <c r="F515" s="1">
        <v>45664</v>
      </c>
      <c r="G515">
        <v>91270</v>
      </c>
      <c r="H515" t="s">
        <v>10</v>
      </c>
    </row>
    <row r="516" spans="1:8" x14ac:dyDescent="0.25">
      <c r="A516">
        <v>500515</v>
      </c>
      <c r="B516">
        <v>528</v>
      </c>
      <c r="C516">
        <v>1380</v>
      </c>
      <c r="D516">
        <v>3258</v>
      </c>
      <c r="E516" s="1">
        <v>45725</v>
      </c>
      <c r="F516" s="1">
        <v>45733</v>
      </c>
      <c r="G516">
        <v>78093</v>
      </c>
      <c r="H516" t="s">
        <v>10</v>
      </c>
    </row>
    <row r="517" spans="1:8" x14ac:dyDescent="0.25">
      <c r="A517">
        <v>500516</v>
      </c>
      <c r="B517">
        <v>11</v>
      </c>
      <c r="C517">
        <v>816</v>
      </c>
      <c r="D517">
        <v>3365</v>
      </c>
      <c r="E517" s="1">
        <v>45656</v>
      </c>
      <c r="F517" s="1">
        <v>45661</v>
      </c>
      <c r="G517">
        <v>71408</v>
      </c>
      <c r="H517" t="s">
        <v>10</v>
      </c>
    </row>
    <row r="518" spans="1:8" x14ac:dyDescent="0.25">
      <c r="A518">
        <v>500517</v>
      </c>
      <c r="B518">
        <v>517</v>
      </c>
      <c r="C518">
        <v>1457</v>
      </c>
      <c r="D518">
        <v>3424</v>
      </c>
      <c r="E518" s="1">
        <v>45685</v>
      </c>
      <c r="F518" s="1">
        <v>45687</v>
      </c>
      <c r="G518">
        <v>54213</v>
      </c>
      <c r="H518" t="s">
        <v>10</v>
      </c>
    </row>
    <row r="519" spans="1:8" x14ac:dyDescent="0.25">
      <c r="A519">
        <v>500518</v>
      </c>
      <c r="B519">
        <v>76</v>
      </c>
      <c r="C519">
        <v>268</v>
      </c>
      <c r="D519">
        <v>3023</v>
      </c>
      <c r="E519" s="1">
        <v>45641</v>
      </c>
      <c r="F519" s="1">
        <v>45643</v>
      </c>
      <c r="G519">
        <v>71830</v>
      </c>
      <c r="H519" t="s">
        <v>25</v>
      </c>
    </row>
    <row r="520" spans="1:8" x14ac:dyDescent="0.25">
      <c r="A520">
        <v>500519</v>
      </c>
      <c r="B520">
        <v>33</v>
      </c>
      <c r="C520">
        <v>143</v>
      </c>
      <c r="D520">
        <v>3173</v>
      </c>
      <c r="E520" s="1">
        <v>45622</v>
      </c>
      <c r="F520" s="1">
        <v>45623</v>
      </c>
      <c r="G520">
        <v>22887</v>
      </c>
      <c r="H520" t="s">
        <v>25</v>
      </c>
    </row>
    <row r="521" spans="1:8" x14ac:dyDescent="0.25">
      <c r="A521">
        <v>500520</v>
      </c>
      <c r="B521">
        <v>245</v>
      </c>
      <c r="C521">
        <v>1195</v>
      </c>
      <c r="D521">
        <v>3317</v>
      </c>
      <c r="E521" s="1">
        <v>45650</v>
      </c>
      <c r="F521" s="1">
        <v>45655</v>
      </c>
      <c r="G521">
        <v>78196</v>
      </c>
      <c r="H521" t="s">
        <v>10</v>
      </c>
    </row>
    <row r="522" spans="1:8" x14ac:dyDescent="0.25">
      <c r="A522">
        <v>500521</v>
      </c>
      <c r="B522">
        <v>34</v>
      </c>
      <c r="C522">
        <v>175</v>
      </c>
      <c r="D522">
        <v>3113</v>
      </c>
      <c r="E522" s="1">
        <v>45618</v>
      </c>
      <c r="F522" s="1">
        <v>45622</v>
      </c>
      <c r="G522">
        <v>43998</v>
      </c>
      <c r="H522" t="s">
        <v>14</v>
      </c>
    </row>
    <row r="523" spans="1:8" x14ac:dyDescent="0.25">
      <c r="A523">
        <v>500522</v>
      </c>
      <c r="B523">
        <v>444</v>
      </c>
      <c r="C523">
        <v>174</v>
      </c>
      <c r="D523">
        <v>3416</v>
      </c>
      <c r="E523" s="1">
        <v>45659</v>
      </c>
      <c r="F523" s="1">
        <v>45661</v>
      </c>
      <c r="G523">
        <v>38924</v>
      </c>
      <c r="H523" t="s">
        <v>25</v>
      </c>
    </row>
    <row r="524" spans="1:8" x14ac:dyDescent="0.25">
      <c r="A524">
        <v>500523</v>
      </c>
      <c r="B524">
        <v>443</v>
      </c>
      <c r="C524">
        <v>1014</v>
      </c>
      <c r="D524">
        <v>3270</v>
      </c>
      <c r="E524" s="1">
        <v>45806</v>
      </c>
      <c r="F524" s="1">
        <v>45808</v>
      </c>
      <c r="G524">
        <v>36456</v>
      </c>
      <c r="H524" t="s">
        <v>10</v>
      </c>
    </row>
    <row r="525" spans="1:8" x14ac:dyDescent="0.25">
      <c r="A525">
        <v>500524</v>
      </c>
      <c r="B525">
        <v>513</v>
      </c>
      <c r="C525">
        <v>913</v>
      </c>
      <c r="D525">
        <v>3064</v>
      </c>
      <c r="E525" s="1">
        <v>45726</v>
      </c>
      <c r="F525" s="1">
        <v>45730</v>
      </c>
      <c r="G525">
        <v>62673</v>
      </c>
      <c r="H525" t="s">
        <v>14</v>
      </c>
    </row>
    <row r="526" spans="1:8" x14ac:dyDescent="0.25">
      <c r="A526">
        <v>500525</v>
      </c>
      <c r="B526">
        <v>344</v>
      </c>
      <c r="C526">
        <v>1084</v>
      </c>
      <c r="D526">
        <v>3025</v>
      </c>
      <c r="E526" s="1">
        <v>45741</v>
      </c>
      <c r="F526" s="1">
        <v>45746</v>
      </c>
      <c r="G526">
        <v>103589</v>
      </c>
      <c r="H526" t="s">
        <v>25</v>
      </c>
    </row>
    <row r="527" spans="1:8" x14ac:dyDescent="0.25">
      <c r="A527">
        <v>500526</v>
      </c>
      <c r="B527">
        <v>14</v>
      </c>
      <c r="C527">
        <v>200</v>
      </c>
      <c r="D527">
        <v>3247</v>
      </c>
      <c r="E527" s="1">
        <v>45657</v>
      </c>
      <c r="F527" s="1">
        <v>45672</v>
      </c>
      <c r="G527">
        <v>203955</v>
      </c>
      <c r="H527" t="s">
        <v>14</v>
      </c>
    </row>
    <row r="528" spans="1:8" x14ac:dyDescent="0.25">
      <c r="A528">
        <v>500527</v>
      </c>
      <c r="B528">
        <v>17</v>
      </c>
      <c r="C528">
        <v>623</v>
      </c>
      <c r="D528">
        <v>3484</v>
      </c>
      <c r="E528" s="1">
        <v>45724</v>
      </c>
      <c r="F528" s="1">
        <v>45726</v>
      </c>
      <c r="G528">
        <v>20041</v>
      </c>
      <c r="H528" t="s">
        <v>10</v>
      </c>
    </row>
    <row r="529" spans="1:8" x14ac:dyDescent="0.25">
      <c r="A529">
        <v>500528</v>
      </c>
      <c r="B529">
        <v>454</v>
      </c>
      <c r="C529">
        <v>496</v>
      </c>
      <c r="D529">
        <v>3438</v>
      </c>
      <c r="E529" s="1">
        <v>45709</v>
      </c>
      <c r="F529" s="1">
        <v>45710</v>
      </c>
      <c r="G529">
        <v>21435</v>
      </c>
      <c r="H529" t="s">
        <v>14</v>
      </c>
    </row>
    <row r="530" spans="1:8" x14ac:dyDescent="0.25">
      <c r="A530">
        <v>500529</v>
      </c>
      <c r="B530">
        <v>46</v>
      </c>
      <c r="C530">
        <v>819</v>
      </c>
      <c r="D530">
        <v>3017</v>
      </c>
      <c r="E530" s="1">
        <v>45642</v>
      </c>
      <c r="F530" s="1">
        <v>45643</v>
      </c>
      <c r="G530">
        <v>14389</v>
      </c>
      <c r="H530" t="s">
        <v>10</v>
      </c>
    </row>
    <row r="531" spans="1:8" x14ac:dyDescent="0.25">
      <c r="A531">
        <v>500530</v>
      </c>
      <c r="B531">
        <v>190</v>
      </c>
      <c r="C531">
        <v>1340</v>
      </c>
      <c r="D531">
        <v>3100</v>
      </c>
      <c r="E531" s="1">
        <v>45644</v>
      </c>
      <c r="F531" s="1">
        <v>45646</v>
      </c>
      <c r="G531">
        <v>36376</v>
      </c>
      <c r="H531" t="s">
        <v>10</v>
      </c>
    </row>
    <row r="532" spans="1:8" x14ac:dyDescent="0.25">
      <c r="A532">
        <v>500531</v>
      </c>
      <c r="B532">
        <v>528</v>
      </c>
      <c r="C532">
        <v>157</v>
      </c>
      <c r="D532">
        <v>3212</v>
      </c>
      <c r="E532" s="1">
        <v>45687</v>
      </c>
      <c r="F532" s="1">
        <v>45695</v>
      </c>
      <c r="G532">
        <v>78292</v>
      </c>
      <c r="H532" t="s">
        <v>10</v>
      </c>
    </row>
    <row r="533" spans="1:8" x14ac:dyDescent="0.25">
      <c r="A533">
        <v>500532</v>
      </c>
      <c r="B533">
        <v>13</v>
      </c>
      <c r="C533">
        <v>1291</v>
      </c>
      <c r="D533">
        <v>3136</v>
      </c>
      <c r="E533" s="1">
        <v>45648</v>
      </c>
      <c r="F533" s="1">
        <v>45651</v>
      </c>
      <c r="G533">
        <v>85402</v>
      </c>
      <c r="H533" t="s">
        <v>14</v>
      </c>
    </row>
    <row r="534" spans="1:8" x14ac:dyDescent="0.25">
      <c r="A534">
        <v>500533</v>
      </c>
      <c r="B534">
        <v>172</v>
      </c>
      <c r="C534">
        <v>498</v>
      </c>
      <c r="D534">
        <v>3187</v>
      </c>
      <c r="E534" s="1">
        <v>45622</v>
      </c>
      <c r="F534" s="1">
        <v>45626</v>
      </c>
      <c r="G534">
        <v>57000</v>
      </c>
      <c r="H534" t="s">
        <v>25</v>
      </c>
    </row>
    <row r="535" spans="1:8" x14ac:dyDescent="0.25">
      <c r="A535">
        <v>500534</v>
      </c>
      <c r="B535">
        <v>199</v>
      </c>
      <c r="C535">
        <v>1403</v>
      </c>
      <c r="D535">
        <v>3002</v>
      </c>
      <c r="E535" s="1">
        <v>45772</v>
      </c>
      <c r="F535" s="1">
        <v>45787</v>
      </c>
      <c r="G535">
        <v>264956</v>
      </c>
      <c r="H535" t="s">
        <v>10</v>
      </c>
    </row>
    <row r="536" spans="1:8" x14ac:dyDescent="0.25">
      <c r="A536">
        <v>500535</v>
      </c>
      <c r="B536">
        <v>14</v>
      </c>
      <c r="C536">
        <v>987</v>
      </c>
      <c r="D536">
        <v>3106</v>
      </c>
      <c r="E536" s="1">
        <v>45727</v>
      </c>
      <c r="F536" s="1">
        <v>45728</v>
      </c>
      <c r="G536">
        <v>22701</v>
      </c>
      <c r="H536" t="s">
        <v>10</v>
      </c>
    </row>
    <row r="537" spans="1:8" x14ac:dyDescent="0.25">
      <c r="A537">
        <v>500536</v>
      </c>
      <c r="B537">
        <v>59</v>
      </c>
      <c r="C537">
        <v>988</v>
      </c>
      <c r="D537">
        <v>3411</v>
      </c>
      <c r="E537" s="1">
        <v>45642</v>
      </c>
      <c r="F537" s="1">
        <v>45644</v>
      </c>
      <c r="G537">
        <v>35916</v>
      </c>
      <c r="H537" t="s">
        <v>10</v>
      </c>
    </row>
    <row r="538" spans="1:8" x14ac:dyDescent="0.25">
      <c r="A538">
        <v>500537</v>
      </c>
      <c r="B538">
        <v>92</v>
      </c>
      <c r="C538">
        <v>695</v>
      </c>
      <c r="D538">
        <v>3474</v>
      </c>
      <c r="E538" s="1">
        <v>45800</v>
      </c>
      <c r="F538" s="1">
        <v>45808</v>
      </c>
      <c r="G538">
        <v>133391</v>
      </c>
      <c r="H538" t="s">
        <v>10</v>
      </c>
    </row>
    <row r="539" spans="1:8" x14ac:dyDescent="0.25">
      <c r="A539">
        <v>500538</v>
      </c>
      <c r="B539">
        <v>187</v>
      </c>
      <c r="C539">
        <v>405</v>
      </c>
      <c r="D539">
        <v>3059</v>
      </c>
      <c r="E539" s="1">
        <v>45638</v>
      </c>
      <c r="F539" s="1">
        <v>45641</v>
      </c>
      <c r="G539">
        <v>35014</v>
      </c>
      <c r="H539" t="s">
        <v>10</v>
      </c>
    </row>
    <row r="540" spans="1:8" x14ac:dyDescent="0.25">
      <c r="A540">
        <v>500539</v>
      </c>
      <c r="B540">
        <v>488</v>
      </c>
      <c r="C540">
        <v>1424</v>
      </c>
      <c r="D540">
        <v>3025</v>
      </c>
      <c r="E540" s="1">
        <v>45750</v>
      </c>
      <c r="F540" s="1">
        <v>45751</v>
      </c>
      <c r="G540">
        <v>30682</v>
      </c>
      <c r="H540" t="s">
        <v>10</v>
      </c>
    </row>
    <row r="541" spans="1:8" x14ac:dyDescent="0.25">
      <c r="A541">
        <v>500540</v>
      </c>
      <c r="B541">
        <v>344</v>
      </c>
      <c r="C541">
        <v>1411</v>
      </c>
      <c r="D541">
        <v>3175</v>
      </c>
      <c r="E541" s="1">
        <v>45625</v>
      </c>
      <c r="F541" s="1">
        <v>45640</v>
      </c>
      <c r="G541">
        <v>121161</v>
      </c>
      <c r="H541" t="s">
        <v>14</v>
      </c>
    </row>
    <row r="542" spans="1:8" x14ac:dyDescent="0.25">
      <c r="A542">
        <v>500541</v>
      </c>
      <c r="B542">
        <v>401</v>
      </c>
      <c r="C542">
        <v>1575</v>
      </c>
      <c r="D542">
        <v>3206</v>
      </c>
      <c r="E542" s="1">
        <v>45774</v>
      </c>
      <c r="F542" s="1">
        <v>45778</v>
      </c>
      <c r="G542">
        <v>48549</v>
      </c>
      <c r="H542" t="s">
        <v>10</v>
      </c>
    </row>
    <row r="543" spans="1:8" x14ac:dyDescent="0.25">
      <c r="A543">
        <v>500542</v>
      </c>
      <c r="B543">
        <v>140</v>
      </c>
      <c r="C543">
        <v>924</v>
      </c>
      <c r="D543">
        <v>3411</v>
      </c>
      <c r="E543" s="1">
        <v>45643</v>
      </c>
      <c r="F543" s="1">
        <v>45646</v>
      </c>
      <c r="G543">
        <v>62108</v>
      </c>
      <c r="H543" t="s">
        <v>14</v>
      </c>
    </row>
    <row r="544" spans="1:8" x14ac:dyDescent="0.25">
      <c r="A544">
        <v>500543</v>
      </c>
      <c r="B544">
        <v>15</v>
      </c>
      <c r="C544">
        <v>1002</v>
      </c>
      <c r="D544">
        <v>3294</v>
      </c>
      <c r="E544" s="1">
        <v>45759</v>
      </c>
      <c r="F544" s="1">
        <v>45761</v>
      </c>
      <c r="G544">
        <v>28542</v>
      </c>
      <c r="H544" t="s">
        <v>10</v>
      </c>
    </row>
    <row r="545" spans="1:8" x14ac:dyDescent="0.25">
      <c r="A545">
        <v>500544</v>
      </c>
      <c r="B545">
        <v>488</v>
      </c>
      <c r="C545">
        <v>1365</v>
      </c>
      <c r="D545">
        <v>3331</v>
      </c>
      <c r="E545" s="1">
        <v>45779</v>
      </c>
      <c r="F545" s="1">
        <v>45791</v>
      </c>
      <c r="G545">
        <v>186908</v>
      </c>
      <c r="H545" t="s">
        <v>10</v>
      </c>
    </row>
    <row r="546" spans="1:8" x14ac:dyDescent="0.25">
      <c r="A546">
        <v>500545</v>
      </c>
      <c r="B546">
        <v>74</v>
      </c>
      <c r="C546">
        <v>316</v>
      </c>
      <c r="D546">
        <v>3232</v>
      </c>
      <c r="E546" s="1">
        <v>45678</v>
      </c>
      <c r="F546" s="1">
        <v>45685</v>
      </c>
      <c r="G546">
        <v>115317</v>
      </c>
      <c r="H546" t="s">
        <v>10</v>
      </c>
    </row>
    <row r="547" spans="1:8" x14ac:dyDescent="0.25">
      <c r="A547">
        <v>500546</v>
      </c>
      <c r="B547">
        <v>458</v>
      </c>
      <c r="C547">
        <v>133</v>
      </c>
      <c r="D547">
        <v>3470</v>
      </c>
      <c r="E547" s="1">
        <v>45653</v>
      </c>
      <c r="F547" s="1">
        <v>45655</v>
      </c>
      <c r="G547">
        <v>27173</v>
      </c>
      <c r="H547" t="s">
        <v>14</v>
      </c>
    </row>
    <row r="548" spans="1:8" x14ac:dyDescent="0.25">
      <c r="A548">
        <v>500547</v>
      </c>
      <c r="B548">
        <v>268</v>
      </c>
      <c r="C548">
        <v>281</v>
      </c>
      <c r="D548">
        <v>3277</v>
      </c>
      <c r="E548" s="1">
        <v>45673</v>
      </c>
      <c r="F548" s="1">
        <v>45678</v>
      </c>
      <c r="G548">
        <v>109467</v>
      </c>
      <c r="H548" t="s">
        <v>14</v>
      </c>
    </row>
    <row r="549" spans="1:8" x14ac:dyDescent="0.25">
      <c r="A549">
        <v>500548</v>
      </c>
      <c r="B549">
        <v>432</v>
      </c>
      <c r="C549">
        <v>342</v>
      </c>
      <c r="D549">
        <v>3102</v>
      </c>
      <c r="E549" s="1">
        <v>45791</v>
      </c>
      <c r="F549" s="1">
        <v>45792</v>
      </c>
      <c r="G549">
        <v>33404</v>
      </c>
      <c r="H549" t="s">
        <v>14</v>
      </c>
    </row>
    <row r="550" spans="1:8" x14ac:dyDescent="0.25">
      <c r="A550">
        <v>500549</v>
      </c>
      <c r="B550">
        <v>468</v>
      </c>
      <c r="C550">
        <v>1561</v>
      </c>
      <c r="D550">
        <v>3169</v>
      </c>
      <c r="E550" s="1">
        <v>45670</v>
      </c>
      <c r="F550" s="1">
        <v>45674</v>
      </c>
      <c r="G550">
        <v>80648</v>
      </c>
      <c r="H550" t="s">
        <v>10</v>
      </c>
    </row>
    <row r="551" spans="1:8" x14ac:dyDescent="0.25">
      <c r="A551">
        <v>500550</v>
      </c>
      <c r="B551">
        <v>170</v>
      </c>
      <c r="C551">
        <v>1533</v>
      </c>
      <c r="D551">
        <v>3128</v>
      </c>
      <c r="E551" s="1">
        <v>45757</v>
      </c>
      <c r="F551" s="1">
        <v>45758</v>
      </c>
      <c r="G551">
        <v>30352</v>
      </c>
      <c r="H551" t="s">
        <v>14</v>
      </c>
    </row>
    <row r="552" spans="1:8" x14ac:dyDescent="0.25">
      <c r="A552">
        <v>500551</v>
      </c>
      <c r="B552">
        <v>485</v>
      </c>
      <c r="C552">
        <v>1017</v>
      </c>
      <c r="D552">
        <v>3085</v>
      </c>
      <c r="E552" s="1">
        <v>45763</v>
      </c>
      <c r="F552" s="1">
        <v>45767</v>
      </c>
      <c r="G552">
        <v>68179</v>
      </c>
      <c r="H552" t="s">
        <v>10</v>
      </c>
    </row>
    <row r="553" spans="1:8" x14ac:dyDescent="0.25">
      <c r="A553">
        <v>500552</v>
      </c>
      <c r="B553">
        <v>190</v>
      </c>
      <c r="C553">
        <v>1524</v>
      </c>
      <c r="D553">
        <v>3243</v>
      </c>
      <c r="E553" s="1">
        <v>45713</v>
      </c>
      <c r="F553" s="1">
        <v>45715</v>
      </c>
      <c r="G553">
        <v>71864</v>
      </c>
      <c r="H553" t="s">
        <v>10</v>
      </c>
    </row>
    <row r="554" spans="1:8" x14ac:dyDescent="0.25">
      <c r="A554">
        <v>500553</v>
      </c>
      <c r="B554">
        <v>138</v>
      </c>
      <c r="C554">
        <v>437</v>
      </c>
      <c r="D554">
        <v>3286</v>
      </c>
      <c r="E554" s="1">
        <v>45745</v>
      </c>
      <c r="F554" s="1">
        <v>45747</v>
      </c>
      <c r="G554">
        <v>23146</v>
      </c>
      <c r="H554" t="s">
        <v>10</v>
      </c>
    </row>
    <row r="555" spans="1:8" x14ac:dyDescent="0.25">
      <c r="A555">
        <v>500554</v>
      </c>
      <c r="B555">
        <v>33</v>
      </c>
      <c r="C555">
        <v>1077</v>
      </c>
      <c r="D555">
        <v>3072</v>
      </c>
      <c r="E555" s="1">
        <v>45625</v>
      </c>
      <c r="F555" s="1">
        <v>45629</v>
      </c>
      <c r="G555">
        <v>90574</v>
      </c>
      <c r="H555" t="s">
        <v>10</v>
      </c>
    </row>
    <row r="556" spans="1:8" x14ac:dyDescent="0.25">
      <c r="A556">
        <v>500555</v>
      </c>
      <c r="B556">
        <v>528</v>
      </c>
      <c r="C556">
        <v>1550</v>
      </c>
      <c r="D556">
        <v>3364</v>
      </c>
      <c r="E556" s="1">
        <v>45600</v>
      </c>
      <c r="F556" s="1">
        <v>45610</v>
      </c>
      <c r="G556">
        <v>102635</v>
      </c>
      <c r="H556" t="s">
        <v>10</v>
      </c>
    </row>
    <row r="557" spans="1:8" x14ac:dyDescent="0.25">
      <c r="A557">
        <v>500556</v>
      </c>
      <c r="B557">
        <v>170</v>
      </c>
      <c r="C557">
        <v>1394</v>
      </c>
      <c r="D557">
        <v>3374</v>
      </c>
      <c r="E557" s="1">
        <v>45673</v>
      </c>
      <c r="F557" s="1">
        <v>45676</v>
      </c>
      <c r="G557">
        <v>89735</v>
      </c>
      <c r="H557" t="s">
        <v>10</v>
      </c>
    </row>
    <row r="558" spans="1:8" x14ac:dyDescent="0.25">
      <c r="A558">
        <v>500557</v>
      </c>
      <c r="B558">
        <v>371</v>
      </c>
      <c r="C558">
        <v>535</v>
      </c>
      <c r="D558">
        <v>3445</v>
      </c>
      <c r="E558" s="1">
        <v>45707</v>
      </c>
      <c r="F558" s="1">
        <v>45711</v>
      </c>
      <c r="G558">
        <v>48108</v>
      </c>
      <c r="H558" t="s">
        <v>25</v>
      </c>
    </row>
    <row r="559" spans="1:8" x14ac:dyDescent="0.25">
      <c r="A559">
        <v>500558</v>
      </c>
      <c r="B559">
        <v>263</v>
      </c>
      <c r="C559">
        <v>128</v>
      </c>
      <c r="D559">
        <v>3293</v>
      </c>
      <c r="E559" s="1">
        <v>45734</v>
      </c>
      <c r="F559" s="1">
        <v>45737</v>
      </c>
      <c r="G559">
        <v>63713</v>
      </c>
      <c r="H559" t="s">
        <v>10</v>
      </c>
    </row>
    <row r="560" spans="1:8" x14ac:dyDescent="0.25">
      <c r="A560">
        <v>500559</v>
      </c>
      <c r="B560">
        <v>48</v>
      </c>
      <c r="C560">
        <v>475</v>
      </c>
      <c r="D560">
        <v>3374</v>
      </c>
      <c r="E560" s="1">
        <v>45680</v>
      </c>
      <c r="F560" s="1">
        <v>45688</v>
      </c>
      <c r="G560">
        <v>89857</v>
      </c>
      <c r="H560" t="s">
        <v>14</v>
      </c>
    </row>
    <row r="561" spans="1:8" x14ac:dyDescent="0.25">
      <c r="A561">
        <v>500560</v>
      </c>
      <c r="B561">
        <v>405</v>
      </c>
      <c r="C561">
        <v>382</v>
      </c>
      <c r="D561">
        <v>3408</v>
      </c>
      <c r="E561" s="1">
        <v>45623</v>
      </c>
      <c r="F561" s="1">
        <v>45625</v>
      </c>
      <c r="G561">
        <v>56630</v>
      </c>
      <c r="H561" t="s">
        <v>10</v>
      </c>
    </row>
    <row r="562" spans="1:8" x14ac:dyDescent="0.25">
      <c r="A562">
        <v>500561</v>
      </c>
      <c r="B562">
        <v>400</v>
      </c>
      <c r="C562">
        <v>912</v>
      </c>
      <c r="D562">
        <v>3074</v>
      </c>
      <c r="E562" s="1">
        <v>45792</v>
      </c>
      <c r="F562" s="1">
        <v>45796</v>
      </c>
      <c r="G562">
        <v>112327</v>
      </c>
      <c r="H562" t="s">
        <v>10</v>
      </c>
    </row>
    <row r="563" spans="1:8" x14ac:dyDescent="0.25">
      <c r="A563">
        <v>500562</v>
      </c>
      <c r="B563">
        <v>201</v>
      </c>
      <c r="C563">
        <v>1020</v>
      </c>
      <c r="D563">
        <v>3216</v>
      </c>
      <c r="E563" s="1">
        <v>45784</v>
      </c>
      <c r="F563" s="1">
        <v>45787</v>
      </c>
      <c r="G563">
        <v>99390</v>
      </c>
      <c r="H563" t="s">
        <v>10</v>
      </c>
    </row>
    <row r="564" spans="1:8" x14ac:dyDescent="0.25">
      <c r="A564">
        <v>500563</v>
      </c>
      <c r="B564">
        <v>118</v>
      </c>
      <c r="C564">
        <v>152</v>
      </c>
      <c r="D564">
        <v>3371</v>
      </c>
      <c r="E564" s="1">
        <v>45776</v>
      </c>
      <c r="F564" s="1">
        <v>45779</v>
      </c>
      <c r="G564">
        <v>76768</v>
      </c>
      <c r="H564" t="s">
        <v>25</v>
      </c>
    </row>
    <row r="565" spans="1:8" x14ac:dyDescent="0.25">
      <c r="A565">
        <v>500564</v>
      </c>
      <c r="B565">
        <v>516</v>
      </c>
      <c r="C565">
        <v>860</v>
      </c>
      <c r="D565">
        <v>3158</v>
      </c>
      <c r="E565" s="1">
        <v>45662</v>
      </c>
      <c r="F565" s="1">
        <v>45665</v>
      </c>
      <c r="G565">
        <v>65678</v>
      </c>
      <c r="H565" t="s">
        <v>10</v>
      </c>
    </row>
    <row r="566" spans="1:8" x14ac:dyDescent="0.25">
      <c r="A566">
        <v>500565</v>
      </c>
      <c r="B566">
        <v>249</v>
      </c>
      <c r="C566">
        <v>169</v>
      </c>
      <c r="D566">
        <v>3013</v>
      </c>
      <c r="E566" s="1">
        <v>45721</v>
      </c>
      <c r="F566" s="1">
        <v>45722</v>
      </c>
      <c r="G566">
        <v>27808</v>
      </c>
      <c r="H566" t="s">
        <v>14</v>
      </c>
    </row>
    <row r="567" spans="1:8" x14ac:dyDescent="0.25">
      <c r="A567">
        <v>500566</v>
      </c>
      <c r="B567">
        <v>265</v>
      </c>
      <c r="C567">
        <v>734</v>
      </c>
      <c r="D567">
        <v>3046</v>
      </c>
      <c r="E567" s="1">
        <v>45701</v>
      </c>
      <c r="F567" s="1">
        <v>45703</v>
      </c>
      <c r="G567">
        <v>33605</v>
      </c>
      <c r="H567" t="s">
        <v>14</v>
      </c>
    </row>
    <row r="568" spans="1:8" x14ac:dyDescent="0.25">
      <c r="A568">
        <v>500567</v>
      </c>
      <c r="B568">
        <v>342</v>
      </c>
      <c r="C568">
        <v>375</v>
      </c>
      <c r="D568">
        <v>3350</v>
      </c>
      <c r="E568" s="1">
        <v>45790</v>
      </c>
      <c r="F568" s="1">
        <v>45794</v>
      </c>
      <c r="G568">
        <v>77730</v>
      </c>
      <c r="H568" t="s">
        <v>14</v>
      </c>
    </row>
    <row r="569" spans="1:8" x14ac:dyDescent="0.25">
      <c r="A569">
        <v>500568</v>
      </c>
      <c r="B569">
        <v>400</v>
      </c>
      <c r="C569">
        <v>659</v>
      </c>
      <c r="D569">
        <v>3273</v>
      </c>
      <c r="E569" s="1">
        <v>45627</v>
      </c>
      <c r="F569" s="1">
        <v>45630</v>
      </c>
      <c r="G569">
        <v>38182</v>
      </c>
      <c r="H569" t="s">
        <v>14</v>
      </c>
    </row>
    <row r="570" spans="1:8" x14ac:dyDescent="0.25">
      <c r="A570">
        <v>500569</v>
      </c>
      <c r="B570">
        <v>169</v>
      </c>
      <c r="C570">
        <v>220</v>
      </c>
      <c r="D570">
        <v>3062</v>
      </c>
      <c r="E570" s="1">
        <v>45639</v>
      </c>
      <c r="F570" s="1">
        <v>45641</v>
      </c>
      <c r="G570">
        <v>32452</v>
      </c>
      <c r="H570" t="s">
        <v>14</v>
      </c>
    </row>
    <row r="571" spans="1:8" x14ac:dyDescent="0.25">
      <c r="A571">
        <v>500570</v>
      </c>
      <c r="B571">
        <v>430</v>
      </c>
      <c r="C571">
        <v>986</v>
      </c>
      <c r="D571">
        <v>3407</v>
      </c>
      <c r="E571" s="1">
        <v>45650</v>
      </c>
      <c r="F571" s="1">
        <v>45651</v>
      </c>
      <c r="G571">
        <v>18688</v>
      </c>
      <c r="H571" t="s">
        <v>14</v>
      </c>
    </row>
    <row r="572" spans="1:8" x14ac:dyDescent="0.25">
      <c r="A572">
        <v>500571</v>
      </c>
      <c r="B572">
        <v>47</v>
      </c>
      <c r="C572">
        <v>362</v>
      </c>
      <c r="D572">
        <v>3314</v>
      </c>
      <c r="E572" s="1">
        <v>45680</v>
      </c>
      <c r="F572" s="1">
        <v>45686</v>
      </c>
      <c r="G572">
        <v>67916</v>
      </c>
      <c r="H572" t="s">
        <v>14</v>
      </c>
    </row>
    <row r="573" spans="1:8" x14ac:dyDescent="0.25">
      <c r="A573">
        <v>500572</v>
      </c>
      <c r="B573">
        <v>156</v>
      </c>
      <c r="C573">
        <v>1540</v>
      </c>
      <c r="D573">
        <v>3055</v>
      </c>
      <c r="E573" s="1">
        <v>45796</v>
      </c>
      <c r="F573" s="1">
        <v>45808</v>
      </c>
      <c r="G573">
        <v>238548</v>
      </c>
      <c r="H573" t="s">
        <v>10</v>
      </c>
    </row>
    <row r="574" spans="1:8" x14ac:dyDescent="0.25">
      <c r="A574">
        <v>500573</v>
      </c>
      <c r="B574">
        <v>443</v>
      </c>
      <c r="C574">
        <v>1115</v>
      </c>
      <c r="D574">
        <v>3488</v>
      </c>
      <c r="E574" s="1">
        <v>45675</v>
      </c>
      <c r="F574" s="1">
        <v>45680</v>
      </c>
      <c r="G574">
        <v>53885</v>
      </c>
      <c r="H574" t="s">
        <v>14</v>
      </c>
    </row>
    <row r="575" spans="1:8" x14ac:dyDescent="0.25">
      <c r="A575">
        <v>500574</v>
      </c>
      <c r="B575">
        <v>485</v>
      </c>
      <c r="C575">
        <v>177</v>
      </c>
      <c r="D575">
        <v>3389</v>
      </c>
      <c r="E575" s="1">
        <v>45787</v>
      </c>
      <c r="F575" s="1">
        <v>45796</v>
      </c>
      <c r="G575">
        <v>121113</v>
      </c>
      <c r="H575" t="s">
        <v>14</v>
      </c>
    </row>
    <row r="576" spans="1:8" x14ac:dyDescent="0.25">
      <c r="A576">
        <v>500575</v>
      </c>
      <c r="B576">
        <v>61</v>
      </c>
      <c r="C576">
        <v>967</v>
      </c>
      <c r="D576">
        <v>3450</v>
      </c>
      <c r="E576" s="1">
        <v>45699</v>
      </c>
      <c r="F576" s="1">
        <v>45701</v>
      </c>
      <c r="G576">
        <v>37062</v>
      </c>
      <c r="H576" t="s">
        <v>14</v>
      </c>
    </row>
    <row r="577" spans="1:8" x14ac:dyDescent="0.25">
      <c r="A577">
        <v>500576</v>
      </c>
      <c r="B577">
        <v>218</v>
      </c>
      <c r="C577">
        <v>1163</v>
      </c>
      <c r="D577">
        <v>3036</v>
      </c>
      <c r="E577" s="1">
        <v>45749</v>
      </c>
      <c r="F577" s="1">
        <v>45751</v>
      </c>
      <c r="G577">
        <v>28480</v>
      </c>
      <c r="H577" t="s">
        <v>25</v>
      </c>
    </row>
    <row r="578" spans="1:8" x14ac:dyDescent="0.25">
      <c r="A578">
        <v>500577</v>
      </c>
      <c r="B578">
        <v>369</v>
      </c>
      <c r="C578">
        <v>697</v>
      </c>
      <c r="D578">
        <v>3028</v>
      </c>
      <c r="E578" s="1">
        <v>45660</v>
      </c>
      <c r="F578" s="1">
        <v>45662</v>
      </c>
      <c r="G578">
        <v>49858</v>
      </c>
      <c r="H578" t="s">
        <v>10</v>
      </c>
    </row>
    <row r="579" spans="1:8" x14ac:dyDescent="0.25">
      <c r="A579">
        <v>500578</v>
      </c>
      <c r="B579">
        <v>249</v>
      </c>
      <c r="C579">
        <v>1191</v>
      </c>
      <c r="D579">
        <v>3151</v>
      </c>
      <c r="E579" s="1">
        <v>45665</v>
      </c>
      <c r="F579" s="1">
        <v>45668</v>
      </c>
      <c r="G579">
        <v>86981</v>
      </c>
      <c r="H579" t="s">
        <v>10</v>
      </c>
    </row>
    <row r="580" spans="1:8" x14ac:dyDescent="0.25">
      <c r="A580">
        <v>500579</v>
      </c>
      <c r="B580">
        <v>29</v>
      </c>
      <c r="C580">
        <v>185</v>
      </c>
      <c r="D580">
        <v>3358</v>
      </c>
      <c r="E580" s="1">
        <v>45680</v>
      </c>
      <c r="F580" s="1">
        <v>45693</v>
      </c>
      <c r="G580">
        <v>175342</v>
      </c>
      <c r="H580" t="s">
        <v>14</v>
      </c>
    </row>
    <row r="581" spans="1:8" x14ac:dyDescent="0.25">
      <c r="A581">
        <v>500580</v>
      </c>
      <c r="B581">
        <v>158</v>
      </c>
      <c r="C581">
        <v>1147</v>
      </c>
      <c r="D581">
        <v>3301</v>
      </c>
      <c r="E581" s="1">
        <v>45757</v>
      </c>
      <c r="F581" s="1">
        <v>45770</v>
      </c>
      <c r="G581">
        <v>107424</v>
      </c>
      <c r="H581" t="s">
        <v>10</v>
      </c>
    </row>
    <row r="582" spans="1:8" x14ac:dyDescent="0.25">
      <c r="A582">
        <v>500581</v>
      </c>
      <c r="B582">
        <v>514</v>
      </c>
      <c r="C582">
        <v>523</v>
      </c>
      <c r="D582">
        <v>3084</v>
      </c>
      <c r="E582" s="1">
        <v>45663</v>
      </c>
      <c r="F582" s="1">
        <v>45665</v>
      </c>
      <c r="G582">
        <v>28211</v>
      </c>
      <c r="H582" t="s">
        <v>10</v>
      </c>
    </row>
    <row r="583" spans="1:8" x14ac:dyDescent="0.25">
      <c r="A583">
        <v>500582</v>
      </c>
      <c r="B583">
        <v>403</v>
      </c>
      <c r="C583">
        <v>1512</v>
      </c>
      <c r="D583">
        <v>3297</v>
      </c>
      <c r="E583" s="1">
        <v>45615</v>
      </c>
      <c r="F583" s="1">
        <v>45630</v>
      </c>
      <c r="G583">
        <v>138574</v>
      </c>
      <c r="H583" t="s">
        <v>10</v>
      </c>
    </row>
    <row r="584" spans="1:8" x14ac:dyDescent="0.25">
      <c r="A584">
        <v>500583</v>
      </c>
      <c r="B584">
        <v>231</v>
      </c>
      <c r="C584">
        <v>397</v>
      </c>
      <c r="D584">
        <v>3115</v>
      </c>
      <c r="E584" s="1">
        <v>45734</v>
      </c>
      <c r="F584" s="1">
        <v>45735</v>
      </c>
      <c r="G584">
        <v>13326</v>
      </c>
      <c r="H584" t="s">
        <v>25</v>
      </c>
    </row>
    <row r="585" spans="1:8" x14ac:dyDescent="0.25">
      <c r="A585">
        <v>500584</v>
      </c>
      <c r="B585">
        <v>122</v>
      </c>
      <c r="C585">
        <v>208</v>
      </c>
      <c r="D585">
        <v>3308</v>
      </c>
      <c r="E585" s="1">
        <v>45731</v>
      </c>
      <c r="F585" s="1">
        <v>45746</v>
      </c>
      <c r="G585">
        <v>200209</v>
      </c>
      <c r="H585" t="s">
        <v>25</v>
      </c>
    </row>
    <row r="586" spans="1:8" x14ac:dyDescent="0.25">
      <c r="A586">
        <v>500585</v>
      </c>
      <c r="B586">
        <v>171</v>
      </c>
      <c r="C586">
        <v>301</v>
      </c>
      <c r="D586">
        <v>3220</v>
      </c>
      <c r="E586" s="1">
        <v>45613</v>
      </c>
      <c r="F586" s="1">
        <v>45615</v>
      </c>
      <c r="G586">
        <v>19010</v>
      </c>
      <c r="H586" t="s">
        <v>10</v>
      </c>
    </row>
    <row r="587" spans="1:8" x14ac:dyDescent="0.25">
      <c r="A587">
        <v>500586</v>
      </c>
      <c r="B587">
        <v>459</v>
      </c>
      <c r="C587">
        <v>314</v>
      </c>
      <c r="D587">
        <v>3013</v>
      </c>
      <c r="E587" s="1">
        <v>45696</v>
      </c>
      <c r="F587" s="1">
        <v>45697</v>
      </c>
      <c r="G587">
        <v>16487</v>
      </c>
      <c r="H587" t="s">
        <v>10</v>
      </c>
    </row>
    <row r="588" spans="1:8" x14ac:dyDescent="0.25">
      <c r="A588">
        <v>500587</v>
      </c>
      <c r="B588">
        <v>530</v>
      </c>
      <c r="C588">
        <v>1283</v>
      </c>
      <c r="D588">
        <v>3381</v>
      </c>
      <c r="E588" s="1">
        <v>45624</v>
      </c>
      <c r="F588" s="1">
        <v>45629</v>
      </c>
      <c r="G588">
        <v>43189</v>
      </c>
      <c r="H588" t="s">
        <v>10</v>
      </c>
    </row>
    <row r="589" spans="1:8" x14ac:dyDescent="0.25">
      <c r="A589">
        <v>500588</v>
      </c>
      <c r="B589">
        <v>247</v>
      </c>
      <c r="C589">
        <v>978</v>
      </c>
      <c r="D589">
        <v>3187</v>
      </c>
      <c r="E589" s="1">
        <v>45657</v>
      </c>
      <c r="F589" s="1">
        <v>45659</v>
      </c>
      <c r="G589">
        <v>33253</v>
      </c>
      <c r="H589" t="s">
        <v>14</v>
      </c>
    </row>
    <row r="590" spans="1:8" x14ac:dyDescent="0.25">
      <c r="A590">
        <v>500589</v>
      </c>
      <c r="B590">
        <v>415</v>
      </c>
      <c r="C590">
        <v>1118</v>
      </c>
      <c r="D590">
        <v>3461</v>
      </c>
      <c r="E590" s="1">
        <v>45613</v>
      </c>
      <c r="F590" s="1">
        <v>45617</v>
      </c>
      <c r="G590">
        <v>78759</v>
      </c>
      <c r="H590" t="s">
        <v>10</v>
      </c>
    </row>
    <row r="591" spans="1:8" x14ac:dyDescent="0.25">
      <c r="A591">
        <v>500590</v>
      </c>
      <c r="B591">
        <v>508</v>
      </c>
      <c r="C591">
        <v>1201</v>
      </c>
      <c r="D591">
        <v>3363</v>
      </c>
      <c r="E591" s="1">
        <v>45796</v>
      </c>
      <c r="F591" s="1">
        <v>45802</v>
      </c>
      <c r="G591">
        <v>48547</v>
      </c>
      <c r="H591" t="s">
        <v>14</v>
      </c>
    </row>
    <row r="592" spans="1:8" x14ac:dyDescent="0.25">
      <c r="A592">
        <v>500591</v>
      </c>
      <c r="B592">
        <v>325</v>
      </c>
      <c r="C592">
        <v>982</v>
      </c>
      <c r="D592">
        <v>3308</v>
      </c>
      <c r="E592" s="1">
        <v>45679</v>
      </c>
      <c r="F592" s="1">
        <v>45687</v>
      </c>
      <c r="G592">
        <v>79704</v>
      </c>
      <c r="H592" t="s">
        <v>10</v>
      </c>
    </row>
    <row r="593" spans="1:8" x14ac:dyDescent="0.25">
      <c r="A593">
        <v>500592</v>
      </c>
      <c r="B593">
        <v>233</v>
      </c>
      <c r="C593">
        <v>1437</v>
      </c>
      <c r="D593">
        <v>3465</v>
      </c>
      <c r="E593" s="1">
        <v>45675</v>
      </c>
      <c r="F593" s="1">
        <v>45677</v>
      </c>
      <c r="G593">
        <v>34706</v>
      </c>
      <c r="H593" t="s">
        <v>14</v>
      </c>
    </row>
    <row r="594" spans="1:8" x14ac:dyDescent="0.25">
      <c r="A594">
        <v>500593</v>
      </c>
      <c r="B594">
        <v>19</v>
      </c>
      <c r="C594">
        <v>834</v>
      </c>
      <c r="D594">
        <v>3049</v>
      </c>
      <c r="E594" s="1">
        <v>45680</v>
      </c>
      <c r="F594" s="1">
        <v>45686</v>
      </c>
      <c r="G594">
        <v>78937</v>
      </c>
      <c r="H594" t="s">
        <v>25</v>
      </c>
    </row>
    <row r="595" spans="1:8" x14ac:dyDescent="0.25">
      <c r="A595">
        <v>500594</v>
      </c>
      <c r="B595">
        <v>229</v>
      </c>
      <c r="C595">
        <v>791</v>
      </c>
      <c r="D595">
        <v>3468</v>
      </c>
      <c r="E595" s="1">
        <v>45747</v>
      </c>
      <c r="F595" s="1">
        <v>45751</v>
      </c>
      <c r="G595">
        <v>55713</v>
      </c>
      <c r="H595" t="s">
        <v>14</v>
      </c>
    </row>
    <row r="596" spans="1:8" x14ac:dyDescent="0.25">
      <c r="A596">
        <v>500595</v>
      </c>
      <c r="B596">
        <v>15</v>
      </c>
      <c r="C596">
        <v>1270</v>
      </c>
      <c r="D596">
        <v>3333</v>
      </c>
      <c r="E596" s="1">
        <v>45646</v>
      </c>
      <c r="F596" s="1">
        <v>45648</v>
      </c>
      <c r="G596">
        <v>67789</v>
      </c>
      <c r="H596" t="s">
        <v>10</v>
      </c>
    </row>
    <row r="597" spans="1:8" x14ac:dyDescent="0.25">
      <c r="A597">
        <v>500596</v>
      </c>
      <c r="B597">
        <v>267</v>
      </c>
      <c r="C597">
        <v>295</v>
      </c>
      <c r="D597">
        <v>3486</v>
      </c>
      <c r="E597" s="1">
        <v>45704</v>
      </c>
      <c r="F597" s="1">
        <v>45705</v>
      </c>
      <c r="G597">
        <v>17088</v>
      </c>
      <c r="H597" t="s">
        <v>10</v>
      </c>
    </row>
    <row r="598" spans="1:8" x14ac:dyDescent="0.25">
      <c r="A598">
        <v>500597</v>
      </c>
      <c r="B598">
        <v>265</v>
      </c>
      <c r="C598">
        <v>896</v>
      </c>
      <c r="D598">
        <v>3203</v>
      </c>
      <c r="E598" s="1">
        <v>45688</v>
      </c>
      <c r="F598" s="1">
        <v>45690</v>
      </c>
      <c r="G598">
        <v>38246</v>
      </c>
      <c r="H598" t="s">
        <v>10</v>
      </c>
    </row>
    <row r="599" spans="1:8" x14ac:dyDescent="0.25">
      <c r="A599">
        <v>500598</v>
      </c>
      <c r="B599">
        <v>516</v>
      </c>
      <c r="C599">
        <v>1584</v>
      </c>
      <c r="D599">
        <v>3442</v>
      </c>
      <c r="E599" s="1">
        <v>45782</v>
      </c>
      <c r="F599" s="1">
        <v>45797</v>
      </c>
      <c r="G599">
        <v>134757</v>
      </c>
      <c r="H599" t="s">
        <v>10</v>
      </c>
    </row>
    <row r="600" spans="1:8" x14ac:dyDescent="0.25">
      <c r="A600">
        <v>500599</v>
      </c>
      <c r="B600">
        <v>64</v>
      </c>
      <c r="C600">
        <v>130</v>
      </c>
      <c r="D600">
        <v>3415</v>
      </c>
      <c r="E600" s="1">
        <v>45644</v>
      </c>
      <c r="F600" s="1">
        <v>45646</v>
      </c>
      <c r="G600">
        <v>25327</v>
      </c>
      <c r="H600" t="s">
        <v>25</v>
      </c>
    </row>
    <row r="601" spans="1:8" x14ac:dyDescent="0.25">
      <c r="A601">
        <v>500600</v>
      </c>
      <c r="B601">
        <v>232</v>
      </c>
      <c r="C601">
        <v>1100</v>
      </c>
      <c r="D601">
        <v>3139</v>
      </c>
      <c r="E601" s="1">
        <v>45794</v>
      </c>
      <c r="F601" s="1">
        <v>45808</v>
      </c>
      <c r="G601">
        <v>171620</v>
      </c>
      <c r="H601" t="s">
        <v>10</v>
      </c>
    </row>
    <row r="602" spans="1:8" x14ac:dyDescent="0.25">
      <c r="A602">
        <v>500601</v>
      </c>
      <c r="B602">
        <v>78</v>
      </c>
      <c r="C602">
        <v>818</v>
      </c>
      <c r="D602">
        <v>3358</v>
      </c>
      <c r="E602" s="1">
        <v>45773</v>
      </c>
      <c r="F602" s="1">
        <v>45775</v>
      </c>
      <c r="G602">
        <v>26608</v>
      </c>
      <c r="H602" t="s">
        <v>14</v>
      </c>
    </row>
    <row r="603" spans="1:8" x14ac:dyDescent="0.25">
      <c r="A603">
        <v>500602</v>
      </c>
      <c r="B603">
        <v>529</v>
      </c>
      <c r="C603">
        <v>765</v>
      </c>
      <c r="D603">
        <v>3223</v>
      </c>
      <c r="E603" s="1">
        <v>45748</v>
      </c>
      <c r="F603" s="1">
        <v>45750</v>
      </c>
      <c r="G603">
        <v>39108</v>
      </c>
      <c r="H603" t="s">
        <v>25</v>
      </c>
    </row>
    <row r="604" spans="1:8" x14ac:dyDescent="0.25">
      <c r="A604">
        <v>500603</v>
      </c>
      <c r="B604">
        <v>204</v>
      </c>
      <c r="C604">
        <v>1407</v>
      </c>
      <c r="D604">
        <v>3307</v>
      </c>
      <c r="E604" s="1">
        <v>45777</v>
      </c>
      <c r="F604" s="1">
        <v>45783</v>
      </c>
      <c r="G604">
        <v>108747</v>
      </c>
      <c r="H604" t="s">
        <v>10</v>
      </c>
    </row>
    <row r="605" spans="1:8" x14ac:dyDescent="0.25">
      <c r="A605">
        <v>500604</v>
      </c>
      <c r="B605">
        <v>249</v>
      </c>
      <c r="C605">
        <v>997</v>
      </c>
      <c r="D605">
        <v>3324</v>
      </c>
      <c r="E605" s="1">
        <v>45638</v>
      </c>
      <c r="F605" s="1">
        <v>45643</v>
      </c>
      <c r="G605">
        <v>68385</v>
      </c>
      <c r="H605" t="s">
        <v>10</v>
      </c>
    </row>
    <row r="606" spans="1:8" x14ac:dyDescent="0.25">
      <c r="A606">
        <v>500605</v>
      </c>
      <c r="B606">
        <v>416</v>
      </c>
      <c r="C606">
        <v>432</v>
      </c>
      <c r="D606">
        <v>3179</v>
      </c>
      <c r="E606" s="1">
        <v>45771</v>
      </c>
      <c r="F606" s="1">
        <v>45775</v>
      </c>
      <c r="G606">
        <v>64576</v>
      </c>
      <c r="H606" t="s">
        <v>10</v>
      </c>
    </row>
    <row r="607" spans="1:8" x14ac:dyDescent="0.25">
      <c r="A607">
        <v>500606</v>
      </c>
      <c r="B607">
        <v>217</v>
      </c>
      <c r="C607">
        <v>1412</v>
      </c>
      <c r="D607">
        <v>3387</v>
      </c>
      <c r="E607" s="1">
        <v>45785</v>
      </c>
      <c r="F607" s="1">
        <v>45787</v>
      </c>
      <c r="G607">
        <v>28844</v>
      </c>
      <c r="H607" t="s">
        <v>25</v>
      </c>
    </row>
    <row r="608" spans="1:8" x14ac:dyDescent="0.25">
      <c r="A608">
        <v>500607</v>
      </c>
      <c r="B608">
        <v>234</v>
      </c>
      <c r="C608">
        <v>1566</v>
      </c>
      <c r="D608">
        <v>3101</v>
      </c>
      <c r="E608" s="1">
        <v>45715</v>
      </c>
      <c r="F608" s="1">
        <v>45719</v>
      </c>
      <c r="G608">
        <v>59966</v>
      </c>
      <c r="H608" t="s">
        <v>14</v>
      </c>
    </row>
    <row r="609" spans="1:8" x14ac:dyDescent="0.25">
      <c r="A609">
        <v>500608</v>
      </c>
      <c r="B609">
        <v>89</v>
      </c>
      <c r="C609">
        <v>330</v>
      </c>
      <c r="D609">
        <v>3063</v>
      </c>
      <c r="E609" s="1">
        <v>45779</v>
      </c>
      <c r="F609" s="1">
        <v>45782</v>
      </c>
      <c r="G609">
        <v>37890</v>
      </c>
      <c r="H609" t="s">
        <v>14</v>
      </c>
    </row>
    <row r="610" spans="1:8" x14ac:dyDescent="0.25">
      <c r="A610">
        <v>500609</v>
      </c>
      <c r="B610">
        <v>402</v>
      </c>
      <c r="C610">
        <v>119</v>
      </c>
      <c r="D610">
        <v>3366</v>
      </c>
      <c r="E610" s="1">
        <v>45685</v>
      </c>
      <c r="F610" s="1">
        <v>45687</v>
      </c>
      <c r="G610">
        <v>33134</v>
      </c>
      <c r="H610" t="s">
        <v>14</v>
      </c>
    </row>
    <row r="611" spans="1:8" x14ac:dyDescent="0.25">
      <c r="A611">
        <v>500610</v>
      </c>
      <c r="B611">
        <v>516</v>
      </c>
      <c r="C611">
        <v>1123</v>
      </c>
      <c r="D611">
        <v>3230</v>
      </c>
      <c r="E611" s="1">
        <v>45617</v>
      </c>
      <c r="F611" s="1">
        <v>45623</v>
      </c>
      <c r="G611">
        <v>79539</v>
      </c>
      <c r="H611" t="s">
        <v>14</v>
      </c>
    </row>
    <row r="612" spans="1:8" x14ac:dyDescent="0.25">
      <c r="A612">
        <v>500611</v>
      </c>
      <c r="B612">
        <v>159</v>
      </c>
      <c r="C612">
        <v>532</v>
      </c>
      <c r="D612">
        <v>3081</v>
      </c>
      <c r="E612" s="1">
        <v>45597</v>
      </c>
      <c r="F612" s="1">
        <v>45599</v>
      </c>
      <c r="G612">
        <v>36954</v>
      </c>
      <c r="H612" t="s">
        <v>14</v>
      </c>
    </row>
    <row r="613" spans="1:8" x14ac:dyDescent="0.25">
      <c r="A613">
        <v>500612</v>
      </c>
      <c r="B613">
        <v>445</v>
      </c>
      <c r="C613">
        <v>352</v>
      </c>
      <c r="D613">
        <v>3272</v>
      </c>
      <c r="E613" s="1">
        <v>45741</v>
      </c>
      <c r="F613" s="1">
        <v>45742</v>
      </c>
      <c r="G613">
        <v>15635</v>
      </c>
      <c r="H613" t="s">
        <v>10</v>
      </c>
    </row>
    <row r="614" spans="1:8" x14ac:dyDescent="0.25">
      <c r="A614">
        <v>500613</v>
      </c>
      <c r="B614">
        <v>216</v>
      </c>
      <c r="C614">
        <v>1029</v>
      </c>
      <c r="D614">
        <v>3270</v>
      </c>
      <c r="E614" s="1">
        <v>45612</v>
      </c>
      <c r="F614" s="1">
        <v>45616</v>
      </c>
      <c r="G614">
        <v>109352</v>
      </c>
      <c r="H614" t="s">
        <v>10</v>
      </c>
    </row>
    <row r="615" spans="1:8" x14ac:dyDescent="0.25">
      <c r="A615">
        <v>500614</v>
      </c>
      <c r="B615">
        <v>420</v>
      </c>
      <c r="C615">
        <v>1095</v>
      </c>
      <c r="D615">
        <v>3444</v>
      </c>
      <c r="E615" s="1">
        <v>45799</v>
      </c>
      <c r="F615" s="1">
        <v>45803</v>
      </c>
      <c r="G615">
        <v>56156</v>
      </c>
      <c r="H615" t="s">
        <v>10</v>
      </c>
    </row>
    <row r="616" spans="1:8" x14ac:dyDescent="0.25">
      <c r="A616">
        <v>500615</v>
      </c>
      <c r="B616">
        <v>445</v>
      </c>
      <c r="C616">
        <v>1583</v>
      </c>
      <c r="D616">
        <v>3040</v>
      </c>
      <c r="E616" s="1">
        <v>45693</v>
      </c>
      <c r="F616" s="1">
        <v>45696</v>
      </c>
      <c r="G616">
        <v>70867</v>
      </c>
      <c r="H616" t="s">
        <v>10</v>
      </c>
    </row>
    <row r="617" spans="1:8" x14ac:dyDescent="0.25">
      <c r="A617">
        <v>500616</v>
      </c>
      <c r="B617">
        <v>417</v>
      </c>
      <c r="C617">
        <v>977</v>
      </c>
      <c r="D617">
        <v>3203</v>
      </c>
      <c r="E617" s="1">
        <v>45725</v>
      </c>
      <c r="F617" s="1">
        <v>45728</v>
      </c>
      <c r="G617">
        <v>59035</v>
      </c>
      <c r="H617" t="s">
        <v>10</v>
      </c>
    </row>
    <row r="618" spans="1:8" x14ac:dyDescent="0.25">
      <c r="A618">
        <v>500617</v>
      </c>
      <c r="B618">
        <v>230</v>
      </c>
      <c r="C618">
        <v>155</v>
      </c>
      <c r="D618">
        <v>3440</v>
      </c>
      <c r="E618" s="1">
        <v>45780</v>
      </c>
      <c r="F618" s="1">
        <v>45782</v>
      </c>
      <c r="G618">
        <v>30912</v>
      </c>
      <c r="H618" t="s">
        <v>14</v>
      </c>
    </row>
    <row r="619" spans="1:8" x14ac:dyDescent="0.25">
      <c r="A619">
        <v>500618</v>
      </c>
      <c r="B619">
        <v>511</v>
      </c>
      <c r="C619">
        <v>539</v>
      </c>
      <c r="D619">
        <v>3400</v>
      </c>
      <c r="E619" s="1">
        <v>45631</v>
      </c>
      <c r="F619" s="1">
        <v>45634</v>
      </c>
      <c r="G619">
        <v>51179</v>
      </c>
      <c r="H619" t="s">
        <v>10</v>
      </c>
    </row>
    <row r="620" spans="1:8" x14ac:dyDescent="0.25">
      <c r="A620">
        <v>500619</v>
      </c>
      <c r="B620">
        <v>266</v>
      </c>
      <c r="C620">
        <v>682</v>
      </c>
      <c r="D620">
        <v>3261</v>
      </c>
      <c r="E620" s="1">
        <v>45707</v>
      </c>
      <c r="F620" s="1">
        <v>45717</v>
      </c>
      <c r="G620">
        <v>107912</v>
      </c>
      <c r="H620" t="s">
        <v>10</v>
      </c>
    </row>
    <row r="621" spans="1:8" x14ac:dyDescent="0.25">
      <c r="A621">
        <v>500620</v>
      </c>
      <c r="B621">
        <v>249</v>
      </c>
      <c r="C621">
        <v>318</v>
      </c>
      <c r="D621">
        <v>3410</v>
      </c>
      <c r="E621" s="1">
        <v>45753</v>
      </c>
      <c r="F621" s="1">
        <v>45755</v>
      </c>
      <c r="G621">
        <v>37129</v>
      </c>
      <c r="H621" t="s">
        <v>14</v>
      </c>
    </row>
    <row r="622" spans="1:8" x14ac:dyDescent="0.25">
      <c r="A622">
        <v>500621</v>
      </c>
      <c r="B622">
        <v>403</v>
      </c>
      <c r="C622">
        <v>863</v>
      </c>
      <c r="D622">
        <v>3397</v>
      </c>
      <c r="E622" s="1">
        <v>45641</v>
      </c>
      <c r="F622" s="1">
        <v>45642</v>
      </c>
      <c r="G622">
        <v>20667</v>
      </c>
      <c r="H622" t="s">
        <v>10</v>
      </c>
    </row>
    <row r="623" spans="1:8" x14ac:dyDescent="0.25">
      <c r="A623">
        <v>500622</v>
      </c>
      <c r="B623">
        <v>92</v>
      </c>
      <c r="C623">
        <v>690</v>
      </c>
      <c r="D623">
        <v>3057</v>
      </c>
      <c r="E623" s="1">
        <v>45772</v>
      </c>
      <c r="F623" s="1">
        <v>45778</v>
      </c>
      <c r="G623">
        <v>80750</v>
      </c>
      <c r="H623" t="s">
        <v>25</v>
      </c>
    </row>
    <row r="624" spans="1:8" x14ac:dyDescent="0.25">
      <c r="A624">
        <v>500623</v>
      </c>
      <c r="B624">
        <v>470</v>
      </c>
      <c r="C624">
        <v>833</v>
      </c>
      <c r="D624">
        <v>3062</v>
      </c>
      <c r="E624" s="1">
        <v>45611</v>
      </c>
      <c r="F624" s="1">
        <v>45612</v>
      </c>
      <c r="G624">
        <v>28908</v>
      </c>
      <c r="H624" t="s">
        <v>10</v>
      </c>
    </row>
    <row r="625" spans="1:8" x14ac:dyDescent="0.25">
      <c r="A625">
        <v>500624</v>
      </c>
      <c r="B625">
        <v>159</v>
      </c>
      <c r="C625">
        <v>439</v>
      </c>
      <c r="D625">
        <v>3035</v>
      </c>
      <c r="E625" s="1">
        <v>45640</v>
      </c>
      <c r="F625" s="1">
        <v>45642</v>
      </c>
      <c r="G625">
        <v>34853</v>
      </c>
      <c r="H625" t="s">
        <v>25</v>
      </c>
    </row>
    <row r="626" spans="1:8" x14ac:dyDescent="0.25">
      <c r="A626">
        <v>500625</v>
      </c>
      <c r="B626">
        <v>389</v>
      </c>
      <c r="C626">
        <v>1017</v>
      </c>
      <c r="D626">
        <v>3226</v>
      </c>
      <c r="E626" s="1">
        <v>45787</v>
      </c>
      <c r="F626" s="1">
        <v>45790</v>
      </c>
      <c r="G626">
        <v>32905</v>
      </c>
      <c r="H626" t="s">
        <v>10</v>
      </c>
    </row>
    <row r="627" spans="1:8" x14ac:dyDescent="0.25">
      <c r="A627">
        <v>500626</v>
      </c>
      <c r="B627">
        <v>484</v>
      </c>
      <c r="C627">
        <v>388</v>
      </c>
      <c r="D627">
        <v>3127</v>
      </c>
      <c r="E627" s="1">
        <v>45735</v>
      </c>
      <c r="F627" s="1">
        <v>45736</v>
      </c>
      <c r="G627">
        <v>15338</v>
      </c>
      <c r="H627" t="s">
        <v>14</v>
      </c>
    </row>
    <row r="628" spans="1:8" x14ac:dyDescent="0.25">
      <c r="A628">
        <v>500627</v>
      </c>
      <c r="B628">
        <v>200</v>
      </c>
      <c r="C628">
        <v>687</v>
      </c>
      <c r="D628">
        <v>3418</v>
      </c>
      <c r="E628" s="1">
        <v>45717</v>
      </c>
      <c r="F628" s="1">
        <v>45719</v>
      </c>
      <c r="G628">
        <v>28885</v>
      </c>
      <c r="H628" t="s">
        <v>10</v>
      </c>
    </row>
    <row r="629" spans="1:8" x14ac:dyDescent="0.25">
      <c r="A629">
        <v>500628</v>
      </c>
      <c r="B629">
        <v>329</v>
      </c>
      <c r="C629">
        <v>1585</v>
      </c>
      <c r="D629">
        <v>3170</v>
      </c>
      <c r="E629" s="1">
        <v>45725</v>
      </c>
      <c r="F629" s="1">
        <v>45735</v>
      </c>
      <c r="G629">
        <v>138712</v>
      </c>
      <c r="H629" t="s">
        <v>14</v>
      </c>
    </row>
    <row r="630" spans="1:8" x14ac:dyDescent="0.25">
      <c r="A630">
        <v>500629</v>
      </c>
      <c r="B630">
        <v>445</v>
      </c>
      <c r="C630">
        <v>1431</v>
      </c>
      <c r="D630">
        <v>3054</v>
      </c>
      <c r="E630" s="1">
        <v>45776</v>
      </c>
      <c r="F630" s="1">
        <v>45778</v>
      </c>
      <c r="G630">
        <v>65210</v>
      </c>
      <c r="H630" t="s">
        <v>10</v>
      </c>
    </row>
    <row r="631" spans="1:8" x14ac:dyDescent="0.25">
      <c r="A631">
        <v>500630</v>
      </c>
      <c r="B631">
        <v>402</v>
      </c>
      <c r="C631">
        <v>490</v>
      </c>
      <c r="D631">
        <v>3421</v>
      </c>
      <c r="E631" s="1">
        <v>45653</v>
      </c>
      <c r="F631" s="1">
        <v>45655</v>
      </c>
      <c r="G631">
        <v>29865</v>
      </c>
      <c r="H631" t="s">
        <v>10</v>
      </c>
    </row>
    <row r="632" spans="1:8" x14ac:dyDescent="0.25">
      <c r="A632">
        <v>500631</v>
      </c>
      <c r="B632">
        <v>508</v>
      </c>
      <c r="C632">
        <v>1154</v>
      </c>
      <c r="D632">
        <v>3193</v>
      </c>
      <c r="E632" s="1">
        <v>45660</v>
      </c>
      <c r="F632" s="1">
        <v>45663</v>
      </c>
      <c r="G632">
        <v>63375</v>
      </c>
      <c r="H632" t="s">
        <v>14</v>
      </c>
    </row>
    <row r="633" spans="1:8" x14ac:dyDescent="0.25">
      <c r="A633">
        <v>500632</v>
      </c>
      <c r="B633">
        <v>13</v>
      </c>
      <c r="C633">
        <v>1274</v>
      </c>
      <c r="D633">
        <v>3497</v>
      </c>
      <c r="E633" s="1">
        <v>45800</v>
      </c>
      <c r="F633" s="1">
        <v>45808</v>
      </c>
      <c r="G633">
        <v>90538</v>
      </c>
      <c r="H633" t="s">
        <v>10</v>
      </c>
    </row>
    <row r="634" spans="1:8" x14ac:dyDescent="0.25">
      <c r="A634">
        <v>500633</v>
      </c>
      <c r="B634">
        <v>229</v>
      </c>
      <c r="C634">
        <v>1478</v>
      </c>
      <c r="D634">
        <v>3016</v>
      </c>
      <c r="E634" s="1">
        <v>45789</v>
      </c>
      <c r="F634" s="1">
        <v>45792</v>
      </c>
      <c r="G634">
        <v>39070</v>
      </c>
      <c r="H634" t="s">
        <v>10</v>
      </c>
    </row>
    <row r="635" spans="1:8" x14ac:dyDescent="0.25">
      <c r="A635">
        <v>500634</v>
      </c>
      <c r="B635">
        <v>171</v>
      </c>
      <c r="C635">
        <v>1242</v>
      </c>
      <c r="D635">
        <v>3307</v>
      </c>
      <c r="E635" s="1">
        <v>45672</v>
      </c>
      <c r="F635" s="1">
        <v>45686</v>
      </c>
      <c r="G635">
        <v>181421</v>
      </c>
      <c r="H635" t="s">
        <v>14</v>
      </c>
    </row>
    <row r="636" spans="1:8" x14ac:dyDescent="0.25">
      <c r="A636">
        <v>500635</v>
      </c>
      <c r="B636">
        <v>430</v>
      </c>
      <c r="C636">
        <v>1526</v>
      </c>
      <c r="D636">
        <v>3250</v>
      </c>
      <c r="E636" s="1">
        <v>45776</v>
      </c>
      <c r="F636" s="1">
        <v>45780</v>
      </c>
      <c r="G636">
        <v>68084</v>
      </c>
      <c r="H636" t="s">
        <v>10</v>
      </c>
    </row>
    <row r="637" spans="1:8" x14ac:dyDescent="0.25">
      <c r="A637">
        <v>500636</v>
      </c>
      <c r="B637">
        <v>247</v>
      </c>
      <c r="C637">
        <v>567</v>
      </c>
      <c r="D637">
        <v>3110</v>
      </c>
      <c r="E637" s="1">
        <v>45598</v>
      </c>
      <c r="F637" s="1">
        <v>45601</v>
      </c>
      <c r="G637">
        <v>47447</v>
      </c>
      <c r="H637" t="s">
        <v>14</v>
      </c>
    </row>
    <row r="638" spans="1:8" x14ac:dyDescent="0.25">
      <c r="A638">
        <v>500637</v>
      </c>
      <c r="B638">
        <v>89</v>
      </c>
      <c r="C638">
        <v>351</v>
      </c>
      <c r="D638">
        <v>3478</v>
      </c>
      <c r="E638" s="1">
        <v>45730</v>
      </c>
      <c r="F638" s="1">
        <v>45736</v>
      </c>
      <c r="G638">
        <v>156638</v>
      </c>
      <c r="H638" t="s">
        <v>10</v>
      </c>
    </row>
    <row r="639" spans="1:8" x14ac:dyDescent="0.25">
      <c r="A639">
        <v>500638</v>
      </c>
      <c r="B639">
        <v>218</v>
      </c>
      <c r="C639">
        <v>857</v>
      </c>
      <c r="D639">
        <v>3320</v>
      </c>
      <c r="E639" s="1">
        <v>45614</v>
      </c>
      <c r="F639" s="1">
        <v>45622</v>
      </c>
      <c r="G639">
        <v>107630</v>
      </c>
      <c r="H639" t="s">
        <v>25</v>
      </c>
    </row>
    <row r="640" spans="1:8" x14ac:dyDescent="0.25">
      <c r="A640">
        <v>500639</v>
      </c>
      <c r="B640">
        <v>94</v>
      </c>
      <c r="C640">
        <v>1427</v>
      </c>
      <c r="D640">
        <v>3149</v>
      </c>
      <c r="E640" s="1">
        <v>45664</v>
      </c>
      <c r="F640" s="1">
        <v>45665</v>
      </c>
      <c r="G640">
        <v>27159</v>
      </c>
      <c r="H640" t="s">
        <v>14</v>
      </c>
    </row>
    <row r="641" spans="1:8" x14ac:dyDescent="0.25">
      <c r="A641">
        <v>500640</v>
      </c>
      <c r="B641">
        <v>231</v>
      </c>
      <c r="C641">
        <v>1234</v>
      </c>
      <c r="D641">
        <v>3024</v>
      </c>
      <c r="E641" s="1">
        <v>45662</v>
      </c>
      <c r="F641" s="1">
        <v>45665</v>
      </c>
      <c r="G641">
        <v>53822</v>
      </c>
      <c r="H641" t="s">
        <v>10</v>
      </c>
    </row>
    <row r="642" spans="1:8" x14ac:dyDescent="0.25">
      <c r="A642">
        <v>500641</v>
      </c>
      <c r="B642">
        <v>46</v>
      </c>
      <c r="C642">
        <v>451</v>
      </c>
      <c r="D642">
        <v>3197</v>
      </c>
      <c r="E642" s="1">
        <v>45739</v>
      </c>
      <c r="F642" s="1">
        <v>45747</v>
      </c>
      <c r="G642">
        <v>131563</v>
      </c>
      <c r="H642" t="s">
        <v>10</v>
      </c>
    </row>
    <row r="643" spans="1:8" x14ac:dyDescent="0.25">
      <c r="A643">
        <v>500642</v>
      </c>
      <c r="B643">
        <v>508</v>
      </c>
      <c r="C643">
        <v>568</v>
      </c>
      <c r="D643">
        <v>3113</v>
      </c>
      <c r="E643" s="1">
        <v>45607</v>
      </c>
      <c r="F643" s="1">
        <v>45609</v>
      </c>
      <c r="G643">
        <v>24932</v>
      </c>
      <c r="H643" t="s">
        <v>14</v>
      </c>
    </row>
    <row r="644" spans="1:8" x14ac:dyDescent="0.25">
      <c r="A644">
        <v>500643</v>
      </c>
      <c r="B644">
        <v>217</v>
      </c>
      <c r="C644">
        <v>1366</v>
      </c>
      <c r="D644">
        <v>3370</v>
      </c>
      <c r="E644" s="1">
        <v>45722</v>
      </c>
      <c r="F644" s="1">
        <v>45736</v>
      </c>
      <c r="G644">
        <v>184572</v>
      </c>
      <c r="H644" t="s">
        <v>10</v>
      </c>
    </row>
    <row r="645" spans="1:8" x14ac:dyDescent="0.25">
      <c r="A645">
        <v>500644</v>
      </c>
      <c r="B645">
        <v>484</v>
      </c>
      <c r="C645">
        <v>548</v>
      </c>
      <c r="D645">
        <v>3139</v>
      </c>
      <c r="E645" s="1">
        <v>45709</v>
      </c>
      <c r="F645" s="1">
        <v>45715</v>
      </c>
      <c r="G645">
        <v>76701</v>
      </c>
      <c r="H645" t="s">
        <v>25</v>
      </c>
    </row>
    <row r="646" spans="1:8" x14ac:dyDescent="0.25">
      <c r="A646">
        <v>500645</v>
      </c>
      <c r="B646">
        <v>418</v>
      </c>
      <c r="C646">
        <v>466</v>
      </c>
      <c r="D646">
        <v>3105</v>
      </c>
      <c r="E646" s="1">
        <v>45729</v>
      </c>
      <c r="F646" s="1">
        <v>45733</v>
      </c>
      <c r="G646">
        <v>58262</v>
      </c>
      <c r="H646" t="s">
        <v>14</v>
      </c>
    </row>
    <row r="647" spans="1:8" x14ac:dyDescent="0.25">
      <c r="A647">
        <v>500646</v>
      </c>
      <c r="B647">
        <v>61</v>
      </c>
      <c r="C647">
        <v>391</v>
      </c>
      <c r="D647">
        <v>3409</v>
      </c>
      <c r="E647" s="1">
        <v>45710</v>
      </c>
      <c r="F647" s="1">
        <v>45711</v>
      </c>
      <c r="G647">
        <v>23448</v>
      </c>
      <c r="H647" t="s">
        <v>10</v>
      </c>
    </row>
    <row r="648" spans="1:8" x14ac:dyDescent="0.25">
      <c r="A648">
        <v>500647</v>
      </c>
      <c r="B648">
        <v>187</v>
      </c>
      <c r="C648">
        <v>546</v>
      </c>
      <c r="D648">
        <v>3239</v>
      </c>
      <c r="E648" s="1">
        <v>45764</v>
      </c>
      <c r="F648" s="1">
        <v>45766</v>
      </c>
      <c r="G648">
        <v>28431</v>
      </c>
      <c r="H648" t="s">
        <v>10</v>
      </c>
    </row>
    <row r="649" spans="1:8" x14ac:dyDescent="0.25">
      <c r="A649">
        <v>500648</v>
      </c>
      <c r="B649">
        <v>309</v>
      </c>
      <c r="C649">
        <v>877</v>
      </c>
      <c r="D649">
        <v>3431</v>
      </c>
      <c r="E649" s="1">
        <v>45715</v>
      </c>
      <c r="F649" s="1">
        <v>45726</v>
      </c>
      <c r="G649">
        <v>174629</v>
      </c>
      <c r="H649" t="s">
        <v>14</v>
      </c>
    </row>
    <row r="650" spans="1:8" x14ac:dyDescent="0.25">
      <c r="A650">
        <v>500649</v>
      </c>
      <c r="B650">
        <v>267</v>
      </c>
      <c r="C650">
        <v>1237</v>
      </c>
      <c r="D650">
        <v>3068</v>
      </c>
      <c r="E650" s="1">
        <v>45769</v>
      </c>
      <c r="F650" s="1">
        <v>45771</v>
      </c>
      <c r="G650">
        <v>24994</v>
      </c>
      <c r="H650" t="s">
        <v>14</v>
      </c>
    </row>
    <row r="651" spans="1:8" x14ac:dyDescent="0.25">
      <c r="A651">
        <v>500650</v>
      </c>
      <c r="B651">
        <v>313</v>
      </c>
      <c r="C651">
        <v>581</v>
      </c>
      <c r="D651">
        <v>3457</v>
      </c>
      <c r="E651" s="1">
        <v>45609</v>
      </c>
      <c r="F651" s="1">
        <v>45610</v>
      </c>
      <c r="G651">
        <v>18209</v>
      </c>
      <c r="H651" t="s">
        <v>14</v>
      </c>
    </row>
    <row r="652" spans="1:8" x14ac:dyDescent="0.25">
      <c r="A652">
        <v>500651</v>
      </c>
      <c r="B652">
        <v>386</v>
      </c>
      <c r="C652">
        <v>431</v>
      </c>
      <c r="D652">
        <v>3460</v>
      </c>
      <c r="E652" s="1">
        <v>45705</v>
      </c>
      <c r="F652" s="1">
        <v>45707</v>
      </c>
      <c r="G652">
        <v>30602</v>
      </c>
      <c r="H652" t="s">
        <v>14</v>
      </c>
    </row>
    <row r="653" spans="1:8" x14ac:dyDescent="0.25">
      <c r="A653">
        <v>500652</v>
      </c>
      <c r="B653">
        <v>216</v>
      </c>
      <c r="C653">
        <v>1006</v>
      </c>
      <c r="D653">
        <v>3499</v>
      </c>
      <c r="E653" s="1">
        <v>45786</v>
      </c>
      <c r="F653" s="1">
        <v>45788</v>
      </c>
      <c r="G653">
        <v>25245</v>
      </c>
      <c r="H653" t="s">
        <v>10</v>
      </c>
    </row>
    <row r="654" spans="1:8" x14ac:dyDescent="0.25">
      <c r="A654">
        <v>500653</v>
      </c>
      <c r="B654">
        <v>265</v>
      </c>
      <c r="C654">
        <v>1392</v>
      </c>
      <c r="D654">
        <v>3216</v>
      </c>
      <c r="E654" s="1">
        <v>45804</v>
      </c>
      <c r="F654" s="1">
        <v>45808</v>
      </c>
      <c r="G654">
        <v>47568</v>
      </c>
      <c r="H654" t="s">
        <v>25</v>
      </c>
    </row>
    <row r="655" spans="1:8" x14ac:dyDescent="0.25">
      <c r="A655">
        <v>500654</v>
      </c>
      <c r="B655">
        <v>171</v>
      </c>
      <c r="C655">
        <v>1296</v>
      </c>
      <c r="D655">
        <v>3354</v>
      </c>
      <c r="E655" s="1">
        <v>45737</v>
      </c>
      <c r="F655" s="1">
        <v>45744</v>
      </c>
      <c r="G655">
        <v>99494</v>
      </c>
      <c r="H655" t="s">
        <v>10</v>
      </c>
    </row>
    <row r="656" spans="1:8" x14ac:dyDescent="0.25">
      <c r="A656">
        <v>500655</v>
      </c>
      <c r="B656">
        <v>457</v>
      </c>
      <c r="C656">
        <v>1208</v>
      </c>
      <c r="D656">
        <v>3440</v>
      </c>
      <c r="E656" s="1">
        <v>45647</v>
      </c>
      <c r="F656" s="1">
        <v>45649</v>
      </c>
      <c r="G656">
        <v>39333</v>
      </c>
      <c r="H656" t="s">
        <v>10</v>
      </c>
    </row>
    <row r="657" spans="1:8" x14ac:dyDescent="0.25">
      <c r="A657">
        <v>500656</v>
      </c>
      <c r="B657">
        <v>431</v>
      </c>
      <c r="C657">
        <v>1368</v>
      </c>
      <c r="D657">
        <v>3178</v>
      </c>
      <c r="E657" s="1">
        <v>45753</v>
      </c>
      <c r="F657" s="1">
        <v>45759</v>
      </c>
      <c r="G657">
        <v>142254</v>
      </c>
      <c r="H657" t="s">
        <v>10</v>
      </c>
    </row>
    <row r="658" spans="1:8" x14ac:dyDescent="0.25">
      <c r="A658">
        <v>500657</v>
      </c>
      <c r="B658">
        <v>93</v>
      </c>
      <c r="C658">
        <v>1328</v>
      </c>
      <c r="D658">
        <v>3118</v>
      </c>
      <c r="E658" s="1">
        <v>45803</v>
      </c>
      <c r="F658" s="1">
        <v>45807</v>
      </c>
      <c r="G658">
        <v>73068</v>
      </c>
      <c r="H658" t="s">
        <v>14</v>
      </c>
    </row>
    <row r="659" spans="1:8" x14ac:dyDescent="0.25">
      <c r="A659">
        <v>500658</v>
      </c>
      <c r="B659">
        <v>506</v>
      </c>
      <c r="C659">
        <v>1054</v>
      </c>
      <c r="D659">
        <v>3300</v>
      </c>
      <c r="E659" s="1">
        <v>45641</v>
      </c>
      <c r="F659" s="1">
        <v>45642</v>
      </c>
      <c r="G659">
        <v>31378</v>
      </c>
      <c r="H659" t="s">
        <v>10</v>
      </c>
    </row>
    <row r="660" spans="1:8" x14ac:dyDescent="0.25">
      <c r="A660">
        <v>500659</v>
      </c>
      <c r="B660">
        <v>415</v>
      </c>
      <c r="C660">
        <v>762</v>
      </c>
      <c r="D660">
        <v>3299</v>
      </c>
      <c r="E660" s="1">
        <v>45739</v>
      </c>
      <c r="F660" s="1">
        <v>45746</v>
      </c>
      <c r="G660">
        <v>84691</v>
      </c>
      <c r="H660" t="s">
        <v>10</v>
      </c>
    </row>
    <row r="661" spans="1:8" x14ac:dyDescent="0.25">
      <c r="A661">
        <v>500660</v>
      </c>
      <c r="B661">
        <v>385</v>
      </c>
      <c r="C661">
        <v>1313</v>
      </c>
      <c r="D661">
        <v>3458</v>
      </c>
      <c r="E661" s="1">
        <v>45688</v>
      </c>
      <c r="F661" s="1">
        <v>45693</v>
      </c>
      <c r="G661">
        <v>89738</v>
      </c>
      <c r="H661" t="s">
        <v>10</v>
      </c>
    </row>
    <row r="662" spans="1:8" x14ac:dyDescent="0.25">
      <c r="A662">
        <v>500661</v>
      </c>
      <c r="B662">
        <v>454</v>
      </c>
      <c r="C662">
        <v>1065</v>
      </c>
      <c r="D662">
        <v>3313</v>
      </c>
      <c r="E662" s="1">
        <v>45686</v>
      </c>
      <c r="F662" s="1">
        <v>45688</v>
      </c>
      <c r="G662">
        <v>43653</v>
      </c>
      <c r="H662" t="s">
        <v>25</v>
      </c>
    </row>
    <row r="663" spans="1:8" x14ac:dyDescent="0.25">
      <c r="A663">
        <v>500662</v>
      </c>
      <c r="B663">
        <v>385</v>
      </c>
      <c r="C663">
        <v>1481</v>
      </c>
      <c r="D663">
        <v>3240</v>
      </c>
      <c r="E663" s="1">
        <v>45630</v>
      </c>
      <c r="F663" s="1">
        <v>45633</v>
      </c>
      <c r="G663">
        <v>32190</v>
      </c>
      <c r="H663" t="s">
        <v>14</v>
      </c>
    </row>
    <row r="664" spans="1:8" x14ac:dyDescent="0.25">
      <c r="A664">
        <v>500663</v>
      </c>
      <c r="B664">
        <v>91</v>
      </c>
      <c r="C664">
        <v>382</v>
      </c>
      <c r="D664">
        <v>3461</v>
      </c>
      <c r="E664" s="1">
        <v>45732</v>
      </c>
      <c r="F664" s="1">
        <v>45734</v>
      </c>
      <c r="G664">
        <v>67442</v>
      </c>
      <c r="H664" t="s">
        <v>14</v>
      </c>
    </row>
    <row r="665" spans="1:8" x14ac:dyDescent="0.25">
      <c r="A665">
        <v>500664</v>
      </c>
      <c r="B665">
        <v>483</v>
      </c>
      <c r="C665">
        <v>385</v>
      </c>
      <c r="D665">
        <v>3047</v>
      </c>
      <c r="E665" s="1">
        <v>45679</v>
      </c>
      <c r="F665" s="1">
        <v>45683</v>
      </c>
      <c r="G665">
        <v>40378</v>
      </c>
      <c r="H665" t="s">
        <v>10</v>
      </c>
    </row>
    <row r="666" spans="1:8" x14ac:dyDescent="0.25">
      <c r="A666">
        <v>500665</v>
      </c>
      <c r="B666">
        <v>264</v>
      </c>
      <c r="C666">
        <v>1382</v>
      </c>
      <c r="D666">
        <v>3411</v>
      </c>
      <c r="E666" s="1">
        <v>45738</v>
      </c>
      <c r="F666" s="1">
        <v>45740</v>
      </c>
      <c r="G666">
        <v>22415</v>
      </c>
      <c r="H666" t="s">
        <v>14</v>
      </c>
    </row>
    <row r="667" spans="1:8" x14ac:dyDescent="0.25">
      <c r="A667">
        <v>500666</v>
      </c>
      <c r="B667">
        <v>15</v>
      </c>
      <c r="C667">
        <v>1422</v>
      </c>
      <c r="D667">
        <v>3098</v>
      </c>
      <c r="E667" s="1">
        <v>45775</v>
      </c>
      <c r="F667" s="1">
        <v>45780</v>
      </c>
      <c r="G667">
        <v>150912</v>
      </c>
      <c r="H667" t="s">
        <v>14</v>
      </c>
    </row>
    <row r="668" spans="1:8" x14ac:dyDescent="0.25">
      <c r="A668">
        <v>500667</v>
      </c>
      <c r="B668">
        <v>118</v>
      </c>
      <c r="C668">
        <v>1588</v>
      </c>
      <c r="D668">
        <v>3117</v>
      </c>
      <c r="E668" s="1">
        <v>45623</v>
      </c>
      <c r="F668" s="1">
        <v>45630</v>
      </c>
      <c r="G668">
        <v>54269</v>
      </c>
      <c r="H668" t="s">
        <v>25</v>
      </c>
    </row>
    <row r="669" spans="1:8" x14ac:dyDescent="0.25">
      <c r="A669">
        <v>500668</v>
      </c>
      <c r="B669">
        <v>486</v>
      </c>
      <c r="C669">
        <v>959</v>
      </c>
      <c r="D669">
        <v>3397</v>
      </c>
      <c r="E669" s="1">
        <v>45730</v>
      </c>
      <c r="F669" s="1">
        <v>45757</v>
      </c>
      <c r="G669">
        <v>417237</v>
      </c>
      <c r="H669" t="s">
        <v>14</v>
      </c>
    </row>
    <row r="670" spans="1:8" x14ac:dyDescent="0.25">
      <c r="A670">
        <v>500669</v>
      </c>
      <c r="B670">
        <v>60</v>
      </c>
      <c r="C670">
        <v>444</v>
      </c>
      <c r="D670">
        <v>3409</v>
      </c>
      <c r="E670" s="1">
        <v>45659</v>
      </c>
      <c r="F670" s="1">
        <v>45662</v>
      </c>
      <c r="G670">
        <v>54431</v>
      </c>
      <c r="H670" t="s">
        <v>14</v>
      </c>
    </row>
    <row r="671" spans="1:8" x14ac:dyDescent="0.25">
      <c r="A671">
        <v>500670</v>
      </c>
      <c r="B671">
        <v>268</v>
      </c>
      <c r="C671">
        <v>1327</v>
      </c>
      <c r="D671">
        <v>3029</v>
      </c>
      <c r="E671" s="1">
        <v>45780</v>
      </c>
      <c r="F671" s="1">
        <v>45782</v>
      </c>
      <c r="G671">
        <v>68471</v>
      </c>
      <c r="H671" t="s">
        <v>10</v>
      </c>
    </row>
    <row r="672" spans="1:8" x14ac:dyDescent="0.25">
      <c r="A672">
        <v>500671</v>
      </c>
      <c r="B672">
        <v>141</v>
      </c>
      <c r="C672">
        <v>630</v>
      </c>
      <c r="D672">
        <v>3445</v>
      </c>
      <c r="E672" s="1">
        <v>45606</v>
      </c>
      <c r="F672" s="1">
        <v>45614</v>
      </c>
      <c r="G672">
        <v>80715</v>
      </c>
      <c r="H672" t="s">
        <v>10</v>
      </c>
    </row>
    <row r="673" spans="1:8" x14ac:dyDescent="0.25">
      <c r="A673">
        <v>500672</v>
      </c>
      <c r="B673">
        <v>309</v>
      </c>
      <c r="C673">
        <v>1532</v>
      </c>
      <c r="D673">
        <v>3284</v>
      </c>
      <c r="E673" s="1">
        <v>45648</v>
      </c>
      <c r="F673" s="1">
        <v>45652</v>
      </c>
      <c r="G673">
        <v>42754</v>
      </c>
      <c r="H673" t="s">
        <v>10</v>
      </c>
    </row>
    <row r="674" spans="1:8" x14ac:dyDescent="0.25">
      <c r="A674">
        <v>500673</v>
      </c>
      <c r="B674">
        <v>384</v>
      </c>
      <c r="C674">
        <v>1055</v>
      </c>
      <c r="D674">
        <v>3107</v>
      </c>
      <c r="E674" s="1">
        <v>45776</v>
      </c>
      <c r="F674" s="1">
        <v>45777</v>
      </c>
      <c r="G674">
        <v>22887</v>
      </c>
      <c r="H674" t="s">
        <v>14</v>
      </c>
    </row>
    <row r="675" spans="1:8" x14ac:dyDescent="0.25">
      <c r="A675">
        <v>500674</v>
      </c>
      <c r="B675">
        <v>74</v>
      </c>
      <c r="C675">
        <v>1076</v>
      </c>
      <c r="D675">
        <v>3374</v>
      </c>
      <c r="E675" s="1">
        <v>45687</v>
      </c>
      <c r="F675" s="1">
        <v>45691</v>
      </c>
      <c r="G675">
        <v>30295</v>
      </c>
      <c r="H675" t="s">
        <v>14</v>
      </c>
    </row>
    <row r="676" spans="1:8" x14ac:dyDescent="0.25">
      <c r="A676">
        <v>500675</v>
      </c>
      <c r="B676">
        <v>415</v>
      </c>
      <c r="C676">
        <v>337</v>
      </c>
      <c r="D676">
        <v>3268</v>
      </c>
      <c r="E676" s="1">
        <v>45802</v>
      </c>
      <c r="F676" s="1">
        <v>45803</v>
      </c>
      <c r="G676">
        <v>28597</v>
      </c>
      <c r="H676" t="s">
        <v>14</v>
      </c>
    </row>
    <row r="677" spans="1:8" x14ac:dyDescent="0.25">
      <c r="A677">
        <v>500676</v>
      </c>
      <c r="B677">
        <v>140</v>
      </c>
      <c r="C677">
        <v>1057</v>
      </c>
      <c r="D677">
        <v>3437</v>
      </c>
      <c r="E677" s="1">
        <v>45762</v>
      </c>
      <c r="F677" s="1">
        <v>45766</v>
      </c>
      <c r="G677">
        <v>52229</v>
      </c>
      <c r="H677" t="s">
        <v>14</v>
      </c>
    </row>
    <row r="678" spans="1:8" x14ac:dyDescent="0.25">
      <c r="A678">
        <v>500677</v>
      </c>
      <c r="B678">
        <v>204</v>
      </c>
      <c r="C678">
        <v>251</v>
      </c>
      <c r="D678">
        <v>3453</v>
      </c>
      <c r="E678" s="1">
        <v>45611</v>
      </c>
      <c r="F678" s="1">
        <v>45613</v>
      </c>
      <c r="G678">
        <v>45263</v>
      </c>
      <c r="H678" t="s">
        <v>10</v>
      </c>
    </row>
    <row r="679" spans="1:8" x14ac:dyDescent="0.25">
      <c r="A679">
        <v>500678</v>
      </c>
      <c r="B679">
        <v>137</v>
      </c>
      <c r="C679">
        <v>1402</v>
      </c>
      <c r="D679">
        <v>3363</v>
      </c>
      <c r="E679" s="1">
        <v>45796</v>
      </c>
      <c r="F679" s="1">
        <v>45798</v>
      </c>
      <c r="G679">
        <v>25282</v>
      </c>
      <c r="H679" t="s">
        <v>10</v>
      </c>
    </row>
    <row r="680" spans="1:8" x14ac:dyDescent="0.25">
      <c r="A680">
        <v>500679</v>
      </c>
      <c r="B680">
        <v>91</v>
      </c>
      <c r="C680">
        <v>1311</v>
      </c>
      <c r="D680">
        <v>3005</v>
      </c>
      <c r="E680" s="1">
        <v>45641</v>
      </c>
      <c r="F680" s="1">
        <v>45645</v>
      </c>
      <c r="G680">
        <v>43932</v>
      </c>
      <c r="H680" t="s">
        <v>10</v>
      </c>
    </row>
    <row r="681" spans="1:8" x14ac:dyDescent="0.25">
      <c r="A681">
        <v>500680</v>
      </c>
      <c r="B681">
        <v>370</v>
      </c>
      <c r="C681">
        <v>124</v>
      </c>
      <c r="D681">
        <v>3378</v>
      </c>
      <c r="E681" s="1">
        <v>45793</v>
      </c>
      <c r="F681" s="1">
        <v>45794</v>
      </c>
      <c r="G681">
        <v>28315</v>
      </c>
      <c r="H681" t="s">
        <v>25</v>
      </c>
    </row>
    <row r="682" spans="1:8" x14ac:dyDescent="0.25">
      <c r="A682">
        <v>500681</v>
      </c>
      <c r="B682">
        <v>245</v>
      </c>
      <c r="C682">
        <v>1191</v>
      </c>
      <c r="D682">
        <v>3423</v>
      </c>
      <c r="E682" s="1">
        <v>45791</v>
      </c>
      <c r="F682" s="1">
        <v>45794</v>
      </c>
      <c r="G682">
        <v>51149</v>
      </c>
      <c r="H682" t="s">
        <v>14</v>
      </c>
    </row>
    <row r="683" spans="1:8" x14ac:dyDescent="0.25">
      <c r="A683">
        <v>500682</v>
      </c>
      <c r="B683">
        <v>158</v>
      </c>
      <c r="C683">
        <v>1200</v>
      </c>
      <c r="D683">
        <v>3288</v>
      </c>
      <c r="E683" s="1">
        <v>45797</v>
      </c>
      <c r="F683" s="1">
        <v>45799</v>
      </c>
      <c r="G683">
        <v>28113</v>
      </c>
      <c r="H683" t="s">
        <v>10</v>
      </c>
    </row>
    <row r="684" spans="1:8" x14ac:dyDescent="0.25">
      <c r="A684">
        <v>500683</v>
      </c>
      <c r="B684">
        <v>468</v>
      </c>
      <c r="C684">
        <v>1515</v>
      </c>
      <c r="D684">
        <v>3124</v>
      </c>
      <c r="E684" s="1">
        <v>45722</v>
      </c>
      <c r="F684" s="1">
        <v>45732</v>
      </c>
      <c r="G684">
        <v>143020</v>
      </c>
      <c r="H684" t="s">
        <v>14</v>
      </c>
    </row>
    <row r="685" spans="1:8" x14ac:dyDescent="0.25">
      <c r="A685">
        <v>500684</v>
      </c>
      <c r="B685">
        <v>245</v>
      </c>
      <c r="C685">
        <v>823</v>
      </c>
      <c r="D685">
        <v>3084</v>
      </c>
      <c r="E685" s="1">
        <v>45600</v>
      </c>
      <c r="F685" s="1">
        <v>45604</v>
      </c>
      <c r="G685">
        <v>81897</v>
      </c>
      <c r="H685" t="s">
        <v>14</v>
      </c>
    </row>
    <row r="686" spans="1:8" x14ac:dyDescent="0.25">
      <c r="A686">
        <v>500685</v>
      </c>
      <c r="B686">
        <v>32</v>
      </c>
      <c r="C686">
        <v>1261</v>
      </c>
      <c r="D686">
        <v>3103</v>
      </c>
      <c r="E686" s="1">
        <v>45667</v>
      </c>
      <c r="F686" s="1">
        <v>45669</v>
      </c>
      <c r="G686">
        <v>30502</v>
      </c>
      <c r="H686" t="s">
        <v>10</v>
      </c>
    </row>
    <row r="687" spans="1:8" x14ac:dyDescent="0.25">
      <c r="A687">
        <v>500686</v>
      </c>
      <c r="B687">
        <v>417</v>
      </c>
      <c r="C687">
        <v>431</v>
      </c>
      <c r="D687">
        <v>3086</v>
      </c>
      <c r="E687" s="1">
        <v>45786</v>
      </c>
      <c r="F687" s="1">
        <v>45789</v>
      </c>
      <c r="G687">
        <v>46510</v>
      </c>
      <c r="H687" t="s">
        <v>14</v>
      </c>
    </row>
    <row r="688" spans="1:8" x14ac:dyDescent="0.25">
      <c r="A688">
        <v>500687</v>
      </c>
      <c r="B688">
        <v>187</v>
      </c>
      <c r="C688">
        <v>1262</v>
      </c>
      <c r="D688">
        <v>3227</v>
      </c>
      <c r="E688" s="1">
        <v>45688</v>
      </c>
      <c r="F688" s="1">
        <v>45690</v>
      </c>
      <c r="G688">
        <v>46002</v>
      </c>
      <c r="H688" t="s">
        <v>10</v>
      </c>
    </row>
    <row r="689" spans="1:8" x14ac:dyDescent="0.25">
      <c r="A689">
        <v>500688</v>
      </c>
      <c r="B689">
        <v>204</v>
      </c>
      <c r="C689">
        <v>170</v>
      </c>
      <c r="D689">
        <v>3344</v>
      </c>
      <c r="E689" s="1">
        <v>45644</v>
      </c>
      <c r="F689" s="1">
        <v>45646</v>
      </c>
      <c r="G689">
        <v>28650</v>
      </c>
      <c r="H689" t="s">
        <v>10</v>
      </c>
    </row>
    <row r="690" spans="1:8" x14ac:dyDescent="0.25">
      <c r="A690">
        <v>500689</v>
      </c>
      <c r="B690">
        <v>371</v>
      </c>
      <c r="C690">
        <v>1378</v>
      </c>
      <c r="D690">
        <v>3211</v>
      </c>
      <c r="E690" s="1">
        <v>45661</v>
      </c>
      <c r="F690" s="1">
        <v>45666</v>
      </c>
      <c r="G690">
        <v>133780</v>
      </c>
      <c r="H690" t="s">
        <v>14</v>
      </c>
    </row>
    <row r="691" spans="1:8" x14ac:dyDescent="0.25">
      <c r="A691">
        <v>500690</v>
      </c>
      <c r="B691">
        <v>89</v>
      </c>
      <c r="C691">
        <v>1335</v>
      </c>
      <c r="D691">
        <v>3234</v>
      </c>
      <c r="E691" s="1">
        <v>45797</v>
      </c>
      <c r="F691" s="1">
        <v>45808</v>
      </c>
      <c r="G691">
        <v>140644</v>
      </c>
      <c r="H691" t="s">
        <v>25</v>
      </c>
    </row>
    <row r="692" spans="1:8" x14ac:dyDescent="0.25">
      <c r="A692">
        <v>500691</v>
      </c>
      <c r="B692">
        <v>510</v>
      </c>
      <c r="C692">
        <v>663</v>
      </c>
      <c r="D692">
        <v>3440</v>
      </c>
      <c r="E692" s="1">
        <v>45805</v>
      </c>
      <c r="F692" s="1">
        <v>45808</v>
      </c>
      <c r="G692">
        <v>69225</v>
      </c>
      <c r="H692" t="s">
        <v>10</v>
      </c>
    </row>
    <row r="693" spans="1:8" x14ac:dyDescent="0.25">
      <c r="A693">
        <v>500692</v>
      </c>
      <c r="B693">
        <v>429</v>
      </c>
      <c r="C693">
        <v>326</v>
      </c>
      <c r="D693">
        <v>3336</v>
      </c>
      <c r="E693" s="1">
        <v>45620</v>
      </c>
      <c r="F693" s="1">
        <v>45632</v>
      </c>
      <c r="G693">
        <v>142279</v>
      </c>
      <c r="H693" t="s">
        <v>25</v>
      </c>
    </row>
    <row r="694" spans="1:8" x14ac:dyDescent="0.25">
      <c r="A694">
        <v>500693</v>
      </c>
      <c r="B694">
        <v>186</v>
      </c>
      <c r="C694">
        <v>157</v>
      </c>
      <c r="D694">
        <v>3383</v>
      </c>
      <c r="E694" s="1">
        <v>45686</v>
      </c>
      <c r="F694" s="1">
        <v>45688</v>
      </c>
      <c r="G694">
        <v>29789</v>
      </c>
      <c r="H694" t="s">
        <v>14</v>
      </c>
    </row>
    <row r="695" spans="1:8" x14ac:dyDescent="0.25">
      <c r="A695">
        <v>500694</v>
      </c>
      <c r="B695">
        <v>11</v>
      </c>
      <c r="C695">
        <v>684</v>
      </c>
      <c r="D695">
        <v>3269</v>
      </c>
      <c r="E695" s="1">
        <v>45784</v>
      </c>
      <c r="F695" s="1">
        <v>45808</v>
      </c>
      <c r="G695">
        <v>435381</v>
      </c>
      <c r="H695" t="s">
        <v>10</v>
      </c>
    </row>
    <row r="696" spans="1:8" x14ac:dyDescent="0.25">
      <c r="A696">
        <v>500695</v>
      </c>
      <c r="B696">
        <v>120</v>
      </c>
      <c r="C696">
        <v>485</v>
      </c>
      <c r="D696">
        <v>3043</v>
      </c>
      <c r="E696" s="1">
        <v>45660</v>
      </c>
      <c r="F696" s="1">
        <v>45664</v>
      </c>
      <c r="G696">
        <v>55623</v>
      </c>
      <c r="H696" t="s">
        <v>14</v>
      </c>
    </row>
    <row r="697" spans="1:8" x14ac:dyDescent="0.25">
      <c r="A697">
        <v>500696</v>
      </c>
      <c r="B697">
        <v>371</v>
      </c>
      <c r="C697">
        <v>419</v>
      </c>
      <c r="D697">
        <v>3406</v>
      </c>
      <c r="E697" s="1">
        <v>45670</v>
      </c>
      <c r="F697" s="1">
        <v>45682</v>
      </c>
      <c r="G697">
        <v>84714</v>
      </c>
      <c r="H697" t="s">
        <v>25</v>
      </c>
    </row>
    <row r="698" spans="1:8" x14ac:dyDescent="0.25">
      <c r="A698">
        <v>500697</v>
      </c>
      <c r="B698">
        <v>190</v>
      </c>
      <c r="C698">
        <v>633</v>
      </c>
      <c r="D698">
        <v>3219</v>
      </c>
      <c r="E698" s="1">
        <v>45719</v>
      </c>
      <c r="F698" s="1">
        <v>45722</v>
      </c>
      <c r="G698">
        <v>54121</v>
      </c>
      <c r="H698" t="s">
        <v>25</v>
      </c>
    </row>
    <row r="699" spans="1:8" x14ac:dyDescent="0.25">
      <c r="A699">
        <v>500698</v>
      </c>
      <c r="B699">
        <v>504</v>
      </c>
      <c r="C699">
        <v>951</v>
      </c>
      <c r="D699">
        <v>3200</v>
      </c>
      <c r="E699" s="1">
        <v>45650</v>
      </c>
      <c r="F699" s="1">
        <v>45651</v>
      </c>
      <c r="G699">
        <v>15690</v>
      </c>
      <c r="H699" t="s">
        <v>14</v>
      </c>
    </row>
    <row r="700" spans="1:8" x14ac:dyDescent="0.25">
      <c r="A700">
        <v>500699</v>
      </c>
      <c r="B700">
        <v>189</v>
      </c>
      <c r="C700">
        <v>1073</v>
      </c>
      <c r="D700">
        <v>3048</v>
      </c>
      <c r="E700" s="1">
        <v>45648</v>
      </c>
      <c r="F700" s="1">
        <v>45652</v>
      </c>
      <c r="G700">
        <v>53364</v>
      </c>
      <c r="H700" t="s">
        <v>10</v>
      </c>
    </row>
    <row r="701" spans="1:8" x14ac:dyDescent="0.25">
      <c r="A701">
        <v>500700</v>
      </c>
      <c r="B701">
        <v>245</v>
      </c>
      <c r="C701">
        <v>1188</v>
      </c>
      <c r="D701">
        <v>3136</v>
      </c>
      <c r="E701" s="1">
        <v>45801</v>
      </c>
      <c r="F701" s="1">
        <v>45803</v>
      </c>
      <c r="G701">
        <v>38484</v>
      </c>
      <c r="H701" t="s">
        <v>14</v>
      </c>
    </row>
    <row r="702" spans="1:8" x14ac:dyDescent="0.25">
      <c r="A702">
        <v>500701</v>
      </c>
      <c r="B702">
        <v>121</v>
      </c>
      <c r="C702">
        <v>601</v>
      </c>
      <c r="D702">
        <v>3008</v>
      </c>
      <c r="E702" s="1">
        <v>45687</v>
      </c>
      <c r="F702" s="1">
        <v>45691</v>
      </c>
      <c r="G702">
        <v>59384</v>
      </c>
      <c r="H702" t="s">
        <v>10</v>
      </c>
    </row>
    <row r="703" spans="1:8" x14ac:dyDescent="0.25">
      <c r="A703">
        <v>500702</v>
      </c>
      <c r="B703">
        <v>18</v>
      </c>
      <c r="C703">
        <v>1292</v>
      </c>
      <c r="D703">
        <v>3497</v>
      </c>
      <c r="E703" s="1">
        <v>45793</v>
      </c>
      <c r="F703" s="1">
        <v>45799</v>
      </c>
      <c r="G703">
        <v>84455</v>
      </c>
      <c r="H703" t="s">
        <v>25</v>
      </c>
    </row>
    <row r="704" spans="1:8" x14ac:dyDescent="0.25">
      <c r="A704">
        <v>500703</v>
      </c>
      <c r="B704">
        <v>487</v>
      </c>
      <c r="C704">
        <v>721</v>
      </c>
      <c r="D704">
        <v>3233</v>
      </c>
      <c r="E704" s="1">
        <v>45785</v>
      </c>
      <c r="F704" s="1">
        <v>45788</v>
      </c>
      <c r="G704">
        <v>38802</v>
      </c>
      <c r="H704" t="s">
        <v>10</v>
      </c>
    </row>
    <row r="705" spans="1:8" x14ac:dyDescent="0.25">
      <c r="A705">
        <v>500704</v>
      </c>
      <c r="B705">
        <v>59</v>
      </c>
      <c r="C705">
        <v>1320</v>
      </c>
      <c r="D705">
        <v>3473</v>
      </c>
      <c r="E705" s="1">
        <v>45754</v>
      </c>
      <c r="F705" s="1">
        <v>45757</v>
      </c>
      <c r="G705">
        <v>50857</v>
      </c>
      <c r="H705" t="s">
        <v>25</v>
      </c>
    </row>
    <row r="706" spans="1:8" x14ac:dyDescent="0.25">
      <c r="A706">
        <v>500705</v>
      </c>
      <c r="B706">
        <v>247</v>
      </c>
      <c r="C706">
        <v>761</v>
      </c>
      <c r="D706">
        <v>3436</v>
      </c>
      <c r="E706" s="1">
        <v>45673</v>
      </c>
      <c r="F706" s="1">
        <v>45676</v>
      </c>
      <c r="G706">
        <v>43904</v>
      </c>
      <c r="H706" t="s">
        <v>10</v>
      </c>
    </row>
    <row r="707" spans="1:8" x14ac:dyDescent="0.25">
      <c r="A707">
        <v>500706</v>
      </c>
      <c r="B707">
        <v>169</v>
      </c>
      <c r="C707">
        <v>1248</v>
      </c>
      <c r="D707">
        <v>3034</v>
      </c>
      <c r="E707" s="1">
        <v>45629</v>
      </c>
      <c r="F707" s="1">
        <v>45630</v>
      </c>
      <c r="G707">
        <v>33748</v>
      </c>
      <c r="H707" t="s">
        <v>10</v>
      </c>
    </row>
    <row r="708" spans="1:8" x14ac:dyDescent="0.25">
      <c r="A708">
        <v>500707</v>
      </c>
      <c r="B708">
        <v>173</v>
      </c>
      <c r="C708">
        <v>895</v>
      </c>
      <c r="D708">
        <v>3478</v>
      </c>
      <c r="E708" s="1">
        <v>45719</v>
      </c>
      <c r="F708" s="1">
        <v>45721</v>
      </c>
      <c r="G708">
        <v>31876</v>
      </c>
      <c r="H708" t="s">
        <v>10</v>
      </c>
    </row>
    <row r="709" spans="1:8" x14ac:dyDescent="0.25">
      <c r="A709">
        <v>500708</v>
      </c>
      <c r="B709">
        <v>244</v>
      </c>
      <c r="C709">
        <v>1049</v>
      </c>
      <c r="D709">
        <v>3446</v>
      </c>
      <c r="E709" s="1">
        <v>45746</v>
      </c>
      <c r="F709" s="1">
        <v>45750</v>
      </c>
      <c r="G709">
        <v>65946</v>
      </c>
      <c r="H709" t="s">
        <v>10</v>
      </c>
    </row>
    <row r="710" spans="1:8" x14ac:dyDescent="0.25">
      <c r="A710">
        <v>500709</v>
      </c>
      <c r="B710">
        <v>245</v>
      </c>
      <c r="C710">
        <v>1495</v>
      </c>
      <c r="D710">
        <v>3349</v>
      </c>
      <c r="E710" s="1">
        <v>45757</v>
      </c>
      <c r="F710" s="1">
        <v>45759</v>
      </c>
      <c r="G710">
        <v>32963</v>
      </c>
      <c r="H710" t="s">
        <v>10</v>
      </c>
    </row>
    <row r="711" spans="1:8" x14ac:dyDescent="0.25">
      <c r="A711">
        <v>500710</v>
      </c>
      <c r="B711">
        <v>488</v>
      </c>
      <c r="C711">
        <v>820</v>
      </c>
      <c r="D711">
        <v>3329</v>
      </c>
      <c r="E711" s="1">
        <v>45666</v>
      </c>
      <c r="F711" s="1">
        <v>45668</v>
      </c>
      <c r="G711">
        <v>27685</v>
      </c>
      <c r="H711" t="s">
        <v>14</v>
      </c>
    </row>
    <row r="712" spans="1:8" x14ac:dyDescent="0.25">
      <c r="A712">
        <v>500711</v>
      </c>
      <c r="B712">
        <v>342</v>
      </c>
      <c r="C712">
        <v>938</v>
      </c>
      <c r="D712">
        <v>3236</v>
      </c>
      <c r="E712" s="1">
        <v>45804</v>
      </c>
      <c r="F712" s="1">
        <v>45808</v>
      </c>
      <c r="G712">
        <v>45132</v>
      </c>
      <c r="H712" t="s">
        <v>10</v>
      </c>
    </row>
    <row r="713" spans="1:8" x14ac:dyDescent="0.25">
      <c r="A713">
        <v>500712</v>
      </c>
      <c r="B713">
        <v>367</v>
      </c>
      <c r="C713">
        <v>166</v>
      </c>
      <c r="D713">
        <v>3225</v>
      </c>
      <c r="E713" s="1">
        <v>45680</v>
      </c>
      <c r="F713" s="1">
        <v>45681</v>
      </c>
      <c r="G713">
        <v>26028</v>
      </c>
      <c r="H713" t="s">
        <v>25</v>
      </c>
    </row>
    <row r="714" spans="1:8" x14ac:dyDescent="0.25">
      <c r="A714">
        <v>500713</v>
      </c>
      <c r="B714">
        <v>90</v>
      </c>
      <c r="C714">
        <v>297</v>
      </c>
      <c r="D714">
        <v>3193</v>
      </c>
      <c r="E714" s="1">
        <v>45659</v>
      </c>
      <c r="F714" s="1">
        <v>45662</v>
      </c>
      <c r="G714">
        <v>37069</v>
      </c>
      <c r="H714" t="s">
        <v>10</v>
      </c>
    </row>
    <row r="715" spans="1:8" x14ac:dyDescent="0.25">
      <c r="A715">
        <v>500714</v>
      </c>
      <c r="B715">
        <v>142</v>
      </c>
      <c r="C715">
        <v>890</v>
      </c>
      <c r="D715">
        <v>3286</v>
      </c>
      <c r="E715" s="1">
        <v>45639</v>
      </c>
      <c r="F715" s="1">
        <v>45641</v>
      </c>
      <c r="G715">
        <v>64292</v>
      </c>
      <c r="H715" t="s">
        <v>14</v>
      </c>
    </row>
    <row r="716" spans="1:8" x14ac:dyDescent="0.25">
      <c r="A716">
        <v>500715</v>
      </c>
      <c r="B716">
        <v>372</v>
      </c>
      <c r="C716">
        <v>704</v>
      </c>
      <c r="D716">
        <v>3016</v>
      </c>
      <c r="E716" s="1">
        <v>45764</v>
      </c>
      <c r="F716" s="1">
        <v>45772</v>
      </c>
      <c r="G716">
        <v>157122</v>
      </c>
      <c r="H716" t="s">
        <v>10</v>
      </c>
    </row>
    <row r="717" spans="1:8" x14ac:dyDescent="0.25">
      <c r="A717">
        <v>500716</v>
      </c>
      <c r="B717">
        <v>249</v>
      </c>
      <c r="C717">
        <v>1118</v>
      </c>
      <c r="D717">
        <v>3237</v>
      </c>
      <c r="E717" s="1">
        <v>45782</v>
      </c>
      <c r="F717" s="1">
        <v>45784</v>
      </c>
      <c r="G717">
        <v>37730</v>
      </c>
      <c r="H717" t="s">
        <v>25</v>
      </c>
    </row>
    <row r="718" spans="1:8" x14ac:dyDescent="0.25">
      <c r="A718">
        <v>500717</v>
      </c>
      <c r="B718">
        <v>159</v>
      </c>
      <c r="C718">
        <v>650</v>
      </c>
      <c r="D718">
        <v>3251</v>
      </c>
      <c r="E718" s="1">
        <v>45693</v>
      </c>
      <c r="F718" s="1">
        <v>45695</v>
      </c>
      <c r="G718">
        <v>46945</v>
      </c>
      <c r="H718" t="s">
        <v>14</v>
      </c>
    </row>
    <row r="719" spans="1:8" x14ac:dyDescent="0.25">
      <c r="A719">
        <v>500718</v>
      </c>
      <c r="B719">
        <v>432</v>
      </c>
      <c r="C719">
        <v>1593</v>
      </c>
      <c r="D719">
        <v>3443</v>
      </c>
      <c r="E719" s="1">
        <v>45611</v>
      </c>
      <c r="F719" s="1">
        <v>45614</v>
      </c>
      <c r="G719">
        <v>43176</v>
      </c>
      <c r="H719" t="s">
        <v>10</v>
      </c>
    </row>
    <row r="720" spans="1:8" x14ac:dyDescent="0.25">
      <c r="A720">
        <v>500719</v>
      </c>
      <c r="B720">
        <v>469</v>
      </c>
      <c r="C720">
        <v>146</v>
      </c>
      <c r="D720">
        <v>3337</v>
      </c>
      <c r="E720" s="1">
        <v>45798</v>
      </c>
      <c r="F720" s="1">
        <v>45800</v>
      </c>
      <c r="G720">
        <v>39990</v>
      </c>
      <c r="H720" t="s">
        <v>10</v>
      </c>
    </row>
    <row r="721" spans="1:8" x14ac:dyDescent="0.25">
      <c r="A721">
        <v>500720</v>
      </c>
      <c r="B721">
        <v>121</v>
      </c>
      <c r="C721">
        <v>1454</v>
      </c>
      <c r="D721">
        <v>3281</v>
      </c>
      <c r="E721" s="1">
        <v>45600</v>
      </c>
      <c r="F721" s="1">
        <v>45605</v>
      </c>
      <c r="G721">
        <v>81856</v>
      </c>
      <c r="H721" t="s">
        <v>10</v>
      </c>
    </row>
    <row r="722" spans="1:8" x14ac:dyDescent="0.25">
      <c r="A722">
        <v>500721</v>
      </c>
      <c r="B722">
        <v>469</v>
      </c>
      <c r="C722">
        <v>883</v>
      </c>
      <c r="D722">
        <v>3388</v>
      </c>
      <c r="E722" s="1">
        <v>45773</v>
      </c>
      <c r="F722" s="1">
        <v>45791</v>
      </c>
      <c r="G722">
        <v>275171</v>
      </c>
      <c r="H722" t="s">
        <v>10</v>
      </c>
    </row>
    <row r="723" spans="1:8" x14ac:dyDescent="0.25">
      <c r="A723">
        <v>500722</v>
      </c>
      <c r="B723">
        <v>245</v>
      </c>
      <c r="C723">
        <v>1428</v>
      </c>
      <c r="D723">
        <v>3291</v>
      </c>
      <c r="E723" s="1">
        <v>45743</v>
      </c>
      <c r="F723" s="1">
        <v>45744</v>
      </c>
      <c r="G723">
        <v>21732</v>
      </c>
      <c r="H723" t="s">
        <v>14</v>
      </c>
    </row>
    <row r="724" spans="1:8" x14ac:dyDescent="0.25">
      <c r="A724">
        <v>500723</v>
      </c>
      <c r="B724">
        <v>513</v>
      </c>
      <c r="C724">
        <v>1241</v>
      </c>
      <c r="D724">
        <v>3254</v>
      </c>
      <c r="E724" s="1">
        <v>45686</v>
      </c>
      <c r="F724" s="1">
        <v>45694</v>
      </c>
      <c r="G724">
        <v>111455</v>
      </c>
      <c r="H724" t="s">
        <v>25</v>
      </c>
    </row>
    <row r="725" spans="1:8" x14ac:dyDescent="0.25">
      <c r="A725">
        <v>500724</v>
      </c>
      <c r="B725">
        <v>265</v>
      </c>
      <c r="C725">
        <v>1172</v>
      </c>
      <c r="D725">
        <v>3386</v>
      </c>
      <c r="E725" s="1">
        <v>45771</v>
      </c>
      <c r="F725" s="1">
        <v>45774</v>
      </c>
      <c r="G725">
        <v>81420</v>
      </c>
      <c r="H725" t="s">
        <v>25</v>
      </c>
    </row>
    <row r="726" spans="1:8" x14ac:dyDescent="0.25">
      <c r="A726">
        <v>500725</v>
      </c>
      <c r="B726">
        <v>470</v>
      </c>
      <c r="C726">
        <v>726</v>
      </c>
      <c r="D726">
        <v>3360</v>
      </c>
      <c r="E726" s="1">
        <v>45681</v>
      </c>
      <c r="F726" s="1">
        <v>45686</v>
      </c>
      <c r="G726">
        <v>148595</v>
      </c>
      <c r="H726" t="s">
        <v>14</v>
      </c>
    </row>
    <row r="727" spans="1:8" x14ac:dyDescent="0.25">
      <c r="A727">
        <v>500726</v>
      </c>
      <c r="B727">
        <v>385</v>
      </c>
      <c r="C727">
        <v>1045</v>
      </c>
      <c r="D727">
        <v>3197</v>
      </c>
      <c r="E727" s="1">
        <v>45752</v>
      </c>
      <c r="F727" s="1">
        <v>45755</v>
      </c>
      <c r="G727">
        <v>48881</v>
      </c>
      <c r="H727" t="s">
        <v>14</v>
      </c>
    </row>
    <row r="728" spans="1:8" x14ac:dyDescent="0.25">
      <c r="A728">
        <v>500727</v>
      </c>
      <c r="B728">
        <v>19</v>
      </c>
      <c r="C728">
        <v>241</v>
      </c>
      <c r="D728">
        <v>3203</v>
      </c>
      <c r="E728" s="1">
        <v>45758</v>
      </c>
      <c r="F728" s="1">
        <v>45759</v>
      </c>
      <c r="G728">
        <v>38386</v>
      </c>
      <c r="H728" t="s">
        <v>14</v>
      </c>
    </row>
    <row r="729" spans="1:8" x14ac:dyDescent="0.25">
      <c r="A729">
        <v>500728</v>
      </c>
      <c r="B729">
        <v>328</v>
      </c>
      <c r="C729">
        <v>1215</v>
      </c>
      <c r="D729">
        <v>3152</v>
      </c>
      <c r="E729" s="1">
        <v>45797</v>
      </c>
      <c r="F729" s="1">
        <v>45799</v>
      </c>
      <c r="G729">
        <v>64613</v>
      </c>
      <c r="H729" t="s">
        <v>25</v>
      </c>
    </row>
    <row r="730" spans="1:8" x14ac:dyDescent="0.25">
      <c r="A730">
        <v>500729</v>
      </c>
      <c r="B730">
        <v>263</v>
      </c>
      <c r="C730">
        <v>180</v>
      </c>
      <c r="D730">
        <v>3328</v>
      </c>
      <c r="E730" s="1">
        <v>45628</v>
      </c>
      <c r="F730" s="1">
        <v>45632</v>
      </c>
      <c r="G730">
        <v>93666</v>
      </c>
      <c r="H730" t="s">
        <v>25</v>
      </c>
    </row>
    <row r="731" spans="1:8" x14ac:dyDescent="0.25">
      <c r="A731">
        <v>500730</v>
      </c>
      <c r="B731">
        <v>530</v>
      </c>
      <c r="C731">
        <v>326</v>
      </c>
      <c r="D731">
        <v>3087</v>
      </c>
      <c r="E731" s="1">
        <v>45783</v>
      </c>
      <c r="F731" s="1">
        <v>45798</v>
      </c>
      <c r="G731">
        <v>177159</v>
      </c>
      <c r="H731" t="s">
        <v>10</v>
      </c>
    </row>
    <row r="732" spans="1:8" x14ac:dyDescent="0.25">
      <c r="A732">
        <v>500731</v>
      </c>
      <c r="B732">
        <v>509</v>
      </c>
      <c r="C732">
        <v>471</v>
      </c>
      <c r="D732">
        <v>3345</v>
      </c>
      <c r="E732" s="1">
        <v>45802</v>
      </c>
      <c r="F732" s="1">
        <v>45804</v>
      </c>
      <c r="G732">
        <v>34269</v>
      </c>
      <c r="H732" t="s">
        <v>14</v>
      </c>
    </row>
    <row r="733" spans="1:8" x14ac:dyDescent="0.25">
      <c r="A733">
        <v>500732</v>
      </c>
      <c r="B733">
        <v>404</v>
      </c>
      <c r="C733">
        <v>549</v>
      </c>
      <c r="D733">
        <v>3320</v>
      </c>
      <c r="E733" s="1">
        <v>45672</v>
      </c>
      <c r="F733" s="1">
        <v>45675</v>
      </c>
      <c r="G733">
        <v>39228</v>
      </c>
      <c r="H733" t="s">
        <v>10</v>
      </c>
    </row>
    <row r="734" spans="1:8" x14ac:dyDescent="0.25">
      <c r="A734">
        <v>500733</v>
      </c>
      <c r="B734">
        <v>344</v>
      </c>
      <c r="C734">
        <v>1575</v>
      </c>
      <c r="D734">
        <v>3246</v>
      </c>
      <c r="E734" s="1">
        <v>45701</v>
      </c>
      <c r="F734" s="1">
        <v>45708</v>
      </c>
      <c r="G734">
        <v>100501</v>
      </c>
      <c r="H734" t="s">
        <v>14</v>
      </c>
    </row>
    <row r="735" spans="1:8" x14ac:dyDescent="0.25">
      <c r="A735">
        <v>500734</v>
      </c>
      <c r="B735">
        <v>11</v>
      </c>
      <c r="C735">
        <v>844</v>
      </c>
      <c r="D735">
        <v>3243</v>
      </c>
      <c r="E735" s="1">
        <v>45727</v>
      </c>
      <c r="F735" s="1">
        <v>45731</v>
      </c>
      <c r="G735">
        <v>44508</v>
      </c>
      <c r="H735" t="s">
        <v>14</v>
      </c>
    </row>
    <row r="736" spans="1:8" x14ac:dyDescent="0.25">
      <c r="A736">
        <v>500735</v>
      </c>
      <c r="B736">
        <v>506</v>
      </c>
      <c r="C736">
        <v>963</v>
      </c>
      <c r="D736">
        <v>3033</v>
      </c>
      <c r="E736" s="1">
        <v>45718</v>
      </c>
      <c r="F736" s="1">
        <v>45722</v>
      </c>
      <c r="G736">
        <v>40733</v>
      </c>
      <c r="H736" t="s">
        <v>14</v>
      </c>
    </row>
    <row r="737" spans="1:8" x14ac:dyDescent="0.25">
      <c r="A737">
        <v>500736</v>
      </c>
      <c r="B737">
        <v>60</v>
      </c>
      <c r="C737">
        <v>507</v>
      </c>
      <c r="D737">
        <v>3167</v>
      </c>
      <c r="E737" s="1">
        <v>45615</v>
      </c>
      <c r="F737" s="1">
        <v>45630</v>
      </c>
      <c r="G737">
        <v>211118</v>
      </c>
      <c r="H737" t="s">
        <v>14</v>
      </c>
    </row>
    <row r="738" spans="1:8" x14ac:dyDescent="0.25">
      <c r="A738">
        <v>500737</v>
      </c>
      <c r="B738">
        <v>530</v>
      </c>
      <c r="C738">
        <v>1210</v>
      </c>
      <c r="D738">
        <v>3322</v>
      </c>
      <c r="E738" s="1">
        <v>45746</v>
      </c>
      <c r="F738" s="1">
        <v>45759</v>
      </c>
      <c r="G738">
        <v>191844</v>
      </c>
      <c r="H738" t="s">
        <v>10</v>
      </c>
    </row>
    <row r="739" spans="1:8" x14ac:dyDescent="0.25">
      <c r="A739">
        <v>500738</v>
      </c>
      <c r="B739">
        <v>485</v>
      </c>
      <c r="C739">
        <v>229</v>
      </c>
      <c r="D739">
        <v>3309</v>
      </c>
      <c r="E739" s="1">
        <v>45801</v>
      </c>
      <c r="F739" s="1">
        <v>45803</v>
      </c>
      <c r="G739">
        <v>72167</v>
      </c>
      <c r="H739" t="s">
        <v>10</v>
      </c>
    </row>
    <row r="740" spans="1:8" x14ac:dyDescent="0.25">
      <c r="A740">
        <v>500739</v>
      </c>
      <c r="B740">
        <v>33</v>
      </c>
      <c r="C740">
        <v>132</v>
      </c>
      <c r="D740">
        <v>3147</v>
      </c>
      <c r="E740" s="1">
        <v>45753</v>
      </c>
      <c r="F740" s="1">
        <v>45754</v>
      </c>
      <c r="G740">
        <v>36199</v>
      </c>
      <c r="H740" t="s">
        <v>14</v>
      </c>
    </row>
    <row r="741" spans="1:8" x14ac:dyDescent="0.25">
      <c r="A741">
        <v>500740</v>
      </c>
      <c r="B741">
        <v>199</v>
      </c>
      <c r="C741">
        <v>155</v>
      </c>
      <c r="D741">
        <v>3028</v>
      </c>
      <c r="E741" s="1">
        <v>45687</v>
      </c>
      <c r="F741" s="1">
        <v>45695</v>
      </c>
      <c r="G741">
        <v>129273</v>
      </c>
      <c r="H741" t="s">
        <v>10</v>
      </c>
    </row>
    <row r="742" spans="1:8" x14ac:dyDescent="0.25">
      <c r="A742">
        <v>500741</v>
      </c>
      <c r="B742">
        <v>139</v>
      </c>
      <c r="C742">
        <v>290</v>
      </c>
      <c r="D742">
        <v>3401</v>
      </c>
      <c r="E742" s="1">
        <v>45668</v>
      </c>
      <c r="F742" s="1">
        <v>45669</v>
      </c>
      <c r="G742">
        <v>23151</v>
      </c>
      <c r="H742" t="s">
        <v>25</v>
      </c>
    </row>
    <row r="743" spans="1:8" x14ac:dyDescent="0.25">
      <c r="A743">
        <v>500742</v>
      </c>
      <c r="B743">
        <v>445</v>
      </c>
      <c r="C743">
        <v>939</v>
      </c>
      <c r="D743">
        <v>3444</v>
      </c>
      <c r="E743" s="1">
        <v>45646</v>
      </c>
      <c r="F743" s="1">
        <v>45649</v>
      </c>
      <c r="G743">
        <v>30703</v>
      </c>
      <c r="H743" t="s">
        <v>14</v>
      </c>
    </row>
    <row r="744" spans="1:8" x14ac:dyDescent="0.25">
      <c r="A744">
        <v>500743</v>
      </c>
      <c r="B744">
        <v>156</v>
      </c>
      <c r="C744">
        <v>244</v>
      </c>
      <c r="D744">
        <v>3451</v>
      </c>
      <c r="E744" s="1">
        <v>45789</v>
      </c>
      <c r="F744" s="1">
        <v>45791</v>
      </c>
      <c r="G744">
        <v>36835</v>
      </c>
      <c r="H744" t="s">
        <v>25</v>
      </c>
    </row>
    <row r="745" spans="1:8" x14ac:dyDescent="0.25">
      <c r="A745">
        <v>500744</v>
      </c>
      <c r="B745">
        <v>121</v>
      </c>
      <c r="C745">
        <v>859</v>
      </c>
      <c r="D745">
        <v>3401</v>
      </c>
      <c r="E745" s="1">
        <v>45698</v>
      </c>
      <c r="F745" s="1">
        <v>45700</v>
      </c>
      <c r="G745">
        <v>26621</v>
      </c>
      <c r="H745" t="s">
        <v>10</v>
      </c>
    </row>
    <row r="746" spans="1:8" x14ac:dyDescent="0.25">
      <c r="A746">
        <v>500745</v>
      </c>
      <c r="B746">
        <v>200</v>
      </c>
      <c r="C746">
        <v>1359</v>
      </c>
      <c r="D746">
        <v>3214</v>
      </c>
      <c r="E746" s="1">
        <v>45657</v>
      </c>
      <c r="F746" s="1">
        <v>45665</v>
      </c>
      <c r="G746">
        <v>77268</v>
      </c>
      <c r="H746" t="s">
        <v>14</v>
      </c>
    </row>
    <row r="747" spans="1:8" x14ac:dyDescent="0.25">
      <c r="A747">
        <v>500746</v>
      </c>
      <c r="B747">
        <v>329</v>
      </c>
      <c r="C747">
        <v>298</v>
      </c>
      <c r="D747">
        <v>3372</v>
      </c>
      <c r="E747" s="1">
        <v>45766</v>
      </c>
      <c r="F747" s="1">
        <v>45770</v>
      </c>
      <c r="G747">
        <v>52981</v>
      </c>
      <c r="H747" t="s">
        <v>10</v>
      </c>
    </row>
    <row r="748" spans="1:8" x14ac:dyDescent="0.25">
      <c r="A748">
        <v>500747</v>
      </c>
      <c r="B748">
        <v>386</v>
      </c>
      <c r="C748">
        <v>1116</v>
      </c>
      <c r="D748">
        <v>3385</v>
      </c>
      <c r="E748" s="1">
        <v>45781</v>
      </c>
      <c r="F748" s="1">
        <v>45784</v>
      </c>
      <c r="G748">
        <v>25427</v>
      </c>
      <c r="H748" t="s">
        <v>10</v>
      </c>
    </row>
    <row r="749" spans="1:8" x14ac:dyDescent="0.25">
      <c r="A749">
        <v>500748</v>
      </c>
      <c r="B749">
        <v>188</v>
      </c>
      <c r="C749">
        <v>382</v>
      </c>
      <c r="D749">
        <v>3313</v>
      </c>
      <c r="E749" s="1">
        <v>45702</v>
      </c>
      <c r="F749" s="1">
        <v>45712</v>
      </c>
      <c r="G749">
        <v>147339</v>
      </c>
      <c r="H749" t="s">
        <v>10</v>
      </c>
    </row>
    <row r="750" spans="1:8" x14ac:dyDescent="0.25">
      <c r="A750">
        <v>500749</v>
      </c>
      <c r="B750">
        <v>155</v>
      </c>
      <c r="C750">
        <v>505</v>
      </c>
      <c r="D750">
        <v>3207</v>
      </c>
      <c r="E750" s="1">
        <v>45628</v>
      </c>
      <c r="F750" s="1">
        <v>45630</v>
      </c>
      <c r="G750">
        <v>58588</v>
      </c>
      <c r="H750" t="s">
        <v>14</v>
      </c>
    </row>
    <row r="751" spans="1:8" x14ac:dyDescent="0.25">
      <c r="A751">
        <v>500750</v>
      </c>
      <c r="B751">
        <v>268</v>
      </c>
      <c r="C751">
        <v>560</v>
      </c>
      <c r="D751">
        <v>3221</v>
      </c>
      <c r="E751" s="1">
        <v>45796</v>
      </c>
      <c r="F751" s="1">
        <v>45799</v>
      </c>
      <c r="G751">
        <v>33103</v>
      </c>
      <c r="H751" t="s">
        <v>14</v>
      </c>
    </row>
    <row r="752" spans="1:8" x14ac:dyDescent="0.25">
      <c r="A752">
        <v>500751</v>
      </c>
      <c r="B752">
        <v>484</v>
      </c>
      <c r="C752">
        <v>832</v>
      </c>
      <c r="D752">
        <v>3353</v>
      </c>
      <c r="E752" s="1">
        <v>45647</v>
      </c>
      <c r="F752" s="1">
        <v>45651</v>
      </c>
      <c r="G752">
        <v>41152</v>
      </c>
      <c r="H752" t="s">
        <v>10</v>
      </c>
    </row>
    <row r="753" spans="1:8" x14ac:dyDescent="0.25">
      <c r="A753">
        <v>500752</v>
      </c>
      <c r="B753">
        <v>389</v>
      </c>
      <c r="C753">
        <v>791</v>
      </c>
      <c r="D753">
        <v>3400</v>
      </c>
      <c r="E753" s="1">
        <v>45669</v>
      </c>
      <c r="F753" s="1">
        <v>45674</v>
      </c>
      <c r="G753">
        <v>57380</v>
      </c>
      <c r="H753" t="s">
        <v>25</v>
      </c>
    </row>
    <row r="754" spans="1:8" x14ac:dyDescent="0.25">
      <c r="A754">
        <v>500753</v>
      </c>
      <c r="B754">
        <v>504</v>
      </c>
      <c r="C754">
        <v>148</v>
      </c>
      <c r="D754">
        <v>3092</v>
      </c>
      <c r="E754" s="1">
        <v>45759</v>
      </c>
      <c r="F754" s="1">
        <v>45760</v>
      </c>
      <c r="G754">
        <v>31806</v>
      </c>
      <c r="H754" t="s">
        <v>14</v>
      </c>
    </row>
    <row r="755" spans="1:8" x14ac:dyDescent="0.25">
      <c r="A755">
        <v>500754</v>
      </c>
      <c r="B755">
        <v>186</v>
      </c>
      <c r="C755">
        <v>152</v>
      </c>
      <c r="D755">
        <v>3040</v>
      </c>
      <c r="E755" s="1">
        <v>45610</v>
      </c>
      <c r="F755" s="1">
        <v>45613</v>
      </c>
      <c r="G755">
        <v>62531</v>
      </c>
      <c r="H755" t="s">
        <v>10</v>
      </c>
    </row>
    <row r="756" spans="1:8" x14ac:dyDescent="0.25">
      <c r="A756">
        <v>500755</v>
      </c>
      <c r="B756">
        <v>510</v>
      </c>
      <c r="C756">
        <v>1127</v>
      </c>
      <c r="D756">
        <v>3199</v>
      </c>
      <c r="E756" s="1">
        <v>45599</v>
      </c>
      <c r="F756" s="1">
        <v>45610</v>
      </c>
      <c r="G756">
        <v>152085</v>
      </c>
      <c r="H756" t="s">
        <v>14</v>
      </c>
    </row>
    <row r="757" spans="1:8" x14ac:dyDescent="0.25">
      <c r="A757">
        <v>500756</v>
      </c>
      <c r="B757">
        <v>328</v>
      </c>
      <c r="C757">
        <v>1346</v>
      </c>
      <c r="D757">
        <v>3212</v>
      </c>
      <c r="E757" s="1">
        <v>45622</v>
      </c>
      <c r="F757" s="1">
        <v>45629</v>
      </c>
      <c r="G757">
        <v>96808</v>
      </c>
      <c r="H757" t="s">
        <v>25</v>
      </c>
    </row>
    <row r="758" spans="1:8" x14ac:dyDescent="0.25">
      <c r="A758">
        <v>500757</v>
      </c>
      <c r="B758">
        <v>219</v>
      </c>
      <c r="C758">
        <v>800</v>
      </c>
      <c r="D758">
        <v>3025</v>
      </c>
      <c r="E758" s="1">
        <v>45646</v>
      </c>
      <c r="F758" s="1">
        <v>45657</v>
      </c>
      <c r="G758">
        <v>120698</v>
      </c>
      <c r="H758" t="s">
        <v>10</v>
      </c>
    </row>
    <row r="759" spans="1:8" x14ac:dyDescent="0.25">
      <c r="A759">
        <v>500758</v>
      </c>
      <c r="B759">
        <v>174</v>
      </c>
      <c r="C759">
        <v>296</v>
      </c>
      <c r="D759">
        <v>3130</v>
      </c>
      <c r="E759" s="1">
        <v>45782</v>
      </c>
      <c r="F759" s="1">
        <v>45797</v>
      </c>
      <c r="G759">
        <v>230186</v>
      </c>
      <c r="H759" t="s">
        <v>14</v>
      </c>
    </row>
    <row r="760" spans="1:8" x14ac:dyDescent="0.25">
      <c r="A760">
        <v>500759</v>
      </c>
      <c r="B760">
        <v>310</v>
      </c>
      <c r="C760">
        <v>101</v>
      </c>
      <c r="D760">
        <v>3403</v>
      </c>
      <c r="E760" s="1">
        <v>45732</v>
      </c>
      <c r="F760" s="1">
        <v>45736</v>
      </c>
      <c r="G760">
        <v>40002</v>
      </c>
      <c r="H760" t="s">
        <v>14</v>
      </c>
    </row>
    <row r="761" spans="1:8" x14ac:dyDescent="0.25">
      <c r="A761">
        <v>500760</v>
      </c>
      <c r="B761">
        <v>218</v>
      </c>
      <c r="C761">
        <v>933</v>
      </c>
      <c r="D761">
        <v>3177</v>
      </c>
      <c r="E761" s="1">
        <v>45725</v>
      </c>
      <c r="F761" s="1">
        <v>45727</v>
      </c>
      <c r="G761">
        <v>73486</v>
      </c>
      <c r="H761" t="s">
        <v>10</v>
      </c>
    </row>
    <row r="762" spans="1:8" x14ac:dyDescent="0.25">
      <c r="A762">
        <v>500761</v>
      </c>
      <c r="B762">
        <v>434</v>
      </c>
      <c r="C762">
        <v>230</v>
      </c>
      <c r="D762">
        <v>3048</v>
      </c>
      <c r="E762" s="1">
        <v>45599</v>
      </c>
      <c r="F762" s="1">
        <v>45601</v>
      </c>
      <c r="G762">
        <v>40900</v>
      </c>
      <c r="H762" t="s">
        <v>14</v>
      </c>
    </row>
    <row r="763" spans="1:8" x14ac:dyDescent="0.25">
      <c r="A763">
        <v>500762</v>
      </c>
      <c r="B763">
        <v>488</v>
      </c>
      <c r="C763">
        <v>206</v>
      </c>
      <c r="D763">
        <v>3263</v>
      </c>
      <c r="E763" s="1">
        <v>45682</v>
      </c>
      <c r="F763" s="1">
        <v>45686</v>
      </c>
      <c r="G763">
        <v>46767</v>
      </c>
      <c r="H763" t="s">
        <v>14</v>
      </c>
    </row>
    <row r="764" spans="1:8" x14ac:dyDescent="0.25">
      <c r="A764">
        <v>500763</v>
      </c>
      <c r="B764">
        <v>174</v>
      </c>
      <c r="C764">
        <v>1013</v>
      </c>
      <c r="D764">
        <v>3355</v>
      </c>
      <c r="E764" s="1">
        <v>45675</v>
      </c>
      <c r="F764" s="1">
        <v>45676</v>
      </c>
      <c r="G764">
        <v>21810</v>
      </c>
      <c r="H764" t="s">
        <v>25</v>
      </c>
    </row>
    <row r="765" spans="1:8" x14ac:dyDescent="0.25">
      <c r="A765">
        <v>500764</v>
      </c>
      <c r="B765">
        <v>418</v>
      </c>
      <c r="C765">
        <v>1279</v>
      </c>
      <c r="D765">
        <v>3426</v>
      </c>
      <c r="E765" s="1">
        <v>45741</v>
      </c>
      <c r="F765" s="1">
        <v>45745</v>
      </c>
      <c r="G765">
        <v>77812</v>
      </c>
      <c r="H765" t="s">
        <v>10</v>
      </c>
    </row>
    <row r="766" spans="1:8" x14ac:dyDescent="0.25">
      <c r="A766">
        <v>500765</v>
      </c>
      <c r="B766">
        <v>90</v>
      </c>
      <c r="C766">
        <v>141</v>
      </c>
      <c r="D766">
        <v>3438</v>
      </c>
      <c r="E766" s="1">
        <v>45616</v>
      </c>
      <c r="F766" s="1">
        <v>45618</v>
      </c>
      <c r="G766">
        <v>38828</v>
      </c>
      <c r="H766" t="s">
        <v>14</v>
      </c>
    </row>
    <row r="767" spans="1:8" x14ac:dyDescent="0.25">
      <c r="A767">
        <v>500766</v>
      </c>
      <c r="B767">
        <v>263</v>
      </c>
      <c r="C767">
        <v>491</v>
      </c>
      <c r="D767">
        <v>3381</v>
      </c>
      <c r="E767" s="1">
        <v>45754</v>
      </c>
      <c r="F767" s="1">
        <v>45755</v>
      </c>
      <c r="G767">
        <v>20814</v>
      </c>
      <c r="H767" t="s">
        <v>10</v>
      </c>
    </row>
    <row r="768" spans="1:8" x14ac:dyDescent="0.25">
      <c r="A768">
        <v>500767</v>
      </c>
      <c r="B768">
        <v>401</v>
      </c>
      <c r="C768">
        <v>1339</v>
      </c>
      <c r="D768">
        <v>3194</v>
      </c>
      <c r="E768" s="1">
        <v>45794</v>
      </c>
      <c r="F768" s="1">
        <v>45808</v>
      </c>
      <c r="G768">
        <v>397022</v>
      </c>
      <c r="H768" t="s">
        <v>10</v>
      </c>
    </row>
    <row r="769" spans="1:8" x14ac:dyDescent="0.25">
      <c r="A769">
        <v>500768</v>
      </c>
      <c r="B769">
        <v>156</v>
      </c>
      <c r="C769">
        <v>959</v>
      </c>
      <c r="D769">
        <v>3195</v>
      </c>
      <c r="E769" s="1">
        <v>45774</v>
      </c>
      <c r="F769" s="1">
        <v>45777</v>
      </c>
      <c r="G769">
        <v>46855</v>
      </c>
      <c r="H769" t="s">
        <v>10</v>
      </c>
    </row>
    <row r="770" spans="1:8" x14ac:dyDescent="0.25">
      <c r="A770">
        <v>500769</v>
      </c>
      <c r="B770">
        <v>122</v>
      </c>
      <c r="C770">
        <v>1481</v>
      </c>
      <c r="D770">
        <v>3257</v>
      </c>
      <c r="E770" s="1">
        <v>45620</v>
      </c>
      <c r="F770" s="1">
        <v>45623</v>
      </c>
      <c r="G770">
        <v>50049</v>
      </c>
      <c r="H770" t="s">
        <v>10</v>
      </c>
    </row>
    <row r="771" spans="1:8" x14ac:dyDescent="0.25">
      <c r="A771">
        <v>500770</v>
      </c>
      <c r="B771">
        <v>506</v>
      </c>
      <c r="C771">
        <v>1077</v>
      </c>
      <c r="D771">
        <v>3344</v>
      </c>
      <c r="E771" s="1">
        <v>45737</v>
      </c>
      <c r="F771" s="1">
        <v>45741</v>
      </c>
      <c r="G771">
        <v>61021</v>
      </c>
      <c r="H771" t="s">
        <v>14</v>
      </c>
    </row>
    <row r="772" spans="1:8" x14ac:dyDescent="0.25">
      <c r="A772">
        <v>500771</v>
      </c>
      <c r="B772">
        <v>485</v>
      </c>
      <c r="C772">
        <v>1420</v>
      </c>
      <c r="D772">
        <v>3400</v>
      </c>
      <c r="E772" s="1">
        <v>45724</v>
      </c>
      <c r="F772" s="1">
        <v>45726</v>
      </c>
      <c r="G772">
        <v>31765</v>
      </c>
      <c r="H772" t="s">
        <v>14</v>
      </c>
    </row>
    <row r="773" spans="1:8" x14ac:dyDescent="0.25">
      <c r="A773">
        <v>500772</v>
      </c>
      <c r="B773">
        <v>121</v>
      </c>
      <c r="C773">
        <v>127</v>
      </c>
      <c r="D773">
        <v>3078</v>
      </c>
      <c r="E773" s="1">
        <v>45702</v>
      </c>
      <c r="F773" s="1">
        <v>45717</v>
      </c>
      <c r="G773">
        <v>161920</v>
      </c>
      <c r="H773" t="s">
        <v>14</v>
      </c>
    </row>
    <row r="774" spans="1:8" x14ac:dyDescent="0.25">
      <c r="A774">
        <v>500773</v>
      </c>
      <c r="B774">
        <v>528</v>
      </c>
      <c r="C774">
        <v>1433</v>
      </c>
      <c r="D774">
        <v>3227</v>
      </c>
      <c r="E774" s="1">
        <v>45701</v>
      </c>
      <c r="F774" s="1">
        <v>45704</v>
      </c>
      <c r="G774">
        <v>44757</v>
      </c>
      <c r="H774" t="s">
        <v>14</v>
      </c>
    </row>
    <row r="775" spans="1:8" x14ac:dyDescent="0.25">
      <c r="A775">
        <v>500774</v>
      </c>
      <c r="B775">
        <v>217</v>
      </c>
      <c r="C775">
        <v>207</v>
      </c>
      <c r="D775">
        <v>3058</v>
      </c>
      <c r="E775" s="1">
        <v>45648</v>
      </c>
      <c r="F775" s="1">
        <v>45650</v>
      </c>
      <c r="G775">
        <v>34692</v>
      </c>
      <c r="H775" t="s">
        <v>14</v>
      </c>
    </row>
    <row r="776" spans="1:8" x14ac:dyDescent="0.25">
      <c r="A776">
        <v>500775</v>
      </c>
      <c r="B776">
        <v>76</v>
      </c>
      <c r="C776">
        <v>1501</v>
      </c>
      <c r="D776">
        <v>3125</v>
      </c>
      <c r="E776" s="1">
        <v>45799</v>
      </c>
      <c r="F776" s="1">
        <v>45801</v>
      </c>
      <c r="G776">
        <v>35409</v>
      </c>
      <c r="H776" t="s">
        <v>14</v>
      </c>
    </row>
    <row r="777" spans="1:8" x14ac:dyDescent="0.25">
      <c r="A777">
        <v>500776</v>
      </c>
      <c r="B777">
        <v>433</v>
      </c>
      <c r="C777">
        <v>576</v>
      </c>
      <c r="D777">
        <v>3500</v>
      </c>
      <c r="E777" s="1">
        <v>45719</v>
      </c>
      <c r="F777" s="1">
        <v>45720</v>
      </c>
      <c r="G777">
        <v>21985</v>
      </c>
      <c r="H777" t="s">
        <v>10</v>
      </c>
    </row>
    <row r="778" spans="1:8" x14ac:dyDescent="0.25">
      <c r="A778">
        <v>500777</v>
      </c>
      <c r="B778">
        <v>386</v>
      </c>
      <c r="C778">
        <v>990</v>
      </c>
      <c r="D778">
        <v>3345</v>
      </c>
      <c r="E778" s="1">
        <v>45736</v>
      </c>
      <c r="F778" s="1">
        <v>45740</v>
      </c>
      <c r="G778">
        <v>55091</v>
      </c>
      <c r="H778" t="s">
        <v>10</v>
      </c>
    </row>
    <row r="779" spans="1:8" x14ac:dyDescent="0.25">
      <c r="A779">
        <v>500778</v>
      </c>
      <c r="B779">
        <v>47</v>
      </c>
      <c r="C779">
        <v>1510</v>
      </c>
      <c r="D779">
        <v>3356</v>
      </c>
      <c r="E779" s="1">
        <v>45736</v>
      </c>
      <c r="F779" s="1">
        <v>45738</v>
      </c>
      <c r="G779">
        <v>37178</v>
      </c>
      <c r="H779" t="s">
        <v>10</v>
      </c>
    </row>
    <row r="780" spans="1:8" x14ac:dyDescent="0.25">
      <c r="A780">
        <v>500779</v>
      </c>
      <c r="B780">
        <v>45</v>
      </c>
      <c r="C780">
        <v>780</v>
      </c>
      <c r="D780">
        <v>3316</v>
      </c>
      <c r="E780" s="1">
        <v>45730</v>
      </c>
      <c r="F780" s="1">
        <v>45737</v>
      </c>
      <c r="G780">
        <v>120326</v>
      </c>
      <c r="H780" t="s">
        <v>14</v>
      </c>
    </row>
    <row r="781" spans="1:8" x14ac:dyDescent="0.25">
      <c r="A781">
        <v>500780</v>
      </c>
      <c r="B781">
        <v>486</v>
      </c>
      <c r="C781">
        <v>452</v>
      </c>
      <c r="D781">
        <v>3280</v>
      </c>
      <c r="E781" s="1">
        <v>45770</v>
      </c>
      <c r="F781" s="1">
        <v>45771</v>
      </c>
      <c r="G781">
        <v>24669</v>
      </c>
      <c r="H781" t="s">
        <v>10</v>
      </c>
    </row>
    <row r="782" spans="1:8" x14ac:dyDescent="0.25">
      <c r="A782">
        <v>500781</v>
      </c>
      <c r="B782">
        <v>518</v>
      </c>
      <c r="C782">
        <v>600</v>
      </c>
      <c r="D782">
        <v>3427</v>
      </c>
      <c r="E782" s="1">
        <v>45726</v>
      </c>
      <c r="F782" s="1">
        <v>45729</v>
      </c>
      <c r="G782">
        <v>63789</v>
      </c>
      <c r="H782" t="s">
        <v>10</v>
      </c>
    </row>
    <row r="783" spans="1:8" x14ac:dyDescent="0.25">
      <c r="A783">
        <v>500782</v>
      </c>
      <c r="B783">
        <v>509</v>
      </c>
      <c r="C783">
        <v>550</v>
      </c>
      <c r="D783">
        <v>3239</v>
      </c>
      <c r="E783" s="1">
        <v>45775</v>
      </c>
      <c r="F783" s="1">
        <v>45788</v>
      </c>
      <c r="G783">
        <v>91531</v>
      </c>
      <c r="H783" t="s">
        <v>25</v>
      </c>
    </row>
    <row r="784" spans="1:8" x14ac:dyDescent="0.25">
      <c r="A784">
        <v>500783</v>
      </c>
      <c r="B784">
        <v>402</v>
      </c>
      <c r="C784">
        <v>882</v>
      </c>
      <c r="D784">
        <v>3349</v>
      </c>
      <c r="E784" s="1">
        <v>45704</v>
      </c>
      <c r="F784" s="1">
        <v>45707</v>
      </c>
      <c r="G784">
        <v>41907</v>
      </c>
      <c r="H784" t="s">
        <v>14</v>
      </c>
    </row>
    <row r="785" spans="1:8" x14ac:dyDescent="0.25">
      <c r="A785">
        <v>500784</v>
      </c>
      <c r="B785">
        <v>324</v>
      </c>
      <c r="C785">
        <v>866</v>
      </c>
      <c r="D785">
        <v>3286</v>
      </c>
      <c r="E785" s="1">
        <v>45633</v>
      </c>
      <c r="F785" s="1">
        <v>45635</v>
      </c>
      <c r="G785">
        <v>37649</v>
      </c>
      <c r="H785" t="s">
        <v>10</v>
      </c>
    </row>
    <row r="786" spans="1:8" x14ac:dyDescent="0.25">
      <c r="A786">
        <v>500785</v>
      </c>
      <c r="B786">
        <v>92</v>
      </c>
      <c r="C786">
        <v>1479</v>
      </c>
      <c r="D786">
        <v>3220</v>
      </c>
      <c r="E786" s="1">
        <v>45784</v>
      </c>
      <c r="F786" s="1">
        <v>45797</v>
      </c>
      <c r="G786">
        <v>341750</v>
      </c>
      <c r="H786" t="s">
        <v>10</v>
      </c>
    </row>
    <row r="787" spans="1:8" x14ac:dyDescent="0.25">
      <c r="A787">
        <v>500786</v>
      </c>
      <c r="B787">
        <v>219</v>
      </c>
      <c r="C787">
        <v>236</v>
      </c>
      <c r="D787">
        <v>3158</v>
      </c>
      <c r="E787" s="1">
        <v>45691</v>
      </c>
      <c r="F787" s="1">
        <v>45692</v>
      </c>
      <c r="G787">
        <v>19844</v>
      </c>
      <c r="H787" t="s">
        <v>14</v>
      </c>
    </row>
    <row r="788" spans="1:8" x14ac:dyDescent="0.25">
      <c r="A788">
        <v>500787</v>
      </c>
      <c r="B788">
        <v>137</v>
      </c>
      <c r="C788">
        <v>893</v>
      </c>
      <c r="D788">
        <v>3001</v>
      </c>
      <c r="E788" s="1">
        <v>45707</v>
      </c>
      <c r="F788" s="1">
        <v>45711</v>
      </c>
      <c r="G788">
        <v>69960</v>
      </c>
      <c r="H788" t="s">
        <v>10</v>
      </c>
    </row>
    <row r="789" spans="1:8" x14ac:dyDescent="0.25">
      <c r="A789">
        <v>500788</v>
      </c>
      <c r="B789">
        <v>458</v>
      </c>
      <c r="C789">
        <v>563</v>
      </c>
      <c r="D789">
        <v>3236</v>
      </c>
      <c r="E789" s="1">
        <v>45691</v>
      </c>
      <c r="F789" s="1">
        <v>45693</v>
      </c>
      <c r="G789">
        <v>47942</v>
      </c>
      <c r="H789" t="s">
        <v>10</v>
      </c>
    </row>
    <row r="790" spans="1:8" x14ac:dyDescent="0.25">
      <c r="A790">
        <v>500789</v>
      </c>
      <c r="B790">
        <v>117</v>
      </c>
      <c r="C790">
        <v>1072</v>
      </c>
      <c r="D790">
        <v>3212</v>
      </c>
      <c r="E790" s="1">
        <v>45632</v>
      </c>
      <c r="F790" s="1">
        <v>45635</v>
      </c>
      <c r="G790">
        <v>54628</v>
      </c>
      <c r="H790" t="s">
        <v>25</v>
      </c>
    </row>
    <row r="791" spans="1:8" x14ac:dyDescent="0.25">
      <c r="A791">
        <v>500790</v>
      </c>
      <c r="B791">
        <v>312</v>
      </c>
      <c r="C791">
        <v>129</v>
      </c>
      <c r="D791">
        <v>3058</v>
      </c>
      <c r="E791" s="1">
        <v>45608</v>
      </c>
      <c r="F791" s="1">
        <v>45609</v>
      </c>
      <c r="G791">
        <v>30373</v>
      </c>
      <c r="H791" t="s">
        <v>10</v>
      </c>
    </row>
    <row r="792" spans="1:8" x14ac:dyDescent="0.25">
      <c r="A792">
        <v>500791</v>
      </c>
      <c r="B792">
        <v>514</v>
      </c>
      <c r="C792">
        <v>369</v>
      </c>
      <c r="D792">
        <v>3144</v>
      </c>
      <c r="E792" s="1">
        <v>45692</v>
      </c>
      <c r="F792" s="1">
        <v>45707</v>
      </c>
      <c r="G792">
        <v>125935</v>
      </c>
      <c r="H792" t="s">
        <v>10</v>
      </c>
    </row>
    <row r="793" spans="1:8" x14ac:dyDescent="0.25">
      <c r="A793">
        <v>500792</v>
      </c>
      <c r="B793">
        <v>232</v>
      </c>
      <c r="C793">
        <v>408</v>
      </c>
      <c r="D793">
        <v>3308</v>
      </c>
      <c r="E793" s="1">
        <v>45738</v>
      </c>
      <c r="F793" s="1">
        <v>45740</v>
      </c>
      <c r="G793">
        <v>52381</v>
      </c>
      <c r="H793" t="s">
        <v>14</v>
      </c>
    </row>
    <row r="794" spans="1:8" x14ac:dyDescent="0.25">
      <c r="A794">
        <v>500793</v>
      </c>
      <c r="B794">
        <v>509</v>
      </c>
      <c r="C794">
        <v>454</v>
      </c>
      <c r="D794">
        <v>3280</v>
      </c>
      <c r="E794" s="1">
        <v>45676</v>
      </c>
      <c r="F794" s="1">
        <v>45678</v>
      </c>
      <c r="G794">
        <v>45637</v>
      </c>
      <c r="H794" t="s">
        <v>14</v>
      </c>
    </row>
    <row r="795" spans="1:8" x14ac:dyDescent="0.25">
      <c r="A795">
        <v>500794</v>
      </c>
      <c r="B795">
        <v>267</v>
      </c>
      <c r="C795">
        <v>1599</v>
      </c>
      <c r="D795">
        <v>3117</v>
      </c>
      <c r="E795" s="1">
        <v>45634</v>
      </c>
      <c r="F795" s="1">
        <v>45635</v>
      </c>
      <c r="G795">
        <v>34949</v>
      </c>
      <c r="H795" t="s">
        <v>10</v>
      </c>
    </row>
    <row r="796" spans="1:8" x14ac:dyDescent="0.25">
      <c r="A796">
        <v>500795</v>
      </c>
      <c r="B796">
        <v>15</v>
      </c>
      <c r="C796">
        <v>1477</v>
      </c>
      <c r="D796">
        <v>3184</v>
      </c>
      <c r="E796" s="1">
        <v>45733</v>
      </c>
      <c r="F796" s="1">
        <v>45735</v>
      </c>
      <c r="G796">
        <v>72811</v>
      </c>
      <c r="H796" t="s">
        <v>25</v>
      </c>
    </row>
    <row r="797" spans="1:8" x14ac:dyDescent="0.25">
      <c r="A797">
        <v>500796</v>
      </c>
      <c r="B797">
        <v>230</v>
      </c>
      <c r="C797">
        <v>1071</v>
      </c>
      <c r="D797">
        <v>3345</v>
      </c>
      <c r="E797" s="1">
        <v>45695</v>
      </c>
      <c r="F797" s="1">
        <v>45699</v>
      </c>
      <c r="G797">
        <v>67937</v>
      </c>
      <c r="H797" t="s">
        <v>10</v>
      </c>
    </row>
    <row r="798" spans="1:8" x14ac:dyDescent="0.25">
      <c r="A798">
        <v>500797</v>
      </c>
      <c r="B798">
        <v>469</v>
      </c>
      <c r="C798">
        <v>554</v>
      </c>
      <c r="D798">
        <v>3039</v>
      </c>
      <c r="E798" s="1">
        <v>45793</v>
      </c>
      <c r="F798" s="1">
        <v>45797</v>
      </c>
      <c r="G798">
        <v>80914</v>
      </c>
      <c r="H798" t="s">
        <v>25</v>
      </c>
    </row>
    <row r="799" spans="1:8" x14ac:dyDescent="0.25">
      <c r="A799">
        <v>500798</v>
      </c>
      <c r="B799">
        <v>468</v>
      </c>
      <c r="C799">
        <v>476</v>
      </c>
      <c r="D799">
        <v>3399</v>
      </c>
      <c r="E799" s="1">
        <v>45696</v>
      </c>
      <c r="F799" s="1">
        <v>45698</v>
      </c>
      <c r="G799">
        <v>49845</v>
      </c>
      <c r="H799" t="s">
        <v>10</v>
      </c>
    </row>
    <row r="800" spans="1:8" x14ac:dyDescent="0.25">
      <c r="A800">
        <v>500799</v>
      </c>
      <c r="B800">
        <v>372</v>
      </c>
      <c r="C800">
        <v>291</v>
      </c>
      <c r="D800">
        <v>3416</v>
      </c>
      <c r="E800" s="1">
        <v>45633</v>
      </c>
      <c r="F800" s="1">
        <v>45647</v>
      </c>
      <c r="G800">
        <v>173190</v>
      </c>
      <c r="H800" t="s">
        <v>10</v>
      </c>
    </row>
    <row r="801" spans="1:8" x14ac:dyDescent="0.25">
      <c r="A801">
        <v>500800</v>
      </c>
      <c r="B801">
        <v>44</v>
      </c>
      <c r="C801">
        <v>1141</v>
      </c>
      <c r="D801">
        <v>3129</v>
      </c>
      <c r="E801" s="1">
        <v>45681</v>
      </c>
      <c r="F801" s="1">
        <v>45685</v>
      </c>
      <c r="G801">
        <v>41957</v>
      </c>
      <c r="H801" t="s">
        <v>14</v>
      </c>
    </row>
    <row r="802" spans="1:8" x14ac:dyDescent="0.25">
      <c r="A802">
        <v>500801</v>
      </c>
      <c r="B802">
        <v>117</v>
      </c>
      <c r="C802">
        <v>761</v>
      </c>
      <c r="D802">
        <v>3471</v>
      </c>
      <c r="E802" s="1">
        <v>45798</v>
      </c>
      <c r="F802" s="1">
        <v>45805</v>
      </c>
      <c r="G802">
        <v>201320</v>
      </c>
      <c r="H802" t="s">
        <v>14</v>
      </c>
    </row>
    <row r="803" spans="1:8" x14ac:dyDescent="0.25">
      <c r="A803">
        <v>500802</v>
      </c>
      <c r="B803">
        <v>170</v>
      </c>
      <c r="C803">
        <v>985</v>
      </c>
      <c r="D803">
        <v>3353</v>
      </c>
      <c r="E803" s="1">
        <v>45735</v>
      </c>
      <c r="F803" s="1">
        <v>45743</v>
      </c>
      <c r="G803">
        <v>91701</v>
      </c>
      <c r="H803" t="s">
        <v>10</v>
      </c>
    </row>
    <row r="804" spans="1:8" x14ac:dyDescent="0.25">
      <c r="A804">
        <v>500803</v>
      </c>
      <c r="B804">
        <v>119</v>
      </c>
      <c r="C804">
        <v>1152</v>
      </c>
      <c r="D804">
        <v>3433</v>
      </c>
      <c r="E804" s="1">
        <v>45687</v>
      </c>
      <c r="F804" s="1">
        <v>45691</v>
      </c>
      <c r="G804">
        <v>60951</v>
      </c>
      <c r="H804" t="s">
        <v>10</v>
      </c>
    </row>
    <row r="805" spans="1:8" x14ac:dyDescent="0.25">
      <c r="A805">
        <v>500804</v>
      </c>
      <c r="B805">
        <v>420</v>
      </c>
      <c r="C805">
        <v>729</v>
      </c>
      <c r="D805">
        <v>3092</v>
      </c>
      <c r="E805" s="1">
        <v>45605</v>
      </c>
      <c r="F805" s="1">
        <v>45624</v>
      </c>
      <c r="G805">
        <v>250589</v>
      </c>
      <c r="H805" t="s">
        <v>10</v>
      </c>
    </row>
    <row r="806" spans="1:8" x14ac:dyDescent="0.25">
      <c r="A806">
        <v>500805</v>
      </c>
      <c r="B806">
        <v>203</v>
      </c>
      <c r="C806">
        <v>423</v>
      </c>
      <c r="D806">
        <v>3174</v>
      </c>
      <c r="E806" s="1">
        <v>45685</v>
      </c>
      <c r="F806" s="1">
        <v>45692</v>
      </c>
      <c r="G806">
        <v>68802</v>
      </c>
      <c r="H806" t="s">
        <v>10</v>
      </c>
    </row>
    <row r="807" spans="1:8" x14ac:dyDescent="0.25">
      <c r="A807">
        <v>500806</v>
      </c>
      <c r="B807">
        <v>156</v>
      </c>
      <c r="C807">
        <v>1268</v>
      </c>
      <c r="D807">
        <v>3330</v>
      </c>
      <c r="E807" s="1">
        <v>45793</v>
      </c>
      <c r="F807" s="1">
        <v>45795</v>
      </c>
      <c r="G807">
        <v>26254</v>
      </c>
      <c r="H807" t="s">
        <v>10</v>
      </c>
    </row>
    <row r="808" spans="1:8" x14ac:dyDescent="0.25">
      <c r="A808">
        <v>500807</v>
      </c>
      <c r="B808">
        <v>49</v>
      </c>
      <c r="C808">
        <v>1513</v>
      </c>
      <c r="D808">
        <v>3065</v>
      </c>
      <c r="E808" s="1">
        <v>45765</v>
      </c>
      <c r="F808" s="1">
        <v>45768</v>
      </c>
      <c r="G808">
        <v>40166</v>
      </c>
      <c r="H808" t="s">
        <v>10</v>
      </c>
    </row>
    <row r="809" spans="1:8" x14ac:dyDescent="0.25">
      <c r="A809">
        <v>500808</v>
      </c>
      <c r="B809">
        <v>244</v>
      </c>
      <c r="C809">
        <v>539</v>
      </c>
      <c r="D809">
        <v>3314</v>
      </c>
      <c r="E809" s="1">
        <v>45685</v>
      </c>
      <c r="F809" s="1">
        <v>45687</v>
      </c>
      <c r="G809">
        <v>44063</v>
      </c>
      <c r="H809" t="s">
        <v>10</v>
      </c>
    </row>
    <row r="810" spans="1:8" x14ac:dyDescent="0.25">
      <c r="A810">
        <v>500809</v>
      </c>
      <c r="B810">
        <v>516</v>
      </c>
      <c r="C810">
        <v>1221</v>
      </c>
      <c r="D810">
        <v>3466</v>
      </c>
      <c r="E810" s="1">
        <v>45666</v>
      </c>
      <c r="F810" s="1">
        <v>45681</v>
      </c>
      <c r="G810">
        <v>383588</v>
      </c>
      <c r="H810" t="s">
        <v>10</v>
      </c>
    </row>
    <row r="811" spans="1:8" x14ac:dyDescent="0.25">
      <c r="A811">
        <v>500810</v>
      </c>
      <c r="B811">
        <v>16</v>
      </c>
      <c r="C811">
        <v>1120</v>
      </c>
      <c r="D811">
        <v>3126</v>
      </c>
      <c r="E811" s="1">
        <v>45753</v>
      </c>
      <c r="F811" s="1">
        <v>45759</v>
      </c>
      <c r="G811">
        <v>70911</v>
      </c>
      <c r="H811" t="s">
        <v>14</v>
      </c>
    </row>
    <row r="812" spans="1:8" x14ac:dyDescent="0.25">
      <c r="A812">
        <v>500811</v>
      </c>
      <c r="B812">
        <v>137</v>
      </c>
      <c r="C812">
        <v>1328</v>
      </c>
      <c r="D812">
        <v>3020</v>
      </c>
      <c r="E812" s="1">
        <v>45621</v>
      </c>
      <c r="F812" s="1">
        <v>45622</v>
      </c>
      <c r="G812">
        <v>16237</v>
      </c>
      <c r="H812" t="s">
        <v>14</v>
      </c>
    </row>
    <row r="813" spans="1:8" x14ac:dyDescent="0.25">
      <c r="A813">
        <v>500812</v>
      </c>
      <c r="B813">
        <v>48</v>
      </c>
      <c r="C813">
        <v>568</v>
      </c>
      <c r="D813">
        <v>3428</v>
      </c>
      <c r="E813" s="1">
        <v>45707</v>
      </c>
      <c r="F813" s="1">
        <v>45715</v>
      </c>
      <c r="G813">
        <v>103152</v>
      </c>
      <c r="H813" t="s">
        <v>25</v>
      </c>
    </row>
    <row r="814" spans="1:8" x14ac:dyDescent="0.25">
      <c r="A814">
        <v>500813</v>
      </c>
      <c r="B814">
        <v>457</v>
      </c>
      <c r="C814">
        <v>308</v>
      </c>
      <c r="D814">
        <v>3492</v>
      </c>
      <c r="E814" s="1">
        <v>45714</v>
      </c>
      <c r="F814" s="1">
        <v>45727</v>
      </c>
      <c r="G814">
        <v>218464</v>
      </c>
      <c r="H814" t="s">
        <v>14</v>
      </c>
    </row>
    <row r="815" spans="1:8" x14ac:dyDescent="0.25">
      <c r="A815">
        <v>500814</v>
      </c>
      <c r="B815">
        <v>309</v>
      </c>
      <c r="C815">
        <v>832</v>
      </c>
      <c r="D815">
        <v>3139</v>
      </c>
      <c r="E815" s="1">
        <v>45780</v>
      </c>
      <c r="F815" s="1">
        <v>45783</v>
      </c>
      <c r="G815">
        <v>39235</v>
      </c>
      <c r="H815" t="s">
        <v>10</v>
      </c>
    </row>
    <row r="816" spans="1:8" x14ac:dyDescent="0.25">
      <c r="A816">
        <v>500815</v>
      </c>
      <c r="B816">
        <v>247</v>
      </c>
      <c r="C816">
        <v>692</v>
      </c>
      <c r="D816">
        <v>3426</v>
      </c>
      <c r="E816" s="1">
        <v>45737</v>
      </c>
      <c r="F816" s="1">
        <v>45760</v>
      </c>
      <c r="G816">
        <v>493123</v>
      </c>
      <c r="H816" t="s">
        <v>14</v>
      </c>
    </row>
    <row r="817" spans="1:8" x14ac:dyDescent="0.25">
      <c r="A817">
        <v>500816</v>
      </c>
      <c r="B817">
        <v>389</v>
      </c>
      <c r="C817">
        <v>410</v>
      </c>
      <c r="D817">
        <v>3034</v>
      </c>
      <c r="E817" s="1">
        <v>45775</v>
      </c>
      <c r="F817" s="1">
        <v>45777</v>
      </c>
      <c r="G817">
        <v>26503</v>
      </c>
      <c r="H817" t="s">
        <v>10</v>
      </c>
    </row>
    <row r="818" spans="1:8" x14ac:dyDescent="0.25">
      <c r="A818">
        <v>500817</v>
      </c>
      <c r="B818">
        <v>429</v>
      </c>
      <c r="C818">
        <v>761</v>
      </c>
      <c r="D818">
        <v>3489</v>
      </c>
      <c r="E818" s="1">
        <v>45794</v>
      </c>
      <c r="F818" s="1">
        <v>45808</v>
      </c>
      <c r="G818">
        <v>128125</v>
      </c>
      <c r="H818" t="s">
        <v>14</v>
      </c>
    </row>
    <row r="819" spans="1:8" x14ac:dyDescent="0.25">
      <c r="A819">
        <v>500818</v>
      </c>
      <c r="B819">
        <v>487</v>
      </c>
      <c r="C819">
        <v>1588</v>
      </c>
      <c r="D819">
        <v>3441</v>
      </c>
      <c r="E819" s="1">
        <v>45750</v>
      </c>
      <c r="F819" s="1">
        <v>45752</v>
      </c>
      <c r="G819">
        <v>33254</v>
      </c>
      <c r="H819" t="s">
        <v>10</v>
      </c>
    </row>
    <row r="820" spans="1:8" x14ac:dyDescent="0.25">
      <c r="A820">
        <v>500819</v>
      </c>
      <c r="B820">
        <v>388</v>
      </c>
      <c r="C820">
        <v>1171</v>
      </c>
      <c r="D820">
        <v>3316</v>
      </c>
      <c r="E820" s="1">
        <v>45741</v>
      </c>
      <c r="F820" s="1">
        <v>45744</v>
      </c>
      <c r="G820">
        <v>78688</v>
      </c>
      <c r="H820" t="s">
        <v>25</v>
      </c>
    </row>
    <row r="821" spans="1:8" x14ac:dyDescent="0.25">
      <c r="A821">
        <v>500820</v>
      </c>
      <c r="B821">
        <v>387</v>
      </c>
      <c r="C821">
        <v>750</v>
      </c>
      <c r="D821">
        <v>3492</v>
      </c>
      <c r="E821" s="1">
        <v>45687</v>
      </c>
      <c r="F821" s="1">
        <v>45688</v>
      </c>
      <c r="G821">
        <v>35748</v>
      </c>
      <c r="H821" t="s">
        <v>10</v>
      </c>
    </row>
    <row r="822" spans="1:8" x14ac:dyDescent="0.25">
      <c r="A822">
        <v>500821</v>
      </c>
      <c r="B822">
        <v>247</v>
      </c>
      <c r="C822">
        <v>167</v>
      </c>
      <c r="D822">
        <v>3129</v>
      </c>
      <c r="E822" s="1">
        <v>45646</v>
      </c>
      <c r="F822" s="1">
        <v>45648</v>
      </c>
      <c r="G822">
        <v>20633</v>
      </c>
      <c r="H822" t="s">
        <v>10</v>
      </c>
    </row>
    <row r="823" spans="1:8" x14ac:dyDescent="0.25">
      <c r="A823">
        <v>500822</v>
      </c>
      <c r="B823">
        <v>187</v>
      </c>
      <c r="C823">
        <v>471</v>
      </c>
      <c r="D823">
        <v>3367</v>
      </c>
      <c r="E823" s="1">
        <v>45680</v>
      </c>
      <c r="F823" s="1">
        <v>45682</v>
      </c>
      <c r="G823">
        <v>36130</v>
      </c>
      <c r="H823" t="s">
        <v>10</v>
      </c>
    </row>
    <row r="824" spans="1:8" x14ac:dyDescent="0.25">
      <c r="A824">
        <v>500823</v>
      </c>
      <c r="B824">
        <v>469</v>
      </c>
      <c r="C824">
        <v>553</v>
      </c>
      <c r="D824">
        <v>3305</v>
      </c>
      <c r="E824" s="1">
        <v>45759</v>
      </c>
      <c r="F824" s="1">
        <v>45761</v>
      </c>
      <c r="G824">
        <v>36011</v>
      </c>
      <c r="H824" t="s">
        <v>14</v>
      </c>
    </row>
    <row r="825" spans="1:8" x14ac:dyDescent="0.25">
      <c r="A825">
        <v>500824</v>
      </c>
      <c r="B825">
        <v>268</v>
      </c>
      <c r="C825">
        <v>1524</v>
      </c>
      <c r="D825">
        <v>3426</v>
      </c>
      <c r="E825" s="1">
        <v>45771</v>
      </c>
      <c r="F825" s="1">
        <v>45779</v>
      </c>
      <c r="G825">
        <v>80956</v>
      </c>
      <c r="H825" t="s">
        <v>10</v>
      </c>
    </row>
    <row r="826" spans="1:8" x14ac:dyDescent="0.25">
      <c r="A826">
        <v>500825</v>
      </c>
      <c r="B826">
        <v>515</v>
      </c>
      <c r="C826">
        <v>1080</v>
      </c>
      <c r="D826">
        <v>3500</v>
      </c>
      <c r="E826" s="1">
        <v>45710</v>
      </c>
      <c r="F826" s="1">
        <v>45718</v>
      </c>
      <c r="G826">
        <v>131667</v>
      </c>
      <c r="H826" t="s">
        <v>14</v>
      </c>
    </row>
    <row r="827" spans="1:8" x14ac:dyDescent="0.25">
      <c r="A827">
        <v>500826</v>
      </c>
      <c r="B827">
        <v>59</v>
      </c>
      <c r="C827">
        <v>1496</v>
      </c>
      <c r="D827">
        <v>3213</v>
      </c>
      <c r="E827" s="1">
        <v>45657</v>
      </c>
      <c r="F827" s="1">
        <v>45660</v>
      </c>
      <c r="G827">
        <v>40514</v>
      </c>
      <c r="H827" t="s">
        <v>10</v>
      </c>
    </row>
    <row r="828" spans="1:8" x14ac:dyDescent="0.25">
      <c r="A828">
        <v>500827</v>
      </c>
      <c r="B828">
        <v>78</v>
      </c>
      <c r="C828">
        <v>394</v>
      </c>
      <c r="D828">
        <v>3321</v>
      </c>
      <c r="E828" s="1">
        <v>45716</v>
      </c>
      <c r="F828" s="1">
        <v>45719</v>
      </c>
      <c r="G828">
        <v>27600</v>
      </c>
      <c r="H828" t="s">
        <v>10</v>
      </c>
    </row>
    <row r="829" spans="1:8" x14ac:dyDescent="0.25">
      <c r="A829">
        <v>500828</v>
      </c>
      <c r="B829">
        <v>515</v>
      </c>
      <c r="C829">
        <v>530</v>
      </c>
      <c r="D829">
        <v>3359</v>
      </c>
      <c r="E829" s="1">
        <v>45776</v>
      </c>
      <c r="F829" s="1">
        <v>45779</v>
      </c>
      <c r="G829">
        <v>32830</v>
      </c>
      <c r="H829" t="s">
        <v>10</v>
      </c>
    </row>
    <row r="830" spans="1:8" x14ac:dyDescent="0.25">
      <c r="A830">
        <v>500829</v>
      </c>
      <c r="B830">
        <v>230</v>
      </c>
      <c r="C830">
        <v>387</v>
      </c>
      <c r="D830">
        <v>3310</v>
      </c>
      <c r="E830" s="1">
        <v>45690</v>
      </c>
      <c r="F830" s="1">
        <v>45694</v>
      </c>
      <c r="G830">
        <v>83338</v>
      </c>
      <c r="H830" t="s">
        <v>10</v>
      </c>
    </row>
    <row r="831" spans="1:8" x14ac:dyDescent="0.25">
      <c r="A831">
        <v>500830</v>
      </c>
      <c r="B831">
        <v>514</v>
      </c>
      <c r="C831">
        <v>338</v>
      </c>
      <c r="D831">
        <v>3101</v>
      </c>
      <c r="E831" s="1">
        <v>45609</v>
      </c>
      <c r="F831" s="1">
        <v>45611</v>
      </c>
      <c r="G831">
        <v>39576</v>
      </c>
      <c r="H831" t="s">
        <v>10</v>
      </c>
    </row>
    <row r="832" spans="1:8" x14ac:dyDescent="0.25">
      <c r="A832">
        <v>500831</v>
      </c>
      <c r="B832">
        <v>186</v>
      </c>
      <c r="C832">
        <v>1066</v>
      </c>
      <c r="D832">
        <v>3071</v>
      </c>
      <c r="E832" s="1">
        <v>45729</v>
      </c>
      <c r="F832" s="1">
        <v>45731</v>
      </c>
      <c r="G832">
        <v>69870</v>
      </c>
      <c r="H832" t="s">
        <v>14</v>
      </c>
    </row>
    <row r="833" spans="1:8" x14ac:dyDescent="0.25">
      <c r="A833">
        <v>500832</v>
      </c>
      <c r="B833">
        <v>229</v>
      </c>
      <c r="C833">
        <v>694</v>
      </c>
      <c r="D833">
        <v>3080</v>
      </c>
      <c r="E833" s="1">
        <v>45605</v>
      </c>
      <c r="F833" s="1">
        <v>45613</v>
      </c>
      <c r="G833">
        <v>90448</v>
      </c>
      <c r="H833" t="s">
        <v>10</v>
      </c>
    </row>
    <row r="834" spans="1:8" x14ac:dyDescent="0.25">
      <c r="A834">
        <v>500833</v>
      </c>
      <c r="B834">
        <v>324</v>
      </c>
      <c r="C834">
        <v>997</v>
      </c>
      <c r="D834">
        <v>3208</v>
      </c>
      <c r="E834" s="1">
        <v>45706</v>
      </c>
      <c r="F834" s="1">
        <v>45708</v>
      </c>
      <c r="G834">
        <v>30791</v>
      </c>
      <c r="H834" t="s">
        <v>14</v>
      </c>
    </row>
    <row r="835" spans="1:8" x14ac:dyDescent="0.25">
      <c r="A835">
        <v>500834</v>
      </c>
      <c r="B835">
        <v>231</v>
      </c>
      <c r="C835">
        <v>609</v>
      </c>
      <c r="D835">
        <v>3272</v>
      </c>
      <c r="E835" s="1">
        <v>45783</v>
      </c>
      <c r="F835" s="1">
        <v>45786</v>
      </c>
      <c r="G835">
        <v>49271</v>
      </c>
      <c r="H835" t="s">
        <v>25</v>
      </c>
    </row>
    <row r="836" spans="1:8" x14ac:dyDescent="0.25">
      <c r="A836">
        <v>500835</v>
      </c>
      <c r="B836">
        <v>268</v>
      </c>
      <c r="C836">
        <v>608</v>
      </c>
      <c r="D836">
        <v>3384</v>
      </c>
      <c r="E836" s="1">
        <v>45689</v>
      </c>
      <c r="F836" s="1">
        <v>45694</v>
      </c>
      <c r="G836">
        <v>84620</v>
      </c>
      <c r="H836" t="s">
        <v>10</v>
      </c>
    </row>
    <row r="837" spans="1:8" x14ac:dyDescent="0.25">
      <c r="A837">
        <v>500836</v>
      </c>
      <c r="B837">
        <v>19</v>
      </c>
      <c r="C837">
        <v>764</v>
      </c>
      <c r="D837">
        <v>3386</v>
      </c>
      <c r="E837" s="1">
        <v>45720</v>
      </c>
      <c r="F837" s="1">
        <v>45722</v>
      </c>
      <c r="G837">
        <v>41835</v>
      </c>
      <c r="H837" t="s">
        <v>10</v>
      </c>
    </row>
    <row r="838" spans="1:8" x14ac:dyDescent="0.25">
      <c r="A838">
        <v>500837</v>
      </c>
      <c r="B838">
        <v>309</v>
      </c>
      <c r="C838">
        <v>1588</v>
      </c>
      <c r="D838">
        <v>3491</v>
      </c>
      <c r="E838" s="1">
        <v>45801</v>
      </c>
      <c r="F838" s="1">
        <v>45802</v>
      </c>
      <c r="G838">
        <v>20661</v>
      </c>
      <c r="H838" t="s">
        <v>10</v>
      </c>
    </row>
    <row r="839" spans="1:8" x14ac:dyDescent="0.25">
      <c r="A839">
        <v>500838</v>
      </c>
      <c r="B839">
        <v>312</v>
      </c>
      <c r="C839">
        <v>455</v>
      </c>
      <c r="D839">
        <v>3395</v>
      </c>
      <c r="E839" s="1">
        <v>45618</v>
      </c>
      <c r="F839" s="1">
        <v>45619</v>
      </c>
      <c r="G839">
        <v>17368</v>
      </c>
      <c r="H839" t="s">
        <v>14</v>
      </c>
    </row>
    <row r="840" spans="1:8" x14ac:dyDescent="0.25">
      <c r="A840">
        <v>500839</v>
      </c>
      <c r="B840">
        <v>230</v>
      </c>
      <c r="C840">
        <v>1106</v>
      </c>
      <c r="D840">
        <v>3396</v>
      </c>
      <c r="E840" s="1">
        <v>45719</v>
      </c>
      <c r="F840" s="1">
        <v>45721</v>
      </c>
      <c r="G840">
        <v>61141</v>
      </c>
      <c r="H840" t="s">
        <v>10</v>
      </c>
    </row>
    <row r="841" spans="1:8" x14ac:dyDescent="0.25">
      <c r="A841">
        <v>500840</v>
      </c>
      <c r="B841">
        <v>76</v>
      </c>
      <c r="C841">
        <v>575</v>
      </c>
      <c r="D841">
        <v>3399</v>
      </c>
      <c r="E841" s="1">
        <v>45644</v>
      </c>
      <c r="F841" s="1">
        <v>45648</v>
      </c>
      <c r="G841">
        <v>30410</v>
      </c>
      <c r="H841" t="s">
        <v>10</v>
      </c>
    </row>
    <row r="842" spans="1:8" x14ac:dyDescent="0.25">
      <c r="A842">
        <v>500841</v>
      </c>
      <c r="B842">
        <v>79</v>
      </c>
      <c r="C842">
        <v>259</v>
      </c>
      <c r="D842">
        <v>3005</v>
      </c>
      <c r="E842" s="1">
        <v>45668</v>
      </c>
      <c r="F842" s="1">
        <v>45672</v>
      </c>
      <c r="G842">
        <v>133546</v>
      </c>
      <c r="H842" t="s">
        <v>14</v>
      </c>
    </row>
    <row r="843" spans="1:8" x14ac:dyDescent="0.25">
      <c r="A843">
        <v>500842</v>
      </c>
      <c r="B843">
        <v>30</v>
      </c>
      <c r="C843">
        <v>1523</v>
      </c>
      <c r="D843">
        <v>3471</v>
      </c>
      <c r="E843" s="1">
        <v>45669</v>
      </c>
      <c r="F843" s="1">
        <v>45671</v>
      </c>
      <c r="G843">
        <v>50804</v>
      </c>
      <c r="H843" t="s">
        <v>14</v>
      </c>
    </row>
    <row r="844" spans="1:8" x14ac:dyDescent="0.25">
      <c r="A844">
        <v>500843</v>
      </c>
      <c r="B844">
        <v>470</v>
      </c>
      <c r="C844">
        <v>1297</v>
      </c>
      <c r="D844">
        <v>3415</v>
      </c>
      <c r="E844" s="1">
        <v>45803</v>
      </c>
      <c r="F844" s="1">
        <v>45808</v>
      </c>
      <c r="G844">
        <v>49247</v>
      </c>
      <c r="H844" t="s">
        <v>25</v>
      </c>
    </row>
    <row r="845" spans="1:8" x14ac:dyDescent="0.25">
      <c r="A845">
        <v>500844</v>
      </c>
      <c r="B845">
        <v>11</v>
      </c>
      <c r="C845">
        <v>716</v>
      </c>
      <c r="D845">
        <v>3077</v>
      </c>
      <c r="E845" s="1">
        <v>45689</v>
      </c>
      <c r="F845" s="1">
        <v>45691</v>
      </c>
      <c r="G845">
        <v>36484</v>
      </c>
      <c r="H845" t="s">
        <v>25</v>
      </c>
    </row>
    <row r="846" spans="1:8" x14ac:dyDescent="0.25">
      <c r="A846">
        <v>500845</v>
      </c>
      <c r="B846">
        <v>429</v>
      </c>
      <c r="C846">
        <v>1443</v>
      </c>
      <c r="D846">
        <v>3207</v>
      </c>
      <c r="E846" s="1">
        <v>45736</v>
      </c>
      <c r="F846" s="1">
        <v>45751</v>
      </c>
      <c r="G846">
        <v>271168</v>
      </c>
      <c r="H846" t="s">
        <v>10</v>
      </c>
    </row>
    <row r="847" spans="1:8" x14ac:dyDescent="0.25">
      <c r="A847">
        <v>500846</v>
      </c>
      <c r="B847">
        <v>189</v>
      </c>
      <c r="C847">
        <v>1441</v>
      </c>
      <c r="D847">
        <v>3030</v>
      </c>
      <c r="E847" s="1">
        <v>45644</v>
      </c>
      <c r="F847" s="1">
        <v>45647</v>
      </c>
      <c r="G847">
        <v>41762</v>
      </c>
      <c r="H847" t="s">
        <v>14</v>
      </c>
    </row>
    <row r="848" spans="1:8" x14ac:dyDescent="0.25">
      <c r="A848">
        <v>500847</v>
      </c>
      <c r="B848">
        <v>75</v>
      </c>
      <c r="C848">
        <v>1504</v>
      </c>
      <c r="D848">
        <v>3259</v>
      </c>
      <c r="E848" s="1">
        <v>45778</v>
      </c>
      <c r="F848" s="1">
        <v>45780</v>
      </c>
      <c r="G848">
        <v>32524</v>
      </c>
      <c r="H848" t="s">
        <v>10</v>
      </c>
    </row>
    <row r="849" spans="1:8" x14ac:dyDescent="0.25">
      <c r="A849">
        <v>500848</v>
      </c>
      <c r="B849">
        <v>173</v>
      </c>
      <c r="C849">
        <v>1304</v>
      </c>
      <c r="D849">
        <v>3199</v>
      </c>
      <c r="E849" s="1">
        <v>45645</v>
      </c>
      <c r="F849" s="1">
        <v>45649</v>
      </c>
      <c r="G849">
        <v>42903</v>
      </c>
      <c r="H849" t="s">
        <v>25</v>
      </c>
    </row>
    <row r="850" spans="1:8" x14ac:dyDescent="0.25">
      <c r="A850">
        <v>500849</v>
      </c>
      <c r="B850">
        <v>469</v>
      </c>
      <c r="C850">
        <v>1043</v>
      </c>
      <c r="D850">
        <v>3046</v>
      </c>
      <c r="E850" s="1">
        <v>45666</v>
      </c>
      <c r="F850" s="1">
        <v>45668</v>
      </c>
      <c r="G850">
        <v>32415</v>
      </c>
      <c r="H850" t="s">
        <v>14</v>
      </c>
    </row>
    <row r="851" spans="1:8" x14ac:dyDescent="0.25">
      <c r="A851">
        <v>500850</v>
      </c>
      <c r="B851">
        <v>483</v>
      </c>
      <c r="C851">
        <v>1504</v>
      </c>
      <c r="D851">
        <v>3201</v>
      </c>
      <c r="E851" s="1">
        <v>45744</v>
      </c>
      <c r="F851" s="1">
        <v>45748</v>
      </c>
      <c r="G851">
        <v>63851</v>
      </c>
      <c r="H851" t="s">
        <v>10</v>
      </c>
    </row>
    <row r="852" spans="1:8" x14ac:dyDescent="0.25">
      <c r="A852">
        <v>500851</v>
      </c>
      <c r="B852">
        <v>189</v>
      </c>
      <c r="C852">
        <v>411</v>
      </c>
      <c r="D852">
        <v>3246</v>
      </c>
      <c r="E852" s="1">
        <v>45680</v>
      </c>
      <c r="F852" s="1">
        <v>45684</v>
      </c>
      <c r="G852">
        <v>42338</v>
      </c>
      <c r="H852" t="s">
        <v>25</v>
      </c>
    </row>
    <row r="853" spans="1:8" x14ac:dyDescent="0.25">
      <c r="A853">
        <v>500852</v>
      </c>
      <c r="B853">
        <v>445</v>
      </c>
      <c r="C853">
        <v>1390</v>
      </c>
      <c r="D853">
        <v>3357</v>
      </c>
      <c r="E853" s="1">
        <v>45799</v>
      </c>
      <c r="F853" s="1">
        <v>45800</v>
      </c>
      <c r="G853">
        <v>24659</v>
      </c>
      <c r="H853" t="s">
        <v>10</v>
      </c>
    </row>
    <row r="854" spans="1:8" x14ac:dyDescent="0.25">
      <c r="A854">
        <v>500853</v>
      </c>
      <c r="B854">
        <v>369</v>
      </c>
      <c r="C854">
        <v>1004</v>
      </c>
      <c r="D854">
        <v>3401</v>
      </c>
      <c r="E854" s="1">
        <v>45706</v>
      </c>
      <c r="F854" s="1">
        <v>45708</v>
      </c>
      <c r="G854">
        <v>33061</v>
      </c>
      <c r="H854" t="s">
        <v>10</v>
      </c>
    </row>
    <row r="855" spans="1:8" x14ac:dyDescent="0.25">
      <c r="A855">
        <v>500854</v>
      </c>
      <c r="B855">
        <v>266</v>
      </c>
      <c r="C855">
        <v>423</v>
      </c>
      <c r="D855">
        <v>3383</v>
      </c>
      <c r="E855" s="1">
        <v>45623</v>
      </c>
      <c r="F855" s="1">
        <v>45638</v>
      </c>
      <c r="G855">
        <v>174743</v>
      </c>
      <c r="H855" t="s">
        <v>10</v>
      </c>
    </row>
    <row r="856" spans="1:8" x14ac:dyDescent="0.25">
      <c r="A856">
        <v>500855</v>
      </c>
      <c r="B856">
        <v>140</v>
      </c>
      <c r="C856">
        <v>1413</v>
      </c>
      <c r="D856">
        <v>3044</v>
      </c>
      <c r="E856" s="1">
        <v>45691</v>
      </c>
      <c r="F856" s="1">
        <v>45705</v>
      </c>
      <c r="G856">
        <v>119729</v>
      </c>
      <c r="H856" t="s">
        <v>10</v>
      </c>
    </row>
    <row r="857" spans="1:8" x14ac:dyDescent="0.25">
      <c r="A857">
        <v>500856</v>
      </c>
      <c r="B857">
        <v>219</v>
      </c>
      <c r="C857">
        <v>928</v>
      </c>
      <c r="D857">
        <v>3417</v>
      </c>
      <c r="E857" s="1">
        <v>45668</v>
      </c>
      <c r="F857" s="1">
        <v>45670</v>
      </c>
      <c r="G857">
        <v>64935</v>
      </c>
      <c r="H857" t="s">
        <v>10</v>
      </c>
    </row>
    <row r="858" spans="1:8" x14ac:dyDescent="0.25">
      <c r="A858">
        <v>500857</v>
      </c>
      <c r="B858">
        <v>417</v>
      </c>
      <c r="C858">
        <v>478</v>
      </c>
      <c r="D858">
        <v>3341</v>
      </c>
      <c r="E858" s="1">
        <v>45602</v>
      </c>
      <c r="F858" s="1">
        <v>45607</v>
      </c>
      <c r="G858">
        <v>135171</v>
      </c>
      <c r="H858" t="s">
        <v>10</v>
      </c>
    </row>
    <row r="859" spans="1:8" x14ac:dyDescent="0.25">
      <c r="A859">
        <v>500858</v>
      </c>
      <c r="B859">
        <v>75</v>
      </c>
      <c r="C859">
        <v>1458</v>
      </c>
      <c r="D859">
        <v>3401</v>
      </c>
      <c r="E859" s="1">
        <v>45601</v>
      </c>
      <c r="F859" s="1">
        <v>45602</v>
      </c>
      <c r="G859">
        <v>16868</v>
      </c>
      <c r="H859" t="s">
        <v>10</v>
      </c>
    </row>
    <row r="860" spans="1:8" x14ac:dyDescent="0.25">
      <c r="A860">
        <v>500859</v>
      </c>
      <c r="B860">
        <v>488</v>
      </c>
      <c r="C860">
        <v>320</v>
      </c>
      <c r="D860">
        <v>3444</v>
      </c>
      <c r="E860" s="1">
        <v>45652</v>
      </c>
      <c r="F860" s="1">
        <v>45654</v>
      </c>
      <c r="G860">
        <v>30131</v>
      </c>
      <c r="H860" t="s">
        <v>14</v>
      </c>
    </row>
    <row r="861" spans="1:8" x14ac:dyDescent="0.25">
      <c r="A861">
        <v>500860</v>
      </c>
      <c r="B861">
        <v>47</v>
      </c>
      <c r="C861">
        <v>850</v>
      </c>
      <c r="D861">
        <v>3452</v>
      </c>
      <c r="E861" s="1">
        <v>45653</v>
      </c>
      <c r="F861" s="1">
        <v>45666</v>
      </c>
      <c r="G861">
        <v>298955</v>
      </c>
      <c r="H861" t="s">
        <v>14</v>
      </c>
    </row>
    <row r="862" spans="1:8" x14ac:dyDescent="0.25">
      <c r="A862">
        <v>500861</v>
      </c>
      <c r="B862">
        <v>454</v>
      </c>
      <c r="C862">
        <v>492</v>
      </c>
      <c r="D862">
        <v>3193</v>
      </c>
      <c r="E862" s="1">
        <v>45663</v>
      </c>
      <c r="F862" s="1">
        <v>45665</v>
      </c>
      <c r="G862">
        <v>63905</v>
      </c>
      <c r="H862" t="s">
        <v>10</v>
      </c>
    </row>
    <row r="863" spans="1:8" x14ac:dyDescent="0.25">
      <c r="A863">
        <v>500862</v>
      </c>
      <c r="B863">
        <v>384</v>
      </c>
      <c r="C863">
        <v>175</v>
      </c>
      <c r="D863">
        <v>3046</v>
      </c>
      <c r="E863" s="1">
        <v>45604</v>
      </c>
      <c r="F863" s="1">
        <v>45606</v>
      </c>
      <c r="G863">
        <v>37621</v>
      </c>
      <c r="H863" t="s">
        <v>10</v>
      </c>
    </row>
    <row r="864" spans="1:8" x14ac:dyDescent="0.25">
      <c r="A864">
        <v>500863</v>
      </c>
      <c r="B864">
        <v>138</v>
      </c>
      <c r="C864">
        <v>459</v>
      </c>
      <c r="D864">
        <v>3400</v>
      </c>
      <c r="E864" s="1">
        <v>45778</v>
      </c>
      <c r="F864" s="1">
        <v>45782</v>
      </c>
      <c r="G864">
        <v>66207</v>
      </c>
      <c r="H864" t="s">
        <v>14</v>
      </c>
    </row>
    <row r="865" spans="1:8" x14ac:dyDescent="0.25">
      <c r="A865">
        <v>500864</v>
      </c>
      <c r="B865">
        <v>511</v>
      </c>
      <c r="C865">
        <v>1004</v>
      </c>
      <c r="D865">
        <v>3160</v>
      </c>
      <c r="E865" s="1">
        <v>45696</v>
      </c>
      <c r="F865" s="1">
        <v>45699</v>
      </c>
      <c r="G865">
        <v>34347</v>
      </c>
      <c r="H865" t="s">
        <v>10</v>
      </c>
    </row>
    <row r="866" spans="1:8" x14ac:dyDescent="0.25">
      <c r="A866">
        <v>500865</v>
      </c>
      <c r="B866">
        <v>431</v>
      </c>
      <c r="C866">
        <v>784</v>
      </c>
      <c r="D866">
        <v>3449</v>
      </c>
      <c r="E866" s="1">
        <v>45791</v>
      </c>
      <c r="F866" s="1">
        <v>45806</v>
      </c>
      <c r="G866">
        <v>259918</v>
      </c>
      <c r="H866" t="s">
        <v>10</v>
      </c>
    </row>
    <row r="867" spans="1:8" x14ac:dyDescent="0.25">
      <c r="A867">
        <v>500866</v>
      </c>
      <c r="B867">
        <v>187</v>
      </c>
      <c r="C867">
        <v>697</v>
      </c>
      <c r="D867">
        <v>3355</v>
      </c>
      <c r="E867" s="1">
        <v>45652</v>
      </c>
      <c r="F867" s="1">
        <v>45657</v>
      </c>
      <c r="G867">
        <v>75526</v>
      </c>
      <c r="H867" t="s">
        <v>10</v>
      </c>
    </row>
    <row r="868" spans="1:8" x14ac:dyDescent="0.25">
      <c r="A868">
        <v>500867</v>
      </c>
      <c r="B868">
        <v>89</v>
      </c>
      <c r="C868">
        <v>837</v>
      </c>
      <c r="D868">
        <v>3418</v>
      </c>
      <c r="E868" s="1">
        <v>45663</v>
      </c>
      <c r="F868" s="1">
        <v>45667</v>
      </c>
      <c r="G868">
        <v>53382</v>
      </c>
      <c r="H868" t="s">
        <v>10</v>
      </c>
    </row>
    <row r="869" spans="1:8" x14ac:dyDescent="0.25">
      <c r="A869">
        <v>500868</v>
      </c>
      <c r="B869">
        <v>186</v>
      </c>
      <c r="C869">
        <v>1119</v>
      </c>
      <c r="D869">
        <v>3185</v>
      </c>
      <c r="E869" s="1">
        <v>45745</v>
      </c>
      <c r="F869" s="1">
        <v>45756</v>
      </c>
      <c r="G869">
        <v>161197</v>
      </c>
      <c r="H869" t="s">
        <v>25</v>
      </c>
    </row>
    <row r="870" spans="1:8" x14ac:dyDescent="0.25">
      <c r="A870">
        <v>500869</v>
      </c>
      <c r="B870">
        <v>507</v>
      </c>
      <c r="C870">
        <v>1496</v>
      </c>
      <c r="D870">
        <v>3450</v>
      </c>
      <c r="E870" s="1">
        <v>45755</v>
      </c>
      <c r="F870" s="1">
        <v>45757</v>
      </c>
      <c r="G870">
        <v>31726</v>
      </c>
      <c r="H870" t="s">
        <v>14</v>
      </c>
    </row>
    <row r="871" spans="1:8" x14ac:dyDescent="0.25">
      <c r="A871">
        <v>500870</v>
      </c>
      <c r="B871">
        <v>388</v>
      </c>
      <c r="C871">
        <v>1224</v>
      </c>
      <c r="D871">
        <v>3452</v>
      </c>
      <c r="E871" s="1">
        <v>45631</v>
      </c>
      <c r="F871" s="1">
        <v>45645</v>
      </c>
      <c r="G871">
        <v>397652</v>
      </c>
      <c r="H871" t="s">
        <v>25</v>
      </c>
    </row>
    <row r="872" spans="1:8" x14ac:dyDescent="0.25">
      <c r="A872">
        <v>500871</v>
      </c>
      <c r="B872">
        <v>29</v>
      </c>
      <c r="C872">
        <v>1000</v>
      </c>
      <c r="D872">
        <v>3126</v>
      </c>
      <c r="E872" s="1">
        <v>45754</v>
      </c>
      <c r="F872" s="1">
        <v>45770</v>
      </c>
      <c r="G872">
        <v>169164</v>
      </c>
      <c r="H872" t="s">
        <v>10</v>
      </c>
    </row>
    <row r="873" spans="1:8" x14ac:dyDescent="0.25">
      <c r="A873">
        <v>500872</v>
      </c>
      <c r="B873">
        <v>185</v>
      </c>
      <c r="C873">
        <v>592</v>
      </c>
      <c r="D873">
        <v>3447</v>
      </c>
      <c r="E873" s="1">
        <v>45802</v>
      </c>
      <c r="F873" s="1">
        <v>45804</v>
      </c>
      <c r="G873">
        <v>31261</v>
      </c>
      <c r="H873" t="s">
        <v>25</v>
      </c>
    </row>
    <row r="874" spans="1:8" x14ac:dyDescent="0.25">
      <c r="A874">
        <v>500873</v>
      </c>
      <c r="B874">
        <v>11</v>
      </c>
      <c r="C874">
        <v>871</v>
      </c>
      <c r="D874">
        <v>3473</v>
      </c>
      <c r="E874" s="1">
        <v>45680</v>
      </c>
      <c r="F874" s="1">
        <v>45683</v>
      </c>
      <c r="G874">
        <v>92925</v>
      </c>
      <c r="H874" t="s">
        <v>14</v>
      </c>
    </row>
    <row r="875" spans="1:8" x14ac:dyDescent="0.25">
      <c r="A875">
        <v>500874</v>
      </c>
      <c r="B875">
        <v>327</v>
      </c>
      <c r="C875">
        <v>1378</v>
      </c>
      <c r="D875">
        <v>3444</v>
      </c>
      <c r="E875" s="1">
        <v>45639</v>
      </c>
      <c r="F875" s="1">
        <v>45646</v>
      </c>
      <c r="G875">
        <v>168926</v>
      </c>
      <c r="H875" t="s">
        <v>10</v>
      </c>
    </row>
    <row r="876" spans="1:8" x14ac:dyDescent="0.25">
      <c r="A876">
        <v>500875</v>
      </c>
      <c r="B876">
        <v>402</v>
      </c>
      <c r="C876">
        <v>1415</v>
      </c>
      <c r="D876">
        <v>3358</v>
      </c>
      <c r="E876" s="1">
        <v>45632</v>
      </c>
      <c r="F876" s="1">
        <v>45634</v>
      </c>
      <c r="G876">
        <v>23649</v>
      </c>
      <c r="H876" t="s">
        <v>10</v>
      </c>
    </row>
    <row r="877" spans="1:8" x14ac:dyDescent="0.25">
      <c r="A877">
        <v>500876</v>
      </c>
      <c r="B877">
        <v>231</v>
      </c>
      <c r="C877">
        <v>241</v>
      </c>
      <c r="D877">
        <v>3258</v>
      </c>
      <c r="E877" s="1">
        <v>45745</v>
      </c>
      <c r="F877" s="1">
        <v>45748</v>
      </c>
      <c r="G877">
        <v>34556</v>
      </c>
      <c r="H877" t="s">
        <v>14</v>
      </c>
    </row>
    <row r="878" spans="1:8" x14ac:dyDescent="0.25">
      <c r="A878">
        <v>500877</v>
      </c>
      <c r="B878">
        <v>89</v>
      </c>
      <c r="C878">
        <v>1534</v>
      </c>
      <c r="D878">
        <v>3402</v>
      </c>
      <c r="E878" s="1">
        <v>45785</v>
      </c>
      <c r="F878" s="1">
        <v>45787</v>
      </c>
      <c r="G878">
        <v>34096</v>
      </c>
      <c r="H878" t="s">
        <v>25</v>
      </c>
    </row>
    <row r="879" spans="1:8" x14ac:dyDescent="0.25">
      <c r="A879">
        <v>500878</v>
      </c>
      <c r="B879">
        <v>416</v>
      </c>
      <c r="C879">
        <v>144</v>
      </c>
      <c r="D879">
        <v>3059</v>
      </c>
      <c r="E879" s="1">
        <v>45627</v>
      </c>
      <c r="F879" s="1">
        <v>45631</v>
      </c>
      <c r="G879">
        <v>85618</v>
      </c>
      <c r="H879" t="s">
        <v>10</v>
      </c>
    </row>
    <row r="880" spans="1:8" x14ac:dyDescent="0.25">
      <c r="A880">
        <v>500879</v>
      </c>
      <c r="B880">
        <v>417</v>
      </c>
      <c r="C880">
        <v>596</v>
      </c>
      <c r="D880">
        <v>3198</v>
      </c>
      <c r="E880" s="1">
        <v>45702</v>
      </c>
      <c r="F880" s="1">
        <v>45706</v>
      </c>
      <c r="G880">
        <v>53030</v>
      </c>
      <c r="H880" t="s">
        <v>25</v>
      </c>
    </row>
    <row r="881" spans="1:8" x14ac:dyDescent="0.25">
      <c r="A881">
        <v>500880</v>
      </c>
      <c r="B881">
        <v>140</v>
      </c>
      <c r="C881">
        <v>734</v>
      </c>
      <c r="D881">
        <v>3060</v>
      </c>
      <c r="E881" s="1">
        <v>45743</v>
      </c>
      <c r="F881" s="1">
        <v>45745</v>
      </c>
      <c r="G881">
        <v>40607</v>
      </c>
      <c r="H881" t="s">
        <v>14</v>
      </c>
    </row>
    <row r="882" spans="1:8" x14ac:dyDescent="0.25">
      <c r="A882">
        <v>500881</v>
      </c>
      <c r="B882">
        <v>486</v>
      </c>
      <c r="C882">
        <v>1227</v>
      </c>
      <c r="D882">
        <v>3250</v>
      </c>
      <c r="E882" s="1">
        <v>45676</v>
      </c>
      <c r="F882" s="1">
        <v>45683</v>
      </c>
      <c r="G882">
        <v>217786</v>
      </c>
      <c r="H882" t="s">
        <v>14</v>
      </c>
    </row>
    <row r="883" spans="1:8" x14ac:dyDescent="0.25">
      <c r="A883">
        <v>500882</v>
      </c>
      <c r="B883">
        <v>117</v>
      </c>
      <c r="C883">
        <v>416</v>
      </c>
      <c r="D883">
        <v>3381</v>
      </c>
      <c r="E883" s="1">
        <v>45655</v>
      </c>
      <c r="F883" s="1">
        <v>45657</v>
      </c>
      <c r="G883">
        <v>33560</v>
      </c>
      <c r="H883" t="s">
        <v>10</v>
      </c>
    </row>
    <row r="884" spans="1:8" x14ac:dyDescent="0.25">
      <c r="A884">
        <v>500883</v>
      </c>
      <c r="B884">
        <v>455</v>
      </c>
      <c r="C884">
        <v>992</v>
      </c>
      <c r="D884">
        <v>3003</v>
      </c>
      <c r="E884" s="1">
        <v>45798</v>
      </c>
      <c r="F884" s="1">
        <v>45805</v>
      </c>
      <c r="G884">
        <v>172401</v>
      </c>
      <c r="H884" t="s">
        <v>10</v>
      </c>
    </row>
    <row r="885" spans="1:8" x14ac:dyDescent="0.25">
      <c r="A885">
        <v>500884</v>
      </c>
      <c r="B885">
        <v>94</v>
      </c>
      <c r="C885">
        <v>1052</v>
      </c>
      <c r="D885">
        <v>3261</v>
      </c>
      <c r="E885" s="1">
        <v>45743</v>
      </c>
      <c r="F885" s="1">
        <v>45755</v>
      </c>
      <c r="G885">
        <v>190191</v>
      </c>
      <c r="H885" t="s">
        <v>10</v>
      </c>
    </row>
    <row r="886" spans="1:8" x14ac:dyDescent="0.25">
      <c r="A886">
        <v>500885</v>
      </c>
      <c r="B886">
        <v>187</v>
      </c>
      <c r="C886">
        <v>519</v>
      </c>
      <c r="D886">
        <v>3259</v>
      </c>
      <c r="E886" s="1">
        <v>45659</v>
      </c>
      <c r="F886" s="1">
        <v>45663</v>
      </c>
      <c r="G886">
        <v>59903</v>
      </c>
      <c r="H886" t="s">
        <v>14</v>
      </c>
    </row>
    <row r="887" spans="1:8" x14ac:dyDescent="0.25">
      <c r="A887">
        <v>500886</v>
      </c>
      <c r="B887">
        <v>122</v>
      </c>
      <c r="C887">
        <v>122</v>
      </c>
      <c r="D887">
        <v>3320</v>
      </c>
      <c r="E887" s="1">
        <v>45762</v>
      </c>
      <c r="F887" s="1">
        <v>45763</v>
      </c>
      <c r="G887">
        <v>27540</v>
      </c>
      <c r="H887" t="s">
        <v>14</v>
      </c>
    </row>
    <row r="888" spans="1:8" x14ac:dyDescent="0.25">
      <c r="A888">
        <v>500887</v>
      </c>
      <c r="B888">
        <v>263</v>
      </c>
      <c r="C888">
        <v>948</v>
      </c>
      <c r="D888">
        <v>3064</v>
      </c>
      <c r="E888" s="1">
        <v>45687</v>
      </c>
      <c r="F888" s="1">
        <v>45691</v>
      </c>
      <c r="G888">
        <v>65609</v>
      </c>
      <c r="H888" t="s">
        <v>10</v>
      </c>
    </row>
    <row r="889" spans="1:8" x14ac:dyDescent="0.25">
      <c r="A889">
        <v>500888</v>
      </c>
      <c r="B889">
        <v>234</v>
      </c>
      <c r="C889">
        <v>1510</v>
      </c>
      <c r="D889">
        <v>3328</v>
      </c>
      <c r="E889" s="1">
        <v>45686</v>
      </c>
      <c r="F889" s="1">
        <v>45691</v>
      </c>
      <c r="G889">
        <v>70786</v>
      </c>
      <c r="H889" t="s">
        <v>10</v>
      </c>
    </row>
    <row r="890" spans="1:8" x14ac:dyDescent="0.25">
      <c r="A890">
        <v>500889</v>
      </c>
      <c r="B890">
        <v>265</v>
      </c>
      <c r="C890">
        <v>636</v>
      </c>
      <c r="D890">
        <v>3009</v>
      </c>
      <c r="E890" s="1">
        <v>45627</v>
      </c>
      <c r="F890" s="1">
        <v>45631</v>
      </c>
      <c r="G890">
        <v>45435</v>
      </c>
      <c r="H890" t="s">
        <v>25</v>
      </c>
    </row>
    <row r="891" spans="1:8" x14ac:dyDescent="0.25">
      <c r="A891">
        <v>500890</v>
      </c>
      <c r="B891">
        <v>159</v>
      </c>
      <c r="C891">
        <v>451</v>
      </c>
      <c r="D891">
        <v>3325</v>
      </c>
      <c r="E891" s="1">
        <v>45707</v>
      </c>
      <c r="F891" s="1">
        <v>45709</v>
      </c>
      <c r="G891">
        <v>37898</v>
      </c>
      <c r="H891" t="s">
        <v>10</v>
      </c>
    </row>
    <row r="892" spans="1:8" x14ac:dyDescent="0.25">
      <c r="A892">
        <v>500891</v>
      </c>
      <c r="B892">
        <v>13</v>
      </c>
      <c r="C892">
        <v>847</v>
      </c>
      <c r="D892">
        <v>3307</v>
      </c>
      <c r="E892" s="1">
        <v>45706</v>
      </c>
      <c r="F892" s="1">
        <v>45710</v>
      </c>
      <c r="G892">
        <v>87434</v>
      </c>
      <c r="H892" t="s">
        <v>14</v>
      </c>
    </row>
    <row r="893" spans="1:8" x14ac:dyDescent="0.25">
      <c r="A893">
        <v>500892</v>
      </c>
      <c r="B893">
        <v>31</v>
      </c>
      <c r="C893">
        <v>589</v>
      </c>
      <c r="D893">
        <v>3272</v>
      </c>
      <c r="E893" s="1">
        <v>45726</v>
      </c>
      <c r="F893" s="1">
        <v>45733</v>
      </c>
      <c r="G893">
        <v>80430</v>
      </c>
      <c r="H893" t="s">
        <v>14</v>
      </c>
    </row>
    <row r="894" spans="1:8" x14ac:dyDescent="0.25">
      <c r="A894">
        <v>500893</v>
      </c>
      <c r="B894">
        <v>12</v>
      </c>
      <c r="C894">
        <v>853</v>
      </c>
      <c r="D894">
        <v>3213</v>
      </c>
      <c r="E894" s="1">
        <v>45676</v>
      </c>
      <c r="F894" s="1">
        <v>45677</v>
      </c>
      <c r="G894">
        <v>19290</v>
      </c>
      <c r="H894" t="s">
        <v>10</v>
      </c>
    </row>
    <row r="895" spans="1:8" x14ac:dyDescent="0.25">
      <c r="A895">
        <v>500894</v>
      </c>
      <c r="B895">
        <v>232</v>
      </c>
      <c r="C895">
        <v>916</v>
      </c>
      <c r="D895">
        <v>3200</v>
      </c>
      <c r="E895" s="1">
        <v>45777</v>
      </c>
      <c r="F895" s="1">
        <v>45783</v>
      </c>
      <c r="G895">
        <v>72399</v>
      </c>
      <c r="H895" t="s">
        <v>10</v>
      </c>
    </row>
    <row r="896" spans="1:8" x14ac:dyDescent="0.25">
      <c r="A896">
        <v>500895</v>
      </c>
      <c r="B896">
        <v>201</v>
      </c>
      <c r="C896">
        <v>1560</v>
      </c>
      <c r="D896">
        <v>3390</v>
      </c>
      <c r="E896" s="1">
        <v>45680</v>
      </c>
      <c r="F896" s="1">
        <v>45682</v>
      </c>
      <c r="G896">
        <v>29147</v>
      </c>
      <c r="H896" t="s">
        <v>10</v>
      </c>
    </row>
    <row r="897" spans="1:8" x14ac:dyDescent="0.25">
      <c r="A897">
        <v>500896</v>
      </c>
      <c r="B897">
        <v>90</v>
      </c>
      <c r="C897">
        <v>1095</v>
      </c>
      <c r="D897">
        <v>3396</v>
      </c>
      <c r="E897" s="1">
        <v>45709</v>
      </c>
      <c r="F897" s="1">
        <v>45712</v>
      </c>
      <c r="G897">
        <v>43119</v>
      </c>
      <c r="H897" t="s">
        <v>10</v>
      </c>
    </row>
    <row r="898" spans="1:8" x14ac:dyDescent="0.25">
      <c r="A898">
        <v>500897</v>
      </c>
      <c r="B898">
        <v>430</v>
      </c>
      <c r="C898">
        <v>1030</v>
      </c>
      <c r="D898">
        <v>3352</v>
      </c>
      <c r="E898" s="1">
        <v>45680</v>
      </c>
      <c r="F898" s="1">
        <v>45684</v>
      </c>
      <c r="G898">
        <v>34869</v>
      </c>
      <c r="H898" t="s">
        <v>10</v>
      </c>
    </row>
    <row r="899" spans="1:8" x14ac:dyDescent="0.25">
      <c r="A899">
        <v>500898</v>
      </c>
      <c r="B899">
        <v>170</v>
      </c>
      <c r="C899">
        <v>1501</v>
      </c>
      <c r="D899">
        <v>3018</v>
      </c>
      <c r="E899" s="1">
        <v>45727</v>
      </c>
      <c r="F899" s="1">
        <v>45733</v>
      </c>
      <c r="G899">
        <v>128831</v>
      </c>
      <c r="H899" t="s">
        <v>14</v>
      </c>
    </row>
    <row r="900" spans="1:8" x14ac:dyDescent="0.25">
      <c r="A900">
        <v>500899</v>
      </c>
      <c r="B900">
        <v>218</v>
      </c>
      <c r="C900">
        <v>714</v>
      </c>
      <c r="D900">
        <v>3320</v>
      </c>
      <c r="E900" s="1">
        <v>45624</v>
      </c>
      <c r="F900" s="1">
        <v>45628</v>
      </c>
      <c r="G900">
        <v>51142</v>
      </c>
      <c r="H900" t="s">
        <v>14</v>
      </c>
    </row>
    <row r="901" spans="1:8" x14ac:dyDescent="0.25">
      <c r="A901">
        <v>500900</v>
      </c>
      <c r="B901">
        <v>371</v>
      </c>
      <c r="C901">
        <v>1119</v>
      </c>
      <c r="D901">
        <v>3010</v>
      </c>
      <c r="E901" s="1">
        <v>45720</v>
      </c>
      <c r="F901" s="1">
        <v>45723</v>
      </c>
      <c r="G901">
        <v>39192</v>
      </c>
      <c r="H901" t="s">
        <v>10</v>
      </c>
    </row>
    <row r="902" spans="1:8" x14ac:dyDescent="0.25">
      <c r="A902">
        <v>500901</v>
      </c>
      <c r="B902">
        <v>433</v>
      </c>
      <c r="C902">
        <v>1199</v>
      </c>
      <c r="D902">
        <v>3265</v>
      </c>
      <c r="E902" s="1">
        <v>45703</v>
      </c>
      <c r="F902" s="1">
        <v>45707</v>
      </c>
      <c r="G902">
        <v>53310</v>
      </c>
      <c r="H902" t="s">
        <v>10</v>
      </c>
    </row>
    <row r="903" spans="1:8" x14ac:dyDescent="0.25">
      <c r="A903">
        <v>500902</v>
      </c>
      <c r="B903">
        <v>142</v>
      </c>
      <c r="C903">
        <v>1397</v>
      </c>
      <c r="D903">
        <v>3036</v>
      </c>
      <c r="E903" s="1">
        <v>45781</v>
      </c>
      <c r="F903" s="1">
        <v>45784</v>
      </c>
      <c r="G903">
        <v>35791</v>
      </c>
      <c r="H903" t="s">
        <v>10</v>
      </c>
    </row>
    <row r="904" spans="1:8" x14ac:dyDescent="0.25">
      <c r="A904">
        <v>500903</v>
      </c>
      <c r="B904">
        <v>431</v>
      </c>
      <c r="C904">
        <v>1452</v>
      </c>
      <c r="D904">
        <v>3464</v>
      </c>
      <c r="E904" s="1">
        <v>45777</v>
      </c>
      <c r="F904" s="1">
        <v>45781</v>
      </c>
      <c r="G904">
        <v>109075</v>
      </c>
      <c r="H904" t="s">
        <v>14</v>
      </c>
    </row>
    <row r="905" spans="1:8" x14ac:dyDescent="0.25">
      <c r="A905">
        <v>500904</v>
      </c>
      <c r="B905">
        <v>470</v>
      </c>
      <c r="C905">
        <v>499</v>
      </c>
      <c r="D905">
        <v>3001</v>
      </c>
      <c r="E905" s="1">
        <v>45709</v>
      </c>
      <c r="F905" s="1">
        <v>45711</v>
      </c>
      <c r="G905">
        <v>23211</v>
      </c>
      <c r="H905" t="s">
        <v>10</v>
      </c>
    </row>
    <row r="906" spans="1:8" x14ac:dyDescent="0.25">
      <c r="A906">
        <v>500905</v>
      </c>
      <c r="B906">
        <v>417</v>
      </c>
      <c r="C906">
        <v>793</v>
      </c>
      <c r="D906">
        <v>3175</v>
      </c>
      <c r="E906" s="1">
        <v>45711</v>
      </c>
      <c r="F906" s="1">
        <v>45718</v>
      </c>
      <c r="G906">
        <v>72950</v>
      </c>
      <c r="H906" t="s">
        <v>10</v>
      </c>
    </row>
    <row r="907" spans="1:8" x14ac:dyDescent="0.25">
      <c r="A907">
        <v>500906</v>
      </c>
      <c r="B907">
        <v>432</v>
      </c>
      <c r="C907">
        <v>629</v>
      </c>
      <c r="D907">
        <v>3103</v>
      </c>
      <c r="E907" s="1">
        <v>45761</v>
      </c>
      <c r="F907" s="1">
        <v>45763</v>
      </c>
      <c r="G907">
        <v>46386</v>
      </c>
      <c r="H907" t="s">
        <v>14</v>
      </c>
    </row>
    <row r="908" spans="1:8" x14ac:dyDescent="0.25">
      <c r="A908">
        <v>500907</v>
      </c>
      <c r="B908">
        <v>61</v>
      </c>
      <c r="C908">
        <v>383</v>
      </c>
      <c r="D908">
        <v>3282</v>
      </c>
      <c r="E908" s="1">
        <v>45736</v>
      </c>
      <c r="F908" s="1">
        <v>45740</v>
      </c>
      <c r="G908">
        <v>84070</v>
      </c>
      <c r="H908" t="s">
        <v>14</v>
      </c>
    </row>
    <row r="909" spans="1:8" x14ac:dyDescent="0.25">
      <c r="A909">
        <v>500908</v>
      </c>
      <c r="B909">
        <v>518</v>
      </c>
      <c r="C909">
        <v>880</v>
      </c>
      <c r="D909">
        <v>3116</v>
      </c>
      <c r="E909" s="1">
        <v>45641</v>
      </c>
      <c r="F909" s="1">
        <v>45649</v>
      </c>
      <c r="G909">
        <v>90441</v>
      </c>
      <c r="H909" t="s">
        <v>14</v>
      </c>
    </row>
    <row r="910" spans="1:8" x14ac:dyDescent="0.25">
      <c r="A910">
        <v>500909</v>
      </c>
      <c r="B910">
        <v>515</v>
      </c>
      <c r="C910">
        <v>510</v>
      </c>
      <c r="D910">
        <v>3346</v>
      </c>
      <c r="E910" s="1">
        <v>45631</v>
      </c>
      <c r="F910" s="1">
        <v>45632</v>
      </c>
      <c r="G910">
        <v>31785</v>
      </c>
      <c r="H910" t="s">
        <v>25</v>
      </c>
    </row>
    <row r="911" spans="1:8" x14ac:dyDescent="0.25">
      <c r="A911">
        <v>500910</v>
      </c>
      <c r="B911">
        <v>77</v>
      </c>
      <c r="C911">
        <v>468</v>
      </c>
      <c r="D911">
        <v>3102</v>
      </c>
      <c r="E911" s="1">
        <v>45780</v>
      </c>
      <c r="F911" s="1">
        <v>45787</v>
      </c>
      <c r="G911">
        <v>127721</v>
      </c>
      <c r="H911" t="s">
        <v>10</v>
      </c>
    </row>
    <row r="912" spans="1:8" x14ac:dyDescent="0.25">
      <c r="A912">
        <v>500911</v>
      </c>
      <c r="B912">
        <v>367</v>
      </c>
      <c r="C912">
        <v>150</v>
      </c>
      <c r="D912">
        <v>3426</v>
      </c>
      <c r="E912" s="1">
        <v>45727</v>
      </c>
      <c r="F912" s="1">
        <v>45732</v>
      </c>
      <c r="G912">
        <v>83822</v>
      </c>
      <c r="H912" t="s">
        <v>14</v>
      </c>
    </row>
    <row r="913" spans="1:8" x14ac:dyDescent="0.25">
      <c r="A913">
        <v>500912</v>
      </c>
      <c r="B913">
        <v>329</v>
      </c>
      <c r="C913">
        <v>362</v>
      </c>
      <c r="D913">
        <v>3486</v>
      </c>
      <c r="E913" s="1">
        <v>45645</v>
      </c>
      <c r="F913" s="1">
        <v>45651</v>
      </c>
      <c r="G913">
        <v>65730</v>
      </c>
      <c r="H913" t="s">
        <v>10</v>
      </c>
    </row>
    <row r="914" spans="1:8" x14ac:dyDescent="0.25">
      <c r="A914">
        <v>500913</v>
      </c>
      <c r="B914">
        <v>19</v>
      </c>
      <c r="C914">
        <v>621</v>
      </c>
      <c r="D914">
        <v>3433</v>
      </c>
      <c r="E914" s="1">
        <v>45760</v>
      </c>
      <c r="F914" s="1">
        <v>45774</v>
      </c>
      <c r="G914">
        <v>247035</v>
      </c>
      <c r="H914" t="s">
        <v>10</v>
      </c>
    </row>
    <row r="915" spans="1:8" x14ac:dyDescent="0.25">
      <c r="A915">
        <v>500914</v>
      </c>
      <c r="B915">
        <v>513</v>
      </c>
      <c r="C915">
        <v>1071</v>
      </c>
      <c r="D915">
        <v>3036</v>
      </c>
      <c r="E915" s="1">
        <v>45791</v>
      </c>
      <c r="F915" s="1">
        <v>45793</v>
      </c>
      <c r="G915">
        <v>34865</v>
      </c>
      <c r="H915" t="s">
        <v>14</v>
      </c>
    </row>
    <row r="916" spans="1:8" x14ac:dyDescent="0.25">
      <c r="A916">
        <v>500915</v>
      </c>
      <c r="B916">
        <v>401</v>
      </c>
      <c r="C916">
        <v>1308</v>
      </c>
      <c r="D916">
        <v>3124</v>
      </c>
      <c r="E916" s="1">
        <v>45710</v>
      </c>
      <c r="F916" s="1">
        <v>45718</v>
      </c>
      <c r="G916">
        <v>131485</v>
      </c>
      <c r="H916" t="s">
        <v>10</v>
      </c>
    </row>
    <row r="917" spans="1:8" x14ac:dyDescent="0.25">
      <c r="A917">
        <v>500916</v>
      </c>
      <c r="B917">
        <v>157</v>
      </c>
      <c r="C917">
        <v>1287</v>
      </c>
      <c r="D917">
        <v>3328</v>
      </c>
      <c r="E917" s="1">
        <v>45794</v>
      </c>
      <c r="F917" s="1">
        <v>45797</v>
      </c>
      <c r="G917">
        <v>50195</v>
      </c>
      <c r="H917" t="s">
        <v>10</v>
      </c>
    </row>
    <row r="918" spans="1:8" x14ac:dyDescent="0.25">
      <c r="A918">
        <v>500917</v>
      </c>
      <c r="B918">
        <v>18</v>
      </c>
      <c r="C918">
        <v>256</v>
      </c>
      <c r="D918">
        <v>3278</v>
      </c>
      <c r="E918" s="1">
        <v>45788</v>
      </c>
      <c r="F918" s="1">
        <v>45790</v>
      </c>
      <c r="G918">
        <v>37774</v>
      </c>
      <c r="H918" t="s">
        <v>14</v>
      </c>
    </row>
    <row r="919" spans="1:8" x14ac:dyDescent="0.25">
      <c r="A919">
        <v>500918</v>
      </c>
      <c r="B919">
        <v>185</v>
      </c>
      <c r="C919">
        <v>479</v>
      </c>
      <c r="D919">
        <v>3200</v>
      </c>
      <c r="E919" s="1">
        <v>45763</v>
      </c>
      <c r="F919" s="1">
        <v>45768</v>
      </c>
      <c r="G919">
        <v>131321</v>
      </c>
      <c r="H919" t="s">
        <v>10</v>
      </c>
    </row>
    <row r="920" spans="1:8" x14ac:dyDescent="0.25">
      <c r="A920">
        <v>500919</v>
      </c>
      <c r="B920">
        <v>231</v>
      </c>
      <c r="C920">
        <v>253</v>
      </c>
      <c r="D920">
        <v>3159</v>
      </c>
      <c r="E920" s="1">
        <v>45752</v>
      </c>
      <c r="F920" s="1">
        <v>45753</v>
      </c>
      <c r="G920">
        <v>18967</v>
      </c>
      <c r="H920" t="s">
        <v>10</v>
      </c>
    </row>
    <row r="921" spans="1:8" x14ac:dyDescent="0.25">
      <c r="A921">
        <v>500920</v>
      </c>
      <c r="B921">
        <v>344</v>
      </c>
      <c r="C921">
        <v>340</v>
      </c>
      <c r="D921">
        <v>3370</v>
      </c>
      <c r="E921" s="1">
        <v>45612</v>
      </c>
      <c r="F921" s="1">
        <v>45616</v>
      </c>
      <c r="G921">
        <v>92510</v>
      </c>
      <c r="H921" t="s">
        <v>10</v>
      </c>
    </row>
    <row r="922" spans="1:8" x14ac:dyDescent="0.25">
      <c r="A922">
        <v>500921</v>
      </c>
      <c r="B922">
        <v>249</v>
      </c>
      <c r="C922">
        <v>679</v>
      </c>
      <c r="D922">
        <v>3377</v>
      </c>
      <c r="E922" s="1">
        <v>45708</v>
      </c>
      <c r="F922" s="1">
        <v>45711</v>
      </c>
      <c r="G922">
        <v>38725</v>
      </c>
      <c r="H922" t="s">
        <v>10</v>
      </c>
    </row>
    <row r="923" spans="1:8" x14ac:dyDescent="0.25">
      <c r="A923">
        <v>500922</v>
      </c>
      <c r="B923">
        <v>120</v>
      </c>
      <c r="C923">
        <v>1396</v>
      </c>
      <c r="D923">
        <v>3291</v>
      </c>
      <c r="E923" s="1">
        <v>45759</v>
      </c>
      <c r="F923" s="1">
        <v>45761</v>
      </c>
      <c r="G923">
        <v>32304</v>
      </c>
      <c r="H923" t="s">
        <v>25</v>
      </c>
    </row>
    <row r="924" spans="1:8" x14ac:dyDescent="0.25">
      <c r="A924">
        <v>500923</v>
      </c>
      <c r="B924">
        <v>215</v>
      </c>
      <c r="C924">
        <v>407</v>
      </c>
      <c r="D924">
        <v>3042</v>
      </c>
      <c r="E924" s="1">
        <v>45747</v>
      </c>
      <c r="F924" s="1">
        <v>45748</v>
      </c>
      <c r="G924">
        <v>33490</v>
      </c>
      <c r="H924" t="s">
        <v>10</v>
      </c>
    </row>
    <row r="925" spans="1:8" x14ac:dyDescent="0.25">
      <c r="A925">
        <v>500924</v>
      </c>
      <c r="B925">
        <v>517</v>
      </c>
      <c r="C925">
        <v>1349</v>
      </c>
      <c r="D925">
        <v>3489</v>
      </c>
      <c r="E925" s="1">
        <v>45665</v>
      </c>
      <c r="F925" s="1">
        <v>45669</v>
      </c>
      <c r="G925">
        <v>108097</v>
      </c>
      <c r="H925" t="s">
        <v>14</v>
      </c>
    </row>
    <row r="926" spans="1:8" x14ac:dyDescent="0.25">
      <c r="A926">
        <v>500925</v>
      </c>
      <c r="B926">
        <v>17</v>
      </c>
      <c r="C926">
        <v>359</v>
      </c>
      <c r="D926">
        <v>3388</v>
      </c>
      <c r="E926" s="1">
        <v>45700</v>
      </c>
      <c r="F926" s="1">
        <v>45702</v>
      </c>
      <c r="G926">
        <v>28204</v>
      </c>
      <c r="H926" t="s">
        <v>10</v>
      </c>
    </row>
    <row r="927" spans="1:8" x14ac:dyDescent="0.25">
      <c r="A927">
        <v>500926</v>
      </c>
      <c r="B927">
        <v>246</v>
      </c>
      <c r="C927">
        <v>1092</v>
      </c>
      <c r="D927">
        <v>3157</v>
      </c>
      <c r="E927" s="1">
        <v>45600</v>
      </c>
      <c r="F927" s="1">
        <v>45603</v>
      </c>
      <c r="G927">
        <v>48100</v>
      </c>
      <c r="H927" t="s">
        <v>25</v>
      </c>
    </row>
    <row r="928" spans="1:8" x14ac:dyDescent="0.25">
      <c r="A928">
        <v>500927</v>
      </c>
      <c r="B928">
        <v>387</v>
      </c>
      <c r="C928">
        <v>1234</v>
      </c>
      <c r="D928">
        <v>3129</v>
      </c>
      <c r="E928" s="1">
        <v>45637</v>
      </c>
      <c r="F928" s="1">
        <v>45640</v>
      </c>
      <c r="G928">
        <v>47855</v>
      </c>
      <c r="H928" t="s">
        <v>10</v>
      </c>
    </row>
    <row r="929" spans="1:8" x14ac:dyDescent="0.25">
      <c r="A929">
        <v>500928</v>
      </c>
      <c r="B929">
        <v>506</v>
      </c>
      <c r="C929">
        <v>271</v>
      </c>
      <c r="D929">
        <v>3119</v>
      </c>
      <c r="E929" s="1">
        <v>45653</v>
      </c>
      <c r="F929" s="1">
        <v>45657</v>
      </c>
      <c r="G929">
        <v>52861</v>
      </c>
      <c r="H929" t="s">
        <v>14</v>
      </c>
    </row>
    <row r="930" spans="1:8" x14ac:dyDescent="0.25">
      <c r="A930">
        <v>500929</v>
      </c>
      <c r="B930">
        <v>265</v>
      </c>
      <c r="C930">
        <v>1049</v>
      </c>
      <c r="D930">
        <v>3490</v>
      </c>
      <c r="E930" s="1">
        <v>45651</v>
      </c>
      <c r="F930" s="1">
        <v>45653</v>
      </c>
      <c r="G930">
        <v>29945</v>
      </c>
      <c r="H930" t="s">
        <v>14</v>
      </c>
    </row>
    <row r="931" spans="1:8" x14ac:dyDescent="0.25">
      <c r="A931">
        <v>500930</v>
      </c>
      <c r="B931">
        <v>94</v>
      </c>
      <c r="C931">
        <v>1399</v>
      </c>
      <c r="D931">
        <v>3211</v>
      </c>
      <c r="E931" s="1">
        <v>45652</v>
      </c>
      <c r="F931" s="1">
        <v>45654</v>
      </c>
      <c r="G931">
        <v>32273</v>
      </c>
      <c r="H931" t="s">
        <v>10</v>
      </c>
    </row>
    <row r="932" spans="1:8" x14ac:dyDescent="0.25">
      <c r="A932">
        <v>500931</v>
      </c>
      <c r="B932">
        <v>418</v>
      </c>
      <c r="C932">
        <v>859</v>
      </c>
      <c r="D932">
        <v>3331</v>
      </c>
      <c r="E932" s="1">
        <v>45603</v>
      </c>
      <c r="F932" s="1">
        <v>45609</v>
      </c>
      <c r="G932">
        <v>79424</v>
      </c>
      <c r="H932" t="s">
        <v>14</v>
      </c>
    </row>
    <row r="933" spans="1:8" x14ac:dyDescent="0.25">
      <c r="A933">
        <v>500932</v>
      </c>
      <c r="B933">
        <v>48</v>
      </c>
      <c r="C933">
        <v>1565</v>
      </c>
      <c r="D933">
        <v>3249</v>
      </c>
      <c r="E933" s="1">
        <v>45621</v>
      </c>
      <c r="F933" s="1">
        <v>45624</v>
      </c>
      <c r="G933">
        <v>63521</v>
      </c>
      <c r="H933" t="s">
        <v>10</v>
      </c>
    </row>
    <row r="934" spans="1:8" x14ac:dyDescent="0.25">
      <c r="A934">
        <v>500933</v>
      </c>
      <c r="B934">
        <v>509</v>
      </c>
      <c r="C934">
        <v>1417</v>
      </c>
      <c r="D934">
        <v>3421</v>
      </c>
      <c r="E934" s="1">
        <v>45618</v>
      </c>
      <c r="F934" s="1">
        <v>45621</v>
      </c>
      <c r="G934">
        <v>76904</v>
      </c>
      <c r="H934" t="s">
        <v>25</v>
      </c>
    </row>
    <row r="935" spans="1:8" x14ac:dyDescent="0.25">
      <c r="A935">
        <v>500934</v>
      </c>
      <c r="B935">
        <v>122</v>
      </c>
      <c r="C935">
        <v>1325</v>
      </c>
      <c r="D935">
        <v>3005</v>
      </c>
      <c r="E935" s="1">
        <v>45706</v>
      </c>
      <c r="F935" s="1">
        <v>45712</v>
      </c>
      <c r="G935">
        <v>75046</v>
      </c>
      <c r="H935" t="s">
        <v>14</v>
      </c>
    </row>
    <row r="936" spans="1:8" x14ac:dyDescent="0.25">
      <c r="A936">
        <v>500935</v>
      </c>
      <c r="B936">
        <v>370</v>
      </c>
      <c r="C936">
        <v>185</v>
      </c>
      <c r="D936">
        <v>3445</v>
      </c>
      <c r="E936" s="1">
        <v>45611</v>
      </c>
      <c r="F936" s="1">
        <v>45613</v>
      </c>
      <c r="G936">
        <v>25740</v>
      </c>
      <c r="H936" t="s">
        <v>10</v>
      </c>
    </row>
    <row r="937" spans="1:8" x14ac:dyDescent="0.25">
      <c r="A937">
        <v>500936</v>
      </c>
      <c r="B937">
        <v>405</v>
      </c>
      <c r="C937">
        <v>1048</v>
      </c>
      <c r="D937">
        <v>3423</v>
      </c>
      <c r="E937" s="1">
        <v>45670</v>
      </c>
      <c r="F937" s="1">
        <v>45673</v>
      </c>
      <c r="G937">
        <v>43102</v>
      </c>
      <c r="H937" t="s">
        <v>25</v>
      </c>
    </row>
    <row r="938" spans="1:8" x14ac:dyDescent="0.25">
      <c r="A938">
        <v>500937</v>
      </c>
      <c r="B938">
        <v>230</v>
      </c>
      <c r="C938">
        <v>1037</v>
      </c>
      <c r="D938">
        <v>3330</v>
      </c>
      <c r="E938" s="1">
        <v>45747</v>
      </c>
      <c r="F938" s="1">
        <v>45750</v>
      </c>
      <c r="G938">
        <v>62187</v>
      </c>
      <c r="H938" t="s">
        <v>10</v>
      </c>
    </row>
    <row r="939" spans="1:8" x14ac:dyDescent="0.25">
      <c r="A939">
        <v>500938</v>
      </c>
      <c r="B939">
        <v>470</v>
      </c>
      <c r="C939">
        <v>1294</v>
      </c>
      <c r="D939">
        <v>3019</v>
      </c>
      <c r="E939" s="1">
        <v>45609</v>
      </c>
      <c r="F939" s="1">
        <v>45610</v>
      </c>
      <c r="G939">
        <v>23862</v>
      </c>
      <c r="H939" t="s">
        <v>25</v>
      </c>
    </row>
    <row r="940" spans="1:8" x14ac:dyDescent="0.25">
      <c r="A940">
        <v>500939</v>
      </c>
      <c r="B940">
        <v>483</v>
      </c>
      <c r="C940">
        <v>1262</v>
      </c>
      <c r="D940">
        <v>3206</v>
      </c>
      <c r="E940" s="1">
        <v>45765</v>
      </c>
      <c r="F940" s="1">
        <v>45767</v>
      </c>
      <c r="G940">
        <v>36123</v>
      </c>
      <c r="H940" t="s">
        <v>14</v>
      </c>
    </row>
    <row r="941" spans="1:8" x14ac:dyDescent="0.25">
      <c r="A941">
        <v>500940</v>
      </c>
      <c r="B941">
        <v>229</v>
      </c>
      <c r="C941">
        <v>1188</v>
      </c>
      <c r="D941">
        <v>3483</v>
      </c>
      <c r="E941" s="1">
        <v>45757</v>
      </c>
      <c r="F941" s="1">
        <v>45759</v>
      </c>
      <c r="G941">
        <v>28760</v>
      </c>
      <c r="H941" t="s">
        <v>14</v>
      </c>
    </row>
    <row r="942" spans="1:8" x14ac:dyDescent="0.25">
      <c r="A942">
        <v>500941</v>
      </c>
      <c r="B942">
        <v>310</v>
      </c>
      <c r="C942">
        <v>1592</v>
      </c>
      <c r="D942">
        <v>3481</v>
      </c>
      <c r="E942" s="1">
        <v>45772</v>
      </c>
      <c r="F942" s="1">
        <v>45781</v>
      </c>
      <c r="G942">
        <v>222615</v>
      </c>
      <c r="H942" t="s">
        <v>10</v>
      </c>
    </row>
    <row r="943" spans="1:8" x14ac:dyDescent="0.25">
      <c r="A943">
        <v>500942</v>
      </c>
      <c r="B943">
        <v>188</v>
      </c>
      <c r="C943">
        <v>884</v>
      </c>
      <c r="D943">
        <v>3026</v>
      </c>
      <c r="E943" s="1">
        <v>45752</v>
      </c>
      <c r="F943" s="1">
        <v>45754</v>
      </c>
      <c r="G943">
        <v>21843</v>
      </c>
      <c r="H943" t="s">
        <v>25</v>
      </c>
    </row>
    <row r="944" spans="1:8" x14ac:dyDescent="0.25">
      <c r="A944">
        <v>500943</v>
      </c>
      <c r="B944">
        <v>309</v>
      </c>
      <c r="C944">
        <v>468</v>
      </c>
      <c r="D944">
        <v>3294</v>
      </c>
      <c r="E944" s="1">
        <v>45747</v>
      </c>
      <c r="F944" s="1">
        <v>45754</v>
      </c>
      <c r="G944">
        <v>116816</v>
      </c>
      <c r="H944" t="s">
        <v>25</v>
      </c>
    </row>
    <row r="945" spans="1:8" x14ac:dyDescent="0.25">
      <c r="A945">
        <v>500944</v>
      </c>
      <c r="B945">
        <v>432</v>
      </c>
      <c r="C945">
        <v>266</v>
      </c>
      <c r="D945">
        <v>3152</v>
      </c>
      <c r="E945" s="1">
        <v>45793</v>
      </c>
      <c r="F945" s="1">
        <v>45795</v>
      </c>
      <c r="G945">
        <v>21647</v>
      </c>
      <c r="H945" t="s">
        <v>10</v>
      </c>
    </row>
    <row r="946" spans="1:8" x14ac:dyDescent="0.25">
      <c r="A946">
        <v>500945</v>
      </c>
      <c r="B946">
        <v>169</v>
      </c>
      <c r="C946">
        <v>342</v>
      </c>
      <c r="D946">
        <v>3165</v>
      </c>
      <c r="E946" s="1">
        <v>45719</v>
      </c>
      <c r="F946" s="1">
        <v>45722</v>
      </c>
      <c r="G946">
        <v>43936</v>
      </c>
      <c r="H946" t="s">
        <v>10</v>
      </c>
    </row>
    <row r="947" spans="1:8" x14ac:dyDescent="0.25">
      <c r="A947">
        <v>500946</v>
      </c>
      <c r="B947">
        <v>157</v>
      </c>
      <c r="C947">
        <v>772</v>
      </c>
      <c r="D947">
        <v>3363</v>
      </c>
      <c r="E947" s="1">
        <v>45729</v>
      </c>
      <c r="F947" s="1">
        <v>45731</v>
      </c>
      <c r="G947">
        <v>51026</v>
      </c>
      <c r="H947" t="s">
        <v>14</v>
      </c>
    </row>
    <row r="948" spans="1:8" x14ac:dyDescent="0.25">
      <c r="A948">
        <v>500947</v>
      </c>
      <c r="B948">
        <v>431</v>
      </c>
      <c r="C948">
        <v>332</v>
      </c>
      <c r="D948">
        <v>3299</v>
      </c>
      <c r="E948" s="1">
        <v>45676</v>
      </c>
      <c r="F948" s="1">
        <v>45681</v>
      </c>
      <c r="G948">
        <v>76787</v>
      </c>
      <c r="H948" t="s">
        <v>14</v>
      </c>
    </row>
    <row r="949" spans="1:8" x14ac:dyDescent="0.25">
      <c r="A949">
        <v>500948</v>
      </c>
      <c r="B949">
        <v>201</v>
      </c>
      <c r="C949">
        <v>1235</v>
      </c>
      <c r="D949">
        <v>3105</v>
      </c>
      <c r="E949" s="1">
        <v>45683</v>
      </c>
      <c r="F949" s="1">
        <v>45689</v>
      </c>
      <c r="G949">
        <v>53792</v>
      </c>
      <c r="H949" t="s">
        <v>14</v>
      </c>
    </row>
    <row r="950" spans="1:8" x14ac:dyDescent="0.25">
      <c r="A950">
        <v>500949</v>
      </c>
      <c r="B950">
        <v>14</v>
      </c>
      <c r="C950">
        <v>670</v>
      </c>
      <c r="D950">
        <v>3201</v>
      </c>
      <c r="E950" s="1">
        <v>45794</v>
      </c>
      <c r="F950" s="1">
        <v>45808</v>
      </c>
      <c r="G950">
        <v>189270</v>
      </c>
      <c r="H950" t="s">
        <v>10</v>
      </c>
    </row>
    <row r="951" spans="1:8" x14ac:dyDescent="0.25">
      <c r="A951">
        <v>500950</v>
      </c>
      <c r="B951">
        <v>416</v>
      </c>
      <c r="C951">
        <v>673</v>
      </c>
      <c r="D951">
        <v>3039</v>
      </c>
      <c r="E951" s="1">
        <v>45778</v>
      </c>
      <c r="F951" s="1">
        <v>45781</v>
      </c>
      <c r="G951">
        <v>36784</v>
      </c>
      <c r="H951" t="s">
        <v>10</v>
      </c>
    </row>
    <row r="952" spans="1:8" x14ac:dyDescent="0.25">
      <c r="A952">
        <v>500951</v>
      </c>
      <c r="B952">
        <v>141</v>
      </c>
      <c r="C952">
        <v>314</v>
      </c>
      <c r="D952">
        <v>3411</v>
      </c>
      <c r="E952" s="1">
        <v>45802</v>
      </c>
      <c r="F952" s="1">
        <v>45804</v>
      </c>
      <c r="G952">
        <v>35013</v>
      </c>
      <c r="H952" t="s">
        <v>10</v>
      </c>
    </row>
    <row r="953" spans="1:8" x14ac:dyDescent="0.25">
      <c r="A953">
        <v>500952</v>
      </c>
      <c r="B953">
        <v>91</v>
      </c>
      <c r="C953">
        <v>122</v>
      </c>
      <c r="D953">
        <v>3208</v>
      </c>
      <c r="E953" s="1">
        <v>45670</v>
      </c>
      <c r="F953" s="1">
        <v>45678</v>
      </c>
      <c r="G953">
        <v>88522</v>
      </c>
      <c r="H953" t="s">
        <v>14</v>
      </c>
    </row>
    <row r="954" spans="1:8" x14ac:dyDescent="0.25">
      <c r="A954">
        <v>500953</v>
      </c>
      <c r="B954">
        <v>419</v>
      </c>
      <c r="C954">
        <v>958</v>
      </c>
      <c r="D954">
        <v>3248</v>
      </c>
      <c r="E954" s="1">
        <v>45674</v>
      </c>
      <c r="F954" s="1">
        <v>45681</v>
      </c>
      <c r="G954">
        <v>107882</v>
      </c>
      <c r="H954" t="s">
        <v>10</v>
      </c>
    </row>
    <row r="955" spans="1:8" x14ac:dyDescent="0.25">
      <c r="A955">
        <v>500954</v>
      </c>
      <c r="B955">
        <v>234</v>
      </c>
      <c r="C955">
        <v>1038</v>
      </c>
      <c r="D955">
        <v>3328</v>
      </c>
      <c r="E955" s="1">
        <v>45622</v>
      </c>
      <c r="F955" s="1">
        <v>45624</v>
      </c>
      <c r="G955">
        <v>31107</v>
      </c>
      <c r="H955" t="s">
        <v>14</v>
      </c>
    </row>
    <row r="956" spans="1:8" x14ac:dyDescent="0.25">
      <c r="A956">
        <v>500955</v>
      </c>
      <c r="B956">
        <v>138</v>
      </c>
      <c r="C956">
        <v>112</v>
      </c>
      <c r="D956">
        <v>3092</v>
      </c>
      <c r="E956" s="1">
        <v>45746</v>
      </c>
      <c r="F956" s="1">
        <v>45748</v>
      </c>
      <c r="G956">
        <v>39006</v>
      </c>
      <c r="H956" t="s">
        <v>10</v>
      </c>
    </row>
    <row r="957" spans="1:8" x14ac:dyDescent="0.25">
      <c r="A957">
        <v>500956</v>
      </c>
      <c r="B957">
        <v>430</v>
      </c>
      <c r="C957">
        <v>1469</v>
      </c>
      <c r="D957">
        <v>3113</v>
      </c>
      <c r="E957" s="1">
        <v>45715</v>
      </c>
      <c r="F957" s="1">
        <v>45718</v>
      </c>
      <c r="G957">
        <v>49028</v>
      </c>
      <c r="H957" t="s">
        <v>10</v>
      </c>
    </row>
    <row r="958" spans="1:8" x14ac:dyDescent="0.25">
      <c r="A958">
        <v>500957</v>
      </c>
      <c r="B958">
        <v>18</v>
      </c>
      <c r="C958">
        <v>1492</v>
      </c>
      <c r="D958">
        <v>3343</v>
      </c>
      <c r="E958" s="1">
        <v>45737</v>
      </c>
      <c r="F958" s="1">
        <v>45743</v>
      </c>
      <c r="G958">
        <v>50276</v>
      </c>
      <c r="H958" t="s">
        <v>10</v>
      </c>
    </row>
    <row r="959" spans="1:8" x14ac:dyDescent="0.25">
      <c r="A959">
        <v>500958</v>
      </c>
      <c r="B959">
        <v>327</v>
      </c>
      <c r="C959">
        <v>1433</v>
      </c>
      <c r="D959">
        <v>3285</v>
      </c>
      <c r="E959" s="1">
        <v>45701</v>
      </c>
      <c r="F959" s="1">
        <v>45703</v>
      </c>
      <c r="G959">
        <v>28740</v>
      </c>
      <c r="H959" t="s">
        <v>25</v>
      </c>
    </row>
    <row r="960" spans="1:8" x14ac:dyDescent="0.25">
      <c r="A960">
        <v>500959</v>
      </c>
      <c r="B960">
        <v>324</v>
      </c>
      <c r="C960">
        <v>476</v>
      </c>
      <c r="D960">
        <v>3132</v>
      </c>
      <c r="E960" s="1">
        <v>45667</v>
      </c>
      <c r="F960" s="1">
        <v>45670</v>
      </c>
      <c r="G960">
        <v>74024</v>
      </c>
      <c r="H960" t="s">
        <v>10</v>
      </c>
    </row>
    <row r="961" spans="1:8" x14ac:dyDescent="0.25">
      <c r="A961">
        <v>500960</v>
      </c>
      <c r="B961">
        <v>404</v>
      </c>
      <c r="C961">
        <v>1097</v>
      </c>
      <c r="D961">
        <v>3278</v>
      </c>
      <c r="E961" s="1">
        <v>45722</v>
      </c>
      <c r="F961" s="1">
        <v>45726</v>
      </c>
      <c r="G961">
        <v>97986</v>
      </c>
      <c r="H961" t="s">
        <v>10</v>
      </c>
    </row>
    <row r="962" spans="1:8" x14ac:dyDescent="0.25">
      <c r="A962">
        <v>500961</v>
      </c>
      <c r="B962">
        <v>264</v>
      </c>
      <c r="C962">
        <v>440</v>
      </c>
      <c r="D962">
        <v>3362</v>
      </c>
      <c r="E962" s="1">
        <v>45780</v>
      </c>
      <c r="F962" s="1">
        <v>45783</v>
      </c>
      <c r="G962">
        <v>43516</v>
      </c>
      <c r="H962" t="s">
        <v>10</v>
      </c>
    </row>
    <row r="963" spans="1:8" x14ac:dyDescent="0.25">
      <c r="A963">
        <v>500962</v>
      </c>
      <c r="B963">
        <v>370</v>
      </c>
      <c r="C963">
        <v>1192</v>
      </c>
      <c r="D963">
        <v>3182</v>
      </c>
      <c r="E963" s="1">
        <v>45761</v>
      </c>
      <c r="F963" s="1">
        <v>45763</v>
      </c>
      <c r="G963">
        <v>27895</v>
      </c>
      <c r="H963" t="s">
        <v>10</v>
      </c>
    </row>
    <row r="964" spans="1:8" x14ac:dyDescent="0.25">
      <c r="A964">
        <v>500963</v>
      </c>
      <c r="B964">
        <v>230</v>
      </c>
      <c r="C964">
        <v>648</v>
      </c>
      <c r="D964">
        <v>3004</v>
      </c>
      <c r="E964" s="1">
        <v>45792</v>
      </c>
      <c r="F964" s="1">
        <v>45793</v>
      </c>
      <c r="G964">
        <v>15892</v>
      </c>
      <c r="H964" t="s">
        <v>10</v>
      </c>
    </row>
    <row r="965" spans="1:8" x14ac:dyDescent="0.25">
      <c r="A965">
        <v>500964</v>
      </c>
      <c r="B965">
        <v>342</v>
      </c>
      <c r="C965">
        <v>739</v>
      </c>
      <c r="D965">
        <v>3015</v>
      </c>
      <c r="E965" s="1">
        <v>45659</v>
      </c>
      <c r="F965" s="1">
        <v>45663</v>
      </c>
      <c r="G965">
        <v>62716</v>
      </c>
      <c r="H965" t="s">
        <v>10</v>
      </c>
    </row>
    <row r="966" spans="1:8" x14ac:dyDescent="0.25">
      <c r="A966">
        <v>500965</v>
      </c>
      <c r="B966">
        <v>456</v>
      </c>
      <c r="C966">
        <v>284</v>
      </c>
      <c r="D966">
        <v>3446</v>
      </c>
      <c r="E966" s="1">
        <v>45618</v>
      </c>
      <c r="F966" s="1">
        <v>45622</v>
      </c>
      <c r="G966">
        <v>61036</v>
      </c>
      <c r="H966" t="s">
        <v>10</v>
      </c>
    </row>
    <row r="967" spans="1:8" x14ac:dyDescent="0.25">
      <c r="A967">
        <v>500966</v>
      </c>
      <c r="B967">
        <v>485</v>
      </c>
      <c r="C967">
        <v>1080</v>
      </c>
      <c r="D967">
        <v>3217</v>
      </c>
      <c r="E967" s="1">
        <v>45643</v>
      </c>
      <c r="F967" s="1">
        <v>45648</v>
      </c>
      <c r="G967">
        <v>59345</v>
      </c>
      <c r="H967" t="s">
        <v>14</v>
      </c>
    </row>
    <row r="968" spans="1:8" x14ac:dyDescent="0.25">
      <c r="A968">
        <v>500967</v>
      </c>
      <c r="B968">
        <v>368</v>
      </c>
      <c r="C968">
        <v>862</v>
      </c>
      <c r="D968">
        <v>3234</v>
      </c>
      <c r="E968" s="1">
        <v>45699</v>
      </c>
      <c r="F968" s="1">
        <v>45701</v>
      </c>
      <c r="G968">
        <v>41647</v>
      </c>
      <c r="H968" t="s">
        <v>25</v>
      </c>
    </row>
    <row r="969" spans="1:8" x14ac:dyDescent="0.25">
      <c r="A969">
        <v>500968</v>
      </c>
      <c r="B969">
        <v>74</v>
      </c>
      <c r="C969">
        <v>100</v>
      </c>
      <c r="D969">
        <v>3449</v>
      </c>
      <c r="E969" s="1">
        <v>45610</v>
      </c>
      <c r="F969" s="1">
        <v>45615</v>
      </c>
      <c r="G969">
        <v>92374</v>
      </c>
      <c r="H969" t="s">
        <v>14</v>
      </c>
    </row>
    <row r="970" spans="1:8" x14ac:dyDescent="0.25">
      <c r="A970">
        <v>500969</v>
      </c>
      <c r="B970">
        <v>31</v>
      </c>
      <c r="C970">
        <v>1440</v>
      </c>
      <c r="D970">
        <v>3176</v>
      </c>
      <c r="E970" s="1">
        <v>45607</v>
      </c>
      <c r="F970" s="1">
        <v>45614</v>
      </c>
      <c r="G970">
        <v>48091</v>
      </c>
      <c r="H970" t="s">
        <v>14</v>
      </c>
    </row>
    <row r="971" spans="1:8" x14ac:dyDescent="0.25">
      <c r="A971">
        <v>500970</v>
      </c>
      <c r="B971">
        <v>246</v>
      </c>
      <c r="C971">
        <v>678</v>
      </c>
      <c r="D971">
        <v>3072</v>
      </c>
      <c r="E971" s="1">
        <v>45788</v>
      </c>
      <c r="F971" s="1">
        <v>45789</v>
      </c>
      <c r="G971">
        <v>17243</v>
      </c>
      <c r="H971" t="s">
        <v>10</v>
      </c>
    </row>
    <row r="972" spans="1:8" x14ac:dyDescent="0.25">
      <c r="A972">
        <v>500971</v>
      </c>
      <c r="B972">
        <v>267</v>
      </c>
      <c r="C972">
        <v>1149</v>
      </c>
      <c r="D972">
        <v>3317</v>
      </c>
      <c r="E972" s="1">
        <v>45687</v>
      </c>
      <c r="F972" s="1">
        <v>45693</v>
      </c>
      <c r="G972">
        <v>44044</v>
      </c>
      <c r="H972" t="s">
        <v>14</v>
      </c>
    </row>
    <row r="973" spans="1:8" x14ac:dyDescent="0.25">
      <c r="A973">
        <v>500972</v>
      </c>
      <c r="B973">
        <v>64</v>
      </c>
      <c r="C973">
        <v>1343</v>
      </c>
      <c r="D973">
        <v>3138</v>
      </c>
      <c r="E973" s="1">
        <v>45770</v>
      </c>
      <c r="F973" s="1">
        <v>45778</v>
      </c>
      <c r="G973">
        <v>162909</v>
      </c>
      <c r="H973" t="s">
        <v>10</v>
      </c>
    </row>
    <row r="974" spans="1:8" x14ac:dyDescent="0.25">
      <c r="A974">
        <v>500973</v>
      </c>
      <c r="B974">
        <v>529</v>
      </c>
      <c r="C974">
        <v>1213</v>
      </c>
      <c r="D974">
        <v>3042</v>
      </c>
      <c r="E974" s="1">
        <v>45696</v>
      </c>
      <c r="F974" s="1">
        <v>45698</v>
      </c>
      <c r="G974">
        <v>32176</v>
      </c>
      <c r="H974" t="s">
        <v>14</v>
      </c>
    </row>
    <row r="975" spans="1:8" x14ac:dyDescent="0.25">
      <c r="A975">
        <v>500974</v>
      </c>
      <c r="B975">
        <v>190</v>
      </c>
      <c r="C975">
        <v>1484</v>
      </c>
      <c r="D975">
        <v>3376</v>
      </c>
      <c r="E975" s="1">
        <v>45683</v>
      </c>
      <c r="F975" s="1">
        <v>45685</v>
      </c>
      <c r="G975">
        <v>40107</v>
      </c>
      <c r="H975" t="s">
        <v>14</v>
      </c>
    </row>
    <row r="976" spans="1:8" x14ac:dyDescent="0.25">
      <c r="A976">
        <v>500975</v>
      </c>
      <c r="B976">
        <v>389</v>
      </c>
      <c r="C976">
        <v>632</v>
      </c>
      <c r="D976">
        <v>3198</v>
      </c>
      <c r="E976" s="1">
        <v>45630</v>
      </c>
      <c r="F976" s="1">
        <v>45649</v>
      </c>
      <c r="G976">
        <v>358370</v>
      </c>
      <c r="H976" t="s">
        <v>25</v>
      </c>
    </row>
    <row r="977" spans="1:8" x14ac:dyDescent="0.25">
      <c r="A977">
        <v>500976</v>
      </c>
      <c r="B977">
        <v>457</v>
      </c>
      <c r="C977">
        <v>1493</v>
      </c>
      <c r="D977">
        <v>3010</v>
      </c>
      <c r="E977" s="1">
        <v>45686</v>
      </c>
      <c r="F977" s="1">
        <v>45690</v>
      </c>
      <c r="G977">
        <v>49997</v>
      </c>
      <c r="H977" t="s">
        <v>14</v>
      </c>
    </row>
    <row r="978" spans="1:8" x14ac:dyDescent="0.25">
      <c r="A978">
        <v>500977</v>
      </c>
      <c r="B978">
        <v>78</v>
      </c>
      <c r="C978">
        <v>383</v>
      </c>
      <c r="D978">
        <v>3284</v>
      </c>
      <c r="E978" s="1">
        <v>45615</v>
      </c>
      <c r="F978" s="1">
        <v>45617</v>
      </c>
      <c r="G978">
        <v>22675</v>
      </c>
      <c r="H978" t="s">
        <v>10</v>
      </c>
    </row>
    <row r="979" spans="1:8" x14ac:dyDescent="0.25">
      <c r="A979">
        <v>500978</v>
      </c>
      <c r="B979">
        <v>434</v>
      </c>
      <c r="C979">
        <v>609</v>
      </c>
      <c r="D979">
        <v>3494</v>
      </c>
      <c r="E979" s="1">
        <v>45783</v>
      </c>
      <c r="F979" s="1">
        <v>45788</v>
      </c>
      <c r="G979">
        <v>67385</v>
      </c>
      <c r="H979" t="s">
        <v>14</v>
      </c>
    </row>
    <row r="980" spans="1:8" x14ac:dyDescent="0.25">
      <c r="A980">
        <v>500979</v>
      </c>
      <c r="B980">
        <v>121</v>
      </c>
      <c r="C980">
        <v>259</v>
      </c>
      <c r="D980">
        <v>3415</v>
      </c>
      <c r="E980" s="1">
        <v>45637</v>
      </c>
      <c r="F980" s="1">
        <v>45642</v>
      </c>
      <c r="G980">
        <v>89456</v>
      </c>
      <c r="H980" t="s">
        <v>14</v>
      </c>
    </row>
    <row r="981" spans="1:8" x14ac:dyDescent="0.25">
      <c r="A981">
        <v>500980</v>
      </c>
      <c r="B981">
        <v>530</v>
      </c>
      <c r="C981">
        <v>1141</v>
      </c>
      <c r="D981">
        <v>3484</v>
      </c>
      <c r="E981" s="1">
        <v>45732</v>
      </c>
      <c r="F981" s="1">
        <v>45735</v>
      </c>
      <c r="G981">
        <v>51800</v>
      </c>
      <c r="H981" t="s">
        <v>10</v>
      </c>
    </row>
    <row r="982" spans="1:8" x14ac:dyDescent="0.25">
      <c r="A982">
        <v>500981</v>
      </c>
      <c r="B982">
        <v>78</v>
      </c>
      <c r="C982">
        <v>1391</v>
      </c>
      <c r="D982">
        <v>3447</v>
      </c>
      <c r="E982" s="1">
        <v>45684</v>
      </c>
      <c r="F982" s="1">
        <v>45686</v>
      </c>
      <c r="G982">
        <v>34846</v>
      </c>
      <c r="H982" t="s">
        <v>10</v>
      </c>
    </row>
    <row r="983" spans="1:8" x14ac:dyDescent="0.25">
      <c r="A983">
        <v>500982</v>
      </c>
      <c r="B983">
        <v>91</v>
      </c>
      <c r="C983">
        <v>1077</v>
      </c>
      <c r="D983">
        <v>3027</v>
      </c>
      <c r="E983" s="1">
        <v>45770</v>
      </c>
      <c r="F983" s="1">
        <v>45771</v>
      </c>
      <c r="G983">
        <v>16308</v>
      </c>
      <c r="H983" t="s">
        <v>14</v>
      </c>
    </row>
    <row r="984" spans="1:8" x14ac:dyDescent="0.25">
      <c r="A984">
        <v>500983</v>
      </c>
      <c r="B984">
        <v>91</v>
      </c>
      <c r="C984">
        <v>1104</v>
      </c>
      <c r="D984">
        <v>3037</v>
      </c>
      <c r="E984" s="1">
        <v>45693</v>
      </c>
      <c r="F984" s="1">
        <v>45701</v>
      </c>
      <c r="G984">
        <v>54214</v>
      </c>
      <c r="H984" t="s">
        <v>10</v>
      </c>
    </row>
    <row r="985" spans="1:8" x14ac:dyDescent="0.25">
      <c r="A985">
        <v>500984</v>
      </c>
      <c r="B985">
        <v>245</v>
      </c>
      <c r="C985">
        <v>1337</v>
      </c>
      <c r="D985">
        <v>3165</v>
      </c>
      <c r="E985" s="1">
        <v>45768</v>
      </c>
      <c r="F985" s="1">
        <v>45771</v>
      </c>
      <c r="G985">
        <v>52393</v>
      </c>
      <c r="H985" t="s">
        <v>10</v>
      </c>
    </row>
    <row r="986" spans="1:8" x14ac:dyDescent="0.25">
      <c r="A986">
        <v>500985</v>
      </c>
      <c r="B986">
        <v>511</v>
      </c>
      <c r="C986">
        <v>1546</v>
      </c>
      <c r="D986">
        <v>3294</v>
      </c>
      <c r="E986" s="1">
        <v>45663</v>
      </c>
      <c r="F986" s="1">
        <v>45673</v>
      </c>
      <c r="G986">
        <v>153733</v>
      </c>
      <c r="H986" t="s">
        <v>25</v>
      </c>
    </row>
    <row r="987" spans="1:8" x14ac:dyDescent="0.25">
      <c r="A987">
        <v>500986</v>
      </c>
      <c r="B987">
        <v>433</v>
      </c>
      <c r="C987">
        <v>670</v>
      </c>
      <c r="D987">
        <v>3046</v>
      </c>
      <c r="E987" s="1">
        <v>45802</v>
      </c>
      <c r="F987" s="1">
        <v>45805</v>
      </c>
      <c r="G987">
        <v>41786</v>
      </c>
      <c r="H987" t="s">
        <v>14</v>
      </c>
    </row>
    <row r="988" spans="1:8" x14ac:dyDescent="0.25">
      <c r="A988">
        <v>500987</v>
      </c>
      <c r="B988">
        <v>61</v>
      </c>
      <c r="C988">
        <v>300</v>
      </c>
      <c r="D988">
        <v>3401</v>
      </c>
      <c r="E988" s="1">
        <v>45762</v>
      </c>
      <c r="F988" s="1">
        <v>45764</v>
      </c>
      <c r="G988">
        <v>54555</v>
      </c>
      <c r="H988" t="s">
        <v>14</v>
      </c>
    </row>
    <row r="989" spans="1:8" x14ac:dyDescent="0.25">
      <c r="A989">
        <v>500988</v>
      </c>
      <c r="B989">
        <v>214</v>
      </c>
      <c r="C989">
        <v>903</v>
      </c>
      <c r="D989">
        <v>3054</v>
      </c>
      <c r="E989" s="1">
        <v>45713</v>
      </c>
      <c r="F989" s="1">
        <v>45717</v>
      </c>
      <c r="G989">
        <v>51203</v>
      </c>
      <c r="H989" t="s">
        <v>10</v>
      </c>
    </row>
    <row r="990" spans="1:8" x14ac:dyDescent="0.25">
      <c r="A990">
        <v>500989</v>
      </c>
      <c r="B990">
        <v>140</v>
      </c>
      <c r="C990">
        <v>545</v>
      </c>
      <c r="D990">
        <v>3425</v>
      </c>
      <c r="E990" s="1">
        <v>45599</v>
      </c>
      <c r="F990" s="1">
        <v>45600</v>
      </c>
      <c r="G990">
        <v>27080</v>
      </c>
      <c r="H990" t="s">
        <v>10</v>
      </c>
    </row>
    <row r="991" spans="1:8" x14ac:dyDescent="0.25">
      <c r="A991">
        <v>500990</v>
      </c>
      <c r="B991">
        <v>229</v>
      </c>
      <c r="C991">
        <v>751</v>
      </c>
      <c r="D991">
        <v>3483</v>
      </c>
      <c r="E991" s="1">
        <v>45772</v>
      </c>
      <c r="F991" s="1">
        <v>45775</v>
      </c>
      <c r="G991">
        <v>53110</v>
      </c>
      <c r="H991" t="s">
        <v>14</v>
      </c>
    </row>
    <row r="992" spans="1:8" x14ac:dyDescent="0.25">
      <c r="A992">
        <v>500991</v>
      </c>
      <c r="B992">
        <v>117</v>
      </c>
      <c r="C992">
        <v>1511</v>
      </c>
      <c r="D992">
        <v>3200</v>
      </c>
      <c r="E992" s="1">
        <v>45611</v>
      </c>
      <c r="F992" s="1">
        <v>45615</v>
      </c>
      <c r="G992">
        <v>74667</v>
      </c>
      <c r="H992" t="s">
        <v>14</v>
      </c>
    </row>
    <row r="993" spans="1:8" x14ac:dyDescent="0.25">
      <c r="A993">
        <v>500992</v>
      </c>
      <c r="B993">
        <v>415</v>
      </c>
      <c r="C993">
        <v>1088</v>
      </c>
      <c r="D993">
        <v>3410</v>
      </c>
      <c r="E993" s="1">
        <v>45673</v>
      </c>
      <c r="F993" s="1">
        <v>45676</v>
      </c>
      <c r="G993">
        <v>37046</v>
      </c>
      <c r="H993" t="s">
        <v>14</v>
      </c>
    </row>
    <row r="994" spans="1:8" x14ac:dyDescent="0.25">
      <c r="A994">
        <v>500993</v>
      </c>
      <c r="B994">
        <v>138</v>
      </c>
      <c r="C994">
        <v>439</v>
      </c>
      <c r="D994">
        <v>3190</v>
      </c>
      <c r="E994" s="1">
        <v>45750</v>
      </c>
      <c r="F994" s="1">
        <v>45751</v>
      </c>
      <c r="G994">
        <v>15808</v>
      </c>
      <c r="H994" t="s">
        <v>14</v>
      </c>
    </row>
    <row r="995" spans="1:8" x14ac:dyDescent="0.25">
      <c r="A995">
        <v>500994</v>
      </c>
      <c r="B995">
        <v>120</v>
      </c>
      <c r="C995">
        <v>654</v>
      </c>
      <c r="D995">
        <v>3114</v>
      </c>
      <c r="E995" s="1">
        <v>45618</v>
      </c>
      <c r="F995" s="1">
        <v>45619</v>
      </c>
      <c r="G995">
        <v>29841</v>
      </c>
      <c r="H995" t="s">
        <v>10</v>
      </c>
    </row>
    <row r="996" spans="1:8" x14ac:dyDescent="0.25">
      <c r="A996">
        <v>500995</v>
      </c>
      <c r="B996">
        <v>59</v>
      </c>
      <c r="C996">
        <v>1227</v>
      </c>
      <c r="D996">
        <v>3328</v>
      </c>
      <c r="E996" s="1">
        <v>45725</v>
      </c>
      <c r="F996" s="1">
        <v>45731</v>
      </c>
      <c r="G996">
        <v>41669</v>
      </c>
      <c r="H996" t="s">
        <v>10</v>
      </c>
    </row>
    <row r="997" spans="1:8" x14ac:dyDescent="0.25">
      <c r="A997">
        <v>500996</v>
      </c>
      <c r="B997">
        <v>403</v>
      </c>
      <c r="C997">
        <v>1105</v>
      </c>
      <c r="D997">
        <v>3141</v>
      </c>
      <c r="E997" s="1">
        <v>45793</v>
      </c>
      <c r="F997" s="1">
        <v>45795</v>
      </c>
      <c r="G997">
        <v>33505</v>
      </c>
      <c r="H997" t="s">
        <v>25</v>
      </c>
    </row>
    <row r="998" spans="1:8" x14ac:dyDescent="0.25">
      <c r="A998">
        <v>500997</v>
      </c>
      <c r="B998">
        <v>371</v>
      </c>
      <c r="C998">
        <v>608</v>
      </c>
      <c r="D998">
        <v>3246</v>
      </c>
      <c r="E998" s="1">
        <v>45752</v>
      </c>
      <c r="F998" s="1">
        <v>45757</v>
      </c>
      <c r="G998">
        <v>55405</v>
      </c>
      <c r="H998" t="s">
        <v>14</v>
      </c>
    </row>
    <row r="999" spans="1:8" x14ac:dyDescent="0.25">
      <c r="A999">
        <v>500998</v>
      </c>
      <c r="B999">
        <v>506</v>
      </c>
      <c r="C999">
        <v>547</v>
      </c>
      <c r="D999">
        <v>3110</v>
      </c>
      <c r="E999" s="1">
        <v>45800</v>
      </c>
      <c r="F999" s="1">
        <v>45803</v>
      </c>
      <c r="G999">
        <v>38123</v>
      </c>
      <c r="H999" t="s">
        <v>10</v>
      </c>
    </row>
    <row r="1000" spans="1:8" x14ac:dyDescent="0.25">
      <c r="A1000">
        <v>500999</v>
      </c>
      <c r="B1000">
        <v>454</v>
      </c>
      <c r="C1000">
        <v>288</v>
      </c>
      <c r="D1000">
        <v>3349</v>
      </c>
      <c r="E1000" s="1">
        <v>45681</v>
      </c>
      <c r="F1000" s="1">
        <v>45683</v>
      </c>
      <c r="G1000">
        <v>27726</v>
      </c>
      <c r="H1000" t="s">
        <v>25</v>
      </c>
    </row>
    <row r="1001" spans="1:8" x14ac:dyDescent="0.25">
      <c r="A1001">
        <v>501000</v>
      </c>
      <c r="B1001">
        <v>483</v>
      </c>
      <c r="C1001">
        <v>923</v>
      </c>
      <c r="D1001">
        <v>3115</v>
      </c>
      <c r="E1001" s="1">
        <v>45621</v>
      </c>
      <c r="F1001" s="1">
        <v>45624</v>
      </c>
      <c r="G1001">
        <v>40606</v>
      </c>
      <c r="H1001" t="s">
        <v>14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FB5B-5C27-4D61-B0F5-03A0DCE70A3D}">
  <dimension ref="A1:I13"/>
  <sheetViews>
    <sheetView zoomScale="137" workbookViewId="0">
      <selection activeCell="F20" sqref="F20"/>
    </sheetView>
  </sheetViews>
  <sheetFormatPr defaultRowHeight="15" x14ac:dyDescent="0.25"/>
  <cols>
    <col min="1" max="1" width="10.85546875" bestFit="1" customWidth="1"/>
    <col min="2" max="2" width="20.85546875" style="14" bestFit="1" customWidth="1"/>
    <col min="3" max="3" width="13.5703125" style="14" customWidth="1"/>
    <col min="4" max="4" width="15.7109375" style="14" customWidth="1"/>
    <col min="5" max="5" width="19.7109375" style="14" customWidth="1"/>
    <col min="6" max="6" width="25.42578125" style="14" customWidth="1"/>
    <col min="7" max="7" width="15.140625" style="14" customWidth="1"/>
    <col min="8" max="8" width="16.85546875" style="14" customWidth="1"/>
    <col min="9" max="9" width="12.85546875" style="14" customWidth="1"/>
  </cols>
  <sheetData>
    <row r="1" spans="1:9" x14ac:dyDescent="0.25">
      <c r="A1" s="7" t="s">
        <v>1950</v>
      </c>
      <c r="B1" s="15" t="s">
        <v>2001</v>
      </c>
      <c r="C1" s="15" t="s">
        <v>2002</v>
      </c>
      <c r="D1" s="15" t="s">
        <v>2003</v>
      </c>
      <c r="E1" s="15" t="s">
        <v>2004</v>
      </c>
      <c r="F1" s="15" t="s">
        <v>2005</v>
      </c>
      <c r="G1" s="15" t="s">
        <v>2006</v>
      </c>
      <c r="H1" s="15" t="s">
        <v>2007</v>
      </c>
      <c r="I1" s="15" t="s">
        <v>2008</v>
      </c>
    </row>
    <row r="2" spans="1:9" x14ac:dyDescent="0.25">
      <c r="A2" t="s">
        <v>1951</v>
      </c>
      <c r="B2" s="14">
        <v>519289</v>
      </c>
      <c r="C2" s="14">
        <v>148222</v>
      </c>
      <c r="D2" s="14">
        <v>59613</v>
      </c>
      <c r="E2" s="14">
        <v>35796</v>
      </c>
      <c r="F2" s="14">
        <v>299244</v>
      </c>
      <c r="G2" s="14">
        <v>1173120</v>
      </c>
      <c r="H2" s="14">
        <f>SUM(B2,C2,D2,E2,F2)</f>
        <v>1062164</v>
      </c>
      <c r="I2" s="14">
        <f>G2-H2</f>
        <v>110956</v>
      </c>
    </row>
    <row r="3" spans="1:9" x14ac:dyDescent="0.25">
      <c r="A3" t="s">
        <v>1952</v>
      </c>
      <c r="B3" s="14">
        <v>589773</v>
      </c>
      <c r="C3" s="14">
        <v>92666</v>
      </c>
      <c r="D3" s="14">
        <v>83076</v>
      </c>
      <c r="E3" s="14">
        <v>69131</v>
      </c>
      <c r="F3" s="14">
        <v>325788</v>
      </c>
      <c r="G3" s="14">
        <v>999122</v>
      </c>
      <c r="H3" s="14">
        <f t="shared" ref="H3:H13" si="0">SUM(B3,C3,D3,E3,F3)</f>
        <v>1160434</v>
      </c>
      <c r="I3" s="14">
        <f t="shared" ref="I3:I13" si="1">G3-H3</f>
        <v>-161312</v>
      </c>
    </row>
    <row r="4" spans="1:9" x14ac:dyDescent="0.25">
      <c r="A4" t="s">
        <v>1953</v>
      </c>
      <c r="B4" s="14">
        <v>477567</v>
      </c>
      <c r="C4" s="14">
        <v>142119</v>
      </c>
      <c r="D4" s="14">
        <v>89544</v>
      </c>
      <c r="E4" s="14">
        <v>38123</v>
      </c>
      <c r="F4" s="14">
        <v>295251</v>
      </c>
      <c r="G4" s="14">
        <v>1232548</v>
      </c>
      <c r="H4" s="14">
        <f t="shared" si="0"/>
        <v>1042604</v>
      </c>
      <c r="I4" s="14">
        <f t="shared" si="1"/>
        <v>189944</v>
      </c>
    </row>
    <row r="5" spans="1:9" x14ac:dyDescent="0.25">
      <c r="A5" t="s">
        <v>1954</v>
      </c>
      <c r="B5" s="14">
        <v>480664</v>
      </c>
      <c r="C5" s="14">
        <v>115321</v>
      </c>
      <c r="D5" s="14">
        <v>57492</v>
      </c>
      <c r="E5" s="14">
        <v>38222</v>
      </c>
      <c r="F5" s="14">
        <v>223806</v>
      </c>
      <c r="G5" s="14">
        <v>1244076</v>
      </c>
      <c r="H5" s="14">
        <f t="shared" si="0"/>
        <v>915505</v>
      </c>
      <c r="I5" s="14">
        <f t="shared" si="1"/>
        <v>328571</v>
      </c>
    </row>
    <row r="6" spans="1:9" x14ac:dyDescent="0.25">
      <c r="A6" t="s">
        <v>1955</v>
      </c>
      <c r="B6" s="14">
        <v>481199</v>
      </c>
      <c r="C6" s="14">
        <v>81779</v>
      </c>
      <c r="D6" s="14">
        <v>60746</v>
      </c>
      <c r="E6" s="14">
        <v>54074</v>
      </c>
      <c r="F6" s="14">
        <v>330364</v>
      </c>
      <c r="G6" s="14">
        <v>1239851</v>
      </c>
      <c r="H6" s="14">
        <f t="shared" si="0"/>
        <v>1008162</v>
      </c>
      <c r="I6" s="14">
        <f t="shared" si="1"/>
        <v>231689</v>
      </c>
    </row>
    <row r="7" spans="1:9" x14ac:dyDescent="0.25">
      <c r="A7" t="s">
        <v>1956</v>
      </c>
      <c r="B7" s="14">
        <v>499764</v>
      </c>
      <c r="C7" s="14">
        <v>93186</v>
      </c>
      <c r="D7" s="14">
        <v>45188</v>
      </c>
      <c r="E7" s="14">
        <v>59825</v>
      </c>
      <c r="F7" s="14">
        <v>236901</v>
      </c>
      <c r="G7" s="14">
        <v>1382863</v>
      </c>
      <c r="H7" s="14">
        <f t="shared" si="0"/>
        <v>934864</v>
      </c>
      <c r="I7" s="14">
        <f t="shared" si="1"/>
        <v>447999</v>
      </c>
    </row>
    <row r="8" spans="1:9" x14ac:dyDescent="0.25">
      <c r="A8" t="s">
        <v>1957</v>
      </c>
      <c r="B8" s="14">
        <v>522357</v>
      </c>
      <c r="C8" s="14">
        <v>96459</v>
      </c>
      <c r="D8" s="14">
        <v>81570</v>
      </c>
      <c r="E8" s="14">
        <v>66839</v>
      </c>
      <c r="F8" s="14">
        <v>348115</v>
      </c>
      <c r="G8" s="14">
        <v>1117912</v>
      </c>
      <c r="H8" s="14">
        <f t="shared" si="0"/>
        <v>1115340</v>
      </c>
      <c r="I8" s="14">
        <f t="shared" si="1"/>
        <v>2572</v>
      </c>
    </row>
    <row r="9" spans="1:9" x14ac:dyDescent="0.25">
      <c r="A9" t="s">
        <v>1958</v>
      </c>
      <c r="B9" s="14">
        <v>480729</v>
      </c>
      <c r="C9" s="14">
        <v>85057</v>
      </c>
      <c r="D9" s="14">
        <v>69680</v>
      </c>
      <c r="E9" s="14">
        <v>32786</v>
      </c>
      <c r="F9" s="14">
        <v>340824</v>
      </c>
      <c r="G9" s="14">
        <v>1135851</v>
      </c>
      <c r="H9" s="14">
        <f t="shared" si="0"/>
        <v>1009076</v>
      </c>
      <c r="I9" s="14">
        <f t="shared" si="1"/>
        <v>126775</v>
      </c>
    </row>
    <row r="10" spans="1:9" x14ac:dyDescent="0.25">
      <c r="A10" t="s">
        <v>1959</v>
      </c>
      <c r="B10" s="14">
        <v>559633</v>
      </c>
      <c r="C10" s="14">
        <v>140663</v>
      </c>
      <c r="D10" s="14">
        <v>77825</v>
      </c>
      <c r="E10" s="14">
        <v>63638</v>
      </c>
      <c r="F10" s="14">
        <v>373688</v>
      </c>
      <c r="G10" s="14">
        <v>1255933</v>
      </c>
      <c r="H10" s="14">
        <f t="shared" si="0"/>
        <v>1215447</v>
      </c>
      <c r="I10" s="14">
        <f t="shared" si="1"/>
        <v>40486</v>
      </c>
    </row>
    <row r="11" spans="1:9" x14ac:dyDescent="0.25">
      <c r="A11" t="s">
        <v>1960</v>
      </c>
      <c r="B11" s="14">
        <v>450568</v>
      </c>
      <c r="C11" s="14">
        <v>98733</v>
      </c>
      <c r="D11" s="14">
        <v>76766</v>
      </c>
      <c r="E11" s="14">
        <v>66964</v>
      </c>
      <c r="F11" s="14">
        <v>252127</v>
      </c>
      <c r="G11" s="14">
        <v>1432245</v>
      </c>
      <c r="H11" s="14">
        <f t="shared" si="0"/>
        <v>945158</v>
      </c>
      <c r="I11" s="14">
        <f t="shared" si="1"/>
        <v>487087</v>
      </c>
    </row>
    <row r="12" spans="1:9" x14ac:dyDescent="0.25">
      <c r="A12" t="s">
        <v>1961</v>
      </c>
      <c r="B12" s="14">
        <v>509349</v>
      </c>
      <c r="C12" s="14">
        <v>99157</v>
      </c>
      <c r="D12" s="14">
        <v>48864</v>
      </c>
      <c r="E12" s="14">
        <v>55988</v>
      </c>
      <c r="F12" s="14">
        <v>200453</v>
      </c>
      <c r="G12" s="14">
        <v>1407750</v>
      </c>
      <c r="H12" s="14">
        <f t="shared" si="0"/>
        <v>913811</v>
      </c>
      <c r="I12" s="14">
        <f t="shared" si="1"/>
        <v>493939</v>
      </c>
    </row>
    <row r="13" spans="1:9" x14ac:dyDescent="0.25">
      <c r="A13" t="s">
        <v>1962</v>
      </c>
      <c r="B13" s="14">
        <v>473302</v>
      </c>
      <c r="C13" s="14">
        <v>115030</v>
      </c>
      <c r="D13" s="14">
        <v>76445</v>
      </c>
      <c r="E13" s="14">
        <v>65507</v>
      </c>
      <c r="F13" s="14">
        <v>275432</v>
      </c>
      <c r="G13" s="14">
        <v>1007724</v>
      </c>
      <c r="H13" s="14">
        <f t="shared" si="0"/>
        <v>1005716</v>
      </c>
      <c r="I13" s="14">
        <f t="shared" si="1"/>
        <v>2008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B20A-C5E4-4BA4-B77B-63DAD26131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Appointment</vt:lpstr>
      <vt:lpstr>Department</vt:lpstr>
      <vt:lpstr>Doctor</vt:lpstr>
      <vt:lpstr>Patients</vt:lpstr>
      <vt:lpstr>MedicalRecord</vt:lpstr>
      <vt:lpstr>MedicineInfo</vt:lpstr>
      <vt:lpstr>Staff</vt:lpstr>
      <vt:lpstr>Bed</vt:lpstr>
      <vt:lpstr>BedRecords</vt:lpstr>
      <vt:lpstr>Room</vt:lpstr>
      <vt:lpstr>Ward</vt:lpstr>
      <vt:lpstr>RoomRecords</vt:lpstr>
      <vt:lpstr>InternalRecord</vt:lpstr>
      <vt:lpstr>Sheet1</vt:lpstr>
      <vt:lpstr>Appoinment_Table</vt:lpstr>
      <vt:lpstr>Appointments</vt:lpstr>
      <vt:lpstr>Bed_Record_Table</vt:lpstr>
      <vt:lpstr>Bed_Table</vt:lpstr>
      <vt:lpstr>Department_Table</vt:lpstr>
      <vt:lpstr>Doctor_Table</vt:lpstr>
      <vt:lpstr>Medical_Record_Table</vt:lpstr>
      <vt:lpstr>MedicineInfo</vt:lpstr>
      <vt:lpstr>Patient_Table</vt:lpstr>
      <vt:lpstr>Room_Info</vt:lpstr>
      <vt:lpstr>Room_Records</vt:lpstr>
      <vt:lpstr>Staff_Info_Table</vt:lpstr>
      <vt:lpstr>Ward_Info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Shamoon</dc:creator>
  <cp:keywords/>
  <dc:description/>
  <cp:lastModifiedBy>anandi thakare</cp:lastModifiedBy>
  <cp:revision/>
  <dcterms:created xsi:type="dcterms:W3CDTF">2015-06-05T18:17:20Z</dcterms:created>
  <dcterms:modified xsi:type="dcterms:W3CDTF">2026-03-27T05:35:13Z</dcterms:modified>
  <cp:category/>
  <cp:contentStatus/>
</cp:coreProperties>
</file>